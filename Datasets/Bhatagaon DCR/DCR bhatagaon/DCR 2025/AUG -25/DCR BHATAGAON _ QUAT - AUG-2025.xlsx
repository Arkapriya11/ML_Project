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15" activeTab="32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4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44525"/>
</workbook>
</file>

<file path=xl/calcChain.xml><?xml version="1.0" encoding="utf-8"?>
<calcChain xmlns="http://schemas.openxmlformats.org/spreadsheetml/2006/main">
  <c r="C45" i="39" l="1"/>
  <c r="D45" i="39"/>
  <c r="E45" i="39"/>
  <c r="F45" i="39"/>
  <c r="G45" i="39"/>
  <c r="H45" i="39"/>
  <c r="I45" i="39"/>
  <c r="J45" i="39"/>
  <c r="K45" i="39"/>
  <c r="L45" i="39"/>
  <c r="M45" i="39"/>
  <c r="N45" i="39"/>
  <c r="O45" i="39"/>
  <c r="P45" i="39"/>
  <c r="Q45" i="39"/>
  <c r="B45" i="39"/>
  <c r="C39" i="39"/>
  <c r="D39" i="39"/>
  <c r="E39" i="39"/>
  <c r="F39" i="39"/>
  <c r="G39" i="39"/>
  <c r="H39" i="39"/>
  <c r="I39" i="39"/>
  <c r="J39" i="39"/>
  <c r="K39" i="39"/>
  <c r="L39" i="39"/>
  <c r="M39" i="39"/>
  <c r="N39" i="39"/>
  <c r="O39" i="39"/>
  <c r="P39" i="39"/>
  <c r="Q39" i="39"/>
  <c r="B39" i="39"/>
  <c r="A39" i="39"/>
  <c r="I110" i="44"/>
  <c r="I110" i="41"/>
  <c r="Q110" i="44"/>
  <c r="Q112" i="44" s="1"/>
  <c r="P110" i="44"/>
  <c r="P112" i="44" s="1"/>
  <c r="O110" i="44"/>
  <c r="O112" i="44" s="1"/>
  <c r="N110" i="44"/>
  <c r="N111" i="44" s="1"/>
  <c r="M110" i="44"/>
  <c r="M112" i="44" s="1"/>
  <c r="L110" i="44"/>
  <c r="L112" i="44" s="1"/>
  <c r="K110" i="44"/>
  <c r="K112" i="44" s="1"/>
  <c r="J110" i="44"/>
  <c r="J112" i="44" s="1"/>
  <c r="I112" i="44"/>
  <c r="H110" i="44"/>
  <c r="H112" i="44" s="1"/>
  <c r="G110" i="44"/>
  <c r="G112" i="44" s="1"/>
  <c r="F110" i="44"/>
  <c r="F112" i="44" s="1"/>
  <c r="E110" i="44"/>
  <c r="E112" i="44" s="1"/>
  <c r="D110" i="44"/>
  <c r="D112" i="44" s="1"/>
  <c r="C110" i="44"/>
  <c r="C111" i="44" s="1"/>
  <c r="B110" i="44"/>
  <c r="B112" i="44" s="1"/>
  <c r="Q109" i="44"/>
  <c r="P109" i="44"/>
  <c r="O109" i="44"/>
  <c r="N109" i="44"/>
  <c r="M109" i="44"/>
  <c r="L109" i="44"/>
  <c r="K109" i="44"/>
  <c r="J109" i="44"/>
  <c r="I109" i="44"/>
  <c r="H109" i="44"/>
  <c r="G109" i="44"/>
  <c r="F109" i="44"/>
  <c r="E109" i="44"/>
  <c r="D109" i="44"/>
  <c r="C109" i="44"/>
  <c r="B109" i="44"/>
  <c r="Q108" i="44"/>
  <c r="P108" i="44"/>
  <c r="O108" i="44"/>
  <c r="N108" i="44"/>
  <c r="M108" i="44"/>
  <c r="L108" i="44"/>
  <c r="K108" i="44"/>
  <c r="J108" i="44"/>
  <c r="I108" i="44"/>
  <c r="H108" i="44"/>
  <c r="G108" i="44"/>
  <c r="F108" i="44"/>
  <c r="E108" i="44"/>
  <c r="D108" i="44"/>
  <c r="C108" i="44"/>
  <c r="B108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I110" i="40"/>
  <c r="G110" i="33"/>
  <c r="H110" i="33"/>
  <c r="I110" i="33"/>
  <c r="J110" i="33"/>
  <c r="I110" i="32"/>
  <c r="H110" i="32"/>
  <c r="G110" i="32"/>
  <c r="C110" i="32"/>
  <c r="D110" i="32"/>
  <c r="B110" i="32"/>
  <c r="Q110" i="31"/>
  <c r="G110" i="31"/>
  <c r="H110" i="31"/>
  <c r="I110" i="31"/>
  <c r="I110" i="30"/>
  <c r="J110" i="29"/>
  <c r="J110" i="28"/>
  <c r="I110" i="27"/>
  <c r="C110" i="27"/>
  <c r="D110" i="27"/>
  <c r="B110" i="27"/>
  <c r="C112" i="44" l="1"/>
  <c r="D111" i="44"/>
  <c r="B111" i="44"/>
  <c r="E111" i="44"/>
  <c r="F111" i="44"/>
  <c r="G111" i="44"/>
  <c r="H111" i="44"/>
  <c r="I111" i="44"/>
  <c r="J111" i="44"/>
  <c r="K111" i="44"/>
  <c r="L111" i="44"/>
  <c r="M111" i="44"/>
  <c r="N112" i="44"/>
  <c r="O111" i="44"/>
  <c r="P111" i="44"/>
  <c r="Q111" i="44"/>
  <c r="H110" i="23"/>
  <c r="G110" i="23"/>
  <c r="H110" i="22"/>
  <c r="G110" i="22"/>
  <c r="Q110" i="19"/>
  <c r="I110" i="18"/>
  <c r="J110" i="18"/>
  <c r="H110" i="18"/>
  <c r="Q110" i="17"/>
  <c r="Q110" i="16"/>
  <c r="Q110" i="15"/>
  <c r="I110" i="12"/>
  <c r="F110" i="12"/>
  <c r="C110" i="11"/>
  <c r="D110" i="11"/>
  <c r="B110" i="11"/>
  <c r="I110" i="11"/>
  <c r="H110" i="11"/>
  <c r="H110" i="9"/>
  <c r="G110" i="9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B110" i="8"/>
  <c r="I110" i="3"/>
  <c r="H110" i="2"/>
  <c r="G110" i="2"/>
  <c r="I110" i="2"/>
  <c r="C110" i="26" l="1"/>
  <c r="C112" i="26" s="1"/>
  <c r="D110" i="26"/>
  <c r="D112" i="26" s="1"/>
  <c r="B110" i="26"/>
  <c r="B112" i="26" s="1"/>
  <c r="E110" i="26"/>
  <c r="E112" i="26" s="1"/>
  <c r="F110" i="26"/>
  <c r="F111" i="26" s="1"/>
  <c r="G110" i="26"/>
  <c r="G112" i="26" s="1"/>
  <c r="H110" i="26"/>
  <c r="H112" i="26" s="1"/>
  <c r="I110" i="26"/>
  <c r="I112" i="26" s="1"/>
  <c r="J110" i="26"/>
  <c r="J111" i="26" s="1"/>
  <c r="K110" i="26"/>
  <c r="L110" i="26"/>
  <c r="L112" i="26" s="1"/>
  <c r="M110" i="26"/>
  <c r="N110" i="26"/>
  <c r="O110" i="26"/>
  <c r="P110" i="26"/>
  <c r="P112" i="26" s="1"/>
  <c r="Q110" i="26"/>
  <c r="C110" i="25"/>
  <c r="C111" i="25" s="1"/>
  <c r="D110" i="25"/>
  <c r="D112" i="25" s="1"/>
  <c r="E110" i="25"/>
  <c r="E112" i="25" s="1"/>
  <c r="F110" i="25"/>
  <c r="G110" i="25"/>
  <c r="G112" i="25" s="1"/>
  <c r="H110" i="25"/>
  <c r="H111" i="25" s="1"/>
  <c r="I110" i="25"/>
  <c r="J110" i="25"/>
  <c r="K110" i="25"/>
  <c r="K111" i="25" s="1"/>
  <c r="L110" i="25"/>
  <c r="L112" i="25" s="1"/>
  <c r="M110" i="25"/>
  <c r="M111" i="25"/>
  <c r="N110" i="25"/>
  <c r="N111" i="25" s="1"/>
  <c r="O110" i="25"/>
  <c r="O112" i="25" s="1"/>
  <c r="P110" i="25"/>
  <c r="P111" i="25" s="1"/>
  <c r="Q110" i="25"/>
  <c r="B110" i="25"/>
  <c r="B112" i="25" s="1"/>
  <c r="Q110" i="14"/>
  <c r="Q112" i="14" s="1"/>
  <c r="I110" i="14"/>
  <c r="I111" i="14"/>
  <c r="I110" i="13"/>
  <c r="I111" i="13" s="1"/>
  <c r="I112" i="41"/>
  <c r="J110" i="41"/>
  <c r="J112" i="41" s="1"/>
  <c r="H110" i="41"/>
  <c r="H112" i="41" s="1"/>
  <c r="J110" i="40"/>
  <c r="J111" i="40" s="1"/>
  <c r="H110" i="40"/>
  <c r="H111" i="40" s="1"/>
  <c r="I111" i="40"/>
  <c r="G112" i="33"/>
  <c r="H111" i="33"/>
  <c r="I111" i="33"/>
  <c r="J112" i="33"/>
  <c r="J110" i="32"/>
  <c r="J111" i="32" s="1"/>
  <c r="I112" i="32"/>
  <c r="H111" i="32"/>
  <c r="H112" i="31"/>
  <c r="I111" i="31"/>
  <c r="J110" i="31"/>
  <c r="J111" i="31" s="1"/>
  <c r="G112" i="31"/>
  <c r="J110" i="30"/>
  <c r="J112" i="30" s="1"/>
  <c r="J111" i="30"/>
  <c r="I112" i="30"/>
  <c r="H110" i="30"/>
  <c r="H112" i="30" s="1"/>
  <c r="J112" i="29"/>
  <c r="I110" i="29"/>
  <c r="I112" i="29" s="1"/>
  <c r="H110" i="29"/>
  <c r="H112" i="29" s="1"/>
  <c r="J111" i="28"/>
  <c r="I110" i="28"/>
  <c r="I112" i="28" s="1"/>
  <c r="H110" i="28"/>
  <c r="H111" i="28"/>
  <c r="I112" i="27"/>
  <c r="C111" i="27"/>
  <c r="D111" i="27"/>
  <c r="E110" i="27"/>
  <c r="F110" i="27"/>
  <c r="F112" i="27" s="1"/>
  <c r="G110" i="27"/>
  <c r="G112" i="27" s="1"/>
  <c r="H110" i="27"/>
  <c r="H111" i="27" s="1"/>
  <c r="J110" i="27"/>
  <c r="K110" i="27"/>
  <c r="L110" i="27"/>
  <c r="L112" i="27" s="1"/>
  <c r="M110" i="27"/>
  <c r="N110" i="27"/>
  <c r="O110" i="27"/>
  <c r="P110" i="27"/>
  <c r="Q110" i="27"/>
  <c r="Q111" i="26"/>
  <c r="Q111" i="25"/>
  <c r="J112" i="25"/>
  <c r="I111" i="25"/>
  <c r="F112" i="25"/>
  <c r="J110" i="24"/>
  <c r="J111" i="24" s="1"/>
  <c r="I110" i="24"/>
  <c r="I112" i="24" s="1"/>
  <c r="H110" i="24"/>
  <c r="H112" i="24" s="1"/>
  <c r="J110" i="23"/>
  <c r="J112" i="23" s="1"/>
  <c r="I110" i="23"/>
  <c r="I112" i="23" s="1"/>
  <c r="J110" i="22"/>
  <c r="J112" i="22" s="1"/>
  <c r="I110" i="22"/>
  <c r="I112" i="22" s="1"/>
  <c r="H112" i="22"/>
  <c r="G111" i="22"/>
  <c r="J110" i="21"/>
  <c r="J111" i="21" s="1"/>
  <c r="I110" i="21"/>
  <c r="I111" i="21" s="1"/>
  <c r="H110" i="21"/>
  <c r="H111" i="21" s="1"/>
  <c r="H110" i="20"/>
  <c r="H112" i="20"/>
  <c r="I110" i="20"/>
  <c r="I111" i="20" s="1"/>
  <c r="J110" i="20"/>
  <c r="J112" i="20" s="1"/>
  <c r="Q112" i="19"/>
  <c r="J110" i="19"/>
  <c r="J111" i="19" s="1"/>
  <c r="I110" i="19"/>
  <c r="I112" i="19" s="1"/>
  <c r="H110" i="19"/>
  <c r="H112" i="19" s="1"/>
  <c r="Q112" i="17"/>
  <c r="J110" i="17"/>
  <c r="J112" i="17" s="1"/>
  <c r="I110" i="17"/>
  <c r="I111" i="17" s="1"/>
  <c r="H110" i="17"/>
  <c r="H112" i="17" s="1"/>
  <c r="H110" i="16"/>
  <c r="H111" i="16" s="1"/>
  <c r="I110" i="16"/>
  <c r="I111" i="16" s="1"/>
  <c r="J110" i="16"/>
  <c r="J111" i="16" s="1"/>
  <c r="H110" i="15"/>
  <c r="H111" i="15"/>
  <c r="I110" i="15"/>
  <c r="I111" i="15"/>
  <c r="J110" i="15"/>
  <c r="J112" i="15" s="1"/>
  <c r="Q111" i="15"/>
  <c r="J110" i="14"/>
  <c r="J111" i="14" s="1"/>
  <c r="H110" i="14"/>
  <c r="H112" i="14"/>
  <c r="D112" i="11"/>
  <c r="C112" i="11"/>
  <c r="B111" i="11"/>
  <c r="J110" i="13"/>
  <c r="J112" i="13" s="1"/>
  <c r="H110" i="13"/>
  <c r="H112" i="13"/>
  <c r="F111" i="12"/>
  <c r="J110" i="12"/>
  <c r="J112" i="12" s="1"/>
  <c r="H110" i="12"/>
  <c r="H111" i="12" s="1"/>
  <c r="I112" i="12"/>
  <c r="J110" i="11"/>
  <c r="J111" i="11" s="1"/>
  <c r="I111" i="11"/>
  <c r="H111" i="11"/>
  <c r="G110" i="11"/>
  <c r="G112" i="11"/>
  <c r="J110" i="10"/>
  <c r="J112" i="10" s="1"/>
  <c r="I110" i="10"/>
  <c r="I111" i="10" s="1"/>
  <c r="H110" i="10"/>
  <c r="H112" i="10" s="1"/>
  <c r="J110" i="9"/>
  <c r="J111" i="9"/>
  <c r="I110" i="9"/>
  <c r="I111" i="9" s="1"/>
  <c r="H111" i="9"/>
  <c r="Q111" i="8"/>
  <c r="J111" i="8"/>
  <c r="I111" i="8"/>
  <c r="H111" i="8"/>
  <c r="P112" i="8"/>
  <c r="O111" i="8"/>
  <c r="L112" i="8"/>
  <c r="K111" i="8"/>
  <c r="G111" i="8"/>
  <c r="F111" i="8"/>
  <c r="E112" i="8"/>
  <c r="B112" i="8"/>
  <c r="I112" i="3"/>
  <c r="I111" i="2"/>
  <c r="B2" i="23"/>
  <c r="C110" i="2"/>
  <c r="C111" i="2" s="1"/>
  <c r="D110" i="2"/>
  <c r="E110" i="2"/>
  <c r="E111" i="2" s="1"/>
  <c r="F110" i="2"/>
  <c r="F111" i="2"/>
  <c r="G112" i="2"/>
  <c r="H112" i="2"/>
  <c r="J110" i="2"/>
  <c r="J111" i="2" s="1"/>
  <c r="K110" i="2"/>
  <c r="K111" i="2"/>
  <c r="L110" i="2"/>
  <c r="L112" i="2" s="1"/>
  <c r="M110" i="2"/>
  <c r="M112" i="2" s="1"/>
  <c r="N110" i="2"/>
  <c r="N112" i="2" s="1"/>
  <c r="O110" i="2"/>
  <c r="O111" i="2" s="1"/>
  <c r="P110" i="2"/>
  <c r="P112" i="2" s="1"/>
  <c r="Q110" i="2"/>
  <c r="Q111" i="2" s="1"/>
  <c r="C110" i="3"/>
  <c r="C111" i="3" s="1"/>
  <c r="D110" i="3"/>
  <c r="D111" i="3" s="1"/>
  <c r="E110" i="3"/>
  <c r="E111" i="3" s="1"/>
  <c r="F110" i="3"/>
  <c r="F111" i="3" s="1"/>
  <c r="G110" i="3"/>
  <c r="G112" i="3"/>
  <c r="H110" i="3"/>
  <c r="H112" i="3"/>
  <c r="J110" i="3"/>
  <c r="J111" i="3" s="1"/>
  <c r="K110" i="3"/>
  <c r="K112" i="3" s="1"/>
  <c r="L110" i="3"/>
  <c r="L111" i="3" s="1"/>
  <c r="M110" i="3"/>
  <c r="M112" i="3" s="1"/>
  <c r="N110" i="3"/>
  <c r="N111" i="3" s="1"/>
  <c r="O110" i="3"/>
  <c r="P110" i="3"/>
  <c r="Q110" i="3"/>
  <c r="Q110" i="41"/>
  <c r="Q111" i="41" s="1"/>
  <c r="P110" i="41"/>
  <c r="P112" i="41" s="1"/>
  <c r="O110" i="41"/>
  <c r="O112" i="41" s="1"/>
  <c r="N110" i="41"/>
  <c r="N111" i="41" s="1"/>
  <c r="M110" i="41"/>
  <c r="M112" i="41" s="1"/>
  <c r="L110" i="41"/>
  <c r="L111" i="41" s="1"/>
  <c r="K110" i="41"/>
  <c r="K112" i="41"/>
  <c r="G110" i="41"/>
  <c r="G112" i="41" s="1"/>
  <c r="F110" i="41"/>
  <c r="F112" i="41" s="1"/>
  <c r="E110" i="41"/>
  <c r="E111" i="41" s="1"/>
  <c r="D110" i="41"/>
  <c r="D112" i="41" s="1"/>
  <c r="C110" i="41"/>
  <c r="C112" i="41"/>
  <c r="B110" i="41"/>
  <c r="B112" i="41" s="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Q38" i="39" s="1"/>
  <c r="P108" i="41"/>
  <c r="O108" i="41"/>
  <c r="N108" i="41"/>
  <c r="N38" i="39" s="1"/>
  <c r="M108" i="41"/>
  <c r="L108" i="41"/>
  <c r="K108" i="41"/>
  <c r="K38" i="39" s="1"/>
  <c r="J108" i="41"/>
  <c r="I108" i="41"/>
  <c r="I38" i="39"/>
  <c r="H108" i="41"/>
  <c r="G108" i="41"/>
  <c r="G38" i="39" s="1"/>
  <c r="F108" i="41"/>
  <c r="E108" i="41"/>
  <c r="D108" i="41"/>
  <c r="C108" i="41"/>
  <c r="B108" i="41"/>
  <c r="B38" i="39" s="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8" i="39" s="1"/>
  <c r="Q110" i="40"/>
  <c r="Q112" i="40" s="1"/>
  <c r="P110" i="40"/>
  <c r="P111" i="40" s="1"/>
  <c r="O110" i="40"/>
  <c r="O112" i="40" s="1"/>
  <c r="N110" i="40"/>
  <c r="N111" i="40" s="1"/>
  <c r="M110" i="40"/>
  <c r="M112" i="40" s="1"/>
  <c r="L110" i="40"/>
  <c r="L112" i="40" s="1"/>
  <c r="K110" i="40"/>
  <c r="K112" i="40" s="1"/>
  <c r="G110" i="40"/>
  <c r="G112" i="40" s="1"/>
  <c r="F110" i="40"/>
  <c r="F112" i="40" s="1"/>
  <c r="E110" i="40"/>
  <c r="E112" i="40" s="1"/>
  <c r="D110" i="40"/>
  <c r="D112" i="40" s="1"/>
  <c r="C110" i="40"/>
  <c r="C111" i="40" s="1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/>
  <c r="P108" i="40"/>
  <c r="P37" i="39"/>
  <c r="O108" i="40"/>
  <c r="O37" i="39" s="1"/>
  <c r="N108" i="40"/>
  <c r="M108" i="40"/>
  <c r="L108" i="40"/>
  <c r="K108" i="40"/>
  <c r="K37" i="39" s="1"/>
  <c r="J108" i="40"/>
  <c r="I108" i="40"/>
  <c r="H108" i="40"/>
  <c r="H37" i="39" s="1"/>
  <c r="G108" i="40"/>
  <c r="G37" i="39"/>
  <c r="F108" i="40"/>
  <c r="F37" i="39"/>
  <c r="E108" i="40"/>
  <c r="E37" i="39" s="1"/>
  <c r="D108" i="40"/>
  <c r="D37" i="39" s="1"/>
  <c r="C108" i="40"/>
  <c r="C37" i="39" s="1"/>
  <c r="B108" i="40"/>
  <c r="B37" i="39" s="1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A37" i="39" s="1"/>
  <c r="Q110" i="33"/>
  <c r="Q111" i="33" s="1"/>
  <c r="P110" i="33"/>
  <c r="P112" i="33" s="1"/>
  <c r="O110" i="33"/>
  <c r="O112" i="33" s="1"/>
  <c r="N110" i="33"/>
  <c r="N111" i="33" s="1"/>
  <c r="M110" i="33"/>
  <c r="M112" i="33" s="1"/>
  <c r="L110" i="33"/>
  <c r="L112" i="33" s="1"/>
  <c r="K110" i="33"/>
  <c r="K111" i="33" s="1"/>
  <c r="F110" i="33"/>
  <c r="F112" i="33" s="1"/>
  <c r="E110" i="33"/>
  <c r="E112" i="33" s="1"/>
  <c r="D110" i="33"/>
  <c r="D111" i="33" s="1"/>
  <c r="D112" i="33"/>
  <c r="C110" i="33"/>
  <c r="C112" i="33" s="1"/>
  <c r="B110" i="33"/>
  <c r="B111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O108" i="33"/>
  <c r="O36" i="39" s="1"/>
  <c r="N108" i="33"/>
  <c r="M108" i="33"/>
  <c r="M36" i="39" s="1"/>
  <c r="L108" i="33"/>
  <c r="L36" i="39" s="1"/>
  <c r="K108" i="33"/>
  <c r="J108" i="33"/>
  <c r="I108" i="33"/>
  <c r="I36" i="39" s="1"/>
  <c r="H108" i="33"/>
  <c r="G108" i="33"/>
  <c r="G36" i="39" s="1"/>
  <c r="F108" i="33"/>
  <c r="F36" i="39" s="1"/>
  <c r="E108" i="33"/>
  <c r="D108" i="33"/>
  <c r="C108" i="33"/>
  <c r="B108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Q110" i="32"/>
  <c r="Q112" i="32" s="1"/>
  <c r="P110" i="32"/>
  <c r="P112" i="32" s="1"/>
  <c r="O110" i="32"/>
  <c r="O112" i="32" s="1"/>
  <c r="N110" i="32"/>
  <c r="N111" i="32" s="1"/>
  <c r="M110" i="32"/>
  <c r="M112" i="32"/>
  <c r="L110" i="32"/>
  <c r="L111" i="32" s="1"/>
  <c r="K110" i="32"/>
  <c r="K112" i="32" s="1"/>
  <c r="G111" i="32"/>
  <c r="F110" i="32"/>
  <c r="F112" i="32" s="1"/>
  <c r="E110" i="32"/>
  <c r="E111" i="32" s="1"/>
  <c r="D112" i="32"/>
  <c r="C111" i="32"/>
  <c r="B111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O108" i="32"/>
  <c r="O35" i="39"/>
  <c r="N108" i="32"/>
  <c r="N35" i="39" s="1"/>
  <c r="M108" i="32"/>
  <c r="M35" i="39" s="1"/>
  <c r="L108" i="32"/>
  <c r="K108" i="32"/>
  <c r="J108" i="32"/>
  <c r="J35" i="39" s="1"/>
  <c r="I108" i="32"/>
  <c r="I35" i="39" s="1"/>
  <c r="H108" i="32"/>
  <c r="G108" i="32"/>
  <c r="F108" i="32"/>
  <c r="F35" i="39" s="1"/>
  <c r="E108" i="32"/>
  <c r="E35" i="39" s="1"/>
  <c r="D108" i="32"/>
  <c r="C108" i="32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P110" i="31"/>
  <c r="P112" i="31" s="1"/>
  <c r="O110" i="31"/>
  <c r="O112" i="31" s="1"/>
  <c r="N110" i="31"/>
  <c r="N112" i="31" s="1"/>
  <c r="M110" i="31"/>
  <c r="M111" i="31" s="1"/>
  <c r="L110" i="31"/>
  <c r="L112" i="31" s="1"/>
  <c r="K110" i="31"/>
  <c r="K111" i="31" s="1"/>
  <c r="F110" i="31"/>
  <c r="F112" i="31" s="1"/>
  <c r="E110" i="31"/>
  <c r="E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N34" i="39" s="1"/>
  <c r="M108" i="31"/>
  <c r="L108" i="31"/>
  <c r="L34" i="39" s="1"/>
  <c r="K108" i="31"/>
  <c r="J108" i="31"/>
  <c r="I108" i="31"/>
  <c r="H108" i="31"/>
  <c r="G108" i="31"/>
  <c r="F108" i="31"/>
  <c r="E108" i="31"/>
  <c r="E34" i="39" s="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Q110" i="30"/>
  <c r="Q111" i="30" s="1"/>
  <c r="P110" i="30"/>
  <c r="P111" i="30" s="1"/>
  <c r="O110" i="30"/>
  <c r="O112" i="30" s="1"/>
  <c r="N110" i="30"/>
  <c r="N112" i="30" s="1"/>
  <c r="M110" i="30"/>
  <c r="M112" i="30" s="1"/>
  <c r="L110" i="30"/>
  <c r="L111" i="30" s="1"/>
  <c r="L112" i="30"/>
  <c r="K110" i="30"/>
  <c r="K112" i="30" s="1"/>
  <c r="G110" i="30"/>
  <c r="G112" i="30" s="1"/>
  <c r="F110" i="30"/>
  <c r="F112" i="30" s="1"/>
  <c r="E110" i="30"/>
  <c r="E111" i="30"/>
  <c r="D110" i="30"/>
  <c r="D112" i="30" s="1"/>
  <c r="C110" i="30"/>
  <c r="C111" i="30" s="1"/>
  <c r="B110" i="30"/>
  <c r="B112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/>
  <c r="O108" i="30"/>
  <c r="O33" i="39" s="1"/>
  <c r="N108" i="30"/>
  <c r="N33" i="39" s="1"/>
  <c r="M108" i="30"/>
  <c r="M33" i="39"/>
  <c r="L108" i="30"/>
  <c r="K108" i="30"/>
  <c r="K33" i="39" s="1"/>
  <c r="J108" i="30"/>
  <c r="I108" i="30"/>
  <c r="H108" i="30"/>
  <c r="G108" i="30"/>
  <c r="F108" i="30"/>
  <c r="E108" i="30"/>
  <c r="E33" i="39" s="1"/>
  <c r="D108" i="30"/>
  <c r="D33" i="39"/>
  <c r="C108" i="30"/>
  <c r="C33" i="39" s="1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0" i="29"/>
  <c r="Q111" i="29" s="1"/>
  <c r="P110" i="29"/>
  <c r="P112" i="29" s="1"/>
  <c r="O110" i="29"/>
  <c r="O112" i="29" s="1"/>
  <c r="N110" i="29"/>
  <c r="N112" i="29" s="1"/>
  <c r="M110" i="29"/>
  <c r="M111" i="29" s="1"/>
  <c r="M112" i="29"/>
  <c r="L110" i="29"/>
  <c r="L111" i="29"/>
  <c r="K110" i="29"/>
  <c r="K112" i="29" s="1"/>
  <c r="G110" i="29"/>
  <c r="G111" i="29" s="1"/>
  <c r="F110" i="29"/>
  <c r="F111" i="29" s="1"/>
  <c r="E110" i="29"/>
  <c r="E112" i="29" s="1"/>
  <c r="D110" i="29"/>
  <c r="D112" i="29"/>
  <c r="C110" i="29"/>
  <c r="C112" i="29" s="1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/>
  <c r="O108" i="29"/>
  <c r="N108" i="29"/>
  <c r="N32" i="39" s="1"/>
  <c r="M108" i="29"/>
  <c r="M32" i="39" s="1"/>
  <c r="L108" i="29"/>
  <c r="L32" i="39" s="1"/>
  <c r="K108" i="29"/>
  <c r="J108" i="29"/>
  <c r="I108" i="29"/>
  <c r="H108" i="29"/>
  <c r="G108" i="29"/>
  <c r="F108" i="29"/>
  <c r="E108" i="29"/>
  <c r="D108" i="29"/>
  <c r="D32" i="39" s="1"/>
  <c r="C108" i="29"/>
  <c r="C32" i="39" s="1"/>
  <c r="B108" i="29"/>
  <c r="B32" i="39" s="1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0" i="28"/>
  <c r="Q111" i="28" s="1"/>
  <c r="P110" i="28"/>
  <c r="P111" i="28" s="1"/>
  <c r="O110" i="28"/>
  <c r="O112" i="28" s="1"/>
  <c r="N110" i="28"/>
  <c r="N112" i="28" s="1"/>
  <c r="M110" i="28"/>
  <c r="M112" i="28" s="1"/>
  <c r="L110" i="28"/>
  <c r="L112" i="28" s="1"/>
  <c r="K110" i="28"/>
  <c r="K111" i="28" s="1"/>
  <c r="G110" i="28"/>
  <c r="G112" i="28" s="1"/>
  <c r="F110" i="28"/>
  <c r="F111" i="28" s="1"/>
  <c r="E110" i="28"/>
  <c r="E112" i="28" s="1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P31" i="39" s="1"/>
  <c r="O108" i="28"/>
  <c r="O31" i="39" s="1"/>
  <c r="N108" i="28"/>
  <c r="M108" i="28"/>
  <c r="L108" i="28"/>
  <c r="L31" i="39" s="1"/>
  <c r="K108" i="28"/>
  <c r="K31" i="39"/>
  <c r="J108" i="28"/>
  <c r="I108" i="28"/>
  <c r="H108" i="28"/>
  <c r="H31" i="39"/>
  <c r="G108" i="28"/>
  <c r="G31" i="39" s="1"/>
  <c r="F108" i="28"/>
  <c r="F31" i="39" s="1"/>
  <c r="E108" i="28"/>
  <c r="E31" i="39" s="1"/>
  <c r="D108" i="28"/>
  <c r="D31" i="39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Q112" i="27"/>
  <c r="P112" i="27"/>
  <c r="O112" i="27"/>
  <c r="N112" i="27"/>
  <c r="M112" i="27"/>
  <c r="K112" i="27"/>
  <c r="J112" i="27"/>
  <c r="E112" i="27"/>
  <c r="B112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O108" i="27"/>
  <c r="O30" i="39"/>
  <c r="N108" i="27"/>
  <c r="N30" i="39"/>
  <c r="M108" i="27"/>
  <c r="L108" i="27"/>
  <c r="K108" i="27"/>
  <c r="K30" i="39" s="1"/>
  <c r="J108" i="27"/>
  <c r="J30" i="39" s="1"/>
  <c r="I108" i="27"/>
  <c r="H108" i="27"/>
  <c r="H30" i="39" s="1"/>
  <c r="G108" i="27"/>
  <c r="G30" i="39" s="1"/>
  <c r="F108" i="27"/>
  <c r="E108" i="27"/>
  <c r="E30" i="39"/>
  <c r="D108" i="27"/>
  <c r="D30" i="39" s="1"/>
  <c r="C108" i="27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O111" i="26"/>
  <c r="N112" i="26"/>
  <c r="M111" i="26"/>
  <c r="K112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P108" i="26"/>
  <c r="P29" i="39"/>
  <c r="O108" i="26"/>
  <c r="O29" i="39" s="1"/>
  <c r="N108" i="26"/>
  <c r="M108" i="26"/>
  <c r="L108" i="26"/>
  <c r="L29" i="39" s="1"/>
  <c r="K108" i="26"/>
  <c r="J108" i="26"/>
  <c r="J29" i="39" s="1"/>
  <c r="I108" i="26"/>
  <c r="H108" i="26"/>
  <c r="G108" i="26"/>
  <c r="F108" i="26"/>
  <c r="E108" i="26"/>
  <c r="D108" i="26"/>
  <c r="C108" i="26"/>
  <c r="C29" i="39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O108" i="25"/>
  <c r="O28" i="39" s="1"/>
  <c r="N108" i="25"/>
  <c r="M108" i="25"/>
  <c r="L108" i="25"/>
  <c r="K108" i="25"/>
  <c r="J108" i="25"/>
  <c r="I108" i="25"/>
  <c r="H108" i="25"/>
  <c r="G108" i="25"/>
  <c r="F108" i="25"/>
  <c r="F28" i="39" s="1"/>
  <c r="E108" i="25"/>
  <c r="E28" i="39" s="1"/>
  <c r="D108" i="25"/>
  <c r="D28" i="39" s="1"/>
  <c r="C108" i="25"/>
  <c r="C28" i="39" s="1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/>
  <c r="Q110" i="24"/>
  <c r="Q112" i="24" s="1"/>
  <c r="P110" i="24"/>
  <c r="P112" i="24" s="1"/>
  <c r="O110" i="24"/>
  <c r="O112" i="24"/>
  <c r="N110" i="24"/>
  <c r="N111" i="24" s="1"/>
  <c r="M110" i="24"/>
  <c r="M112" i="24" s="1"/>
  <c r="L110" i="24"/>
  <c r="L112" i="24" s="1"/>
  <c r="K110" i="24"/>
  <c r="K111" i="24" s="1"/>
  <c r="G110" i="24"/>
  <c r="G112" i="24"/>
  <c r="F110" i="24"/>
  <c r="F112" i="24" s="1"/>
  <c r="E110" i="24"/>
  <c r="E112" i="24"/>
  <c r="D110" i="24"/>
  <c r="D112" i="24" s="1"/>
  <c r="C110" i="24"/>
  <c r="C111" i="24" s="1"/>
  <c r="B110" i="24"/>
  <c r="B112" i="24" s="1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P27" i="39" s="1"/>
  <c r="O108" i="24"/>
  <c r="N108" i="24"/>
  <c r="N27" i="39"/>
  <c r="M108" i="24"/>
  <c r="L108" i="24"/>
  <c r="K108" i="24"/>
  <c r="K27" i="39"/>
  <c r="J108" i="24"/>
  <c r="I108" i="24"/>
  <c r="H108" i="24"/>
  <c r="H27" i="39" s="1"/>
  <c r="G108" i="24"/>
  <c r="F108" i="24"/>
  <c r="E108" i="24"/>
  <c r="E27" i="39" s="1"/>
  <c r="D108" i="24"/>
  <c r="D27" i="39" s="1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2" i="23" s="1"/>
  <c r="P110" i="23"/>
  <c r="P112" i="23" s="1"/>
  <c r="O110" i="23"/>
  <c r="O112" i="23" s="1"/>
  <c r="N110" i="23"/>
  <c r="N111" i="23"/>
  <c r="M110" i="23"/>
  <c r="M112" i="23" s="1"/>
  <c r="L110" i="23"/>
  <c r="L112" i="23" s="1"/>
  <c r="K110" i="23"/>
  <c r="K112" i="23" s="1"/>
  <c r="H112" i="23"/>
  <c r="G111" i="23"/>
  <c r="F110" i="23"/>
  <c r="F111" i="23" s="1"/>
  <c r="E110" i="23"/>
  <c r="E112" i="23" s="1"/>
  <c r="D110" i="23"/>
  <c r="D112" i="23" s="1"/>
  <c r="C110" i="23"/>
  <c r="C112" i="23" s="1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/>
  <c r="P108" i="23"/>
  <c r="P26" i="39" s="1"/>
  <c r="O108" i="23"/>
  <c r="N108" i="23"/>
  <c r="N26" i="39" s="1"/>
  <c r="M108" i="23"/>
  <c r="M26" i="39"/>
  <c r="L108" i="23"/>
  <c r="K108" i="23"/>
  <c r="K26" i="39" s="1"/>
  <c r="J108" i="23"/>
  <c r="J26" i="39" s="1"/>
  <c r="I108" i="23"/>
  <c r="H108" i="23"/>
  <c r="H26" i="39" s="1"/>
  <c r="G108" i="23"/>
  <c r="F108" i="23"/>
  <c r="F26" i="39" s="1"/>
  <c r="E108" i="23"/>
  <c r="D108" i="23"/>
  <c r="C108" i="23"/>
  <c r="B108" i="23"/>
  <c r="B26" i="39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 s="1"/>
  <c r="P110" i="22"/>
  <c r="P112" i="22" s="1"/>
  <c r="O110" i="22"/>
  <c r="O111" i="22" s="1"/>
  <c r="N110" i="22"/>
  <c r="N111" i="22"/>
  <c r="M110" i="22"/>
  <c r="M112" i="22"/>
  <c r="L110" i="22"/>
  <c r="L111" i="22" s="1"/>
  <c r="K110" i="22"/>
  <c r="K112" i="22" s="1"/>
  <c r="F110" i="22"/>
  <c r="F111" i="22" s="1"/>
  <c r="E110" i="22"/>
  <c r="E112" i="22" s="1"/>
  <c r="D110" i="22"/>
  <c r="D112" i="22" s="1"/>
  <c r="C110" i="22"/>
  <c r="C112" i="22" s="1"/>
  <c r="B110" i="22"/>
  <c r="B111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/>
  <c r="P108" i="22"/>
  <c r="P25" i="39" s="1"/>
  <c r="O108" i="22"/>
  <c r="O25" i="39" s="1"/>
  <c r="N108" i="22"/>
  <c r="M108" i="22"/>
  <c r="M25" i="39" s="1"/>
  <c r="L108" i="22"/>
  <c r="K108" i="22"/>
  <c r="K25" i="39" s="1"/>
  <c r="J108" i="22"/>
  <c r="I108" i="22"/>
  <c r="H108" i="22"/>
  <c r="H25" i="39" s="1"/>
  <c r="G108" i="22"/>
  <c r="G25" i="39" s="1"/>
  <c r="F108" i="22"/>
  <c r="F25" i="39" s="1"/>
  <c r="E108" i="22"/>
  <c r="D108" i="22"/>
  <c r="C108" i="22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0" i="21"/>
  <c r="Q112" i="21" s="1"/>
  <c r="P110" i="21"/>
  <c r="P111" i="21" s="1"/>
  <c r="O110" i="21"/>
  <c r="O112" i="21" s="1"/>
  <c r="N110" i="21"/>
  <c r="N112" i="21" s="1"/>
  <c r="M110" i="21"/>
  <c r="M111" i="21" s="1"/>
  <c r="L110" i="21"/>
  <c r="L112" i="21" s="1"/>
  <c r="K110" i="21"/>
  <c r="K111" i="21"/>
  <c r="G110" i="21"/>
  <c r="G112" i="21" s="1"/>
  <c r="F110" i="21"/>
  <c r="F112" i="21"/>
  <c r="E110" i="21"/>
  <c r="E112" i="21"/>
  <c r="D110" i="21"/>
  <c r="D111" i="21"/>
  <c r="C110" i="21"/>
  <c r="C112" i="21" s="1"/>
  <c r="B110" i="21"/>
  <c r="B111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P108" i="21"/>
  <c r="P24" i="39" s="1"/>
  <c r="O108" i="21"/>
  <c r="O24" i="39"/>
  <c r="N108" i="21"/>
  <c r="N24" i="39" s="1"/>
  <c r="M108" i="21"/>
  <c r="M24" i="39"/>
  <c r="L108" i="21"/>
  <c r="L24" i="39" s="1"/>
  <c r="K108" i="21"/>
  <c r="K24" i="39" s="1"/>
  <c r="J108" i="21"/>
  <c r="J24" i="39" s="1"/>
  <c r="I108" i="21"/>
  <c r="I24" i="39" s="1"/>
  <c r="H108" i="21"/>
  <c r="G108" i="21"/>
  <c r="G24" i="39" s="1"/>
  <c r="F108" i="21"/>
  <c r="F24" i="39" s="1"/>
  <c r="E108" i="2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Q110" i="20"/>
  <c r="Q111" i="20" s="1"/>
  <c r="P110" i="20"/>
  <c r="P111" i="20" s="1"/>
  <c r="O110" i="20"/>
  <c r="O112" i="20" s="1"/>
  <c r="N110" i="20"/>
  <c r="N111" i="20" s="1"/>
  <c r="M110" i="20"/>
  <c r="M112" i="20" s="1"/>
  <c r="L110" i="20"/>
  <c r="L112" i="20" s="1"/>
  <c r="K110" i="20"/>
  <c r="K112" i="20" s="1"/>
  <c r="G110" i="20"/>
  <c r="G112" i="20" s="1"/>
  <c r="F110" i="20"/>
  <c r="F112" i="20" s="1"/>
  <c r="E110" i="20"/>
  <c r="E111" i="20" s="1"/>
  <c r="D110" i="20"/>
  <c r="D112" i="20"/>
  <c r="C110" i="20"/>
  <c r="C112" i="20" s="1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O108" i="20"/>
  <c r="N108" i="20"/>
  <c r="M108" i="20"/>
  <c r="L108" i="20"/>
  <c r="K108" i="20"/>
  <c r="J108" i="20"/>
  <c r="J23" i="39"/>
  <c r="I108" i="20"/>
  <c r="I23" i="39" s="1"/>
  <c r="H108" i="20"/>
  <c r="G108" i="20"/>
  <c r="F108" i="20"/>
  <c r="F23" i="39" s="1"/>
  <c r="E108" i="20"/>
  <c r="D108" i="20"/>
  <c r="D23" i="39"/>
  <c r="C108" i="20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P110" i="19"/>
  <c r="P112" i="19" s="1"/>
  <c r="O110" i="19"/>
  <c r="O112" i="19" s="1"/>
  <c r="N110" i="19"/>
  <c r="N112" i="19" s="1"/>
  <c r="M110" i="19"/>
  <c r="M111" i="19"/>
  <c r="L110" i="19"/>
  <c r="L112" i="19" s="1"/>
  <c r="K110" i="19"/>
  <c r="K111" i="19" s="1"/>
  <c r="G110" i="19"/>
  <c r="G112" i="19" s="1"/>
  <c r="F110" i="19"/>
  <c r="F112" i="19"/>
  <c r="E110" i="19"/>
  <c r="E111" i="19" s="1"/>
  <c r="D110" i="19"/>
  <c r="D112" i="19" s="1"/>
  <c r="C110" i="19"/>
  <c r="C111" i="19" s="1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 s="1"/>
  <c r="O108" i="19"/>
  <c r="N108" i="19"/>
  <c r="M108" i="19"/>
  <c r="M22" i="39" s="1"/>
  <c r="L108" i="19"/>
  <c r="L22" i="39" s="1"/>
  <c r="K108" i="19"/>
  <c r="K22" i="39" s="1"/>
  <c r="J108" i="19"/>
  <c r="I108" i="19"/>
  <c r="I22" i="39" s="1"/>
  <c r="H108" i="19"/>
  <c r="G108" i="19"/>
  <c r="F108" i="19"/>
  <c r="F22" i="39"/>
  <c r="E108" i="19"/>
  <c r="E22" i="39" s="1"/>
  <c r="D108" i="19"/>
  <c r="C108" i="19"/>
  <c r="B108" i="19"/>
  <c r="B22" i="3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/>
  <c r="Q110" i="18"/>
  <c r="Q112" i="18" s="1"/>
  <c r="P110" i="18"/>
  <c r="P111" i="18" s="1"/>
  <c r="O110" i="18"/>
  <c r="O111" i="18" s="1"/>
  <c r="N110" i="18"/>
  <c r="N112" i="18" s="1"/>
  <c r="M110" i="18"/>
  <c r="M111" i="18" s="1"/>
  <c r="L110" i="18"/>
  <c r="L112" i="18" s="1"/>
  <c r="K110" i="18"/>
  <c r="K112" i="18" s="1"/>
  <c r="J111" i="18"/>
  <c r="I112" i="18"/>
  <c r="H111" i="18"/>
  <c r="G110" i="18"/>
  <c r="G111" i="18" s="1"/>
  <c r="F110" i="18"/>
  <c r="F112" i="18" s="1"/>
  <c r="E110" i="18"/>
  <c r="E112" i="18" s="1"/>
  <c r="D110" i="18"/>
  <c r="D112" i="18" s="1"/>
  <c r="C110" i="18"/>
  <c r="C111" i="18" s="1"/>
  <c r="B110" i="18"/>
  <c r="B111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O21" i="39" s="1"/>
  <c r="N108" i="18"/>
  <c r="M108" i="18"/>
  <c r="M21" i="39" s="1"/>
  <c r="L108" i="18"/>
  <c r="L21" i="39" s="1"/>
  <c r="K108" i="18"/>
  <c r="J108" i="18"/>
  <c r="I108" i="18"/>
  <c r="I21" i="39" s="1"/>
  <c r="H108" i="18"/>
  <c r="H21" i="39" s="1"/>
  <c r="G108" i="18"/>
  <c r="G21" i="39" s="1"/>
  <c r="F108" i="18"/>
  <c r="E108" i="18"/>
  <c r="E21" i="39" s="1"/>
  <c r="D108" i="18"/>
  <c r="D21" i="39" s="1"/>
  <c r="C108" i="18"/>
  <c r="B108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P110" i="17"/>
  <c r="P111" i="17" s="1"/>
  <c r="O110" i="17"/>
  <c r="O112" i="17" s="1"/>
  <c r="N110" i="17"/>
  <c r="N111" i="17" s="1"/>
  <c r="M110" i="17"/>
  <c r="M112" i="17" s="1"/>
  <c r="L110" i="17"/>
  <c r="L111" i="17" s="1"/>
  <c r="K110" i="17"/>
  <c r="K111" i="17" s="1"/>
  <c r="G110" i="17"/>
  <c r="G112" i="17" s="1"/>
  <c r="F110" i="17"/>
  <c r="F111" i="17" s="1"/>
  <c r="E110" i="17"/>
  <c r="E112" i="17" s="1"/>
  <c r="D110" i="17"/>
  <c r="D111" i="17" s="1"/>
  <c r="C110" i="17"/>
  <c r="C111" i="17" s="1"/>
  <c r="B110" i="17"/>
  <c r="B112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O108" i="17"/>
  <c r="O20" i="39" s="1"/>
  <c r="N108" i="17"/>
  <c r="N20" i="39" s="1"/>
  <c r="M108" i="17"/>
  <c r="M20" i="39" s="1"/>
  <c r="L108" i="17"/>
  <c r="L20" i="39" s="1"/>
  <c r="K108" i="17"/>
  <c r="K20" i="39" s="1"/>
  <c r="J108" i="17"/>
  <c r="J20" i="39"/>
  <c r="I108" i="17"/>
  <c r="I20" i="39" s="1"/>
  <c r="H108" i="17"/>
  <c r="H20" i="39" s="1"/>
  <c r="G108" i="17"/>
  <c r="G20" i="39" s="1"/>
  <c r="F108" i="17"/>
  <c r="F20" i="39" s="1"/>
  <c r="E108" i="17"/>
  <c r="D108" i="17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Q111" i="16"/>
  <c r="P110" i="16"/>
  <c r="P112" i="16" s="1"/>
  <c r="O110" i="16"/>
  <c r="O112" i="16" s="1"/>
  <c r="N110" i="16"/>
  <c r="N112" i="16" s="1"/>
  <c r="M110" i="16"/>
  <c r="M112" i="16"/>
  <c r="L110" i="16"/>
  <c r="L112" i="16" s="1"/>
  <c r="K110" i="16"/>
  <c r="K112" i="16" s="1"/>
  <c r="G110" i="16"/>
  <c r="G111" i="16" s="1"/>
  <c r="F110" i="16"/>
  <c r="F112" i="16"/>
  <c r="E110" i="16"/>
  <c r="E112" i="16" s="1"/>
  <c r="D110" i="16"/>
  <c r="D112" i="16" s="1"/>
  <c r="C110" i="16"/>
  <c r="C112" i="16"/>
  <c r="B110" i="16"/>
  <c r="B112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 s="1"/>
  <c r="P108" i="16"/>
  <c r="P19" i="39" s="1"/>
  <c r="O108" i="16"/>
  <c r="O19" i="39" s="1"/>
  <c r="N108" i="16"/>
  <c r="M108" i="16"/>
  <c r="M19" i="39" s="1"/>
  <c r="L108" i="16"/>
  <c r="K108" i="16"/>
  <c r="J108" i="16"/>
  <c r="J19" i="39" s="1"/>
  <c r="I108" i="16"/>
  <c r="I19" i="39" s="1"/>
  <c r="H108" i="16"/>
  <c r="H19" i="39" s="1"/>
  <c r="G108" i="16"/>
  <c r="F108" i="16"/>
  <c r="E108" i="16"/>
  <c r="E19" i="39" s="1"/>
  <c r="D108" i="16"/>
  <c r="D19" i="39" s="1"/>
  <c r="C108" i="16"/>
  <c r="C19" i="39" s="1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P110" i="15"/>
  <c r="P112" i="15"/>
  <c r="O110" i="15"/>
  <c r="O112" i="15" s="1"/>
  <c r="N110" i="15"/>
  <c r="N111" i="15" s="1"/>
  <c r="M110" i="15"/>
  <c r="M112" i="15" s="1"/>
  <c r="L110" i="15"/>
  <c r="L111" i="15" s="1"/>
  <c r="K110" i="15"/>
  <c r="K112" i="15" s="1"/>
  <c r="G110" i="15"/>
  <c r="G111" i="15"/>
  <c r="F110" i="15"/>
  <c r="F112" i="15" s="1"/>
  <c r="E110" i="15"/>
  <c r="E112" i="15" s="1"/>
  <c r="D110" i="15"/>
  <c r="D112" i="15" s="1"/>
  <c r="C110" i="15"/>
  <c r="C112" i="15" s="1"/>
  <c r="B110" i="15"/>
  <c r="B112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P18" i="39" s="1"/>
  <c r="O108" i="15"/>
  <c r="N108" i="15"/>
  <c r="N18" i="39" s="1"/>
  <c r="M108" i="15"/>
  <c r="M18" i="39" s="1"/>
  <c r="L108" i="15"/>
  <c r="K108" i="15"/>
  <c r="K18" i="39" s="1"/>
  <c r="J108" i="15"/>
  <c r="J18" i="39" s="1"/>
  <c r="I108" i="15"/>
  <c r="H108" i="15"/>
  <c r="G108" i="15"/>
  <c r="F108" i="15"/>
  <c r="F18" i="39" s="1"/>
  <c r="E108" i="15"/>
  <c r="D108" i="15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P110" i="14"/>
  <c r="P112" i="14" s="1"/>
  <c r="O110" i="14"/>
  <c r="O111" i="14"/>
  <c r="N110" i="14"/>
  <c r="N112" i="14" s="1"/>
  <c r="M110" i="14"/>
  <c r="M112" i="14" s="1"/>
  <c r="L110" i="14"/>
  <c r="L112" i="14" s="1"/>
  <c r="K110" i="14"/>
  <c r="K111" i="14" s="1"/>
  <c r="G110" i="14"/>
  <c r="G112" i="14" s="1"/>
  <c r="F110" i="14"/>
  <c r="F111" i="14" s="1"/>
  <c r="E110" i="14"/>
  <c r="E112" i="14" s="1"/>
  <c r="D110" i="14"/>
  <c r="D112" i="14" s="1"/>
  <c r="C110" i="14"/>
  <c r="C112" i="14" s="1"/>
  <c r="B110" i="14"/>
  <c r="B111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O17" i="39" s="1"/>
  <c r="N108" i="14"/>
  <c r="N17" i="39" s="1"/>
  <c r="M108" i="14"/>
  <c r="L108" i="14"/>
  <c r="L17" i="39" s="1"/>
  <c r="K108" i="14"/>
  <c r="K17" i="39" s="1"/>
  <c r="J108" i="14"/>
  <c r="I108" i="14"/>
  <c r="I17" i="39" s="1"/>
  <c r="H108" i="14"/>
  <c r="G108" i="14"/>
  <c r="G17" i="39" s="1"/>
  <c r="F108" i="14"/>
  <c r="F17" i="39" s="1"/>
  <c r="E108" i="14"/>
  <c r="D108" i="14"/>
  <c r="D17" i="39" s="1"/>
  <c r="C108" i="14"/>
  <c r="C17" i="39" s="1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Q110" i="13"/>
  <c r="Q112" i="13"/>
  <c r="P110" i="13"/>
  <c r="P112" i="13"/>
  <c r="O110" i="13"/>
  <c r="O111" i="13" s="1"/>
  <c r="N110" i="13"/>
  <c r="N112" i="13" s="1"/>
  <c r="M110" i="13"/>
  <c r="M111" i="13" s="1"/>
  <c r="L110" i="13"/>
  <c r="L112" i="13" s="1"/>
  <c r="K110" i="13"/>
  <c r="K112" i="13" s="1"/>
  <c r="G110" i="13"/>
  <c r="G111" i="13" s="1"/>
  <c r="F110" i="13"/>
  <c r="F112" i="13" s="1"/>
  <c r="E110" i="13"/>
  <c r="E112" i="13" s="1"/>
  <c r="D110" i="13"/>
  <c r="D111" i="13"/>
  <c r="C110" i="13"/>
  <c r="C112" i="13" s="1"/>
  <c r="B110" i="13"/>
  <c r="B111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O108" i="13"/>
  <c r="O16" i="39" s="1"/>
  <c r="N108" i="13"/>
  <c r="N16" i="39" s="1"/>
  <c r="M108" i="13"/>
  <c r="L108" i="13"/>
  <c r="K108" i="13"/>
  <c r="J108" i="13"/>
  <c r="J16" i="39" s="1"/>
  <c r="I108" i="13"/>
  <c r="I16" i="39" s="1"/>
  <c r="H108" i="13"/>
  <c r="H16" i="39" s="1"/>
  <c r="G108" i="13"/>
  <c r="G16" i="39" s="1"/>
  <c r="F108" i="13"/>
  <c r="E108" i="13"/>
  <c r="D108" i="13"/>
  <c r="C108" i="13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0" i="12"/>
  <c r="Q112" i="12" s="1"/>
  <c r="P110" i="12"/>
  <c r="P112" i="12" s="1"/>
  <c r="O110" i="12"/>
  <c r="O111" i="12" s="1"/>
  <c r="N110" i="12"/>
  <c r="N112" i="12" s="1"/>
  <c r="M110" i="12"/>
  <c r="M111" i="12" s="1"/>
  <c r="L110" i="12"/>
  <c r="L112" i="12" s="1"/>
  <c r="K110" i="12"/>
  <c r="K111" i="12"/>
  <c r="G110" i="12"/>
  <c r="G111" i="12"/>
  <c r="E110" i="12"/>
  <c r="E112" i="12" s="1"/>
  <c r="D110" i="12"/>
  <c r="D112" i="12" s="1"/>
  <c r="C110" i="12"/>
  <c r="C112" i="12" s="1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O108" i="12"/>
  <c r="O15" i="39" s="1"/>
  <c r="N108" i="12"/>
  <c r="M108" i="12"/>
  <c r="M15" i="39" s="1"/>
  <c r="L108" i="12"/>
  <c r="L15" i="39" s="1"/>
  <c r="K108" i="12"/>
  <c r="K15" i="39" s="1"/>
  <c r="J108" i="12"/>
  <c r="I108" i="12"/>
  <c r="I15" i="39" s="1"/>
  <c r="H108" i="12"/>
  <c r="G108" i="12"/>
  <c r="G15" i="39" s="1"/>
  <c r="F108" i="12"/>
  <c r="E108" i="12"/>
  <c r="E15" i="39"/>
  <c r="D108" i="12"/>
  <c r="D15" i="39" s="1"/>
  <c r="C108" i="12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1" i="11"/>
  <c r="P110" i="11"/>
  <c r="P112" i="11" s="1"/>
  <c r="O110" i="11"/>
  <c r="O112" i="11" s="1"/>
  <c r="N110" i="11"/>
  <c r="N112" i="11"/>
  <c r="M110" i="11"/>
  <c r="M112" i="11" s="1"/>
  <c r="L110" i="11"/>
  <c r="L112" i="11" s="1"/>
  <c r="K110" i="11"/>
  <c r="K112" i="11" s="1"/>
  <c r="F110" i="11"/>
  <c r="F111" i="11" s="1"/>
  <c r="E110" i="11"/>
  <c r="E112" i="11" s="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 s="1"/>
  <c r="N108" i="11"/>
  <c r="N14" i="39"/>
  <c r="M108" i="11"/>
  <c r="M14" i="39" s="1"/>
  <c r="L108" i="11"/>
  <c r="L14" i="39" s="1"/>
  <c r="K108" i="11"/>
  <c r="K14" i="39"/>
  <c r="J108" i="11"/>
  <c r="J14" i="39" s="1"/>
  <c r="I108" i="11"/>
  <c r="H108" i="11"/>
  <c r="H14" i="39" s="1"/>
  <c r="G108" i="11"/>
  <c r="G14" i="39" s="1"/>
  <c r="F108" i="11"/>
  <c r="F14" i="39" s="1"/>
  <c r="E108" i="11"/>
  <c r="D108" i="11"/>
  <c r="C108" i="11"/>
  <c r="C14" i="39" s="1"/>
  <c r="B108" i="11"/>
  <c r="B14" i="39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1" i="10" s="1"/>
  <c r="P110" i="10"/>
  <c r="P112" i="10" s="1"/>
  <c r="O110" i="10"/>
  <c r="O111" i="10" s="1"/>
  <c r="N110" i="10"/>
  <c r="N112" i="10" s="1"/>
  <c r="M110" i="10"/>
  <c r="M111" i="10" s="1"/>
  <c r="L110" i="10"/>
  <c r="L111" i="10" s="1"/>
  <c r="K110" i="10"/>
  <c r="K112" i="10"/>
  <c r="G110" i="10"/>
  <c r="G112" i="10" s="1"/>
  <c r="F110" i="10"/>
  <c r="F111" i="10" s="1"/>
  <c r="E110" i="10"/>
  <c r="E112" i="10" s="1"/>
  <c r="D110" i="10"/>
  <c r="D112" i="10" s="1"/>
  <c r="C110" i="10"/>
  <c r="C112" i="10" s="1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I108" i="10"/>
  <c r="I13" i="39" s="1"/>
  <c r="H108" i="10"/>
  <c r="H13" i="39"/>
  <c r="G108" i="10"/>
  <c r="G13" i="39" s="1"/>
  <c r="F108" i="10"/>
  <c r="F13" i="39" s="1"/>
  <c r="E108" i="10"/>
  <c r="E13" i="39" s="1"/>
  <c r="D108" i="10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1" i="9" s="1"/>
  <c r="P110" i="9"/>
  <c r="P112" i="9" s="1"/>
  <c r="O110" i="9"/>
  <c r="O112" i="9"/>
  <c r="N110" i="9"/>
  <c r="N112" i="9" s="1"/>
  <c r="M110" i="9"/>
  <c r="M112" i="9" s="1"/>
  <c r="L110" i="9"/>
  <c r="L112" i="9" s="1"/>
  <c r="K110" i="9"/>
  <c r="K112" i="9" s="1"/>
  <c r="G112" i="9"/>
  <c r="F110" i="9"/>
  <c r="F111" i="9" s="1"/>
  <c r="E110" i="9"/>
  <c r="E112" i="9" s="1"/>
  <c r="D110" i="9"/>
  <c r="D111" i="9"/>
  <c r="C110" i="9"/>
  <c r="C112" i="9" s="1"/>
  <c r="B110" i="9"/>
  <c r="B111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Q12" i="39" s="1"/>
  <c r="P108" i="9"/>
  <c r="P12" i="39"/>
  <c r="O108" i="9"/>
  <c r="O12" i="39"/>
  <c r="N108" i="9"/>
  <c r="N12" i="39" s="1"/>
  <c r="M108" i="9"/>
  <c r="M12" i="39"/>
  <c r="L108" i="9"/>
  <c r="K108" i="9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C108" i="9"/>
  <c r="C12" i="39" s="1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N112" i="8"/>
  <c r="M112" i="8"/>
  <c r="D112" i="8"/>
  <c r="C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 s="1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2" i="3"/>
  <c r="P112" i="3"/>
  <c r="O112" i="3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O108" i="3"/>
  <c r="N108" i="3"/>
  <c r="N10" i="39" s="1"/>
  <c r="M108" i="3"/>
  <c r="M10" i="39" s="1"/>
  <c r="L108" i="3"/>
  <c r="L10" i="39" s="1"/>
  <c r="K108" i="3"/>
  <c r="K10" i="39" s="1"/>
  <c r="J108" i="3"/>
  <c r="J10" i="39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A34" i="39"/>
  <c r="J27" i="39"/>
  <c r="I27" i="39"/>
  <c r="F27" i="39"/>
  <c r="C27" i="39"/>
  <c r="N109" i="2"/>
  <c r="O109" i="2"/>
  <c r="P109" i="2"/>
  <c r="N108" i="2"/>
  <c r="N9" i="39" s="1"/>
  <c r="O108" i="2"/>
  <c r="O9" i="39" s="1"/>
  <c r="P108" i="2"/>
  <c r="P9" i="39" s="1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N21" i="39"/>
  <c r="L35" i="39"/>
  <c r="K35" i="39"/>
  <c r="H35" i="39"/>
  <c r="D35" i="39"/>
  <c r="B35" i="39"/>
  <c r="K92" i="6"/>
  <c r="J92" i="6"/>
  <c r="K51" i="6"/>
  <c r="J51" i="6"/>
  <c r="K50" i="6"/>
  <c r="J50" i="6"/>
  <c r="K91" i="6"/>
  <c r="J91" i="6"/>
  <c r="K90" i="6"/>
  <c r="J90" i="6"/>
  <c r="B110" i="2"/>
  <c r="B112" i="2" s="1"/>
  <c r="D112" i="2"/>
  <c r="O112" i="2"/>
  <c r="Q112" i="2"/>
  <c r="T40" i="6"/>
  <c r="T21" i="6"/>
  <c r="K88" i="6"/>
  <c r="J88" i="6"/>
  <c r="K115" i="6"/>
  <c r="J115" i="6"/>
  <c r="I115" i="6"/>
  <c r="L12" i="39"/>
  <c r="D12" i="39"/>
  <c r="J9" i="6"/>
  <c r="K9" i="6"/>
  <c r="J10" i="6"/>
  <c r="K10" i="6"/>
  <c r="J11" i="6"/>
  <c r="K11" i="6"/>
  <c r="J12" i="6"/>
  <c r="K12" i="6"/>
  <c r="J13" i="6"/>
  <c r="K13" i="6"/>
  <c r="J14" i="6"/>
  <c r="K14" i="6"/>
  <c r="P38" i="39"/>
  <c r="O38" i="39"/>
  <c r="M38" i="39"/>
  <c r="L38" i="39"/>
  <c r="J38" i="39"/>
  <c r="H38" i="39"/>
  <c r="F38" i="39"/>
  <c r="E38" i="39"/>
  <c r="D38" i="39"/>
  <c r="C38" i="39"/>
  <c r="N37" i="39"/>
  <c r="M37" i="39"/>
  <c r="L37" i="39"/>
  <c r="J37" i="39"/>
  <c r="I37" i="39"/>
  <c r="A26" i="39"/>
  <c r="C26" i="39"/>
  <c r="D26" i="39"/>
  <c r="I26" i="39"/>
  <c r="L26" i="39"/>
  <c r="N25" i="39"/>
  <c r="L25" i="39"/>
  <c r="J25" i="39"/>
  <c r="E25" i="39"/>
  <c r="D25" i="39"/>
  <c r="C25" i="39"/>
  <c r="Q24" i="39"/>
  <c r="E24" i="39"/>
  <c r="A24" i="39"/>
  <c r="Q23" i="39"/>
  <c r="M23" i="39"/>
  <c r="L23" i="39"/>
  <c r="K23" i="39"/>
  <c r="H23" i="39"/>
  <c r="E23" i="39"/>
  <c r="B23" i="39"/>
  <c r="Q22" i="39"/>
  <c r="N22" i="39"/>
  <c r="G22" i="39"/>
  <c r="C22" i="39"/>
  <c r="Q21" i="39"/>
  <c r="P21" i="39"/>
  <c r="K21" i="39"/>
  <c r="J21" i="39"/>
  <c r="F21" i="39"/>
  <c r="C21" i="39"/>
  <c r="B21" i="39"/>
  <c r="A21" i="39"/>
  <c r="E20" i="39"/>
  <c r="A20" i="39"/>
  <c r="L19" i="39"/>
  <c r="K19" i="39"/>
  <c r="G19" i="39"/>
  <c r="B19" i="39"/>
  <c r="L18" i="39"/>
  <c r="I18" i="39"/>
  <c r="H18" i="39"/>
  <c r="G18" i="39"/>
  <c r="E18" i="39"/>
  <c r="D18" i="39"/>
  <c r="P17" i="39"/>
  <c r="M17" i="39"/>
  <c r="A17" i="39"/>
  <c r="Q16" i="39"/>
  <c r="P16" i="39"/>
  <c r="L16" i="39"/>
  <c r="F16" i="39"/>
  <c r="E16" i="39"/>
  <c r="D16" i="39"/>
  <c r="C16" i="39"/>
  <c r="B16" i="39"/>
  <c r="N15" i="39"/>
  <c r="H15" i="39"/>
  <c r="F15" i="39"/>
  <c r="C15" i="39"/>
  <c r="I14" i="39"/>
  <c r="E14" i="39"/>
  <c r="D14" i="39"/>
  <c r="P13" i="39"/>
  <c r="D13" i="39"/>
  <c r="K12" i="39"/>
  <c r="O10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 s="1"/>
  <c r="C108" i="2"/>
  <c r="C9" i="39" s="1"/>
  <c r="D108" i="2"/>
  <c r="D9" i="39" s="1"/>
  <c r="E108" i="2"/>
  <c r="E9" i="39" s="1"/>
  <c r="F108" i="2"/>
  <c r="F9" i="39" s="1"/>
  <c r="G108" i="2"/>
  <c r="G9" i="39" s="1"/>
  <c r="H108" i="2"/>
  <c r="H9" i="39" s="1"/>
  <c r="I108" i="2"/>
  <c r="I9" i="39" s="1"/>
  <c r="J108" i="2"/>
  <c r="J9" i="39"/>
  <c r="K108" i="2"/>
  <c r="K9" i="39"/>
  <c r="L108" i="2"/>
  <c r="L9" i="39" s="1"/>
  <c r="M108" i="2"/>
  <c r="M9" i="39" s="1"/>
  <c r="Q108" i="2"/>
  <c r="Q9" i="39" s="1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Q36" i="39"/>
  <c r="N36" i="39"/>
  <c r="K36" i="39"/>
  <c r="H36" i="39"/>
  <c r="E36" i="39"/>
  <c r="D36" i="39"/>
  <c r="C36" i="39"/>
  <c r="A36" i="39"/>
  <c r="P35" i="39"/>
  <c r="G35" i="39"/>
  <c r="C35" i="39"/>
  <c r="M34" i="39"/>
  <c r="K34" i="39"/>
  <c r="J34" i="39"/>
  <c r="I34" i="39"/>
  <c r="H34" i="39"/>
  <c r="F34" i="39"/>
  <c r="L33" i="39"/>
  <c r="J33" i="39"/>
  <c r="I33" i="39"/>
  <c r="H33" i="39"/>
  <c r="F33" i="39"/>
  <c r="B33" i="39"/>
  <c r="Q32" i="39"/>
  <c r="O32" i="39"/>
  <c r="K32" i="39"/>
  <c r="I32" i="39"/>
  <c r="G32" i="39"/>
  <c r="F32" i="39"/>
  <c r="E32" i="39"/>
  <c r="Q31" i="39"/>
  <c r="M31" i="39"/>
  <c r="J31" i="39"/>
  <c r="I31" i="39"/>
  <c r="P30" i="39"/>
  <c r="M30" i="39"/>
  <c r="L30" i="39"/>
  <c r="I30" i="39"/>
  <c r="F30" i="39"/>
  <c r="C30" i="39"/>
  <c r="B30" i="39"/>
  <c r="Q29" i="39"/>
  <c r="M29" i="39"/>
  <c r="K29" i="39"/>
  <c r="I29" i="39"/>
  <c r="H29" i="39"/>
  <c r="G29" i="39"/>
  <c r="F29" i="39"/>
  <c r="E29" i="39"/>
  <c r="D29" i="39"/>
  <c r="P28" i="39"/>
  <c r="N28" i="39"/>
  <c r="M28" i="39"/>
  <c r="L28" i="39"/>
  <c r="K28" i="39"/>
  <c r="I28" i="39"/>
  <c r="H28" i="39"/>
  <c r="G28" i="39"/>
  <c r="B28" i="39"/>
  <c r="O27" i="39"/>
  <c r="M27" i="39"/>
  <c r="L27" i="39"/>
  <c r="G27" i="39"/>
  <c r="B27" i="39"/>
  <c r="O26" i="39"/>
  <c r="G26" i="39"/>
  <c r="I25" i="39"/>
  <c r="H24" i="39"/>
  <c r="N23" i="39"/>
  <c r="C23" i="39"/>
  <c r="O22" i="39"/>
  <c r="D22" i="39"/>
  <c r="P20" i="39"/>
  <c r="D20" i="39"/>
  <c r="E17" i="39"/>
  <c r="M16" i="39"/>
  <c r="K16" i="39"/>
  <c r="J15" i="39"/>
  <c r="B12" i="39"/>
  <c r="N11" i="39"/>
  <c r="P10" i="39"/>
  <c r="P36" i="39"/>
  <c r="E26" i="39"/>
  <c r="P23" i="39"/>
  <c r="Q17" i="39"/>
  <c r="P15" i="39"/>
  <c r="B2" i="2"/>
  <c r="A9" i="39" s="1"/>
  <c r="B2" i="39" s="1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J36" i="39"/>
  <c r="B36" i="39"/>
  <c r="G34" i="39"/>
  <c r="J32" i="39"/>
  <c r="H32" i="39"/>
  <c r="N29" i="39"/>
  <c r="J28" i="39"/>
  <c r="O23" i="39"/>
  <c r="G23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J22" i="39"/>
  <c r="N19" i="39"/>
  <c r="F19" i="39"/>
  <c r="O18" i="39"/>
  <c r="J17" i="39"/>
  <c r="H17" i="39"/>
  <c r="B17" i="39"/>
  <c r="K28" i="6"/>
  <c r="J28" i="6"/>
  <c r="J13" i="39"/>
  <c r="D9" i="5"/>
  <c r="D10" i="5"/>
  <c r="I119" i="6"/>
  <c r="J101" i="6"/>
  <c r="J81" i="6"/>
  <c r="J61" i="6"/>
  <c r="I21" i="6"/>
  <c r="D8" i="5"/>
  <c r="D24" i="5" s="1"/>
  <c r="D20" i="5"/>
  <c r="D21" i="5"/>
  <c r="D22" i="5"/>
  <c r="D23" i="5"/>
  <c r="D11" i="5"/>
  <c r="D12" i="5"/>
  <c r="D13" i="5"/>
  <c r="D14" i="5"/>
  <c r="D44" i="5" s="1"/>
  <c r="D15" i="5"/>
  <c r="D16" i="5"/>
  <c r="D17" i="5"/>
  <c r="D18" i="5"/>
  <c r="D19" i="5"/>
  <c r="H111" i="2"/>
  <c r="H22" i="39"/>
  <c r="O111" i="41"/>
  <c r="M111" i="41"/>
  <c r="K111" i="41"/>
  <c r="G111" i="41"/>
  <c r="F111" i="41"/>
  <c r="D111" i="41"/>
  <c r="C111" i="41"/>
  <c r="B111" i="41"/>
  <c r="Q111" i="40"/>
  <c r="O111" i="40"/>
  <c r="K111" i="40"/>
  <c r="G111" i="40"/>
  <c r="F111" i="40"/>
  <c r="B111" i="40"/>
  <c r="P111" i="33"/>
  <c r="O111" i="33"/>
  <c r="M111" i="33"/>
  <c r="L111" i="33"/>
  <c r="F111" i="33"/>
  <c r="C111" i="33"/>
  <c r="Q111" i="32"/>
  <c r="O111" i="32"/>
  <c r="M111" i="32"/>
  <c r="K111" i="32"/>
  <c r="F111" i="32"/>
  <c r="D111" i="32"/>
  <c r="O111" i="31"/>
  <c r="N111" i="31"/>
  <c r="L111" i="31"/>
  <c r="F111" i="31"/>
  <c r="E111" i="31"/>
  <c r="D111" i="31"/>
  <c r="B111" i="31"/>
  <c r="O111" i="30"/>
  <c r="N111" i="30"/>
  <c r="M111" i="30"/>
  <c r="D111" i="30"/>
  <c r="B111" i="30"/>
  <c r="P111" i="29"/>
  <c r="N111" i="29"/>
  <c r="E111" i="29"/>
  <c r="D111" i="29"/>
  <c r="C111" i="29"/>
  <c r="B111" i="29"/>
  <c r="O111" i="28"/>
  <c r="N111" i="28"/>
  <c r="M111" i="28"/>
  <c r="L111" i="28"/>
  <c r="G111" i="28"/>
  <c r="E111" i="28"/>
  <c r="P111" i="27"/>
  <c r="N111" i="27"/>
  <c r="M111" i="27"/>
  <c r="E111" i="27"/>
  <c r="N111" i="26"/>
  <c r="L111" i="26"/>
  <c r="K111" i="26"/>
  <c r="P111" i="24"/>
  <c r="O111" i="24"/>
  <c r="M111" i="24"/>
  <c r="L111" i="24"/>
  <c r="Q111" i="24"/>
  <c r="F111" i="24"/>
  <c r="E111" i="24"/>
  <c r="D111" i="24"/>
  <c r="B111" i="24"/>
  <c r="P111" i="23"/>
  <c r="M111" i="23"/>
  <c r="K111" i="23"/>
  <c r="H111" i="23"/>
  <c r="E111" i="23"/>
  <c r="D111" i="23"/>
  <c r="C111" i="23"/>
  <c r="B111" i="23"/>
  <c r="P111" i="22"/>
  <c r="M111" i="22"/>
  <c r="K111" i="22"/>
  <c r="E111" i="22"/>
  <c r="D111" i="22"/>
  <c r="C111" i="22"/>
  <c r="Q111" i="21"/>
  <c r="N111" i="21"/>
  <c r="G111" i="21"/>
  <c r="E111" i="21"/>
  <c r="C111" i="21"/>
  <c r="O111" i="20"/>
  <c r="Q112" i="20"/>
  <c r="M111" i="20"/>
  <c r="L111" i="20"/>
  <c r="K111" i="20"/>
  <c r="G111" i="20"/>
  <c r="D111" i="20"/>
  <c r="B111" i="20"/>
  <c r="P111" i="19"/>
  <c r="N111" i="19"/>
  <c r="L111" i="19"/>
  <c r="H111" i="19"/>
  <c r="G111" i="19"/>
  <c r="F111" i="19"/>
  <c r="B111" i="19"/>
  <c r="Q111" i="18"/>
  <c r="N111" i="18"/>
  <c r="L111" i="18"/>
  <c r="I111" i="18"/>
  <c r="F111" i="18"/>
  <c r="E111" i="18"/>
  <c r="D111" i="18"/>
  <c r="O111" i="17"/>
  <c r="B111" i="17"/>
  <c r="O111" i="16"/>
  <c r="N111" i="16"/>
  <c r="L111" i="16"/>
  <c r="F111" i="16"/>
  <c r="E111" i="16"/>
  <c r="D111" i="16"/>
  <c r="P111" i="15"/>
  <c r="O111" i="15"/>
  <c r="M111" i="15"/>
  <c r="K111" i="15"/>
  <c r="J111" i="15"/>
  <c r="E111" i="15"/>
  <c r="D111" i="15"/>
  <c r="B111" i="15"/>
  <c r="P111" i="14"/>
  <c r="N111" i="14"/>
  <c r="M111" i="14"/>
  <c r="G111" i="14"/>
  <c r="E111" i="14"/>
  <c r="C111" i="14"/>
  <c r="Q111" i="13"/>
  <c r="N111" i="13"/>
  <c r="L111" i="13"/>
  <c r="K111" i="13"/>
  <c r="F111" i="13"/>
  <c r="C111" i="13"/>
  <c r="Q111" i="12"/>
  <c r="N111" i="12"/>
  <c r="L111" i="12"/>
  <c r="E111" i="12"/>
  <c r="C111" i="12"/>
  <c r="B111" i="12"/>
  <c r="O111" i="11"/>
  <c r="N111" i="11"/>
  <c r="M111" i="11"/>
  <c r="K111" i="11"/>
  <c r="E111" i="11"/>
  <c r="P111" i="10"/>
  <c r="N111" i="10"/>
  <c r="K111" i="10"/>
  <c r="G111" i="10"/>
  <c r="B111" i="10"/>
  <c r="P111" i="9"/>
  <c r="N111" i="9"/>
  <c r="M111" i="9"/>
  <c r="E111" i="9"/>
  <c r="C111" i="9"/>
  <c r="M111" i="8"/>
  <c r="E111" i="8"/>
  <c r="D111" i="8"/>
  <c r="C111" i="8"/>
  <c r="Q111" i="3"/>
  <c r="P111" i="3"/>
  <c r="O111" i="3"/>
  <c r="H111" i="3"/>
  <c r="G111" i="3"/>
  <c r="C112" i="30"/>
  <c r="C112" i="17"/>
  <c r="D112" i="3"/>
  <c r="M111" i="2"/>
  <c r="K112" i="2"/>
  <c r="G111" i="2"/>
  <c r="D111" i="2"/>
  <c r="L112" i="10"/>
  <c r="M112" i="10"/>
  <c r="E111" i="10"/>
  <c r="L111" i="9"/>
  <c r="E112" i="2"/>
  <c r="C112" i="2"/>
  <c r="N111" i="2"/>
  <c r="B111" i="3"/>
  <c r="N112" i="3"/>
  <c r="I112" i="2"/>
  <c r="L111" i="2"/>
  <c r="I111" i="3"/>
  <c r="F112" i="3"/>
  <c r="M111" i="3"/>
  <c r="E112" i="3"/>
  <c r="J111" i="10"/>
  <c r="I112" i="9"/>
  <c r="H112" i="9"/>
  <c r="J112" i="8"/>
  <c r="P111" i="8"/>
  <c r="L111" i="8"/>
  <c r="B111" i="8"/>
  <c r="I112" i="8"/>
  <c r="H112" i="8"/>
  <c r="G112" i="8"/>
  <c r="F112" i="8"/>
  <c r="N111" i="8"/>
  <c r="J111" i="13"/>
  <c r="I112" i="13"/>
  <c r="F112" i="12"/>
  <c r="H112" i="12"/>
  <c r="O112" i="12"/>
  <c r="J112" i="11"/>
  <c r="Q112" i="11"/>
  <c r="P111" i="11"/>
  <c r="G111" i="11"/>
  <c r="I112" i="11"/>
  <c r="D111" i="11"/>
  <c r="C111" i="11"/>
  <c r="C111" i="16"/>
  <c r="I112" i="16"/>
  <c r="P111" i="16"/>
  <c r="Q112" i="16"/>
  <c r="Q112" i="15"/>
  <c r="B112" i="14"/>
  <c r="J112" i="14"/>
  <c r="Q111" i="17"/>
  <c r="J112" i="18"/>
  <c r="J111" i="17"/>
  <c r="I112" i="17"/>
  <c r="N112" i="17"/>
  <c r="L112" i="17"/>
  <c r="M111" i="17"/>
  <c r="F112" i="17"/>
  <c r="D112" i="17"/>
  <c r="I112" i="20"/>
  <c r="Q111" i="19"/>
  <c r="J112" i="19"/>
  <c r="E112" i="19"/>
  <c r="M112" i="19"/>
  <c r="C112" i="19"/>
  <c r="P112" i="25"/>
  <c r="N112" i="25"/>
  <c r="J111" i="25"/>
  <c r="H112" i="25"/>
  <c r="F111" i="25"/>
  <c r="B111" i="25"/>
  <c r="Q112" i="25"/>
  <c r="D111" i="25"/>
  <c r="K112" i="25"/>
  <c r="I112" i="25"/>
  <c r="J112" i="24"/>
  <c r="I111" i="24"/>
  <c r="J111" i="23"/>
  <c r="Q111" i="23"/>
  <c r="O111" i="23"/>
  <c r="G112" i="23"/>
  <c r="J111" i="22"/>
  <c r="H111" i="22"/>
  <c r="Q112" i="22"/>
  <c r="J112" i="21"/>
  <c r="H112" i="21"/>
  <c r="P112" i="21"/>
  <c r="D112" i="27"/>
  <c r="C112" i="27"/>
  <c r="Q111" i="27"/>
  <c r="Q112" i="26"/>
  <c r="G111" i="26"/>
  <c r="O111" i="27"/>
  <c r="K111" i="27"/>
  <c r="J111" i="27"/>
  <c r="I111" i="32"/>
  <c r="B112" i="32"/>
  <c r="J112" i="32"/>
  <c r="H112" i="32"/>
  <c r="I112" i="31"/>
  <c r="Q112" i="31"/>
  <c r="G111" i="31"/>
  <c r="P111" i="31"/>
  <c r="H111" i="30"/>
  <c r="I111" i="30"/>
  <c r="J111" i="29"/>
  <c r="I111" i="29"/>
  <c r="H111" i="29"/>
  <c r="O111" i="29"/>
  <c r="G112" i="29"/>
  <c r="I111" i="28"/>
  <c r="B111" i="28"/>
  <c r="J112" i="40"/>
  <c r="H112" i="40"/>
  <c r="I112" i="40"/>
  <c r="D111" i="40"/>
  <c r="G111" i="33"/>
  <c r="J111" i="33"/>
  <c r="J111" i="41"/>
  <c r="H111" i="41"/>
  <c r="Q112" i="41"/>
  <c r="P111" i="2"/>
  <c r="B111" i="2"/>
  <c r="J112" i="3"/>
  <c r="L112" i="3"/>
  <c r="C112" i="3"/>
  <c r="K112" i="8"/>
  <c r="Q112" i="8"/>
  <c r="F112" i="9"/>
  <c r="Q112" i="9"/>
  <c r="D112" i="9"/>
  <c r="O111" i="9"/>
  <c r="D111" i="10"/>
  <c r="O112" i="10"/>
  <c r="H111" i="10"/>
  <c r="M112" i="12"/>
  <c r="K112" i="12"/>
  <c r="D112" i="13"/>
  <c r="O112" i="13"/>
  <c r="B112" i="13"/>
  <c r="M112" i="13"/>
  <c r="H111" i="13"/>
  <c r="F112" i="14"/>
  <c r="D111" i="14"/>
  <c r="O112" i="14"/>
  <c r="L112" i="15"/>
  <c r="G112" i="15"/>
  <c r="H112" i="15"/>
  <c r="H112" i="16"/>
  <c r="B111" i="16"/>
  <c r="M111" i="16"/>
  <c r="K111" i="16"/>
  <c r="M112" i="18"/>
  <c r="C112" i="18"/>
  <c r="K112" i="19"/>
  <c r="C111" i="20"/>
  <c r="H111" i="20"/>
  <c r="N112" i="20"/>
  <c r="F111" i="21"/>
  <c r="D112" i="21"/>
  <c r="O111" i="21"/>
  <c r="I112" i="21"/>
  <c r="L112" i="22"/>
  <c r="F112" i="22"/>
  <c r="G112" i="22"/>
  <c r="F112" i="23"/>
  <c r="G111" i="24"/>
  <c r="O112" i="26"/>
  <c r="M112" i="26"/>
  <c r="F111" i="27"/>
  <c r="P112" i="28"/>
  <c r="F112" i="29"/>
  <c r="Q112" i="29"/>
  <c r="K111" i="30"/>
  <c r="M112" i="31"/>
  <c r="H111" i="31"/>
  <c r="K112" i="31"/>
  <c r="J112" i="31"/>
  <c r="E112" i="32"/>
  <c r="P111" i="32"/>
  <c r="C112" i="32"/>
  <c r="N112" i="32"/>
  <c r="K112" i="33"/>
  <c r="C111" i="26"/>
  <c r="D111" i="26"/>
  <c r="B111" i="26"/>
  <c r="J112" i="26"/>
  <c r="I111" i="26"/>
  <c r="E111" i="26"/>
  <c r="C112" i="25"/>
  <c r="Q111" i="14"/>
  <c r="I112" i="14"/>
  <c r="B112" i="9"/>
  <c r="Q112" i="10"/>
  <c r="F112" i="11"/>
  <c r="K112" i="14"/>
  <c r="P112" i="17"/>
  <c r="C112" i="24"/>
  <c r="L112" i="29"/>
  <c r="C112" i="40"/>
  <c r="K111" i="3"/>
  <c r="F112" i="2"/>
  <c r="J112" i="16"/>
  <c r="I111" i="19"/>
  <c r="G111" i="27"/>
  <c r="G112" i="13"/>
  <c r="B112" i="21"/>
  <c r="B112" i="22"/>
  <c r="N112" i="22"/>
  <c r="N112" i="23"/>
  <c r="K112" i="28"/>
  <c r="G111" i="30"/>
  <c r="L112" i="32"/>
  <c r="B112" i="33"/>
  <c r="N112" i="33"/>
  <c r="N112" i="41"/>
  <c r="I112" i="10"/>
  <c r="J111" i="12"/>
  <c r="H111" i="14"/>
  <c r="H111" i="24"/>
  <c r="G111" i="25"/>
  <c r="O111" i="25"/>
  <c r="H111" i="26"/>
  <c r="J112" i="28"/>
  <c r="F112" i="10"/>
  <c r="G112" i="12"/>
  <c r="G112" i="16"/>
  <c r="O112" i="18"/>
  <c r="N112" i="24"/>
  <c r="F111" i="15"/>
  <c r="E111" i="17"/>
  <c r="G112" i="18"/>
  <c r="J112" i="2"/>
  <c r="H112" i="28"/>
  <c r="E111" i="13"/>
  <c r="L111" i="27"/>
  <c r="P111" i="13"/>
  <c r="K112" i="21"/>
  <c r="F112" i="28"/>
  <c r="Q112" i="28"/>
  <c r="E112" i="30"/>
  <c r="P112" i="30"/>
  <c r="L112" i="41"/>
  <c r="O112" i="8"/>
  <c r="J112" i="9"/>
  <c r="I111" i="12"/>
  <c r="I112" i="15"/>
  <c r="I111" i="23"/>
  <c r="E111" i="25"/>
  <c r="M112" i="25"/>
  <c r="F112" i="26"/>
  <c r="N112" i="40" l="1"/>
  <c r="L111" i="40"/>
  <c r="M111" i="40"/>
  <c r="H112" i="33"/>
  <c r="G112" i="32"/>
  <c r="C111" i="31"/>
  <c r="C111" i="28"/>
  <c r="D111" i="28"/>
  <c r="B111" i="27"/>
  <c r="P111" i="26"/>
  <c r="O112" i="22"/>
  <c r="L111" i="21"/>
  <c r="F111" i="20"/>
  <c r="B112" i="18"/>
  <c r="K111" i="18"/>
  <c r="K112" i="17"/>
  <c r="L111" i="14"/>
  <c r="B112" i="11"/>
  <c r="H112" i="11"/>
  <c r="L111" i="11"/>
  <c r="C111" i="10"/>
  <c r="J42" i="39"/>
  <c r="K111" i="9"/>
  <c r="K42" i="39"/>
  <c r="G111" i="9"/>
  <c r="K44" i="39"/>
  <c r="K47" i="39"/>
  <c r="J43" i="39"/>
  <c r="K43" i="39"/>
  <c r="K41" i="39"/>
  <c r="E44" i="39"/>
  <c r="E41" i="39"/>
  <c r="E43" i="39"/>
  <c r="E42" i="39"/>
  <c r="N44" i="39"/>
  <c r="N43" i="39"/>
  <c r="N41" i="39"/>
  <c r="N42" i="39"/>
  <c r="D43" i="39"/>
  <c r="D42" i="39"/>
  <c r="D41" i="39"/>
  <c r="D44" i="39"/>
  <c r="C42" i="39"/>
  <c r="C44" i="39"/>
  <c r="C41" i="39"/>
  <c r="C43" i="39"/>
  <c r="B42" i="39"/>
  <c r="B41" i="39"/>
  <c r="B43" i="39"/>
  <c r="B44" i="39"/>
  <c r="F44" i="39"/>
  <c r="F42" i="39"/>
  <c r="F41" i="39"/>
  <c r="F43" i="39"/>
  <c r="Q43" i="39"/>
  <c r="Q41" i="39"/>
  <c r="Q42" i="39"/>
  <c r="Q44" i="39"/>
  <c r="M43" i="39"/>
  <c r="M44" i="39"/>
  <c r="M41" i="39"/>
  <c r="M42" i="39"/>
  <c r="L42" i="39"/>
  <c r="L43" i="39"/>
  <c r="L44" i="39"/>
  <c r="L41" i="39"/>
  <c r="O42" i="39"/>
  <c r="O41" i="39"/>
  <c r="O44" i="39"/>
  <c r="O43" i="39"/>
  <c r="I43" i="39"/>
  <c r="I44" i="39"/>
  <c r="I41" i="39"/>
  <c r="I42" i="39"/>
  <c r="H42" i="39"/>
  <c r="H44" i="39"/>
  <c r="H43" i="39"/>
  <c r="H41" i="39"/>
  <c r="G41" i="39"/>
  <c r="G43" i="39"/>
  <c r="G42" i="39"/>
  <c r="G44" i="39"/>
  <c r="P44" i="39"/>
  <c r="P43" i="39"/>
  <c r="P42" i="39"/>
  <c r="P41" i="39"/>
  <c r="I111" i="22"/>
  <c r="D111" i="12"/>
  <c r="D111" i="19"/>
  <c r="Q112" i="30"/>
  <c r="Q112" i="33"/>
  <c r="F111" i="30"/>
  <c r="K111" i="29"/>
  <c r="P111" i="12"/>
  <c r="C111" i="15"/>
  <c r="G111" i="17"/>
  <c r="E111" i="40"/>
  <c r="E112" i="20"/>
  <c r="P111" i="41"/>
  <c r="L111" i="25"/>
  <c r="H111" i="17"/>
  <c r="O111" i="19"/>
  <c r="E111" i="33"/>
  <c r="M112" i="21"/>
  <c r="J44" i="39"/>
  <c r="N112" i="15"/>
  <c r="H112" i="18"/>
  <c r="P112" i="18"/>
  <c r="P112" i="20"/>
  <c r="L111" i="23"/>
  <c r="K112" i="24"/>
  <c r="H112" i="27"/>
  <c r="P112" i="40"/>
  <c r="E112" i="41"/>
  <c r="J111" i="20"/>
  <c r="I112" i="33"/>
  <c r="I111" i="41"/>
  <c r="J41" i="39"/>
  <c r="K46" i="39" l="1"/>
  <c r="D47" i="39"/>
  <c r="D46" i="39"/>
  <c r="L47" i="39"/>
  <c r="L46" i="39"/>
  <c r="H46" i="39"/>
  <c r="H47" i="39"/>
  <c r="I47" i="39"/>
  <c r="I46" i="39"/>
  <c r="B47" i="39"/>
  <c r="B46" i="39"/>
  <c r="N46" i="39"/>
  <c r="N47" i="39"/>
  <c r="F47" i="39"/>
  <c r="F46" i="39"/>
  <c r="J46" i="39"/>
  <c r="J47" i="39"/>
  <c r="P47" i="39"/>
  <c r="P46" i="39"/>
  <c r="O47" i="39"/>
  <c r="O46" i="39"/>
  <c r="C46" i="39"/>
  <c r="C47" i="39"/>
  <c r="M46" i="39"/>
  <c r="M47" i="39"/>
  <c r="G47" i="39"/>
  <c r="G46" i="39"/>
  <c r="Q47" i="39"/>
  <c r="Q46" i="39"/>
  <c r="E46" i="39"/>
  <c r="E47" i="39"/>
</calcChain>
</file>

<file path=xl/sharedStrings.xml><?xml version="1.0" encoding="utf-8"?>
<sst xmlns="http://schemas.openxmlformats.org/spreadsheetml/2006/main" count="5852" uniqueCount="3226">
  <si>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</si>
  <si>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</si>
  <si>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</si>
  <si>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</si>
  <si>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</si>
  <si>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</si>
  <si>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</si>
  <si>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</si>
  <si>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</si>
  <si>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</si>
  <si>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</si>
  <si>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</si>
  <si>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</si>
  <si>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</si>
  <si>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</si>
  <si>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</si>
  <si>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</si>
  <si>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</si>
  <si>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</si>
  <si>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</si>
  <si>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</si>
  <si>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</si>
  <si>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</si>
  <si>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</si>
  <si>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</si>
  <si>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</si>
  <si>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</si>
  <si>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</si>
  <si>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</si>
  <si>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</si>
  <si>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</si>
  <si>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</si>
  <si>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</si>
  <si>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</si>
  <si>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</si>
  <si>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</si>
  <si>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</si>
  <si>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</si>
  <si>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</si>
  <si>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</si>
  <si>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</si>
  <si>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</si>
  <si>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</si>
  <si>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</si>
  <si>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</si>
  <si>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</si>
  <si>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</si>
  <si>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</si>
  <si>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</si>
  <si>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</si>
  <si>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</si>
  <si>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</si>
  <si>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</si>
  <si>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</si>
  <si>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</si>
  <si>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</si>
  <si>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</si>
  <si>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</si>
  <si>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</si>
  <si>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</si>
  <si>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</si>
  <si>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</si>
  <si>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</si>
  <si>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</si>
  <si>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</si>
  <si>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</si>
  <si>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</si>
  <si>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</si>
  <si>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</si>
  <si>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</si>
  <si>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</si>
  <si>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</si>
  <si>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</si>
  <si>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</si>
  <si>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</si>
  <si>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</si>
  <si>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</si>
  <si>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</si>
  <si>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</si>
  <si>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</si>
  <si>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</si>
  <si>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</si>
  <si>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</si>
  <si>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</si>
  <si>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</si>
  <si>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</si>
  <si>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</si>
  <si>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</si>
  <si>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</si>
  <si>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</si>
  <si>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</si>
  <si>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</si>
  <si>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</si>
  <si>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</si>
  <si>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</si>
  <si>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</si>
  <si>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</si>
  <si>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</si>
  <si>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</si>
  <si>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</si>
  <si>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</si>
  <si>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</si>
  <si>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</si>
  <si>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</si>
  <si>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</si>
  <si>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</si>
  <si>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</si>
  <si>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</si>
  <si>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</si>
  <si>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</si>
  <si>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</si>
  <si>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</si>
  <si>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</si>
  <si>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</si>
  <si>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</si>
  <si>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</si>
  <si>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</si>
  <si>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</si>
  <si>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</si>
  <si>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</si>
  <si>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</si>
  <si>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</si>
  <si>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</si>
  <si>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</si>
  <si>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</si>
  <si>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</si>
  <si>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</si>
  <si>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</si>
  <si>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</si>
  <si>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</si>
  <si>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</si>
  <si>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</si>
  <si>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</si>
  <si>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</si>
  <si>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</si>
  <si>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</si>
  <si>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</si>
  <si>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</si>
  <si>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</si>
  <si>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</si>
  <si>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</si>
  <si>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</si>
  <si>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</si>
  <si>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</si>
  <si>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</si>
  <si>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</si>
  <si>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</si>
  <si>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</si>
  <si>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</si>
  <si>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</si>
  <si>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</si>
  <si>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</si>
  <si>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</si>
  <si>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</si>
  <si>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</si>
  <si>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</si>
  <si>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</si>
  <si>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</si>
  <si>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</si>
  <si>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</si>
  <si>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</si>
  <si>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</si>
  <si>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</si>
  <si>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</si>
  <si>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</si>
  <si>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</si>
  <si>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</si>
  <si>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</si>
  <si>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</si>
  <si>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</si>
  <si>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</si>
  <si>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</si>
  <si>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</si>
  <si>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</si>
  <si>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</si>
  <si>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</si>
  <si>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</si>
  <si>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</si>
  <si>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</si>
  <si>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</si>
  <si>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</si>
  <si>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</si>
  <si>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</si>
  <si>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</si>
  <si>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</si>
  <si>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</si>
  <si>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</si>
  <si>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</si>
  <si>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</si>
  <si>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</si>
  <si>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</si>
  <si>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</si>
  <si>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</si>
  <si>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</si>
  <si>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</si>
  <si>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</si>
  <si>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</si>
  <si>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</si>
  <si>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</si>
  <si>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</si>
  <si>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</si>
  <si>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</si>
  <si>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</si>
  <si>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</si>
  <si>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</si>
  <si>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</si>
  <si>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</si>
  <si>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</si>
  <si>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</si>
  <si>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</si>
  <si>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</si>
  <si>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</si>
  <si>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</si>
  <si>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</si>
  <si>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</si>
  <si>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SR</t>
  </si>
  <si>
    <t>RK</t>
  </si>
  <si>
    <t>4mv</t>
  </si>
  <si>
    <t>ON</t>
  </si>
  <si>
    <t>OFF</t>
  </si>
  <si>
    <t>MUX signal Report REPORT OF KUNJEMURA, RAIGARH MONTH OF</t>
  </si>
  <si>
    <t>pm 10</t>
  </si>
  <si>
    <t>rahul</t>
  </si>
  <si>
    <t>RAHUL</t>
  </si>
  <si>
    <t>ppb</t>
  </si>
  <si>
    <t>806 ug/cm2</t>
  </si>
  <si>
    <t>840 ug/cm2</t>
  </si>
  <si>
    <t>POWER OFF REPORT OF SILTARA,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</si>
  <si>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</si>
  <si>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</si>
  <si>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</si>
  <si>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</si>
  <si>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</si>
  <si>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</si>
  <si>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</si>
  <si>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</si>
  <si>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</si>
  <si>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</si>
  <si>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</si>
  <si>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</si>
  <si>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</si>
  <si>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</si>
  <si>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</si>
  <si>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</si>
  <si>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</si>
  <si>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01/08/2025 - 31/08/2025</t>
  </si>
  <si>
    <t>animesh</t>
  </si>
  <si>
    <t>01/08/2025 00:15</t>
  </si>
  <si>
    <t>01/08/2025 00:30</t>
  </si>
  <si>
    <t>01/08/2025 00:45</t>
  </si>
  <si>
    <t>01/08/2025 01:00</t>
  </si>
  <si>
    <t>01/08/2025 01:15</t>
  </si>
  <si>
    <t>01/08/2025 01:30</t>
  </si>
  <si>
    <t>01/08/2025 01:45</t>
  </si>
  <si>
    <t>01/08/2025 02:00</t>
  </si>
  <si>
    <t>01/08/2025 02:15</t>
  </si>
  <si>
    <t>01/08/2025 02:30</t>
  </si>
  <si>
    <t>01/08/2025 02:45</t>
  </si>
  <si>
    <t>01/08/2025 03:00</t>
  </si>
  <si>
    <t>01/08/2025 03:15</t>
  </si>
  <si>
    <t>01/08/2025 03:30</t>
  </si>
  <si>
    <t>01/08/2025 03:45</t>
  </si>
  <si>
    <t>01/08/2025 04:00</t>
  </si>
  <si>
    <t>01/08/2025 04:15</t>
  </si>
  <si>
    <t>01/08/2025 04:30</t>
  </si>
  <si>
    <t>01/08/2025 04:45</t>
  </si>
  <si>
    <t>01/08/2025 05:00</t>
  </si>
  <si>
    <t>01/08/2025 05:15</t>
  </si>
  <si>
    <t>01/08/2025 05:30</t>
  </si>
  <si>
    <t>01/08/2025 05:45</t>
  </si>
  <si>
    <t>01/08/2025 06:00</t>
  </si>
  <si>
    <t>01/08/2025 06:15</t>
  </si>
  <si>
    <t>01/08/2025 06:30</t>
  </si>
  <si>
    <t>01/08/2025 06:45</t>
  </si>
  <si>
    <t>01/08/2025 07:00</t>
  </si>
  <si>
    <t>01/08/2025 07:15</t>
  </si>
  <si>
    <t>01/08/2025 07:30</t>
  </si>
  <si>
    <t>01/08/2025 07:45</t>
  </si>
  <si>
    <t>01/08/2025 08:00</t>
  </si>
  <si>
    <t>01/08/2025 08:15</t>
  </si>
  <si>
    <t>01/08/2025 08:30</t>
  </si>
  <si>
    <t>01/08/2025 08:45</t>
  </si>
  <si>
    <t>01/08/2025 09:00</t>
  </si>
  <si>
    <t>01/08/2025 09:15</t>
  </si>
  <si>
    <t>01/08/2025 09:30</t>
  </si>
  <si>
    <t>01/08/2025 09:45</t>
  </si>
  <si>
    <t>01/08/2025 10:00</t>
  </si>
  <si>
    <t>01/08/2025 10:15</t>
  </si>
  <si>
    <t>01/08/2025 10:30</t>
  </si>
  <si>
    <t>01/08/2025 10:45</t>
  </si>
  <si>
    <t>01/08/2025 11:00</t>
  </si>
  <si>
    <t>01/08/2025 11:15</t>
  </si>
  <si>
    <t>01/08/2025 11:30</t>
  </si>
  <si>
    <t>01/08/2025 11:45</t>
  </si>
  <si>
    <t>01/08/2025 12:00</t>
  </si>
  <si>
    <t>01/08/2025 12:15</t>
  </si>
  <si>
    <t>01/08/2025 12:30</t>
  </si>
  <si>
    <t>01/08/2025 12:45</t>
  </si>
  <si>
    <t>01/08/2025 13:00</t>
  </si>
  <si>
    <t>01/08/2025 13:15</t>
  </si>
  <si>
    <t>01/08/2025 13:30</t>
  </si>
  <si>
    <t>01/08/2025 13:45</t>
  </si>
  <si>
    <t>01/08/2025 14:00</t>
  </si>
  <si>
    <t>01/08/2025 14:15</t>
  </si>
  <si>
    <t>01/08/2025 14:30</t>
  </si>
  <si>
    <t>01/08/2025 14:45</t>
  </si>
  <si>
    <t>01/08/2025 15:00</t>
  </si>
  <si>
    <t>01/08/2025 15:15</t>
  </si>
  <si>
    <t>01/08/2025 15:30</t>
  </si>
  <si>
    <t>01/08/2025 15:45</t>
  </si>
  <si>
    <t>01/08/2025 16:00</t>
  </si>
  <si>
    <t>01/08/2025 16:15</t>
  </si>
  <si>
    <t>01/08/2025 16:30</t>
  </si>
  <si>
    <t>01/08/2025 16:45</t>
  </si>
  <si>
    <t>01/08/2025 17:00</t>
  </si>
  <si>
    <t>01/08/2025 17:15</t>
  </si>
  <si>
    <t>01/08/2025 17:30</t>
  </si>
  <si>
    <t>01/08/2025 17:45</t>
  </si>
  <si>
    <t>01/08/2025 18:00</t>
  </si>
  <si>
    <t>01/08/2025 18:15</t>
  </si>
  <si>
    <t>01/08/2025 18:30</t>
  </si>
  <si>
    <t>01/08/2025 18:45</t>
  </si>
  <si>
    <t>01/08/2025 19:00</t>
  </si>
  <si>
    <t>01/08/2025 19:15</t>
  </si>
  <si>
    <t>01/08/2025 19:30</t>
  </si>
  <si>
    <t>01/08/2025 19:45</t>
  </si>
  <si>
    <t>01/08/2025 20:00</t>
  </si>
  <si>
    <t>01/08/2025 20:15</t>
  </si>
  <si>
    <t>01/08/2025 20:30</t>
  </si>
  <si>
    <t>01/08/2025 20:45</t>
  </si>
  <si>
    <t>01/08/2025 21:00</t>
  </si>
  <si>
    <t>01/08/2025 21:15</t>
  </si>
  <si>
    <t>01/08/2025 21:30</t>
  </si>
  <si>
    <t>01/08/2025 21:45</t>
  </si>
  <si>
    <t>01/08/2025 22:00</t>
  </si>
  <si>
    <t>01/08/2025 22:15</t>
  </si>
  <si>
    <t>01/08/2025 22:30</t>
  </si>
  <si>
    <t>01/08/2025 22:45</t>
  </si>
  <si>
    <t>01/08/2025 23:00</t>
  </si>
  <si>
    <t>01/08/2025 23:15</t>
  </si>
  <si>
    <t>01/08/2025 23:30</t>
  </si>
  <si>
    <t>01/08/2025 23:45</t>
  </si>
  <si>
    <t>01/08/2025 24:00</t>
  </si>
  <si>
    <t>02/08/2025 00:15</t>
  </si>
  <si>
    <t>02/08/2025 00:30</t>
  </si>
  <si>
    <t>02/08/2025 00:45</t>
  </si>
  <si>
    <t>02/08/2025 01:00</t>
  </si>
  <si>
    <t>02/08/2025 01:15</t>
  </si>
  <si>
    <t>02/08/2025 01:30</t>
  </si>
  <si>
    <t>02/08/2025 01:45</t>
  </si>
  <si>
    <t>02/08/2025 02:00</t>
  </si>
  <si>
    <t>02/08/2025 02:15</t>
  </si>
  <si>
    <t>02/08/2025 02:30</t>
  </si>
  <si>
    <t>02/08/2025 02:45</t>
  </si>
  <si>
    <t>02/08/2025 03:00</t>
  </si>
  <si>
    <t>02/08/2025 03:15</t>
  </si>
  <si>
    <t>02/08/2025 03:30</t>
  </si>
  <si>
    <t>02/08/2025 03:45</t>
  </si>
  <si>
    <t>02/08/2025 04:00</t>
  </si>
  <si>
    <t>02/08/2025 04:15</t>
  </si>
  <si>
    <t>02/08/2025 04:30</t>
  </si>
  <si>
    <t>02/08/2025 04:45</t>
  </si>
  <si>
    <t>02/08/2025 05:00</t>
  </si>
  <si>
    <t>02/08/2025 05:15</t>
  </si>
  <si>
    <t>02/08/2025 05:30</t>
  </si>
  <si>
    <t>02/08/2025 05:45</t>
  </si>
  <si>
    <t>02/08/2025 06:00</t>
  </si>
  <si>
    <t>02/08/2025 06:15</t>
  </si>
  <si>
    <t>02/08/2025 06:30</t>
  </si>
  <si>
    <t>02/08/2025 06:45</t>
  </si>
  <si>
    <t>02/08/2025 07:00</t>
  </si>
  <si>
    <t>02/08/2025 07:15</t>
  </si>
  <si>
    <t>02/08/2025 07:30</t>
  </si>
  <si>
    <t>02/08/2025 07:45</t>
  </si>
  <si>
    <t>02/08/2025 08:00</t>
  </si>
  <si>
    <t>02/08/2025 08:15</t>
  </si>
  <si>
    <t>02/08/2025 08:30</t>
  </si>
  <si>
    <t>02/08/2025 08:45</t>
  </si>
  <si>
    <t>02/08/2025 09:00</t>
  </si>
  <si>
    <t>02/08/2025 09:15</t>
  </si>
  <si>
    <t>02/08/2025 09:30</t>
  </si>
  <si>
    <t>02/08/2025 09:45</t>
  </si>
  <si>
    <t>02/08/2025 10:00</t>
  </si>
  <si>
    <t>02/08/2025 10:15</t>
  </si>
  <si>
    <t>02/08/2025 10:30</t>
  </si>
  <si>
    <t>02/08/2025 10:45</t>
  </si>
  <si>
    <t>02/08/2025 11:00</t>
  </si>
  <si>
    <t>02/08/2025 11:15</t>
  </si>
  <si>
    <t>02/08/2025 11:30</t>
  </si>
  <si>
    <t>02/08/2025 11:45</t>
  </si>
  <si>
    <t>02/08/2025 12:00</t>
  </si>
  <si>
    <t>02/08/2025 12:15</t>
  </si>
  <si>
    <t>02/08/2025 12:30</t>
  </si>
  <si>
    <t>02/08/2025 12:45</t>
  </si>
  <si>
    <t>02/08/2025 13:00</t>
  </si>
  <si>
    <t>02/08/2025 13:15</t>
  </si>
  <si>
    <t>02/08/2025 13:30</t>
  </si>
  <si>
    <t>02/08/2025 13:45</t>
  </si>
  <si>
    <t>02/08/2025 14:00</t>
  </si>
  <si>
    <t>02/08/2025 14:15</t>
  </si>
  <si>
    <t>02/08/2025 14:30</t>
  </si>
  <si>
    <t>02/08/2025 14:45</t>
  </si>
  <si>
    <t>02/08/2025 15:00</t>
  </si>
  <si>
    <t>02/08/2025 15:15</t>
  </si>
  <si>
    <t>02/08/2025 15:30</t>
  </si>
  <si>
    <t>02/08/2025 15:45</t>
  </si>
  <si>
    <t>02/08/2025 16:00</t>
  </si>
  <si>
    <t>02/08/2025 16:15</t>
  </si>
  <si>
    <t>02/08/2025 16:30</t>
  </si>
  <si>
    <t>02/08/2025 16:45</t>
  </si>
  <si>
    <t>02/08/2025 17:00</t>
  </si>
  <si>
    <t>02/08/2025 17:15</t>
  </si>
  <si>
    <t>02/08/2025 17:30</t>
  </si>
  <si>
    <t>02/08/2025 17:45</t>
  </si>
  <si>
    <t>02/08/2025 18:00</t>
  </si>
  <si>
    <t>02/08/2025 18:15</t>
  </si>
  <si>
    <t>02/08/2025 18:30</t>
  </si>
  <si>
    <t>02/08/2025 18:45</t>
  </si>
  <si>
    <t>02/08/2025 19:00</t>
  </si>
  <si>
    <t>02/08/2025 19:15</t>
  </si>
  <si>
    <t>02/08/2025 19:30</t>
  </si>
  <si>
    <t>02/08/2025 19:45</t>
  </si>
  <si>
    <t>02/08/2025 20:00</t>
  </si>
  <si>
    <t>02/08/2025 20:15</t>
  </si>
  <si>
    <t>02/08/2025 20:30</t>
  </si>
  <si>
    <t>02/08/2025 20:45</t>
  </si>
  <si>
    <t>02/08/2025 21:00</t>
  </si>
  <si>
    <t>02/08/2025 21:15</t>
  </si>
  <si>
    <t>02/08/2025 21:30</t>
  </si>
  <si>
    <t>02/08/2025 21:45</t>
  </si>
  <si>
    <t>02/08/2025 22:00</t>
  </si>
  <si>
    <t>02/08/2025 22:15</t>
  </si>
  <si>
    <t>02/08/2025 22:30</t>
  </si>
  <si>
    <t>02/08/2025 22:45</t>
  </si>
  <si>
    <t>02/08/2025 23:00</t>
  </si>
  <si>
    <t>02/08/2025 23:15</t>
  </si>
  <si>
    <t>02/08/2025 23:30</t>
  </si>
  <si>
    <t>02/08/2025 23:45</t>
  </si>
  <si>
    <t>02/08/2025 24:00</t>
  </si>
  <si>
    <t>03/08/2025 00:15</t>
  </si>
  <si>
    <t>03/08/2025 00:30</t>
  </si>
  <si>
    <t>03/08/2025 00:45</t>
  </si>
  <si>
    <t>03/08/2025 01:00</t>
  </si>
  <si>
    <t>03/08/2025 01:15</t>
  </si>
  <si>
    <t>03/08/2025 01:30</t>
  </si>
  <si>
    <t>03/08/2025 01:45</t>
  </si>
  <si>
    <t>03/08/2025 02:00</t>
  </si>
  <si>
    <t>03/08/2025 02:15</t>
  </si>
  <si>
    <t>03/08/2025 02:30</t>
  </si>
  <si>
    <t>03/08/2025 02:45</t>
  </si>
  <si>
    <t>03/08/2025 03:00</t>
  </si>
  <si>
    <t>03/08/2025 03:15</t>
  </si>
  <si>
    <t>03/08/2025 03:30</t>
  </si>
  <si>
    <t>03/08/2025 03:45</t>
  </si>
  <si>
    <t>03/08/2025 04:00</t>
  </si>
  <si>
    <t>03/08/2025 04:15</t>
  </si>
  <si>
    <t>03/08/2025 04:30</t>
  </si>
  <si>
    <t>03/08/2025 04:45</t>
  </si>
  <si>
    <t>03/08/2025 05:00</t>
  </si>
  <si>
    <t>03/08/2025 05:15</t>
  </si>
  <si>
    <t>03/08/2025 05:30</t>
  </si>
  <si>
    <t>03/08/2025 05:45</t>
  </si>
  <si>
    <t>03/08/2025 06:00</t>
  </si>
  <si>
    <t>03/08/2025 06:15</t>
  </si>
  <si>
    <t>03/08/2025 06:30</t>
  </si>
  <si>
    <t>03/08/2025 06:45</t>
  </si>
  <si>
    <t>03/08/2025 07:00</t>
  </si>
  <si>
    <t>03/08/2025 07:15</t>
  </si>
  <si>
    <t>03/08/2025 07:30</t>
  </si>
  <si>
    <t>03/08/2025 07:45</t>
  </si>
  <si>
    <t>03/08/2025 08:00</t>
  </si>
  <si>
    <t>03/08/2025 08:15</t>
  </si>
  <si>
    <t>03/08/2025 08:30</t>
  </si>
  <si>
    <t>03/08/2025 08:45</t>
  </si>
  <si>
    <t>03/08/2025 09:00</t>
  </si>
  <si>
    <t>03/08/2025 09:15</t>
  </si>
  <si>
    <t>03/08/2025 09:30</t>
  </si>
  <si>
    <t>03/08/2025 09:45</t>
  </si>
  <si>
    <t>03/08/2025 10:00</t>
  </si>
  <si>
    <t>03/08/2025 10:15</t>
  </si>
  <si>
    <t>03/08/2025 10:30</t>
  </si>
  <si>
    <t>03/08/2025 10:45</t>
  </si>
  <si>
    <t>03/08/2025 11:00</t>
  </si>
  <si>
    <t>03/08/2025 11:15</t>
  </si>
  <si>
    <t>03/08/2025 11:30</t>
  </si>
  <si>
    <t>03/08/2025 11:45</t>
  </si>
  <si>
    <t>03/08/2025 12:00</t>
  </si>
  <si>
    <t>03/08/2025 12:15</t>
  </si>
  <si>
    <t>03/08/2025 12:30</t>
  </si>
  <si>
    <t>03/08/2025 12:45</t>
  </si>
  <si>
    <t>03/08/2025 13:00</t>
  </si>
  <si>
    <t>03/08/2025 13:15</t>
  </si>
  <si>
    <t>03/08/2025 13:30</t>
  </si>
  <si>
    <t>03/08/2025 13:45</t>
  </si>
  <si>
    <t>03/08/2025 14:00</t>
  </si>
  <si>
    <t>03/08/2025 14:15</t>
  </si>
  <si>
    <t>03/08/2025 14:30</t>
  </si>
  <si>
    <t>03/08/2025 14:45</t>
  </si>
  <si>
    <t>03/08/2025 15:00</t>
  </si>
  <si>
    <t>03/08/2025 15:15</t>
  </si>
  <si>
    <t>03/08/2025 15:30</t>
  </si>
  <si>
    <t>03/08/2025 15:45</t>
  </si>
  <si>
    <t>03/08/2025 16:00</t>
  </si>
  <si>
    <t>03/08/2025 16:15</t>
  </si>
  <si>
    <t>03/08/2025 16:30</t>
  </si>
  <si>
    <t>03/08/2025 16:45</t>
  </si>
  <si>
    <t>03/08/2025 17:00</t>
  </si>
  <si>
    <t>03/08/2025 17:15</t>
  </si>
  <si>
    <t>03/08/2025 17:30</t>
  </si>
  <si>
    <t>03/08/2025 17:45</t>
  </si>
  <si>
    <t>03/08/2025 18:00</t>
  </si>
  <si>
    <t>03/08/2025 18:15</t>
  </si>
  <si>
    <t>03/08/2025 18:30</t>
  </si>
  <si>
    <t>03/08/2025 18:45</t>
  </si>
  <si>
    <t>03/08/2025 19:00</t>
  </si>
  <si>
    <t>03/08/2025 19:15</t>
  </si>
  <si>
    <t>03/08/2025 19:30</t>
  </si>
  <si>
    <t>03/08/2025 19:45</t>
  </si>
  <si>
    <t>03/08/2025 20:00</t>
  </si>
  <si>
    <t>03/08/2025 20:15</t>
  </si>
  <si>
    <t>03/08/2025 20:30</t>
  </si>
  <si>
    <t>03/08/2025 20:45</t>
  </si>
  <si>
    <t>03/08/2025 21:00</t>
  </si>
  <si>
    <t>03/08/2025 21:15</t>
  </si>
  <si>
    <t>03/08/2025 21:30</t>
  </si>
  <si>
    <t>03/08/2025 21:45</t>
  </si>
  <si>
    <t>03/08/2025 22:00</t>
  </si>
  <si>
    <t>03/08/2025 22:15</t>
  </si>
  <si>
    <t>03/08/2025 22:30</t>
  </si>
  <si>
    <t>03/08/2025 22:45</t>
  </si>
  <si>
    <t>03/08/2025 23:00</t>
  </si>
  <si>
    <t>03/08/2025 23:15</t>
  </si>
  <si>
    <t>03/08/2025 23:30</t>
  </si>
  <si>
    <t>03/08/2025 23:45</t>
  </si>
  <si>
    <t>03/08/2025 24:00</t>
  </si>
  <si>
    <t>04/08/2025 00:15</t>
  </si>
  <si>
    <t>04/08/2025 00:30</t>
  </si>
  <si>
    <t>04/08/2025 00:45</t>
  </si>
  <si>
    <t>04/08/2025 01:00</t>
  </si>
  <si>
    <t>04/08/2025 01:15</t>
  </si>
  <si>
    <t>04/08/2025 01:30</t>
  </si>
  <si>
    <t>04/08/2025 01:45</t>
  </si>
  <si>
    <t>04/08/2025 02:00</t>
  </si>
  <si>
    <t>04/08/2025 02:15</t>
  </si>
  <si>
    <t>04/08/2025 02:30</t>
  </si>
  <si>
    <t>04/08/2025 02:45</t>
  </si>
  <si>
    <t>04/08/2025 03:00</t>
  </si>
  <si>
    <t>04/08/2025 03:15</t>
  </si>
  <si>
    <t>04/08/2025 03:30</t>
  </si>
  <si>
    <t>04/08/2025 03:45</t>
  </si>
  <si>
    <t>04/08/2025 04:00</t>
  </si>
  <si>
    <t>04/08/2025 04:15</t>
  </si>
  <si>
    <t>04/08/2025 04:30</t>
  </si>
  <si>
    <t>04/08/2025 04:45</t>
  </si>
  <si>
    <t>04/08/2025 05:00</t>
  </si>
  <si>
    <t>04/08/2025 05:15</t>
  </si>
  <si>
    <t>04/08/2025 05:30</t>
  </si>
  <si>
    <t>04/08/2025 05:45</t>
  </si>
  <si>
    <t>04/08/2025 06:00</t>
  </si>
  <si>
    <t>04/08/2025 06:15</t>
  </si>
  <si>
    <t>04/08/2025 06:30</t>
  </si>
  <si>
    <t>04/08/2025 06:45</t>
  </si>
  <si>
    <t>04/08/2025 07:00</t>
  </si>
  <si>
    <t>04/08/2025 07:15</t>
  </si>
  <si>
    <t>04/08/2025 07:30</t>
  </si>
  <si>
    <t>04/08/2025 07:45</t>
  </si>
  <si>
    <t>04/08/2025 08:00</t>
  </si>
  <si>
    <t>04/08/2025 08:15</t>
  </si>
  <si>
    <t>04/08/2025 08:30</t>
  </si>
  <si>
    <t>04/08/2025 08:45</t>
  </si>
  <si>
    <t>04/08/2025 09:00</t>
  </si>
  <si>
    <t>04/08/2025 09:15</t>
  </si>
  <si>
    <t>04/08/2025 09:30</t>
  </si>
  <si>
    <t>04/08/2025 09:45</t>
  </si>
  <si>
    <t>04/08/2025 10:00</t>
  </si>
  <si>
    <t>04/08/2025 10:15</t>
  </si>
  <si>
    <t>04/08/2025 10:30</t>
  </si>
  <si>
    <t>04/08/2025 10:45</t>
  </si>
  <si>
    <t>04/08/2025 11:00</t>
  </si>
  <si>
    <t>04/08/2025 11:15</t>
  </si>
  <si>
    <t>04/08/2025 11:30</t>
  </si>
  <si>
    <t>04/08/2025 11:45</t>
  </si>
  <si>
    <t>04/08/2025 12:00</t>
  </si>
  <si>
    <t>04/08/2025 12:15</t>
  </si>
  <si>
    <t>04/08/2025 12:30</t>
  </si>
  <si>
    <t>04/08/2025 12:45</t>
  </si>
  <si>
    <t>04/08/2025 13:00</t>
  </si>
  <si>
    <t>04/08/2025 13:15</t>
  </si>
  <si>
    <t>04/08/2025 13:30</t>
  </si>
  <si>
    <t>04/08/2025 13:45</t>
  </si>
  <si>
    <t>04/08/2025 14:00</t>
  </si>
  <si>
    <t>04/08/2025 14:15</t>
  </si>
  <si>
    <t>04/08/2025 14:30</t>
  </si>
  <si>
    <t>04/08/2025 14:45</t>
  </si>
  <si>
    <t>04/08/2025 15:00</t>
  </si>
  <si>
    <t>04/08/2025 15:15</t>
  </si>
  <si>
    <t>04/08/2025 15:30</t>
  </si>
  <si>
    <t>04/08/2025 15:45</t>
  </si>
  <si>
    <t>04/08/2025 16:00</t>
  </si>
  <si>
    <t>04/08/2025 16:15</t>
  </si>
  <si>
    <t>04/08/2025 16:30</t>
  </si>
  <si>
    <t>04/08/2025 16:45</t>
  </si>
  <si>
    <t>04/08/2025 17:00</t>
  </si>
  <si>
    <t>04/08/2025 17:15</t>
  </si>
  <si>
    <t>04/08/2025 17:30</t>
  </si>
  <si>
    <t>04/08/2025 17:45</t>
  </si>
  <si>
    <t>04/08/2025 18:00</t>
  </si>
  <si>
    <t>04/08/2025 18:15</t>
  </si>
  <si>
    <t>04/08/2025 18:30</t>
  </si>
  <si>
    <t>04/08/2025 18:45</t>
  </si>
  <si>
    <t>04/08/2025 19:00</t>
  </si>
  <si>
    <t>04/08/2025 19:15</t>
  </si>
  <si>
    <t>04/08/2025 19:30</t>
  </si>
  <si>
    <t>04/08/2025 19:45</t>
  </si>
  <si>
    <t>04/08/2025 20:00</t>
  </si>
  <si>
    <t>04/08/2025 20:15</t>
  </si>
  <si>
    <t>04/08/2025 20:30</t>
  </si>
  <si>
    <t>04/08/2025 20:45</t>
  </si>
  <si>
    <t>04/08/2025 21:00</t>
  </si>
  <si>
    <t>04/08/2025 21:15</t>
  </si>
  <si>
    <t>04/08/2025 21:30</t>
  </si>
  <si>
    <t>04/08/2025 21:45</t>
  </si>
  <si>
    <t>04/08/2025 22:00</t>
  </si>
  <si>
    <t>04/08/2025 22:15</t>
  </si>
  <si>
    <t>04/08/2025 22:30</t>
  </si>
  <si>
    <t>04/08/2025 22:45</t>
  </si>
  <si>
    <t>04/08/2025 23:00</t>
  </si>
  <si>
    <t>04/08/2025 23:15</t>
  </si>
  <si>
    <t>04/08/2025 23:30</t>
  </si>
  <si>
    <t>04/08/2025 23:45</t>
  </si>
  <si>
    <t>04/08/2025 24:00</t>
  </si>
  <si>
    <t>05/08/2025 00:15</t>
  </si>
  <si>
    <t>05/08/2025 00:30</t>
  </si>
  <si>
    <t>05/08/2025 00:45</t>
  </si>
  <si>
    <t>05/08/2025 01:00</t>
  </si>
  <si>
    <t>05/08/2025 01:15</t>
  </si>
  <si>
    <t>05/08/2025 01:30</t>
  </si>
  <si>
    <t>05/08/2025 01:45</t>
  </si>
  <si>
    <t>05/08/2025 02:00</t>
  </si>
  <si>
    <t>05/08/2025 02:15</t>
  </si>
  <si>
    <t>05/08/2025 02:30</t>
  </si>
  <si>
    <t>05/08/2025 02:45</t>
  </si>
  <si>
    <t>05/08/2025 03:00</t>
  </si>
  <si>
    <t>05/08/2025 03:15</t>
  </si>
  <si>
    <t>05/08/2025 03:30</t>
  </si>
  <si>
    <t>05/08/2025 03:45</t>
  </si>
  <si>
    <t>05/08/2025 04:00</t>
  </si>
  <si>
    <t>05/08/2025 04:15</t>
  </si>
  <si>
    <t>05/08/2025 04:30</t>
  </si>
  <si>
    <t>05/08/2025 04:45</t>
  </si>
  <si>
    <t>05/08/2025 05:00</t>
  </si>
  <si>
    <t>05/08/2025 05:15</t>
  </si>
  <si>
    <t>05/08/2025 05:30</t>
  </si>
  <si>
    <t>05/08/2025 05:45</t>
  </si>
  <si>
    <t>05/08/2025 06:00</t>
  </si>
  <si>
    <t>05/08/2025 06:15</t>
  </si>
  <si>
    <t>05/08/2025 06:30</t>
  </si>
  <si>
    <t>05/08/2025 06:45</t>
  </si>
  <si>
    <t>05/08/2025 07:00</t>
  </si>
  <si>
    <t>05/08/2025 07:15</t>
  </si>
  <si>
    <t>05/08/2025 07:30</t>
  </si>
  <si>
    <t>05/08/2025 07:45</t>
  </si>
  <si>
    <t>05/08/2025 08:00</t>
  </si>
  <si>
    <t>05/08/2025 08:15</t>
  </si>
  <si>
    <t>05/08/2025 08:30</t>
  </si>
  <si>
    <t>05/08/2025 08:45</t>
  </si>
  <si>
    <t>05/08/2025 09:00</t>
  </si>
  <si>
    <t>05/08/2025 09:15</t>
  </si>
  <si>
    <t>05/08/2025 09:30</t>
  </si>
  <si>
    <t>05/08/2025 09:45</t>
  </si>
  <si>
    <t>05/08/2025 10:00</t>
  </si>
  <si>
    <t>05/08/2025 10:15</t>
  </si>
  <si>
    <t>05/08/2025 10:30</t>
  </si>
  <si>
    <t>05/08/2025 10:45</t>
  </si>
  <si>
    <t>05/08/2025 11:00</t>
  </si>
  <si>
    <t>05/08/2025 11:15</t>
  </si>
  <si>
    <t>05/08/2025 11:30</t>
  </si>
  <si>
    <t>05/08/2025 11:45</t>
  </si>
  <si>
    <t>05/08/2025 12:00</t>
  </si>
  <si>
    <t>05/08/2025 12:15</t>
  </si>
  <si>
    <t>05/08/2025 12:30</t>
  </si>
  <si>
    <t>05/08/2025 12:45</t>
  </si>
  <si>
    <t>05/08/2025 13:00</t>
  </si>
  <si>
    <t>05/08/2025 13:15</t>
  </si>
  <si>
    <t>05/08/2025 13:30</t>
  </si>
  <si>
    <t>05/08/2025 13:45</t>
  </si>
  <si>
    <t>05/08/2025 14:00</t>
  </si>
  <si>
    <t>05/08/2025 14:15</t>
  </si>
  <si>
    <t>05/08/2025 14:30</t>
  </si>
  <si>
    <t>05/08/2025 14:45</t>
  </si>
  <si>
    <t>05/08/2025 15:00</t>
  </si>
  <si>
    <t>05/08/2025 15:15</t>
  </si>
  <si>
    <t>05/08/2025 15:30</t>
  </si>
  <si>
    <t>05/08/2025 15:45</t>
  </si>
  <si>
    <t>05/08/2025 16:00</t>
  </si>
  <si>
    <t>05/08/2025 16:15</t>
  </si>
  <si>
    <t>05/08/2025 16:30</t>
  </si>
  <si>
    <t>05/08/2025 16:45</t>
  </si>
  <si>
    <t>05/08/2025 17:00</t>
  </si>
  <si>
    <t>05/08/2025 17:15</t>
  </si>
  <si>
    <t>05/08/2025 17:30</t>
  </si>
  <si>
    <t>05/08/2025 17:45</t>
  </si>
  <si>
    <t>05/08/2025 18:00</t>
  </si>
  <si>
    <t>05/08/2025 18:15</t>
  </si>
  <si>
    <t>05/08/2025 18:30</t>
  </si>
  <si>
    <t>05/08/2025 18:45</t>
  </si>
  <si>
    <t>05/08/2025 19:00</t>
  </si>
  <si>
    <t>05/08/2025 19:15</t>
  </si>
  <si>
    <t>05/08/2025 19:30</t>
  </si>
  <si>
    <t>05/08/2025 19:45</t>
  </si>
  <si>
    <t>05/08/2025 20:00</t>
  </si>
  <si>
    <t>05/08/2025 20:15</t>
  </si>
  <si>
    <t>05/08/2025 20:30</t>
  </si>
  <si>
    <t>05/08/2025 20:45</t>
  </si>
  <si>
    <t>05/08/2025 21:00</t>
  </si>
  <si>
    <t>05/08/2025 21:15</t>
  </si>
  <si>
    <t>05/08/2025 21:30</t>
  </si>
  <si>
    <t>05/08/2025 21:45</t>
  </si>
  <si>
    <t>05/08/2025 22:00</t>
  </si>
  <si>
    <t>05/08/2025 22:15</t>
  </si>
  <si>
    <t>05/08/2025 22:30</t>
  </si>
  <si>
    <t>05/08/2025 22:45</t>
  </si>
  <si>
    <t>05/08/2025 23:00</t>
  </si>
  <si>
    <t>05/08/2025 23:15</t>
  </si>
  <si>
    <t>05/08/2025 23:30</t>
  </si>
  <si>
    <t>05/08/2025 23:45</t>
  </si>
  <si>
    <t>05/08/2025 24:00</t>
  </si>
  <si>
    <t>06/08/2025 00:15</t>
  </si>
  <si>
    <t>06/08/2025 00:30</t>
  </si>
  <si>
    <t>06/08/2025 00:45</t>
  </si>
  <si>
    <t>06/08/2025 01:00</t>
  </si>
  <si>
    <t>06/08/2025 01:15</t>
  </si>
  <si>
    <t>06/08/2025 01:30</t>
  </si>
  <si>
    <t>06/08/2025 01:45</t>
  </si>
  <si>
    <t>06/08/2025 02:00</t>
  </si>
  <si>
    <t>06/08/2025 02:15</t>
  </si>
  <si>
    <t>06/08/2025 02:30</t>
  </si>
  <si>
    <t>06/08/2025 02:45</t>
  </si>
  <si>
    <t>06/08/2025 03:00</t>
  </si>
  <si>
    <t>06/08/2025 03:15</t>
  </si>
  <si>
    <t>06/08/2025 03:30</t>
  </si>
  <si>
    <t>06/08/2025 03:45</t>
  </si>
  <si>
    <t>06/08/2025 04:00</t>
  </si>
  <si>
    <t>06/08/2025 04:15</t>
  </si>
  <si>
    <t>06/08/2025 04:30</t>
  </si>
  <si>
    <t>06/08/2025 04:45</t>
  </si>
  <si>
    <t>06/08/2025 05:00</t>
  </si>
  <si>
    <t>06/08/2025 05:15</t>
  </si>
  <si>
    <t>06/08/2025 05:30</t>
  </si>
  <si>
    <t>06/08/2025 05:45</t>
  </si>
  <si>
    <t>06/08/2025 06:00</t>
  </si>
  <si>
    <t>06/08/2025 06:15</t>
  </si>
  <si>
    <t>06/08/2025 06:30</t>
  </si>
  <si>
    <t>06/08/2025 06:45</t>
  </si>
  <si>
    <t>06/08/2025 07:00</t>
  </si>
  <si>
    <t>06/08/2025 07:15</t>
  </si>
  <si>
    <t>06/08/2025 07:30</t>
  </si>
  <si>
    <t>06/08/2025 07:45</t>
  </si>
  <si>
    <t>06/08/2025 08:00</t>
  </si>
  <si>
    <t>06/08/2025 08:15</t>
  </si>
  <si>
    <t>06/08/2025 08:30</t>
  </si>
  <si>
    <t>06/08/2025 08:45</t>
  </si>
  <si>
    <t>06/08/2025 09:00</t>
  </si>
  <si>
    <t>06/08/2025 09:15</t>
  </si>
  <si>
    <t>06/08/2025 09:30</t>
  </si>
  <si>
    <t>06/08/2025 09:45</t>
  </si>
  <si>
    <t>06/08/2025 10:00</t>
  </si>
  <si>
    <t>06/08/2025 10:15</t>
  </si>
  <si>
    <t>06/08/2025 10:30</t>
  </si>
  <si>
    <t>06/08/2025 10:45</t>
  </si>
  <si>
    <t>06/08/2025 11:00</t>
  </si>
  <si>
    <t>06/08/2025 11:15</t>
  </si>
  <si>
    <t>06/08/2025 11:30</t>
  </si>
  <si>
    <t>06/08/2025 11:45</t>
  </si>
  <si>
    <t>06/08/2025 12:00</t>
  </si>
  <si>
    <t>06/08/2025 12:15</t>
  </si>
  <si>
    <t>06/08/2025 12:30</t>
  </si>
  <si>
    <t>06/08/2025 12:45</t>
  </si>
  <si>
    <t>06/08/2025 13:00</t>
  </si>
  <si>
    <t>06/08/2025 13:15</t>
  </si>
  <si>
    <t>06/08/2025 13:30</t>
  </si>
  <si>
    <t>06/08/2025 13:45</t>
  </si>
  <si>
    <t>06/08/2025 14:00</t>
  </si>
  <si>
    <t>06/08/2025 14:15</t>
  </si>
  <si>
    <t>06/08/2025 14:30</t>
  </si>
  <si>
    <t>06/08/2025 14:45</t>
  </si>
  <si>
    <t>06/08/2025 15:00</t>
  </si>
  <si>
    <t>06/08/2025 15:15</t>
  </si>
  <si>
    <t>06/08/2025 15:30</t>
  </si>
  <si>
    <t>06/08/2025 15:45</t>
  </si>
  <si>
    <t>06/08/2025 16:00</t>
  </si>
  <si>
    <t>06/08/2025 16:15</t>
  </si>
  <si>
    <t>06/08/2025 16:30</t>
  </si>
  <si>
    <t>06/08/2025 16:45</t>
  </si>
  <si>
    <t>06/08/2025 17:00</t>
  </si>
  <si>
    <t>06/08/2025 17:15</t>
  </si>
  <si>
    <t>06/08/2025 17:30</t>
  </si>
  <si>
    <t>06/08/2025 17:45</t>
  </si>
  <si>
    <t>06/08/2025 18:00</t>
  </si>
  <si>
    <t>06/08/2025 18:15</t>
  </si>
  <si>
    <t>06/08/2025 18:30</t>
  </si>
  <si>
    <t>06/08/2025 18:45</t>
  </si>
  <si>
    <t>06/08/2025 19:00</t>
  </si>
  <si>
    <t>06/08/2025 19:15</t>
  </si>
  <si>
    <t>06/08/2025 19:30</t>
  </si>
  <si>
    <t>06/08/2025 19:45</t>
  </si>
  <si>
    <t>06/08/2025 20:00</t>
  </si>
  <si>
    <t>06/08/2025 20:15</t>
  </si>
  <si>
    <t>06/08/2025 20:30</t>
  </si>
  <si>
    <t>06/08/2025 20:45</t>
  </si>
  <si>
    <t>06/08/2025 21:00</t>
  </si>
  <si>
    <t>06/08/2025 21:15</t>
  </si>
  <si>
    <t>06/08/2025 21:30</t>
  </si>
  <si>
    <t>06/08/2025 21:45</t>
  </si>
  <si>
    <t>06/08/2025 22:00</t>
  </si>
  <si>
    <t>06/08/2025 22:15</t>
  </si>
  <si>
    <t>06/08/2025 22:30</t>
  </si>
  <si>
    <t>06/08/2025 22:45</t>
  </si>
  <si>
    <t>06/08/2025 23:00</t>
  </si>
  <si>
    <t>06/08/2025 23:15</t>
  </si>
  <si>
    <t>06/08/2025 23:30</t>
  </si>
  <si>
    <t>06/08/2025 23:45</t>
  </si>
  <si>
    <t>06/08/2025 24:00</t>
  </si>
  <si>
    <t>07/08/2025 00:15</t>
  </si>
  <si>
    <t>07/08/2025 00:30</t>
  </si>
  <si>
    <t>07/08/2025 00:45</t>
  </si>
  <si>
    <t>07/08/2025 01:00</t>
  </si>
  <si>
    <t>07/08/2025 01:15</t>
  </si>
  <si>
    <t>07/08/2025 01:30</t>
  </si>
  <si>
    <t>07/08/2025 01:45</t>
  </si>
  <si>
    <t>07/08/2025 02:00</t>
  </si>
  <si>
    <t>07/08/2025 02:15</t>
  </si>
  <si>
    <t>07/08/2025 02:30</t>
  </si>
  <si>
    <t>07/08/2025 02:45</t>
  </si>
  <si>
    <t>07/08/2025 03:00</t>
  </si>
  <si>
    <t>07/08/2025 03:15</t>
  </si>
  <si>
    <t>07/08/2025 03:30</t>
  </si>
  <si>
    <t>07/08/2025 03:45</t>
  </si>
  <si>
    <t>07/08/2025 04:00</t>
  </si>
  <si>
    <t>07/08/2025 04:15</t>
  </si>
  <si>
    <t>07/08/2025 04:30</t>
  </si>
  <si>
    <t>07/08/2025 04:45</t>
  </si>
  <si>
    <t>07/08/2025 05:00</t>
  </si>
  <si>
    <t>07/08/2025 05:15</t>
  </si>
  <si>
    <t>07/08/2025 05:30</t>
  </si>
  <si>
    <t>07/08/2025 05:45</t>
  </si>
  <si>
    <t>07/08/2025 06:00</t>
  </si>
  <si>
    <t>07/08/2025 06:15</t>
  </si>
  <si>
    <t>07/08/2025 06:30</t>
  </si>
  <si>
    <t>07/08/2025 06:45</t>
  </si>
  <si>
    <t>07/08/2025 07:00</t>
  </si>
  <si>
    <t>07/08/2025 07:15</t>
  </si>
  <si>
    <t>07/08/2025 07:30</t>
  </si>
  <si>
    <t>07/08/2025 07:45</t>
  </si>
  <si>
    <t>07/08/2025 08:00</t>
  </si>
  <si>
    <t>07/08/2025 08:15</t>
  </si>
  <si>
    <t>07/08/2025 08:30</t>
  </si>
  <si>
    <t>07/08/2025 08:45</t>
  </si>
  <si>
    <t>07/08/2025 09:00</t>
  </si>
  <si>
    <t>07/08/2025 09:15</t>
  </si>
  <si>
    <t>07/08/2025 09:30</t>
  </si>
  <si>
    <t>07/08/2025 09:45</t>
  </si>
  <si>
    <t>07/08/2025 10:00</t>
  </si>
  <si>
    <t>07/08/2025 10:15</t>
  </si>
  <si>
    <t>07/08/2025 10:30</t>
  </si>
  <si>
    <t>07/08/2025 10:45</t>
  </si>
  <si>
    <t>07/08/2025 11:00</t>
  </si>
  <si>
    <t>07/08/2025 11:15</t>
  </si>
  <si>
    <t>07/08/2025 11:30</t>
  </si>
  <si>
    <t>07/08/2025 11:45</t>
  </si>
  <si>
    <t>07/08/2025 12:00</t>
  </si>
  <si>
    <t>07/08/2025 12:15</t>
  </si>
  <si>
    <t>07/08/2025 12:30</t>
  </si>
  <si>
    <t>07/08/2025 12:45</t>
  </si>
  <si>
    <t>07/08/2025 13:00</t>
  </si>
  <si>
    <t>07/08/2025 13:15</t>
  </si>
  <si>
    <t>07/08/2025 13:30</t>
  </si>
  <si>
    <t>07/08/2025 13:45</t>
  </si>
  <si>
    <t>07/08/2025 14:00</t>
  </si>
  <si>
    <t>07/08/2025 14:15</t>
  </si>
  <si>
    <t>07/08/2025 14:30</t>
  </si>
  <si>
    <t>07/08/2025 14:45</t>
  </si>
  <si>
    <t>07/08/2025 15:00</t>
  </si>
  <si>
    <t>07/08/2025 15:15</t>
  </si>
  <si>
    <t>07/08/2025 15:30</t>
  </si>
  <si>
    <t>07/08/2025 15:45</t>
  </si>
  <si>
    <t>07/08/2025 16:00</t>
  </si>
  <si>
    <t>07/08/2025 16:15</t>
  </si>
  <si>
    <t>07/08/2025 16:30</t>
  </si>
  <si>
    <t>07/08/2025 16:45</t>
  </si>
  <si>
    <t>07/08/2025 17:00</t>
  </si>
  <si>
    <t>07/08/2025 17:15</t>
  </si>
  <si>
    <t>07/08/2025 17:30</t>
  </si>
  <si>
    <t>07/08/2025 17:45</t>
  </si>
  <si>
    <t>07/08/2025 18:00</t>
  </si>
  <si>
    <t>07/08/2025 18:15</t>
  </si>
  <si>
    <t>07/08/2025 18:30</t>
  </si>
  <si>
    <t>07/08/2025 18:45</t>
  </si>
  <si>
    <t>07/08/2025 19:00</t>
  </si>
  <si>
    <t>07/08/2025 19:15</t>
  </si>
  <si>
    <t>07/08/2025 19:30</t>
  </si>
  <si>
    <t>07/08/2025 19:45</t>
  </si>
  <si>
    <t>07/08/2025 20:00</t>
  </si>
  <si>
    <t>07/08/2025 20:15</t>
  </si>
  <si>
    <t>07/08/2025 20:30</t>
  </si>
  <si>
    <t>07/08/2025 20:45</t>
  </si>
  <si>
    <t>07/08/2025 21:00</t>
  </si>
  <si>
    <t>07/08/2025 21:15</t>
  </si>
  <si>
    <t>07/08/2025 21:30</t>
  </si>
  <si>
    <t>07/08/2025 21:45</t>
  </si>
  <si>
    <t>07/08/2025 22:00</t>
  </si>
  <si>
    <t>07/08/2025 22:15</t>
  </si>
  <si>
    <t>07/08/2025 22:30</t>
  </si>
  <si>
    <t>07/08/2025 22:45</t>
  </si>
  <si>
    <t>07/08/2025 23:00</t>
  </si>
  <si>
    <t>07/08/2025 23:15</t>
  </si>
  <si>
    <t>07/08/2025 23:30</t>
  </si>
  <si>
    <t>07/08/2025 23:45</t>
  </si>
  <si>
    <t>07/08/2025 24:00</t>
  </si>
  <si>
    <t>08/08/2025 00:15</t>
  </si>
  <si>
    <t>08/08/2025 00:30</t>
  </si>
  <si>
    <t>08/08/2025 00:45</t>
  </si>
  <si>
    <t>08/08/2025 01:00</t>
  </si>
  <si>
    <t>08/08/2025 01:15</t>
  </si>
  <si>
    <t>08/08/2025 01:30</t>
  </si>
  <si>
    <t>08/08/2025 01:45</t>
  </si>
  <si>
    <t>08/08/2025 02:00</t>
  </si>
  <si>
    <t>08/08/2025 02:15</t>
  </si>
  <si>
    <t>08/08/2025 02:30</t>
  </si>
  <si>
    <t>08/08/2025 02:45</t>
  </si>
  <si>
    <t>08/08/2025 03:00</t>
  </si>
  <si>
    <t>08/08/2025 03:15</t>
  </si>
  <si>
    <t>08/08/2025 03:30</t>
  </si>
  <si>
    <t>08/08/2025 03:45</t>
  </si>
  <si>
    <t>08/08/2025 04:00</t>
  </si>
  <si>
    <t>08/08/2025 04:15</t>
  </si>
  <si>
    <t>08/08/2025 04:30</t>
  </si>
  <si>
    <t>08/08/2025 04:45</t>
  </si>
  <si>
    <t>08/08/2025 05:00</t>
  </si>
  <si>
    <t>08/08/2025 05:15</t>
  </si>
  <si>
    <t>08/08/2025 05:30</t>
  </si>
  <si>
    <t>08/08/2025 05:45</t>
  </si>
  <si>
    <t>08/08/2025 06:00</t>
  </si>
  <si>
    <t>08/08/2025 06:15</t>
  </si>
  <si>
    <t>08/08/2025 06:30</t>
  </si>
  <si>
    <t>08/08/2025 06:45</t>
  </si>
  <si>
    <t>08/08/2025 07:00</t>
  </si>
  <si>
    <t>08/08/2025 07:15</t>
  </si>
  <si>
    <t>08/08/2025 07:30</t>
  </si>
  <si>
    <t>08/08/2025 07:45</t>
  </si>
  <si>
    <t>08/08/2025 08:00</t>
  </si>
  <si>
    <t>08/08/2025 08:15</t>
  </si>
  <si>
    <t>08/08/2025 08:30</t>
  </si>
  <si>
    <t>08/08/2025 08:45</t>
  </si>
  <si>
    <t>08/08/2025 09:00</t>
  </si>
  <si>
    <t>08/08/2025 09:15</t>
  </si>
  <si>
    <t>08/08/2025 09:30</t>
  </si>
  <si>
    <t>08/08/2025 09:45</t>
  </si>
  <si>
    <t>08/08/2025 10:00</t>
  </si>
  <si>
    <t>08/08/2025 10:15</t>
  </si>
  <si>
    <t>08/08/2025 10:30</t>
  </si>
  <si>
    <t>08/08/2025 10:45</t>
  </si>
  <si>
    <t>08/08/2025 11:00</t>
  </si>
  <si>
    <t>08/08/2025 11:15</t>
  </si>
  <si>
    <t>08/08/2025 11:30</t>
  </si>
  <si>
    <t>08/08/2025 11:45</t>
  </si>
  <si>
    <t>08/08/2025 12:00</t>
  </si>
  <si>
    <t>08/08/2025 12:15</t>
  </si>
  <si>
    <t>08/08/2025 12:30</t>
  </si>
  <si>
    <t>08/08/2025 12:45</t>
  </si>
  <si>
    <t>08/08/2025 13:00</t>
  </si>
  <si>
    <t>08/08/2025 13:15</t>
  </si>
  <si>
    <t>08/08/2025 13:30</t>
  </si>
  <si>
    <t>08/08/2025 13:45</t>
  </si>
  <si>
    <t>08/08/2025 14:00</t>
  </si>
  <si>
    <t>08/08/2025 14:15</t>
  </si>
  <si>
    <t>08/08/2025 14:30</t>
  </si>
  <si>
    <t>08/08/2025 14:45</t>
  </si>
  <si>
    <t>08/08/2025 15:00</t>
  </si>
  <si>
    <t>08/08/2025 15:15</t>
  </si>
  <si>
    <t>08/08/2025 15:30</t>
  </si>
  <si>
    <t>08/08/2025 15:45</t>
  </si>
  <si>
    <t>08/08/2025 16:00</t>
  </si>
  <si>
    <t>08/08/2025 16:15</t>
  </si>
  <si>
    <t>08/08/2025 16:30</t>
  </si>
  <si>
    <t>08/08/2025 16:45</t>
  </si>
  <si>
    <t>08/08/2025 17:00</t>
  </si>
  <si>
    <t>08/08/2025 17:15</t>
  </si>
  <si>
    <t>08/08/2025 17:30</t>
  </si>
  <si>
    <t>08/08/2025 17:45</t>
  </si>
  <si>
    <t>08/08/2025 18:00</t>
  </si>
  <si>
    <t>08/08/2025 18:15</t>
  </si>
  <si>
    <t>08/08/2025 18:30</t>
  </si>
  <si>
    <t>08/08/2025 18:45</t>
  </si>
  <si>
    <t>08/08/2025 19:00</t>
  </si>
  <si>
    <t>08/08/2025 19:15</t>
  </si>
  <si>
    <t>08/08/2025 19:30</t>
  </si>
  <si>
    <t>08/08/2025 19:45</t>
  </si>
  <si>
    <t>08/08/2025 20:00</t>
  </si>
  <si>
    <t>08/08/2025 20:15</t>
  </si>
  <si>
    <t>08/08/2025 20:30</t>
  </si>
  <si>
    <t>08/08/2025 20:45</t>
  </si>
  <si>
    <t>08/08/2025 21:00</t>
  </si>
  <si>
    <t>08/08/2025 21:15</t>
  </si>
  <si>
    <t>08/08/2025 21:30</t>
  </si>
  <si>
    <t>08/08/2025 21:45</t>
  </si>
  <si>
    <t>08/08/2025 22:00</t>
  </si>
  <si>
    <t>08/08/2025 22:15</t>
  </si>
  <si>
    <t>08/08/2025 22:30</t>
  </si>
  <si>
    <t>08/08/2025 22:45</t>
  </si>
  <si>
    <t>08/08/2025 23:00</t>
  </si>
  <si>
    <t>08/08/2025 23:15</t>
  </si>
  <si>
    <t>08/08/2025 23:30</t>
  </si>
  <si>
    <t>08/08/2025 23:45</t>
  </si>
  <si>
    <t>08/08/2025 24:00</t>
  </si>
  <si>
    <t>09/08/2025 00:15</t>
  </si>
  <si>
    <t>09/08/2025 00:30</t>
  </si>
  <si>
    <t>09/08/2025 00:45</t>
  </si>
  <si>
    <t>09/08/2025 01:00</t>
  </si>
  <si>
    <t>09/08/2025 01:15</t>
  </si>
  <si>
    <t>09/08/2025 01:30</t>
  </si>
  <si>
    <t>09/08/2025 01:45</t>
  </si>
  <si>
    <t>09/08/2025 02:00</t>
  </si>
  <si>
    <t>09/08/2025 02:15</t>
  </si>
  <si>
    <t>09/08/2025 02:30</t>
  </si>
  <si>
    <t>09/08/2025 02:45</t>
  </si>
  <si>
    <t>09/08/2025 03:00</t>
  </si>
  <si>
    <t>09/08/2025 03:15</t>
  </si>
  <si>
    <t>09/08/2025 03:30</t>
  </si>
  <si>
    <t>09/08/2025 03:45</t>
  </si>
  <si>
    <t>09/08/2025 04:00</t>
  </si>
  <si>
    <t>09/08/2025 04:15</t>
  </si>
  <si>
    <t>09/08/2025 04:30</t>
  </si>
  <si>
    <t>09/08/2025 04:45</t>
  </si>
  <si>
    <t>09/08/2025 05:00</t>
  </si>
  <si>
    <t>09/08/2025 05:15</t>
  </si>
  <si>
    <t>09/08/2025 05:30</t>
  </si>
  <si>
    <t>09/08/2025 05:45</t>
  </si>
  <si>
    <t>09/08/2025 06:00</t>
  </si>
  <si>
    <t>09/08/2025 06:15</t>
  </si>
  <si>
    <t>09/08/2025 06:30</t>
  </si>
  <si>
    <t>09/08/2025 06:45</t>
  </si>
  <si>
    <t>09/08/2025 07:00</t>
  </si>
  <si>
    <t>09/08/2025 07:15</t>
  </si>
  <si>
    <t>09/08/2025 07:30</t>
  </si>
  <si>
    <t>09/08/2025 07:45</t>
  </si>
  <si>
    <t>09/08/2025 08:00</t>
  </si>
  <si>
    <t>09/08/2025 08:15</t>
  </si>
  <si>
    <t>09/08/2025 08:30</t>
  </si>
  <si>
    <t>09/08/2025 08:45</t>
  </si>
  <si>
    <t>09/08/2025 09:00</t>
  </si>
  <si>
    <t>09/08/2025 09:15</t>
  </si>
  <si>
    <t>09/08/2025 09:30</t>
  </si>
  <si>
    <t>09/08/2025 09:45</t>
  </si>
  <si>
    <t>09/08/2025 10:00</t>
  </si>
  <si>
    <t>09/08/2025 10:15</t>
  </si>
  <si>
    <t>09/08/2025 10:30</t>
  </si>
  <si>
    <t>09/08/2025 10:45</t>
  </si>
  <si>
    <t>09/08/2025 11:00</t>
  </si>
  <si>
    <t>09/08/2025 11:15</t>
  </si>
  <si>
    <t>09/08/2025 11:30</t>
  </si>
  <si>
    <t>09/08/2025 11:45</t>
  </si>
  <si>
    <t>09/08/2025 12:00</t>
  </si>
  <si>
    <t>09/08/2025 12:15</t>
  </si>
  <si>
    <t>09/08/2025 12:30</t>
  </si>
  <si>
    <t>09/08/2025 12:45</t>
  </si>
  <si>
    <t>09/08/2025 13:00</t>
  </si>
  <si>
    <t>09/08/2025 13:15</t>
  </si>
  <si>
    <t>09/08/2025 13:30</t>
  </si>
  <si>
    <t>09/08/2025 13:45</t>
  </si>
  <si>
    <t>09/08/2025 14:00</t>
  </si>
  <si>
    <t>09/08/2025 14:15</t>
  </si>
  <si>
    <t>09/08/2025 14:30</t>
  </si>
  <si>
    <t>09/08/2025 14:45</t>
  </si>
  <si>
    <t>09/08/2025 15:00</t>
  </si>
  <si>
    <t>09/08/2025 15:15</t>
  </si>
  <si>
    <t>09/08/2025 15:30</t>
  </si>
  <si>
    <t>09/08/2025 15:45</t>
  </si>
  <si>
    <t>09/08/2025 16:00</t>
  </si>
  <si>
    <t>09/08/2025 16:15</t>
  </si>
  <si>
    <t>09/08/2025 16:30</t>
  </si>
  <si>
    <t>09/08/2025 16:45</t>
  </si>
  <si>
    <t>09/08/2025 17:00</t>
  </si>
  <si>
    <t>09/08/2025 17:15</t>
  </si>
  <si>
    <t>09/08/2025 17:30</t>
  </si>
  <si>
    <t>09/08/2025 17:45</t>
  </si>
  <si>
    <t>09/08/2025 18:00</t>
  </si>
  <si>
    <t>09/08/2025 18:15</t>
  </si>
  <si>
    <t>09/08/2025 18:30</t>
  </si>
  <si>
    <t>09/08/2025 18:45</t>
  </si>
  <si>
    <t>09/08/2025 19:00</t>
  </si>
  <si>
    <t>09/08/2025 19:15</t>
  </si>
  <si>
    <t>09/08/2025 19:30</t>
  </si>
  <si>
    <t>09/08/2025 19:45</t>
  </si>
  <si>
    <t>09/08/2025 20:00</t>
  </si>
  <si>
    <t>09/08/2025 20:15</t>
  </si>
  <si>
    <t>09/08/2025 20:30</t>
  </si>
  <si>
    <t>09/08/2025 20:45</t>
  </si>
  <si>
    <t>09/08/2025 21:00</t>
  </si>
  <si>
    <t>09/08/2025 21:15</t>
  </si>
  <si>
    <t>09/08/2025 21:30</t>
  </si>
  <si>
    <t>09/08/2025 21:45</t>
  </si>
  <si>
    <t>09/08/2025 22:00</t>
  </si>
  <si>
    <t>09/08/2025 22:15</t>
  </si>
  <si>
    <t>09/08/2025 22:30</t>
  </si>
  <si>
    <t>09/08/2025 22:45</t>
  </si>
  <si>
    <t>09/08/2025 23:00</t>
  </si>
  <si>
    <t>09/08/2025 23:15</t>
  </si>
  <si>
    <t>09/08/2025 23:30</t>
  </si>
  <si>
    <t>09/08/2025 23:45</t>
  </si>
  <si>
    <t>09/08/2025 24:00</t>
  </si>
  <si>
    <t>10/08/2025 00:15</t>
  </si>
  <si>
    <t>10/08/2025 00:30</t>
  </si>
  <si>
    <t>10/08/2025 00:45</t>
  </si>
  <si>
    <t>10/08/2025 01:00</t>
  </si>
  <si>
    <t>10/08/2025 01:15</t>
  </si>
  <si>
    <t>10/08/2025 01:30</t>
  </si>
  <si>
    <t>10/08/2025 01:45</t>
  </si>
  <si>
    <t>10/08/2025 02:00</t>
  </si>
  <si>
    <t>10/08/2025 02:15</t>
  </si>
  <si>
    <t>10/08/2025 02:30</t>
  </si>
  <si>
    <t>10/08/2025 02:45</t>
  </si>
  <si>
    <t>10/08/2025 03:00</t>
  </si>
  <si>
    <t>10/08/2025 03:15</t>
  </si>
  <si>
    <t>10/08/2025 03:30</t>
  </si>
  <si>
    <t>10/08/2025 03:45</t>
  </si>
  <si>
    <t>10/08/2025 04:00</t>
  </si>
  <si>
    <t>10/08/2025 04:15</t>
  </si>
  <si>
    <t>10/08/2025 04:30</t>
  </si>
  <si>
    <t>10/08/2025 04:45</t>
  </si>
  <si>
    <t>10/08/2025 05:00</t>
  </si>
  <si>
    <t>10/08/2025 05:15</t>
  </si>
  <si>
    <t>10/08/2025 05:30</t>
  </si>
  <si>
    <t>10/08/2025 05:45</t>
  </si>
  <si>
    <t>10/08/2025 06:00</t>
  </si>
  <si>
    <t>10/08/2025 06:15</t>
  </si>
  <si>
    <t>10/08/2025 06:30</t>
  </si>
  <si>
    <t>10/08/2025 06:45</t>
  </si>
  <si>
    <t>10/08/2025 07:00</t>
  </si>
  <si>
    <t>10/08/2025 07:15</t>
  </si>
  <si>
    <t>10/08/2025 07:30</t>
  </si>
  <si>
    <t>10/08/2025 07:45</t>
  </si>
  <si>
    <t>10/08/2025 08:00</t>
  </si>
  <si>
    <t>10/08/2025 08:15</t>
  </si>
  <si>
    <t>10/08/2025 08:30</t>
  </si>
  <si>
    <t>10/08/2025 08:45</t>
  </si>
  <si>
    <t>10/08/2025 09:00</t>
  </si>
  <si>
    <t>10/08/2025 09:15</t>
  </si>
  <si>
    <t>10/08/2025 09:30</t>
  </si>
  <si>
    <t>10/08/2025 09:45</t>
  </si>
  <si>
    <t>10/08/2025 10:00</t>
  </si>
  <si>
    <t>10/08/2025 10:15</t>
  </si>
  <si>
    <t>10/08/2025 10:30</t>
  </si>
  <si>
    <t>10/08/2025 10:45</t>
  </si>
  <si>
    <t>10/08/2025 11:00</t>
  </si>
  <si>
    <t>10/08/2025 11:15</t>
  </si>
  <si>
    <t>10/08/2025 11:30</t>
  </si>
  <si>
    <t>10/08/2025 11:45</t>
  </si>
  <si>
    <t>10/08/2025 12:00</t>
  </si>
  <si>
    <t>10/08/2025 12:15</t>
  </si>
  <si>
    <t>10/08/2025 12:30</t>
  </si>
  <si>
    <t>10/08/2025 12:45</t>
  </si>
  <si>
    <t>10/08/2025 13:00</t>
  </si>
  <si>
    <t>10/08/2025 13:15</t>
  </si>
  <si>
    <t>10/08/2025 13:30</t>
  </si>
  <si>
    <t>10/08/2025 13:45</t>
  </si>
  <si>
    <t>10/08/2025 14:00</t>
  </si>
  <si>
    <t>10/08/2025 14:15</t>
  </si>
  <si>
    <t>10/08/2025 14:30</t>
  </si>
  <si>
    <t>10/08/2025 14:45</t>
  </si>
  <si>
    <t>10/08/2025 15:00</t>
  </si>
  <si>
    <t>10/08/2025 15:15</t>
  </si>
  <si>
    <t>10/08/2025 15:30</t>
  </si>
  <si>
    <t>10/08/2025 15:45</t>
  </si>
  <si>
    <t>10/08/2025 16:00</t>
  </si>
  <si>
    <t>10/08/2025 16:15</t>
  </si>
  <si>
    <t>10/08/2025 16:30</t>
  </si>
  <si>
    <t>10/08/2025 16:45</t>
  </si>
  <si>
    <t>10/08/2025 17:00</t>
  </si>
  <si>
    <t>10/08/2025 17:15</t>
  </si>
  <si>
    <t>10/08/2025 17:30</t>
  </si>
  <si>
    <t>10/08/2025 17:45</t>
  </si>
  <si>
    <t>10/08/2025 18:00</t>
  </si>
  <si>
    <t>10/08/2025 18:15</t>
  </si>
  <si>
    <t>10/08/2025 18:30</t>
  </si>
  <si>
    <t>10/08/2025 18:45</t>
  </si>
  <si>
    <t>10/08/2025 19:00</t>
  </si>
  <si>
    <t>10/08/2025 19:15</t>
  </si>
  <si>
    <t>10/08/2025 19:30</t>
  </si>
  <si>
    <t>10/08/2025 19:45</t>
  </si>
  <si>
    <t>10/08/2025 20:00</t>
  </si>
  <si>
    <t>10/08/2025 20:15</t>
  </si>
  <si>
    <t>10/08/2025 20:30</t>
  </si>
  <si>
    <t>10/08/2025 20:45</t>
  </si>
  <si>
    <t>10/08/2025 21:00</t>
  </si>
  <si>
    <t>10/08/2025 21:15</t>
  </si>
  <si>
    <t>10/08/2025 21:30</t>
  </si>
  <si>
    <t>10/08/2025 21:45</t>
  </si>
  <si>
    <t>10/08/2025 22:00</t>
  </si>
  <si>
    <t>10/08/2025 22:15</t>
  </si>
  <si>
    <t>10/08/2025 22:30</t>
  </si>
  <si>
    <t>10/08/2025 22:45</t>
  </si>
  <si>
    <t>10/08/2025 23:00</t>
  </si>
  <si>
    <t>10/08/2025 23:15</t>
  </si>
  <si>
    <t>10/08/2025 23:30</t>
  </si>
  <si>
    <t>10/08/2025 23:45</t>
  </si>
  <si>
    <t>10/08/2025 24:00</t>
  </si>
  <si>
    <t>11/08/2025 00:15</t>
  </si>
  <si>
    <t>11/08/2025 00:30</t>
  </si>
  <si>
    <t>11/08/2025 00:45</t>
  </si>
  <si>
    <t>11/08/2025 01:00</t>
  </si>
  <si>
    <t>11/08/2025 01:15</t>
  </si>
  <si>
    <t>11/08/2025 01:30</t>
  </si>
  <si>
    <t>11/08/2025 01:45</t>
  </si>
  <si>
    <t>11/08/2025 02:00</t>
  </si>
  <si>
    <t>11/08/2025 02:15</t>
  </si>
  <si>
    <t>11/08/2025 02:30</t>
  </si>
  <si>
    <t>11/08/2025 02:45</t>
  </si>
  <si>
    <t>11/08/2025 03:00</t>
  </si>
  <si>
    <t>11/08/2025 03:15</t>
  </si>
  <si>
    <t>11/08/2025 03:30</t>
  </si>
  <si>
    <t>11/08/2025 03:45</t>
  </si>
  <si>
    <t>11/08/2025 04:00</t>
  </si>
  <si>
    <t>11/08/2025 04:15</t>
  </si>
  <si>
    <t>11/08/2025 04:30</t>
  </si>
  <si>
    <t>11/08/2025 04:45</t>
  </si>
  <si>
    <t>11/08/2025 05:00</t>
  </si>
  <si>
    <t>11/08/2025 05:15</t>
  </si>
  <si>
    <t>11/08/2025 05:30</t>
  </si>
  <si>
    <t>11/08/2025 05:45</t>
  </si>
  <si>
    <t>11/08/2025 06:00</t>
  </si>
  <si>
    <t>11/08/2025 06:15</t>
  </si>
  <si>
    <t>11/08/2025 06:30</t>
  </si>
  <si>
    <t>11/08/2025 06:45</t>
  </si>
  <si>
    <t>11/08/2025 07:00</t>
  </si>
  <si>
    <t>11/08/2025 07:15</t>
  </si>
  <si>
    <t>11/08/2025 07:30</t>
  </si>
  <si>
    <t>11/08/2025 07:45</t>
  </si>
  <si>
    <t>11/08/2025 08:00</t>
  </si>
  <si>
    <t>11/08/2025 08:15</t>
  </si>
  <si>
    <t>11/08/2025 08:30</t>
  </si>
  <si>
    <t>11/08/2025 08:45</t>
  </si>
  <si>
    <t>11/08/2025 09:00</t>
  </si>
  <si>
    <t>11/08/2025 09:15</t>
  </si>
  <si>
    <t>11/08/2025 09:30</t>
  </si>
  <si>
    <t>11/08/2025 09:45</t>
  </si>
  <si>
    <t>11/08/2025 10:00</t>
  </si>
  <si>
    <t>11/08/2025 10:15</t>
  </si>
  <si>
    <t>11/08/2025 10:30</t>
  </si>
  <si>
    <t>11/08/2025 10:45</t>
  </si>
  <si>
    <t>11/08/2025 11:00</t>
  </si>
  <si>
    <t>11/08/2025 11:15</t>
  </si>
  <si>
    <t>11/08/2025 11:30</t>
  </si>
  <si>
    <t>11/08/2025 11:45</t>
  </si>
  <si>
    <t>11/08/2025 12:00</t>
  </si>
  <si>
    <t>11/08/2025 12:15</t>
  </si>
  <si>
    <t>11/08/2025 12:30</t>
  </si>
  <si>
    <t>11/08/2025 12:45</t>
  </si>
  <si>
    <t>11/08/2025 13:00</t>
  </si>
  <si>
    <t>11/08/2025 13:15</t>
  </si>
  <si>
    <t>11/08/2025 13:30</t>
  </si>
  <si>
    <t>11/08/2025 13:45</t>
  </si>
  <si>
    <t>11/08/2025 14:00</t>
  </si>
  <si>
    <t>11/08/2025 14:15</t>
  </si>
  <si>
    <t>11/08/2025 14:30</t>
  </si>
  <si>
    <t>11/08/2025 14:45</t>
  </si>
  <si>
    <t>11/08/2025 15:00</t>
  </si>
  <si>
    <t>11/08/2025 15:15</t>
  </si>
  <si>
    <t>11/08/2025 15:30</t>
  </si>
  <si>
    <t>11/08/2025 15:45</t>
  </si>
  <si>
    <t>11/08/2025 16:00</t>
  </si>
  <si>
    <t>11/08/2025 16:15</t>
  </si>
  <si>
    <t>11/08/2025 16:30</t>
  </si>
  <si>
    <t>11/08/2025 16:45</t>
  </si>
  <si>
    <t>11/08/2025 17:00</t>
  </si>
  <si>
    <t>11/08/2025 17:15</t>
  </si>
  <si>
    <t>11/08/2025 17:30</t>
  </si>
  <si>
    <t>11/08/2025 17:45</t>
  </si>
  <si>
    <t>11/08/2025 18:00</t>
  </si>
  <si>
    <t>11/08/2025 18:15</t>
  </si>
  <si>
    <t>11/08/2025 18:30</t>
  </si>
  <si>
    <t>11/08/2025 18:45</t>
  </si>
  <si>
    <t>11/08/2025 19:00</t>
  </si>
  <si>
    <t>11/08/2025 19:15</t>
  </si>
  <si>
    <t>11/08/2025 19:30</t>
  </si>
  <si>
    <t>11/08/2025 19:45</t>
  </si>
  <si>
    <t>11/08/2025 20:00</t>
  </si>
  <si>
    <t>11/08/2025 20:15</t>
  </si>
  <si>
    <t>11/08/2025 20:30</t>
  </si>
  <si>
    <t>11/08/2025 20:45</t>
  </si>
  <si>
    <t>11/08/2025 21:00</t>
  </si>
  <si>
    <t>11/08/2025 21:15</t>
  </si>
  <si>
    <t>11/08/2025 21:30</t>
  </si>
  <si>
    <t>11/08/2025 21:45</t>
  </si>
  <si>
    <t>11/08/2025 22:00</t>
  </si>
  <si>
    <t>11/08/2025 22:15</t>
  </si>
  <si>
    <t>11/08/2025 22:30</t>
  </si>
  <si>
    <t>11/08/2025 22:45</t>
  </si>
  <si>
    <t>11/08/2025 23:00</t>
  </si>
  <si>
    <t>11/08/2025 23:15</t>
  </si>
  <si>
    <t>11/08/2025 23:30</t>
  </si>
  <si>
    <t>11/08/2025 23:45</t>
  </si>
  <si>
    <t>11/08/2025 24:00</t>
  </si>
  <si>
    <t>12/08/2025 00:15</t>
  </si>
  <si>
    <t>12/08/2025 00:30</t>
  </si>
  <si>
    <t>12/08/2025 00:45</t>
  </si>
  <si>
    <t>12/08/2025 01:00</t>
  </si>
  <si>
    <t>12/08/2025 01:15</t>
  </si>
  <si>
    <t>12/08/2025 01:30</t>
  </si>
  <si>
    <t>12/08/2025 01:45</t>
  </si>
  <si>
    <t>12/08/2025 02:00</t>
  </si>
  <si>
    <t>12/08/2025 02:15</t>
  </si>
  <si>
    <t>12/08/2025 02:30</t>
  </si>
  <si>
    <t>12/08/2025 02:45</t>
  </si>
  <si>
    <t>12/08/2025 03:00</t>
  </si>
  <si>
    <t>12/08/2025 03:15</t>
  </si>
  <si>
    <t>12/08/2025 03:30</t>
  </si>
  <si>
    <t>12/08/2025 03:45</t>
  </si>
  <si>
    <t>12/08/2025 04:00</t>
  </si>
  <si>
    <t>12/08/2025 04:15</t>
  </si>
  <si>
    <t>12/08/2025 04:30</t>
  </si>
  <si>
    <t>12/08/2025 04:45</t>
  </si>
  <si>
    <t>12/08/2025 05:00</t>
  </si>
  <si>
    <t>12/08/2025 05:15</t>
  </si>
  <si>
    <t>12/08/2025 05:30</t>
  </si>
  <si>
    <t>12/08/2025 05:45</t>
  </si>
  <si>
    <t>12/08/2025 06:00</t>
  </si>
  <si>
    <t>12/08/2025 06:15</t>
  </si>
  <si>
    <t>12/08/2025 06:30</t>
  </si>
  <si>
    <t>12/08/2025 06:45</t>
  </si>
  <si>
    <t>12/08/2025 07:00</t>
  </si>
  <si>
    <t>12/08/2025 07:15</t>
  </si>
  <si>
    <t>12/08/2025 07:30</t>
  </si>
  <si>
    <t>12/08/2025 07:45</t>
  </si>
  <si>
    <t>12/08/2025 08:00</t>
  </si>
  <si>
    <t>12/08/2025 08:15</t>
  </si>
  <si>
    <t>12/08/2025 08:30</t>
  </si>
  <si>
    <t>12/08/2025 08:45</t>
  </si>
  <si>
    <t>12/08/2025 09:00</t>
  </si>
  <si>
    <t>12/08/2025 09:15</t>
  </si>
  <si>
    <t>12/08/2025 09:30</t>
  </si>
  <si>
    <t>12/08/2025 09:45</t>
  </si>
  <si>
    <t>12/08/2025 10:00</t>
  </si>
  <si>
    <t>12/08/2025 10:15</t>
  </si>
  <si>
    <t>12/08/2025 10:30</t>
  </si>
  <si>
    <t>12/08/2025 10:45</t>
  </si>
  <si>
    <t>12/08/2025 11:00</t>
  </si>
  <si>
    <t>12/08/2025 11:15</t>
  </si>
  <si>
    <t>12/08/2025 11:30</t>
  </si>
  <si>
    <t>12/08/2025 11:45</t>
  </si>
  <si>
    <t>12/08/2025 12:00</t>
  </si>
  <si>
    <t>12/08/2025 12:15</t>
  </si>
  <si>
    <t>12/08/2025 12:30</t>
  </si>
  <si>
    <t>12/08/2025 12:45</t>
  </si>
  <si>
    <t>12/08/2025 13:00</t>
  </si>
  <si>
    <t>12/08/2025 13:15</t>
  </si>
  <si>
    <t>12/08/2025 13:30</t>
  </si>
  <si>
    <t>12/08/2025 13:45</t>
  </si>
  <si>
    <t>12/08/2025 14:00</t>
  </si>
  <si>
    <t>12/08/2025 14:15</t>
  </si>
  <si>
    <t>12/08/2025 14:30</t>
  </si>
  <si>
    <t>12/08/2025 14:45</t>
  </si>
  <si>
    <t>12/08/2025 15:00</t>
  </si>
  <si>
    <t>12/08/2025 15:15</t>
  </si>
  <si>
    <t>12/08/2025 15:30</t>
  </si>
  <si>
    <t>12/08/2025 15:45</t>
  </si>
  <si>
    <t>12/08/2025 16:00</t>
  </si>
  <si>
    <t>12/08/2025 16:15</t>
  </si>
  <si>
    <t>12/08/2025 16:30</t>
  </si>
  <si>
    <t>12/08/2025 16:45</t>
  </si>
  <si>
    <t>12/08/2025 17:00</t>
  </si>
  <si>
    <t>12/08/2025 17:15</t>
  </si>
  <si>
    <t>12/08/2025 17:30</t>
  </si>
  <si>
    <t>12/08/2025 17:45</t>
  </si>
  <si>
    <t>12/08/2025 18:00</t>
  </si>
  <si>
    <t>12/08/2025 18:15</t>
  </si>
  <si>
    <t>12/08/2025 18:30</t>
  </si>
  <si>
    <t>12/08/2025 18:45</t>
  </si>
  <si>
    <t>12/08/2025 19:00</t>
  </si>
  <si>
    <t>12/08/2025 19:15</t>
  </si>
  <si>
    <t>12/08/2025 19:30</t>
  </si>
  <si>
    <t>12/08/2025 19:45</t>
  </si>
  <si>
    <t>12/08/2025 20:00</t>
  </si>
  <si>
    <t>12/08/2025 20:15</t>
  </si>
  <si>
    <t>12/08/2025 20:30</t>
  </si>
  <si>
    <t>12/08/2025 20:45</t>
  </si>
  <si>
    <t>12/08/2025 21:00</t>
  </si>
  <si>
    <t>12/08/2025 21:15</t>
  </si>
  <si>
    <t>12/08/2025 21:30</t>
  </si>
  <si>
    <t>12/08/2025 21:45</t>
  </si>
  <si>
    <t>12/08/2025 22:00</t>
  </si>
  <si>
    <t>12/08/2025 22:15</t>
  </si>
  <si>
    <t>12/08/2025 22:30</t>
  </si>
  <si>
    <t>12/08/2025 22:45</t>
  </si>
  <si>
    <t>12/08/2025 23:00</t>
  </si>
  <si>
    <t>12/08/2025 23:15</t>
  </si>
  <si>
    <t>12/08/2025 23:30</t>
  </si>
  <si>
    <t>12/08/2025 23:45</t>
  </si>
  <si>
    <t>12/08/2025 24:00</t>
  </si>
  <si>
    <t>13/08/2025 00:15</t>
  </si>
  <si>
    <t>13/08/2025 00:30</t>
  </si>
  <si>
    <t>13/08/2025 00:45</t>
  </si>
  <si>
    <t>13/08/2025 01:00</t>
  </si>
  <si>
    <t>13/08/2025 01:15</t>
  </si>
  <si>
    <t>13/08/2025 01:30</t>
  </si>
  <si>
    <t>13/08/2025 01:45</t>
  </si>
  <si>
    <t>13/08/2025 02:00</t>
  </si>
  <si>
    <t>13/08/2025 02:15</t>
  </si>
  <si>
    <t>13/08/2025 02:30</t>
  </si>
  <si>
    <t>13/08/2025 02:45</t>
  </si>
  <si>
    <t>13/08/2025 03:00</t>
  </si>
  <si>
    <t>13/08/2025 03:15</t>
  </si>
  <si>
    <t>13/08/2025 03:30</t>
  </si>
  <si>
    <t>13/08/2025 03:45</t>
  </si>
  <si>
    <t>13/08/2025 04:00</t>
  </si>
  <si>
    <t>13/08/2025 04:15</t>
  </si>
  <si>
    <t>13/08/2025 04:30</t>
  </si>
  <si>
    <t>13/08/2025 04:45</t>
  </si>
  <si>
    <t>13/08/2025 05:00</t>
  </si>
  <si>
    <t>13/08/2025 05:15</t>
  </si>
  <si>
    <t>13/08/2025 05:30</t>
  </si>
  <si>
    <t>13/08/2025 05:45</t>
  </si>
  <si>
    <t>13/08/2025 06:00</t>
  </si>
  <si>
    <t>13/08/2025 06:15</t>
  </si>
  <si>
    <t>13/08/2025 06:30</t>
  </si>
  <si>
    <t>13/08/2025 06:45</t>
  </si>
  <si>
    <t>13/08/2025 07:00</t>
  </si>
  <si>
    <t>13/08/2025 07:15</t>
  </si>
  <si>
    <t>13/08/2025 07:30</t>
  </si>
  <si>
    <t>13/08/2025 07:45</t>
  </si>
  <si>
    <t>13/08/2025 08:00</t>
  </si>
  <si>
    <t>13/08/2025 08:15</t>
  </si>
  <si>
    <t>13/08/2025 08:30</t>
  </si>
  <si>
    <t>13/08/2025 08:45</t>
  </si>
  <si>
    <t>13/08/2025 09:00</t>
  </si>
  <si>
    <t>13/08/2025 09:15</t>
  </si>
  <si>
    <t>13/08/2025 09:30</t>
  </si>
  <si>
    <t>13/08/2025 09:45</t>
  </si>
  <si>
    <t>13/08/2025 10:00</t>
  </si>
  <si>
    <t>13/08/2025 10:15</t>
  </si>
  <si>
    <t>13/08/2025 10:30</t>
  </si>
  <si>
    <t>13/08/2025 10:45</t>
  </si>
  <si>
    <t>13/08/2025 11:00</t>
  </si>
  <si>
    <t>13/08/2025 11:15</t>
  </si>
  <si>
    <t>13/08/2025 11:30</t>
  </si>
  <si>
    <t>13/08/2025 11:45</t>
  </si>
  <si>
    <t>13/08/2025 12:00</t>
  </si>
  <si>
    <t>13/08/2025 12:15</t>
  </si>
  <si>
    <t>13/08/2025 12:30</t>
  </si>
  <si>
    <t>13/08/2025 12:45</t>
  </si>
  <si>
    <t>13/08/2025 13:00</t>
  </si>
  <si>
    <t>13/08/2025 13:15</t>
  </si>
  <si>
    <t>13/08/2025 13:30</t>
  </si>
  <si>
    <t>13/08/2025 13:45</t>
  </si>
  <si>
    <t>13/08/2025 14:00</t>
  </si>
  <si>
    <t>13/08/2025 14:15</t>
  </si>
  <si>
    <t>13/08/2025 14:30</t>
  </si>
  <si>
    <t>13/08/2025 14:45</t>
  </si>
  <si>
    <t>13/08/2025 15:00</t>
  </si>
  <si>
    <t>13/08/2025 15:15</t>
  </si>
  <si>
    <t>13/08/2025 15:30</t>
  </si>
  <si>
    <t>13/08/2025 15:45</t>
  </si>
  <si>
    <t>13/08/2025 16:00</t>
  </si>
  <si>
    <t>13/08/2025 16:15</t>
  </si>
  <si>
    <t>13/08/2025 16:30</t>
  </si>
  <si>
    <t>13/08/2025 16:45</t>
  </si>
  <si>
    <t>13/08/2025 17:00</t>
  </si>
  <si>
    <t>13/08/2025 17:15</t>
  </si>
  <si>
    <t>13/08/2025 17:30</t>
  </si>
  <si>
    <t>13/08/2025 17:45</t>
  </si>
  <si>
    <t>13/08/2025 18:00</t>
  </si>
  <si>
    <t>13/08/2025 18:15</t>
  </si>
  <si>
    <t>13/08/2025 18:30</t>
  </si>
  <si>
    <t>13/08/2025 18:45</t>
  </si>
  <si>
    <t>13/08/2025 19:00</t>
  </si>
  <si>
    <t>13/08/2025 19:15</t>
  </si>
  <si>
    <t>13/08/2025 19:30</t>
  </si>
  <si>
    <t>13/08/2025 19:45</t>
  </si>
  <si>
    <t>13/08/2025 20:00</t>
  </si>
  <si>
    <t>13/08/2025 20:15</t>
  </si>
  <si>
    <t>13/08/2025 20:30</t>
  </si>
  <si>
    <t>13/08/2025 20:45</t>
  </si>
  <si>
    <t>13/08/2025 21:00</t>
  </si>
  <si>
    <t>13/08/2025 21:15</t>
  </si>
  <si>
    <t>13/08/2025 21:30</t>
  </si>
  <si>
    <t>13/08/2025 21:45</t>
  </si>
  <si>
    <t>13/08/2025 22:00</t>
  </si>
  <si>
    <t>13/08/2025 22:15</t>
  </si>
  <si>
    <t>13/08/2025 22:30</t>
  </si>
  <si>
    <t>13/08/2025 22:45</t>
  </si>
  <si>
    <t>13/08/2025 23:00</t>
  </si>
  <si>
    <t>13/08/2025 23:15</t>
  </si>
  <si>
    <t>13/08/2025 23:30</t>
  </si>
  <si>
    <t>13/08/2025 23:45</t>
  </si>
  <si>
    <t>13/08/2025 24:00</t>
  </si>
  <si>
    <t>14/08/2025 00:15</t>
  </si>
  <si>
    <t>14/08/2025 00:30</t>
  </si>
  <si>
    <t>14/08/2025 00:45</t>
  </si>
  <si>
    <t>14/08/2025 01:00</t>
  </si>
  <si>
    <t>14/08/2025 01:15</t>
  </si>
  <si>
    <t>14/08/2025 01:30</t>
  </si>
  <si>
    <t>14/08/2025 01:45</t>
  </si>
  <si>
    <t>14/08/2025 02:00</t>
  </si>
  <si>
    <t>14/08/2025 02:15</t>
  </si>
  <si>
    <t>14/08/2025 02:30</t>
  </si>
  <si>
    <t>14/08/2025 02:45</t>
  </si>
  <si>
    <t>14/08/2025 03:00</t>
  </si>
  <si>
    <t>14/08/2025 03:15</t>
  </si>
  <si>
    <t>14/08/2025 03:30</t>
  </si>
  <si>
    <t>14/08/2025 03:45</t>
  </si>
  <si>
    <t>14/08/2025 04:00</t>
  </si>
  <si>
    <t>14/08/2025 04:15</t>
  </si>
  <si>
    <t>14/08/2025 04:30</t>
  </si>
  <si>
    <t>14/08/2025 04:45</t>
  </si>
  <si>
    <t>14/08/2025 05:00</t>
  </si>
  <si>
    <t>14/08/2025 05:15</t>
  </si>
  <si>
    <t>14/08/2025 05:30</t>
  </si>
  <si>
    <t>14/08/2025 05:45</t>
  </si>
  <si>
    <t>14/08/2025 06:00</t>
  </si>
  <si>
    <t>14/08/2025 06:15</t>
  </si>
  <si>
    <t>14/08/2025 06:30</t>
  </si>
  <si>
    <t>14/08/2025 06:45</t>
  </si>
  <si>
    <t>14/08/2025 07:00</t>
  </si>
  <si>
    <t>14/08/2025 07:15</t>
  </si>
  <si>
    <t>14/08/2025 07:30</t>
  </si>
  <si>
    <t>14/08/2025 07:45</t>
  </si>
  <si>
    <t>14/08/2025 08:00</t>
  </si>
  <si>
    <t>14/08/2025 08:15</t>
  </si>
  <si>
    <t>14/08/2025 08:30</t>
  </si>
  <si>
    <t>14/08/2025 08:45</t>
  </si>
  <si>
    <t>14/08/2025 09:00</t>
  </si>
  <si>
    <t>14/08/2025 09:15</t>
  </si>
  <si>
    <t>14/08/2025 09:30</t>
  </si>
  <si>
    <t>14/08/2025 09:45</t>
  </si>
  <si>
    <t>14/08/2025 10:00</t>
  </si>
  <si>
    <t>14/08/2025 10:15</t>
  </si>
  <si>
    <t>14/08/2025 10:30</t>
  </si>
  <si>
    <t>14/08/2025 10:45</t>
  </si>
  <si>
    <t>14/08/2025 11:00</t>
  </si>
  <si>
    <t>14/08/2025 11:15</t>
  </si>
  <si>
    <t>14/08/2025 11:30</t>
  </si>
  <si>
    <t>14/08/2025 11:45</t>
  </si>
  <si>
    <t>14/08/2025 12:00</t>
  </si>
  <si>
    <t>14/08/2025 12:15</t>
  </si>
  <si>
    <t>14/08/2025 12:30</t>
  </si>
  <si>
    <t>14/08/2025 12:45</t>
  </si>
  <si>
    <t>14/08/2025 13:00</t>
  </si>
  <si>
    <t>14/08/2025 13:15</t>
  </si>
  <si>
    <t>14/08/2025 13:30</t>
  </si>
  <si>
    <t>14/08/2025 13:45</t>
  </si>
  <si>
    <t>14/08/2025 14:00</t>
  </si>
  <si>
    <t>14/08/2025 14:15</t>
  </si>
  <si>
    <t>14/08/2025 14:30</t>
  </si>
  <si>
    <t>14/08/2025 14:45</t>
  </si>
  <si>
    <t>14/08/2025 15:00</t>
  </si>
  <si>
    <t>14/08/2025 15:15</t>
  </si>
  <si>
    <t>14/08/2025 15:30</t>
  </si>
  <si>
    <t>14/08/2025 15:45</t>
  </si>
  <si>
    <t>14/08/2025 16:00</t>
  </si>
  <si>
    <t>14/08/2025 16:15</t>
  </si>
  <si>
    <t>14/08/2025 16:30</t>
  </si>
  <si>
    <t>14/08/2025 16:45</t>
  </si>
  <si>
    <t>14/08/2025 17:00</t>
  </si>
  <si>
    <t>14/08/2025 17:15</t>
  </si>
  <si>
    <t>14/08/2025 17:30</t>
  </si>
  <si>
    <t>14/08/2025 17:45</t>
  </si>
  <si>
    <t>14/08/2025 18:00</t>
  </si>
  <si>
    <t>14/08/2025 18:15</t>
  </si>
  <si>
    <t>14/08/2025 18:30</t>
  </si>
  <si>
    <t>14/08/2025 18:45</t>
  </si>
  <si>
    <t>14/08/2025 19:00</t>
  </si>
  <si>
    <t>14/08/2025 19:15</t>
  </si>
  <si>
    <t>14/08/2025 19:30</t>
  </si>
  <si>
    <t>14/08/2025 19:45</t>
  </si>
  <si>
    <t>14/08/2025 20:00</t>
  </si>
  <si>
    <t>14/08/2025 20:15</t>
  </si>
  <si>
    <t>14/08/2025 20:30</t>
  </si>
  <si>
    <t>14/08/2025 20:45</t>
  </si>
  <si>
    <t>14/08/2025 21:00</t>
  </si>
  <si>
    <t>14/08/2025 21:15</t>
  </si>
  <si>
    <t>14/08/2025 21:30</t>
  </si>
  <si>
    <t>14/08/2025 21:45</t>
  </si>
  <si>
    <t>14/08/2025 22:00</t>
  </si>
  <si>
    <t>14/08/2025 22:15</t>
  </si>
  <si>
    <t>14/08/2025 22:30</t>
  </si>
  <si>
    <t>14/08/2025 22:45</t>
  </si>
  <si>
    <t>14/08/2025 23:00</t>
  </si>
  <si>
    <t>14/08/2025 23:15</t>
  </si>
  <si>
    <t>14/08/2025 23:30</t>
  </si>
  <si>
    <t>14/08/2025 23:45</t>
  </si>
  <si>
    <t>14/08/2025 24:00</t>
  </si>
  <si>
    <t>15/08/2025 00:15</t>
  </si>
  <si>
    <t>15/08/2025 00:30</t>
  </si>
  <si>
    <t>15/08/2025 00:45</t>
  </si>
  <si>
    <t>15/08/2025 01:00</t>
  </si>
  <si>
    <t>15/08/2025 01:15</t>
  </si>
  <si>
    <t>15/08/2025 01:30</t>
  </si>
  <si>
    <t>15/08/2025 01:45</t>
  </si>
  <si>
    <t>15/08/2025 02:00</t>
  </si>
  <si>
    <t>15/08/2025 02:15</t>
  </si>
  <si>
    <t>15/08/2025 02:30</t>
  </si>
  <si>
    <t>15/08/2025 02:45</t>
  </si>
  <si>
    <t>15/08/2025 03:00</t>
  </si>
  <si>
    <t>15/08/2025 03:15</t>
  </si>
  <si>
    <t>15/08/2025 03:30</t>
  </si>
  <si>
    <t>15/08/2025 03:45</t>
  </si>
  <si>
    <t>15/08/2025 04:00</t>
  </si>
  <si>
    <t>15/08/2025 04:15</t>
  </si>
  <si>
    <t>15/08/2025 04:30</t>
  </si>
  <si>
    <t>15/08/2025 04:45</t>
  </si>
  <si>
    <t>15/08/2025 05:00</t>
  </si>
  <si>
    <t>15/08/2025 05:15</t>
  </si>
  <si>
    <t>15/08/2025 05:30</t>
  </si>
  <si>
    <t>15/08/2025 05:45</t>
  </si>
  <si>
    <t>15/08/2025 06:00</t>
  </si>
  <si>
    <t>15/08/2025 06:15</t>
  </si>
  <si>
    <t>15/08/2025 06:30</t>
  </si>
  <si>
    <t>15/08/2025 06:45</t>
  </si>
  <si>
    <t>15/08/2025 07:00</t>
  </si>
  <si>
    <t>15/08/2025 07:15</t>
  </si>
  <si>
    <t>15/08/2025 07:30</t>
  </si>
  <si>
    <t>15/08/2025 07:45</t>
  </si>
  <si>
    <t>15/08/2025 08:00</t>
  </si>
  <si>
    <t>15/08/2025 08:15</t>
  </si>
  <si>
    <t>15/08/2025 08:30</t>
  </si>
  <si>
    <t>15/08/2025 08:45</t>
  </si>
  <si>
    <t>15/08/2025 09:00</t>
  </si>
  <si>
    <t>15/08/2025 09:15</t>
  </si>
  <si>
    <t>15/08/2025 09:30</t>
  </si>
  <si>
    <t>15/08/2025 09:45</t>
  </si>
  <si>
    <t>15/08/2025 10:00</t>
  </si>
  <si>
    <t>15/08/2025 10:15</t>
  </si>
  <si>
    <t>15/08/2025 10:30</t>
  </si>
  <si>
    <t>15/08/2025 10:45</t>
  </si>
  <si>
    <t>15/08/2025 11:00</t>
  </si>
  <si>
    <t>15/08/2025 11:15</t>
  </si>
  <si>
    <t>15/08/2025 11:30</t>
  </si>
  <si>
    <t>15/08/2025 11:45</t>
  </si>
  <si>
    <t>15/08/2025 12:00</t>
  </si>
  <si>
    <t>15/08/2025 12:15</t>
  </si>
  <si>
    <t>15/08/2025 12:30</t>
  </si>
  <si>
    <t>15/08/2025 12:45</t>
  </si>
  <si>
    <t>15/08/2025 13:00</t>
  </si>
  <si>
    <t>15/08/2025 13:15</t>
  </si>
  <si>
    <t>15/08/2025 13:30</t>
  </si>
  <si>
    <t>15/08/2025 13:45</t>
  </si>
  <si>
    <t>15/08/2025 14:00</t>
  </si>
  <si>
    <t>15/08/2025 14:15</t>
  </si>
  <si>
    <t>15/08/2025 14:30</t>
  </si>
  <si>
    <t>15/08/2025 14:45</t>
  </si>
  <si>
    <t>15/08/2025 15:00</t>
  </si>
  <si>
    <t>15/08/2025 15:15</t>
  </si>
  <si>
    <t>15/08/2025 15:30</t>
  </si>
  <si>
    <t>15/08/2025 15:45</t>
  </si>
  <si>
    <t>15/08/2025 16:00</t>
  </si>
  <si>
    <t>15/08/2025 16:15</t>
  </si>
  <si>
    <t>15/08/2025 16:30</t>
  </si>
  <si>
    <t>15/08/2025 16:45</t>
  </si>
  <si>
    <t>15/08/2025 17:00</t>
  </si>
  <si>
    <t>15/08/2025 17:15</t>
  </si>
  <si>
    <t>15/08/2025 17:30</t>
  </si>
  <si>
    <t>15/08/2025 17:45</t>
  </si>
  <si>
    <t>15/08/2025 18:00</t>
  </si>
  <si>
    <t>15/08/2025 18:15</t>
  </si>
  <si>
    <t>15/08/2025 18:30</t>
  </si>
  <si>
    <t>15/08/2025 18:45</t>
  </si>
  <si>
    <t>15/08/2025 19:00</t>
  </si>
  <si>
    <t>15/08/2025 19:15</t>
  </si>
  <si>
    <t>15/08/2025 19:30</t>
  </si>
  <si>
    <t>15/08/2025 19:45</t>
  </si>
  <si>
    <t>15/08/2025 20:00</t>
  </si>
  <si>
    <t>15/08/2025 20:15</t>
  </si>
  <si>
    <t>15/08/2025 20:30</t>
  </si>
  <si>
    <t>15/08/2025 20:45</t>
  </si>
  <si>
    <t>15/08/2025 21:00</t>
  </si>
  <si>
    <t>15/08/2025 21:15</t>
  </si>
  <si>
    <t>15/08/2025 21:30</t>
  </si>
  <si>
    <t>15/08/2025 21:45</t>
  </si>
  <si>
    <t>15/08/2025 22:00</t>
  </si>
  <si>
    <t>15/08/2025 22:15</t>
  </si>
  <si>
    <t>15/08/2025 22:30</t>
  </si>
  <si>
    <t>15/08/2025 22:45</t>
  </si>
  <si>
    <t>15/08/2025 23:00</t>
  </si>
  <si>
    <t>15/08/2025 23:15</t>
  </si>
  <si>
    <t>15/08/2025 23:30</t>
  </si>
  <si>
    <t>15/08/2025 23:45</t>
  </si>
  <si>
    <t>15/08/2025 24:00</t>
  </si>
  <si>
    <t>16/08/2025 00:15</t>
  </si>
  <si>
    <t>16/08/2025 00:30</t>
  </si>
  <si>
    <t>16/08/2025 00:45</t>
  </si>
  <si>
    <t>16/08/2025 01:00</t>
  </si>
  <si>
    <t>16/08/2025 01:15</t>
  </si>
  <si>
    <t>16/08/2025 01:30</t>
  </si>
  <si>
    <t>16/08/2025 01:45</t>
  </si>
  <si>
    <t>16/08/2025 02:00</t>
  </si>
  <si>
    <t>16/08/2025 02:15</t>
  </si>
  <si>
    <t>16/08/2025 02:30</t>
  </si>
  <si>
    <t>16/08/2025 02:45</t>
  </si>
  <si>
    <t>16/08/2025 03:00</t>
  </si>
  <si>
    <t>16/08/2025 03:15</t>
  </si>
  <si>
    <t>16/08/2025 03:30</t>
  </si>
  <si>
    <t>16/08/2025 03:45</t>
  </si>
  <si>
    <t>16/08/2025 04:00</t>
  </si>
  <si>
    <t>16/08/2025 04:15</t>
  </si>
  <si>
    <t>16/08/2025 04:30</t>
  </si>
  <si>
    <t>16/08/2025 04:45</t>
  </si>
  <si>
    <t>16/08/2025 05:00</t>
  </si>
  <si>
    <t>16/08/2025 05:15</t>
  </si>
  <si>
    <t>16/08/2025 05:30</t>
  </si>
  <si>
    <t>16/08/2025 05:45</t>
  </si>
  <si>
    <t>16/08/2025 06:00</t>
  </si>
  <si>
    <t>16/08/2025 06:15</t>
  </si>
  <si>
    <t>16/08/2025 06:30</t>
  </si>
  <si>
    <t>16/08/2025 06:45</t>
  </si>
  <si>
    <t>16/08/2025 07:00</t>
  </si>
  <si>
    <t>16/08/2025 07:15</t>
  </si>
  <si>
    <t>16/08/2025 07:30</t>
  </si>
  <si>
    <t>16/08/2025 07:45</t>
  </si>
  <si>
    <t>16/08/2025 08:00</t>
  </si>
  <si>
    <t>16/08/2025 08:15</t>
  </si>
  <si>
    <t>16/08/2025 08:30</t>
  </si>
  <si>
    <t>16/08/2025 08:45</t>
  </si>
  <si>
    <t>16/08/2025 09:00</t>
  </si>
  <si>
    <t>16/08/2025 09:15</t>
  </si>
  <si>
    <t>16/08/2025 09:30</t>
  </si>
  <si>
    <t>16/08/2025 09:45</t>
  </si>
  <si>
    <t>16/08/2025 10:00</t>
  </si>
  <si>
    <t>16/08/2025 10:15</t>
  </si>
  <si>
    <t>16/08/2025 10:30</t>
  </si>
  <si>
    <t>16/08/2025 10:45</t>
  </si>
  <si>
    <t>16/08/2025 11:00</t>
  </si>
  <si>
    <t>16/08/2025 11:15</t>
  </si>
  <si>
    <t>16/08/2025 11:30</t>
  </si>
  <si>
    <t>16/08/2025 11:45</t>
  </si>
  <si>
    <t>16/08/2025 12:00</t>
  </si>
  <si>
    <t>16/08/2025 12:15</t>
  </si>
  <si>
    <t>16/08/2025 12:30</t>
  </si>
  <si>
    <t>16/08/2025 12:45</t>
  </si>
  <si>
    <t>16/08/2025 13:00</t>
  </si>
  <si>
    <t>16/08/2025 13:15</t>
  </si>
  <si>
    <t>16/08/2025 13:30</t>
  </si>
  <si>
    <t>16/08/2025 13:45</t>
  </si>
  <si>
    <t>16/08/2025 14:00</t>
  </si>
  <si>
    <t>16/08/2025 14:15</t>
  </si>
  <si>
    <t>16/08/2025 14:30</t>
  </si>
  <si>
    <t>16/08/2025 14:45</t>
  </si>
  <si>
    <t>16/08/2025 15:00</t>
  </si>
  <si>
    <t>16/08/2025 15:15</t>
  </si>
  <si>
    <t>16/08/2025 15:30</t>
  </si>
  <si>
    <t>16/08/2025 15:45</t>
  </si>
  <si>
    <t>16/08/2025 16:00</t>
  </si>
  <si>
    <t>16/08/2025 16:15</t>
  </si>
  <si>
    <t>16/08/2025 16:30</t>
  </si>
  <si>
    <t>16/08/2025 16:45</t>
  </si>
  <si>
    <t>16/08/2025 17:00</t>
  </si>
  <si>
    <t>16/08/2025 17:15</t>
  </si>
  <si>
    <t>16/08/2025 17:30</t>
  </si>
  <si>
    <t>16/08/2025 17:45</t>
  </si>
  <si>
    <t>16/08/2025 18:00</t>
  </si>
  <si>
    <t>16/08/2025 18:15</t>
  </si>
  <si>
    <t>16/08/2025 18:30</t>
  </si>
  <si>
    <t>16/08/2025 18:45</t>
  </si>
  <si>
    <t>16/08/2025 19:00</t>
  </si>
  <si>
    <t>16/08/2025 19:15</t>
  </si>
  <si>
    <t>16/08/2025 19:30</t>
  </si>
  <si>
    <t>16/08/2025 19:45</t>
  </si>
  <si>
    <t>16/08/2025 20:00</t>
  </si>
  <si>
    <t>16/08/2025 20:15</t>
  </si>
  <si>
    <t>16/08/2025 20:30</t>
  </si>
  <si>
    <t>16/08/2025 20:45</t>
  </si>
  <si>
    <t>16/08/2025 21:00</t>
  </si>
  <si>
    <t>16/08/2025 21:15</t>
  </si>
  <si>
    <t>16/08/2025 21:30</t>
  </si>
  <si>
    <t>16/08/2025 21:45</t>
  </si>
  <si>
    <t>16/08/2025 22:00</t>
  </si>
  <si>
    <t>16/08/2025 22:15</t>
  </si>
  <si>
    <t>16/08/2025 22:30</t>
  </si>
  <si>
    <t>16/08/2025 22:45</t>
  </si>
  <si>
    <t>16/08/2025 23:00</t>
  </si>
  <si>
    <t>16/08/2025 23:15</t>
  </si>
  <si>
    <t>16/08/2025 23:30</t>
  </si>
  <si>
    <t>16/08/2025 23:45</t>
  </si>
  <si>
    <t>16/08/2025 24:00</t>
  </si>
  <si>
    <t>17/08/2025 00:15</t>
  </si>
  <si>
    <t>17/08/2025 00:30</t>
  </si>
  <si>
    <t>17/08/2025 00:45</t>
  </si>
  <si>
    <t>17/08/2025 01:00</t>
  </si>
  <si>
    <t>17/08/2025 01:15</t>
  </si>
  <si>
    <t>17/08/2025 01:30</t>
  </si>
  <si>
    <t>17/08/2025 01:45</t>
  </si>
  <si>
    <t>17/08/2025 02:00</t>
  </si>
  <si>
    <t>17/08/2025 02:15</t>
  </si>
  <si>
    <t>17/08/2025 02:30</t>
  </si>
  <si>
    <t>17/08/2025 02:45</t>
  </si>
  <si>
    <t>17/08/2025 03:00</t>
  </si>
  <si>
    <t>17/08/2025 03:15</t>
  </si>
  <si>
    <t>17/08/2025 03:30</t>
  </si>
  <si>
    <t>17/08/2025 03:45</t>
  </si>
  <si>
    <t>17/08/2025 04:00</t>
  </si>
  <si>
    <t>17/08/2025 04:15</t>
  </si>
  <si>
    <t>17/08/2025 04:30</t>
  </si>
  <si>
    <t>17/08/2025 04:45</t>
  </si>
  <si>
    <t>17/08/2025 05:00</t>
  </si>
  <si>
    <t>17/08/2025 05:15</t>
  </si>
  <si>
    <t>17/08/2025 05:30</t>
  </si>
  <si>
    <t>17/08/2025 05:45</t>
  </si>
  <si>
    <t>17/08/2025 06:00</t>
  </si>
  <si>
    <t>17/08/2025 06:15</t>
  </si>
  <si>
    <t>17/08/2025 06:30</t>
  </si>
  <si>
    <t>17/08/2025 06:45</t>
  </si>
  <si>
    <t>17/08/2025 07:00</t>
  </si>
  <si>
    <t>17/08/2025 07:15</t>
  </si>
  <si>
    <t>17/08/2025 07:30</t>
  </si>
  <si>
    <t>17/08/2025 07:45</t>
  </si>
  <si>
    <t>17/08/2025 08:00</t>
  </si>
  <si>
    <t>17/08/2025 08:15</t>
  </si>
  <si>
    <t>17/08/2025 08:30</t>
  </si>
  <si>
    <t>17/08/2025 08:45</t>
  </si>
  <si>
    <t>17/08/2025 09:00</t>
  </si>
  <si>
    <t>17/08/2025 09:15</t>
  </si>
  <si>
    <t>17/08/2025 09:30</t>
  </si>
  <si>
    <t>17/08/2025 09:45</t>
  </si>
  <si>
    <t>17/08/2025 10:00</t>
  </si>
  <si>
    <t>17/08/2025 10:15</t>
  </si>
  <si>
    <t>17/08/2025 10:30</t>
  </si>
  <si>
    <t>17/08/2025 10:45</t>
  </si>
  <si>
    <t>17/08/2025 11:00</t>
  </si>
  <si>
    <t>17/08/2025 11:15</t>
  </si>
  <si>
    <t>17/08/2025 11:30</t>
  </si>
  <si>
    <t>17/08/2025 11:45</t>
  </si>
  <si>
    <t>17/08/2025 12:00</t>
  </si>
  <si>
    <t>17/08/2025 12:15</t>
  </si>
  <si>
    <t>17/08/2025 12:30</t>
  </si>
  <si>
    <t>17/08/2025 12:45</t>
  </si>
  <si>
    <t>17/08/2025 13:00</t>
  </si>
  <si>
    <t>17/08/2025 13:15</t>
  </si>
  <si>
    <t>17/08/2025 13:30</t>
  </si>
  <si>
    <t>17/08/2025 13:45</t>
  </si>
  <si>
    <t>17/08/2025 14:00</t>
  </si>
  <si>
    <t>17/08/2025 14:15</t>
  </si>
  <si>
    <t>17/08/2025 14:30</t>
  </si>
  <si>
    <t>17/08/2025 14:45</t>
  </si>
  <si>
    <t>17/08/2025 15:00</t>
  </si>
  <si>
    <t>17/08/2025 15:15</t>
  </si>
  <si>
    <t>17/08/2025 15:30</t>
  </si>
  <si>
    <t>17/08/2025 15:45</t>
  </si>
  <si>
    <t>17/08/2025 16:00</t>
  </si>
  <si>
    <t>17/08/2025 16:15</t>
  </si>
  <si>
    <t>17/08/2025 16:30</t>
  </si>
  <si>
    <t>17/08/2025 16:45</t>
  </si>
  <si>
    <t>17/08/2025 17:00</t>
  </si>
  <si>
    <t>17/08/2025 17:15</t>
  </si>
  <si>
    <t>17/08/2025 17:30</t>
  </si>
  <si>
    <t>17/08/2025 17:45</t>
  </si>
  <si>
    <t>17/08/2025 18:00</t>
  </si>
  <si>
    <t>17/08/2025 18:15</t>
  </si>
  <si>
    <t>17/08/2025 18:30</t>
  </si>
  <si>
    <t>17/08/2025 18:45</t>
  </si>
  <si>
    <t>17/08/2025 19:00</t>
  </si>
  <si>
    <t>17/08/2025 19:15</t>
  </si>
  <si>
    <t>17/08/2025 19:30</t>
  </si>
  <si>
    <t>17/08/2025 19:45</t>
  </si>
  <si>
    <t>17/08/2025 20:00</t>
  </si>
  <si>
    <t>17/08/2025 20:15</t>
  </si>
  <si>
    <t>17/08/2025 20:30</t>
  </si>
  <si>
    <t>17/08/2025 20:45</t>
  </si>
  <si>
    <t>17/08/2025 21:00</t>
  </si>
  <si>
    <t>17/08/2025 21:15</t>
  </si>
  <si>
    <t>17/08/2025 21:30</t>
  </si>
  <si>
    <t>17/08/2025 21:45</t>
  </si>
  <si>
    <t>17/08/2025 22:00</t>
  </si>
  <si>
    <t>17/08/2025 22:15</t>
  </si>
  <si>
    <t>17/08/2025 22:30</t>
  </si>
  <si>
    <t>17/08/2025 22:45</t>
  </si>
  <si>
    <t>17/08/2025 23:00</t>
  </si>
  <si>
    <t>17/08/2025 23:15</t>
  </si>
  <si>
    <t>17/08/2025 23:30</t>
  </si>
  <si>
    <t>17/08/2025 23:45</t>
  </si>
  <si>
    <t>17/08/2025 24:00</t>
  </si>
  <si>
    <t>18/08/2025 00:15</t>
  </si>
  <si>
    <t>18/08/2025 00:30</t>
  </si>
  <si>
    <t>18/08/2025 00:45</t>
  </si>
  <si>
    <t>18/08/2025 01:00</t>
  </si>
  <si>
    <t>18/08/2025 01:15</t>
  </si>
  <si>
    <t>18/08/2025 01:30</t>
  </si>
  <si>
    <t>18/08/2025 01:45</t>
  </si>
  <si>
    <t>18/08/2025 02:00</t>
  </si>
  <si>
    <t>18/08/2025 02:15</t>
  </si>
  <si>
    <t>18/08/2025 02:30</t>
  </si>
  <si>
    <t>18/08/2025 02:45</t>
  </si>
  <si>
    <t>18/08/2025 03:00</t>
  </si>
  <si>
    <t>18/08/2025 03:15</t>
  </si>
  <si>
    <t>18/08/2025 03:30</t>
  </si>
  <si>
    <t>18/08/2025 03:45</t>
  </si>
  <si>
    <t>18/08/2025 04:00</t>
  </si>
  <si>
    <t>18/08/2025 04:15</t>
  </si>
  <si>
    <t>18/08/2025 04:30</t>
  </si>
  <si>
    <t>18/08/2025 04:45</t>
  </si>
  <si>
    <t>18/08/2025 05:00</t>
  </si>
  <si>
    <t>18/08/2025 05:15</t>
  </si>
  <si>
    <t>18/08/2025 05:30</t>
  </si>
  <si>
    <t>18/08/2025 05:45</t>
  </si>
  <si>
    <t>18/08/2025 06:00</t>
  </si>
  <si>
    <t>18/08/2025 06:15</t>
  </si>
  <si>
    <t>18/08/2025 06:30</t>
  </si>
  <si>
    <t>18/08/2025 06:45</t>
  </si>
  <si>
    <t>18/08/2025 07:00</t>
  </si>
  <si>
    <t>18/08/2025 07:15</t>
  </si>
  <si>
    <t>18/08/2025 07:30</t>
  </si>
  <si>
    <t>18/08/2025 07:45</t>
  </si>
  <si>
    <t>18/08/2025 08:00</t>
  </si>
  <si>
    <t>18/08/2025 08:15</t>
  </si>
  <si>
    <t>18/08/2025 08:30</t>
  </si>
  <si>
    <t>18/08/2025 08:45</t>
  </si>
  <si>
    <t>18/08/2025 09:00</t>
  </si>
  <si>
    <t>18/08/2025 09:15</t>
  </si>
  <si>
    <t>18/08/2025 09:30</t>
  </si>
  <si>
    <t>18/08/2025 09:45</t>
  </si>
  <si>
    <t>18/08/2025 10:00</t>
  </si>
  <si>
    <t>18/08/2025 10:15</t>
  </si>
  <si>
    <t>18/08/2025 10:30</t>
  </si>
  <si>
    <t>18/08/2025 10:45</t>
  </si>
  <si>
    <t>18/08/2025 11:00</t>
  </si>
  <si>
    <t>18/08/2025 11:15</t>
  </si>
  <si>
    <t>18/08/2025 11:30</t>
  </si>
  <si>
    <t>18/08/2025 11:45</t>
  </si>
  <si>
    <t>18/08/2025 12:00</t>
  </si>
  <si>
    <t>18/08/2025 12:15</t>
  </si>
  <si>
    <t>18/08/2025 12:30</t>
  </si>
  <si>
    <t>18/08/2025 12:45</t>
  </si>
  <si>
    <t>18/08/2025 13:00</t>
  </si>
  <si>
    <t>18/08/2025 13:15</t>
  </si>
  <si>
    <t>18/08/2025 13:30</t>
  </si>
  <si>
    <t>18/08/2025 13:45</t>
  </si>
  <si>
    <t>18/08/2025 14:00</t>
  </si>
  <si>
    <t>18/08/2025 14:15</t>
  </si>
  <si>
    <t>18/08/2025 14:30</t>
  </si>
  <si>
    <t>18/08/2025 14:45</t>
  </si>
  <si>
    <t>18/08/2025 15:00</t>
  </si>
  <si>
    <t>18/08/2025 15:15</t>
  </si>
  <si>
    <t>18/08/2025 15:30</t>
  </si>
  <si>
    <t>18/08/2025 15:45</t>
  </si>
  <si>
    <t>18/08/2025 16:00</t>
  </si>
  <si>
    <t>18/08/2025 16:15</t>
  </si>
  <si>
    <t>18/08/2025 16:30</t>
  </si>
  <si>
    <t>18/08/2025 16:45</t>
  </si>
  <si>
    <t>18/08/2025 17:00</t>
  </si>
  <si>
    <t>18/08/2025 17:15</t>
  </si>
  <si>
    <t>18/08/2025 17:30</t>
  </si>
  <si>
    <t>18/08/2025 17:45</t>
  </si>
  <si>
    <t>18/08/2025 18:00</t>
  </si>
  <si>
    <t>18/08/2025 18:15</t>
  </si>
  <si>
    <t>18/08/2025 18:30</t>
  </si>
  <si>
    <t>18/08/2025 18:45</t>
  </si>
  <si>
    <t>18/08/2025 19:00</t>
  </si>
  <si>
    <t>18/08/2025 19:15</t>
  </si>
  <si>
    <t>18/08/2025 19:30</t>
  </si>
  <si>
    <t>18/08/2025 19:45</t>
  </si>
  <si>
    <t>18/08/2025 20:00</t>
  </si>
  <si>
    <t>18/08/2025 20:15</t>
  </si>
  <si>
    <t>18/08/2025 20:30</t>
  </si>
  <si>
    <t>18/08/2025 20:45</t>
  </si>
  <si>
    <t>18/08/2025 21:00</t>
  </si>
  <si>
    <t>18/08/2025 21:15</t>
  </si>
  <si>
    <t>18/08/2025 21:30</t>
  </si>
  <si>
    <t>18/08/2025 21:45</t>
  </si>
  <si>
    <t>18/08/2025 22:00</t>
  </si>
  <si>
    <t>18/08/2025 22:15</t>
  </si>
  <si>
    <t>18/08/2025 22:30</t>
  </si>
  <si>
    <t>18/08/2025 22:45</t>
  </si>
  <si>
    <t>18/08/2025 23:00</t>
  </si>
  <si>
    <t>18/08/2025 23:15</t>
  </si>
  <si>
    <t>18/08/2025 23:30</t>
  </si>
  <si>
    <t>18/08/2025 23:45</t>
  </si>
  <si>
    <t>18/08/2025 24:00</t>
  </si>
  <si>
    <t>19/08/2025 00:15</t>
  </si>
  <si>
    <t>19/08/2025 00:30</t>
  </si>
  <si>
    <t>19/08/2025 00:45</t>
  </si>
  <si>
    <t>19/08/2025 01:00</t>
  </si>
  <si>
    <t>19/08/2025 01:15</t>
  </si>
  <si>
    <t>19/08/2025 01:30</t>
  </si>
  <si>
    <t>19/08/2025 01:45</t>
  </si>
  <si>
    <t>19/08/2025 02:00</t>
  </si>
  <si>
    <t>19/08/2025 02:15</t>
  </si>
  <si>
    <t>19/08/2025 02:30</t>
  </si>
  <si>
    <t>19/08/2025 02:45</t>
  </si>
  <si>
    <t>19/08/2025 03:00</t>
  </si>
  <si>
    <t>19/08/2025 03:15</t>
  </si>
  <si>
    <t>19/08/2025 03:30</t>
  </si>
  <si>
    <t>19/08/2025 03:45</t>
  </si>
  <si>
    <t>19/08/2025 04:00</t>
  </si>
  <si>
    <t>19/08/2025 04:15</t>
  </si>
  <si>
    <t>19/08/2025 04:30</t>
  </si>
  <si>
    <t>19/08/2025 04:45</t>
  </si>
  <si>
    <t>19/08/2025 05:00</t>
  </si>
  <si>
    <t>19/08/2025 05:15</t>
  </si>
  <si>
    <t>19/08/2025 05:30</t>
  </si>
  <si>
    <t>19/08/2025 05:45</t>
  </si>
  <si>
    <t>19/08/2025 06:00</t>
  </si>
  <si>
    <t>19/08/2025 06:15</t>
  </si>
  <si>
    <t>19/08/2025 06:30</t>
  </si>
  <si>
    <t>19/08/2025 06:45</t>
  </si>
  <si>
    <t>19/08/2025 07:00</t>
  </si>
  <si>
    <t>19/08/2025 07:15</t>
  </si>
  <si>
    <t>19/08/2025 07:30</t>
  </si>
  <si>
    <t>19/08/2025 07:45</t>
  </si>
  <si>
    <t>19/08/2025 08:00</t>
  </si>
  <si>
    <t>19/08/2025 08:15</t>
  </si>
  <si>
    <t>19/08/2025 08:30</t>
  </si>
  <si>
    <t>19/08/2025 08:45</t>
  </si>
  <si>
    <t>19/08/2025 09:00</t>
  </si>
  <si>
    <t>19/08/2025 09:15</t>
  </si>
  <si>
    <t>19/08/2025 09:30</t>
  </si>
  <si>
    <t>19/08/2025 09:45</t>
  </si>
  <si>
    <t>19/08/2025 10:00</t>
  </si>
  <si>
    <t>19/08/2025 10:15</t>
  </si>
  <si>
    <t>19/08/2025 10:30</t>
  </si>
  <si>
    <t>19/08/2025 10:45</t>
  </si>
  <si>
    <t>19/08/2025 11:00</t>
  </si>
  <si>
    <t>19/08/2025 11:15</t>
  </si>
  <si>
    <t>19/08/2025 11:30</t>
  </si>
  <si>
    <t>19/08/2025 11:45</t>
  </si>
  <si>
    <t>19/08/2025 12:00</t>
  </si>
  <si>
    <t>19/08/2025 12:15</t>
  </si>
  <si>
    <t>19/08/2025 12:30</t>
  </si>
  <si>
    <t>19/08/2025 12:45</t>
  </si>
  <si>
    <t>19/08/2025 13:00</t>
  </si>
  <si>
    <t>19/08/2025 13:15</t>
  </si>
  <si>
    <t>19/08/2025 13:30</t>
  </si>
  <si>
    <t>19/08/2025 13:45</t>
  </si>
  <si>
    <t>19/08/2025 14:00</t>
  </si>
  <si>
    <t>19/08/2025 14:15</t>
  </si>
  <si>
    <t>19/08/2025 14:30</t>
  </si>
  <si>
    <t>19/08/2025 14:45</t>
  </si>
  <si>
    <t>19/08/2025 15:00</t>
  </si>
  <si>
    <t>19/08/2025 15:15</t>
  </si>
  <si>
    <t>19/08/2025 15:30</t>
  </si>
  <si>
    <t>19/08/2025 15:45</t>
  </si>
  <si>
    <t>19/08/2025 16:00</t>
  </si>
  <si>
    <t>19/08/2025 16:15</t>
  </si>
  <si>
    <t>19/08/2025 16:30</t>
  </si>
  <si>
    <t>19/08/2025 16:45</t>
  </si>
  <si>
    <t>19/08/2025 17:00</t>
  </si>
  <si>
    <t>19/08/2025 17:15</t>
  </si>
  <si>
    <t>19/08/2025 17:30</t>
  </si>
  <si>
    <t>19/08/2025 17:45</t>
  </si>
  <si>
    <t>19/08/2025 18:00</t>
  </si>
  <si>
    <t>19/08/2025 18:15</t>
  </si>
  <si>
    <t>19/08/2025 18:30</t>
  </si>
  <si>
    <t>19/08/2025 18:45</t>
  </si>
  <si>
    <t>19/08/2025 19:00</t>
  </si>
  <si>
    <t>19/08/2025 19:15</t>
  </si>
  <si>
    <t>19/08/2025 19:30</t>
  </si>
  <si>
    <t>19/08/2025 19:45</t>
  </si>
  <si>
    <t>19/08/2025 20:00</t>
  </si>
  <si>
    <t>19/08/2025 20:15</t>
  </si>
  <si>
    <t>19/08/2025 20:30</t>
  </si>
  <si>
    <t>19/08/2025 20:45</t>
  </si>
  <si>
    <t>19/08/2025 21:00</t>
  </si>
  <si>
    <t>19/08/2025 21:15</t>
  </si>
  <si>
    <t>19/08/2025 21:30</t>
  </si>
  <si>
    <t>19/08/2025 21:45</t>
  </si>
  <si>
    <t>19/08/2025 22:00</t>
  </si>
  <si>
    <t>19/08/2025 22:15</t>
  </si>
  <si>
    <t>19/08/2025 22:30</t>
  </si>
  <si>
    <t>19/08/2025 22:45</t>
  </si>
  <si>
    <t>19/08/2025 23:00</t>
  </si>
  <si>
    <t>19/08/2025 23:15</t>
  </si>
  <si>
    <t>19/08/2025 23:30</t>
  </si>
  <si>
    <t>19/08/2025 23:45</t>
  </si>
  <si>
    <t>19/08/2025 24:00</t>
  </si>
  <si>
    <t>20/08/2025 00:15</t>
  </si>
  <si>
    <t>20/08/2025 00:30</t>
  </si>
  <si>
    <t>20/08/2025 00:45</t>
  </si>
  <si>
    <t>20/08/2025 01:00</t>
  </si>
  <si>
    <t>20/08/2025 01:15</t>
  </si>
  <si>
    <t>20/08/2025 01:30</t>
  </si>
  <si>
    <t>20/08/2025 01:45</t>
  </si>
  <si>
    <t>20/08/2025 02:00</t>
  </si>
  <si>
    <t>20/08/2025 02:15</t>
  </si>
  <si>
    <t>20/08/2025 02:30</t>
  </si>
  <si>
    <t>20/08/2025 02:45</t>
  </si>
  <si>
    <t>20/08/2025 03:00</t>
  </si>
  <si>
    <t>20/08/2025 03:15</t>
  </si>
  <si>
    <t>20/08/2025 03:30</t>
  </si>
  <si>
    <t>20/08/2025 03:45</t>
  </si>
  <si>
    <t>20/08/2025 04:00</t>
  </si>
  <si>
    <t>20/08/2025 04:15</t>
  </si>
  <si>
    <t>20/08/2025 04:30</t>
  </si>
  <si>
    <t>20/08/2025 04:45</t>
  </si>
  <si>
    <t>20/08/2025 05:00</t>
  </si>
  <si>
    <t>20/08/2025 05:15</t>
  </si>
  <si>
    <t>20/08/2025 05:30</t>
  </si>
  <si>
    <t>20/08/2025 05:45</t>
  </si>
  <si>
    <t>20/08/2025 06:00</t>
  </si>
  <si>
    <t>20/08/2025 06:15</t>
  </si>
  <si>
    <t>20/08/2025 06:30</t>
  </si>
  <si>
    <t>20/08/2025 06:45</t>
  </si>
  <si>
    <t>20/08/2025 07:00</t>
  </si>
  <si>
    <t>20/08/2025 07:15</t>
  </si>
  <si>
    <t>20/08/2025 07:30</t>
  </si>
  <si>
    <t>20/08/2025 07:45</t>
  </si>
  <si>
    <t>20/08/2025 08:00</t>
  </si>
  <si>
    <t>20/08/2025 08:15</t>
  </si>
  <si>
    <t>20/08/2025 08:30</t>
  </si>
  <si>
    <t>20/08/2025 08:45</t>
  </si>
  <si>
    <t>20/08/2025 09:00</t>
  </si>
  <si>
    <t>20/08/2025 09:15</t>
  </si>
  <si>
    <t>20/08/2025 09:30</t>
  </si>
  <si>
    <t>20/08/2025 09:45</t>
  </si>
  <si>
    <t>20/08/2025 10:00</t>
  </si>
  <si>
    <t>20/08/2025 10:15</t>
  </si>
  <si>
    <t>20/08/2025 10:30</t>
  </si>
  <si>
    <t>20/08/2025 10:45</t>
  </si>
  <si>
    <t>20/08/2025 11:00</t>
  </si>
  <si>
    <t>20/08/2025 11:15</t>
  </si>
  <si>
    <t>20/08/2025 11:30</t>
  </si>
  <si>
    <t>20/08/2025 11:45</t>
  </si>
  <si>
    <t>20/08/2025 12:00</t>
  </si>
  <si>
    <t>20/08/2025 12:15</t>
  </si>
  <si>
    <t>20/08/2025 12:30</t>
  </si>
  <si>
    <t>20/08/2025 12:45</t>
  </si>
  <si>
    <t>20/08/2025 13:00</t>
  </si>
  <si>
    <t>20/08/2025 13:15</t>
  </si>
  <si>
    <t>20/08/2025 13:30</t>
  </si>
  <si>
    <t>20/08/2025 13:45</t>
  </si>
  <si>
    <t>20/08/2025 14:00</t>
  </si>
  <si>
    <t>20/08/2025 14:15</t>
  </si>
  <si>
    <t>20/08/2025 14:30</t>
  </si>
  <si>
    <t>20/08/2025 14:45</t>
  </si>
  <si>
    <t>20/08/2025 15:00</t>
  </si>
  <si>
    <t>20/08/2025 15:15</t>
  </si>
  <si>
    <t>20/08/2025 15:30</t>
  </si>
  <si>
    <t>20/08/2025 15:45</t>
  </si>
  <si>
    <t>20/08/2025 16:00</t>
  </si>
  <si>
    <t>20/08/2025 16:15</t>
  </si>
  <si>
    <t>20/08/2025 16:30</t>
  </si>
  <si>
    <t>20/08/2025 16:45</t>
  </si>
  <si>
    <t>20/08/2025 17:00</t>
  </si>
  <si>
    <t>20/08/2025 17:15</t>
  </si>
  <si>
    <t>20/08/2025 17:30</t>
  </si>
  <si>
    <t>20/08/2025 17:45</t>
  </si>
  <si>
    <t>20/08/2025 18:00</t>
  </si>
  <si>
    <t>20/08/2025 18:15</t>
  </si>
  <si>
    <t>20/08/2025 18:30</t>
  </si>
  <si>
    <t>20/08/2025 18:45</t>
  </si>
  <si>
    <t>20/08/2025 19:00</t>
  </si>
  <si>
    <t>20/08/2025 19:15</t>
  </si>
  <si>
    <t>20/08/2025 19:30</t>
  </si>
  <si>
    <t>20/08/2025 19:45</t>
  </si>
  <si>
    <t>20/08/2025 20:00</t>
  </si>
  <si>
    <t>20/08/2025 20:15</t>
  </si>
  <si>
    <t>20/08/2025 20:30</t>
  </si>
  <si>
    <t>20/08/2025 20:45</t>
  </si>
  <si>
    <t>20/08/2025 21:00</t>
  </si>
  <si>
    <t>20/08/2025 21:15</t>
  </si>
  <si>
    <t>20/08/2025 21:30</t>
  </si>
  <si>
    <t>20/08/2025 21:45</t>
  </si>
  <si>
    <t>20/08/2025 22:00</t>
  </si>
  <si>
    <t>20/08/2025 22:15</t>
  </si>
  <si>
    <t>20/08/2025 22:30</t>
  </si>
  <si>
    <t>20/08/2025 22:45</t>
  </si>
  <si>
    <t>20/08/2025 23:00</t>
  </si>
  <si>
    <t>20/08/2025 23:15</t>
  </si>
  <si>
    <t>20/08/2025 23:30</t>
  </si>
  <si>
    <t>20/08/2025 23:45</t>
  </si>
  <si>
    <t>20/08/2025 24:00</t>
  </si>
  <si>
    <t>21/08/2025 00:15</t>
  </si>
  <si>
    <t>21/08/2025 00:30</t>
  </si>
  <si>
    <t>21/08/2025 00:45</t>
  </si>
  <si>
    <t>21/08/2025 01:00</t>
  </si>
  <si>
    <t>21/08/2025 01:15</t>
  </si>
  <si>
    <t>21/08/2025 01:30</t>
  </si>
  <si>
    <t>21/08/2025 01:45</t>
  </si>
  <si>
    <t>21/08/2025 02:00</t>
  </si>
  <si>
    <t>21/08/2025 02:15</t>
  </si>
  <si>
    <t>21/08/2025 02:30</t>
  </si>
  <si>
    <t>21/08/2025 02:45</t>
  </si>
  <si>
    <t>21/08/2025 03:00</t>
  </si>
  <si>
    <t>21/08/2025 03:15</t>
  </si>
  <si>
    <t>21/08/2025 03:30</t>
  </si>
  <si>
    <t>21/08/2025 03:45</t>
  </si>
  <si>
    <t>21/08/2025 04:00</t>
  </si>
  <si>
    <t>21/08/2025 04:15</t>
  </si>
  <si>
    <t>21/08/2025 04:30</t>
  </si>
  <si>
    <t>21/08/2025 04:45</t>
  </si>
  <si>
    <t>21/08/2025 05:00</t>
  </si>
  <si>
    <t>21/08/2025 05:15</t>
  </si>
  <si>
    <t>21/08/2025 05:30</t>
  </si>
  <si>
    <t>21/08/2025 05:45</t>
  </si>
  <si>
    <t>21/08/2025 06:00</t>
  </si>
  <si>
    <t>21/08/2025 06:15</t>
  </si>
  <si>
    <t>21/08/2025 06:30</t>
  </si>
  <si>
    <t>21/08/2025 06:45</t>
  </si>
  <si>
    <t>21/08/2025 07:00</t>
  </si>
  <si>
    <t>21/08/2025 07:15</t>
  </si>
  <si>
    <t>21/08/2025 07:30</t>
  </si>
  <si>
    <t>21/08/2025 07:45</t>
  </si>
  <si>
    <t>21/08/2025 08:00</t>
  </si>
  <si>
    <t>21/08/2025 08:15</t>
  </si>
  <si>
    <t>21/08/2025 08:30</t>
  </si>
  <si>
    <t>21/08/2025 08:45</t>
  </si>
  <si>
    <t>21/08/2025 09:00</t>
  </si>
  <si>
    <t>21/08/2025 09:15</t>
  </si>
  <si>
    <t>21/08/2025 09:30</t>
  </si>
  <si>
    <t>21/08/2025 09:45</t>
  </si>
  <si>
    <t>21/08/2025 10:00</t>
  </si>
  <si>
    <t>21/08/2025 10:15</t>
  </si>
  <si>
    <t>21/08/2025 10:30</t>
  </si>
  <si>
    <t>21/08/2025 10:45</t>
  </si>
  <si>
    <t>21/08/2025 11:00</t>
  </si>
  <si>
    <t>21/08/2025 11:15</t>
  </si>
  <si>
    <t>21/08/2025 11:30</t>
  </si>
  <si>
    <t>21/08/2025 11:45</t>
  </si>
  <si>
    <t>21/08/2025 12:00</t>
  </si>
  <si>
    <t>21/08/2025 12:15</t>
  </si>
  <si>
    <t>21/08/2025 12:30</t>
  </si>
  <si>
    <t>21/08/2025 12:45</t>
  </si>
  <si>
    <t>21/08/2025 13:00</t>
  </si>
  <si>
    <t>21/08/2025 13:15</t>
  </si>
  <si>
    <t>21/08/2025 13:30</t>
  </si>
  <si>
    <t>21/08/2025 13:45</t>
  </si>
  <si>
    <t>21/08/2025 14:00</t>
  </si>
  <si>
    <t>21/08/2025 14:15</t>
  </si>
  <si>
    <t>21/08/2025 14:30</t>
  </si>
  <si>
    <t>21/08/2025 14:45</t>
  </si>
  <si>
    <t>21/08/2025 15:00</t>
  </si>
  <si>
    <t>21/08/2025 15:15</t>
  </si>
  <si>
    <t>21/08/2025 15:30</t>
  </si>
  <si>
    <t>21/08/2025 15:45</t>
  </si>
  <si>
    <t>21/08/2025 16:00</t>
  </si>
  <si>
    <t>21/08/2025 16:15</t>
  </si>
  <si>
    <t>21/08/2025 16:30</t>
  </si>
  <si>
    <t>21/08/2025 16:45</t>
  </si>
  <si>
    <t>21/08/2025 17:00</t>
  </si>
  <si>
    <t>21/08/2025 17:15</t>
  </si>
  <si>
    <t>21/08/2025 17:30</t>
  </si>
  <si>
    <t>21/08/2025 17:45</t>
  </si>
  <si>
    <t>21/08/2025 18:00</t>
  </si>
  <si>
    <t>21/08/2025 18:15</t>
  </si>
  <si>
    <t>21/08/2025 18:30</t>
  </si>
  <si>
    <t>21/08/2025 18:45</t>
  </si>
  <si>
    <t>21/08/2025 19:00</t>
  </si>
  <si>
    <t>21/08/2025 19:15</t>
  </si>
  <si>
    <t>21/08/2025 19:30</t>
  </si>
  <si>
    <t>21/08/2025 19:45</t>
  </si>
  <si>
    <t>21/08/2025 20:00</t>
  </si>
  <si>
    <t>21/08/2025 20:15</t>
  </si>
  <si>
    <t>21/08/2025 20:30</t>
  </si>
  <si>
    <t>21/08/2025 20:45</t>
  </si>
  <si>
    <t>21/08/2025 21:00</t>
  </si>
  <si>
    <t>21/08/2025 21:15</t>
  </si>
  <si>
    <t>21/08/2025 21:30</t>
  </si>
  <si>
    <t>21/08/2025 21:45</t>
  </si>
  <si>
    <t>21/08/2025 22:00</t>
  </si>
  <si>
    <t>21/08/2025 22:15</t>
  </si>
  <si>
    <t>21/08/2025 22:30</t>
  </si>
  <si>
    <t>21/08/2025 22:45</t>
  </si>
  <si>
    <t>21/08/2025 23:00</t>
  </si>
  <si>
    <t>21/08/2025 23:15</t>
  </si>
  <si>
    <t>21/08/2025 23:30</t>
  </si>
  <si>
    <t>21/08/2025 23:45</t>
  </si>
  <si>
    <t>21/08/2025 24:00</t>
  </si>
  <si>
    <t>22/08/2025 00:15</t>
  </si>
  <si>
    <t>22/08/2025 00:30</t>
  </si>
  <si>
    <t>22/08/2025 00:45</t>
  </si>
  <si>
    <t>22/08/2025 01:00</t>
  </si>
  <si>
    <t>22/08/2025 01:15</t>
  </si>
  <si>
    <t>22/08/2025 01:30</t>
  </si>
  <si>
    <t>22/08/2025 01:45</t>
  </si>
  <si>
    <t>22/08/2025 02:00</t>
  </si>
  <si>
    <t>22/08/2025 02:15</t>
  </si>
  <si>
    <t>22/08/2025 02:30</t>
  </si>
  <si>
    <t>22/08/2025 02:45</t>
  </si>
  <si>
    <t>22/08/2025 03:00</t>
  </si>
  <si>
    <t>22/08/2025 03:15</t>
  </si>
  <si>
    <t>22/08/2025 03:30</t>
  </si>
  <si>
    <t>22/08/2025 03:45</t>
  </si>
  <si>
    <t>22/08/2025 04:00</t>
  </si>
  <si>
    <t>22/08/2025 04:15</t>
  </si>
  <si>
    <t>22/08/2025 04:30</t>
  </si>
  <si>
    <t>22/08/2025 04:45</t>
  </si>
  <si>
    <t>22/08/2025 05:00</t>
  </si>
  <si>
    <t>22/08/2025 05:15</t>
  </si>
  <si>
    <t>22/08/2025 05:30</t>
  </si>
  <si>
    <t>22/08/2025 05:45</t>
  </si>
  <si>
    <t>22/08/2025 06:00</t>
  </si>
  <si>
    <t>22/08/2025 06:15</t>
  </si>
  <si>
    <t>22/08/2025 06:30</t>
  </si>
  <si>
    <t>22/08/2025 06:45</t>
  </si>
  <si>
    <t>22/08/2025 07:00</t>
  </si>
  <si>
    <t>22/08/2025 07:15</t>
  </si>
  <si>
    <t>22/08/2025 07:30</t>
  </si>
  <si>
    <t>22/08/2025 07:45</t>
  </si>
  <si>
    <t>22/08/2025 08:00</t>
  </si>
  <si>
    <t>22/08/2025 08:15</t>
  </si>
  <si>
    <t>22/08/2025 08:30</t>
  </si>
  <si>
    <t>22/08/2025 08:45</t>
  </si>
  <si>
    <t>22/08/2025 09:00</t>
  </si>
  <si>
    <t>22/08/2025 09:15</t>
  </si>
  <si>
    <t>22/08/2025 09:30</t>
  </si>
  <si>
    <t>22/08/2025 09:45</t>
  </si>
  <si>
    <t>22/08/2025 10:00</t>
  </si>
  <si>
    <t>22/08/2025 10:15</t>
  </si>
  <si>
    <t>22/08/2025 10:30</t>
  </si>
  <si>
    <t>22/08/2025 10:45</t>
  </si>
  <si>
    <t>22/08/2025 11:00</t>
  </si>
  <si>
    <t>22/08/2025 11:15</t>
  </si>
  <si>
    <t>22/08/2025 11:30</t>
  </si>
  <si>
    <t>22/08/2025 11:45</t>
  </si>
  <si>
    <t>22/08/2025 12:00</t>
  </si>
  <si>
    <t>22/08/2025 12:15</t>
  </si>
  <si>
    <t>22/08/2025 12:30</t>
  </si>
  <si>
    <t>22/08/2025 12:45</t>
  </si>
  <si>
    <t>22/08/2025 13:00</t>
  </si>
  <si>
    <t>22/08/2025 13:15</t>
  </si>
  <si>
    <t>22/08/2025 13:30</t>
  </si>
  <si>
    <t>22/08/2025 13:45</t>
  </si>
  <si>
    <t>22/08/2025 14:00</t>
  </si>
  <si>
    <t>22/08/2025 14:15</t>
  </si>
  <si>
    <t>22/08/2025 14:30</t>
  </si>
  <si>
    <t>22/08/2025 14:45</t>
  </si>
  <si>
    <t>22/08/2025 15:00</t>
  </si>
  <si>
    <t>22/08/2025 15:15</t>
  </si>
  <si>
    <t>22/08/2025 15:30</t>
  </si>
  <si>
    <t>22/08/2025 15:45</t>
  </si>
  <si>
    <t>22/08/2025 16:00</t>
  </si>
  <si>
    <t>22/08/2025 16:15</t>
  </si>
  <si>
    <t>22/08/2025 16:30</t>
  </si>
  <si>
    <t>22/08/2025 16:45</t>
  </si>
  <si>
    <t>22/08/2025 17:00</t>
  </si>
  <si>
    <t>22/08/2025 17:15</t>
  </si>
  <si>
    <t>22/08/2025 17:30</t>
  </si>
  <si>
    <t>22/08/2025 17:45</t>
  </si>
  <si>
    <t>22/08/2025 18:00</t>
  </si>
  <si>
    <t>22/08/2025 18:15</t>
  </si>
  <si>
    <t>22/08/2025 18:30</t>
  </si>
  <si>
    <t>22/08/2025 18:45</t>
  </si>
  <si>
    <t>22/08/2025 19:00</t>
  </si>
  <si>
    <t>22/08/2025 19:15</t>
  </si>
  <si>
    <t>22/08/2025 19:30</t>
  </si>
  <si>
    <t>22/08/2025 19:45</t>
  </si>
  <si>
    <t>22/08/2025 20:00</t>
  </si>
  <si>
    <t>22/08/2025 20:15</t>
  </si>
  <si>
    <t>22/08/2025 20:30</t>
  </si>
  <si>
    <t>22/08/2025 20:45</t>
  </si>
  <si>
    <t>22/08/2025 21:00</t>
  </si>
  <si>
    <t>22/08/2025 21:15</t>
  </si>
  <si>
    <t>22/08/2025 21:30</t>
  </si>
  <si>
    <t>22/08/2025 21:45</t>
  </si>
  <si>
    <t>22/08/2025 22:00</t>
  </si>
  <si>
    <t>22/08/2025 22:15</t>
  </si>
  <si>
    <t>22/08/2025 22:30</t>
  </si>
  <si>
    <t>22/08/2025 22:45</t>
  </si>
  <si>
    <t>22/08/2025 23:00</t>
  </si>
  <si>
    <t>22/08/2025 23:15</t>
  </si>
  <si>
    <t>22/08/2025 23:30</t>
  </si>
  <si>
    <t>22/08/2025 23:45</t>
  </si>
  <si>
    <t>22/08/2025 24:00</t>
  </si>
  <si>
    <t>23/08/2025 00:15</t>
  </si>
  <si>
    <t>23/08/2025 00:30</t>
  </si>
  <si>
    <t>23/08/2025 00:45</t>
  </si>
  <si>
    <t>23/08/2025 01:00</t>
  </si>
  <si>
    <t>23/08/2025 01:15</t>
  </si>
  <si>
    <t>23/08/2025 01:30</t>
  </si>
  <si>
    <t>23/08/2025 01:45</t>
  </si>
  <si>
    <t>23/08/2025 02:00</t>
  </si>
  <si>
    <t>23/08/2025 02:15</t>
  </si>
  <si>
    <t>23/08/2025 02:30</t>
  </si>
  <si>
    <t>23/08/2025 02:45</t>
  </si>
  <si>
    <t>23/08/2025 03:00</t>
  </si>
  <si>
    <t>23/08/2025 03:15</t>
  </si>
  <si>
    <t>23/08/2025 03:30</t>
  </si>
  <si>
    <t>23/08/2025 03:45</t>
  </si>
  <si>
    <t>23/08/2025 04:00</t>
  </si>
  <si>
    <t>23/08/2025 04:15</t>
  </si>
  <si>
    <t>23/08/2025 04:30</t>
  </si>
  <si>
    <t>23/08/2025 04:45</t>
  </si>
  <si>
    <t>23/08/2025 05:00</t>
  </si>
  <si>
    <t>23/08/2025 05:15</t>
  </si>
  <si>
    <t>23/08/2025 05:30</t>
  </si>
  <si>
    <t>23/08/2025 05:45</t>
  </si>
  <si>
    <t>23/08/2025 06:00</t>
  </si>
  <si>
    <t>23/08/2025 06:15</t>
  </si>
  <si>
    <t>23/08/2025 06:30</t>
  </si>
  <si>
    <t>23/08/2025 06:45</t>
  </si>
  <si>
    <t>23/08/2025 07:00</t>
  </si>
  <si>
    <t>23/08/2025 07:15</t>
  </si>
  <si>
    <t>23/08/2025 07:30</t>
  </si>
  <si>
    <t>23/08/2025 07:45</t>
  </si>
  <si>
    <t>23/08/2025 08:00</t>
  </si>
  <si>
    <t>23/08/2025 08:15</t>
  </si>
  <si>
    <t>23/08/2025 08:30</t>
  </si>
  <si>
    <t>23/08/2025 08:45</t>
  </si>
  <si>
    <t>23/08/2025 09:00</t>
  </si>
  <si>
    <t>23/08/2025 09:15</t>
  </si>
  <si>
    <t>23/08/2025 09:30</t>
  </si>
  <si>
    <t>23/08/2025 09:45</t>
  </si>
  <si>
    <t>23/08/2025 10:00</t>
  </si>
  <si>
    <t>23/08/2025 10:15</t>
  </si>
  <si>
    <t>23/08/2025 10:30</t>
  </si>
  <si>
    <t>23/08/2025 10:45</t>
  </si>
  <si>
    <t>23/08/2025 11:00</t>
  </si>
  <si>
    <t>23/08/2025 11:15</t>
  </si>
  <si>
    <t>23/08/2025 11:30</t>
  </si>
  <si>
    <t>23/08/2025 11:45</t>
  </si>
  <si>
    <t>23/08/2025 12:00</t>
  </si>
  <si>
    <t>23/08/2025 12:15</t>
  </si>
  <si>
    <t>23/08/2025 12:30</t>
  </si>
  <si>
    <t>23/08/2025 12:45</t>
  </si>
  <si>
    <t>23/08/2025 13:00</t>
  </si>
  <si>
    <t>23/08/2025 13:15</t>
  </si>
  <si>
    <t>23/08/2025 13:30</t>
  </si>
  <si>
    <t>23/08/2025 13:45</t>
  </si>
  <si>
    <t>23/08/2025 14:00</t>
  </si>
  <si>
    <t>23/08/2025 14:15</t>
  </si>
  <si>
    <t>23/08/2025 14:30</t>
  </si>
  <si>
    <t>23/08/2025 14:45</t>
  </si>
  <si>
    <t>23/08/2025 15:00</t>
  </si>
  <si>
    <t>23/08/2025 15:15</t>
  </si>
  <si>
    <t>23/08/2025 15:30</t>
  </si>
  <si>
    <t>23/08/2025 15:45</t>
  </si>
  <si>
    <t>23/08/2025 16:00</t>
  </si>
  <si>
    <t>23/08/2025 16:15</t>
  </si>
  <si>
    <t>23/08/2025 16:30</t>
  </si>
  <si>
    <t>23/08/2025 16:45</t>
  </si>
  <si>
    <t>23/08/2025 17:00</t>
  </si>
  <si>
    <t>23/08/2025 17:15</t>
  </si>
  <si>
    <t>23/08/2025 17:30</t>
  </si>
  <si>
    <t>23/08/2025 17:45</t>
  </si>
  <si>
    <t>23/08/2025 18:00</t>
  </si>
  <si>
    <t>23/08/2025 18:15</t>
  </si>
  <si>
    <t>23/08/2025 18:30</t>
  </si>
  <si>
    <t>23/08/2025 18:45</t>
  </si>
  <si>
    <t>23/08/2025 19:00</t>
  </si>
  <si>
    <t>23/08/2025 19:15</t>
  </si>
  <si>
    <t>23/08/2025 19:30</t>
  </si>
  <si>
    <t>23/08/2025 19:45</t>
  </si>
  <si>
    <t>23/08/2025 20:00</t>
  </si>
  <si>
    <t>23/08/2025 20:15</t>
  </si>
  <si>
    <t>23/08/2025 20:30</t>
  </si>
  <si>
    <t>23/08/2025 20:45</t>
  </si>
  <si>
    <t>23/08/2025 21:00</t>
  </si>
  <si>
    <t>23/08/2025 21:15</t>
  </si>
  <si>
    <t>23/08/2025 21:30</t>
  </si>
  <si>
    <t>23/08/2025 21:45</t>
  </si>
  <si>
    <t>23/08/2025 22:00</t>
  </si>
  <si>
    <t>23/08/2025 22:15</t>
  </si>
  <si>
    <t>23/08/2025 22:30</t>
  </si>
  <si>
    <t>23/08/2025 22:45</t>
  </si>
  <si>
    <t>23/08/2025 23:00</t>
  </si>
  <si>
    <t>23/08/2025 23:15</t>
  </si>
  <si>
    <t>23/08/2025 23:30</t>
  </si>
  <si>
    <t>23/08/2025 23:45</t>
  </si>
  <si>
    <t>23/08/2025 24:00</t>
  </si>
  <si>
    <t>24/08/2025 00:15</t>
  </si>
  <si>
    <t>24/08/2025 00:30</t>
  </si>
  <si>
    <t>24/08/2025 00:45</t>
  </si>
  <si>
    <t>24/08/2025 01:00</t>
  </si>
  <si>
    <t>24/08/2025 01:15</t>
  </si>
  <si>
    <t>24/08/2025 01:30</t>
  </si>
  <si>
    <t>24/08/2025 01:45</t>
  </si>
  <si>
    <t>24/08/2025 02:00</t>
  </si>
  <si>
    <t>24/08/2025 02:15</t>
  </si>
  <si>
    <t>24/08/2025 02:30</t>
  </si>
  <si>
    <t>24/08/2025 02:45</t>
  </si>
  <si>
    <t>24/08/2025 03:00</t>
  </si>
  <si>
    <t>24/08/2025 03:15</t>
  </si>
  <si>
    <t>24/08/2025 03:30</t>
  </si>
  <si>
    <t>24/08/2025 03:45</t>
  </si>
  <si>
    <t>24/08/2025 04:00</t>
  </si>
  <si>
    <t>24/08/2025 04:15</t>
  </si>
  <si>
    <t>24/08/2025 04:30</t>
  </si>
  <si>
    <t>24/08/2025 04:45</t>
  </si>
  <si>
    <t>24/08/2025 05:00</t>
  </si>
  <si>
    <t>24/08/2025 05:15</t>
  </si>
  <si>
    <t>24/08/2025 05:30</t>
  </si>
  <si>
    <t>24/08/2025 05:45</t>
  </si>
  <si>
    <t>24/08/2025 06:00</t>
  </si>
  <si>
    <t>24/08/2025 06:15</t>
  </si>
  <si>
    <t>24/08/2025 06:30</t>
  </si>
  <si>
    <t>24/08/2025 06:45</t>
  </si>
  <si>
    <t>24/08/2025 07:00</t>
  </si>
  <si>
    <t>24/08/2025 07:15</t>
  </si>
  <si>
    <t>24/08/2025 07:30</t>
  </si>
  <si>
    <t>24/08/2025 07:45</t>
  </si>
  <si>
    <t>24/08/2025 08:00</t>
  </si>
  <si>
    <t>24/08/2025 08:15</t>
  </si>
  <si>
    <t>24/08/2025 08:30</t>
  </si>
  <si>
    <t>24/08/2025 08:45</t>
  </si>
  <si>
    <t>24/08/2025 09:00</t>
  </si>
  <si>
    <t>24/08/2025 09:15</t>
  </si>
  <si>
    <t>24/08/2025 09:30</t>
  </si>
  <si>
    <t>24/08/2025 09:45</t>
  </si>
  <si>
    <t>24/08/2025 10:00</t>
  </si>
  <si>
    <t>24/08/2025 10:15</t>
  </si>
  <si>
    <t>24/08/2025 10:30</t>
  </si>
  <si>
    <t>24/08/2025 10:45</t>
  </si>
  <si>
    <t>24/08/2025 11:00</t>
  </si>
  <si>
    <t>24/08/2025 11:15</t>
  </si>
  <si>
    <t>24/08/2025 11:30</t>
  </si>
  <si>
    <t>24/08/2025 11:45</t>
  </si>
  <si>
    <t>24/08/2025 12:00</t>
  </si>
  <si>
    <t>24/08/2025 12:15</t>
  </si>
  <si>
    <t>24/08/2025 12:30</t>
  </si>
  <si>
    <t>24/08/2025 12:45</t>
  </si>
  <si>
    <t>24/08/2025 13:00</t>
  </si>
  <si>
    <t>24/08/2025 13:15</t>
  </si>
  <si>
    <t>24/08/2025 13:30</t>
  </si>
  <si>
    <t>24/08/2025 13:45</t>
  </si>
  <si>
    <t>24/08/2025 14:00</t>
  </si>
  <si>
    <t>24/08/2025 14:15</t>
  </si>
  <si>
    <t>24/08/2025 14:30</t>
  </si>
  <si>
    <t>24/08/2025 14:45</t>
  </si>
  <si>
    <t>24/08/2025 15:00</t>
  </si>
  <si>
    <t>24/08/2025 15:15</t>
  </si>
  <si>
    <t>24/08/2025 15:30</t>
  </si>
  <si>
    <t>24/08/2025 15:45</t>
  </si>
  <si>
    <t>24/08/2025 16:00</t>
  </si>
  <si>
    <t>24/08/2025 16:15</t>
  </si>
  <si>
    <t>24/08/2025 16:30</t>
  </si>
  <si>
    <t>24/08/2025 16:45</t>
  </si>
  <si>
    <t>24/08/2025 17:00</t>
  </si>
  <si>
    <t>24/08/2025 17:15</t>
  </si>
  <si>
    <t>24/08/2025 17:30</t>
  </si>
  <si>
    <t>24/08/2025 17:45</t>
  </si>
  <si>
    <t>24/08/2025 18:00</t>
  </si>
  <si>
    <t>24/08/2025 18:15</t>
  </si>
  <si>
    <t>24/08/2025 18:30</t>
  </si>
  <si>
    <t>24/08/2025 18:45</t>
  </si>
  <si>
    <t>24/08/2025 19:00</t>
  </si>
  <si>
    <t>24/08/2025 19:15</t>
  </si>
  <si>
    <t>24/08/2025 19:30</t>
  </si>
  <si>
    <t>24/08/2025 19:45</t>
  </si>
  <si>
    <t>24/08/2025 20:00</t>
  </si>
  <si>
    <t>24/08/2025 20:15</t>
  </si>
  <si>
    <t>24/08/2025 20:30</t>
  </si>
  <si>
    <t>24/08/2025 20:45</t>
  </si>
  <si>
    <t>24/08/2025 21:00</t>
  </si>
  <si>
    <t>24/08/2025 21:15</t>
  </si>
  <si>
    <t>24/08/2025 21:30</t>
  </si>
  <si>
    <t>24/08/2025 21:45</t>
  </si>
  <si>
    <t>24/08/2025 22:00</t>
  </si>
  <si>
    <t>24/08/2025 22:15</t>
  </si>
  <si>
    <t>24/08/2025 22:30</t>
  </si>
  <si>
    <t>24/08/2025 22:45</t>
  </si>
  <si>
    <t>24/08/2025 23:00</t>
  </si>
  <si>
    <t>24/08/2025 23:15</t>
  </si>
  <si>
    <t>24/08/2025 23:30</t>
  </si>
  <si>
    <t>24/08/2025 23:45</t>
  </si>
  <si>
    <t>24/08/2025 24:00</t>
  </si>
  <si>
    <t>25/08/2025 00:15</t>
  </si>
  <si>
    <t>25/08/2025 00:30</t>
  </si>
  <si>
    <t>25/08/2025 00:45</t>
  </si>
  <si>
    <t>25/08/2025 01:00</t>
  </si>
  <si>
    <t>25/08/2025 01:15</t>
  </si>
  <si>
    <t>25/08/2025 01:30</t>
  </si>
  <si>
    <t>25/08/2025 01:45</t>
  </si>
  <si>
    <t>25/08/2025 02:00</t>
  </si>
  <si>
    <t>25/08/2025 02:15</t>
  </si>
  <si>
    <t>25/08/2025 02:30</t>
  </si>
  <si>
    <t>25/08/2025 02:45</t>
  </si>
  <si>
    <t>25/08/2025 03:00</t>
  </si>
  <si>
    <t>25/08/2025 03:15</t>
  </si>
  <si>
    <t>25/08/2025 03:30</t>
  </si>
  <si>
    <t>25/08/2025 03:45</t>
  </si>
  <si>
    <t>25/08/2025 04:00</t>
  </si>
  <si>
    <t>25/08/2025 04:15</t>
  </si>
  <si>
    <t>25/08/2025 04:30</t>
  </si>
  <si>
    <t>25/08/2025 04:45</t>
  </si>
  <si>
    <t>25/08/2025 05:00</t>
  </si>
  <si>
    <t>25/08/2025 05:15</t>
  </si>
  <si>
    <t>25/08/2025 05:30</t>
  </si>
  <si>
    <t>25/08/2025 05:45</t>
  </si>
  <si>
    <t>25/08/2025 06:00</t>
  </si>
  <si>
    <t>25/08/2025 06:15</t>
  </si>
  <si>
    <t>25/08/2025 06:30</t>
  </si>
  <si>
    <t>25/08/2025 06:45</t>
  </si>
  <si>
    <t>25/08/2025 07:00</t>
  </si>
  <si>
    <t>25/08/2025 07:15</t>
  </si>
  <si>
    <t>25/08/2025 07:30</t>
  </si>
  <si>
    <t>25/08/2025 07:45</t>
  </si>
  <si>
    <t>25/08/2025 08:00</t>
  </si>
  <si>
    <t>25/08/2025 08:15</t>
  </si>
  <si>
    <t>25/08/2025 08:30</t>
  </si>
  <si>
    <t>25/08/2025 08:45</t>
  </si>
  <si>
    <t>25/08/2025 09:00</t>
  </si>
  <si>
    <t>25/08/2025 09:15</t>
  </si>
  <si>
    <t>25/08/2025 09:30</t>
  </si>
  <si>
    <t>25/08/2025 09:45</t>
  </si>
  <si>
    <t>25/08/2025 10:00</t>
  </si>
  <si>
    <t>25/08/2025 10:15</t>
  </si>
  <si>
    <t>25/08/2025 10:30</t>
  </si>
  <si>
    <t>25/08/2025 10:45</t>
  </si>
  <si>
    <t>25/08/2025 11:00</t>
  </si>
  <si>
    <t>25/08/2025 11:15</t>
  </si>
  <si>
    <t>25/08/2025 11:30</t>
  </si>
  <si>
    <t>25/08/2025 11:45</t>
  </si>
  <si>
    <t>25/08/2025 12:00</t>
  </si>
  <si>
    <t>25/08/2025 12:15</t>
  </si>
  <si>
    <t>25/08/2025 12:30</t>
  </si>
  <si>
    <t>25/08/2025 12:45</t>
  </si>
  <si>
    <t>25/08/2025 13:00</t>
  </si>
  <si>
    <t>25/08/2025 13:15</t>
  </si>
  <si>
    <t>25/08/2025 13:30</t>
  </si>
  <si>
    <t>25/08/2025 13:45</t>
  </si>
  <si>
    <t>25/08/2025 14:00</t>
  </si>
  <si>
    <t>25/08/2025 14:15</t>
  </si>
  <si>
    <t>25/08/2025 14:30</t>
  </si>
  <si>
    <t>25/08/2025 14:45</t>
  </si>
  <si>
    <t>25/08/2025 15:00</t>
  </si>
  <si>
    <t>25/08/2025 15:15</t>
  </si>
  <si>
    <t>25/08/2025 15:30</t>
  </si>
  <si>
    <t>25/08/2025 15:45</t>
  </si>
  <si>
    <t>25/08/2025 16:00</t>
  </si>
  <si>
    <t>25/08/2025 16:15</t>
  </si>
  <si>
    <t>25/08/2025 16:30</t>
  </si>
  <si>
    <t>25/08/2025 16:45</t>
  </si>
  <si>
    <t>25/08/2025 17:00</t>
  </si>
  <si>
    <t>25/08/2025 17:15</t>
  </si>
  <si>
    <t>25/08/2025 17:30</t>
  </si>
  <si>
    <t>25/08/2025 17:45</t>
  </si>
  <si>
    <t>25/08/2025 18:00</t>
  </si>
  <si>
    <t>25/08/2025 18:15</t>
  </si>
  <si>
    <t>25/08/2025 18:30</t>
  </si>
  <si>
    <t>25/08/2025 18:45</t>
  </si>
  <si>
    <t>25/08/2025 19:00</t>
  </si>
  <si>
    <t>25/08/2025 19:15</t>
  </si>
  <si>
    <t>25/08/2025 19:30</t>
  </si>
  <si>
    <t>25/08/2025 19:45</t>
  </si>
  <si>
    <t>25/08/2025 20:00</t>
  </si>
  <si>
    <t>25/08/2025 20:15</t>
  </si>
  <si>
    <t>25/08/2025 20:30</t>
  </si>
  <si>
    <t>25/08/2025 20:45</t>
  </si>
  <si>
    <t>25/08/2025 21:00</t>
  </si>
  <si>
    <t>25/08/2025 21:15</t>
  </si>
  <si>
    <t>25/08/2025 21:30</t>
  </si>
  <si>
    <t>25/08/2025 21:45</t>
  </si>
  <si>
    <t>25/08/2025 22:00</t>
  </si>
  <si>
    <t>25/08/2025 22:15</t>
  </si>
  <si>
    <t>25/08/2025 22:30</t>
  </si>
  <si>
    <t>25/08/2025 22:45</t>
  </si>
  <si>
    <t>25/08/2025 23:00</t>
  </si>
  <si>
    <t>25/08/2025 23:15</t>
  </si>
  <si>
    <t>25/08/2025 23:30</t>
  </si>
  <si>
    <t>25/08/2025 23:45</t>
  </si>
  <si>
    <t>25/08/2025 24:00</t>
  </si>
  <si>
    <t>26/08/2025 00:15</t>
  </si>
  <si>
    <t>26/08/2025 00:30</t>
  </si>
  <si>
    <t>26/08/2025 00:45</t>
  </si>
  <si>
    <t>26/08/2025 01:00</t>
  </si>
  <si>
    <t>26/08/2025 01:15</t>
  </si>
  <si>
    <t>26/08/2025 01:30</t>
  </si>
  <si>
    <t>26/08/2025 01:45</t>
  </si>
  <si>
    <t>26/08/2025 02:00</t>
  </si>
  <si>
    <t>26/08/2025 02:15</t>
  </si>
  <si>
    <t>26/08/2025 02:30</t>
  </si>
  <si>
    <t>26/08/2025 02:45</t>
  </si>
  <si>
    <t>26/08/2025 03:00</t>
  </si>
  <si>
    <t>26/08/2025 03:15</t>
  </si>
  <si>
    <t>26/08/2025 03:30</t>
  </si>
  <si>
    <t>26/08/2025 03:45</t>
  </si>
  <si>
    <t>26/08/2025 04:00</t>
  </si>
  <si>
    <t>26/08/2025 04:15</t>
  </si>
  <si>
    <t>26/08/2025 04:30</t>
  </si>
  <si>
    <t>26/08/2025 04:45</t>
  </si>
  <si>
    <t>26/08/2025 05:00</t>
  </si>
  <si>
    <t>26/08/2025 05:15</t>
  </si>
  <si>
    <t>26/08/2025 05:30</t>
  </si>
  <si>
    <t>26/08/2025 05:45</t>
  </si>
  <si>
    <t>26/08/2025 06:00</t>
  </si>
  <si>
    <t>26/08/2025 06:15</t>
  </si>
  <si>
    <t>26/08/2025 06:30</t>
  </si>
  <si>
    <t>26/08/2025 06:45</t>
  </si>
  <si>
    <t>26/08/2025 07:00</t>
  </si>
  <si>
    <t>26/08/2025 07:15</t>
  </si>
  <si>
    <t>26/08/2025 07:30</t>
  </si>
  <si>
    <t>26/08/2025 07:45</t>
  </si>
  <si>
    <t>26/08/2025 08:00</t>
  </si>
  <si>
    <t>26/08/2025 08:15</t>
  </si>
  <si>
    <t>26/08/2025 08:30</t>
  </si>
  <si>
    <t>26/08/2025 08:45</t>
  </si>
  <si>
    <t>26/08/2025 09:00</t>
  </si>
  <si>
    <t>26/08/2025 09:15</t>
  </si>
  <si>
    <t>26/08/2025 09:30</t>
  </si>
  <si>
    <t>26/08/2025 09:45</t>
  </si>
  <si>
    <t>26/08/2025 10:00</t>
  </si>
  <si>
    <t>26/08/2025 10:15</t>
  </si>
  <si>
    <t>26/08/2025 10:30</t>
  </si>
  <si>
    <t>26/08/2025 10:45</t>
  </si>
  <si>
    <t>26/08/2025 11:00</t>
  </si>
  <si>
    <t>26/08/2025 11:15</t>
  </si>
  <si>
    <t>26/08/2025 11:30</t>
  </si>
  <si>
    <t>26/08/2025 11:45</t>
  </si>
  <si>
    <t>26/08/2025 12:00</t>
  </si>
  <si>
    <t>26/08/2025 12:15</t>
  </si>
  <si>
    <t>26/08/2025 12:30</t>
  </si>
  <si>
    <t>26/08/2025 12:45</t>
  </si>
  <si>
    <t>26/08/2025 13:00</t>
  </si>
  <si>
    <t>26/08/2025 13:15</t>
  </si>
  <si>
    <t>26/08/2025 13:30</t>
  </si>
  <si>
    <t>26/08/2025 13:45</t>
  </si>
  <si>
    <t>26/08/2025 14:00</t>
  </si>
  <si>
    <t>26/08/2025 14:15</t>
  </si>
  <si>
    <t>26/08/2025 14:30</t>
  </si>
  <si>
    <t>26/08/2025 14:45</t>
  </si>
  <si>
    <t>26/08/2025 15:00</t>
  </si>
  <si>
    <t>26/08/2025 15:15</t>
  </si>
  <si>
    <t>26/08/2025 15:30</t>
  </si>
  <si>
    <t>26/08/2025 15:45</t>
  </si>
  <si>
    <t>26/08/2025 16:00</t>
  </si>
  <si>
    <t>26/08/2025 16:15</t>
  </si>
  <si>
    <t>26/08/2025 16:30</t>
  </si>
  <si>
    <t>26/08/2025 16:45</t>
  </si>
  <si>
    <t>26/08/2025 17:00</t>
  </si>
  <si>
    <t>26/08/2025 17:15</t>
  </si>
  <si>
    <t>26/08/2025 17:30</t>
  </si>
  <si>
    <t>26/08/2025 17:45</t>
  </si>
  <si>
    <t>26/08/2025 18:00</t>
  </si>
  <si>
    <t>26/08/2025 18:15</t>
  </si>
  <si>
    <t>26/08/2025 18:30</t>
  </si>
  <si>
    <t>26/08/2025 18:45</t>
  </si>
  <si>
    <t>26/08/2025 19:00</t>
  </si>
  <si>
    <t>26/08/2025 19:15</t>
  </si>
  <si>
    <t>26/08/2025 19:30</t>
  </si>
  <si>
    <t>26/08/2025 19:45</t>
  </si>
  <si>
    <t>26/08/2025 20:00</t>
  </si>
  <si>
    <t>26/08/2025 20:15</t>
  </si>
  <si>
    <t>26/08/2025 20:30</t>
  </si>
  <si>
    <t>26/08/2025 20:45</t>
  </si>
  <si>
    <t>26/08/2025 21:00</t>
  </si>
  <si>
    <t>26/08/2025 21:15</t>
  </si>
  <si>
    <t>26/08/2025 21:30</t>
  </si>
  <si>
    <t>26/08/2025 21:45</t>
  </si>
  <si>
    <t>26/08/2025 22:00</t>
  </si>
  <si>
    <t>26/08/2025 22:15</t>
  </si>
  <si>
    <t>26/08/2025 22:30</t>
  </si>
  <si>
    <t>26/08/2025 22:45</t>
  </si>
  <si>
    <t>26/08/2025 23:00</t>
  </si>
  <si>
    <t>26/08/2025 23:15</t>
  </si>
  <si>
    <t>26/08/2025 23:30</t>
  </si>
  <si>
    <t>26/08/2025 23:45</t>
  </si>
  <si>
    <t>26/08/2025 24:00</t>
  </si>
  <si>
    <t>27/08/2025 00:15</t>
  </si>
  <si>
    <t>27/08/2025 00:30</t>
  </si>
  <si>
    <t>27/08/2025 00:45</t>
  </si>
  <si>
    <t>27/08/2025 01:00</t>
  </si>
  <si>
    <t>27/08/2025 01:15</t>
  </si>
  <si>
    <t>27/08/2025 01:30</t>
  </si>
  <si>
    <t>27/08/2025 01:45</t>
  </si>
  <si>
    <t>27/08/2025 02:00</t>
  </si>
  <si>
    <t>27/08/2025 02:15</t>
  </si>
  <si>
    <t>27/08/2025 02:30</t>
  </si>
  <si>
    <t>27/08/2025 02:45</t>
  </si>
  <si>
    <t>27/08/2025 03:00</t>
  </si>
  <si>
    <t>27/08/2025 03:15</t>
  </si>
  <si>
    <t>27/08/2025 03:30</t>
  </si>
  <si>
    <t>27/08/2025 03:45</t>
  </si>
  <si>
    <t>27/08/2025 04:00</t>
  </si>
  <si>
    <t>27/08/2025 04:15</t>
  </si>
  <si>
    <t>27/08/2025 04:30</t>
  </si>
  <si>
    <t>27/08/2025 04:45</t>
  </si>
  <si>
    <t>27/08/2025 05:00</t>
  </si>
  <si>
    <t>27/08/2025 05:15</t>
  </si>
  <si>
    <t>27/08/2025 05:30</t>
  </si>
  <si>
    <t>27/08/2025 05:45</t>
  </si>
  <si>
    <t>27/08/2025 06:00</t>
  </si>
  <si>
    <t>27/08/2025 06:15</t>
  </si>
  <si>
    <t>27/08/2025 06:30</t>
  </si>
  <si>
    <t>27/08/2025 06:45</t>
  </si>
  <si>
    <t>27/08/2025 07:00</t>
  </si>
  <si>
    <t>27/08/2025 07:15</t>
  </si>
  <si>
    <t>27/08/2025 07:30</t>
  </si>
  <si>
    <t>27/08/2025 07:45</t>
  </si>
  <si>
    <t>27/08/2025 08:00</t>
  </si>
  <si>
    <t>27/08/2025 08:15</t>
  </si>
  <si>
    <t>27/08/2025 08:30</t>
  </si>
  <si>
    <t>27/08/2025 08:45</t>
  </si>
  <si>
    <t>27/08/2025 09:00</t>
  </si>
  <si>
    <t>27/08/2025 09:15</t>
  </si>
  <si>
    <t>27/08/2025 09:30</t>
  </si>
  <si>
    <t>27/08/2025 09:45</t>
  </si>
  <si>
    <t>27/08/2025 10:00</t>
  </si>
  <si>
    <t>27/08/2025 10:15</t>
  </si>
  <si>
    <t>27/08/2025 10:30</t>
  </si>
  <si>
    <t>27/08/2025 10:45</t>
  </si>
  <si>
    <t>27/08/2025 11:00</t>
  </si>
  <si>
    <t>27/08/2025 11:15</t>
  </si>
  <si>
    <t>27/08/2025 11:30</t>
  </si>
  <si>
    <t>27/08/2025 11:45</t>
  </si>
  <si>
    <t>27/08/2025 12:00</t>
  </si>
  <si>
    <t>27/08/2025 12:15</t>
  </si>
  <si>
    <t>27/08/2025 12:30</t>
  </si>
  <si>
    <t>27/08/2025 12:45</t>
  </si>
  <si>
    <t>27/08/2025 13:00</t>
  </si>
  <si>
    <t>27/08/2025 13:15</t>
  </si>
  <si>
    <t>27/08/2025 13:30</t>
  </si>
  <si>
    <t>27/08/2025 13:45</t>
  </si>
  <si>
    <t>27/08/2025 14:00</t>
  </si>
  <si>
    <t>27/08/2025 14:15</t>
  </si>
  <si>
    <t>27/08/2025 14:30</t>
  </si>
  <si>
    <t>27/08/2025 14:45</t>
  </si>
  <si>
    <t>27/08/2025 15:00</t>
  </si>
  <si>
    <t>27/08/2025 15:15</t>
  </si>
  <si>
    <t>27/08/2025 15:30</t>
  </si>
  <si>
    <t>27/08/2025 15:45</t>
  </si>
  <si>
    <t>27/08/2025 16:00</t>
  </si>
  <si>
    <t>27/08/2025 16:15</t>
  </si>
  <si>
    <t>27/08/2025 16:30</t>
  </si>
  <si>
    <t>27/08/2025 16:45</t>
  </si>
  <si>
    <t>27/08/2025 17:00</t>
  </si>
  <si>
    <t>27/08/2025 17:15</t>
  </si>
  <si>
    <t>27/08/2025 17:30</t>
  </si>
  <si>
    <t>27/08/2025 17:45</t>
  </si>
  <si>
    <t>27/08/2025 18:00</t>
  </si>
  <si>
    <t>27/08/2025 18:15</t>
  </si>
  <si>
    <t>27/08/2025 18:30</t>
  </si>
  <si>
    <t>27/08/2025 18:45</t>
  </si>
  <si>
    <t>27/08/2025 19:00</t>
  </si>
  <si>
    <t>27/08/2025 19:15</t>
  </si>
  <si>
    <t>27/08/2025 19:30</t>
  </si>
  <si>
    <t>27/08/2025 19:45</t>
  </si>
  <si>
    <t>27/08/2025 20:00</t>
  </si>
  <si>
    <t>27/08/2025 20:15</t>
  </si>
  <si>
    <t>27/08/2025 20:30</t>
  </si>
  <si>
    <t>27/08/2025 20:45</t>
  </si>
  <si>
    <t>27/08/2025 21:00</t>
  </si>
  <si>
    <t>27/08/2025 21:15</t>
  </si>
  <si>
    <t>27/08/2025 21:30</t>
  </si>
  <si>
    <t>27/08/2025 21:45</t>
  </si>
  <si>
    <t>27/08/2025 22:00</t>
  </si>
  <si>
    <t>27/08/2025 22:15</t>
  </si>
  <si>
    <t>27/08/2025 22:30</t>
  </si>
  <si>
    <t>27/08/2025 22:45</t>
  </si>
  <si>
    <t>27/08/2025 23:00</t>
  </si>
  <si>
    <t>27/08/2025 23:15</t>
  </si>
  <si>
    <t>27/08/2025 23:30</t>
  </si>
  <si>
    <t>27/08/2025 23:45</t>
  </si>
  <si>
    <t>27/08/2025 24:00</t>
  </si>
  <si>
    <t>28/08/2025 00:15</t>
  </si>
  <si>
    <t>28/08/2025 00:30</t>
  </si>
  <si>
    <t>28/08/2025 00:45</t>
  </si>
  <si>
    <t>28/08/2025 01:00</t>
  </si>
  <si>
    <t>28/08/2025 01:15</t>
  </si>
  <si>
    <t>28/08/2025 01:30</t>
  </si>
  <si>
    <t>28/08/2025 01:45</t>
  </si>
  <si>
    <t>28/08/2025 02:00</t>
  </si>
  <si>
    <t>28/08/2025 02:15</t>
  </si>
  <si>
    <t>28/08/2025 02:30</t>
  </si>
  <si>
    <t>28/08/2025 02:45</t>
  </si>
  <si>
    <t>28/08/2025 03:00</t>
  </si>
  <si>
    <t>28/08/2025 03:15</t>
  </si>
  <si>
    <t>28/08/2025 03:30</t>
  </si>
  <si>
    <t>28/08/2025 03:45</t>
  </si>
  <si>
    <t>28/08/2025 04:00</t>
  </si>
  <si>
    <t>28/08/2025 04:15</t>
  </si>
  <si>
    <t>28/08/2025 04:30</t>
  </si>
  <si>
    <t>28/08/2025 04:45</t>
  </si>
  <si>
    <t>28/08/2025 05:00</t>
  </si>
  <si>
    <t>28/08/2025 05:15</t>
  </si>
  <si>
    <t>28/08/2025 05:30</t>
  </si>
  <si>
    <t>28/08/2025 05:45</t>
  </si>
  <si>
    <t>28/08/2025 06:00</t>
  </si>
  <si>
    <t>28/08/2025 06:15</t>
  </si>
  <si>
    <t>28/08/2025 06:30</t>
  </si>
  <si>
    <t>28/08/2025 06:45</t>
  </si>
  <si>
    <t>28/08/2025 07:00</t>
  </si>
  <si>
    <t>28/08/2025 07:15</t>
  </si>
  <si>
    <t>28/08/2025 07:30</t>
  </si>
  <si>
    <t>28/08/2025 07:45</t>
  </si>
  <si>
    <t>28/08/2025 08:00</t>
  </si>
  <si>
    <t>28/08/2025 08:15</t>
  </si>
  <si>
    <t>28/08/2025 08:30</t>
  </si>
  <si>
    <t>28/08/2025 08:45</t>
  </si>
  <si>
    <t>28/08/2025 09:00</t>
  </si>
  <si>
    <t>28/08/2025 09:15</t>
  </si>
  <si>
    <t>28/08/2025 09:30</t>
  </si>
  <si>
    <t>28/08/2025 09:45</t>
  </si>
  <si>
    <t>28/08/2025 10:00</t>
  </si>
  <si>
    <t>28/08/2025 10:15</t>
  </si>
  <si>
    <t>28/08/2025 10:30</t>
  </si>
  <si>
    <t>28/08/2025 10:45</t>
  </si>
  <si>
    <t>28/08/2025 11:00</t>
  </si>
  <si>
    <t>28/08/2025 11:15</t>
  </si>
  <si>
    <t>28/08/2025 11:30</t>
  </si>
  <si>
    <t>28/08/2025 11:45</t>
  </si>
  <si>
    <t>28/08/2025 12:00</t>
  </si>
  <si>
    <t>28/08/2025 12:15</t>
  </si>
  <si>
    <t>28/08/2025 12:30</t>
  </si>
  <si>
    <t>28/08/2025 12:45</t>
  </si>
  <si>
    <t>28/08/2025 13:00</t>
  </si>
  <si>
    <t>28/08/2025 13:15</t>
  </si>
  <si>
    <t>28/08/2025 13:30</t>
  </si>
  <si>
    <t>28/08/2025 13:45</t>
  </si>
  <si>
    <t>28/08/2025 14:00</t>
  </si>
  <si>
    <t>28/08/2025 14:15</t>
  </si>
  <si>
    <t>28/08/2025 14:30</t>
  </si>
  <si>
    <t>28/08/2025 14:45</t>
  </si>
  <si>
    <t>28/08/2025 15:00</t>
  </si>
  <si>
    <t>28/08/2025 15:15</t>
  </si>
  <si>
    <t>28/08/2025 15:30</t>
  </si>
  <si>
    <t>28/08/2025 15:45</t>
  </si>
  <si>
    <t>28/08/2025 16:00</t>
  </si>
  <si>
    <t>28/08/2025 16:15</t>
  </si>
  <si>
    <t>28/08/2025 16:30</t>
  </si>
  <si>
    <t>28/08/2025 16:45</t>
  </si>
  <si>
    <t>28/08/2025 17:00</t>
  </si>
  <si>
    <t>28/08/2025 17:15</t>
  </si>
  <si>
    <t>28/08/2025 17:30</t>
  </si>
  <si>
    <t>28/08/2025 17:45</t>
  </si>
  <si>
    <t>28/08/2025 18:00</t>
  </si>
  <si>
    <t>28/08/2025 18:15</t>
  </si>
  <si>
    <t>28/08/2025 18:30</t>
  </si>
  <si>
    <t>28/08/2025 18:45</t>
  </si>
  <si>
    <t>28/08/2025 19:00</t>
  </si>
  <si>
    <t>28/08/2025 19:15</t>
  </si>
  <si>
    <t>28/08/2025 19:30</t>
  </si>
  <si>
    <t>28/08/2025 19:45</t>
  </si>
  <si>
    <t>28/08/2025 20:00</t>
  </si>
  <si>
    <t>28/08/2025 20:15</t>
  </si>
  <si>
    <t>28/08/2025 20:30</t>
  </si>
  <si>
    <t>28/08/2025 20:45</t>
  </si>
  <si>
    <t>28/08/2025 21:00</t>
  </si>
  <si>
    <t>28/08/2025 21:15</t>
  </si>
  <si>
    <t>28/08/2025 21:30</t>
  </si>
  <si>
    <t>28/08/2025 21:45</t>
  </si>
  <si>
    <t>28/08/2025 22:00</t>
  </si>
  <si>
    <t>28/08/2025 22:15</t>
  </si>
  <si>
    <t>28/08/2025 22:30</t>
  </si>
  <si>
    <t>28/08/2025 22:45</t>
  </si>
  <si>
    <t>28/08/2025 23:00</t>
  </si>
  <si>
    <t>28/08/2025 23:15</t>
  </si>
  <si>
    <t>28/08/2025 23:30</t>
  </si>
  <si>
    <t>28/08/2025 23:45</t>
  </si>
  <si>
    <t>28/08/2025 24:00</t>
  </si>
  <si>
    <t>29/08/2025 00:15</t>
  </si>
  <si>
    <t>29/08/2025 00:30</t>
  </si>
  <si>
    <t>29/08/2025 00:45</t>
  </si>
  <si>
    <t>29/08/2025 01:00</t>
  </si>
  <si>
    <t>29/08/2025 01:15</t>
  </si>
  <si>
    <t>29/08/2025 01:30</t>
  </si>
  <si>
    <t>29/08/2025 01:45</t>
  </si>
  <si>
    <t>29/08/2025 02:00</t>
  </si>
  <si>
    <t>29/08/2025 02:15</t>
  </si>
  <si>
    <t>29/08/2025 02:30</t>
  </si>
  <si>
    <t>29/08/2025 02:45</t>
  </si>
  <si>
    <t>29/08/2025 03:00</t>
  </si>
  <si>
    <t>29/08/2025 03:15</t>
  </si>
  <si>
    <t>29/08/2025 03:30</t>
  </si>
  <si>
    <t>29/08/2025 03:45</t>
  </si>
  <si>
    <t>29/08/2025 04:00</t>
  </si>
  <si>
    <t>29/08/2025 04:15</t>
  </si>
  <si>
    <t>29/08/2025 04:30</t>
  </si>
  <si>
    <t>29/08/2025 04:45</t>
  </si>
  <si>
    <t>29/08/2025 05:00</t>
  </si>
  <si>
    <t>29/08/2025 05:15</t>
  </si>
  <si>
    <t>29/08/2025 05:30</t>
  </si>
  <si>
    <t>29/08/2025 05:45</t>
  </si>
  <si>
    <t>29/08/2025 06:00</t>
  </si>
  <si>
    <t>29/08/2025 06:15</t>
  </si>
  <si>
    <t>29/08/2025 06:30</t>
  </si>
  <si>
    <t>29/08/2025 06:45</t>
  </si>
  <si>
    <t>29/08/2025 07:00</t>
  </si>
  <si>
    <t>29/08/2025 07:15</t>
  </si>
  <si>
    <t>29/08/2025 07:30</t>
  </si>
  <si>
    <t>29/08/2025 07:45</t>
  </si>
  <si>
    <t>29/08/2025 08:00</t>
  </si>
  <si>
    <t>29/08/2025 08:15</t>
  </si>
  <si>
    <t>29/08/2025 08:30</t>
  </si>
  <si>
    <t>29/08/2025 08:45</t>
  </si>
  <si>
    <t>29/08/2025 09:00</t>
  </si>
  <si>
    <t>29/08/2025 09:15</t>
  </si>
  <si>
    <t>29/08/2025 09:30</t>
  </si>
  <si>
    <t>29/08/2025 09:45</t>
  </si>
  <si>
    <t>29/08/2025 10:00</t>
  </si>
  <si>
    <t>29/08/2025 10:15</t>
  </si>
  <si>
    <t>29/08/2025 10:30</t>
  </si>
  <si>
    <t>29/08/2025 10:45</t>
  </si>
  <si>
    <t>29/08/2025 11:00</t>
  </si>
  <si>
    <t>29/08/2025 11:15</t>
  </si>
  <si>
    <t>29/08/2025 11:30</t>
  </si>
  <si>
    <t>29/08/2025 11:45</t>
  </si>
  <si>
    <t>29/08/2025 12:00</t>
  </si>
  <si>
    <t>29/08/2025 12:15</t>
  </si>
  <si>
    <t>29/08/2025 12:30</t>
  </si>
  <si>
    <t>29/08/2025 12:45</t>
  </si>
  <si>
    <t>29/08/2025 13:00</t>
  </si>
  <si>
    <t>29/08/2025 13:15</t>
  </si>
  <si>
    <t>29/08/2025 13:30</t>
  </si>
  <si>
    <t>29/08/2025 13:45</t>
  </si>
  <si>
    <t>29/08/2025 14:00</t>
  </si>
  <si>
    <t>29/08/2025 14:15</t>
  </si>
  <si>
    <t>29/08/2025 14:30</t>
  </si>
  <si>
    <t>29/08/2025 14:45</t>
  </si>
  <si>
    <t>29/08/2025 15:00</t>
  </si>
  <si>
    <t>29/08/2025 15:15</t>
  </si>
  <si>
    <t>29/08/2025 15:30</t>
  </si>
  <si>
    <t>29/08/2025 15:45</t>
  </si>
  <si>
    <t>29/08/2025 16:00</t>
  </si>
  <si>
    <t>29/08/2025 16:15</t>
  </si>
  <si>
    <t>29/08/2025 16:30</t>
  </si>
  <si>
    <t>29/08/2025 16:45</t>
  </si>
  <si>
    <t>29/08/2025 17:00</t>
  </si>
  <si>
    <t>29/08/2025 17:15</t>
  </si>
  <si>
    <t>29/08/2025 17:30</t>
  </si>
  <si>
    <t>29/08/2025 17:45</t>
  </si>
  <si>
    <t>29/08/2025 18:00</t>
  </si>
  <si>
    <t>29/08/2025 18:15</t>
  </si>
  <si>
    <t>29/08/2025 18:30</t>
  </si>
  <si>
    <t>29/08/2025 18:45</t>
  </si>
  <si>
    <t>29/08/2025 19:00</t>
  </si>
  <si>
    <t>29/08/2025 19:15</t>
  </si>
  <si>
    <t>29/08/2025 19:30</t>
  </si>
  <si>
    <t>29/08/2025 19:45</t>
  </si>
  <si>
    <t>29/08/2025 20:00</t>
  </si>
  <si>
    <t>29/08/2025 20:15</t>
  </si>
  <si>
    <t>29/08/2025 20:30</t>
  </si>
  <si>
    <t>29/08/2025 20:45</t>
  </si>
  <si>
    <t>29/08/2025 21:00</t>
  </si>
  <si>
    <t>29/08/2025 21:15</t>
  </si>
  <si>
    <t>29/08/2025 21:30</t>
  </si>
  <si>
    <t>29/08/2025 21:45</t>
  </si>
  <si>
    <t>29/08/2025 22:00</t>
  </si>
  <si>
    <t>29/08/2025 22:15</t>
  </si>
  <si>
    <t>29/08/2025 22:30</t>
  </si>
  <si>
    <t>29/08/2025 22:45</t>
  </si>
  <si>
    <t>29/08/2025 23:00</t>
  </si>
  <si>
    <t>29/08/2025 23:15</t>
  </si>
  <si>
    <t>29/08/2025 23:30</t>
  </si>
  <si>
    <t>29/08/2025 23:45</t>
  </si>
  <si>
    <t>29/08/2025 24:00</t>
  </si>
  <si>
    <t>30/08/2025 00:15</t>
  </si>
  <si>
    <t>30/08/2025 00:30</t>
  </si>
  <si>
    <t>30/08/2025 00:45</t>
  </si>
  <si>
    <t>30/08/2025 01:00</t>
  </si>
  <si>
    <t>30/08/2025 01:15</t>
  </si>
  <si>
    <t>30/08/2025 01:30</t>
  </si>
  <si>
    <t>30/08/2025 01:45</t>
  </si>
  <si>
    <t>30/08/2025 02:00</t>
  </si>
  <si>
    <t>30/08/2025 02:15</t>
  </si>
  <si>
    <t>30/08/2025 02:30</t>
  </si>
  <si>
    <t>30/08/2025 02:45</t>
  </si>
  <si>
    <t>30/08/2025 03:00</t>
  </si>
  <si>
    <t>30/08/2025 03:15</t>
  </si>
  <si>
    <t>30/08/2025 03:30</t>
  </si>
  <si>
    <t>30/08/2025 03:45</t>
  </si>
  <si>
    <t>30/08/2025 04:00</t>
  </si>
  <si>
    <t>30/08/2025 04:15</t>
  </si>
  <si>
    <t>30/08/2025 04:30</t>
  </si>
  <si>
    <t>30/08/2025 04:45</t>
  </si>
  <si>
    <t>30/08/2025 05:00</t>
  </si>
  <si>
    <t>30/08/2025 05:15</t>
  </si>
  <si>
    <t>30/08/2025 05:30</t>
  </si>
  <si>
    <t>30/08/2025 05:45</t>
  </si>
  <si>
    <t>30/08/2025 06:00</t>
  </si>
  <si>
    <t>30/08/2025 06:15</t>
  </si>
  <si>
    <t>30/08/2025 06:30</t>
  </si>
  <si>
    <t>30/08/2025 06:45</t>
  </si>
  <si>
    <t>30/08/2025 07:00</t>
  </si>
  <si>
    <t>30/08/2025 07:15</t>
  </si>
  <si>
    <t>30/08/2025 07:30</t>
  </si>
  <si>
    <t>30/08/2025 07:45</t>
  </si>
  <si>
    <t>30/08/2025 08:00</t>
  </si>
  <si>
    <t>30/08/2025 08:15</t>
  </si>
  <si>
    <t>30/08/2025 08:30</t>
  </si>
  <si>
    <t>30/08/2025 08:45</t>
  </si>
  <si>
    <t>30/08/2025 09:00</t>
  </si>
  <si>
    <t>30/08/2025 09:15</t>
  </si>
  <si>
    <t>30/08/2025 09:30</t>
  </si>
  <si>
    <t>30/08/2025 09:45</t>
  </si>
  <si>
    <t>30/08/2025 10:00</t>
  </si>
  <si>
    <t>30/08/2025 10:15</t>
  </si>
  <si>
    <t>30/08/2025 10:30</t>
  </si>
  <si>
    <t>30/08/2025 10:45</t>
  </si>
  <si>
    <t>30/08/2025 11:00</t>
  </si>
  <si>
    <t>30/08/2025 11:15</t>
  </si>
  <si>
    <t>30/08/2025 11:30</t>
  </si>
  <si>
    <t>30/08/2025 11:45</t>
  </si>
  <si>
    <t>30/08/2025 12:00</t>
  </si>
  <si>
    <t>30/08/2025 12:15</t>
  </si>
  <si>
    <t>30/08/2025 12:30</t>
  </si>
  <si>
    <t>30/08/2025 12:45</t>
  </si>
  <si>
    <t>30/08/2025 13:00</t>
  </si>
  <si>
    <t>30/08/2025 13:15</t>
  </si>
  <si>
    <t>30/08/2025 13:30</t>
  </si>
  <si>
    <t>30/08/2025 13:45</t>
  </si>
  <si>
    <t>30/08/2025 14:00</t>
  </si>
  <si>
    <t>30/08/2025 14:15</t>
  </si>
  <si>
    <t>30/08/2025 14:30</t>
  </si>
  <si>
    <t>30/08/2025 14:45</t>
  </si>
  <si>
    <t>30/08/2025 15:00</t>
  </si>
  <si>
    <t>30/08/2025 15:15</t>
  </si>
  <si>
    <t>30/08/2025 15:30</t>
  </si>
  <si>
    <t>30/08/2025 15:45</t>
  </si>
  <si>
    <t>30/08/2025 16:00</t>
  </si>
  <si>
    <t>30/08/2025 16:15</t>
  </si>
  <si>
    <t>30/08/2025 16:30</t>
  </si>
  <si>
    <t>30/08/2025 16:45</t>
  </si>
  <si>
    <t>30/08/2025 17:00</t>
  </si>
  <si>
    <t>30/08/2025 17:15</t>
  </si>
  <si>
    <t>30/08/2025 17:30</t>
  </si>
  <si>
    <t>30/08/2025 17:45</t>
  </si>
  <si>
    <t>30/08/2025 18:00</t>
  </si>
  <si>
    <t>30/08/2025 18:15</t>
  </si>
  <si>
    <t>30/08/2025 18:30</t>
  </si>
  <si>
    <t>30/08/2025 18:45</t>
  </si>
  <si>
    <t>30/08/2025 19:00</t>
  </si>
  <si>
    <t>30/08/2025 19:15</t>
  </si>
  <si>
    <t>30/08/2025 19:30</t>
  </si>
  <si>
    <t>30/08/2025 19:45</t>
  </si>
  <si>
    <t>30/08/2025 20:00</t>
  </si>
  <si>
    <t>30/08/2025 20:15</t>
  </si>
  <si>
    <t>30/08/2025 20:30</t>
  </si>
  <si>
    <t>30/08/2025 20:45</t>
  </si>
  <si>
    <t>30/08/2025 21:00</t>
  </si>
  <si>
    <t>30/08/2025 21:15</t>
  </si>
  <si>
    <t>30/08/2025 21:30</t>
  </si>
  <si>
    <t>30/08/2025 21:45</t>
  </si>
  <si>
    <t>30/08/2025 22:00</t>
  </si>
  <si>
    <t>30/08/2025 22:15</t>
  </si>
  <si>
    <t>30/08/2025 22:30</t>
  </si>
  <si>
    <t>30/08/2025 22:45</t>
  </si>
  <si>
    <t>30/08/2025 23:00</t>
  </si>
  <si>
    <t>30/08/2025 23:15</t>
  </si>
  <si>
    <t>30/08/2025 23:30</t>
  </si>
  <si>
    <t>30/08/2025 23:45</t>
  </si>
  <si>
    <t>30/08/2025 24:00</t>
  </si>
  <si>
    <t>31/08/2025 00:15</t>
  </si>
  <si>
    <t>31/08/2025 00:30</t>
  </si>
  <si>
    <t>31/08/2025 00:45</t>
  </si>
  <si>
    <t>31/08/2025 01:00</t>
  </si>
  <si>
    <t>31/08/2025 01:15</t>
  </si>
  <si>
    <t>31/08/2025 01:30</t>
  </si>
  <si>
    <t>31/08/2025 01:45</t>
  </si>
  <si>
    <t>31/08/2025 02:00</t>
  </si>
  <si>
    <t>31/08/2025 02:15</t>
  </si>
  <si>
    <t>31/08/2025 02:30</t>
  </si>
  <si>
    <t>31/08/2025 02:45</t>
  </si>
  <si>
    <t>31/08/2025 03:00</t>
  </si>
  <si>
    <t>31/08/2025 03:15</t>
  </si>
  <si>
    <t>31/08/2025 03:30</t>
  </si>
  <si>
    <t>31/08/2025 03:45</t>
  </si>
  <si>
    <t>31/08/2025 04:00</t>
  </si>
  <si>
    <t>31/08/2025 04:15</t>
  </si>
  <si>
    <t>31/08/2025 04:30</t>
  </si>
  <si>
    <t>31/08/2025 04:45</t>
  </si>
  <si>
    <t>31/08/2025 05:00</t>
  </si>
  <si>
    <t>31/08/2025 05:15</t>
  </si>
  <si>
    <t>31/08/2025 05:30</t>
  </si>
  <si>
    <t>31/08/2025 05:45</t>
  </si>
  <si>
    <t>31/08/2025 06:00</t>
  </si>
  <si>
    <t>31/08/2025 06:15</t>
  </si>
  <si>
    <t>31/08/2025 06:30</t>
  </si>
  <si>
    <t>31/08/2025 06:45</t>
  </si>
  <si>
    <t>31/08/2025 07:00</t>
  </si>
  <si>
    <t>31/08/2025 07:15</t>
  </si>
  <si>
    <t>31/08/2025 07:30</t>
  </si>
  <si>
    <t>31/08/2025 07:45</t>
  </si>
  <si>
    <t>31/08/2025 08:00</t>
  </si>
  <si>
    <t>31/08/2025 08:15</t>
  </si>
  <si>
    <t>31/08/2025 08:30</t>
  </si>
  <si>
    <t>31/08/2025 08:45</t>
  </si>
  <si>
    <t>31/08/2025 09:00</t>
  </si>
  <si>
    <t>31/08/2025 09:15</t>
  </si>
  <si>
    <t>31/08/2025 09:30</t>
  </si>
  <si>
    <t>31/08/2025 09:45</t>
  </si>
  <si>
    <t>31/08/2025 10:00</t>
  </si>
  <si>
    <t>31/08/2025 10:15</t>
  </si>
  <si>
    <t>31/08/2025 10:30</t>
  </si>
  <si>
    <t>31/08/2025 10:45</t>
  </si>
  <si>
    <t>31/08/2025 11:00</t>
  </si>
  <si>
    <t>31/08/2025 11:15</t>
  </si>
  <si>
    <t>31/08/2025 11:30</t>
  </si>
  <si>
    <t>31/08/2025 11:45</t>
  </si>
  <si>
    <t>31/08/2025 12:00</t>
  </si>
  <si>
    <t>31/08/2025 12:15</t>
  </si>
  <si>
    <t>31/08/2025 12:30</t>
  </si>
  <si>
    <t>31/08/2025 12:45</t>
  </si>
  <si>
    <t>31/08/2025 13:00</t>
  </si>
  <si>
    <t>31/08/2025 13:15</t>
  </si>
  <si>
    <t>31/08/2025 13:30</t>
  </si>
  <si>
    <t>31/08/2025 13:45</t>
  </si>
  <si>
    <t>31/08/2025 14:00</t>
  </si>
  <si>
    <t>31/08/2025 14:15</t>
  </si>
  <si>
    <t>31/08/2025 14:30</t>
  </si>
  <si>
    <t>31/08/2025 14:45</t>
  </si>
  <si>
    <t>31/08/2025 15:00</t>
  </si>
  <si>
    <t>31/08/2025 15:15</t>
  </si>
  <si>
    <t>31/08/2025 15:30</t>
  </si>
  <si>
    <t>31/08/2025 15:45</t>
  </si>
  <si>
    <t>31/08/2025 16:00</t>
  </si>
  <si>
    <t>31/08/2025 16:15</t>
  </si>
  <si>
    <t>31/08/2025 16:30</t>
  </si>
  <si>
    <t>31/08/2025 16:45</t>
  </si>
  <si>
    <t>31/08/2025 17:00</t>
  </si>
  <si>
    <t>31/08/2025 17:15</t>
  </si>
  <si>
    <t>31/08/2025 17:30</t>
  </si>
  <si>
    <t>31/08/2025 17:45</t>
  </si>
  <si>
    <t>31/08/2025 18:00</t>
  </si>
  <si>
    <t>31/08/2025 18:15</t>
  </si>
  <si>
    <t>31/08/2025 18:30</t>
  </si>
  <si>
    <t>31/08/2025 18:45</t>
  </si>
  <si>
    <t>31/08/2025 19:00</t>
  </si>
  <si>
    <t>31/08/2025 19:15</t>
  </si>
  <si>
    <t>31/08/2025 19:30</t>
  </si>
  <si>
    <t>31/08/2025 19:45</t>
  </si>
  <si>
    <t>31/08/2025 20:00</t>
  </si>
  <si>
    <t>31/08/2025 20:15</t>
  </si>
  <si>
    <t>31/08/2025 20:30</t>
  </si>
  <si>
    <t>31/08/2025 20:45</t>
  </si>
  <si>
    <t>31/08/2025 21:00</t>
  </si>
  <si>
    <t>31/08/2025 21:15</t>
  </si>
  <si>
    <t>31/08/2025 21:30</t>
  </si>
  <si>
    <t>31/08/2025 21:45</t>
  </si>
  <si>
    <t>31/08/2025 22:00</t>
  </si>
  <si>
    <t>31/08/2025 22:15</t>
  </si>
  <si>
    <t>31/08/2025 22:30</t>
  </si>
  <si>
    <t>31/08/2025 22:45</t>
  </si>
  <si>
    <t>31/08/2025 23:00</t>
  </si>
  <si>
    <t>31/08/2025 23:15</t>
  </si>
  <si>
    <t>31/08/2025 23:30</t>
  </si>
  <si>
    <t>31/08/2025 23:45</t>
  </si>
  <si>
    <t>31/08/2025 24:00</t>
  </si>
  <si>
    <t>06/08/2025  12;14</t>
  </si>
  <si>
    <t>18/08/20258 13:26</t>
  </si>
  <si>
    <t>Calibration report Of Bhatagaon, RAIPUR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</si>
</sst>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24"/>
      <color theme="1"/>
      <name val="Arial Black"/>
      <family val="2"/>
    </font>
    <font>
      <b/>
      <sz val="26"/>
      <color theme="1"/>
      <name val="Arial Black"/>
      <family val="2"/>
    </font>
    <font>
      <b/>
      <sz val="22"/>
      <color theme="1"/>
      <name val="Arial Black"/>
      <family val="2"/>
    </font>
    <font>
      <sz val="16"/>
      <color theme="0"/>
      <name val="Arial Black"/>
      <family val="2"/>
    </font>
    <font>
      <b/>
      <sz val="16"/>
      <color theme="0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7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0" fontId="15" fillId="12" borderId="7" xfId="0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center"/>
    </xf>
    <xf numFmtId="0" fontId="15" fillId="12" borderId="3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39" fillId="12" borderId="34" xfId="0" applyFont="1" applyFill="1" applyBorder="1" applyAlignment="1">
      <alignment horizontal="center" vertical="center"/>
    </xf>
    <xf numFmtId="0" fontId="39" fillId="12" borderId="32" xfId="0" applyFont="1" applyFill="1" applyBorder="1" applyAlignment="1">
      <alignment horizontal="center" vertical="center"/>
    </xf>
    <xf numFmtId="0" fontId="6" fillId="12" borderId="18" xfId="0" applyFont="1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40" fillId="12" borderId="35" xfId="0" applyFont="1" applyFill="1" applyBorder="1" applyAlignment="1">
      <alignment horizontal="center" vertical="center"/>
    </xf>
    <xf numFmtId="0" fontId="40" fillId="12" borderId="25" xfId="0" applyFont="1" applyFill="1" applyBorder="1" applyAlignment="1">
      <alignment horizontal="center" vertical="center"/>
    </xf>
    <xf numFmtId="0" fontId="6" fillId="12" borderId="36" xfId="0" applyFont="1" applyFill="1" applyBorder="1" applyAlignment="1">
      <alignment horizontal="center"/>
    </xf>
    <xf numFmtId="0" fontId="6" fillId="12" borderId="37" xfId="0" applyFont="1" applyFill="1" applyBorder="1" applyAlignment="1">
      <alignment horizontal="center"/>
    </xf>
    <xf numFmtId="0" fontId="39" fillId="12" borderId="35" xfId="0" applyFont="1" applyFill="1" applyBorder="1" applyAlignment="1">
      <alignment horizontal="center" vertical="center"/>
    </xf>
    <xf numFmtId="0" fontId="39" fillId="12" borderId="25" xfId="0" applyFont="1" applyFill="1" applyBorder="1" applyAlignment="1">
      <alignment horizontal="center" vertical="center"/>
    </xf>
    <xf numFmtId="0" fontId="41" fillId="12" borderId="1" xfId="0" applyFont="1" applyFill="1" applyBorder="1" applyAlignment="1">
      <alignment horizontal="center" vertical="center"/>
    </xf>
    <xf numFmtId="0" fontId="41" fillId="12" borderId="18" xfId="0" applyFont="1" applyFill="1" applyBorder="1" applyAlignment="1">
      <alignment horizontal="center" vertical="center"/>
    </xf>
    <xf numFmtId="0" fontId="41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17" fontId="42" fillId="13" borderId="0" xfId="0" applyNumberFormat="1" applyFont="1" applyFill="1" applyAlignment="1">
      <alignment horizontal="center" vertical="center"/>
    </xf>
    <xf numFmtId="0" fontId="43" fillId="13" borderId="0" xfId="0" applyFont="1" applyFill="1" applyAlignment="1">
      <alignment horizontal="center" vertical="center"/>
    </xf>
    <xf numFmtId="0" fontId="39" fillId="12" borderId="38" xfId="0" applyFont="1" applyFill="1" applyBorder="1" applyAlignment="1">
      <alignment horizontal="center" vertical="center"/>
    </xf>
    <xf numFmtId="0" fontId="39" fillId="12" borderId="21" xfId="0" applyFont="1" applyFill="1" applyBorder="1" applyAlignment="1">
      <alignment horizontal="center" vertical="center"/>
    </xf>
    <xf numFmtId="0" fontId="6" fillId="12" borderId="39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3" activePane="bottomRight" state="frozen"/>
      <selection activeCell="A9" sqref="A9:U104"/>
      <selection pane="topRight" activeCell="A9" sqref="A9:U104"/>
      <selection pane="bottomLeft" activeCell="A9" sqref="A9:U104"/>
      <selection pane="bottomRight" activeCell="P110" sqref="P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01/08/2025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2" t="s">
        <v>247</v>
      </c>
      <c r="B9" s="64">
        <v>7.93</v>
      </c>
      <c r="C9" s="64">
        <v>10.43</v>
      </c>
      <c r="D9" s="64">
        <v>11.81</v>
      </c>
      <c r="E9" s="64">
        <v>4.7</v>
      </c>
      <c r="F9" s="64">
        <v>11.94</v>
      </c>
      <c r="G9" s="64">
        <v>46.81</v>
      </c>
      <c r="H9" s="64">
        <v>14.54</v>
      </c>
      <c r="I9" s="64">
        <v>2.04</v>
      </c>
      <c r="J9" s="64">
        <v>0.36</v>
      </c>
      <c r="K9" s="64">
        <v>134.82</v>
      </c>
      <c r="L9" s="64">
        <v>23.36</v>
      </c>
      <c r="M9" s="64">
        <v>97.97</v>
      </c>
      <c r="N9" s="64">
        <v>84</v>
      </c>
      <c r="O9" s="64">
        <v>0</v>
      </c>
      <c r="P9" s="64">
        <v>0.35</v>
      </c>
      <c r="Q9" s="64">
        <v>9.14</v>
      </c>
      <c r="R9" s="198"/>
      <c r="S9" s="198"/>
      <c r="T9" s="198"/>
      <c r="U9" s="198"/>
    </row>
    <row r="10" spans="1:21" s="12" customFormat="1" x14ac:dyDescent="0.25">
      <c r="A10" s="212" t="s">
        <v>248</v>
      </c>
      <c r="B10" s="64">
        <v>8.9</v>
      </c>
      <c r="C10" s="64">
        <v>10.06</v>
      </c>
      <c r="D10" s="64">
        <v>12.39</v>
      </c>
      <c r="E10" s="64">
        <v>4.6500000000000004</v>
      </c>
      <c r="F10" s="64">
        <v>7.1</v>
      </c>
      <c r="G10" s="64">
        <v>41.11</v>
      </c>
      <c r="H10" s="64">
        <v>11.55</v>
      </c>
      <c r="I10" s="64">
        <v>2.0099999999999998</v>
      </c>
      <c r="J10" s="64">
        <v>0.11</v>
      </c>
      <c r="K10" s="64">
        <v>141.28</v>
      </c>
      <c r="L10" s="64">
        <v>23.18</v>
      </c>
      <c r="M10" s="64">
        <v>97.89</v>
      </c>
      <c r="N10" s="64">
        <v>83.2</v>
      </c>
      <c r="O10" s="64">
        <v>0</v>
      </c>
      <c r="P10" s="64">
        <v>0.48</v>
      </c>
      <c r="Q10" s="64">
        <v>9.14</v>
      </c>
      <c r="R10" s="198"/>
      <c r="S10" s="198"/>
      <c r="T10" s="198"/>
      <c r="U10" s="198"/>
    </row>
    <row r="11" spans="1:21" s="12" customFormat="1" x14ac:dyDescent="0.25">
      <c r="A11" s="212" t="s">
        <v>249</v>
      </c>
      <c r="B11" s="64">
        <v>8.15</v>
      </c>
      <c r="C11" s="64">
        <v>10.49</v>
      </c>
      <c r="D11" s="64">
        <v>12.02</v>
      </c>
      <c r="E11" s="64">
        <v>4.47</v>
      </c>
      <c r="F11" s="64">
        <v>7.41</v>
      </c>
      <c r="G11" s="64">
        <v>41.11</v>
      </c>
      <c r="H11" s="64">
        <v>11.55</v>
      </c>
      <c r="I11" s="64">
        <v>1.97</v>
      </c>
      <c r="J11" s="64">
        <v>0.17</v>
      </c>
      <c r="K11" s="64">
        <v>152.62</v>
      </c>
      <c r="L11" s="64">
        <v>23.13</v>
      </c>
      <c r="M11" s="64">
        <v>97.9</v>
      </c>
      <c r="N11" s="64">
        <v>83.4</v>
      </c>
      <c r="O11" s="64">
        <v>0</v>
      </c>
      <c r="P11" s="64">
        <v>0.43</v>
      </c>
      <c r="Q11" s="64">
        <v>9.14</v>
      </c>
      <c r="R11" s="198"/>
      <c r="S11" s="198"/>
      <c r="T11" s="198"/>
      <c r="U11" s="198"/>
    </row>
    <row r="12" spans="1:21" s="12" customFormat="1" x14ac:dyDescent="0.25">
      <c r="A12" s="212" t="s">
        <v>250</v>
      </c>
      <c r="B12" s="64">
        <v>9.2100000000000009</v>
      </c>
      <c r="C12" s="64">
        <v>10.07</v>
      </c>
      <c r="D12" s="64">
        <v>12.65</v>
      </c>
      <c r="E12" s="64">
        <v>4.68</v>
      </c>
      <c r="F12" s="64">
        <v>6.72</v>
      </c>
      <c r="G12" s="64">
        <v>41.11</v>
      </c>
      <c r="H12" s="64">
        <v>11.55</v>
      </c>
      <c r="I12" s="64">
        <v>1.94</v>
      </c>
      <c r="J12" s="64">
        <v>0.1</v>
      </c>
      <c r="K12" s="64">
        <v>179.76</v>
      </c>
      <c r="L12" s="64">
        <v>23.16</v>
      </c>
      <c r="M12" s="64">
        <v>97.92</v>
      </c>
      <c r="N12" s="64">
        <v>83.5</v>
      </c>
      <c r="O12" s="64">
        <v>0</v>
      </c>
      <c r="P12" s="64">
        <v>0.41</v>
      </c>
      <c r="Q12" s="64">
        <v>9.15</v>
      </c>
      <c r="R12" s="198"/>
      <c r="S12" s="198"/>
      <c r="T12" s="198"/>
      <c r="U12" s="198"/>
    </row>
    <row r="13" spans="1:21" s="12" customFormat="1" x14ac:dyDescent="0.25">
      <c r="A13" s="212" t="s">
        <v>251</v>
      </c>
      <c r="B13" s="64">
        <v>9.24</v>
      </c>
      <c r="C13" s="64">
        <v>9.6300000000000008</v>
      </c>
      <c r="D13" s="64">
        <v>12.44</v>
      </c>
      <c r="E13" s="64">
        <v>4.46</v>
      </c>
      <c r="F13" s="64">
        <v>8.48</v>
      </c>
      <c r="G13" s="64">
        <v>38.76</v>
      </c>
      <c r="H13" s="64">
        <v>11.84</v>
      </c>
      <c r="I13" s="64">
        <v>1.9</v>
      </c>
      <c r="J13" s="64">
        <v>7.0000000000000007E-2</v>
      </c>
      <c r="K13" s="64">
        <v>192.57</v>
      </c>
      <c r="L13" s="64">
        <v>23.21</v>
      </c>
      <c r="M13" s="64">
        <v>97.92</v>
      </c>
      <c r="N13" s="64">
        <v>83.5</v>
      </c>
      <c r="O13" s="64">
        <v>0</v>
      </c>
      <c r="P13" s="64">
        <v>0.34</v>
      </c>
      <c r="Q13" s="64">
        <v>9.14</v>
      </c>
      <c r="R13" s="198"/>
      <c r="S13" s="198"/>
      <c r="T13" s="198"/>
      <c r="U13" s="198"/>
    </row>
    <row r="14" spans="1:21" s="12" customFormat="1" x14ac:dyDescent="0.25">
      <c r="A14" s="212" t="s">
        <v>252</v>
      </c>
      <c r="B14" s="64">
        <v>7.11</v>
      </c>
      <c r="C14" s="64">
        <v>9.2799999999999994</v>
      </c>
      <c r="D14" s="64">
        <v>10.55</v>
      </c>
      <c r="E14" s="64">
        <v>4.5999999999999996</v>
      </c>
      <c r="F14" s="64">
        <v>11.86</v>
      </c>
      <c r="G14" s="64">
        <v>31.01</v>
      </c>
      <c r="H14" s="64">
        <v>12.8</v>
      </c>
      <c r="I14" s="64">
        <v>1.86</v>
      </c>
      <c r="J14" s="64">
        <v>0.09</v>
      </c>
      <c r="K14" s="64">
        <v>143.53</v>
      </c>
      <c r="L14" s="64">
        <v>23.28</v>
      </c>
      <c r="M14" s="64">
        <v>97.92</v>
      </c>
      <c r="N14" s="64">
        <v>83.5</v>
      </c>
      <c r="O14" s="64">
        <v>0</v>
      </c>
      <c r="P14" s="64">
        <v>0.28999999999999998</v>
      </c>
      <c r="Q14" s="64">
        <v>9.14</v>
      </c>
      <c r="R14" s="198"/>
      <c r="S14" s="198"/>
      <c r="T14" s="198"/>
      <c r="U14" s="198"/>
    </row>
    <row r="15" spans="1:21" s="12" customFormat="1" x14ac:dyDescent="0.25">
      <c r="A15" s="212" t="s">
        <v>253</v>
      </c>
      <c r="B15" s="64">
        <v>6.85</v>
      </c>
      <c r="C15" s="64">
        <v>9.89</v>
      </c>
      <c r="D15" s="64">
        <v>10.66</v>
      </c>
      <c r="E15" s="64">
        <v>4.76</v>
      </c>
      <c r="F15" s="64">
        <v>11.49</v>
      </c>
      <c r="G15" s="64">
        <v>31.01</v>
      </c>
      <c r="H15" s="64">
        <v>12.8</v>
      </c>
      <c r="I15" s="64">
        <v>1.82</v>
      </c>
      <c r="J15" s="64">
        <v>0.08</v>
      </c>
      <c r="K15" s="64">
        <v>332.93</v>
      </c>
      <c r="L15" s="64">
        <v>23.43</v>
      </c>
      <c r="M15" s="64">
        <v>97.93</v>
      </c>
      <c r="N15" s="64">
        <v>83.5</v>
      </c>
      <c r="O15" s="64">
        <v>0</v>
      </c>
      <c r="P15" s="64">
        <v>0.28999999999999998</v>
      </c>
      <c r="Q15" s="64">
        <v>9.15</v>
      </c>
      <c r="R15" s="198"/>
      <c r="S15" s="198"/>
      <c r="T15" s="198"/>
      <c r="U15" s="198"/>
    </row>
    <row r="16" spans="1:21" s="12" customFormat="1" x14ac:dyDescent="0.25">
      <c r="A16" s="212" t="s">
        <v>254</v>
      </c>
      <c r="B16" s="64">
        <v>6.75</v>
      </c>
      <c r="C16" s="64">
        <v>9.86</v>
      </c>
      <c r="D16" s="64">
        <v>10.57</v>
      </c>
      <c r="E16" s="64">
        <v>4.5599999999999996</v>
      </c>
      <c r="F16" s="64">
        <v>10.02</v>
      </c>
      <c r="G16" s="64">
        <v>31.01</v>
      </c>
      <c r="H16" s="64">
        <v>12.8</v>
      </c>
      <c r="I16" s="64">
        <v>1.79</v>
      </c>
      <c r="J16" s="64">
        <v>7.0000000000000007E-2</v>
      </c>
      <c r="K16" s="64">
        <v>198.83</v>
      </c>
      <c r="L16" s="64">
        <v>23.57</v>
      </c>
      <c r="M16" s="64">
        <v>97.93</v>
      </c>
      <c r="N16" s="64">
        <v>83.5</v>
      </c>
      <c r="O16" s="64">
        <v>0</v>
      </c>
      <c r="P16" s="64">
        <v>0.25</v>
      </c>
      <c r="Q16" s="64">
        <v>9.16</v>
      </c>
      <c r="R16" s="198"/>
      <c r="S16" s="198"/>
      <c r="T16" s="198"/>
      <c r="U16" s="198"/>
    </row>
    <row r="17" spans="1:21" s="12" customFormat="1" x14ac:dyDescent="0.25">
      <c r="A17" s="212" t="s">
        <v>255</v>
      </c>
      <c r="B17" s="64">
        <v>8.01</v>
      </c>
      <c r="C17" s="64">
        <v>9.5399999999999991</v>
      </c>
      <c r="D17" s="64">
        <v>11.4</v>
      </c>
      <c r="E17" s="64">
        <v>4.5599999999999996</v>
      </c>
      <c r="F17" s="64">
        <v>6.69</v>
      </c>
      <c r="G17" s="64">
        <v>28.6</v>
      </c>
      <c r="H17" s="64">
        <v>11.53</v>
      </c>
      <c r="I17" s="64">
        <v>1.78</v>
      </c>
      <c r="J17" s="64">
        <v>0.1</v>
      </c>
      <c r="K17" s="64">
        <v>182.48</v>
      </c>
      <c r="L17" s="64">
        <v>23.28</v>
      </c>
      <c r="M17" s="64">
        <v>97.48</v>
      </c>
      <c r="N17" s="64">
        <v>84.9</v>
      </c>
      <c r="O17" s="64">
        <v>0</v>
      </c>
      <c r="P17" s="64">
        <v>0.37</v>
      </c>
      <c r="Q17" s="64">
        <v>9.17</v>
      </c>
      <c r="R17" s="198"/>
      <c r="S17" s="198"/>
      <c r="T17" s="198"/>
      <c r="U17" s="198"/>
    </row>
    <row r="18" spans="1:21" s="12" customFormat="1" x14ac:dyDescent="0.25">
      <c r="A18" s="212" t="s">
        <v>256</v>
      </c>
      <c r="B18" s="64">
        <v>8.01</v>
      </c>
      <c r="C18" s="64">
        <v>9.08</v>
      </c>
      <c r="D18" s="64">
        <v>11.17</v>
      </c>
      <c r="E18" s="64">
        <v>4.38</v>
      </c>
      <c r="F18" s="64">
        <v>9.84</v>
      </c>
      <c r="G18" s="64">
        <v>20.69</v>
      </c>
      <c r="H18" s="64">
        <v>7.37</v>
      </c>
      <c r="I18" s="64">
        <v>1.73</v>
      </c>
      <c r="J18" s="64">
        <v>0.12</v>
      </c>
      <c r="K18" s="64">
        <v>154.80000000000001</v>
      </c>
      <c r="L18" s="64">
        <v>22.89</v>
      </c>
      <c r="M18" s="64">
        <v>97.43</v>
      </c>
      <c r="N18" s="64">
        <v>83.7</v>
      </c>
      <c r="O18" s="64">
        <v>0</v>
      </c>
      <c r="P18" s="64">
        <v>0.28000000000000003</v>
      </c>
      <c r="Q18" s="64">
        <v>9.16</v>
      </c>
      <c r="R18" s="198"/>
      <c r="S18" s="198"/>
      <c r="T18" s="198"/>
      <c r="U18" s="198"/>
    </row>
    <row r="19" spans="1:21" s="12" customFormat="1" x14ac:dyDescent="0.25">
      <c r="A19" s="212" t="s">
        <v>257</v>
      </c>
      <c r="B19" s="64">
        <v>6.93</v>
      </c>
      <c r="C19" s="64">
        <v>8.7899999999999991</v>
      </c>
      <c r="D19" s="64">
        <v>10.15</v>
      </c>
      <c r="E19" s="64">
        <v>4.6500000000000004</v>
      </c>
      <c r="F19" s="64">
        <v>10.93</v>
      </c>
      <c r="G19" s="64">
        <v>20.69</v>
      </c>
      <c r="H19" s="64">
        <v>7.37</v>
      </c>
      <c r="I19" s="64">
        <v>1.69</v>
      </c>
      <c r="J19" s="64">
        <v>7.0000000000000007E-2</v>
      </c>
      <c r="K19" s="64">
        <v>133.59</v>
      </c>
      <c r="L19" s="64">
        <v>22.84</v>
      </c>
      <c r="M19" s="64">
        <v>97.46</v>
      </c>
      <c r="N19" s="64">
        <v>83.4</v>
      </c>
      <c r="O19" s="64">
        <v>0</v>
      </c>
      <c r="P19" s="64">
        <v>0.23</v>
      </c>
      <c r="Q19" s="64">
        <v>9.16</v>
      </c>
      <c r="R19" s="198"/>
      <c r="S19" s="198"/>
      <c r="T19" s="198"/>
      <c r="U19" s="198"/>
    </row>
    <row r="20" spans="1:21" s="12" customFormat="1" x14ac:dyDescent="0.25">
      <c r="A20" s="212" t="s">
        <v>258</v>
      </c>
      <c r="B20" s="64">
        <v>6.78</v>
      </c>
      <c r="C20" s="64">
        <v>8.74</v>
      </c>
      <c r="D20" s="64">
        <v>10</v>
      </c>
      <c r="E20" s="64">
        <v>4.82</v>
      </c>
      <c r="F20" s="64">
        <v>10.62</v>
      </c>
      <c r="G20" s="64">
        <v>20.69</v>
      </c>
      <c r="H20" s="64">
        <v>7.37</v>
      </c>
      <c r="I20" s="64">
        <v>1.65</v>
      </c>
      <c r="J20" s="64">
        <v>0.08</v>
      </c>
      <c r="K20" s="64">
        <v>159.56</v>
      </c>
      <c r="L20" s="64">
        <v>22.72</v>
      </c>
      <c r="M20" s="64">
        <v>98.03</v>
      </c>
      <c r="N20" s="64">
        <v>83.5</v>
      </c>
      <c r="O20" s="64">
        <v>0</v>
      </c>
      <c r="P20" s="64">
        <v>0.23</v>
      </c>
      <c r="Q20" s="64">
        <v>9.17</v>
      </c>
      <c r="R20" s="198"/>
      <c r="S20" s="198"/>
      <c r="T20" s="198"/>
      <c r="U20" s="198"/>
    </row>
    <row r="21" spans="1:21" s="12" customFormat="1" x14ac:dyDescent="0.25">
      <c r="A21" s="212" t="s">
        <v>259</v>
      </c>
      <c r="B21" s="64">
        <v>8.26</v>
      </c>
      <c r="C21" s="64">
        <v>8.82</v>
      </c>
      <c r="D21" s="64">
        <v>11.24</v>
      </c>
      <c r="E21" s="64">
        <v>4.96</v>
      </c>
      <c r="F21" s="64">
        <v>6.38</v>
      </c>
      <c r="G21" s="64">
        <v>20.329999999999998</v>
      </c>
      <c r="H21" s="64">
        <v>6.71</v>
      </c>
      <c r="I21" s="64">
        <v>1.63</v>
      </c>
      <c r="J21" s="64">
        <v>0.1</v>
      </c>
      <c r="K21" s="64">
        <v>163.07</v>
      </c>
      <c r="L21" s="64">
        <v>22.68</v>
      </c>
      <c r="M21" s="64">
        <v>97.54</v>
      </c>
      <c r="N21" s="64">
        <v>83.5</v>
      </c>
      <c r="O21" s="64">
        <v>0</v>
      </c>
      <c r="P21" s="64">
        <v>0.32</v>
      </c>
      <c r="Q21" s="64">
        <v>9.16</v>
      </c>
      <c r="R21" s="198"/>
      <c r="S21" s="198"/>
      <c r="T21" s="198"/>
      <c r="U21" s="198"/>
    </row>
    <row r="22" spans="1:21" s="12" customFormat="1" x14ac:dyDescent="0.25">
      <c r="A22" s="212" t="s">
        <v>260</v>
      </c>
      <c r="B22" s="64">
        <v>8.8699999999999992</v>
      </c>
      <c r="C22" s="64">
        <v>9.4600000000000009</v>
      </c>
      <c r="D22" s="64">
        <v>12.06</v>
      </c>
      <c r="E22" s="64">
        <v>4.88</v>
      </c>
      <c r="F22" s="64">
        <v>7.22</v>
      </c>
      <c r="G22" s="64">
        <v>19.16</v>
      </c>
      <c r="H22" s="64">
        <v>4.55</v>
      </c>
      <c r="I22" s="64">
        <v>1.6</v>
      </c>
      <c r="J22" s="64">
        <v>0.08</v>
      </c>
      <c r="K22" s="64">
        <v>144.78</v>
      </c>
      <c r="L22" s="64">
        <v>22.69</v>
      </c>
      <c r="M22" s="64">
        <v>97.43</v>
      </c>
      <c r="N22" s="64">
        <v>83.5</v>
      </c>
      <c r="O22" s="64">
        <v>0</v>
      </c>
      <c r="P22" s="64">
        <v>0.3</v>
      </c>
      <c r="Q22" s="64">
        <v>9.15</v>
      </c>
      <c r="R22" s="198"/>
      <c r="S22" s="198"/>
      <c r="T22" s="198"/>
      <c r="U22" s="198"/>
    </row>
    <row r="23" spans="1:21" s="12" customFormat="1" x14ac:dyDescent="0.25">
      <c r="A23" s="212" t="s">
        <v>261</v>
      </c>
      <c r="B23" s="64">
        <v>8.82</v>
      </c>
      <c r="C23" s="64">
        <v>9.11</v>
      </c>
      <c r="D23" s="64">
        <v>11.84</v>
      </c>
      <c r="E23" s="64">
        <v>4.54</v>
      </c>
      <c r="F23" s="64">
        <v>8.7200000000000006</v>
      </c>
      <c r="G23" s="64">
        <v>19.16</v>
      </c>
      <c r="H23" s="64">
        <v>4.55</v>
      </c>
      <c r="I23" s="64">
        <v>1.56</v>
      </c>
      <c r="J23" s="64">
        <v>0.09</v>
      </c>
      <c r="K23" s="64">
        <v>133.72</v>
      </c>
      <c r="L23" s="64">
        <v>22.66</v>
      </c>
      <c r="M23" s="64">
        <v>97.43</v>
      </c>
      <c r="N23" s="64">
        <v>83.5</v>
      </c>
      <c r="O23" s="64">
        <v>0</v>
      </c>
      <c r="P23" s="64">
        <v>0.27</v>
      </c>
      <c r="Q23" s="64">
        <v>9.14</v>
      </c>
      <c r="R23" s="198"/>
      <c r="S23" s="198"/>
      <c r="T23" s="198"/>
      <c r="U23" s="198"/>
    </row>
    <row r="24" spans="1:21" s="12" customFormat="1" x14ac:dyDescent="0.25">
      <c r="A24" s="212" t="s">
        <v>262</v>
      </c>
      <c r="B24" s="64">
        <v>8.2799999999999994</v>
      </c>
      <c r="C24" s="64">
        <v>8.6199999999999992</v>
      </c>
      <c r="D24" s="64">
        <v>11.14</v>
      </c>
      <c r="E24" s="64">
        <v>4.58</v>
      </c>
      <c r="F24" s="64">
        <v>5.57</v>
      </c>
      <c r="G24" s="64">
        <v>19.16</v>
      </c>
      <c r="H24" s="64">
        <v>4.55</v>
      </c>
      <c r="I24" s="64">
        <v>1.51</v>
      </c>
      <c r="J24" s="64">
        <v>0.14000000000000001</v>
      </c>
      <c r="K24" s="64">
        <v>118.35</v>
      </c>
      <c r="L24" s="64">
        <v>22.57</v>
      </c>
      <c r="M24" s="64">
        <v>98</v>
      </c>
      <c r="N24" s="64">
        <v>83.5</v>
      </c>
      <c r="O24" s="64">
        <v>0</v>
      </c>
      <c r="P24" s="64">
        <v>0.33</v>
      </c>
      <c r="Q24" s="64">
        <v>9.1300000000000008</v>
      </c>
      <c r="R24" s="198"/>
      <c r="S24" s="198"/>
      <c r="T24" s="198"/>
      <c r="U24" s="198"/>
    </row>
    <row r="25" spans="1:21" s="12" customFormat="1" x14ac:dyDescent="0.25">
      <c r="A25" s="212" t="s">
        <v>263</v>
      </c>
      <c r="B25" s="64">
        <v>7.58</v>
      </c>
      <c r="C25" s="64">
        <v>10.06</v>
      </c>
      <c r="D25" s="64">
        <v>11.33</v>
      </c>
      <c r="E25" s="64">
        <v>4.66</v>
      </c>
      <c r="F25" s="64">
        <v>10.67</v>
      </c>
      <c r="G25" s="64">
        <v>18.690000000000001</v>
      </c>
      <c r="H25" s="64">
        <v>5.61</v>
      </c>
      <c r="I25" s="64">
        <v>1.47</v>
      </c>
      <c r="J25" s="64">
        <v>0.1</v>
      </c>
      <c r="K25" s="64">
        <v>139.93</v>
      </c>
      <c r="L25" s="64">
        <v>22.6</v>
      </c>
      <c r="M25" s="64">
        <v>97.5</v>
      </c>
      <c r="N25" s="64">
        <v>83.4</v>
      </c>
      <c r="O25" s="64">
        <v>0</v>
      </c>
      <c r="P25" s="64">
        <v>0.19</v>
      </c>
      <c r="Q25" s="64">
        <v>9.1300000000000008</v>
      </c>
      <c r="R25" s="198"/>
      <c r="S25" s="198"/>
      <c r="T25" s="198"/>
      <c r="U25" s="198"/>
    </row>
    <row r="26" spans="1:21" s="12" customFormat="1" x14ac:dyDescent="0.25">
      <c r="A26" s="212" t="s">
        <v>264</v>
      </c>
      <c r="B26" s="64">
        <v>6.77</v>
      </c>
      <c r="C26" s="64">
        <v>11.49</v>
      </c>
      <c r="D26" s="64">
        <v>11.43</v>
      </c>
      <c r="E26" s="64">
        <v>4.51</v>
      </c>
      <c r="F26" s="64">
        <v>7.6</v>
      </c>
      <c r="G26" s="64">
        <v>17.14</v>
      </c>
      <c r="H26" s="64">
        <v>9.08</v>
      </c>
      <c r="I26" s="64">
        <v>1.44</v>
      </c>
      <c r="J26" s="64">
        <v>0.02</v>
      </c>
      <c r="K26" s="64">
        <v>254.62</v>
      </c>
      <c r="L26" s="64">
        <v>22.65</v>
      </c>
      <c r="M26" s="64">
        <v>97.54</v>
      </c>
      <c r="N26" s="64">
        <v>83.2</v>
      </c>
      <c r="O26" s="64">
        <v>0</v>
      </c>
      <c r="P26" s="64">
        <v>0.23</v>
      </c>
      <c r="Q26" s="64">
        <v>9.14</v>
      </c>
      <c r="R26" s="198"/>
      <c r="S26" s="198"/>
      <c r="T26" s="198"/>
      <c r="U26" s="198"/>
    </row>
    <row r="27" spans="1:21" s="12" customFormat="1" x14ac:dyDescent="0.25">
      <c r="A27" s="212" t="s">
        <v>265</v>
      </c>
      <c r="B27" s="64">
        <v>7.01</v>
      </c>
      <c r="C27" s="64">
        <v>11.42</v>
      </c>
      <c r="D27" s="64">
        <v>11.59</v>
      </c>
      <c r="E27" s="64">
        <v>4.76</v>
      </c>
      <c r="F27" s="64">
        <v>7.83</v>
      </c>
      <c r="G27" s="64">
        <v>17.14</v>
      </c>
      <c r="H27" s="64">
        <v>9.08</v>
      </c>
      <c r="I27" s="64">
        <v>1.4</v>
      </c>
      <c r="J27" s="64">
        <v>0.06</v>
      </c>
      <c r="K27" s="64">
        <v>189.15</v>
      </c>
      <c r="L27" s="64">
        <v>22.62</v>
      </c>
      <c r="M27" s="64">
        <v>97.49</v>
      </c>
      <c r="N27" s="64">
        <v>83.1</v>
      </c>
      <c r="O27" s="64">
        <v>0</v>
      </c>
      <c r="P27" s="64">
        <v>0.23</v>
      </c>
      <c r="Q27" s="64">
        <v>9.1199999999999992</v>
      </c>
      <c r="R27" s="198"/>
      <c r="S27" s="198"/>
      <c r="T27" s="198"/>
      <c r="U27" s="198"/>
    </row>
    <row r="28" spans="1:21" s="12" customFormat="1" x14ac:dyDescent="0.25">
      <c r="A28" s="212" t="s">
        <v>266</v>
      </c>
      <c r="B28" s="64">
        <v>9.23</v>
      </c>
      <c r="C28" s="64">
        <v>11.66</v>
      </c>
      <c r="D28" s="64">
        <v>13.5</v>
      </c>
      <c r="E28" s="64">
        <v>4.43</v>
      </c>
      <c r="F28" s="64">
        <v>6.09</v>
      </c>
      <c r="G28" s="64">
        <v>17.14</v>
      </c>
      <c r="H28" s="64">
        <v>9.08</v>
      </c>
      <c r="I28" s="64">
        <v>1.36</v>
      </c>
      <c r="J28" s="64">
        <v>0.03</v>
      </c>
      <c r="K28" s="64">
        <v>220.59</v>
      </c>
      <c r="L28" s="64">
        <v>22.58</v>
      </c>
      <c r="M28" s="64">
        <v>98.06</v>
      </c>
      <c r="N28" s="64">
        <v>83.1</v>
      </c>
      <c r="O28" s="64">
        <v>0</v>
      </c>
      <c r="P28" s="64">
        <v>0.28000000000000003</v>
      </c>
      <c r="Q28" s="64">
        <v>9.11</v>
      </c>
      <c r="R28" s="198"/>
      <c r="S28" s="198"/>
      <c r="T28" s="198"/>
      <c r="U28" s="198"/>
    </row>
    <row r="29" spans="1:21" s="12" customFormat="1" x14ac:dyDescent="0.25">
      <c r="A29" s="212" t="s">
        <v>267</v>
      </c>
      <c r="B29" s="64">
        <v>9.1999999999999993</v>
      </c>
      <c r="C29" s="64">
        <v>11.8</v>
      </c>
      <c r="D29" s="64">
        <v>13.54</v>
      </c>
      <c r="E29" s="64">
        <v>4.51</v>
      </c>
      <c r="F29" s="64">
        <v>5.03</v>
      </c>
      <c r="G29" s="64">
        <v>15.87</v>
      </c>
      <c r="H29" s="64">
        <v>8.34</v>
      </c>
      <c r="I29" s="64">
        <v>1.34</v>
      </c>
      <c r="J29" s="64">
        <v>0.04</v>
      </c>
      <c r="K29" s="64">
        <v>220.97</v>
      </c>
      <c r="L29" s="64">
        <v>22.62</v>
      </c>
      <c r="M29" s="64">
        <v>97.53</v>
      </c>
      <c r="N29" s="64">
        <v>83</v>
      </c>
      <c r="O29" s="64">
        <v>0</v>
      </c>
      <c r="P29" s="64">
        <v>0.3</v>
      </c>
      <c r="Q29" s="64">
        <v>9.1300000000000008</v>
      </c>
      <c r="R29" s="198"/>
      <c r="S29" s="198"/>
      <c r="T29" s="198"/>
      <c r="U29" s="198"/>
    </row>
    <row r="30" spans="1:21" s="12" customFormat="1" x14ac:dyDescent="0.25">
      <c r="A30" s="212" t="s">
        <v>268</v>
      </c>
      <c r="B30" s="64">
        <v>9.94</v>
      </c>
      <c r="C30" s="64">
        <v>11.29</v>
      </c>
      <c r="D30" s="64">
        <v>13.87</v>
      </c>
      <c r="E30" s="64">
        <v>4.8600000000000003</v>
      </c>
      <c r="F30" s="64">
        <v>6.27</v>
      </c>
      <c r="G30" s="64">
        <v>11.7</v>
      </c>
      <c r="H30" s="64">
        <v>5.9</v>
      </c>
      <c r="I30" s="64">
        <v>1.32</v>
      </c>
      <c r="J30" s="64">
        <v>0.06</v>
      </c>
      <c r="K30" s="64">
        <v>287.77999999999997</v>
      </c>
      <c r="L30" s="64">
        <v>22.83</v>
      </c>
      <c r="M30" s="64">
        <v>97.54</v>
      </c>
      <c r="N30" s="64">
        <v>83.1</v>
      </c>
      <c r="O30" s="64">
        <v>0</v>
      </c>
      <c r="P30" s="64">
        <v>0.28000000000000003</v>
      </c>
      <c r="Q30" s="64">
        <v>9.1300000000000008</v>
      </c>
      <c r="R30" s="198"/>
      <c r="S30" s="198"/>
      <c r="T30" s="198"/>
      <c r="U30" s="198"/>
    </row>
    <row r="31" spans="1:21" s="12" customFormat="1" x14ac:dyDescent="0.25">
      <c r="A31" s="212" t="s">
        <v>269</v>
      </c>
      <c r="B31" s="64">
        <v>11.41</v>
      </c>
      <c r="C31" s="64">
        <v>10.47</v>
      </c>
      <c r="D31" s="64">
        <v>14.62</v>
      </c>
      <c r="E31" s="64">
        <v>4.51</v>
      </c>
      <c r="F31" s="64">
        <v>3.56</v>
      </c>
      <c r="G31" s="64">
        <v>11.7</v>
      </c>
      <c r="H31" s="64">
        <v>5.9</v>
      </c>
      <c r="I31" s="64">
        <v>1.29</v>
      </c>
      <c r="J31" s="64">
        <v>7.0000000000000007E-2</v>
      </c>
      <c r="K31" s="64">
        <v>236.52</v>
      </c>
      <c r="L31" s="64">
        <v>22.95</v>
      </c>
      <c r="M31" s="64">
        <v>97.55</v>
      </c>
      <c r="N31" s="64">
        <v>85</v>
      </c>
      <c r="O31" s="64">
        <v>0</v>
      </c>
      <c r="P31" s="64">
        <v>0.34</v>
      </c>
      <c r="Q31" s="64">
        <v>9.1300000000000008</v>
      </c>
      <c r="R31" s="198"/>
      <c r="S31" s="198"/>
      <c r="T31" s="198"/>
      <c r="U31" s="198"/>
    </row>
    <row r="32" spans="1:21" s="12" customFormat="1" x14ac:dyDescent="0.25">
      <c r="A32" s="212" t="s">
        <v>270</v>
      </c>
      <c r="B32" s="64">
        <v>11.66</v>
      </c>
      <c r="C32" s="64">
        <v>10.54</v>
      </c>
      <c r="D32" s="64">
        <v>14.85</v>
      </c>
      <c r="E32" s="64">
        <v>4.57</v>
      </c>
      <c r="F32" s="64">
        <v>3.76</v>
      </c>
      <c r="G32" s="64">
        <v>11.7</v>
      </c>
      <c r="H32" s="64">
        <v>5.9</v>
      </c>
      <c r="I32" s="64">
        <v>1.27</v>
      </c>
      <c r="J32" s="64">
        <v>7.0000000000000007E-2</v>
      </c>
      <c r="K32" s="64">
        <v>275.86</v>
      </c>
      <c r="L32" s="64">
        <v>22.95</v>
      </c>
      <c r="M32" s="64">
        <v>98.11</v>
      </c>
      <c r="N32" s="64">
        <v>92.8</v>
      </c>
      <c r="O32" s="64">
        <v>0</v>
      </c>
      <c r="P32" s="64">
        <v>0.33</v>
      </c>
      <c r="Q32" s="64">
        <v>9.14</v>
      </c>
      <c r="R32" s="198"/>
      <c r="S32" s="198"/>
      <c r="T32" s="198"/>
      <c r="U32" s="198"/>
    </row>
    <row r="33" spans="1:21" s="12" customFormat="1" x14ac:dyDescent="0.25">
      <c r="A33" s="212" t="s">
        <v>271</v>
      </c>
      <c r="B33" s="64">
        <v>11.74</v>
      </c>
      <c r="C33" s="64">
        <v>10.55</v>
      </c>
      <c r="D33" s="64">
        <v>14.93</v>
      </c>
      <c r="E33" s="64">
        <v>4.33</v>
      </c>
      <c r="F33" s="64">
        <v>3.2</v>
      </c>
      <c r="G33" s="64">
        <v>12.71</v>
      </c>
      <c r="H33" s="64">
        <v>6.27</v>
      </c>
      <c r="I33" s="64">
        <v>1.27</v>
      </c>
      <c r="J33" s="64">
        <v>0.08</v>
      </c>
      <c r="K33" s="64">
        <v>287.52</v>
      </c>
      <c r="L33" s="64">
        <v>23.07</v>
      </c>
      <c r="M33" s="64">
        <v>97.55</v>
      </c>
      <c r="N33" s="64">
        <v>115.4</v>
      </c>
      <c r="O33" s="64">
        <v>0</v>
      </c>
      <c r="P33" s="64">
        <v>0.34</v>
      </c>
      <c r="Q33" s="64">
        <v>9.1300000000000008</v>
      </c>
      <c r="R33" s="198"/>
      <c r="S33" s="198"/>
      <c r="T33" s="198"/>
      <c r="U33" s="198"/>
    </row>
    <row r="34" spans="1:21" s="12" customFormat="1" x14ac:dyDescent="0.25">
      <c r="A34" s="212" t="s">
        <v>272</v>
      </c>
      <c r="B34" s="64">
        <v>12.33</v>
      </c>
      <c r="C34" s="64">
        <v>10.98</v>
      </c>
      <c r="D34" s="64">
        <v>15.62</v>
      </c>
      <c r="E34" s="64">
        <v>4.7</v>
      </c>
      <c r="F34" s="64">
        <v>3.7</v>
      </c>
      <c r="G34" s="64">
        <v>16.05</v>
      </c>
      <c r="H34" s="64">
        <v>7.47</v>
      </c>
      <c r="I34" s="64">
        <v>1.26</v>
      </c>
      <c r="J34" s="64">
        <v>0.08</v>
      </c>
      <c r="K34" s="64">
        <v>300.64</v>
      </c>
      <c r="L34" s="64">
        <v>23.37</v>
      </c>
      <c r="M34" s="64">
        <v>97.56</v>
      </c>
      <c r="N34" s="64">
        <v>143</v>
      </c>
      <c r="O34" s="64">
        <v>0</v>
      </c>
      <c r="P34" s="64">
        <v>0.34</v>
      </c>
      <c r="Q34" s="64">
        <v>9.11</v>
      </c>
      <c r="R34" s="198"/>
      <c r="S34" s="198"/>
      <c r="T34" s="198"/>
      <c r="U34" s="198"/>
    </row>
    <row r="35" spans="1:21" s="12" customFormat="1" x14ac:dyDescent="0.25">
      <c r="A35" s="212" t="s">
        <v>273</v>
      </c>
      <c r="B35" s="64">
        <v>12.76</v>
      </c>
      <c r="C35" s="64">
        <v>12.02</v>
      </c>
      <c r="D35" s="64">
        <v>16.52</v>
      </c>
      <c r="E35" s="64">
        <v>4.72</v>
      </c>
      <c r="F35" s="64">
        <v>4.71</v>
      </c>
      <c r="G35" s="64">
        <v>16.05</v>
      </c>
      <c r="H35" s="64">
        <v>7.47</v>
      </c>
      <c r="I35" s="64">
        <v>1.23</v>
      </c>
      <c r="J35" s="64">
        <v>0.08</v>
      </c>
      <c r="K35" s="64">
        <v>292.11</v>
      </c>
      <c r="L35" s="64">
        <v>23.67</v>
      </c>
      <c r="M35" s="64">
        <v>98.1</v>
      </c>
      <c r="N35" s="64">
        <v>149.6</v>
      </c>
      <c r="O35" s="64">
        <v>0</v>
      </c>
      <c r="P35" s="64">
        <v>0.35</v>
      </c>
      <c r="Q35" s="64">
        <v>9.11</v>
      </c>
      <c r="R35" s="198"/>
      <c r="S35" s="198"/>
      <c r="T35" s="198"/>
      <c r="U35" s="198"/>
    </row>
    <row r="36" spans="1:21" s="12" customFormat="1" x14ac:dyDescent="0.25">
      <c r="A36" s="212" t="s">
        <v>274</v>
      </c>
      <c r="B36" s="64">
        <v>13</v>
      </c>
      <c r="C36" s="64">
        <v>13.01</v>
      </c>
      <c r="D36" s="64">
        <v>17.22</v>
      </c>
      <c r="E36" s="64">
        <v>4.5199999999999996</v>
      </c>
      <c r="F36" s="64">
        <v>4.9800000000000004</v>
      </c>
      <c r="G36" s="64">
        <v>16.05</v>
      </c>
      <c r="H36" s="64">
        <v>7.47</v>
      </c>
      <c r="I36" s="64">
        <v>1.22</v>
      </c>
      <c r="J36" s="64">
        <v>0.11</v>
      </c>
      <c r="K36" s="64">
        <v>296.64999999999998</v>
      </c>
      <c r="L36" s="64">
        <v>24.14</v>
      </c>
      <c r="M36" s="64">
        <v>98.05</v>
      </c>
      <c r="N36" s="64">
        <v>160.5</v>
      </c>
      <c r="O36" s="64">
        <v>0</v>
      </c>
      <c r="P36" s="64">
        <v>0.34</v>
      </c>
      <c r="Q36" s="64">
        <v>9.11</v>
      </c>
      <c r="R36" s="198"/>
      <c r="S36" s="198"/>
      <c r="T36" s="198"/>
      <c r="U36" s="198"/>
    </row>
    <row r="37" spans="1:21" s="12" customFormat="1" x14ac:dyDescent="0.25">
      <c r="A37" s="212" t="s">
        <v>275</v>
      </c>
      <c r="B37" s="64">
        <v>15.27</v>
      </c>
      <c r="C37" s="64">
        <v>13.36</v>
      </c>
      <c r="D37" s="64">
        <v>19.23</v>
      </c>
      <c r="E37" s="64">
        <v>4.37</v>
      </c>
      <c r="F37" s="64">
        <v>4.88</v>
      </c>
      <c r="G37" s="64">
        <v>16.21</v>
      </c>
      <c r="H37" s="64">
        <v>7.83</v>
      </c>
      <c r="I37" s="64">
        <v>1.23</v>
      </c>
      <c r="J37" s="64">
        <v>0.12</v>
      </c>
      <c r="K37" s="64">
        <v>291.19</v>
      </c>
      <c r="L37" s="64">
        <v>24.27</v>
      </c>
      <c r="M37" s="64">
        <v>98.05</v>
      </c>
      <c r="N37" s="64">
        <v>158.69999999999999</v>
      </c>
      <c r="O37" s="64">
        <v>0</v>
      </c>
      <c r="P37" s="64">
        <v>0.34</v>
      </c>
      <c r="Q37" s="64">
        <v>9.1199999999999992</v>
      </c>
      <c r="R37" s="198"/>
      <c r="S37" s="198"/>
      <c r="T37" s="198"/>
      <c r="U37" s="198"/>
    </row>
    <row r="38" spans="1:21" s="12" customFormat="1" x14ac:dyDescent="0.25">
      <c r="A38" s="212" t="s">
        <v>276</v>
      </c>
      <c r="B38" s="64">
        <v>13.23</v>
      </c>
      <c r="C38" s="64">
        <v>11.28</v>
      </c>
      <c r="D38" s="64">
        <v>16.5</v>
      </c>
      <c r="E38" s="64">
        <v>4.5599999999999996</v>
      </c>
      <c r="F38" s="64">
        <v>4.42</v>
      </c>
      <c r="G38" s="64">
        <v>16.75</v>
      </c>
      <c r="H38" s="64">
        <v>9</v>
      </c>
      <c r="I38" s="64">
        <v>1.23</v>
      </c>
      <c r="J38" s="64">
        <v>0.17</v>
      </c>
      <c r="K38" s="64">
        <v>294.7</v>
      </c>
      <c r="L38" s="64">
        <v>24.5</v>
      </c>
      <c r="M38" s="64">
        <v>98.05</v>
      </c>
      <c r="N38" s="64">
        <v>180</v>
      </c>
      <c r="O38" s="64">
        <v>0</v>
      </c>
      <c r="P38" s="64">
        <v>0.32</v>
      </c>
      <c r="Q38" s="64">
        <v>9.14</v>
      </c>
      <c r="R38" s="198"/>
      <c r="S38" s="198"/>
      <c r="T38" s="198"/>
      <c r="U38" s="198"/>
    </row>
    <row r="39" spans="1:21" s="12" customFormat="1" x14ac:dyDescent="0.25">
      <c r="A39" s="212" t="s">
        <v>277</v>
      </c>
      <c r="B39" s="64">
        <v>14.99</v>
      </c>
      <c r="C39" s="64">
        <v>13.06</v>
      </c>
      <c r="D39" s="64">
        <v>18.850000000000001</v>
      </c>
      <c r="E39" s="64">
        <v>4.3600000000000003</v>
      </c>
      <c r="F39" s="64">
        <v>3.06</v>
      </c>
      <c r="G39" s="64">
        <v>16.75</v>
      </c>
      <c r="H39" s="64">
        <v>9</v>
      </c>
      <c r="I39" s="64">
        <v>1.23</v>
      </c>
      <c r="J39" s="64">
        <v>0.12</v>
      </c>
      <c r="K39" s="64">
        <v>286.44</v>
      </c>
      <c r="L39" s="64">
        <v>24.87</v>
      </c>
      <c r="M39" s="64">
        <v>98.02</v>
      </c>
      <c r="N39" s="64">
        <v>222.9</v>
      </c>
      <c r="O39" s="64">
        <v>0</v>
      </c>
      <c r="P39" s="64">
        <v>0.34</v>
      </c>
      <c r="Q39" s="64">
        <v>9.16</v>
      </c>
      <c r="R39" s="198"/>
      <c r="S39" s="198"/>
      <c r="T39" s="198"/>
      <c r="U39" s="198"/>
    </row>
    <row r="40" spans="1:21" s="12" customFormat="1" x14ac:dyDescent="0.25">
      <c r="A40" s="212" t="s">
        <v>278</v>
      </c>
      <c r="B40" s="64">
        <v>17.170000000000002</v>
      </c>
      <c r="C40" s="64">
        <v>13.6</v>
      </c>
      <c r="D40" s="64">
        <v>20.87</v>
      </c>
      <c r="E40" s="64">
        <v>4</v>
      </c>
      <c r="F40" s="64">
        <v>4.5599999999999996</v>
      </c>
      <c r="G40" s="64">
        <v>16.75</v>
      </c>
      <c r="H40" s="64">
        <v>9</v>
      </c>
      <c r="I40" s="64">
        <v>1.24</v>
      </c>
      <c r="J40" s="64">
        <v>0.14000000000000001</v>
      </c>
      <c r="K40" s="64">
        <v>300.10000000000002</v>
      </c>
      <c r="L40" s="64">
        <v>25.28</v>
      </c>
      <c r="M40" s="64">
        <v>98.02</v>
      </c>
      <c r="N40" s="64">
        <v>202</v>
      </c>
      <c r="O40" s="64">
        <v>0</v>
      </c>
      <c r="P40" s="64">
        <v>0.39</v>
      </c>
      <c r="Q40" s="64">
        <v>9.18</v>
      </c>
      <c r="R40" s="198"/>
      <c r="S40" s="198"/>
      <c r="T40" s="198"/>
      <c r="U40" s="198"/>
    </row>
    <row r="41" spans="1:21" s="12" customFormat="1" x14ac:dyDescent="0.25">
      <c r="A41" s="212" t="s">
        <v>279</v>
      </c>
      <c r="B41" s="64">
        <v>16.36</v>
      </c>
      <c r="C41" s="64">
        <v>12.73</v>
      </c>
      <c r="D41" s="64">
        <v>19.77</v>
      </c>
      <c r="E41" s="64">
        <v>3.53</v>
      </c>
      <c r="F41" s="64">
        <v>4.59</v>
      </c>
      <c r="G41" s="64">
        <v>18.53</v>
      </c>
      <c r="H41" s="64">
        <v>8.41</v>
      </c>
      <c r="I41" s="64">
        <v>1.26</v>
      </c>
      <c r="J41" s="64">
        <v>0.3</v>
      </c>
      <c r="K41" s="64">
        <v>309.87</v>
      </c>
      <c r="L41" s="64">
        <v>25.44</v>
      </c>
      <c r="M41" s="64">
        <v>98.01</v>
      </c>
      <c r="N41" s="64">
        <v>208.3</v>
      </c>
      <c r="O41" s="64">
        <v>0</v>
      </c>
      <c r="P41" s="64">
        <v>0.4</v>
      </c>
      <c r="Q41" s="64">
        <v>9.1999999999999993</v>
      </c>
      <c r="R41" s="198"/>
      <c r="S41" s="198"/>
      <c r="T41" s="198"/>
      <c r="U41" s="198"/>
    </row>
    <row r="42" spans="1:21" s="12" customFormat="1" x14ac:dyDescent="0.25">
      <c r="A42" s="212" t="s">
        <v>280</v>
      </c>
      <c r="B42" s="64">
        <v>15.69</v>
      </c>
      <c r="C42" s="64">
        <v>11.72</v>
      </c>
      <c r="D42" s="64">
        <v>18.71</v>
      </c>
      <c r="E42" s="64">
        <v>3.45</v>
      </c>
      <c r="F42" s="64">
        <v>3.7</v>
      </c>
      <c r="G42" s="64">
        <v>24.39</v>
      </c>
      <c r="H42" s="64">
        <v>6.48</v>
      </c>
      <c r="I42" s="64">
        <v>1.29</v>
      </c>
      <c r="J42" s="64">
        <v>0.21</v>
      </c>
      <c r="K42" s="64">
        <v>296.27</v>
      </c>
      <c r="L42" s="64">
        <v>25.55</v>
      </c>
      <c r="M42" s="64">
        <v>97.99</v>
      </c>
      <c r="N42" s="64">
        <v>183</v>
      </c>
      <c r="O42" s="64">
        <v>0</v>
      </c>
      <c r="P42" s="64">
        <v>0.38</v>
      </c>
      <c r="Q42" s="64">
        <v>9.2200000000000006</v>
      </c>
      <c r="R42" s="198"/>
      <c r="S42" s="198"/>
      <c r="T42" s="198"/>
      <c r="U42" s="198"/>
    </row>
    <row r="43" spans="1:21" s="12" customFormat="1" x14ac:dyDescent="0.25">
      <c r="A43" s="212" t="s">
        <v>281</v>
      </c>
      <c r="B43" s="64">
        <v>16.93</v>
      </c>
      <c r="C43" s="64">
        <v>13.29</v>
      </c>
      <c r="D43" s="64">
        <v>20.52</v>
      </c>
      <c r="E43" s="64">
        <v>3.53</v>
      </c>
      <c r="F43" s="64">
        <v>4.26</v>
      </c>
      <c r="G43" s="64">
        <v>24.39</v>
      </c>
      <c r="H43" s="64">
        <v>6.48</v>
      </c>
      <c r="I43" s="64">
        <v>1.32</v>
      </c>
      <c r="J43" s="64">
        <v>0.14000000000000001</v>
      </c>
      <c r="K43" s="64">
        <v>300.85000000000002</v>
      </c>
      <c r="L43" s="64">
        <v>25.72</v>
      </c>
      <c r="M43" s="64">
        <v>97.99</v>
      </c>
      <c r="N43" s="64">
        <v>259.5</v>
      </c>
      <c r="O43" s="64">
        <v>0.2</v>
      </c>
      <c r="P43" s="64">
        <v>0.43</v>
      </c>
      <c r="Q43" s="64">
        <v>9.24</v>
      </c>
      <c r="R43" s="198"/>
      <c r="S43" s="198"/>
      <c r="T43" s="198"/>
      <c r="U43" s="198"/>
    </row>
    <row r="44" spans="1:21" s="12" customFormat="1" x14ac:dyDescent="0.25">
      <c r="A44" s="212" t="s">
        <v>282</v>
      </c>
      <c r="B44" s="64">
        <v>18.420000000000002</v>
      </c>
      <c r="C44" s="64">
        <v>15.53</v>
      </c>
      <c r="D44" s="64">
        <v>22.89</v>
      </c>
      <c r="E44" s="64">
        <v>3.81</v>
      </c>
      <c r="F44" s="64">
        <v>6.17</v>
      </c>
      <c r="G44" s="64">
        <v>24.39</v>
      </c>
      <c r="H44" s="64">
        <v>6.48</v>
      </c>
      <c r="I44" s="64">
        <v>1.36</v>
      </c>
      <c r="J44" s="64">
        <v>0.14000000000000001</v>
      </c>
      <c r="K44" s="64">
        <v>291.08999999999997</v>
      </c>
      <c r="L44" s="64">
        <v>25.96</v>
      </c>
      <c r="M44" s="64">
        <v>97.97</v>
      </c>
      <c r="N44" s="64">
        <v>259.60000000000002</v>
      </c>
      <c r="O44" s="64">
        <v>0</v>
      </c>
      <c r="P44" s="64">
        <v>0.41</v>
      </c>
      <c r="Q44" s="64">
        <v>9.25</v>
      </c>
      <c r="R44" s="198"/>
      <c r="S44" s="198"/>
      <c r="T44" s="198"/>
      <c r="U44" s="198"/>
    </row>
    <row r="45" spans="1:21" s="12" customFormat="1" x14ac:dyDescent="0.25">
      <c r="A45" s="212" t="s">
        <v>283</v>
      </c>
      <c r="B45" s="64">
        <v>17.02</v>
      </c>
      <c r="C45" s="64">
        <v>11.88</v>
      </c>
      <c r="D45" s="64">
        <v>19.86</v>
      </c>
      <c r="E45" s="64">
        <v>3.67</v>
      </c>
      <c r="F45" s="64">
        <v>6.87</v>
      </c>
      <c r="G45" s="64">
        <v>26.12</v>
      </c>
      <c r="H45" s="64">
        <v>6.46</v>
      </c>
      <c r="I45" s="64">
        <v>1.39</v>
      </c>
      <c r="J45" s="64">
        <v>1.56</v>
      </c>
      <c r="K45" s="64">
        <v>336.8</v>
      </c>
      <c r="L45" s="64">
        <v>25.46</v>
      </c>
      <c r="M45" s="64">
        <v>97.96</v>
      </c>
      <c r="N45" s="64">
        <v>138.1</v>
      </c>
      <c r="O45" s="64">
        <v>0</v>
      </c>
      <c r="P45" s="64">
        <v>0.36</v>
      </c>
      <c r="Q45" s="64">
        <v>9.26</v>
      </c>
      <c r="R45" s="198"/>
      <c r="S45" s="198"/>
      <c r="T45" s="198"/>
      <c r="U45" s="198"/>
    </row>
    <row r="46" spans="1:21" s="12" customFormat="1" x14ac:dyDescent="0.25">
      <c r="A46" s="212" t="s">
        <v>284</v>
      </c>
      <c r="B46" s="64">
        <v>23.25</v>
      </c>
      <c r="C46" s="64">
        <v>14.9</v>
      </c>
      <c r="D46" s="64">
        <v>26.43</v>
      </c>
      <c r="E46" s="64">
        <v>3.97</v>
      </c>
      <c r="F46" s="64">
        <v>7.71</v>
      </c>
      <c r="G46" s="64">
        <v>31.78</v>
      </c>
      <c r="H46" s="64">
        <v>6.39</v>
      </c>
      <c r="I46" s="64">
        <v>1.41</v>
      </c>
      <c r="J46" s="64">
        <v>0.36</v>
      </c>
      <c r="K46" s="64">
        <v>335.26</v>
      </c>
      <c r="L46" s="64">
        <v>23.44</v>
      </c>
      <c r="M46" s="64">
        <v>98.06</v>
      </c>
      <c r="N46" s="64">
        <v>113.2</v>
      </c>
      <c r="O46" s="64">
        <v>0</v>
      </c>
      <c r="P46" s="64">
        <v>0.48</v>
      </c>
      <c r="Q46" s="64">
        <v>9.2799999999999994</v>
      </c>
      <c r="R46" s="198"/>
      <c r="S46" s="198"/>
      <c r="T46" s="198"/>
      <c r="U46" s="198"/>
    </row>
    <row r="47" spans="1:21" s="12" customFormat="1" x14ac:dyDescent="0.25">
      <c r="A47" s="212" t="s">
        <v>285</v>
      </c>
      <c r="B47" s="64">
        <v>30.55</v>
      </c>
      <c r="C47" s="64">
        <v>16.8</v>
      </c>
      <c r="D47" s="64">
        <v>33.28</v>
      </c>
      <c r="E47" s="64">
        <v>4.0199999999999996</v>
      </c>
      <c r="F47" s="64">
        <v>7.41</v>
      </c>
      <c r="G47" s="64">
        <v>31.78</v>
      </c>
      <c r="H47" s="64">
        <v>6.39</v>
      </c>
      <c r="I47" s="64">
        <v>1.39</v>
      </c>
      <c r="J47" s="64">
        <v>0.28999999999999998</v>
      </c>
      <c r="K47" s="64">
        <v>341.58</v>
      </c>
      <c r="L47" s="64">
        <v>23.22</v>
      </c>
      <c r="M47" s="64">
        <v>98.1</v>
      </c>
      <c r="N47" s="64">
        <v>156.30000000000001</v>
      </c>
      <c r="O47" s="64">
        <v>0</v>
      </c>
      <c r="P47" s="64">
        <v>0.67</v>
      </c>
      <c r="Q47" s="64">
        <v>9.31</v>
      </c>
      <c r="R47" s="198"/>
      <c r="S47" s="198"/>
      <c r="T47" s="198"/>
      <c r="U47" s="198"/>
    </row>
    <row r="48" spans="1:21" s="12" customFormat="1" x14ac:dyDescent="0.25">
      <c r="A48" s="212" t="s">
        <v>286</v>
      </c>
      <c r="B48" s="64">
        <v>24.45</v>
      </c>
      <c r="C48" s="64">
        <v>18.260000000000002</v>
      </c>
      <c r="D48" s="64">
        <v>29.15</v>
      </c>
      <c r="E48" s="64">
        <v>3.77</v>
      </c>
      <c r="F48" s="64">
        <v>8.06</v>
      </c>
      <c r="G48" s="64">
        <v>31.78</v>
      </c>
      <c r="H48" s="64">
        <v>6.39</v>
      </c>
      <c r="I48" s="64">
        <v>1.37</v>
      </c>
      <c r="J48" s="64">
        <v>0.19</v>
      </c>
      <c r="K48" s="64">
        <v>339.28</v>
      </c>
      <c r="L48" s="64">
        <v>23.7</v>
      </c>
      <c r="M48" s="64">
        <v>98.1</v>
      </c>
      <c r="N48" s="64">
        <v>274.8</v>
      </c>
      <c r="O48" s="64">
        <v>0</v>
      </c>
      <c r="P48" s="64">
        <v>0.73</v>
      </c>
      <c r="Q48" s="64">
        <v>9.35</v>
      </c>
      <c r="R48" s="198"/>
      <c r="S48" s="198"/>
      <c r="T48" s="198"/>
      <c r="U48" s="198"/>
    </row>
    <row r="49" spans="1:21" s="12" customFormat="1" x14ac:dyDescent="0.25">
      <c r="A49" s="212" t="s">
        <v>287</v>
      </c>
      <c r="B49" s="64">
        <v>20.399999999999999</v>
      </c>
      <c r="C49" s="64">
        <v>17.420000000000002</v>
      </c>
      <c r="D49" s="64">
        <v>25.34</v>
      </c>
      <c r="E49" s="64">
        <v>4.0199999999999996</v>
      </c>
      <c r="F49" s="64">
        <v>8.81</v>
      </c>
      <c r="G49" s="64">
        <v>31.84</v>
      </c>
      <c r="H49" s="64">
        <v>6.97</v>
      </c>
      <c r="I49" s="64">
        <v>1.39</v>
      </c>
      <c r="J49" s="64">
        <v>7.0000000000000007E-2</v>
      </c>
      <c r="K49" s="64">
        <v>19.57</v>
      </c>
      <c r="L49" s="64">
        <v>24.44</v>
      </c>
      <c r="M49" s="64">
        <v>98.08</v>
      </c>
      <c r="N49" s="64">
        <v>369.7</v>
      </c>
      <c r="O49" s="64">
        <v>0</v>
      </c>
      <c r="P49" s="64">
        <v>0.59</v>
      </c>
      <c r="Q49" s="64">
        <v>9.39</v>
      </c>
      <c r="R49" s="198"/>
      <c r="S49" s="198"/>
      <c r="T49" s="198"/>
      <c r="U49" s="198"/>
    </row>
    <row r="50" spans="1:21" s="12" customFormat="1" x14ac:dyDescent="0.25">
      <c r="A50" s="212" t="s">
        <v>288</v>
      </c>
      <c r="B50" s="64">
        <v>20.32</v>
      </c>
      <c r="C50" s="64">
        <v>18.72</v>
      </c>
      <c r="D50" s="64">
        <v>26.08</v>
      </c>
      <c r="E50" s="64">
        <v>3.95</v>
      </c>
      <c r="F50" s="64">
        <v>9.5</v>
      </c>
      <c r="G50" s="64">
        <v>32.04</v>
      </c>
      <c r="H50" s="64">
        <v>8.8800000000000008</v>
      </c>
      <c r="I50" s="64">
        <v>1.43</v>
      </c>
      <c r="J50" s="64">
        <v>0.2</v>
      </c>
      <c r="K50" s="64">
        <v>317.86</v>
      </c>
      <c r="L50" s="64">
        <v>25.86</v>
      </c>
      <c r="M50" s="64">
        <v>97.94</v>
      </c>
      <c r="N50" s="64">
        <v>548.5</v>
      </c>
      <c r="O50" s="64">
        <v>0</v>
      </c>
      <c r="P50" s="64">
        <v>0.59</v>
      </c>
      <c r="Q50" s="64">
        <v>9.42</v>
      </c>
      <c r="R50" s="198"/>
      <c r="S50" s="198"/>
      <c r="T50" s="198"/>
      <c r="U50" s="198"/>
    </row>
    <row r="51" spans="1:21" s="12" customFormat="1" x14ac:dyDescent="0.25">
      <c r="A51" s="212" t="s">
        <v>289</v>
      </c>
      <c r="B51" s="64">
        <v>20.89</v>
      </c>
      <c r="C51" s="64">
        <v>16.02</v>
      </c>
      <c r="D51" s="64">
        <v>25.09</v>
      </c>
      <c r="E51" s="64">
        <v>3.97</v>
      </c>
      <c r="F51" s="64">
        <v>9.18</v>
      </c>
      <c r="G51" s="64">
        <v>32.04</v>
      </c>
      <c r="H51" s="64">
        <v>8.8800000000000008</v>
      </c>
      <c r="I51" s="64">
        <v>1.48</v>
      </c>
      <c r="J51" s="64">
        <v>0.46</v>
      </c>
      <c r="K51" s="64">
        <v>331.49</v>
      </c>
      <c r="L51" s="64">
        <v>27.79</v>
      </c>
      <c r="M51" s="64">
        <v>97.3</v>
      </c>
      <c r="N51" s="64">
        <v>711.2</v>
      </c>
      <c r="O51" s="64">
        <v>0</v>
      </c>
      <c r="P51" s="64">
        <v>0.51</v>
      </c>
      <c r="Q51" s="64">
        <v>9.44</v>
      </c>
      <c r="R51" s="198"/>
      <c r="S51" s="198"/>
      <c r="T51" s="198"/>
      <c r="U51" s="198"/>
    </row>
    <row r="52" spans="1:21" s="12" customFormat="1" x14ac:dyDescent="0.25">
      <c r="A52" s="212" t="s">
        <v>290</v>
      </c>
      <c r="B52" s="64">
        <v>20.61</v>
      </c>
      <c r="C52" s="64">
        <v>13.56</v>
      </c>
      <c r="D52" s="64">
        <v>23.61</v>
      </c>
      <c r="E52" s="64">
        <v>4.12</v>
      </c>
      <c r="F52" s="64">
        <v>5.6</v>
      </c>
      <c r="G52" s="64">
        <v>30.74</v>
      </c>
      <c r="H52" s="64">
        <v>8.7100000000000009</v>
      </c>
      <c r="I52" s="64">
        <v>1.52</v>
      </c>
      <c r="J52" s="64">
        <v>0.56000000000000005</v>
      </c>
      <c r="K52" s="64">
        <v>329.12</v>
      </c>
      <c r="L52" s="64">
        <v>29.31</v>
      </c>
      <c r="M52" s="64">
        <v>90.8</v>
      </c>
      <c r="N52" s="64">
        <v>779.8</v>
      </c>
      <c r="O52" s="64">
        <v>0</v>
      </c>
      <c r="P52" s="64">
        <v>0.48</v>
      </c>
      <c r="Q52" s="64">
        <v>9.44</v>
      </c>
      <c r="R52" s="198"/>
      <c r="S52" s="198"/>
      <c r="T52" s="198"/>
      <c r="U52" s="198"/>
    </row>
    <row r="53" spans="1:21" s="12" customFormat="1" x14ac:dyDescent="0.25">
      <c r="A53" s="212" t="s">
        <v>291</v>
      </c>
      <c r="B53" s="64">
        <v>20.05</v>
      </c>
      <c r="C53" s="64">
        <v>12.37</v>
      </c>
      <c r="D53" s="64">
        <v>22.54</v>
      </c>
      <c r="E53" s="64">
        <v>4.07</v>
      </c>
      <c r="F53" s="64">
        <v>7.48</v>
      </c>
      <c r="G53" s="9" t="s">
        <v>36</v>
      </c>
      <c r="H53" s="9" t="s">
        <v>36</v>
      </c>
      <c r="I53" s="64">
        <v>1.53</v>
      </c>
      <c r="J53" s="64">
        <v>0.68</v>
      </c>
      <c r="K53" s="64">
        <v>328.9</v>
      </c>
      <c r="L53" s="64">
        <v>30.09</v>
      </c>
      <c r="M53" s="64">
        <v>83.52</v>
      </c>
      <c r="N53" s="64">
        <v>531.79999999999995</v>
      </c>
      <c r="O53" s="64">
        <v>0</v>
      </c>
      <c r="P53" s="64">
        <v>0.48</v>
      </c>
      <c r="Q53" s="64">
        <v>9.42</v>
      </c>
      <c r="R53" s="198"/>
      <c r="S53" s="198"/>
      <c r="T53" s="198"/>
      <c r="U53" s="198"/>
    </row>
    <row r="54" spans="1:21" s="12" customFormat="1" x14ac:dyDescent="0.25">
      <c r="A54" s="212" t="s">
        <v>292</v>
      </c>
      <c r="B54" s="64">
        <v>20.56</v>
      </c>
      <c r="C54" s="64">
        <v>10.72</v>
      </c>
      <c r="D54" s="64">
        <v>22.09</v>
      </c>
      <c r="E54" s="64">
        <v>3.99</v>
      </c>
      <c r="F54" s="64">
        <v>5.62</v>
      </c>
      <c r="G54" s="9" t="s">
        <v>36</v>
      </c>
      <c r="H54" s="9" t="s">
        <v>36</v>
      </c>
      <c r="I54" s="64">
        <v>1.51</v>
      </c>
      <c r="J54" s="64">
        <v>0.85</v>
      </c>
      <c r="K54" s="64">
        <v>332.06</v>
      </c>
      <c r="L54" s="64">
        <v>29.73</v>
      </c>
      <c r="M54" s="64">
        <v>83.64</v>
      </c>
      <c r="N54" s="64">
        <v>445.5</v>
      </c>
      <c r="O54" s="64">
        <v>0</v>
      </c>
      <c r="P54" s="64">
        <v>0.46</v>
      </c>
      <c r="Q54" s="64">
        <v>9.41</v>
      </c>
      <c r="R54" s="198"/>
      <c r="S54" s="198"/>
      <c r="T54" s="198"/>
      <c r="U54" s="198"/>
    </row>
    <row r="55" spans="1:21" s="12" customFormat="1" x14ac:dyDescent="0.25">
      <c r="A55" s="212" t="s">
        <v>293</v>
      </c>
      <c r="B55" s="64">
        <v>21.14</v>
      </c>
      <c r="C55" s="64">
        <v>13.87</v>
      </c>
      <c r="D55" s="64">
        <v>24.2</v>
      </c>
      <c r="E55" s="64">
        <v>4</v>
      </c>
      <c r="F55" s="64">
        <v>8.0500000000000007</v>
      </c>
      <c r="G55" s="9" t="s">
        <v>36</v>
      </c>
      <c r="H55" s="9" t="s">
        <v>36</v>
      </c>
      <c r="I55" s="64">
        <v>1.42</v>
      </c>
      <c r="J55" s="64">
        <v>1.0900000000000001</v>
      </c>
      <c r="K55" s="64">
        <v>333.78</v>
      </c>
      <c r="L55" s="64">
        <v>29.93</v>
      </c>
      <c r="M55" s="64">
        <v>83.79</v>
      </c>
      <c r="N55" s="64">
        <v>803.6</v>
      </c>
      <c r="O55" s="64">
        <v>0</v>
      </c>
      <c r="P55" s="64">
        <v>0.48</v>
      </c>
      <c r="Q55" s="64">
        <v>9.41</v>
      </c>
      <c r="R55" s="198"/>
      <c r="S55" s="198"/>
      <c r="T55" s="198"/>
      <c r="U55" s="198"/>
    </row>
    <row r="56" spans="1:21" s="12" customFormat="1" x14ac:dyDescent="0.25">
      <c r="A56" s="212" t="s">
        <v>294</v>
      </c>
      <c r="B56" s="64">
        <v>18.190000000000001</v>
      </c>
      <c r="C56" s="64">
        <v>12.02</v>
      </c>
      <c r="D56" s="64">
        <v>20.87</v>
      </c>
      <c r="E56" s="64">
        <v>3.87</v>
      </c>
      <c r="F56" s="64">
        <v>6.97</v>
      </c>
      <c r="G56" s="9" t="s">
        <v>36</v>
      </c>
      <c r="H56" s="9" t="s">
        <v>36</v>
      </c>
      <c r="I56" s="64">
        <v>1.35</v>
      </c>
      <c r="J56" s="64">
        <v>0.74</v>
      </c>
      <c r="K56" s="64">
        <v>329</v>
      </c>
      <c r="L56" s="64">
        <v>31.57</v>
      </c>
      <c r="M56" s="64">
        <v>74.77</v>
      </c>
      <c r="N56" s="64">
        <v>913.7</v>
      </c>
      <c r="O56" s="64">
        <v>0</v>
      </c>
      <c r="P56" s="64">
        <v>0.44</v>
      </c>
      <c r="Q56" s="64">
        <v>9.41</v>
      </c>
      <c r="R56" s="198"/>
      <c r="S56" s="198"/>
      <c r="T56" s="198"/>
      <c r="U56" s="198"/>
    </row>
    <row r="57" spans="1:21" s="12" customFormat="1" x14ac:dyDescent="0.25">
      <c r="A57" s="212" t="s">
        <v>295</v>
      </c>
      <c r="B57" s="64">
        <v>18.420000000000002</v>
      </c>
      <c r="C57" s="64">
        <v>15.31</v>
      </c>
      <c r="D57" s="64">
        <v>22.77</v>
      </c>
      <c r="E57" s="64">
        <v>3.87</v>
      </c>
      <c r="F57" s="64">
        <v>8.08</v>
      </c>
      <c r="G57" s="9" t="s">
        <v>36</v>
      </c>
      <c r="H57" s="9" t="s">
        <v>36</v>
      </c>
      <c r="I57" s="64">
        <v>1.34</v>
      </c>
      <c r="J57" s="64">
        <v>1.21</v>
      </c>
      <c r="K57" s="64">
        <v>332.28</v>
      </c>
      <c r="L57" s="64">
        <v>31.57</v>
      </c>
      <c r="M57" s="64">
        <v>71.52</v>
      </c>
      <c r="N57" s="64">
        <v>691.3</v>
      </c>
      <c r="O57" s="64">
        <v>0</v>
      </c>
      <c r="P57" s="64">
        <v>0.49</v>
      </c>
      <c r="Q57" s="64">
        <v>9.4</v>
      </c>
      <c r="R57" s="198"/>
      <c r="S57" s="198"/>
      <c r="T57" s="198"/>
      <c r="U57" s="198"/>
    </row>
    <row r="58" spans="1:21" s="12" customFormat="1" x14ac:dyDescent="0.25">
      <c r="A58" s="212" t="s">
        <v>296</v>
      </c>
      <c r="B58" s="64">
        <v>17.600000000000001</v>
      </c>
      <c r="C58" s="64">
        <v>11.5</v>
      </c>
      <c r="D58" s="64">
        <v>20.12</v>
      </c>
      <c r="E58" s="64">
        <v>3.96</v>
      </c>
      <c r="F58" s="64">
        <v>6.87</v>
      </c>
      <c r="G58" s="9" t="s">
        <v>36</v>
      </c>
      <c r="H58" s="9" t="s">
        <v>36</v>
      </c>
      <c r="I58" s="64">
        <v>1.44</v>
      </c>
      <c r="J58" s="64">
        <v>2.1</v>
      </c>
      <c r="K58" s="64">
        <v>330.79</v>
      </c>
      <c r="L58" s="64">
        <v>31.26</v>
      </c>
      <c r="M58" s="64">
        <v>69.180000000000007</v>
      </c>
      <c r="N58" s="64">
        <v>916.4</v>
      </c>
      <c r="O58" s="64">
        <v>0</v>
      </c>
      <c r="P58" s="64">
        <v>0.46</v>
      </c>
      <c r="Q58" s="64">
        <v>9.3800000000000008</v>
      </c>
      <c r="R58" s="198"/>
      <c r="S58" s="198"/>
      <c r="T58" s="198"/>
      <c r="U58" s="198"/>
    </row>
    <row r="59" spans="1:21" s="12" customFormat="1" x14ac:dyDescent="0.25">
      <c r="A59" s="212" t="s">
        <v>297</v>
      </c>
      <c r="B59" s="64">
        <v>16.54</v>
      </c>
      <c r="C59" s="64">
        <v>12.31</v>
      </c>
      <c r="D59" s="64">
        <v>19.7</v>
      </c>
      <c r="E59" s="64">
        <v>3.75</v>
      </c>
      <c r="F59" s="64">
        <v>7.03</v>
      </c>
      <c r="G59" s="9" t="s">
        <v>36</v>
      </c>
      <c r="H59" s="9" t="s">
        <v>36</v>
      </c>
      <c r="I59" s="64">
        <v>1.5</v>
      </c>
      <c r="J59" s="64">
        <v>2.16</v>
      </c>
      <c r="K59" s="64">
        <v>331.39</v>
      </c>
      <c r="L59" s="64">
        <v>30.88</v>
      </c>
      <c r="M59" s="64">
        <v>68.62</v>
      </c>
      <c r="N59" s="64">
        <v>469.6</v>
      </c>
      <c r="O59" s="64">
        <v>0</v>
      </c>
      <c r="P59" s="64">
        <v>0.41</v>
      </c>
      <c r="Q59" s="64">
        <v>9.32</v>
      </c>
      <c r="R59" s="198"/>
      <c r="S59" s="198"/>
      <c r="T59" s="198"/>
      <c r="U59" s="198"/>
    </row>
    <row r="60" spans="1:21" s="12" customFormat="1" x14ac:dyDescent="0.25">
      <c r="A60" s="212" t="s">
        <v>298</v>
      </c>
      <c r="B60" s="64">
        <v>35.26</v>
      </c>
      <c r="C60" s="64">
        <v>29.04</v>
      </c>
      <c r="D60" s="64">
        <v>43.45</v>
      </c>
      <c r="E60" s="64">
        <v>4.0999999999999996</v>
      </c>
      <c r="F60" s="64">
        <v>6.41</v>
      </c>
      <c r="G60" s="9" t="s">
        <v>36</v>
      </c>
      <c r="H60" s="9" t="s">
        <v>36</v>
      </c>
      <c r="I60" s="64">
        <v>1.47</v>
      </c>
      <c r="J60" s="64">
        <v>1.57</v>
      </c>
      <c r="K60" s="64">
        <v>331.06</v>
      </c>
      <c r="L60" s="64">
        <v>30.58</v>
      </c>
      <c r="M60" s="64">
        <v>70.599999999999994</v>
      </c>
      <c r="N60" s="64">
        <v>310</v>
      </c>
      <c r="O60" s="64">
        <v>0</v>
      </c>
      <c r="P60" s="64">
        <v>0.3</v>
      </c>
      <c r="Q60" s="64">
        <v>9.2100000000000009</v>
      </c>
      <c r="R60" s="198"/>
      <c r="S60" s="198"/>
      <c r="T60" s="198"/>
      <c r="U60" s="198"/>
    </row>
    <row r="61" spans="1:21" s="12" customFormat="1" x14ac:dyDescent="0.25">
      <c r="A61" s="212" t="s">
        <v>299</v>
      </c>
      <c r="B61" s="64">
        <v>149</v>
      </c>
      <c r="C61" s="64">
        <v>58.28</v>
      </c>
      <c r="D61" s="64">
        <v>149.94</v>
      </c>
      <c r="E61" s="64">
        <v>3.96</v>
      </c>
      <c r="F61" s="64">
        <v>6.95</v>
      </c>
      <c r="G61" s="9" t="s">
        <v>36</v>
      </c>
      <c r="H61" s="9" t="s">
        <v>36</v>
      </c>
      <c r="I61" s="64">
        <v>1.55</v>
      </c>
      <c r="J61" s="64">
        <v>0.2</v>
      </c>
      <c r="K61" s="64">
        <v>297.39999999999998</v>
      </c>
      <c r="L61" s="64">
        <v>29.48</v>
      </c>
      <c r="M61" s="64">
        <v>80.180000000000007</v>
      </c>
      <c r="N61" s="64">
        <v>187.3</v>
      </c>
      <c r="O61" s="64">
        <v>0</v>
      </c>
      <c r="P61" s="64">
        <v>0.42</v>
      </c>
      <c r="Q61" s="64">
        <v>9.01</v>
      </c>
      <c r="R61" s="198"/>
      <c r="S61" s="198"/>
      <c r="T61" s="198"/>
      <c r="U61" s="198"/>
    </row>
    <row r="62" spans="1:21" s="12" customFormat="1" x14ac:dyDescent="0.25">
      <c r="A62" s="212" t="s">
        <v>300</v>
      </c>
      <c r="B62" s="64">
        <v>289.11</v>
      </c>
      <c r="C62" s="64">
        <v>77.28</v>
      </c>
      <c r="D62" s="64">
        <v>272.23</v>
      </c>
      <c r="E62" s="64">
        <v>4.38</v>
      </c>
      <c r="F62" s="64">
        <v>9.56</v>
      </c>
      <c r="G62" s="9" t="s">
        <v>36</v>
      </c>
      <c r="H62" s="9" t="s">
        <v>36</v>
      </c>
      <c r="I62" s="64">
        <v>13.45</v>
      </c>
      <c r="J62" s="64">
        <v>0.1</v>
      </c>
      <c r="K62" s="64">
        <v>283.81</v>
      </c>
      <c r="L62" s="64">
        <v>28.4</v>
      </c>
      <c r="M62" s="64">
        <v>87.08</v>
      </c>
      <c r="N62" s="64">
        <v>137.80000000000001</v>
      </c>
      <c r="O62" s="64">
        <v>0</v>
      </c>
      <c r="P62" s="64">
        <v>0.5</v>
      </c>
      <c r="Q62" s="64">
        <v>8.76</v>
      </c>
      <c r="R62" s="198"/>
      <c r="S62" s="198"/>
      <c r="T62" s="198"/>
      <c r="U62" s="198"/>
    </row>
    <row r="63" spans="1:21" s="12" customFormat="1" x14ac:dyDescent="0.25">
      <c r="A63" s="212" t="s">
        <v>301</v>
      </c>
      <c r="B63" s="64">
        <v>396.89</v>
      </c>
      <c r="C63" s="64">
        <v>78.87</v>
      </c>
      <c r="D63" s="64">
        <v>427.09</v>
      </c>
      <c r="E63" s="64">
        <v>6.39</v>
      </c>
      <c r="F63" s="64">
        <v>7.32</v>
      </c>
      <c r="G63" s="9" t="s">
        <v>36</v>
      </c>
      <c r="H63" s="9" t="s">
        <v>36</v>
      </c>
      <c r="I63" s="64">
        <v>44.28</v>
      </c>
      <c r="J63" s="64">
        <v>0.18</v>
      </c>
      <c r="K63" s="64">
        <v>225.78</v>
      </c>
      <c r="L63" s="64">
        <v>26.49</v>
      </c>
      <c r="M63" s="64">
        <v>96.98</v>
      </c>
      <c r="N63" s="64">
        <v>137.30000000000001</v>
      </c>
      <c r="O63" s="64">
        <v>0</v>
      </c>
      <c r="P63" s="64">
        <v>0.28999999999999998</v>
      </c>
      <c r="Q63" s="64">
        <v>8.8699999999999992</v>
      </c>
      <c r="R63" s="198"/>
      <c r="S63" s="198"/>
      <c r="T63" s="198"/>
      <c r="U63" s="198"/>
    </row>
    <row r="64" spans="1:21" s="12" customFormat="1" x14ac:dyDescent="0.25">
      <c r="A64" s="212" t="s">
        <v>302</v>
      </c>
      <c r="B64" s="64">
        <v>413.91</v>
      </c>
      <c r="C64" s="64">
        <v>52.47</v>
      </c>
      <c r="D64" s="64">
        <v>464.75</v>
      </c>
      <c r="E64" s="64">
        <v>5.0199999999999996</v>
      </c>
      <c r="F64" s="64">
        <v>12.12</v>
      </c>
      <c r="G64" s="9" t="s">
        <v>36</v>
      </c>
      <c r="H64" s="9" t="s">
        <v>36</v>
      </c>
      <c r="I64" s="64">
        <v>80.98</v>
      </c>
      <c r="J64" s="64">
        <v>0.17</v>
      </c>
      <c r="K64" s="64">
        <v>178.69</v>
      </c>
      <c r="L64" s="64">
        <v>26.48</v>
      </c>
      <c r="M64" s="64">
        <v>97.65</v>
      </c>
      <c r="N64" s="64">
        <v>257.89999999999998</v>
      </c>
      <c r="O64" s="64">
        <v>0</v>
      </c>
      <c r="P64" s="64">
        <v>0.25</v>
      </c>
      <c r="Q64" s="64">
        <v>9.35</v>
      </c>
      <c r="R64" s="198"/>
      <c r="S64" s="198"/>
      <c r="T64" s="198"/>
      <c r="U64" s="198"/>
    </row>
    <row r="65" spans="1:21" s="12" customFormat="1" x14ac:dyDescent="0.25">
      <c r="A65" s="212" t="s">
        <v>303</v>
      </c>
      <c r="B65" s="64">
        <v>109.36</v>
      </c>
      <c r="C65" s="64">
        <v>22.64</v>
      </c>
      <c r="D65" s="64">
        <v>115.57</v>
      </c>
      <c r="E65" s="64">
        <v>4.12</v>
      </c>
      <c r="F65" s="64">
        <v>8.82</v>
      </c>
      <c r="G65" s="9" t="s">
        <v>36</v>
      </c>
      <c r="H65" s="9" t="s">
        <v>36</v>
      </c>
      <c r="I65" s="64">
        <v>112.4</v>
      </c>
      <c r="J65" s="64">
        <v>0.14000000000000001</v>
      </c>
      <c r="K65" s="64">
        <v>224.5</v>
      </c>
      <c r="L65" s="64">
        <v>27.61</v>
      </c>
      <c r="M65" s="64">
        <v>91.63</v>
      </c>
      <c r="N65" s="64">
        <v>345.4</v>
      </c>
      <c r="O65" s="64">
        <v>0</v>
      </c>
      <c r="P65" s="64">
        <v>0.3</v>
      </c>
      <c r="Q65" s="64">
        <v>10.33</v>
      </c>
      <c r="R65" s="198"/>
      <c r="S65" s="198"/>
      <c r="T65" s="198"/>
      <c r="U65" s="198"/>
    </row>
    <row r="66" spans="1:21" s="12" customFormat="1" x14ac:dyDescent="0.25">
      <c r="A66" s="212" t="s">
        <v>304</v>
      </c>
      <c r="B66" s="64">
        <v>38.090000000000003</v>
      </c>
      <c r="C66" s="64">
        <v>23.67</v>
      </c>
      <c r="D66" s="64">
        <v>42.89</v>
      </c>
      <c r="E66" s="64">
        <v>4.2</v>
      </c>
      <c r="F66" s="64">
        <v>9.7200000000000006</v>
      </c>
      <c r="G66" s="9" t="s">
        <v>36</v>
      </c>
      <c r="H66" s="9" t="s">
        <v>36</v>
      </c>
      <c r="I66" s="64">
        <v>134.25</v>
      </c>
      <c r="J66" s="64">
        <v>0.38</v>
      </c>
      <c r="K66" s="64">
        <v>327.27999999999997</v>
      </c>
      <c r="L66" s="64">
        <v>28.96</v>
      </c>
      <c r="M66" s="64">
        <v>84.12</v>
      </c>
      <c r="N66" s="64">
        <v>318.60000000000002</v>
      </c>
      <c r="O66" s="64">
        <v>0</v>
      </c>
      <c r="P66" s="64">
        <v>0.31</v>
      </c>
      <c r="Q66" s="64">
        <v>11.38</v>
      </c>
      <c r="R66" s="198"/>
      <c r="S66" s="198"/>
      <c r="T66" s="198"/>
      <c r="U66" s="198"/>
    </row>
    <row r="67" spans="1:21" s="12" customFormat="1" x14ac:dyDescent="0.25">
      <c r="A67" s="212" t="s">
        <v>305</v>
      </c>
      <c r="B67" s="64">
        <v>44.17</v>
      </c>
      <c r="C67" s="64">
        <v>25.53</v>
      </c>
      <c r="D67" s="64">
        <v>48.76</v>
      </c>
      <c r="E67" s="64">
        <v>5.66</v>
      </c>
      <c r="F67" s="64">
        <v>4.9400000000000004</v>
      </c>
      <c r="G67" s="9" t="s">
        <v>36</v>
      </c>
      <c r="H67" s="9" t="s">
        <v>36</v>
      </c>
      <c r="I67" s="64">
        <v>97.03</v>
      </c>
      <c r="J67" s="64">
        <v>0.36</v>
      </c>
      <c r="K67" s="64">
        <v>306.41000000000003</v>
      </c>
      <c r="L67" s="64">
        <v>29.94</v>
      </c>
      <c r="M67" s="64">
        <v>78.099999999999994</v>
      </c>
      <c r="N67" s="64">
        <v>296.10000000000002</v>
      </c>
      <c r="O67" s="64">
        <v>0</v>
      </c>
      <c r="P67" s="64">
        <v>0.3</v>
      </c>
      <c r="Q67" s="64">
        <v>10.48</v>
      </c>
      <c r="R67" s="198"/>
      <c r="S67" s="198"/>
      <c r="T67" s="198"/>
      <c r="U67" s="198"/>
    </row>
    <row r="68" spans="1:21" s="12" customFormat="1" x14ac:dyDescent="0.25">
      <c r="A68" s="212" t="s">
        <v>306</v>
      </c>
      <c r="B68" s="64">
        <v>33.97</v>
      </c>
      <c r="C68" s="64">
        <v>18.510000000000002</v>
      </c>
      <c r="D68" s="64">
        <v>36.909999999999997</v>
      </c>
      <c r="E68" s="64">
        <v>5.74</v>
      </c>
      <c r="F68" s="64">
        <v>9.59</v>
      </c>
      <c r="G68" s="64">
        <v>45.63</v>
      </c>
      <c r="H68" s="9" t="s">
        <v>36</v>
      </c>
      <c r="I68" s="64">
        <v>51.21</v>
      </c>
      <c r="J68" s="64">
        <v>0.55000000000000004</v>
      </c>
      <c r="K68" s="64">
        <v>325.39</v>
      </c>
      <c r="L68" s="64">
        <v>30.88</v>
      </c>
      <c r="M68" s="64">
        <v>72.37</v>
      </c>
      <c r="N68" s="64">
        <v>252.1</v>
      </c>
      <c r="O68" s="64">
        <v>0</v>
      </c>
      <c r="P68" s="64">
        <v>0.32</v>
      </c>
      <c r="Q68" s="64">
        <v>9.98</v>
      </c>
      <c r="R68" s="198"/>
      <c r="S68" s="198"/>
      <c r="T68" s="198"/>
      <c r="U68" s="198"/>
    </row>
    <row r="69" spans="1:21" s="12" customFormat="1" x14ac:dyDescent="0.25">
      <c r="A69" s="212" t="s">
        <v>307</v>
      </c>
      <c r="B69" s="64">
        <v>33.979999999999997</v>
      </c>
      <c r="C69" s="64">
        <v>18.010000000000002</v>
      </c>
      <c r="D69" s="64">
        <v>36.65</v>
      </c>
      <c r="E69" s="64">
        <v>6.32</v>
      </c>
      <c r="F69" s="64">
        <v>5.67</v>
      </c>
      <c r="G69" s="64">
        <v>73.39</v>
      </c>
      <c r="H69" s="9" t="s">
        <v>36</v>
      </c>
      <c r="I69" s="64">
        <v>39.090000000000003</v>
      </c>
      <c r="J69" s="64">
        <v>0.56999999999999995</v>
      </c>
      <c r="K69" s="64">
        <v>318.7</v>
      </c>
      <c r="L69" s="64">
        <v>30.82</v>
      </c>
      <c r="M69" s="64">
        <v>71.150000000000006</v>
      </c>
      <c r="N69" s="64">
        <v>196.8</v>
      </c>
      <c r="O69" s="64">
        <v>0</v>
      </c>
      <c r="P69" s="64">
        <v>0.33</v>
      </c>
      <c r="Q69" s="64">
        <v>9.77</v>
      </c>
      <c r="R69" s="198"/>
      <c r="S69" s="198"/>
      <c r="T69" s="198"/>
      <c r="U69" s="198"/>
    </row>
    <row r="70" spans="1:21" s="12" customFormat="1" x14ac:dyDescent="0.25">
      <c r="A70" s="212" t="s">
        <v>308</v>
      </c>
      <c r="B70" s="64">
        <v>30.51</v>
      </c>
      <c r="C70" s="64">
        <v>17.579999999999998</v>
      </c>
      <c r="D70" s="64">
        <v>33.65</v>
      </c>
      <c r="E70" s="64">
        <v>6.15</v>
      </c>
      <c r="F70" s="64">
        <v>4.18</v>
      </c>
      <c r="G70" s="64">
        <v>73.39</v>
      </c>
      <c r="H70" s="9" t="s">
        <v>36</v>
      </c>
      <c r="I70" s="64">
        <v>35.369999999999997</v>
      </c>
      <c r="J70" s="64">
        <v>0.11</v>
      </c>
      <c r="K70" s="64">
        <v>267.74</v>
      </c>
      <c r="L70" s="64">
        <v>29.7</v>
      </c>
      <c r="M70" s="64">
        <v>74.88</v>
      </c>
      <c r="N70" s="64">
        <v>197.5</v>
      </c>
      <c r="O70" s="64">
        <v>0</v>
      </c>
      <c r="P70" s="64">
        <v>0.35</v>
      </c>
      <c r="Q70" s="64">
        <v>9.65</v>
      </c>
      <c r="R70" s="198"/>
      <c r="S70" s="198"/>
      <c r="T70" s="198"/>
      <c r="U70" s="198"/>
    </row>
    <row r="71" spans="1:21" s="12" customFormat="1" x14ac:dyDescent="0.25">
      <c r="A71" s="212" t="s">
        <v>309</v>
      </c>
      <c r="B71" s="64">
        <v>20.96</v>
      </c>
      <c r="C71" s="64">
        <v>17.579999999999998</v>
      </c>
      <c r="D71" s="64">
        <v>25.99</v>
      </c>
      <c r="E71" s="64">
        <v>6.62</v>
      </c>
      <c r="F71" s="64">
        <v>7.06</v>
      </c>
      <c r="G71" s="64">
        <v>73.39</v>
      </c>
      <c r="H71" s="9" t="s">
        <v>36</v>
      </c>
      <c r="I71" s="64">
        <v>31.68</v>
      </c>
      <c r="J71" s="64">
        <v>0.1</v>
      </c>
      <c r="K71" s="64">
        <v>282.33999999999997</v>
      </c>
      <c r="L71" s="64">
        <v>29.12</v>
      </c>
      <c r="M71" s="64">
        <v>79.650000000000006</v>
      </c>
      <c r="N71" s="64">
        <v>179.9</v>
      </c>
      <c r="O71" s="64">
        <v>0</v>
      </c>
      <c r="P71" s="64">
        <v>0.36</v>
      </c>
      <c r="Q71" s="64">
        <v>9.65</v>
      </c>
      <c r="R71" s="198"/>
      <c r="S71" s="198"/>
      <c r="T71" s="198"/>
      <c r="U71" s="198"/>
    </row>
    <row r="72" spans="1:21" s="12" customFormat="1" x14ac:dyDescent="0.25">
      <c r="A72" s="212" t="s">
        <v>310</v>
      </c>
      <c r="B72" s="64">
        <v>19.850000000000001</v>
      </c>
      <c r="C72" s="64">
        <v>18.59</v>
      </c>
      <c r="D72" s="64">
        <v>25.63</v>
      </c>
      <c r="E72" s="64">
        <v>6.67</v>
      </c>
      <c r="F72" s="64">
        <v>4.8600000000000003</v>
      </c>
      <c r="G72" s="64">
        <v>69.92</v>
      </c>
      <c r="H72" s="9" t="s">
        <v>36</v>
      </c>
      <c r="I72" s="64">
        <v>27.65</v>
      </c>
      <c r="J72" s="64">
        <v>0.1</v>
      </c>
      <c r="K72" s="64">
        <v>287.25</v>
      </c>
      <c r="L72" s="64">
        <v>29.33</v>
      </c>
      <c r="M72" s="64">
        <v>79.39</v>
      </c>
      <c r="N72" s="64">
        <v>157.69999999999999</v>
      </c>
      <c r="O72" s="64">
        <v>0</v>
      </c>
      <c r="P72" s="64">
        <v>0.35</v>
      </c>
      <c r="Q72" s="64">
        <v>9.6300000000000008</v>
      </c>
      <c r="R72" s="198"/>
      <c r="S72" s="198"/>
      <c r="T72" s="198"/>
      <c r="U72" s="198"/>
    </row>
    <row r="73" spans="1:21" s="12" customFormat="1" x14ac:dyDescent="0.25">
      <c r="A73" s="212" t="s">
        <v>311</v>
      </c>
      <c r="B73" s="64">
        <v>15.24</v>
      </c>
      <c r="C73" s="64">
        <v>20.059999999999999</v>
      </c>
      <c r="D73" s="64">
        <v>22.7</v>
      </c>
      <c r="E73" s="64">
        <v>7.25</v>
      </c>
      <c r="F73" s="64">
        <v>4.72</v>
      </c>
      <c r="G73" s="64">
        <v>67.709999999999994</v>
      </c>
      <c r="H73" s="64">
        <v>6.13</v>
      </c>
      <c r="I73" s="64">
        <v>24.01</v>
      </c>
      <c r="J73" s="64">
        <v>0.12</v>
      </c>
      <c r="K73" s="64">
        <v>294.70999999999998</v>
      </c>
      <c r="L73" s="64">
        <v>29.52</v>
      </c>
      <c r="M73" s="64">
        <v>79.23</v>
      </c>
      <c r="N73" s="64">
        <v>171.9</v>
      </c>
      <c r="O73" s="64">
        <v>0</v>
      </c>
      <c r="P73" s="64">
        <v>0.37</v>
      </c>
      <c r="Q73" s="64">
        <v>9.59</v>
      </c>
      <c r="R73" s="198"/>
      <c r="S73" s="198"/>
      <c r="T73" s="198"/>
      <c r="U73" s="198"/>
    </row>
    <row r="74" spans="1:21" s="12" customFormat="1" x14ac:dyDescent="0.25">
      <c r="A74" s="212" t="s">
        <v>312</v>
      </c>
      <c r="B74" s="64">
        <v>10.71</v>
      </c>
      <c r="C74" s="64">
        <v>20.57</v>
      </c>
      <c r="D74" s="64">
        <v>19.34</v>
      </c>
      <c r="E74" s="64">
        <v>8.34</v>
      </c>
      <c r="F74" s="64">
        <v>5.91</v>
      </c>
      <c r="G74" s="64">
        <v>67.709999999999994</v>
      </c>
      <c r="H74" s="64">
        <v>34</v>
      </c>
      <c r="I74" s="64">
        <v>20.420000000000002</v>
      </c>
      <c r="J74" s="64">
        <v>0.15</v>
      </c>
      <c r="K74" s="64">
        <v>306.05</v>
      </c>
      <c r="L74" s="64">
        <v>1.24</v>
      </c>
      <c r="M74" s="64">
        <v>78.790000000000006</v>
      </c>
      <c r="N74" s="64">
        <v>111</v>
      </c>
      <c r="O74" s="64">
        <v>0</v>
      </c>
      <c r="P74" s="64">
        <v>0.38</v>
      </c>
      <c r="Q74" s="64">
        <v>9.57</v>
      </c>
      <c r="R74" s="198"/>
      <c r="S74" s="198"/>
      <c r="T74" s="198"/>
      <c r="U74" s="198"/>
    </row>
    <row r="75" spans="1:21" s="12" customFormat="1" x14ac:dyDescent="0.25">
      <c r="A75" s="212" t="s">
        <v>313</v>
      </c>
      <c r="B75" s="64">
        <v>7.58</v>
      </c>
      <c r="C75" s="64">
        <v>21.43</v>
      </c>
      <c r="D75" s="64">
        <v>17.28</v>
      </c>
      <c r="E75" s="64">
        <v>8.43</v>
      </c>
      <c r="F75" s="64">
        <v>10.85</v>
      </c>
      <c r="G75" s="64">
        <v>67.709999999999994</v>
      </c>
      <c r="H75" s="64">
        <v>34</v>
      </c>
      <c r="I75" s="64">
        <v>16.86</v>
      </c>
      <c r="J75" s="64">
        <v>0.1</v>
      </c>
      <c r="K75" s="64">
        <v>298.20999999999998</v>
      </c>
      <c r="L75" s="64">
        <v>29.25</v>
      </c>
      <c r="M75" s="64">
        <v>78.64</v>
      </c>
      <c r="N75" s="64">
        <v>106.2</v>
      </c>
      <c r="O75" s="64">
        <v>0</v>
      </c>
      <c r="P75" s="64">
        <v>0.48</v>
      </c>
      <c r="Q75" s="64">
        <v>9.5299999999999994</v>
      </c>
      <c r="R75" s="198"/>
      <c r="S75" s="198"/>
      <c r="T75" s="198"/>
      <c r="U75" s="198"/>
    </row>
    <row r="76" spans="1:21" s="12" customFormat="1" x14ac:dyDescent="0.25">
      <c r="A76" s="212" t="s">
        <v>314</v>
      </c>
      <c r="B76" s="64">
        <v>6.43</v>
      </c>
      <c r="C76" s="64">
        <v>25.46</v>
      </c>
      <c r="D76" s="64">
        <v>18.46</v>
      </c>
      <c r="E76" s="64">
        <v>8.4</v>
      </c>
      <c r="F76" s="64">
        <v>9.2200000000000006</v>
      </c>
      <c r="G76" s="64">
        <v>65.36</v>
      </c>
      <c r="H76" s="64">
        <v>34</v>
      </c>
      <c r="I76" s="64">
        <v>14.04</v>
      </c>
      <c r="J76" s="64">
        <v>0.13</v>
      </c>
      <c r="K76" s="64">
        <v>315.52999999999997</v>
      </c>
      <c r="L76" s="64">
        <v>29.07</v>
      </c>
      <c r="M76" s="64">
        <v>79.569999999999993</v>
      </c>
      <c r="N76" s="64">
        <v>91.8</v>
      </c>
      <c r="O76" s="64">
        <v>0</v>
      </c>
      <c r="P76" s="64">
        <v>0.51</v>
      </c>
      <c r="Q76" s="64">
        <v>9.41</v>
      </c>
      <c r="R76" s="198"/>
      <c r="S76" s="198"/>
      <c r="T76" s="198"/>
      <c r="U76" s="198"/>
    </row>
    <row r="77" spans="1:21" s="12" customFormat="1" x14ac:dyDescent="0.25">
      <c r="A77" s="212" t="s">
        <v>315</v>
      </c>
      <c r="B77" s="64">
        <v>5.93</v>
      </c>
      <c r="C77" s="64">
        <v>23.13</v>
      </c>
      <c r="D77" s="64">
        <v>16.84</v>
      </c>
      <c r="E77" s="64">
        <v>8.02</v>
      </c>
      <c r="F77" s="64">
        <v>12.5</v>
      </c>
      <c r="G77" s="64">
        <v>63.79</v>
      </c>
      <c r="H77" s="64">
        <v>33.92</v>
      </c>
      <c r="I77" s="64">
        <v>8.2799999999999994</v>
      </c>
      <c r="J77" s="64">
        <v>0.12</v>
      </c>
      <c r="K77" s="64">
        <v>320.07</v>
      </c>
      <c r="L77" s="64">
        <v>28.89</v>
      </c>
      <c r="M77" s="64">
        <v>80.989999999999995</v>
      </c>
      <c r="N77" s="64">
        <v>103.5</v>
      </c>
      <c r="O77" s="64">
        <v>0</v>
      </c>
      <c r="P77" s="64">
        <v>0.47</v>
      </c>
      <c r="Q77" s="64">
        <v>9.32</v>
      </c>
      <c r="R77" s="198"/>
      <c r="S77" s="198"/>
      <c r="T77" s="198"/>
      <c r="U77" s="198"/>
    </row>
    <row r="78" spans="1:21" s="12" customFormat="1" x14ac:dyDescent="0.25">
      <c r="A78" s="212" t="s">
        <v>316</v>
      </c>
      <c r="B78" s="64">
        <v>5.48</v>
      </c>
      <c r="C78" s="64">
        <v>21.04</v>
      </c>
      <c r="D78" s="64">
        <v>15.39</v>
      </c>
      <c r="E78" s="64">
        <v>7.53</v>
      </c>
      <c r="F78" s="64">
        <v>6.14</v>
      </c>
      <c r="G78" s="64">
        <v>63.79</v>
      </c>
      <c r="H78" s="64">
        <v>33.450000000000003</v>
      </c>
      <c r="I78" s="64">
        <v>4.99</v>
      </c>
      <c r="J78" s="64">
        <v>0.14000000000000001</v>
      </c>
      <c r="K78" s="64">
        <v>332.33</v>
      </c>
      <c r="L78" s="64">
        <v>28.94</v>
      </c>
      <c r="M78" s="64">
        <v>79.489999999999995</v>
      </c>
      <c r="N78" s="64">
        <v>101.3</v>
      </c>
      <c r="O78" s="64">
        <v>0</v>
      </c>
      <c r="P78" s="64">
        <v>0.49</v>
      </c>
      <c r="Q78" s="64">
        <v>9.26</v>
      </c>
      <c r="R78" s="198"/>
      <c r="S78" s="198"/>
      <c r="T78" s="198"/>
      <c r="U78" s="198"/>
    </row>
    <row r="79" spans="1:21" s="12" customFormat="1" x14ac:dyDescent="0.25">
      <c r="A79" s="212" t="s">
        <v>317</v>
      </c>
      <c r="B79" s="64">
        <v>5.9</v>
      </c>
      <c r="C79" s="64">
        <v>19.86</v>
      </c>
      <c r="D79" s="64">
        <v>15.11</v>
      </c>
      <c r="E79" s="64">
        <v>5.72</v>
      </c>
      <c r="F79" s="64">
        <v>6.18</v>
      </c>
      <c r="G79" s="64">
        <v>63.79</v>
      </c>
      <c r="H79" s="64">
        <v>33.450000000000003</v>
      </c>
      <c r="I79" s="64">
        <v>5.12</v>
      </c>
      <c r="J79" s="64">
        <v>0.1</v>
      </c>
      <c r="K79" s="64">
        <v>350.21</v>
      </c>
      <c r="L79" s="64">
        <v>28.71</v>
      </c>
      <c r="M79" s="64">
        <v>80.62</v>
      </c>
      <c r="N79" s="64">
        <v>77.099999999999994</v>
      </c>
      <c r="O79" s="64">
        <v>0</v>
      </c>
      <c r="P79" s="64">
        <v>0.54</v>
      </c>
      <c r="Q79" s="64">
        <v>9.27</v>
      </c>
      <c r="R79" s="198"/>
      <c r="S79" s="198"/>
      <c r="T79" s="198"/>
      <c r="U79" s="198"/>
    </row>
    <row r="80" spans="1:21" s="12" customFormat="1" x14ac:dyDescent="0.25">
      <c r="A80" s="212" t="s">
        <v>318</v>
      </c>
      <c r="B80" s="64">
        <v>8.09</v>
      </c>
      <c r="C80" s="64">
        <v>19.62</v>
      </c>
      <c r="D80" s="64">
        <v>16.739999999999998</v>
      </c>
      <c r="E80" s="64">
        <v>5.6</v>
      </c>
      <c r="F80" s="64">
        <v>11.23</v>
      </c>
      <c r="G80" s="64">
        <v>72.02</v>
      </c>
      <c r="H80" s="64">
        <v>33.450000000000003</v>
      </c>
      <c r="I80" s="64">
        <v>5.15</v>
      </c>
      <c r="J80" s="64">
        <v>0.16</v>
      </c>
      <c r="K80" s="64">
        <v>323.01</v>
      </c>
      <c r="L80" s="64">
        <v>28.58</v>
      </c>
      <c r="M80" s="64">
        <v>81.92</v>
      </c>
      <c r="N80" s="64">
        <v>56.9</v>
      </c>
      <c r="O80" s="64">
        <v>0</v>
      </c>
      <c r="P80" s="64">
        <v>0.64</v>
      </c>
      <c r="Q80" s="64">
        <v>9.2899999999999991</v>
      </c>
      <c r="R80" s="198"/>
      <c r="S80" s="198"/>
      <c r="T80" s="198"/>
      <c r="U80" s="198"/>
    </row>
    <row r="81" spans="1:26" s="12" customFormat="1" x14ac:dyDescent="0.25">
      <c r="A81" s="212" t="s">
        <v>319</v>
      </c>
      <c r="B81" s="64">
        <v>7.04</v>
      </c>
      <c r="C81" s="64">
        <v>14.81</v>
      </c>
      <c r="D81" s="64">
        <v>13.38</v>
      </c>
      <c r="E81" s="64">
        <v>5.77</v>
      </c>
      <c r="F81" s="64">
        <v>5.67</v>
      </c>
      <c r="G81" s="64">
        <v>77.52</v>
      </c>
      <c r="H81" s="64">
        <v>32.79</v>
      </c>
      <c r="I81" s="64">
        <v>5.16</v>
      </c>
      <c r="J81" s="64">
        <v>1.35</v>
      </c>
      <c r="K81" s="64">
        <v>329.39</v>
      </c>
      <c r="L81" s="64">
        <v>28.16</v>
      </c>
      <c r="M81" s="64">
        <v>85.97</v>
      </c>
      <c r="N81" s="64">
        <v>52.7</v>
      </c>
      <c r="O81" s="64">
        <v>0.2</v>
      </c>
      <c r="P81" s="64">
        <v>0.52</v>
      </c>
      <c r="Q81" s="64">
        <v>9.27</v>
      </c>
      <c r="R81" s="198"/>
      <c r="S81" s="198"/>
      <c r="T81" s="198"/>
      <c r="U81" s="198"/>
    </row>
    <row r="82" spans="1:26" s="12" customFormat="1" x14ac:dyDescent="0.25">
      <c r="A82" s="212" t="s">
        <v>320</v>
      </c>
      <c r="B82" s="64">
        <v>17.55</v>
      </c>
      <c r="C82" s="64">
        <v>16.53</v>
      </c>
      <c r="D82" s="64">
        <v>22.7</v>
      </c>
      <c r="E82" s="64">
        <v>5.01</v>
      </c>
      <c r="F82" s="64">
        <v>9.81</v>
      </c>
      <c r="G82" s="64">
        <v>77.52</v>
      </c>
      <c r="H82" s="64">
        <v>28.86</v>
      </c>
      <c r="I82" s="64">
        <v>5.18</v>
      </c>
      <c r="J82" s="64">
        <v>0.59</v>
      </c>
      <c r="K82" s="64">
        <v>333.19</v>
      </c>
      <c r="L82" s="64">
        <v>27.53</v>
      </c>
      <c r="M82" s="64">
        <v>89.97</v>
      </c>
      <c r="N82" s="64">
        <v>48.4</v>
      </c>
      <c r="O82" s="64">
        <v>0</v>
      </c>
      <c r="P82" s="64">
        <v>0.77</v>
      </c>
      <c r="Q82" s="64">
        <v>9.27</v>
      </c>
      <c r="R82" s="198"/>
      <c r="S82" s="198"/>
      <c r="T82" s="198"/>
      <c r="U82" s="198"/>
    </row>
    <row r="83" spans="1:26" s="12" customFormat="1" x14ac:dyDescent="0.25">
      <c r="A83" s="212" t="s">
        <v>321</v>
      </c>
      <c r="B83" s="64">
        <v>18.61</v>
      </c>
      <c r="C83" s="64">
        <v>15.91</v>
      </c>
      <c r="D83" s="64">
        <v>23.24</v>
      </c>
      <c r="E83" s="64">
        <v>5.0999999999999996</v>
      </c>
      <c r="F83" s="64">
        <v>8.6999999999999993</v>
      </c>
      <c r="G83" s="64">
        <v>77.52</v>
      </c>
      <c r="H83" s="64">
        <v>28.86</v>
      </c>
      <c r="I83" s="64">
        <v>5.14</v>
      </c>
      <c r="J83" s="64">
        <v>0.77</v>
      </c>
      <c r="K83" s="64">
        <v>338.9</v>
      </c>
      <c r="L83" s="64">
        <v>27.14</v>
      </c>
      <c r="M83" s="64">
        <v>93.32</v>
      </c>
      <c r="N83" s="64">
        <v>45.2</v>
      </c>
      <c r="O83" s="64">
        <v>0</v>
      </c>
      <c r="P83" s="64">
        <v>0.87</v>
      </c>
      <c r="Q83" s="64">
        <v>9.2799999999999994</v>
      </c>
      <c r="R83" s="198"/>
      <c r="S83" s="198"/>
      <c r="T83" s="198"/>
      <c r="U83" s="198"/>
    </row>
    <row r="84" spans="1:26" s="12" customFormat="1" x14ac:dyDescent="0.25">
      <c r="A84" s="212" t="s">
        <v>322</v>
      </c>
      <c r="B84" s="64">
        <v>16.57</v>
      </c>
      <c r="C84" s="64">
        <v>16.670000000000002</v>
      </c>
      <c r="D84" s="64">
        <v>21.99</v>
      </c>
      <c r="E84" s="64">
        <v>4.8</v>
      </c>
      <c r="F84" s="64">
        <v>9.5399999999999991</v>
      </c>
      <c r="G84" s="64">
        <v>73.86</v>
      </c>
      <c r="H84" s="64">
        <v>28.86</v>
      </c>
      <c r="I84" s="64">
        <v>5.1100000000000003</v>
      </c>
      <c r="J84" s="64">
        <v>0.73</v>
      </c>
      <c r="K84" s="64">
        <v>341.07</v>
      </c>
      <c r="L84" s="64">
        <v>26.72</v>
      </c>
      <c r="M84" s="64">
        <v>96.17</v>
      </c>
      <c r="N84" s="64">
        <v>43.8</v>
      </c>
      <c r="O84" s="64">
        <v>0</v>
      </c>
      <c r="P84" s="64">
        <v>0.78</v>
      </c>
      <c r="Q84" s="64">
        <v>9.32</v>
      </c>
      <c r="R84" s="198"/>
      <c r="S84" s="198"/>
      <c r="T84" s="198"/>
      <c r="U84" s="198"/>
    </row>
    <row r="85" spans="1:26" s="12" customFormat="1" x14ac:dyDescent="0.25">
      <c r="A85" s="212" t="s">
        <v>323</v>
      </c>
      <c r="B85" s="64">
        <v>22.15</v>
      </c>
      <c r="C85" s="64">
        <v>17.98</v>
      </c>
      <c r="D85" s="64">
        <v>27.16</v>
      </c>
      <c r="E85" s="64">
        <v>4.55</v>
      </c>
      <c r="F85" s="64">
        <v>7.72</v>
      </c>
      <c r="G85" s="64">
        <v>71.430000000000007</v>
      </c>
      <c r="H85" s="64">
        <v>28.3</v>
      </c>
      <c r="I85" s="64">
        <v>5.12</v>
      </c>
      <c r="J85" s="64">
        <v>0.6</v>
      </c>
      <c r="K85" s="64">
        <v>341.76</v>
      </c>
      <c r="L85" s="64">
        <v>26.47</v>
      </c>
      <c r="M85" s="64">
        <v>97.72</v>
      </c>
      <c r="N85" s="64">
        <v>43.4</v>
      </c>
      <c r="O85" s="64">
        <v>0</v>
      </c>
      <c r="P85" s="64">
        <v>0.83</v>
      </c>
      <c r="Q85" s="64">
        <v>9.34</v>
      </c>
      <c r="R85" s="198"/>
      <c r="S85" s="198"/>
      <c r="T85" s="198"/>
      <c r="U85" s="198"/>
    </row>
    <row r="86" spans="1:26" s="12" customFormat="1" x14ac:dyDescent="0.25">
      <c r="A86" s="212" t="s">
        <v>324</v>
      </c>
      <c r="B86" s="64">
        <v>21.95</v>
      </c>
      <c r="C86" s="64">
        <v>16.829999999999998</v>
      </c>
      <c r="D86" s="64">
        <v>26.39</v>
      </c>
      <c r="E86" s="64">
        <v>4.54</v>
      </c>
      <c r="F86" s="64">
        <v>6.72</v>
      </c>
      <c r="G86" s="64">
        <v>71.430000000000007</v>
      </c>
      <c r="H86" s="64">
        <v>25.04</v>
      </c>
      <c r="I86" s="64">
        <v>5.13</v>
      </c>
      <c r="J86" s="64">
        <v>0.48</v>
      </c>
      <c r="K86" s="64">
        <v>341.86</v>
      </c>
      <c r="L86" s="64">
        <v>26.35</v>
      </c>
      <c r="M86" s="64">
        <v>97.41</v>
      </c>
      <c r="N86" s="64">
        <v>43.4</v>
      </c>
      <c r="O86" s="64">
        <v>0</v>
      </c>
      <c r="P86" s="64">
        <v>0.93</v>
      </c>
      <c r="Q86" s="64">
        <v>9.3800000000000008</v>
      </c>
      <c r="R86" s="198"/>
      <c r="S86" s="198"/>
      <c r="T86" s="198"/>
      <c r="U86" s="198"/>
    </row>
    <row r="87" spans="1:26" s="12" customFormat="1" x14ac:dyDescent="0.25">
      <c r="A87" s="212" t="s">
        <v>325</v>
      </c>
      <c r="B87" s="64">
        <v>16.2</v>
      </c>
      <c r="C87" s="64">
        <v>14.3</v>
      </c>
      <c r="D87" s="64">
        <v>20.47</v>
      </c>
      <c r="E87" s="64">
        <v>4.72</v>
      </c>
      <c r="F87" s="64">
        <v>6.22</v>
      </c>
      <c r="G87" s="64">
        <v>71.430000000000007</v>
      </c>
      <c r="H87" s="64">
        <v>25.04</v>
      </c>
      <c r="I87" s="64">
        <v>5.12</v>
      </c>
      <c r="J87" s="64">
        <v>0.68</v>
      </c>
      <c r="K87" s="64">
        <v>340.45</v>
      </c>
      <c r="L87" s="64">
        <v>26.38</v>
      </c>
      <c r="M87" s="64">
        <v>95.72</v>
      </c>
      <c r="N87" s="64">
        <v>43.4</v>
      </c>
      <c r="O87" s="64">
        <v>0</v>
      </c>
      <c r="P87" s="64">
        <v>0.76</v>
      </c>
      <c r="Q87" s="64">
        <v>9.42</v>
      </c>
      <c r="R87" s="198"/>
      <c r="S87" s="198"/>
      <c r="T87" s="198"/>
      <c r="U87" s="198"/>
    </row>
    <row r="88" spans="1:26" s="12" customFormat="1" x14ac:dyDescent="0.25">
      <c r="A88" s="212" t="s">
        <v>326</v>
      </c>
      <c r="B88" s="64">
        <v>18.82</v>
      </c>
      <c r="C88" s="64">
        <v>13.33</v>
      </c>
      <c r="D88" s="64">
        <v>22.06</v>
      </c>
      <c r="E88" s="64">
        <v>4.6900000000000004</v>
      </c>
      <c r="F88" s="64">
        <v>6.52</v>
      </c>
      <c r="G88" s="64">
        <v>75.33</v>
      </c>
      <c r="H88" s="64">
        <v>25.04</v>
      </c>
      <c r="I88" s="64">
        <v>5.12</v>
      </c>
      <c r="J88" s="64">
        <v>0.28000000000000003</v>
      </c>
      <c r="K88" s="64">
        <v>334.3</v>
      </c>
      <c r="L88" s="64">
        <v>26.33</v>
      </c>
      <c r="M88" s="64">
        <v>95.67</v>
      </c>
      <c r="N88" s="64">
        <v>43.4</v>
      </c>
      <c r="O88" s="64">
        <v>0</v>
      </c>
      <c r="P88" s="64">
        <v>0.82</v>
      </c>
      <c r="Q88" s="64">
        <v>9.4499999999999993</v>
      </c>
      <c r="R88" s="198"/>
      <c r="S88" s="198"/>
      <c r="T88" s="198"/>
      <c r="U88" s="198"/>
    </row>
    <row r="89" spans="1:26" s="12" customFormat="1" x14ac:dyDescent="0.25">
      <c r="A89" s="212" t="s">
        <v>327</v>
      </c>
      <c r="B89" s="64">
        <v>28.95</v>
      </c>
      <c r="C89" s="64">
        <v>18.829999999999998</v>
      </c>
      <c r="D89" s="64">
        <v>33.04</v>
      </c>
      <c r="E89" s="64">
        <v>4.7300000000000004</v>
      </c>
      <c r="F89" s="64">
        <v>6.93</v>
      </c>
      <c r="G89" s="64">
        <v>77.930000000000007</v>
      </c>
      <c r="H89" s="64">
        <v>25.75</v>
      </c>
      <c r="I89" s="64">
        <v>5.0999999999999996</v>
      </c>
      <c r="J89" s="64">
        <v>0.09</v>
      </c>
      <c r="K89" s="64">
        <v>2.2599999999999998</v>
      </c>
      <c r="L89" s="64">
        <v>26.43</v>
      </c>
      <c r="M89" s="64">
        <v>94.4</v>
      </c>
      <c r="N89" s="64">
        <v>43.5</v>
      </c>
      <c r="O89" s="64">
        <v>0</v>
      </c>
      <c r="P89" s="64">
        <v>1.25</v>
      </c>
      <c r="Q89" s="64">
        <v>9.4700000000000006</v>
      </c>
      <c r="R89" s="198"/>
      <c r="S89" s="198"/>
      <c r="T89" s="198"/>
      <c r="U89" s="198"/>
    </row>
    <row r="90" spans="1:26" s="12" customFormat="1" x14ac:dyDescent="0.25">
      <c r="A90" s="212" t="s">
        <v>328</v>
      </c>
      <c r="B90" s="64">
        <v>29.68</v>
      </c>
      <c r="C90" s="64">
        <v>15.94</v>
      </c>
      <c r="D90" s="64">
        <v>32.130000000000003</v>
      </c>
      <c r="E90" s="64">
        <v>4.5999999999999996</v>
      </c>
      <c r="F90" s="64">
        <v>6.14</v>
      </c>
      <c r="G90" s="64">
        <v>77.930000000000007</v>
      </c>
      <c r="H90" s="64">
        <v>29.95</v>
      </c>
      <c r="I90" s="64">
        <v>5.07</v>
      </c>
      <c r="J90" s="64">
        <v>0.04</v>
      </c>
      <c r="K90" s="64">
        <v>343.91</v>
      </c>
      <c r="L90" s="64">
        <v>26.37</v>
      </c>
      <c r="M90" s="64">
        <v>93.19</v>
      </c>
      <c r="N90" s="64">
        <v>43.6</v>
      </c>
      <c r="O90" s="64">
        <v>0</v>
      </c>
      <c r="P90" s="64">
        <v>1.2</v>
      </c>
      <c r="Q90" s="64">
        <v>9.51</v>
      </c>
      <c r="R90" s="198"/>
      <c r="S90" s="198"/>
      <c r="T90" s="198"/>
      <c r="U90" s="198"/>
    </row>
    <row r="91" spans="1:26" s="12" customFormat="1" x14ac:dyDescent="0.25">
      <c r="A91" s="212" t="s">
        <v>329</v>
      </c>
      <c r="B91" s="64">
        <v>21.77</v>
      </c>
      <c r="C91" s="64">
        <v>15.15</v>
      </c>
      <c r="D91" s="64">
        <v>25.37</v>
      </c>
      <c r="E91" s="64">
        <v>4.7300000000000004</v>
      </c>
      <c r="F91" s="64">
        <v>5.26</v>
      </c>
      <c r="G91" s="64">
        <v>77.930000000000007</v>
      </c>
      <c r="H91" s="64">
        <v>29.95</v>
      </c>
      <c r="I91" s="64">
        <v>4.87</v>
      </c>
      <c r="J91" s="64">
        <v>0.11</v>
      </c>
      <c r="K91" s="64">
        <v>325.07</v>
      </c>
      <c r="L91" s="64">
        <v>26.42</v>
      </c>
      <c r="M91" s="64">
        <v>91.49</v>
      </c>
      <c r="N91" s="64">
        <v>43.6</v>
      </c>
      <c r="O91" s="64">
        <v>0</v>
      </c>
      <c r="P91" s="64">
        <v>0.98</v>
      </c>
      <c r="Q91" s="64">
        <v>9.5299999999999994</v>
      </c>
      <c r="R91" s="198"/>
      <c r="S91" s="198"/>
      <c r="T91" s="198"/>
      <c r="U91" s="198"/>
    </row>
    <row r="92" spans="1:26" s="12" customFormat="1" x14ac:dyDescent="0.25">
      <c r="A92" s="212" t="s">
        <v>330</v>
      </c>
      <c r="B92" s="64">
        <v>21.72</v>
      </c>
      <c r="C92" s="64">
        <v>19.489999999999998</v>
      </c>
      <c r="D92" s="64">
        <v>27.59</v>
      </c>
      <c r="E92" s="64">
        <v>4.57</v>
      </c>
      <c r="F92" s="64">
        <v>6.39</v>
      </c>
      <c r="G92" s="64">
        <v>81.66</v>
      </c>
      <c r="H92" s="64">
        <v>29.95</v>
      </c>
      <c r="I92" s="64">
        <v>4.8899999999999997</v>
      </c>
      <c r="J92" s="64">
        <v>0.06</v>
      </c>
      <c r="K92" s="64">
        <v>273.58</v>
      </c>
      <c r="L92" s="64">
        <v>26.39</v>
      </c>
      <c r="M92" s="64">
        <v>91.65</v>
      </c>
      <c r="N92" s="64">
        <v>43.6</v>
      </c>
      <c r="O92" s="64">
        <v>0</v>
      </c>
      <c r="P92" s="64">
        <v>1.08</v>
      </c>
      <c r="Q92" s="64">
        <v>9.58</v>
      </c>
      <c r="R92" s="198"/>
      <c r="S92" s="198"/>
      <c r="T92" s="198"/>
      <c r="U92" s="198"/>
    </row>
    <row r="93" spans="1:26" s="12" customFormat="1" x14ac:dyDescent="0.25">
      <c r="A93" s="212" t="s">
        <v>331</v>
      </c>
      <c r="B93" s="64">
        <v>30.22</v>
      </c>
      <c r="C93" s="64">
        <v>19.45</v>
      </c>
      <c r="D93" s="64">
        <v>34.4</v>
      </c>
      <c r="E93" s="64">
        <v>4.55</v>
      </c>
      <c r="F93" s="64">
        <v>5.42</v>
      </c>
      <c r="G93" s="64">
        <v>84.14</v>
      </c>
      <c r="H93" s="64">
        <v>29.15</v>
      </c>
      <c r="I93" s="64">
        <v>4.84</v>
      </c>
      <c r="J93" s="64">
        <v>0.05</v>
      </c>
      <c r="K93" s="64">
        <v>319.98</v>
      </c>
      <c r="L93" s="64">
        <v>26.3</v>
      </c>
      <c r="M93" s="64">
        <v>93.67</v>
      </c>
      <c r="N93" s="64">
        <v>43.6</v>
      </c>
      <c r="O93" s="64">
        <v>0</v>
      </c>
      <c r="P93" s="64">
        <v>1.07</v>
      </c>
      <c r="Q93" s="64">
        <v>9.59</v>
      </c>
      <c r="R93" s="198"/>
      <c r="S93" s="198"/>
      <c r="T93" s="198"/>
      <c r="U93" s="198"/>
    </row>
    <row r="94" spans="1:26" s="12" customFormat="1" x14ac:dyDescent="0.25">
      <c r="A94" s="212" t="s">
        <v>332</v>
      </c>
      <c r="B94" s="64">
        <v>21.81</v>
      </c>
      <c r="C94" s="64">
        <v>16.87</v>
      </c>
      <c r="D94" s="64">
        <v>26.31</v>
      </c>
      <c r="E94" s="64">
        <v>4.3499999999999996</v>
      </c>
      <c r="F94" s="64">
        <v>4.25</v>
      </c>
      <c r="G94" s="64">
        <v>84.14</v>
      </c>
      <c r="H94" s="64">
        <v>24.42</v>
      </c>
      <c r="I94" s="64">
        <v>4.6900000000000004</v>
      </c>
      <c r="J94" s="64">
        <v>0.03</v>
      </c>
      <c r="K94" s="64">
        <v>187.14</v>
      </c>
      <c r="L94" s="64">
        <v>26.24</v>
      </c>
      <c r="M94" s="64">
        <v>95.56</v>
      </c>
      <c r="N94" s="64">
        <v>43.8</v>
      </c>
      <c r="O94" s="64">
        <v>0</v>
      </c>
      <c r="P94" s="64">
        <v>0.78</v>
      </c>
      <c r="Q94" s="64">
        <v>9.6</v>
      </c>
      <c r="R94" s="198"/>
      <c r="S94" s="198"/>
      <c r="T94" s="198"/>
      <c r="U94" s="198"/>
    </row>
    <row r="95" spans="1:26" s="12" customFormat="1" x14ac:dyDescent="0.25">
      <c r="A95" s="212" t="s">
        <v>333</v>
      </c>
      <c r="B95" s="64">
        <v>19.07</v>
      </c>
      <c r="C95" s="64">
        <v>8.27</v>
      </c>
      <c r="D95" s="64">
        <v>19.61</v>
      </c>
      <c r="E95" s="64">
        <v>4.24</v>
      </c>
      <c r="F95" s="64">
        <v>3.1</v>
      </c>
      <c r="G95" s="64">
        <v>84.14</v>
      </c>
      <c r="H95" s="64">
        <v>24.42</v>
      </c>
      <c r="I95" s="64">
        <v>4.63</v>
      </c>
      <c r="J95" s="64">
        <v>0.64</v>
      </c>
      <c r="K95" s="64">
        <v>317.02999999999997</v>
      </c>
      <c r="L95" s="64">
        <v>26.17</v>
      </c>
      <c r="M95" s="64">
        <v>97.08</v>
      </c>
      <c r="N95" s="64">
        <v>43.8</v>
      </c>
      <c r="O95" s="64">
        <v>0</v>
      </c>
      <c r="P95" s="64">
        <v>0.77</v>
      </c>
      <c r="Q95" s="64">
        <v>9.59</v>
      </c>
      <c r="R95" s="198"/>
      <c r="S95" s="198"/>
      <c r="T95" s="198"/>
      <c r="U95" s="198"/>
    </row>
    <row r="96" spans="1:26" s="12" customFormat="1" x14ac:dyDescent="0.25">
      <c r="A96" s="212" t="s">
        <v>334</v>
      </c>
      <c r="B96" s="64">
        <v>17.27</v>
      </c>
      <c r="C96" s="64">
        <v>7.03</v>
      </c>
      <c r="D96" s="64">
        <v>17.52</v>
      </c>
      <c r="E96" s="64">
        <v>4.41</v>
      </c>
      <c r="F96" s="64">
        <v>3.53</v>
      </c>
      <c r="G96" s="64">
        <v>81.91</v>
      </c>
      <c r="H96" s="64">
        <v>24.42</v>
      </c>
      <c r="I96" s="64">
        <v>4.55</v>
      </c>
      <c r="J96" s="64">
        <v>0.71</v>
      </c>
      <c r="K96" s="64">
        <v>319.62</v>
      </c>
      <c r="L96" s="64">
        <v>25.68</v>
      </c>
      <c r="M96" s="64">
        <v>97.92</v>
      </c>
      <c r="N96" s="64">
        <v>44</v>
      </c>
      <c r="O96" s="64">
        <v>0</v>
      </c>
      <c r="P96" s="64">
        <v>0.69</v>
      </c>
      <c r="Q96" s="64">
        <v>9.6300000000000008</v>
      </c>
      <c r="R96" s="198"/>
      <c r="S96" s="198"/>
      <c r="T96" s="198"/>
      <c r="U96" s="198"/>
      <c r="Z96" s="109"/>
    </row>
    <row r="97" spans="1:33" s="12" customFormat="1" x14ac:dyDescent="0.25">
      <c r="A97" s="212" t="s">
        <v>335</v>
      </c>
      <c r="B97" s="64">
        <v>17.21</v>
      </c>
      <c r="C97" s="64">
        <v>6.5</v>
      </c>
      <c r="D97" s="64">
        <v>17.190000000000001</v>
      </c>
      <c r="E97" s="64">
        <v>4.59</v>
      </c>
      <c r="F97" s="64">
        <v>4.0999999999999996</v>
      </c>
      <c r="G97" s="64">
        <v>80.42</v>
      </c>
      <c r="H97" s="64">
        <v>25.02</v>
      </c>
      <c r="I97" s="64">
        <v>4.43</v>
      </c>
      <c r="J97" s="64">
        <v>0.28999999999999998</v>
      </c>
      <c r="K97" s="64">
        <v>313.72000000000003</v>
      </c>
      <c r="L97" s="64">
        <v>25.16</v>
      </c>
      <c r="M97" s="64">
        <v>97.95</v>
      </c>
      <c r="N97" s="64">
        <v>43.8</v>
      </c>
      <c r="O97" s="64">
        <v>0</v>
      </c>
      <c r="P97" s="64">
        <v>0.69</v>
      </c>
      <c r="Q97" s="64">
        <v>9.61</v>
      </c>
      <c r="R97" s="198"/>
      <c r="S97" s="198"/>
      <c r="T97" s="198"/>
      <c r="U97" s="198"/>
    </row>
    <row r="98" spans="1:33" s="12" customFormat="1" x14ac:dyDescent="0.25">
      <c r="A98" s="212" t="s">
        <v>336</v>
      </c>
      <c r="B98" s="64">
        <v>15.45</v>
      </c>
      <c r="C98" s="64">
        <v>7.42</v>
      </c>
      <c r="D98" s="64">
        <v>16.27</v>
      </c>
      <c r="E98" s="64">
        <v>4.3</v>
      </c>
      <c r="F98" s="64">
        <v>3.66</v>
      </c>
      <c r="G98" s="64">
        <v>80.42</v>
      </c>
      <c r="H98" s="64">
        <v>28.53</v>
      </c>
      <c r="I98" s="64">
        <v>4.24</v>
      </c>
      <c r="J98" s="64">
        <v>0.27</v>
      </c>
      <c r="K98" s="64">
        <v>323.14999999999998</v>
      </c>
      <c r="L98" s="64">
        <v>24.7</v>
      </c>
      <c r="M98" s="64">
        <v>97.96</v>
      </c>
      <c r="N98" s="64">
        <v>44.1</v>
      </c>
      <c r="O98" s="64">
        <v>0</v>
      </c>
      <c r="P98" s="64">
        <v>0.64</v>
      </c>
      <c r="Q98" s="64">
        <v>9.58</v>
      </c>
      <c r="R98" s="198"/>
      <c r="S98" s="198"/>
      <c r="T98" s="198"/>
      <c r="U98" s="198"/>
    </row>
    <row r="99" spans="1:33" s="12" customFormat="1" x14ac:dyDescent="0.25">
      <c r="A99" s="212" t="s">
        <v>337</v>
      </c>
      <c r="B99" s="64">
        <v>14.52</v>
      </c>
      <c r="C99" s="64">
        <v>8.26</v>
      </c>
      <c r="D99" s="64">
        <v>15.96</v>
      </c>
      <c r="E99" s="64">
        <v>4.2300000000000004</v>
      </c>
      <c r="F99" s="64">
        <v>3.2</v>
      </c>
      <c r="G99" s="64">
        <v>80.42</v>
      </c>
      <c r="H99" s="64">
        <v>28.53</v>
      </c>
      <c r="I99" s="64">
        <v>4.04</v>
      </c>
      <c r="J99" s="64">
        <v>0.26</v>
      </c>
      <c r="K99" s="64">
        <v>325.39999999999998</v>
      </c>
      <c r="L99" s="64">
        <v>24.46</v>
      </c>
      <c r="M99" s="64">
        <v>97.92</v>
      </c>
      <c r="N99" s="64">
        <v>43.8</v>
      </c>
      <c r="O99" s="64">
        <v>0</v>
      </c>
      <c r="P99" s="64">
        <v>0.61</v>
      </c>
      <c r="Q99" s="64">
        <v>9.5299999999999994</v>
      </c>
      <c r="R99" s="198"/>
      <c r="S99" s="198"/>
      <c r="T99" s="198"/>
      <c r="U99" s="198"/>
    </row>
    <row r="100" spans="1:33" s="12" customFormat="1" x14ac:dyDescent="0.25">
      <c r="A100" s="212" t="s">
        <v>338</v>
      </c>
      <c r="B100" s="64">
        <v>13.31</v>
      </c>
      <c r="C100" s="64">
        <v>10.14</v>
      </c>
      <c r="D100" s="64">
        <v>15.97</v>
      </c>
      <c r="E100" s="64">
        <v>4.1900000000000004</v>
      </c>
      <c r="F100" s="64">
        <v>4.43</v>
      </c>
      <c r="G100" s="64">
        <v>68.91</v>
      </c>
      <c r="H100" s="64">
        <v>28.53</v>
      </c>
      <c r="I100" s="64">
        <v>3.83</v>
      </c>
      <c r="J100" s="64">
        <v>0.12</v>
      </c>
      <c r="K100" s="64">
        <v>331.67</v>
      </c>
      <c r="L100" s="64">
        <v>24.46</v>
      </c>
      <c r="M100" s="64">
        <v>97.75</v>
      </c>
      <c r="N100" s="64">
        <v>43.5</v>
      </c>
      <c r="O100" s="64">
        <v>0</v>
      </c>
      <c r="P100" s="64">
        <v>0.54</v>
      </c>
      <c r="Q100" s="64">
        <v>9.49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2" t="s">
        <v>339</v>
      </c>
      <c r="B101" s="64">
        <v>11.9</v>
      </c>
      <c r="C101" s="64">
        <v>12.26</v>
      </c>
      <c r="D101" s="64">
        <v>15.94</v>
      </c>
      <c r="E101" s="64">
        <v>4.41</v>
      </c>
      <c r="F101" s="64">
        <v>4.62</v>
      </c>
      <c r="G101" s="64">
        <v>61.23</v>
      </c>
      <c r="H101" s="64">
        <v>27.1</v>
      </c>
      <c r="I101" s="64">
        <v>3.64</v>
      </c>
      <c r="J101" s="64">
        <v>0.39</v>
      </c>
      <c r="K101" s="64">
        <v>315.2</v>
      </c>
      <c r="L101" s="64">
        <v>24.55</v>
      </c>
      <c r="M101" s="64">
        <v>97.89</v>
      </c>
      <c r="N101" s="64">
        <v>43.7</v>
      </c>
      <c r="O101" s="64">
        <v>0</v>
      </c>
      <c r="P101" s="64">
        <v>0.47</v>
      </c>
      <c r="Q101" s="64">
        <v>9.4499999999999993</v>
      </c>
      <c r="R101" s="198"/>
      <c r="S101" s="198"/>
      <c r="T101" s="198"/>
      <c r="U101" s="198"/>
    </row>
    <row r="102" spans="1:33" s="12" customFormat="1" x14ac:dyDescent="0.25">
      <c r="A102" s="212" t="s">
        <v>340</v>
      </c>
      <c r="B102" s="64">
        <v>12.65</v>
      </c>
      <c r="C102" s="64">
        <v>9.2200000000000006</v>
      </c>
      <c r="D102" s="64">
        <v>14.96</v>
      </c>
      <c r="E102" s="64">
        <v>4.3</v>
      </c>
      <c r="F102" s="64">
        <v>3.23</v>
      </c>
      <c r="G102" s="64">
        <v>61.23</v>
      </c>
      <c r="H102" s="64">
        <v>18.68</v>
      </c>
      <c r="I102" s="64">
        <v>3.5</v>
      </c>
      <c r="J102" s="64">
        <v>0.4</v>
      </c>
      <c r="K102" s="64">
        <v>316.82</v>
      </c>
      <c r="L102" s="64">
        <v>24.51</v>
      </c>
      <c r="M102" s="64">
        <v>97.99</v>
      </c>
      <c r="N102" s="64">
        <v>43.8</v>
      </c>
      <c r="O102" s="64">
        <v>0</v>
      </c>
      <c r="P102" s="64">
        <v>0.52</v>
      </c>
      <c r="Q102" s="64">
        <v>9.43</v>
      </c>
      <c r="R102" s="198"/>
      <c r="S102" s="198"/>
      <c r="T102" s="198"/>
      <c r="U102" s="198"/>
    </row>
    <row r="103" spans="1:33" s="12" customFormat="1" x14ac:dyDescent="0.25">
      <c r="A103" s="212" t="s">
        <v>341</v>
      </c>
      <c r="B103" s="64">
        <v>12.33</v>
      </c>
      <c r="C103" s="64">
        <v>8.9</v>
      </c>
      <c r="D103" s="64">
        <v>14.53</v>
      </c>
      <c r="E103" s="64">
        <v>4.17</v>
      </c>
      <c r="F103" s="64">
        <v>3.77</v>
      </c>
      <c r="G103" s="64">
        <v>61.23</v>
      </c>
      <c r="H103" s="64">
        <v>18.68</v>
      </c>
      <c r="I103" s="64">
        <v>3.38</v>
      </c>
      <c r="J103" s="64">
        <v>0.36</v>
      </c>
      <c r="K103" s="64">
        <v>313.14</v>
      </c>
      <c r="L103" s="64">
        <v>24.34</v>
      </c>
      <c r="M103" s="64">
        <v>98.02</v>
      </c>
      <c r="N103" s="64">
        <v>43.8</v>
      </c>
      <c r="O103" s="64">
        <v>0</v>
      </c>
      <c r="P103" s="64">
        <v>0.51</v>
      </c>
      <c r="Q103" s="64">
        <v>9.41</v>
      </c>
      <c r="R103" s="198"/>
      <c r="S103" s="198"/>
      <c r="T103" s="198"/>
      <c r="U103" s="198"/>
    </row>
    <row r="104" spans="1:33" s="12" customFormat="1" x14ac:dyDescent="0.25">
      <c r="A104" s="212" t="s">
        <v>342</v>
      </c>
      <c r="B104" s="64">
        <v>11.93</v>
      </c>
      <c r="C104" s="64">
        <v>8.59</v>
      </c>
      <c r="D104" s="64">
        <v>14.05</v>
      </c>
      <c r="E104" s="64">
        <v>4.7</v>
      </c>
      <c r="F104" s="64">
        <v>3.59</v>
      </c>
      <c r="G104" s="64">
        <v>52.6</v>
      </c>
      <c r="H104" s="64">
        <v>18.68</v>
      </c>
      <c r="I104" s="64">
        <v>3.3</v>
      </c>
      <c r="J104" s="64">
        <v>0.28999999999999998</v>
      </c>
      <c r="K104" s="64">
        <v>309.83</v>
      </c>
      <c r="L104" s="64">
        <v>24.25</v>
      </c>
      <c r="M104" s="64">
        <v>98.01</v>
      </c>
      <c r="N104" s="64">
        <v>43.7</v>
      </c>
      <c r="O104" s="64">
        <v>0</v>
      </c>
      <c r="P104" s="64">
        <v>0.49</v>
      </c>
      <c r="Q104" s="64">
        <v>9.39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5.48</v>
      </c>
      <c r="C106" s="67">
        <f>MIN(C9:C104)</f>
        <v>6.5</v>
      </c>
      <c r="D106" s="67">
        <f t="shared" ref="D106:Q106" si="0">MIN(D9:D104)</f>
        <v>10</v>
      </c>
      <c r="E106" s="67">
        <f t="shared" si="0"/>
        <v>3.45</v>
      </c>
      <c r="F106" s="67">
        <f t="shared" si="0"/>
        <v>3.06</v>
      </c>
      <c r="G106" s="67">
        <f t="shared" si="0"/>
        <v>11.7</v>
      </c>
      <c r="H106" s="67">
        <f t="shared" si="0"/>
        <v>4.55</v>
      </c>
      <c r="I106" s="67">
        <f t="shared" si="0"/>
        <v>1.22</v>
      </c>
      <c r="J106" s="67">
        <f t="shared" si="0"/>
        <v>0.02</v>
      </c>
      <c r="K106" s="67">
        <f t="shared" si="0"/>
        <v>2.2599999999999998</v>
      </c>
      <c r="L106" s="67">
        <f t="shared" si="0"/>
        <v>1.24</v>
      </c>
      <c r="M106" s="67">
        <f t="shared" si="0"/>
        <v>68.62</v>
      </c>
      <c r="N106" s="67">
        <f t="shared" si="0"/>
        <v>43.4</v>
      </c>
      <c r="O106" s="67">
        <f t="shared" si="0"/>
        <v>0</v>
      </c>
      <c r="P106" s="67">
        <f t="shared" si="0"/>
        <v>0.19</v>
      </c>
      <c r="Q106" s="67">
        <f t="shared" si="0"/>
        <v>8.76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413.91</v>
      </c>
      <c r="C107" s="66">
        <f t="shared" ref="C107:Q107" si="1">MAX(C9:C104)</f>
        <v>78.87</v>
      </c>
      <c r="D107" s="66">
        <f t="shared" si="1"/>
        <v>464.75</v>
      </c>
      <c r="E107" s="66">
        <f t="shared" si="1"/>
        <v>8.43</v>
      </c>
      <c r="F107" s="66">
        <f t="shared" si="1"/>
        <v>12.5</v>
      </c>
      <c r="G107" s="66">
        <f t="shared" si="1"/>
        <v>84.14</v>
      </c>
      <c r="H107" s="66">
        <f t="shared" si="1"/>
        <v>34</v>
      </c>
      <c r="I107" s="66">
        <f t="shared" si="1"/>
        <v>134.25</v>
      </c>
      <c r="J107" s="66">
        <f t="shared" si="1"/>
        <v>2.16</v>
      </c>
      <c r="K107" s="66">
        <f t="shared" si="1"/>
        <v>350.21</v>
      </c>
      <c r="L107" s="66">
        <f t="shared" si="1"/>
        <v>31.57</v>
      </c>
      <c r="M107" s="66">
        <f t="shared" si="1"/>
        <v>98.11</v>
      </c>
      <c r="N107" s="66">
        <f t="shared" si="1"/>
        <v>916.4</v>
      </c>
      <c r="O107" s="66">
        <f t="shared" si="1"/>
        <v>0.2</v>
      </c>
      <c r="P107" s="66">
        <f t="shared" si="1"/>
        <v>1.25</v>
      </c>
      <c r="Q107" s="66">
        <f t="shared" si="1"/>
        <v>11.38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29.24874999999999</v>
      </c>
      <c r="C108" s="67">
        <f t="shared" ref="C108:Q108" si="2">AVERAGE(C9:C104)</f>
        <v>16.200937499999995</v>
      </c>
      <c r="D108" s="67">
        <f t="shared" si="2"/>
        <v>33.887291666666663</v>
      </c>
      <c r="E108" s="67">
        <f t="shared" si="2"/>
        <v>4.779270833333336</v>
      </c>
      <c r="F108" s="67">
        <f t="shared" si="2"/>
        <v>6.8097916666666665</v>
      </c>
      <c r="G108" s="67">
        <f t="shared" si="2"/>
        <v>45.907530864197518</v>
      </c>
      <c r="H108" s="67">
        <f t="shared" si="2"/>
        <v>16.31184210526316</v>
      </c>
      <c r="I108" s="67">
        <f t="shared" si="2"/>
        <v>9.9514583333333313</v>
      </c>
      <c r="J108" s="67">
        <f t="shared" si="2"/>
        <v>0.32947916666666682</v>
      </c>
      <c r="K108" s="67">
        <f t="shared" si="2"/>
        <v>273.37093749999997</v>
      </c>
      <c r="L108" s="67">
        <f t="shared" si="2"/>
        <v>25.708750000000006</v>
      </c>
      <c r="M108" s="67">
        <f t="shared" si="2"/>
        <v>91.934062499999996</v>
      </c>
      <c r="N108" s="67">
        <f t="shared" si="2"/>
        <v>176.85208333333321</v>
      </c>
      <c r="O108" s="67">
        <f t="shared" si="2"/>
        <v>4.1666666666666666E-3</v>
      </c>
      <c r="P108" s="67">
        <f t="shared" si="2"/>
        <v>0.48114583333333338</v>
      </c>
      <c r="Q108" s="67">
        <f t="shared" si="2"/>
        <v>9.3590625000000021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64.365959412197313</v>
      </c>
      <c r="C109" s="67">
        <f t="shared" ref="C109:Q109" si="3">STDEV(C9:C104)</f>
        <v>11.812498383458538</v>
      </c>
      <c r="D109" s="67">
        <f t="shared" si="3"/>
        <v>68.098927149430978</v>
      </c>
      <c r="E109" s="67">
        <f t="shared" si="3"/>
        <v>1.0527040317718648</v>
      </c>
      <c r="F109" s="67">
        <f t="shared" si="3"/>
        <v>2.4376248056217471</v>
      </c>
      <c r="G109" s="67">
        <f t="shared" si="3"/>
        <v>25.582233020734552</v>
      </c>
      <c r="H109" s="67">
        <f t="shared" si="3"/>
        <v>10.419219511463895</v>
      </c>
      <c r="I109" s="67">
        <f t="shared" si="3"/>
        <v>22.638904705659453</v>
      </c>
      <c r="J109" s="67">
        <f t="shared" si="3"/>
        <v>0.41910272523361808</v>
      </c>
      <c r="K109" s="67">
        <f t="shared" si="3"/>
        <v>76.832822989823569</v>
      </c>
      <c r="L109" s="67">
        <f t="shared" si="3"/>
        <v>3.6983695554150335</v>
      </c>
      <c r="M109" s="67">
        <f t="shared" si="3"/>
        <v>8.8897940983940735</v>
      </c>
      <c r="N109" s="67">
        <f t="shared" si="3"/>
        <v>196.63030765970683</v>
      </c>
      <c r="O109" s="67">
        <f t="shared" si="3"/>
        <v>2.8715177232759195E-2</v>
      </c>
      <c r="P109" s="67">
        <f t="shared" si="3"/>
        <v>0.22354026973452104</v>
      </c>
      <c r="Q109" s="67">
        <f t="shared" si="3"/>
        <v>0.32772285507245624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COUNT(G9:G104)+15</f>
        <v>96</v>
      </c>
      <c r="H110" s="66">
        <f>COUNT(H9:H104)+20</f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216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O114" sqref="O11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02/08/2025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2" t="s">
        <v>343</v>
      </c>
      <c r="B9" s="64">
        <v>11.26</v>
      </c>
      <c r="C9" s="64">
        <v>8.6199999999999992</v>
      </c>
      <c r="D9" s="64">
        <v>13.53</v>
      </c>
      <c r="E9" s="64">
        <v>4.76</v>
      </c>
      <c r="F9" s="64">
        <v>3.85</v>
      </c>
      <c r="G9" s="64">
        <v>46.85</v>
      </c>
      <c r="H9" s="64">
        <v>18.5</v>
      </c>
      <c r="I9" s="64">
        <v>3.24</v>
      </c>
      <c r="J9" s="64">
        <v>0.22</v>
      </c>
      <c r="K9" s="64">
        <v>308.27999999999997</v>
      </c>
      <c r="L9" s="64">
        <v>24.18</v>
      </c>
      <c r="M9" s="64">
        <v>97.99</v>
      </c>
      <c r="N9" s="64">
        <v>43.8</v>
      </c>
      <c r="O9" s="64">
        <v>0</v>
      </c>
      <c r="P9" s="64">
        <v>0.47</v>
      </c>
      <c r="Q9" s="64">
        <v>9.35</v>
      </c>
      <c r="R9" s="198"/>
      <c r="S9" s="198"/>
      <c r="T9" s="198"/>
      <c r="U9" s="198"/>
    </row>
    <row r="10" spans="1:21" s="12" customFormat="1" x14ac:dyDescent="0.25">
      <c r="A10" s="212" t="s">
        <v>344</v>
      </c>
      <c r="B10" s="64">
        <v>10.32</v>
      </c>
      <c r="C10" s="64">
        <v>8.94</v>
      </c>
      <c r="D10" s="64">
        <v>12.95</v>
      </c>
      <c r="E10" s="64">
        <v>4.5599999999999996</v>
      </c>
      <c r="F10" s="64">
        <v>3.63</v>
      </c>
      <c r="G10" s="64">
        <v>46.85</v>
      </c>
      <c r="H10" s="64">
        <v>17.440000000000001</v>
      </c>
      <c r="I10" s="64">
        <v>3.27</v>
      </c>
      <c r="J10" s="64">
        <v>0.17</v>
      </c>
      <c r="K10" s="64">
        <v>317.5</v>
      </c>
      <c r="L10" s="64">
        <v>24.09</v>
      </c>
      <c r="M10" s="64">
        <v>97.97</v>
      </c>
      <c r="N10" s="64">
        <v>43.7</v>
      </c>
      <c r="O10" s="64">
        <v>0</v>
      </c>
      <c r="P10" s="64">
        <v>0.45</v>
      </c>
      <c r="Q10" s="64">
        <v>9.3000000000000007</v>
      </c>
      <c r="R10" s="198"/>
      <c r="S10" s="198"/>
      <c r="T10" s="198"/>
      <c r="U10" s="198"/>
    </row>
    <row r="11" spans="1:21" s="12" customFormat="1" x14ac:dyDescent="0.25">
      <c r="A11" s="212" t="s">
        <v>345</v>
      </c>
      <c r="B11" s="64">
        <v>9.73</v>
      </c>
      <c r="C11" s="64">
        <v>8.68</v>
      </c>
      <c r="D11" s="64">
        <v>12.34</v>
      </c>
      <c r="E11" s="64">
        <v>4.51</v>
      </c>
      <c r="F11" s="64">
        <v>3.82</v>
      </c>
      <c r="G11" s="64">
        <v>46.85</v>
      </c>
      <c r="H11" s="64">
        <v>17.440000000000001</v>
      </c>
      <c r="I11" s="64">
        <v>3.19</v>
      </c>
      <c r="J11" s="64">
        <v>0.1</v>
      </c>
      <c r="K11" s="64">
        <v>323.58999999999997</v>
      </c>
      <c r="L11" s="64">
        <v>24.03</v>
      </c>
      <c r="M11" s="64">
        <v>97.98</v>
      </c>
      <c r="N11" s="64">
        <v>43.8</v>
      </c>
      <c r="O11" s="64">
        <v>0</v>
      </c>
      <c r="P11" s="64">
        <v>0.44</v>
      </c>
      <c r="Q11" s="64">
        <v>9.26</v>
      </c>
      <c r="R11" s="198"/>
      <c r="S11" s="198"/>
      <c r="T11" s="198"/>
      <c r="U11" s="198"/>
    </row>
    <row r="12" spans="1:21" s="12" customFormat="1" x14ac:dyDescent="0.25">
      <c r="A12" s="212" t="s">
        <v>346</v>
      </c>
      <c r="B12" s="64">
        <v>9.3699999999999992</v>
      </c>
      <c r="C12" s="64">
        <v>8.56</v>
      </c>
      <c r="D12" s="64">
        <v>11.98</v>
      </c>
      <c r="E12" s="64">
        <v>4.6500000000000004</v>
      </c>
      <c r="F12" s="64">
        <v>3.63</v>
      </c>
      <c r="G12" s="64">
        <v>42</v>
      </c>
      <c r="H12" s="64">
        <v>17.440000000000001</v>
      </c>
      <c r="I12" s="64">
        <v>3.03</v>
      </c>
      <c r="J12" s="64">
        <v>7.0000000000000007E-2</v>
      </c>
      <c r="K12" s="64">
        <v>314.31</v>
      </c>
      <c r="L12" s="64">
        <v>23.92</v>
      </c>
      <c r="M12" s="64">
        <v>98.02</v>
      </c>
      <c r="N12" s="64">
        <v>43.8</v>
      </c>
      <c r="O12" s="64">
        <v>0</v>
      </c>
      <c r="P12" s="64">
        <v>0.43</v>
      </c>
      <c r="Q12" s="64">
        <v>9.23</v>
      </c>
      <c r="R12" s="198"/>
      <c r="S12" s="198"/>
      <c r="T12" s="198"/>
      <c r="U12" s="198"/>
    </row>
    <row r="13" spans="1:21" s="12" customFormat="1" x14ac:dyDescent="0.25">
      <c r="A13" s="212" t="s">
        <v>347</v>
      </c>
      <c r="B13" s="64">
        <v>8.76</v>
      </c>
      <c r="C13" s="64">
        <v>9.41</v>
      </c>
      <c r="D13" s="64">
        <v>11.94</v>
      </c>
      <c r="E13" s="64">
        <v>4.68</v>
      </c>
      <c r="F13" s="64">
        <v>4.16</v>
      </c>
      <c r="G13" s="64">
        <v>38.76</v>
      </c>
      <c r="H13" s="64">
        <v>16.760000000000002</v>
      </c>
      <c r="I13" s="64">
        <v>2.93</v>
      </c>
      <c r="J13" s="64">
        <v>0.09</v>
      </c>
      <c r="K13" s="64">
        <v>320.60000000000002</v>
      </c>
      <c r="L13" s="64">
        <v>23.95</v>
      </c>
      <c r="M13" s="64">
        <v>98.01</v>
      </c>
      <c r="N13" s="64">
        <v>43.8</v>
      </c>
      <c r="O13" s="64">
        <v>0</v>
      </c>
      <c r="P13" s="64">
        <v>0.45</v>
      </c>
      <c r="Q13" s="64">
        <v>9.1999999999999993</v>
      </c>
      <c r="R13" s="198"/>
      <c r="S13" s="198"/>
      <c r="T13" s="198"/>
      <c r="U13" s="198"/>
    </row>
    <row r="14" spans="1:21" s="12" customFormat="1" x14ac:dyDescent="0.25">
      <c r="A14" s="212" t="s">
        <v>348</v>
      </c>
      <c r="B14" s="64">
        <v>8.61</v>
      </c>
      <c r="C14" s="64">
        <v>10.33</v>
      </c>
      <c r="D14" s="64">
        <v>12.3</v>
      </c>
      <c r="E14" s="64">
        <v>4.59</v>
      </c>
      <c r="F14" s="64">
        <v>3.9</v>
      </c>
      <c r="G14" s="64">
        <v>38.76</v>
      </c>
      <c r="H14" s="64">
        <v>12.73</v>
      </c>
      <c r="I14" s="64">
        <v>2.89</v>
      </c>
      <c r="J14" s="64">
        <v>0.08</v>
      </c>
      <c r="K14" s="64">
        <v>323.31</v>
      </c>
      <c r="L14" s="64">
        <v>23.87</v>
      </c>
      <c r="M14" s="64">
        <v>98</v>
      </c>
      <c r="N14" s="64">
        <v>43.8</v>
      </c>
      <c r="O14" s="64">
        <v>0</v>
      </c>
      <c r="P14" s="64">
        <v>0.49</v>
      </c>
      <c r="Q14" s="64">
        <v>9.18</v>
      </c>
      <c r="R14" s="198"/>
      <c r="S14" s="198"/>
      <c r="T14" s="198"/>
      <c r="U14" s="198"/>
    </row>
    <row r="15" spans="1:21" s="12" customFormat="1" x14ac:dyDescent="0.25">
      <c r="A15" s="212" t="s">
        <v>349</v>
      </c>
      <c r="B15" s="64">
        <v>8.93</v>
      </c>
      <c r="C15" s="64">
        <v>9.23</v>
      </c>
      <c r="D15" s="64">
        <v>11.98</v>
      </c>
      <c r="E15" s="64">
        <v>3.88</v>
      </c>
      <c r="F15" s="64">
        <v>4</v>
      </c>
      <c r="G15" s="64">
        <v>38.76</v>
      </c>
      <c r="H15" s="64">
        <v>12.73</v>
      </c>
      <c r="I15" s="64">
        <v>2.93</v>
      </c>
      <c r="J15" s="64">
        <v>0.05</v>
      </c>
      <c r="K15" s="64">
        <v>314.5</v>
      </c>
      <c r="L15" s="64">
        <v>23.81</v>
      </c>
      <c r="M15" s="64">
        <v>98.02</v>
      </c>
      <c r="N15" s="64">
        <v>43.8</v>
      </c>
      <c r="O15" s="64">
        <v>0</v>
      </c>
      <c r="P15" s="64">
        <v>0.5</v>
      </c>
      <c r="Q15" s="64">
        <v>9.17</v>
      </c>
      <c r="R15" s="198"/>
      <c r="S15" s="198"/>
      <c r="T15" s="198"/>
      <c r="U15" s="198"/>
    </row>
    <row r="16" spans="1:21" s="12" customFormat="1" x14ac:dyDescent="0.25">
      <c r="A16" s="212" t="s">
        <v>350</v>
      </c>
      <c r="B16" s="64">
        <v>8.2899999999999991</v>
      </c>
      <c r="C16" s="64">
        <v>9.2200000000000006</v>
      </c>
      <c r="D16" s="64">
        <v>11.47</v>
      </c>
      <c r="E16" s="64">
        <v>4.29</v>
      </c>
      <c r="F16" s="64">
        <v>5.31</v>
      </c>
      <c r="G16" s="64">
        <v>36.97</v>
      </c>
      <c r="H16" s="64">
        <v>12.73</v>
      </c>
      <c r="I16" s="64">
        <v>3.11</v>
      </c>
      <c r="J16" s="64">
        <v>0.09</v>
      </c>
      <c r="K16" s="64">
        <v>324.56</v>
      </c>
      <c r="L16" s="64">
        <v>23.89</v>
      </c>
      <c r="M16" s="64">
        <v>98</v>
      </c>
      <c r="N16" s="64">
        <v>43.7</v>
      </c>
      <c r="O16" s="64">
        <v>0</v>
      </c>
      <c r="P16" s="64">
        <v>0.46</v>
      </c>
      <c r="Q16" s="64">
        <v>9.16</v>
      </c>
      <c r="R16" s="198"/>
      <c r="S16" s="198"/>
      <c r="T16" s="198"/>
      <c r="U16" s="198"/>
    </row>
    <row r="17" spans="1:21" s="12" customFormat="1" x14ac:dyDescent="0.25">
      <c r="A17" s="212" t="s">
        <v>351</v>
      </c>
      <c r="B17" s="64">
        <v>8.69</v>
      </c>
      <c r="C17" s="64">
        <v>8.32</v>
      </c>
      <c r="D17" s="64">
        <v>11.32</v>
      </c>
      <c r="E17" s="64">
        <v>4.24</v>
      </c>
      <c r="F17" s="64">
        <v>4.25</v>
      </c>
      <c r="G17" s="64">
        <v>35.78</v>
      </c>
      <c r="H17" s="64">
        <v>13.21</v>
      </c>
      <c r="I17" s="64">
        <v>3.27</v>
      </c>
      <c r="J17" s="64">
        <v>7.0000000000000007E-2</v>
      </c>
      <c r="K17" s="64">
        <v>308.13</v>
      </c>
      <c r="L17" s="64">
        <v>23.86</v>
      </c>
      <c r="M17" s="64">
        <v>98.02</v>
      </c>
      <c r="N17" s="64">
        <v>43.8</v>
      </c>
      <c r="O17" s="64">
        <v>0</v>
      </c>
      <c r="P17" s="64">
        <v>0.47</v>
      </c>
      <c r="Q17" s="64">
        <v>9.14</v>
      </c>
      <c r="R17" s="198"/>
      <c r="S17" s="198"/>
      <c r="T17" s="198"/>
      <c r="U17" s="198"/>
    </row>
    <row r="18" spans="1:21" s="12" customFormat="1" x14ac:dyDescent="0.25">
      <c r="A18" s="212" t="s">
        <v>352</v>
      </c>
      <c r="B18" s="64">
        <v>8.11</v>
      </c>
      <c r="C18" s="64">
        <v>8.25</v>
      </c>
      <c r="D18" s="64">
        <v>10.82</v>
      </c>
      <c r="E18" s="64">
        <v>4.29</v>
      </c>
      <c r="F18" s="64">
        <v>5.89</v>
      </c>
      <c r="G18" s="64">
        <v>35.78</v>
      </c>
      <c r="H18" s="64">
        <v>16.07</v>
      </c>
      <c r="I18" s="64">
        <v>3.28</v>
      </c>
      <c r="J18" s="64">
        <v>0.06</v>
      </c>
      <c r="K18" s="64">
        <v>292.37</v>
      </c>
      <c r="L18" s="64">
        <v>23.88</v>
      </c>
      <c r="M18" s="64">
        <v>98.01</v>
      </c>
      <c r="N18" s="64">
        <v>43.8</v>
      </c>
      <c r="O18" s="64">
        <v>0</v>
      </c>
      <c r="P18" s="64">
        <v>0.35</v>
      </c>
      <c r="Q18" s="64">
        <v>9.14</v>
      </c>
      <c r="R18" s="198"/>
      <c r="S18" s="198"/>
      <c r="T18" s="198"/>
      <c r="U18" s="198"/>
    </row>
    <row r="19" spans="1:21" s="12" customFormat="1" x14ac:dyDescent="0.25">
      <c r="A19" s="212" t="s">
        <v>353</v>
      </c>
      <c r="B19" s="64">
        <v>7.05</v>
      </c>
      <c r="C19" s="64">
        <v>8.02</v>
      </c>
      <c r="D19" s="64">
        <v>9.84</v>
      </c>
      <c r="E19" s="64">
        <v>4.1900000000000004</v>
      </c>
      <c r="F19" s="64">
        <v>8.0500000000000007</v>
      </c>
      <c r="G19" s="64">
        <v>35.78</v>
      </c>
      <c r="H19" s="64">
        <v>16.07</v>
      </c>
      <c r="I19" s="64">
        <v>3.2</v>
      </c>
      <c r="J19" s="64">
        <v>0.08</v>
      </c>
      <c r="K19" s="64">
        <v>317.44</v>
      </c>
      <c r="L19" s="64">
        <v>23.96</v>
      </c>
      <c r="M19" s="64">
        <v>98.03</v>
      </c>
      <c r="N19" s="64">
        <v>43.8</v>
      </c>
      <c r="O19" s="64">
        <v>0</v>
      </c>
      <c r="P19" s="64">
        <v>0.28000000000000003</v>
      </c>
      <c r="Q19" s="64">
        <v>9.1199999999999992</v>
      </c>
      <c r="R19" s="198"/>
      <c r="S19" s="198"/>
      <c r="T19" s="198"/>
      <c r="U19" s="198"/>
    </row>
    <row r="20" spans="1:21" s="12" customFormat="1" x14ac:dyDescent="0.25">
      <c r="A20" s="212" t="s">
        <v>354</v>
      </c>
      <c r="B20" s="64">
        <v>7.26</v>
      </c>
      <c r="C20" s="64">
        <v>8.35</v>
      </c>
      <c r="D20" s="64">
        <v>10.19</v>
      </c>
      <c r="E20" s="64">
        <v>4.29</v>
      </c>
      <c r="F20" s="64">
        <v>7.56</v>
      </c>
      <c r="G20" s="64">
        <v>33.729999999999997</v>
      </c>
      <c r="H20" s="64">
        <v>16.07</v>
      </c>
      <c r="I20" s="64">
        <v>3.09</v>
      </c>
      <c r="J20" s="64">
        <v>0.09</v>
      </c>
      <c r="K20" s="64">
        <v>285.68</v>
      </c>
      <c r="L20" s="64">
        <v>24.01</v>
      </c>
      <c r="M20" s="64">
        <v>98.04</v>
      </c>
      <c r="N20" s="64">
        <v>43.8</v>
      </c>
      <c r="O20" s="64">
        <v>0</v>
      </c>
      <c r="P20" s="64">
        <v>0.28000000000000003</v>
      </c>
      <c r="Q20" s="64">
        <v>9.11</v>
      </c>
      <c r="R20" s="198"/>
      <c r="S20" s="198"/>
      <c r="T20" s="198"/>
      <c r="U20" s="198"/>
    </row>
    <row r="21" spans="1:21" s="12" customFormat="1" x14ac:dyDescent="0.25">
      <c r="A21" s="212" t="s">
        <v>355</v>
      </c>
      <c r="B21" s="64">
        <v>7.19</v>
      </c>
      <c r="C21" s="64">
        <v>8.0299999999999994</v>
      </c>
      <c r="D21" s="64">
        <v>9.9600000000000009</v>
      </c>
      <c r="E21" s="64">
        <v>4.07</v>
      </c>
      <c r="F21" s="64">
        <v>6.94</v>
      </c>
      <c r="G21" s="64">
        <v>32.36</v>
      </c>
      <c r="H21" s="64">
        <v>15.43</v>
      </c>
      <c r="I21" s="64">
        <v>2.98</v>
      </c>
      <c r="J21" s="64">
        <v>0.08</v>
      </c>
      <c r="K21" s="64">
        <v>295.2</v>
      </c>
      <c r="L21" s="64">
        <v>24.01</v>
      </c>
      <c r="M21" s="64">
        <v>98.05</v>
      </c>
      <c r="N21" s="64">
        <v>43.8</v>
      </c>
      <c r="O21" s="64">
        <v>0</v>
      </c>
      <c r="P21" s="64">
        <v>0.28000000000000003</v>
      </c>
      <c r="Q21" s="64">
        <v>9.1199999999999992</v>
      </c>
      <c r="R21" s="198"/>
      <c r="S21" s="198"/>
      <c r="T21" s="198"/>
      <c r="U21" s="198"/>
    </row>
    <row r="22" spans="1:21" s="12" customFormat="1" x14ac:dyDescent="0.25">
      <c r="A22" s="212" t="s">
        <v>356</v>
      </c>
      <c r="B22" s="64">
        <v>7.26</v>
      </c>
      <c r="C22" s="64">
        <v>7.96</v>
      </c>
      <c r="D22" s="64">
        <v>9.98</v>
      </c>
      <c r="E22" s="64">
        <v>4.38</v>
      </c>
      <c r="F22" s="64">
        <v>5.25</v>
      </c>
      <c r="G22" s="64">
        <v>32.36</v>
      </c>
      <c r="H22" s="64">
        <v>11.69</v>
      </c>
      <c r="I22" s="64">
        <v>2.9</v>
      </c>
      <c r="J22" s="64">
        <v>0.11</v>
      </c>
      <c r="K22" s="64">
        <v>303.5</v>
      </c>
      <c r="L22" s="64">
        <v>23.98</v>
      </c>
      <c r="M22" s="64">
        <v>98.05</v>
      </c>
      <c r="N22" s="64">
        <v>43.8</v>
      </c>
      <c r="O22" s="64">
        <v>0</v>
      </c>
      <c r="P22" s="64">
        <v>0.33</v>
      </c>
      <c r="Q22" s="64">
        <v>9.1199999999999992</v>
      </c>
      <c r="R22" s="198"/>
      <c r="S22" s="198"/>
      <c r="T22" s="198"/>
      <c r="U22" s="198"/>
    </row>
    <row r="23" spans="1:21" s="12" customFormat="1" x14ac:dyDescent="0.25">
      <c r="A23" s="212" t="s">
        <v>357</v>
      </c>
      <c r="B23" s="64">
        <v>7.14</v>
      </c>
      <c r="C23" s="64">
        <v>8.18</v>
      </c>
      <c r="D23" s="64">
        <v>10</v>
      </c>
      <c r="E23" s="64">
        <v>4.3899999999999997</v>
      </c>
      <c r="F23" s="64">
        <v>5.92</v>
      </c>
      <c r="G23" s="64">
        <v>32.36</v>
      </c>
      <c r="H23" s="64">
        <v>11.69</v>
      </c>
      <c r="I23" s="64">
        <v>2.82</v>
      </c>
      <c r="J23" s="64">
        <v>0.08</v>
      </c>
      <c r="K23" s="64">
        <v>290.05</v>
      </c>
      <c r="L23" s="64">
        <v>23.96</v>
      </c>
      <c r="M23" s="64">
        <v>98.05</v>
      </c>
      <c r="N23" s="64">
        <v>43.8</v>
      </c>
      <c r="O23" s="64">
        <v>0</v>
      </c>
      <c r="P23" s="64">
        <v>0.27</v>
      </c>
      <c r="Q23" s="64">
        <v>9.1300000000000008</v>
      </c>
      <c r="R23" s="198"/>
      <c r="S23" s="198"/>
      <c r="T23" s="198"/>
      <c r="U23" s="198"/>
    </row>
    <row r="24" spans="1:21" s="12" customFormat="1" x14ac:dyDescent="0.25">
      <c r="A24" s="212" t="s">
        <v>358</v>
      </c>
      <c r="B24" s="64">
        <v>7.23</v>
      </c>
      <c r="C24" s="64">
        <v>9.08</v>
      </c>
      <c r="D24" s="64">
        <v>10.54</v>
      </c>
      <c r="E24" s="64">
        <v>4.59</v>
      </c>
      <c r="F24" s="64">
        <v>5.91</v>
      </c>
      <c r="G24" s="64">
        <v>29.2</v>
      </c>
      <c r="H24" s="64">
        <v>11.69</v>
      </c>
      <c r="I24" s="64">
        <v>2.74</v>
      </c>
      <c r="J24" s="64">
        <v>7.0000000000000007E-2</v>
      </c>
      <c r="K24" s="64">
        <v>313.13</v>
      </c>
      <c r="L24" s="64">
        <v>23.91</v>
      </c>
      <c r="M24" s="64">
        <v>98.05</v>
      </c>
      <c r="N24" s="64">
        <v>43.8</v>
      </c>
      <c r="O24" s="64">
        <v>0</v>
      </c>
      <c r="P24" s="64">
        <v>0.28000000000000003</v>
      </c>
      <c r="Q24" s="64">
        <v>9.1300000000000008</v>
      </c>
      <c r="R24" s="198"/>
      <c r="S24" s="198"/>
      <c r="T24" s="198"/>
      <c r="U24" s="198"/>
    </row>
    <row r="25" spans="1:21" s="12" customFormat="1" x14ac:dyDescent="0.25">
      <c r="A25" s="212" t="s">
        <v>359</v>
      </c>
      <c r="B25" s="64">
        <v>7.23</v>
      </c>
      <c r="C25" s="64">
        <v>8.74</v>
      </c>
      <c r="D25" s="64">
        <v>10.36</v>
      </c>
      <c r="E25" s="64">
        <v>4.24</v>
      </c>
      <c r="F25" s="64">
        <v>5.31</v>
      </c>
      <c r="G25" s="64">
        <v>27.09</v>
      </c>
      <c r="H25" s="64">
        <v>12.09</v>
      </c>
      <c r="I25" s="64">
        <v>2.67</v>
      </c>
      <c r="J25" s="64">
        <v>0.08</v>
      </c>
      <c r="K25" s="64">
        <v>279.2</v>
      </c>
      <c r="L25" s="64">
        <v>23.82</v>
      </c>
      <c r="M25" s="64">
        <v>98.05</v>
      </c>
      <c r="N25" s="64">
        <v>43.8</v>
      </c>
      <c r="O25" s="64">
        <v>0</v>
      </c>
      <c r="P25" s="64">
        <v>0.28000000000000003</v>
      </c>
      <c r="Q25" s="64">
        <v>9.14</v>
      </c>
      <c r="R25" s="198"/>
      <c r="S25" s="198"/>
      <c r="T25" s="198"/>
      <c r="U25" s="198"/>
    </row>
    <row r="26" spans="1:21" s="12" customFormat="1" x14ac:dyDescent="0.25">
      <c r="A26" s="212" t="s">
        <v>360</v>
      </c>
      <c r="B26" s="64">
        <v>6.9</v>
      </c>
      <c r="C26" s="64">
        <v>8.64</v>
      </c>
      <c r="D26" s="64">
        <v>10.050000000000001</v>
      </c>
      <c r="E26" s="64">
        <v>4.17</v>
      </c>
      <c r="F26" s="64">
        <v>6.67</v>
      </c>
      <c r="G26" s="64">
        <v>27.09</v>
      </c>
      <c r="H26" s="64">
        <v>14.45</v>
      </c>
      <c r="I26" s="64">
        <v>2.6</v>
      </c>
      <c r="J26" s="64">
        <v>0.05</v>
      </c>
      <c r="K26" s="64">
        <v>290.13</v>
      </c>
      <c r="L26" s="64">
        <v>23.81</v>
      </c>
      <c r="M26" s="64">
        <v>98.05</v>
      </c>
      <c r="N26" s="64">
        <v>43.8</v>
      </c>
      <c r="O26" s="64">
        <v>0</v>
      </c>
      <c r="P26" s="64">
        <v>0.25</v>
      </c>
      <c r="Q26" s="64">
        <v>9.1300000000000008</v>
      </c>
      <c r="R26" s="198"/>
      <c r="S26" s="198"/>
      <c r="T26" s="198"/>
      <c r="U26" s="198"/>
    </row>
    <row r="27" spans="1:21" s="12" customFormat="1" x14ac:dyDescent="0.25">
      <c r="A27" s="212" t="s">
        <v>361</v>
      </c>
      <c r="B27" s="64">
        <v>7.48</v>
      </c>
      <c r="C27" s="64">
        <v>8.31</v>
      </c>
      <c r="D27" s="64">
        <v>10.34</v>
      </c>
      <c r="E27" s="64">
        <v>4.41</v>
      </c>
      <c r="F27" s="64">
        <v>4.3499999999999996</v>
      </c>
      <c r="G27" s="64">
        <v>27.09</v>
      </c>
      <c r="H27" s="64">
        <v>14.45</v>
      </c>
      <c r="I27" s="64">
        <v>2.52</v>
      </c>
      <c r="J27" s="64">
        <v>0.09</v>
      </c>
      <c r="K27" s="64">
        <v>276.88</v>
      </c>
      <c r="L27" s="64">
        <v>23.85</v>
      </c>
      <c r="M27" s="64">
        <v>98.05</v>
      </c>
      <c r="N27" s="64">
        <v>43.8</v>
      </c>
      <c r="O27" s="64">
        <v>0</v>
      </c>
      <c r="P27" s="64">
        <v>0.32</v>
      </c>
      <c r="Q27" s="64">
        <v>9.11</v>
      </c>
      <c r="R27" s="198"/>
      <c r="S27" s="198"/>
      <c r="T27" s="198"/>
      <c r="U27" s="198"/>
    </row>
    <row r="28" spans="1:21" s="12" customFormat="1" x14ac:dyDescent="0.25">
      <c r="A28" s="212" t="s">
        <v>362</v>
      </c>
      <c r="B28" s="64">
        <v>7.83</v>
      </c>
      <c r="C28" s="64">
        <v>9.32</v>
      </c>
      <c r="D28" s="64">
        <v>11.15</v>
      </c>
      <c r="E28" s="64">
        <v>4.5199999999999996</v>
      </c>
      <c r="F28" s="64">
        <v>3.75</v>
      </c>
      <c r="G28" s="64">
        <v>24.91</v>
      </c>
      <c r="H28" s="64">
        <v>14.45</v>
      </c>
      <c r="I28" s="64">
        <v>2.4500000000000002</v>
      </c>
      <c r="J28" s="64">
        <v>0.1</v>
      </c>
      <c r="K28" s="64">
        <v>302.79000000000002</v>
      </c>
      <c r="L28" s="64">
        <v>23.83</v>
      </c>
      <c r="M28" s="64">
        <v>98.06</v>
      </c>
      <c r="N28" s="64">
        <v>43.8</v>
      </c>
      <c r="O28" s="64">
        <v>0</v>
      </c>
      <c r="P28" s="64">
        <v>0.28999999999999998</v>
      </c>
      <c r="Q28" s="64">
        <v>9.1</v>
      </c>
      <c r="R28" s="198"/>
      <c r="S28" s="198"/>
      <c r="T28" s="198"/>
      <c r="U28" s="198"/>
    </row>
    <row r="29" spans="1:21" s="12" customFormat="1" x14ac:dyDescent="0.25">
      <c r="A29" s="212" t="s">
        <v>363</v>
      </c>
      <c r="B29" s="64">
        <v>7.95</v>
      </c>
      <c r="C29" s="64">
        <v>9.84</v>
      </c>
      <c r="D29" s="64">
        <v>11.52</v>
      </c>
      <c r="E29" s="64">
        <v>4.53</v>
      </c>
      <c r="F29" s="64">
        <v>4.3899999999999997</v>
      </c>
      <c r="G29" s="64">
        <v>23.46</v>
      </c>
      <c r="H29" s="64">
        <v>13.86</v>
      </c>
      <c r="I29" s="64">
        <v>2.37</v>
      </c>
      <c r="J29" s="64">
        <v>0.12</v>
      </c>
      <c r="K29" s="64">
        <v>305.64</v>
      </c>
      <c r="L29" s="64">
        <v>23.89</v>
      </c>
      <c r="M29" s="64">
        <v>98.05</v>
      </c>
      <c r="N29" s="64">
        <v>43.8</v>
      </c>
      <c r="O29" s="64">
        <v>0</v>
      </c>
      <c r="P29" s="64">
        <v>0.27</v>
      </c>
      <c r="Q29" s="64">
        <v>9.1</v>
      </c>
      <c r="R29" s="198"/>
      <c r="S29" s="198"/>
      <c r="T29" s="198"/>
      <c r="U29" s="198"/>
    </row>
    <row r="30" spans="1:21" s="12" customFormat="1" x14ac:dyDescent="0.25">
      <c r="A30" s="212" t="s">
        <v>364</v>
      </c>
      <c r="B30" s="64">
        <v>7.75</v>
      </c>
      <c r="C30" s="64">
        <v>8.6199999999999992</v>
      </c>
      <c r="D30" s="64">
        <v>10.72</v>
      </c>
      <c r="E30" s="64">
        <v>4.18</v>
      </c>
      <c r="F30" s="64">
        <v>4.6100000000000003</v>
      </c>
      <c r="G30" s="64">
        <v>23.46</v>
      </c>
      <c r="H30" s="64">
        <v>10.39</v>
      </c>
      <c r="I30" s="64">
        <v>2.29</v>
      </c>
      <c r="J30" s="64">
        <v>0.09</v>
      </c>
      <c r="K30" s="64">
        <v>289.27999999999997</v>
      </c>
      <c r="L30" s="64">
        <v>23.91</v>
      </c>
      <c r="M30" s="64">
        <v>98.07</v>
      </c>
      <c r="N30" s="64">
        <v>43.8</v>
      </c>
      <c r="O30" s="64">
        <v>0</v>
      </c>
      <c r="P30" s="64">
        <v>0.26</v>
      </c>
      <c r="Q30" s="64">
        <v>9.08</v>
      </c>
      <c r="R30" s="198"/>
      <c r="S30" s="198"/>
      <c r="T30" s="198"/>
      <c r="U30" s="198"/>
    </row>
    <row r="31" spans="1:21" s="12" customFormat="1" x14ac:dyDescent="0.25">
      <c r="A31" s="212" t="s">
        <v>365</v>
      </c>
      <c r="B31" s="64">
        <v>7.58</v>
      </c>
      <c r="C31" s="64">
        <v>8.2200000000000006</v>
      </c>
      <c r="D31" s="64">
        <v>10.38</v>
      </c>
      <c r="E31" s="64">
        <v>4.1500000000000004</v>
      </c>
      <c r="F31" s="64">
        <v>4.8099999999999996</v>
      </c>
      <c r="G31" s="64">
        <v>23.46</v>
      </c>
      <c r="H31" s="64">
        <v>10.39</v>
      </c>
      <c r="I31" s="64">
        <v>2.21</v>
      </c>
      <c r="J31" s="64">
        <v>0.08</v>
      </c>
      <c r="K31" s="64">
        <v>267.95</v>
      </c>
      <c r="L31" s="64">
        <v>23.47</v>
      </c>
      <c r="M31" s="64">
        <v>98.12</v>
      </c>
      <c r="N31" s="64">
        <v>45.6</v>
      </c>
      <c r="O31" s="64">
        <v>0</v>
      </c>
      <c r="P31" s="64">
        <v>0.26</v>
      </c>
      <c r="Q31" s="64">
        <v>9.07</v>
      </c>
      <c r="R31" s="198"/>
      <c r="S31" s="198"/>
      <c r="T31" s="198"/>
      <c r="U31" s="198"/>
    </row>
    <row r="32" spans="1:21" s="12" customFormat="1" x14ac:dyDescent="0.25">
      <c r="A32" s="212" t="s">
        <v>366</v>
      </c>
      <c r="B32" s="64">
        <v>7.26</v>
      </c>
      <c r="C32" s="64">
        <v>8.2100000000000009</v>
      </c>
      <c r="D32" s="64">
        <v>10.11</v>
      </c>
      <c r="E32" s="64">
        <v>4.32</v>
      </c>
      <c r="F32" s="64">
        <v>5.88</v>
      </c>
      <c r="G32" s="64">
        <v>24.01</v>
      </c>
      <c r="H32" s="64">
        <v>10.39</v>
      </c>
      <c r="I32" s="64">
        <v>2.15</v>
      </c>
      <c r="J32" s="64">
        <v>0.04</v>
      </c>
      <c r="K32" s="64">
        <v>218.44</v>
      </c>
      <c r="L32" s="64">
        <v>23.03</v>
      </c>
      <c r="M32" s="64">
        <v>98.16</v>
      </c>
      <c r="N32" s="64">
        <v>48.1</v>
      </c>
      <c r="O32" s="64">
        <v>0</v>
      </c>
      <c r="P32" s="64">
        <v>0.23</v>
      </c>
      <c r="Q32" s="64">
        <v>9.06</v>
      </c>
      <c r="R32" s="198"/>
      <c r="S32" s="198"/>
      <c r="T32" s="198"/>
      <c r="U32" s="198"/>
    </row>
    <row r="33" spans="1:21" s="12" customFormat="1" x14ac:dyDescent="0.25">
      <c r="A33" s="212" t="s">
        <v>367</v>
      </c>
      <c r="B33" s="64">
        <v>6.65</v>
      </c>
      <c r="C33" s="64">
        <v>8.92</v>
      </c>
      <c r="D33" s="64">
        <v>10</v>
      </c>
      <c r="E33" s="64">
        <v>4.2</v>
      </c>
      <c r="F33" s="64">
        <v>7.75</v>
      </c>
      <c r="G33" s="64">
        <v>24.38</v>
      </c>
      <c r="H33" s="64">
        <v>10.91</v>
      </c>
      <c r="I33" s="64">
        <v>2.09</v>
      </c>
      <c r="J33" s="64">
        <v>0.04</v>
      </c>
      <c r="K33" s="64">
        <v>223.39</v>
      </c>
      <c r="L33" s="64">
        <v>22.94</v>
      </c>
      <c r="M33" s="64">
        <v>98.16</v>
      </c>
      <c r="N33" s="64">
        <v>54.1</v>
      </c>
      <c r="O33" s="64">
        <v>0</v>
      </c>
      <c r="P33" s="64">
        <v>0.18</v>
      </c>
      <c r="Q33" s="64">
        <v>9.06</v>
      </c>
      <c r="R33" s="198"/>
      <c r="S33" s="198"/>
      <c r="T33" s="198"/>
      <c r="U33" s="198"/>
    </row>
    <row r="34" spans="1:21" s="12" customFormat="1" x14ac:dyDescent="0.25">
      <c r="A34" s="212" t="s">
        <v>368</v>
      </c>
      <c r="B34" s="64">
        <v>6.9</v>
      </c>
      <c r="C34" s="64">
        <v>10.43</v>
      </c>
      <c r="D34" s="64">
        <v>10.98</v>
      </c>
      <c r="E34" s="64">
        <v>4.29</v>
      </c>
      <c r="F34" s="64">
        <v>6.36</v>
      </c>
      <c r="G34" s="64">
        <v>24.38</v>
      </c>
      <c r="H34" s="64">
        <v>13.99</v>
      </c>
      <c r="I34" s="64">
        <v>2.06</v>
      </c>
      <c r="J34" s="64">
        <v>0.1</v>
      </c>
      <c r="K34" s="64">
        <v>136.63999999999999</v>
      </c>
      <c r="L34" s="64">
        <v>22.9</v>
      </c>
      <c r="M34" s="64">
        <v>98.15</v>
      </c>
      <c r="N34" s="64">
        <v>63.2</v>
      </c>
      <c r="O34" s="64">
        <v>0</v>
      </c>
      <c r="P34" s="64">
        <v>0.2</v>
      </c>
      <c r="Q34" s="64">
        <v>9.06</v>
      </c>
      <c r="R34" s="198"/>
      <c r="S34" s="198"/>
      <c r="T34" s="198"/>
      <c r="U34" s="198"/>
    </row>
    <row r="35" spans="1:21" s="12" customFormat="1" x14ac:dyDescent="0.25">
      <c r="A35" s="212" t="s">
        <v>369</v>
      </c>
      <c r="B35" s="64">
        <v>7.61</v>
      </c>
      <c r="C35" s="64">
        <v>8.34</v>
      </c>
      <c r="D35" s="64">
        <v>10.46</v>
      </c>
      <c r="E35" s="64">
        <v>3.99</v>
      </c>
      <c r="F35" s="64">
        <v>4.51</v>
      </c>
      <c r="G35" s="64">
        <v>24.38</v>
      </c>
      <c r="H35" s="64">
        <v>13.99</v>
      </c>
      <c r="I35" s="64">
        <v>2.0299999999999998</v>
      </c>
      <c r="J35" s="64">
        <v>0</v>
      </c>
      <c r="K35" s="64">
        <v>201.65</v>
      </c>
      <c r="L35" s="64">
        <v>22.98</v>
      </c>
      <c r="M35" s="64">
        <v>98.17</v>
      </c>
      <c r="N35" s="64">
        <v>74.5</v>
      </c>
      <c r="O35" s="64">
        <v>0</v>
      </c>
      <c r="P35" s="64">
        <v>0.26</v>
      </c>
      <c r="Q35" s="64">
        <v>9.06</v>
      </c>
      <c r="R35" s="198"/>
      <c r="S35" s="198"/>
      <c r="T35" s="198"/>
      <c r="U35" s="198"/>
    </row>
    <row r="36" spans="1:21" s="12" customFormat="1" x14ac:dyDescent="0.25">
      <c r="A36" s="212" t="s">
        <v>370</v>
      </c>
      <c r="B36" s="64">
        <v>7.63</v>
      </c>
      <c r="C36" s="64">
        <v>8.51</v>
      </c>
      <c r="D36" s="64">
        <v>10.57</v>
      </c>
      <c r="E36" s="64">
        <v>4.43</v>
      </c>
      <c r="F36" s="64">
        <v>6.74</v>
      </c>
      <c r="G36" s="64">
        <v>21.35</v>
      </c>
      <c r="H36" s="64">
        <v>13.99</v>
      </c>
      <c r="I36" s="64">
        <v>1.98</v>
      </c>
      <c r="J36" s="64">
        <v>0.03</v>
      </c>
      <c r="K36" s="64">
        <v>266.91000000000003</v>
      </c>
      <c r="L36" s="64">
        <v>23.13</v>
      </c>
      <c r="M36" s="64">
        <v>98.18</v>
      </c>
      <c r="N36" s="64">
        <v>106.9</v>
      </c>
      <c r="O36" s="64">
        <v>0</v>
      </c>
      <c r="P36" s="64">
        <v>0.21</v>
      </c>
      <c r="Q36" s="64">
        <v>9.08</v>
      </c>
      <c r="R36" s="198"/>
      <c r="S36" s="198"/>
      <c r="T36" s="198"/>
      <c r="U36" s="198"/>
    </row>
    <row r="37" spans="1:21" s="12" customFormat="1" x14ac:dyDescent="0.25">
      <c r="A37" s="212" t="s">
        <v>371</v>
      </c>
      <c r="B37" s="64">
        <v>7.42</v>
      </c>
      <c r="C37" s="64">
        <v>9.56</v>
      </c>
      <c r="D37" s="64">
        <v>10.94</v>
      </c>
      <c r="E37" s="64">
        <v>4.51</v>
      </c>
      <c r="F37" s="64">
        <v>9.2899999999999991</v>
      </c>
      <c r="G37" s="64">
        <v>19.32</v>
      </c>
      <c r="H37" s="64">
        <v>13.4</v>
      </c>
      <c r="I37" s="64">
        <v>1.96</v>
      </c>
      <c r="J37" s="64">
        <v>0.14000000000000001</v>
      </c>
      <c r="K37" s="64">
        <v>136.41999999999999</v>
      </c>
      <c r="L37" s="64">
        <v>23.37</v>
      </c>
      <c r="M37" s="64">
        <v>98.18</v>
      </c>
      <c r="N37" s="64">
        <v>124.7</v>
      </c>
      <c r="O37" s="64">
        <v>0</v>
      </c>
      <c r="P37" s="64">
        <v>0.22</v>
      </c>
      <c r="Q37" s="64">
        <v>9.09</v>
      </c>
      <c r="R37" s="198"/>
      <c r="S37" s="198"/>
      <c r="T37" s="198"/>
      <c r="U37" s="198"/>
    </row>
    <row r="38" spans="1:21" s="12" customFormat="1" x14ac:dyDescent="0.25">
      <c r="A38" s="212" t="s">
        <v>372</v>
      </c>
      <c r="B38" s="64">
        <v>8.1300000000000008</v>
      </c>
      <c r="C38" s="64">
        <v>10.24</v>
      </c>
      <c r="D38" s="64">
        <v>11.87</v>
      </c>
      <c r="E38" s="64">
        <v>4.46</v>
      </c>
      <c r="F38" s="64">
        <v>8.2799999999999994</v>
      </c>
      <c r="G38" s="64">
        <v>19.32</v>
      </c>
      <c r="H38" s="64">
        <v>9.91</v>
      </c>
      <c r="I38" s="64">
        <v>1.95</v>
      </c>
      <c r="J38" s="64">
        <v>0.32</v>
      </c>
      <c r="K38" s="64">
        <v>133.97</v>
      </c>
      <c r="L38" s="64">
        <v>23.65</v>
      </c>
      <c r="M38" s="64">
        <v>98.17</v>
      </c>
      <c r="N38" s="64">
        <v>131.69999999999999</v>
      </c>
      <c r="O38" s="64">
        <v>0</v>
      </c>
      <c r="P38" s="64">
        <v>0.25</v>
      </c>
      <c r="Q38" s="64">
        <v>9.1</v>
      </c>
      <c r="R38" s="198"/>
      <c r="S38" s="198"/>
      <c r="T38" s="198"/>
      <c r="U38" s="198"/>
    </row>
    <row r="39" spans="1:21" s="12" customFormat="1" x14ac:dyDescent="0.25">
      <c r="A39" s="212" t="s">
        <v>373</v>
      </c>
      <c r="B39" s="64">
        <v>8.15</v>
      </c>
      <c r="C39" s="64">
        <v>9.5</v>
      </c>
      <c r="D39" s="64">
        <v>11.5</v>
      </c>
      <c r="E39" s="64">
        <v>4.29</v>
      </c>
      <c r="F39" s="64">
        <v>6.84</v>
      </c>
      <c r="G39" s="64">
        <v>19.32</v>
      </c>
      <c r="H39" s="64">
        <v>9.91</v>
      </c>
      <c r="I39" s="64">
        <v>1.92</v>
      </c>
      <c r="J39" s="64">
        <v>0.13</v>
      </c>
      <c r="K39" s="64">
        <v>183.45</v>
      </c>
      <c r="L39" s="64">
        <v>23.78</v>
      </c>
      <c r="M39" s="64">
        <v>98.18</v>
      </c>
      <c r="N39" s="64">
        <v>106.9</v>
      </c>
      <c r="O39" s="64">
        <v>0</v>
      </c>
      <c r="P39" s="64">
        <v>0.27</v>
      </c>
      <c r="Q39" s="64">
        <v>9.1199999999999992</v>
      </c>
      <c r="R39" s="198"/>
      <c r="S39" s="198"/>
      <c r="T39" s="198"/>
      <c r="U39" s="198"/>
    </row>
    <row r="40" spans="1:21" s="12" customFormat="1" x14ac:dyDescent="0.25">
      <c r="A40" s="212" t="s">
        <v>374</v>
      </c>
      <c r="B40" s="64">
        <v>8.02</v>
      </c>
      <c r="C40" s="64">
        <v>8.9700000000000006</v>
      </c>
      <c r="D40" s="64">
        <v>11.12</v>
      </c>
      <c r="E40" s="64">
        <v>3.31</v>
      </c>
      <c r="F40" s="64">
        <v>7.57</v>
      </c>
      <c r="G40" s="64">
        <v>18.420000000000002</v>
      </c>
      <c r="H40" s="64">
        <v>9.91</v>
      </c>
      <c r="I40" s="64">
        <v>1.89</v>
      </c>
      <c r="J40" s="64">
        <v>0.06</v>
      </c>
      <c r="K40" s="64">
        <v>193.32</v>
      </c>
      <c r="L40" s="64">
        <v>23.97</v>
      </c>
      <c r="M40" s="64">
        <v>98.18</v>
      </c>
      <c r="N40" s="64">
        <v>130.5</v>
      </c>
      <c r="O40" s="64">
        <v>0</v>
      </c>
      <c r="P40" s="64">
        <v>0.28999999999999998</v>
      </c>
      <c r="Q40" s="64">
        <v>9.14</v>
      </c>
      <c r="R40" s="198"/>
      <c r="S40" s="198"/>
      <c r="T40" s="198"/>
      <c r="U40" s="198"/>
    </row>
    <row r="41" spans="1:21" s="12" customFormat="1" x14ac:dyDescent="0.25">
      <c r="A41" s="212" t="s">
        <v>375</v>
      </c>
      <c r="B41" s="64">
        <v>9.08</v>
      </c>
      <c r="C41" s="64">
        <v>9.2100000000000009</v>
      </c>
      <c r="D41" s="64">
        <v>12.09</v>
      </c>
      <c r="E41" s="64">
        <v>3.72</v>
      </c>
      <c r="F41" s="64">
        <v>7.46</v>
      </c>
      <c r="G41" s="64">
        <v>17.82</v>
      </c>
      <c r="H41" s="64">
        <v>31.94</v>
      </c>
      <c r="I41" s="64">
        <v>1.87</v>
      </c>
      <c r="J41" s="64">
        <v>0.02</v>
      </c>
      <c r="K41" s="64">
        <v>202.16</v>
      </c>
      <c r="L41" s="64">
        <v>24.28</v>
      </c>
      <c r="M41" s="64">
        <v>98.18</v>
      </c>
      <c r="N41" s="64">
        <v>148.1</v>
      </c>
      <c r="O41" s="64">
        <v>0</v>
      </c>
      <c r="P41" s="64">
        <v>0.27</v>
      </c>
      <c r="Q41" s="64">
        <v>9.15</v>
      </c>
      <c r="R41" s="198"/>
      <c r="S41" s="198"/>
      <c r="T41" s="198"/>
      <c r="U41" s="198"/>
    </row>
    <row r="42" spans="1:21" s="12" customFormat="1" x14ac:dyDescent="0.25">
      <c r="A42" s="212" t="s">
        <v>376</v>
      </c>
      <c r="B42" s="64">
        <v>7.96</v>
      </c>
      <c r="C42" s="64">
        <v>8.74</v>
      </c>
      <c r="D42" s="64">
        <v>10.95</v>
      </c>
      <c r="E42" s="64">
        <v>3.91</v>
      </c>
      <c r="F42" s="64">
        <v>9.0399999999999991</v>
      </c>
      <c r="G42" s="64">
        <v>17.82</v>
      </c>
      <c r="H42" s="64">
        <v>162.44</v>
      </c>
      <c r="I42" s="64">
        <v>1.85</v>
      </c>
      <c r="J42" s="64">
        <v>0.05</v>
      </c>
      <c r="K42" s="64">
        <v>239.86</v>
      </c>
      <c r="L42" s="64">
        <v>24.57</v>
      </c>
      <c r="M42" s="64">
        <v>98.15</v>
      </c>
      <c r="N42" s="64">
        <v>202.7</v>
      </c>
      <c r="O42" s="64">
        <v>0</v>
      </c>
      <c r="P42" s="64">
        <v>0.27</v>
      </c>
      <c r="Q42" s="64">
        <v>9.17</v>
      </c>
      <c r="R42" s="198"/>
      <c r="S42" s="198"/>
      <c r="T42" s="198"/>
      <c r="U42" s="198"/>
    </row>
    <row r="43" spans="1:21" s="12" customFormat="1" x14ac:dyDescent="0.25">
      <c r="A43" s="212" t="s">
        <v>377</v>
      </c>
      <c r="B43" s="64">
        <v>8.09</v>
      </c>
      <c r="C43" s="64">
        <v>8.34</v>
      </c>
      <c r="D43" s="64">
        <v>10.84</v>
      </c>
      <c r="E43" s="64">
        <v>3.99</v>
      </c>
      <c r="F43" s="64">
        <v>8.6199999999999992</v>
      </c>
      <c r="G43" s="64">
        <v>17.82</v>
      </c>
      <c r="H43" s="64">
        <v>162.44</v>
      </c>
      <c r="I43" s="64">
        <v>1.85</v>
      </c>
      <c r="J43" s="64">
        <v>7.0000000000000007E-2</v>
      </c>
      <c r="K43" s="64">
        <v>223.53</v>
      </c>
      <c r="L43" s="64">
        <v>25.07</v>
      </c>
      <c r="M43" s="64">
        <v>98.14</v>
      </c>
      <c r="N43" s="64">
        <v>248.8</v>
      </c>
      <c r="O43" s="64">
        <v>0</v>
      </c>
      <c r="P43" s="64">
        <v>0.28000000000000003</v>
      </c>
      <c r="Q43" s="64">
        <v>9.17</v>
      </c>
      <c r="R43" s="198"/>
      <c r="S43" s="198"/>
      <c r="T43" s="198"/>
      <c r="U43" s="198"/>
    </row>
    <row r="44" spans="1:21" s="12" customFormat="1" x14ac:dyDescent="0.25">
      <c r="A44" s="212" t="s">
        <v>378</v>
      </c>
      <c r="B44" s="64">
        <v>8.2799999999999994</v>
      </c>
      <c r="C44" s="64">
        <v>7.71</v>
      </c>
      <c r="D44" s="64">
        <v>10.67</v>
      </c>
      <c r="E44" s="64">
        <v>4.08</v>
      </c>
      <c r="F44" s="64">
        <v>5.63</v>
      </c>
      <c r="G44" s="64">
        <v>18.68</v>
      </c>
      <c r="H44" s="64">
        <v>162.44</v>
      </c>
      <c r="I44" s="64">
        <v>1.84</v>
      </c>
      <c r="J44" s="64">
        <v>0.11</v>
      </c>
      <c r="K44" s="64">
        <v>280.08999999999997</v>
      </c>
      <c r="L44" s="64">
        <v>25.43</v>
      </c>
      <c r="M44" s="64">
        <v>98.11</v>
      </c>
      <c r="N44" s="64">
        <v>220</v>
      </c>
      <c r="O44" s="64">
        <v>0</v>
      </c>
      <c r="P44" s="64">
        <v>0.28000000000000003</v>
      </c>
      <c r="Q44" s="64">
        <v>9.18</v>
      </c>
      <c r="R44" s="198"/>
      <c r="S44" s="198"/>
      <c r="T44" s="198"/>
      <c r="U44" s="198"/>
    </row>
    <row r="45" spans="1:21" s="12" customFormat="1" x14ac:dyDescent="0.25">
      <c r="A45" s="212" t="s">
        <v>379</v>
      </c>
      <c r="B45" s="64">
        <v>9.1300000000000008</v>
      </c>
      <c r="C45" s="64">
        <v>7.5</v>
      </c>
      <c r="D45" s="64">
        <v>11.24</v>
      </c>
      <c r="E45" s="64">
        <v>4.0599999999999996</v>
      </c>
      <c r="F45" s="64">
        <v>4.28</v>
      </c>
      <c r="G45" s="64">
        <v>19.260000000000002</v>
      </c>
      <c r="H45" s="64">
        <v>152.47999999999999</v>
      </c>
      <c r="I45" s="64">
        <v>1.83</v>
      </c>
      <c r="J45" s="64">
        <v>0.14000000000000001</v>
      </c>
      <c r="K45" s="64">
        <v>281.17</v>
      </c>
      <c r="L45" s="64">
        <v>25.76</v>
      </c>
      <c r="M45" s="64">
        <v>98.02</v>
      </c>
      <c r="N45" s="64">
        <v>252</v>
      </c>
      <c r="O45" s="64">
        <v>0</v>
      </c>
      <c r="P45" s="64">
        <v>0.31</v>
      </c>
      <c r="Q45" s="64">
        <v>9.16</v>
      </c>
      <c r="R45" s="198"/>
      <c r="S45" s="198"/>
      <c r="T45" s="198"/>
      <c r="U45" s="198"/>
    </row>
    <row r="46" spans="1:21" s="12" customFormat="1" x14ac:dyDescent="0.25">
      <c r="A46" s="212" t="s">
        <v>380</v>
      </c>
      <c r="B46" s="64">
        <v>9.32</v>
      </c>
      <c r="C46" s="64">
        <v>7.8</v>
      </c>
      <c r="D46" s="64">
        <v>11.55</v>
      </c>
      <c r="E46" s="64">
        <v>3.86</v>
      </c>
      <c r="F46" s="64">
        <v>3.08</v>
      </c>
      <c r="G46" s="64">
        <v>19.260000000000002</v>
      </c>
      <c r="H46" s="64">
        <v>93.5</v>
      </c>
      <c r="I46" s="64">
        <v>1.79</v>
      </c>
      <c r="J46" s="64">
        <v>0.19</v>
      </c>
      <c r="K46" s="64">
        <v>291.23</v>
      </c>
      <c r="L46" s="64">
        <v>25.83</v>
      </c>
      <c r="M46" s="64">
        <v>98</v>
      </c>
      <c r="N46" s="64">
        <v>247.8</v>
      </c>
      <c r="O46" s="64">
        <v>0</v>
      </c>
      <c r="P46" s="64">
        <v>0.32</v>
      </c>
      <c r="Q46" s="64">
        <v>9.15</v>
      </c>
      <c r="R46" s="198"/>
      <c r="S46" s="198"/>
      <c r="T46" s="198"/>
      <c r="U46" s="198"/>
    </row>
    <row r="47" spans="1:21" s="12" customFormat="1" x14ac:dyDescent="0.25">
      <c r="A47" s="212" t="s">
        <v>381</v>
      </c>
      <c r="B47" s="64">
        <v>10.69</v>
      </c>
      <c r="C47" s="64">
        <v>9.41</v>
      </c>
      <c r="D47" s="64">
        <v>13.49</v>
      </c>
      <c r="E47" s="64">
        <v>3.98</v>
      </c>
      <c r="F47" s="64">
        <v>4.0599999999999996</v>
      </c>
      <c r="G47" s="64">
        <v>19.260000000000002</v>
      </c>
      <c r="H47" s="64">
        <v>93.5</v>
      </c>
      <c r="I47" s="64">
        <v>1.77</v>
      </c>
      <c r="J47" s="64">
        <v>0.17</v>
      </c>
      <c r="K47" s="64">
        <v>290.27999999999997</v>
      </c>
      <c r="L47" s="64">
        <v>26.21</v>
      </c>
      <c r="M47" s="64">
        <v>98.01</v>
      </c>
      <c r="N47" s="64">
        <v>257.5</v>
      </c>
      <c r="O47" s="64">
        <v>0</v>
      </c>
      <c r="P47" s="64">
        <v>0.35</v>
      </c>
      <c r="Q47" s="64">
        <v>9.15</v>
      </c>
      <c r="R47" s="198"/>
      <c r="S47" s="198"/>
      <c r="T47" s="198"/>
      <c r="U47" s="198"/>
    </row>
    <row r="48" spans="1:21" s="12" customFormat="1" x14ac:dyDescent="0.25">
      <c r="A48" s="212" t="s">
        <v>382</v>
      </c>
      <c r="B48" s="64">
        <v>9.89</v>
      </c>
      <c r="C48" s="64">
        <v>8.6300000000000008</v>
      </c>
      <c r="D48" s="64">
        <v>12.44</v>
      </c>
      <c r="E48" s="64">
        <v>3.98</v>
      </c>
      <c r="F48" s="64">
        <v>3.93</v>
      </c>
      <c r="G48" s="64">
        <v>24.9</v>
      </c>
      <c r="H48" s="64">
        <v>93.5</v>
      </c>
      <c r="I48" s="64">
        <v>1.79</v>
      </c>
      <c r="J48" s="64">
        <v>0.17</v>
      </c>
      <c r="K48" s="64">
        <v>291.77</v>
      </c>
      <c r="L48" s="64">
        <v>26.42</v>
      </c>
      <c r="M48" s="64">
        <v>98.04</v>
      </c>
      <c r="N48" s="64">
        <v>416.5</v>
      </c>
      <c r="O48" s="64">
        <v>0</v>
      </c>
      <c r="P48" s="64">
        <v>0.36</v>
      </c>
      <c r="Q48" s="64">
        <v>9.14</v>
      </c>
      <c r="R48" s="198"/>
      <c r="S48" s="198"/>
      <c r="T48" s="198"/>
      <c r="U48" s="198"/>
    </row>
    <row r="49" spans="1:21" s="12" customFormat="1" x14ac:dyDescent="0.25">
      <c r="A49" s="212" t="s">
        <v>383</v>
      </c>
      <c r="B49" s="64">
        <v>9.48</v>
      </c>
      <c r="C49" s="64">
        <v>8.93</v>
      </c>
      <c r="D49" s="64">
        <v>12.27</v>
      </c>
      <c r="E49" s="64">
        <v>3.82</v>
      </c>
      <c r="F49" s="64">
        <v>3.69</v>
      </c>
      <c r="G49" s="64">
        <v>28.66</v>
      </c>
      <c r="H49" s="64">
        <v>80.05</v>
      </c>
      <c r="I49" s="64">
        <v>1.85</v>
      </c>
      <c r="J49" s="64">
        <v>0.18</v>
      </c>
      <c r="K49" s="64">
        <v>283.52999999999997</v>
      </c>
      <c r="L49" s="64">
        <v>27.13</v>
      </c>
      <c r="M49" s="64">
        <v>98.01</v>
      </c>
      <c r="N49" s="64">
        <v>398.4</v>
      </c>
      <c r="O49" s="64">
        <v>0</v>
      </c>
      <c r="P49" s="64">
        <v>0.42</v>
      </c>
      <c r="Q49" s="64">
        <v>9.1199999999999992</v>
      </c>
      <c r="R49" s="198"/>
      <c r="S49" s="198"/>
      <c r="T49" s="198"/>
      <c r="U49" s="198"/>
    </row>
    <row r="50" spans="1:21" s="12" customFormat="1" x14ac:dyDescent="0.25">
      <c r="A50" s="212" t="s">
        <v>384</v>
      </c>
      <c r="B50" s="64">
        <v>9.0500000000000007</v>
      </c>
      <c r="C50" s="64">
        <v>10.16</v>
      </c>
      <c r="D50" s="64">
        <v>12.57</v>
      </c>
      <c r="E50" s="64">
        <v>3.95</v>
      </c>
      <c r="F50" s="64">
        <v>3.9</v>
      </c>
      <c r="G50" s="64">
        <v>28.66</v>
      </c>
      <c r="H50" s="64">
        <v>0.4</v>
      </c>
      <c r="I50" s="64">
        <v>1.94</v>
      </c>
      <c r="J50" s="64">
        <v>0.14000000000000001</v>
      </c>
      <c r="K50" s="64">
        <v>282.08</v>
      </c>
      <c r="L50" s="64">
        <v>27.47</v>
      </c>
      <c r="M50" s="64">
        <v>97.89</v>
      </c>
      <c r="N50" s="64">
        <v>522.20000000000005</v>
      </c>
      <c r="O50" s="64">
        <v>0</v>
      </c>
      <c r="P50" s="64">
        <v>0.51</v>
      </c>
      <c r="Q50" s="64">
        <v>9.1199999999999992</v>
      </c>
      <c r="R50" s="198"/>
      <c r="S50" s="198"/>
      <c r="T50" s="198"/>
      <c r="U50" s="198"/>
    </row>
    <row r="51" spans="1:21" s="12" customFormat="1" x14ac:dyDescent="0.25">
      <c r="A51" s="212" t="s">
        <v>385</v>
      </c>
      <c r="B51" s="64">
        <v>8.41</v>
      </c>
      <c r="C51" s="64">
        <v>11.35</v>
      </c>
      <c r="D51" s="64">
        <v>12.67</v>
      </c>
      <c r="E51" s="64">
        <v>3.69</v>
      </c>
      <c r="F51" s="64">
        <v>3.7</v>
      </c>
      <c r="G51" s="64">
        <v>28.66</v>
      </c>
      <c r="H51" s="64">
        <v>0.4</v>
      </c>
      <c r="I51" s="64">
        <v>2.04</v>
      </c>
      <c r="J51" s="64">
        <v>0.18</v>
      </c>
      <c r="K51" s="64">
        <v>286.77999999999997</v>
      </c>
      <c r="L51" s="64">
        <v>28.11</v>
      </c>
      <c r="M51" s="64">
        <v>96.07</v>
      </c>
      <c r="N51" s="64">
        <v>828.1</v>
      </c>
      <c r="O51" s="64">
        <v>0</v>
      </c>
      <c r="P51" s="64">
        <v>0.54</v>
      </c>
      <c r="Q51" s="64">
        <v>9.09</v>
      </c>
      <c r="R51" s="198"/>
      <c r="S51" s="198"/>
      <c r="T51" s="198"/>
      <c r="U51" s="198"/>
    </row>
    <row r="52" spans="1:21" s="12" customFormat="1" x14ac:dyDescent="0.25">
      <c r="A52" s="212" t="s">
        <v>386</v>
      </c>
      <c r="B52" s="64">
        <v>7.92</v>
      </c>
      <c r="C52" s="64">
        <v>11.48</v>
      </c>
      <c r="D52" s="64">
        <v>12.35</v>
      </c>
      <c r="E52" s="64">
        <v>4.0599999999999996</v>
      </c>
      <c r="F52" s="64">
        <v>3.48</v>
      </c>
      <c r="G52" s="64">
        <v>33.49</v>
      </c>
      <c r="H52" s="64">
        <v>0.4</v>
      </c>
      <c r="I52" s="64">
        <v>2.12</v>
      </c>
      <c r="J52" s="64">
        <v>0.27</v>
      </c>
      <c r="K52" s="64">
        <v>294.45</v>
      </c>
      <c r="L52" s="64">
        <v>30.44</v>
      </c>
      <c r="M52" s="64">
        <v>82.71</v>
      </c>
      <c r="N52" s="64">
        <v>654</v>
      </c>
      <c r="O52" s="64">
        <v>0</v>
      </c>
      <c r="P52" s="64">
        <v>0.54</v>
      </c>
      <c r="Q52" s="64">
        <v>9.08</v>
      </c>
      <c r="R52" s="198"/>
      <c r="S52" s="198"/>
      <c r="T52" s="198"/>
      <c r="U52" s="198"/>
    </row>
    <row r="53" spans="1:21" s="12" customFormat="1" x14ac:dyDescent="0.25">
      <c r="A53" s="212" t="s">
        <v>387</v>
      </c>
      <c r="B53" s="64">
        <v>8.06</v>
      </c>
      <c r="C53" s="64">
        <v>12.91</v>
      </c>
      <c r="D53" s="64">
        <v>13.21</v>
      </c>
      <c r="E53" s="64">
        <v>3.48</v>
      </c>
      <c r="F53" s="64">
        <v>3.95</v>
      </c>
      <c r="G53" s="64">
        <v>36.700000000000003</v>
      </c>
      <c r="H53" s="64">
        <v>4.97</v>
      </c>
      <c r="I53" s="64">
        <v>2.19</v>
      </c>
      <c r="J53" s="64">
        <v>0.44</v>
      </c>
      <c r="K53" s="64">
        <v>314.18</v>
      </c>
      <c r="L53" s="64">
        <v>30.69</v>
      </c>
      <c r="M53" s="64">
        <v>81.8</v>
      </c>
      <c r="N53" s="64">
        <v>369.6</v>
      </c>
      <c r="O53" s="64">
        <v>0</v>
      </c>
      <c r="P53" s="64">
        <v>0.54</v>
      </c>
      <c r="Q53" s="64">
        <v>9.08</v>
      </c>
      <c r="R53" s="198"/>
      <c r="S53" s="198"/>
      <c r="T53" s="198"/>
      <c r="U53" s="198"/>
    </row>
    <row r="54" spans="1:21" s="12" customFormat="1" x14ac:dyDescent="0.25">
      <c r="A54" s="212" t="s">
        <v>388</v>
      </c>
      <c r="B54" s="64">
        <v>8.01</v>
      </c>
      <c r="C54" s="64">
        <v>12.27</v>
      </c>
      <c r="D54" s="64">
        <v>12.84</v>
      </c>
      <c r="E54" s="64">
        <v>3.54</v>
      </c>
      <c r="F54" s="64">
        <v>4.24</v>
      </c>
      <c r="G54" s="64">
        <v>36.700000000000003</v>
      </c>
      <c r="H54" s="64">
        <v>32.06</v>
      </c>
      <c r="I54" s="64">
        <v>2.23</v>
      </c>
      <c r="J54" s="64">
        <v>0.17</v>
      </c>
      <c r="K54" s="64">
        <v>279.22000000000003</v>
      </c>
      <c r="L54" s="64">
        <v>29.23</v>
      </c>
      <c r="M54" s="64">
        <v>88.81</v>
      </c>
      <c r="N54" s="64">
        <v>233.6</v>
      </c>
      <c r="O54" s="64">
        <v>0</v>
      </c>
      <c r="P54" s="64">
        <v>0.56000000000000005</v>
      </c>
      <c r="Q54" s="64">
        <v>9.08</v>
      </c>
      <c r="R54" s="198"/>
      <c r="S54" s="198"/>
      <c r="T54" s="198"/>
      <c r="U54" s="198"/>
    </row>
    <row r="55" spans="1:21" s="12" customFormat="1" x14ac:dyDescent="0.25">
      <c r="A55" s="212" t="s">
        <v>389</v>
      </c>
      <c r="B55" s="64">
        <v>8.3000000000000007</v>
      </c>
      <c r="C55" s="64">
        <v>11.89</v>
      </c>
      <c r="D55" s="64">
        <v>12.87</v>
      </c>
      <c r="E55" s="64">
        <v>3.73</v>
      </c>
      <c r="F55" s="64">
        <v>7.41</v>
      </c>
      <c r="G55" s="64">
        <v>36.700000000000003</v>
      </c>
      <c r="H55" s="64">
        <v>32.06</v>
      </c>
      <c r="I55" s="64">
        <v>2.2599999999999998</v>
      </c>
      <c r="J55" s="64">
        <v>0.21</v>
      </c>
      <c r="K55" s="64">
        <v>295.60000000000002</v>
      </c>
      <c r="L55" s="64">
        <v>28.37</v>
      </c>
      <c r="M55" s="64">
        <v>94.05</v>
      </c>
      <c r="N55" s="64">
        <v>232.7</v>
      </c>
      <c r="O55" s="64">
        <v>0</v>
      </c>
      <c r="P55" s="64">
        <v>0.6</v>
      </c>
      <c r="Q55" s="64">
        <v>9.09</v>
      </c>
      <c r="R55" s="198"/>
      <c r="S55" s="198"/>
      <c r="T55" s="198"/>
      <c r="U55" s="198"/>
    </row>
    <row r="56" spans="1:21" s="12" customFormat="1" x14ac:dyDescent="0.25">
      <c r="A56" s="212" t="s">
        <v>390</v>
      </c>
      <c r="B56" s="64">
        <v>8.49</v>
      </c>
      <c r="C56" s="64">
        <v>11.64</v>
      </c>
      <c r="D56" s="64">
        <v>12.9</v>
      </c>
      <c r="E56" s="64">
        <v>4.09</v>
      </c>
      <c r="F56" s="64">
        <v>8.9600000000000009</v>
      </c>
      <c r="G56" s="64">
        <v>38.99</v>
      </c>
      <c r="H56" s="64">
        <v>32.06</v>
      </c>
      <c r="I56" s="64">
        <v>2.2999999999999998</v>
      </c>
      <c r="J56" s="64">
        <v>0.51</v>
      </c>
      <c r="K56" s="64">
        <v>313.56</v>
      </c>
      <c r="L56" s="64">
        <v>29.33</v>
      </c>
      <c r="M56" s="64">
        <v>87.5</v>
      </c>
      <c r="N56" s="64">
        <v>431</v>
      </c>
      <c r="O56" s="64">
        <v>0</v>
      </c>
      <c r="P56" s="64">
        <v>0.59</v>
      </c>
      <c r="Q56" s="64">
        <v>9.08</v>
      </c>
      <c r="R56" s="198"/>
      <c r="S56" s="198"/>
      <c r="T56" s="198"/>
      <c r="U56" s="198"/>
    </row>
    <row r="57" spans="1:21" s="12" customFormat="1" x14ac:dyDescent="0.25">
      <c r="A57" s="212" t="s">
        <v>391</v>
      </c>
      <c r="B57" s="64">
        <v>9.57</v>
      </c>
      <c r="C57" s="64">
        <v>11.74</v>
      </c>
      <c r="D57" s="64">
        <v>13.81</v>
      </c>
      <c r="E57" s="64">
        <v>3.72</v>
      </c>
      <c r="F57" s="64">
        <v>5.55</v>
      </c>
      <c r="G57" s="64">
        <v>40.520000000000003</v>
      </c>
      <c r="H57" s="64">
        <v>27.67</v>
      </c>
      <c r="I57" s="64">
        <v>2.36</v>
      </c>
      <c r="J57" s="64">
        <v>0.52</v>
      </c>
      <c r="K57" s="64">
        <v>313.77</v>
      </c>
      <c r="L57" s="64">
        <v>30.48</v>
      </c>
      <c r="M57" s="64">
        <v>78.61</v>
      </c>
      <c r="N57" s="64">
        <v>470.9</v>
      </c>
      <c r="O57" s="64">
        <v>0</v>
      </c>
      <c r="P57" s="64">
        <v>0.55000000000000004</v>
      </c>
      <c r="Q57" s="64">
        <v>9.06</v>
      </c>
      <c r="R57" s="198"/>
      <c r="S57" s="198"/>
      <c r="T57" s="198"/>
      <c r="U57" s="198"/>
    </row>
    <row r="58" spans="1:21" s="12" customFormat="1" x14ac:dyDescent="0.25">
      <c r="A58" s="212" t="s">
        <v>392</v>
      </c>
      <c r="B58" s="64">
        <v>8.85</v>
      </c>
      <c r="C58" s="64">
        <v>11.55</v>
      </c>
      <c r="D58" s="64">
        <v>13.13</v>
      </c>
      <c r="E58" s="64">
        <v>3.65</v>
      </c>
      <c r="F58" s="64">
        <v>4.33</v>
      </c>
      <c r="G58" s="64">
        <v>40.520000000000003</v>
      </c>
      <c r="H58" s="64">
        <v>1.67</v>
      </c>
      <c r="I58" s="64">
        <v>2.37</v>
      </c>
      <c r="J58" s="64">
        <v>0.4</v>
      </c>
      <c r="K58" s="64">
        <v>306.66000000000003</v>
      </c>
      <c r="L58" s="64">
        <v>30.75</v>
      </c>
      <c r="M58" s="64">
        <v>76.34</v>
      </c>
      <c r="N58" s="64">
        <v>491.2</v>
      </c>
      <c r="O58" s="64">
        <v>0</v>
      </c>
      <c r="P58" s="64">
        <v>0.53</v>
      </c>
      <c r="Q58" s="64">
        <v>9.08</v>
      </c>
      <c r="R58" s="198"/>
      <c r="S58" s="198"/>
      <c r="T58" s="198"/>
      <c r="U58" s="198"/>
    </row>
    <row r="59" spans="1:21" s="12" customFormat="1" x14ac:dyDescent="0.25">
      <c r="A59" s="212" t="s">
        <v>393</v>
      </c>
      <c r="B59" s="64">
        <v>9.49</v>
      </c>
      <c r="C59" s="64">
        <v>10.87</v>
      </c>
      <c r="D59" s="64">
        <v>13.29</v>
      </c>
      <c r="E59" s="64">
        <v>3.91</v>
      </c>
      <c r="F59" s="64">
        <v>4.8899999999999997</v>
      </c>
      <c r="G59" s="64">
        <v>40.520000000000003</v>
      </c>
      <c r="H59" s="64">
        <v>1.67</v>
      </c>
      <c r="I59" s="64">
        <v>2.31</v>
      </c>
      <c r="J59" s="64">
        <v>0.79</v>
      </c>
      <c r="K59" s="64">
        <v>321.14</v>
      </c>
      <c r="L59" s="64">
        <v>31.43</v>
      </c>
      <c r="M59" s="64">
        <v>72.91</v>
      </c>
      <c r="N59" s="64">
        <v>491.7</v>
      </c>
      <c r="O59" s="64">
        <v>0</v>
      </c>
      <c r="P59" s="64">
        <v>0.52</v>
      </c>
      <c r="Q59" s="64">
        <v>9.07</v>
      </c>
      <c r="R59" s="198"/>
      <c r="S59" s="198"/>
      <c r="T59" s="198"/>
      <c r="U59" s="198"/>
    </row>
    <row r="60" spans="1:21" s="12" customFormat="1" x14ac:dyDescent="0.25">
      <c r="A60" s="212" t="s">
        <v>394</v>
      </c>
      <c r="B60" s="64">
        <v>8.32</v>
      </c>
      <c r="C60" s="64">
        <v>12.45</v>
      </c>
      <c r="D60" s="64">
        <v>13.17</v>
      </c>
      <c r="E60" s="64">
        <v>3.74</v>
      </c>
      <c r="F60" s="64">
        <v>9.07</v>
      </c>
      <c r="G60" s="64">
        <v>44.36</v>
      </c>
      <c r="H60" s="64">
        <v>1.67</v>
      </c>
      <c r="I60" s="64">
        <v>2.2400000000000002</v>
      </c>
      <c r="J60" s="64">
        <v>0.4</v>
      </c>
      <c r="K60" s="64">
        <v>319.51</v>
      </c>
      <c r="L60" s="64">
        <v>31.3</v>
      </c>
      <c r="M60" s="64">
        <v>73.44</v>
      </c>
      <c r="N60" s="64">
        <v>418.8</v>
      </c>
      <c r="O60" s="64">
        <v>0</v>
      </c>
      <c r="P60" s="64">
        <v>0.5</v>
      </c>
      <c r="Q60" s="64">
        <v>9.09</v>
      </c>
      <c r="R60" s="198"/>
      <c r="S60" s="198"/>
      <c r="T60" s="198"/>
      <c r="U60" s="198"/>
    </row>
    <row r="61" spans="1:21" s="12" customFormat="1" x14ac:dyDescent="0.25">
      <c r="A61" s="212" t="s">
        <v>395</v>
      </c>
      <c r="B61" s="64">
        <v>8.85</v>
      </c>
      <c r="C61" s="64">
        <v>11.33</v>
      </c>
      <c r="D61" s="64">
        <v>13.02</v>
      </c>
      <c r="E61" s="64">
        <v>3.81</v>
      </c>
      <c r="F61" s="64">
        <v>6.6</v>
      </c>
      <c r="G61" s="64">
        <v>46.92</v>
      </c>
      <c r="H61" s="64">
        <v>1.49</v>
      </c>
      <c r="I61" s="64">
        <v>2.1800000000000002</v>
      </c>
      <c r="J61" s="64">
        <v>0.39</v>
      </c>
      <c r="K61" s="64">
        <v>305.77</v>
      </c>
      <c r="L61" s="64">
        <v>31.14</v>
      </c>
      <c r="M61" s="64">
        <v>73.47</v>
      </c>
      <c r="N61" s="64">
        <v>459.3</v>
      </c>
      <c r="O61" s="64">
        <v>0</v>
      </c>
      <c r="P61" s="64">
        <v>0.39</v>
      </c>
      <c r="Q61" s="64">
        <v>9.08</v>
      </c>
      <c r="R61" s="198"/>
      <c r="S61" s="198"/>
      <c r="T61" s="198"/>
      <c r="U61" s="198"/>
    </row>
    <row r="62" spans="1:21" s="12" customFormat="1" x14ac:dyDescent="0.25">
      <c r="A62" s="212" t="s">
        <v>396</v>
      </c>
      <c r="B62" s="64">
        <v>9.0399999999999991</v>
      </c>
      <c r="C62" s="64">
        <v>11.16</v>
      </c>
      <c r="D62" s="64">
        <v>13.08</v>
      </c>
      <c r="E62" s="64">
        <v>3.66</v>
      </c>
      <c r="F62" s="64">
        <v>10.48</v>
      </c>
      <c r="G62" s="64">
        <v>46.92</v>
      </c>
      <c r="H62" s="64">
        <v>0.48</v>
      </c>
      <c r="I62" s="64">
        <v>2.12</v>
      </c>
      <c r="J62" s="64">
        <v>0.57999999999999996</v>
      </c>
      <c r="K62" s="64">
        <v>326.52999999999997</v>
      </c>
      <c r="L62" s="64">
        <v>31.73</v>
      </c>
      <c r="M62" s="64">
        <v>72.08</v>
      </c>
      <c r="N62" s="64">
        <v>389.5</v>
      </c>
      <c r="O62" s="64">
        <v>0</v>
      </c>
      <c r="P62" s="64">
        <v>0.42</v>
      </c>
      <c r="Q62" s="64">
        <v>9.09</v>
      </c>
      <c r="R62" s="198"/>
      <c r="S62" s="198"/>
      <c r="T62" s="198"/>
      <c r="U62" s="198"/>
    </row>
    <row r="63" spans="1:21" s="12" customFormat="1" x14ac:dyDescent="0.25">
      <c r="A63" s="212" t="s">
        <v>397</v>
      </c>
      <c r="B63" s="64">
        <v>9.7200000000000006</v>
      </c>
      <c r="C63" s="64">
        <v>14.67</v>
      </c>
      <c r="D63" s="64">
        <v>15.46</v>
      </c>
      <c r="E63" s="64">
        <v>3.84</v>
      </c>
      <c r="F63" s="64">
        <v>11.31</v>
      </c>
      <c r="G63" s="64">
        <v>46.92</v>
      </c>
      <c r="H63" s="64">
        <v>0.48</v>
      </c>
      <c r="I63" s="64">
        <v>2.0699999999999998</v>
      </c>
      <c r="J63" s="64">
        <v>0.27</v>
      </c>
      <c r="K63" s="64">
        <v>304.79000000000002</v>
      </c>
      <c r="L63" s="64">
        <v>30.76</v>
      </c>
      <c r="M63" s="64">
        <v>75.95</v>
      </c>
      <c r="N63" s="64">
        <v>223.1</v>
      </c>
      <c r="O63" s="64">
        <v>0</v>
      </c>
      <c r="P63" s="64">
        <v>0.4</v>
      </c>
      <c r="Q63" s="64">
        <v>9.1199999999999992</v>
      </c>
      <c r="R63" s="198"/>
      <c r="S63" s="198"/>
      <c r="T63" s="198"/>
      <c r="U63" s="198"/>
    </row>
    <row r="64" spans="1:21" s="12" customFormat="1" x14ac:dyDescent="0.25">
      <c r="A64" s="212" t="s">
        <v>398</v>
      </c>
      <c r="B64" s="64">
        <v>9.3699999999999992</v>
      </c>
      <c r="C64" s="64">
        <v>16.04</v>
      </c>
      <c r="D64" s="64">
        <v>15.89</v>
      </c>
      <c r="E64" s="64">
        <v>3.8</v>
      </c>
      <c r="F64" s="64">
        <v>10.78</v>
      </c>
      <c r="G64" s="64">
        <v>46.81</v>
      </c>
      <c r="H64" s="64">
        <v>0.48</v>
      </c>
      <c r="I64" s="64">
        <v>2.04</v>
      </c>
      <c r="J64" s="64">
        <v>0.16</v>
      </c>
      <c r="K64" s="64">
        <v>294.60000000000002</v>
      </c>
      <c r="L64" s="64">
        <v>30.26</v>
      </c>
      <c r="M64" s="64">
        <v>77.099999999999994</v>
      </c>
      <c r="N64" s="64">
        <v>223.1</v>
      </c>
      <c r="O64" s="64">
        <v>0</v>
      </c>
      <c r="P64" s="64">
        <v>0.41</v>
      </c>
      <c r="Q64" s="64">
        <v>9.14</v>
      </c>
      <c r="R64" s="198"/>
      <c r="S64" s="198"/>
      <c r="T64" s="198"/>
      <c r="U64" s="198"/>
    </row>
    <row r="65" spans="1:21" s="12" customFormat="1" x14ac:dyDescent="0.25">
      <c r="A65" s="212" t="s">
        <v>399</v>
      </c>
      <c r="B65" s="64">
        <v>8.06</v>
      </c>
      <c r="C65" s="64">
        <v>14.73</v>
      </c>
      <c r="D65" s="64">
        <v>14.16</v>
      </c>
      <c r="E65" s="64">
        <v>3.61</v>
      </c>
      <c r="F65" s="64">
        <v>11.97</v>
      </c>
      <c r="G65" s="64">
        <v>46.73</v>
      </c>
      <c r="H65" s="64">
        <v>8.84</v>
      </c>
      <c r="I65" s="64">
        <v>2.04</v>
      </c>
      <c r="J65" s="64">
        <v>0.1</v>
      </c>
      <c r="K65" s="64">
        <v>270.27</v>
      </c>
      <c r="L65" s="64">
        <v>29.48</v>
      </c>
      <c r="M65" s="64">
        <v>82.38</v>
      </c>
      <c r="N65" s="64">
        <v>243.8</v>
      </c>
      <c r="O65" s="64">
        <v>0</v>
      </c>
      <c r="P65" s="64">
        <v>0.47</v>
      </c>
      <c r="Q65" s="64">
        <v>9.16</v>
      </c>
      <c r="R65" s="198"/>
      <c r="S65" s="198"/>
      <c r="T65" s="198"/>
      <c r="U65" s="198"/>
    </row>
    <row r="66" spans="1:21" s="12" customFormat="1" x14ac:dyDescent="0.25">
      <c r="A66" s="212" t="s">
        <v>400</v>
      </c>
      <c r="B66" s="64">
        <v>8.76</v>
      </c>
      <c r="C66" s="64">
        <v>14.49</v>
      </c>
      <c r="D66" s="64">
        <v>14.6</v>
      </c>
      <c r="E66" s="64">
        <v>3.74</v>
      </c>
      <c r="F66" s="64">
        <v>7.9</v>
      </c>
      <c r="G66" s="64">
        <v>46.73</v>
      </c>
      <c r="H66" s="64">
        <v>58.35</v>
      </c>
      <c r="I66" s="64">
        <v>2.0499999999999998</v>
      </c>
      <c r="J66" s="64">
        <v>0.36</v>
      </c>
      <c r="K66" s="64">
        <v>319.27999999999997</v>
      </c>
      <c r="L66" s="64">
        <v>29.75</v>
      </c>
      <c r="M66" s="64">
        <v>79.63</v>
      </c>
      <c r="N66" s="64">
        <v>293.8</v>
      </c>
      <c r="O66" s="64">
        <v>0</v>
      </c>
      <c r="P66" s="64">
        <v>0.43</v>
      </c>
      <c r="Q66" s="64">
        <v>9.17</v>
      </c>
      <c r="R66" s="198"/>
      <c r="S66" s="198"/>
      <c r="T66" s="198"/>
      <c r="U66" s="198"/>
    </row>
    <row r="67" spans="1:21" s="12" customFormat="1" x14ac:dyDescent="0.25">
      <c r="A67" s="212" t="s">
        <v>401</v>
      </c>
      <c r="B67" s="64">
        <v>8.91</v>
      </c>
      <c r="C67" s="64">
        <v>12.62</v>
      </c>
      <c r="D67" s="64">
        <v>13.74</v>
      </c>
      <c r="E67" s="64">
        <v>3.98</v>
      </c>
      <c r="F67" s="64">
        <v>8.0399999999999991</v>
      </c>
      <c r="G67" s="64">
        <v>46.73</v>
      </c>
      <c r="H67" s="64">
        <v>58.35</v>
      </c>
      <c r="I67" s="64">
        <v>2.0699999999999998</v>
      </c>
      <c r="J67" s="64">
        <v>0.33</v>
      </c>
      <c r="K67" s="64">
        <v>312.05</v>
      </c>
      <c r="L67" s="64">
        <v>30.48</v>
      </c>
      <c r="M67" s="64">
        <v>75.08</v>
      </c>
      <c r="N67" s="64">
        <v>283</v>
      </c>
      <c r="O67" s="64">
        <v>0</v>
      </c>
      <c r="P67" s="64">
        <v>0.4</v>
      </c>
      <c r="Q67" s="64">
        <v>9.17</v>
      </c>
      <c r="R67" s="198"/>
      <c r="S67" s="198"/>
      <c r="T67" s="198"/>
      <c r="U67" s="198"/>
    </row>
    <row r="68" spans="1:21" s="12" customFormat="1" x14ac:dyDescent="0.25">
      <c r="A68" s="212" t="s">
        <v>402</v>
      </c>
      <c r="B68" s="64">
        <v>9.61</v>
      </c>
      <c r="C68" s="64">
        <v>14.05</v>
      </c>
      <c r="D68" s="64">
        <v>15.05</v>
      </c>
      <c r="E68" s="64">
        <v>4.0199999999999996</v>
      </c>
      <c r="F68" s="64">
        <v>8.41</v>
      </c>
      <c r="G68" s="64">
        <v>48.39</v>
      </c>
      <c r="H68" s="64">
        <v>58.35</v>
      </c>
      <c r="I68" s="64">
        <v>2.06</v>
      </c>
      <c r="J68" s="64">
        <v>0.21</v>
      </c>
      <c r="K68" s="64">
        <v>295.36</v>
      </c>
      <c r="L68" s="64">
        <v>30.27</v>
      </c>
      <c r="M68" s="64">
        <v>75.12</v>
      </c>
      <c r="N68" s="64">
        <v>266.10000000000002</v>
      </c>
      <c r="O68" s="64">
        <v>0</v>
      </c>
      <c r="P68" s="64">
        <v>0.41</v>
      </c>
      <c r="Q68" s="64">
        <v>9.17</v>
      </c>
      <c r="R68" s="198"/>
      <c r="S68" s="198"/>
      <c r="T68" s="198"/>
      <c r="U68" s="198"/>
    </row>
    <row r="69" spans="1:21" s="12" customFormat="1" x14ac:dyDescent="0.25">
      <c r="A69" s="212" t="s">
        <v>403</v>
      </c>
      <c r="B69" s="64">
        <v>8.41</v>
      </c>
      <c r="C69" s="64">
        <v>13.02</v>
      </c>
      <c r="D69" s="64">
        <v>13.55</v>
      </c>
      <c r="E69" s="64">
        <v>4.17</v>
      </c>
      <c r="F69" s="64">
        <v>5.12</v>
      </c>
      <c r="G69" s="64">
        <v>49.5</v>
      </c>
      <c r="H69" s="64">
        <v>56.2</v>
      </c>
      <c r="I69" s="64">
        <v>2.0499999999999998</v>
      </c>
      <c r="J69" s="64">
        <v>0.19</v>
      </c>
      <c r="K69" s="64">
        <v>285.77999999999997</v>
      </c>
      <c r="L69" s="64">
        <v>29.45</v>
      </c>
      <c r="M69" s="64">
        <v>81.11</v>
      </c>
      <c r="N69" s="64">
        <v>243</v>
      </c>
      <c r="O69" s="64">
        <v>0</v>
      </c>
      <c r="P69" s="64">
        <v>0.42</v>
      </c>
      <c r="Q69" s="64">
        <v>9.16</v>
      </c>
      <c r="R69" s="198"/>
      <c r="S69" s="198"/>
      <c r="T69" s="198"/>
      <c r="U69" s="198"/>
    </row>
    <row r="70" spans="1:21" s="12" customFormat="1" x14ac:dyDescent="0.25">
      <c r="A70" s="212" t="s">
        <v>404</v>
      </c>
      <c r="B70" s="64">
        <v>8.68</v>
      </c>
      <c r="C70" s="64">
        <v>13.39</v>
      </c>
      <c r="D70" s="64">
        <v>13.96</v>
      </c>
      <c r="E70" s="64">
        <v>4.0199999999999996</v>
      </c>
      <c r="F70" s="64">
        <v>8.32</v>
      </c>
      <c r="G70" s="64">
        <v>49.5</v>
      </c>
      <c r="H70" s="64">
        <v>43.47</v>
      </c>
      <c r="I70" s="64">
        <v>2.0299999999999998</v>
      </c>
      <c r="J70" s="64">
        <v>0.13</v>
      </c>
      <c r="K70" s="64">
        <v>292.13</v>
      </c>
      <c r="L70" s="64">
        <v>29.18</v>
      </c>
      <c r="M70" s="64">
        <v>80.900000000000006</v>
      </c>
      <c r="N70" s="64">
        <v>231.9</v>
      </c>
      <c r="O70" s="64">
        <v>0</v>
      </c>
      <c r="P70" s="64">
        <v>0.41</v>
      </c>
      <c r="Q70" s="64">
        <v>9.15</v>
      </c>
      <c r="R70" s="198"/>
      <c r="S70" s="198"/>
      <c r="T70" s="198"/>
      <c r="U70" s="198"/>
    </row>
    <row r="71" spans="1:21" s="12" customFormat="1" x14ac:dyDescent="0.25">
      <c r="A71" s="212" t="s">
        <v>405</v>
      </c>
      <c r="B71" s="64">
        <v>8.3699999999999992</v>
      </c>
      <c r="C71" s="64">
        <v>12.58</v>
      </c>
      <c r="D71" s="64">
        <v>13.28</v>
      </c>
      <c r="E71" s="64">
        <v>4.03</v>
      </c>
      <c r="F71" s="64">
        <v>7.53</v>
      </c>
      <c r="G71" s="64">
        <v>49.5</v>
      </c>
      <c r="H71" s="64">
        <v>43.47</v>
      </c>
      <c r="I71" s="64">
        <v>1.98</v>
      </c>
      <c r="J71" s="64">
        <v>0.18</v>
      </c>
      <c r="K71" s="64">
        <v>294.27999999999997</v>
      </c>
      <c r="L71" s="64">
        <v>29.38</v>
      </c>
      <c r="M71" s="64">
        <v>79.91</v>
      </c>
      <c r="N71" s="64">
        <v>216.8</v>
      </c>
      <c r="O71" s="64">
        <v>0</v>
      </c>
      <c r="P71" s="64">
        <v>0.4</v>
      </c>
      <c r="Q71" s="64">
        <v>9.1199999999999992</v>
      </c>
      <c r="R71" s="198"/>
      <c r="S71" s="198"/>
      <c r="T71" s="198"/>
      <c r="U71" s="198"/>
    </row>
    <row r="72" spans="1:21" s="12" customFormat="1" x14ac:dyDescent="0.25">
      <c r="A72" s="212" t="s">
        <v>406</v>
      </c>
      <c r="B72" s="64">
        <v>7.3</v>
      </c>
      <c r="C72" s="64">
        <v>10.76</v>
      </c>
      <c r="D72" s="64">
        <v>11.48</v>
      </c>
      <c r="E72" s="64">
        <v>6.15</v>
      </c>
      <c r="F72" s="64">
        <v>7.03</v>
      </c>
      <c r="G72" s="64">
        <v>52.32</v>
      </c>
      <c r="H72" s="64">
        <v>43.47</v>
      </c>
      <c r="I72" s="64">
        <v>1.95</v>
      </c>
      <c r="J72" s="64">
        <v>0.2</v>
      </c>
      <c r="K72" s="64">
        <v>286.95999999999998</v>
      </c>
      <c r="L72" s="64">
        <v>29.31</v>
      </c>
      <c r="M72" s="64">
        <v>78.66</v>
      </c>
      <c r="N72" s="64">
        <v>211</v>
      </c>
      <c r="O72" s="64">
        <v>0</v>
      </c>
      <c r="P72" s="64">
        <v>0.39</v>
      </c>
      <c r="Q72" s="64">
        <v>9.09</v>
      </c>
      <c r="R72" s="198"/>
      <c r="S72" s="198"/>
      <c r="T72" s="198"/>
      <c r="U72" s="198"/>
    </row>
    <row r="73" spans="1:21" s="12" customFormat="1" x14ac:dyDescent="0.25">
      <c r="A73" s="212" t="s">
        <v>407</v>
      </c>
      <c r="B73" s="64">
        <v>8.52</v>
      </c>
      <c r="C73" s="64">
        <v>13.2</v>
      </c>
      <c r="D73" s="64">
        <v>13.73</v>
      </c>
      <c r="E73" s="64">
        <v>5.89</v>
      </c>
      <c r="F73" s="64">
        <v>6.43</v>
      </c>
      <c r="G73" s="64">
        <v>54.12</v>
      </c>
      <c r="H73" s="64">
        <v>39.26</v>
      </c>
      <c r="I73" s="64">
        <v>1.82</v>
      </c>
      <c r="J73" s="64">
        <v>0.14000000000000001</v>
      </c>
      <c r="K73" s="64">
        <v>302.36</v>
      </c>
      <c r="L73" s="64">
        <v>29.07</v>
      </c>
      <c r="M73" s="64">
        <v>77.87</v>
      </c>
      <c r="N73" s="64">
        <v>188.5</v>
      </c>
      <c r="O73" s="64">
        <v>0</v>
      </c>
      <c r="P73" s="64">
        <v>0.39</v>
      </c>
      <c r="Q73" s="64">
        <v>9.09</v>
      </c>
      <c r="R73" s="198"/>
      <c r="S73" s="198"/>
      <c r="T73" s="198"/>
      <c r="U73" s="198"/>
    </row>
    <row r="74" spans="1:21" s="12" customFormat="1" x14ac:dyDescent="0.25">
      <c r="A74" s="212" t="s">
        <v>408</v>
      </c>
      <c r="B74" s="64">
        <v>8.27</v>
      </c>
      <c r="C74" s="64">
        <v>12.54</v>
      </c>
      <c r="D74" s="64">
        <v>13.18</v>
      </c>
      <c r="E74" s="64">
        <v>5.92</v>
      </c>
      <c r="F74" s="64">
        <v>8.0299999999999994</v>
      </c>
      <c r="G74" s="64">
        <v>54.12</v>
      </c>
      <c r="H74" s="64">
        <v>14.28</v>
      </c>
      <c r="I74" s="64">
        <v>1.79</v>
      </c>
      <c r="J74" s="64">
        <v>0.18</v>
      </c>
      <c r="K74" s="64">
        <v>302.47000000000003</v>
      </c>
      <c r="L74" s="64">
        <v>29.25</v>
      </c>
      <c r="M74" s="64">
        <v>77.88</v>
      </c>
      <c r="N74" s="64">
        <v>179</v>
      </c>
      <c r="O74" s="64">
        <v>0</v>
      </c>
      <c r="P74" s="64">
        <v>0.39</v>
      </c>
      <c r="Q74" s="64">
        <v>9.1</v>
      </c>
      <c r="R74" s="198"/>
      <c r="S74" s="198"/>
      <c r="T74" s="198"/>
      <c r="U74" s="198"/>
    </row>
    <row r="75" spans="1:21" s="12" customFormat="1" x14ac:dyDescent="0.25">
      <c r="A75" s="212" t="s">
        <v>409</v>
      </c>
      <c r="B75" s="64">
        <v>7.87</v>
      </c>
      <c r="C75" s="64">
        <v>12.76</v>
      </c>
      <c r="D75" s="64">
        <v>12.98</v>
      </c>
      <c r="E75" s="64">
        <v>5.79</v>
      </c>
      <c r="F75" s="64">
        <v>7.23</v>
      </c>
      <c r="G75" s="64">
        <v>54.12</v>
      </c>
      <c r="H75" s="64">
        <v>14.28</v>
      </c>
      <c r="I75" s="64">
        <v>1.82</v>
      </c>
      <c r="J75" s="64">
        <v>0.15</v>
      </c>
      <c r="K75" s="64">
        <v>302.33</v>
      </c>
      <c r="L75" s="64">
        <v>28.91</v>
      </c>
      <c r="M75" s="64">
        <v>80.099999999999994</v>
      </c>
      <c r="N75" s="64">
        <v>157.69999999999999</v>
      </c>
      <c r="O75" s="64">
        <v>0</v>
      </c>
      <c r="P75" s="64">
        <v>0.39</v>
      </c>
      <c r="Q75" s="64">
        <v>9.1</v>
      </c>
      <c r="R75" s="198"/>
      <c r="S75" s="198"/>
      <c r="T75" s="198"/>
      <c r="U75" s="198"/>
    </row>
    <row r="76" spans="1:21" s="12" customFormat="1" x14ac:dyDescent="0.25">
      <c r="A76" s="212" t="s">
        <v>410</v>
      </c>
      <c r="B76" s="64">
        <v>9.07</v>
      </c>
      <c r="C76" s="64">
        <v>13.69</v>
      </c>
      <c r="D76" s="64">
        <v>14.43</v>
      </c>
      <c r="E76" s="64">
        <v>5.61</v>
      </c>
      <c r="F76" s="64">
        <v>6.42</v>
      </c>
      <c r="G76" s="64">
        <v>55.03</v>
      </c>
      <c r="H76" s="64">
        <v>14.28</v>
      </c>
      <c r="I76" s="64">
        <v>1.79</v>
      </c>
      <c r="J76" s="64">
        <v>0.15</v>
      </c>
      <c r="K76" s="64">
        <v>315.48</v>
      </c>
      <c r="L76" s="64">
        <v>28.73</v>
      </c>
      <c r="M76" s="64">
        <v>82.16</v>
      </c>
      <c r="N76" s="64">
        <v>141.69999999999999</v>
      </c>
      <c r="O76" s="64">
        <v>0</v>
      </c>
      <c r="P76" s="64">
        <v>0.44</v>
      </c>
      <c r="Q76" s="64">
        <v>9.11</v>
      </c>
      <c r="R76" s="198"/>
      <c r="S76" s="198"/>
      <c r="T76" s="198"/>
      <c r="U76" s="198"/>
    </row>
    <row r="77" spans="1:21" s="12" customFormat="1" x14ac:dyDescent="0.25">
      <c r="A77" s="212" t="s">
        <v>411</v>
      </c>
      <c r="B77" s="64">
        <v>8.64</v>
      </c>
      <c r="C77" s="64">
        <v>15.41</v>
      </c>
      <c r="D77" s="64">
        <v>14.98</v>
      </c>
      <c r="E77" s="64">
        <v>5.9</v>
      </c>
      <c r="F77" s="64">
        <v>12.19</v>
      </c>
      <c r="G77" s="64">
        <v>55.63</v>
      </c>
      <c r="H77" s="64">
        <v>19.25</v>
      </c>
      <c r="I77" s="64">
        <v>1.75</v>
      </c>
      <c r="J77" s="64">
        <v>0.13</v>
      </c>
      <c r="K77" s="64">
        <v>313.81</v>
      </c>
      <c r="L77" s="64">
        <v>28.86</v>
      </c>
      <c r="M77" s="64">
        <v>80.78</v>
      </c>
      <c r="N77" s="64">
        <v>125.8</v>
      </c>
      <c r="O77" s="64">
        <v>0</v>
      </c>
      <c r="P77" s="64">
        <v>0.41</v>
      </c>
      <c r="Q77" s="64">
        <v>9.11</v>
      </c>
      <c r="R77" s="198"/>
      <c r="S77" s="198"/>
      <c r="T77" s="198"/>
      <c r="U77" s="198"/>
    </row>
    <row r="78" spans="1:21" s="12" customFormat="1" x14ac:dyDescent="0.25">
      <c r="A78" s="212" t="s">
        <v>412</v>
      </c>
      <c r="B78" s="64">
        <v>8.2799999999999994</v>
      </c>
      <c r="C78" s="64">
        <v>14.67</v>
      </c>
      <c r="D78" s="64">
        <v>14.31</v>
      </c>
      <c r="E78" s="64">
        <v>5.55</v>
      </c>
      <c r="F78" s="64">
        <v>11.5</v>
      </c>
      <c r="G78" s="64">
        <v>55.63</v>
      </c>
      <c r="H78" s="64">
        <v>46.24</v>
      </c>
      <c r="I78" s="64">
        <v>1.73</v>
      </c>
      <c r="J78" s="64">
        <v>0.09</v>
      </c>
      <c r="K78" s="64">
        <v>308.58</v>
      </c>
      <c r="L78" s="64">
        <v>28.53</v>
      </c>
      <c r="M78" s="64">
        <v>82.31</v>
      </c>
      <c r="N78" s="64">
        <v>105.6</v>
      </c>
      <c r="O78" s="64">
        <v>0</v>
      </c>
      <c r="P78" s="64">
        <v>0.41</v>
      </c>
      <c r="Q78" s="64">
        <v>9.09</v>
      </c>
      <c r="R78" s="198"/>
      <c r="S78" s="198"/>
      <c r="T78" s="198"/>
      <c r="U78" s="198"/>
    </row>
    <row r="79" spans="1:21" s="12" customFormat="1" x14ac:dyDescent="0.25">
      <c r="A79" s="212" t="s">
        <v>413</v>
      </c>
      <c r="B79" s="64">
        <v>9.7899999999999991</v>
      </c>
      <c r="C79" s="64">
        <v>15.77</v>
      </c>
      <c r="D79" s="64">
        <v>16.09</v>
      </c>
      <c r="E79" s="64">
        <v>5.97</v>
      </c>
      <c r="F79" s="64">
        <v>12.12</v>
      </c>
      <c r="G79" s="64">
        <v>55.63</v>
      </c>
      <c r="H79" s="64">
        <v>46.24</v>
      </c>
      <c r="I79" s="64">
        <v>1.73</v>
      </c>
      <c r="J79" s="64">
        <v>0.13</v>
      </c>
      <c r="K79" s="64">
        <v>321.73</v>
      </c>
      <c r="L79" s="64">
        <v>28.39</v>
      </c>
      <c r="M79" s="64">
        <v>83.52</v>
      </c>
      <c r="N79" s="64">
        <v>86.1</v>
      </c>
      <c r="O79" s="64">
        <v>0</v>
      </c>
      <c r="P79" s="64">
        <v>0.47</v>
      </c>
      <c r="Q79" s="64">
        <v>9.09</v>
      </c>
      <c r="R79" s="198"/>
      <c r="S79" s="198"/>
      <c r="T79" s="198"/>
      <c r="U79" s="198"/>
    </row>
    <row r="80" spans="1:21" s="12" customFormat="1" x14ac:dyDescent="0.25">
      <c r="A80" s="212" t="s">
        <v>414</v>
      </c>
      <c r="B80" s="64">
        <v>9.33</v>
      </c>
      <c r="C80" s="64">
        <v>20.76</v>
      </c>
      <c r="D80" s="64">
        <v>18.329999999999998</v>
      </c>
      <c r="E80" s="64">
        <v>5.72</v>
      </c>
      <c r="F80" s="64">
        <v>12.08</v>
      </c>
      <c r="G80" s="64">
        <v>59.06</v>
      </c>
      <c r="H80" s="64">
        <v>46.24</v>
      </c>
      <c r="I80" s="64">
        <v>1.63</v>
      </c>
      <c r="J80" s="64">
        <v>0.06</v>
      </c>
      <c r="K80" s="64">
        <v>309.42</v>
      </c>
      <c r="L80" s="64">
        <v>28.1</v>
      </c>
      <c r="M80" s="64">
        <v>85.17</v>
      </c>
      <c r="N80" s="64">
        <v>80</v>
      </c>
      <c r="O80" s="64">
        <v>0</v>
      </c>
      <c r="P80" s="64">
        <v>0.55000000000000004</v>
      </c>
      <c r="Q80" s="64">
        <v>9.1199999999999992</v>
      </c>
      <c r="R80" s="198"/>
      <c r="S80" s="198"/>
      <c r="T80" s="198"/>
      <c r="U80" s="198"/>
    </row>
    <row r="81" spans="1:26" s="12" customFormat="1" x14ac:dyDescent="0.25">
      <c r="A81" s="212" t="s">
        <v>415</v>
      </c>
      <c r="B81" s="64">
        <v>8.3000000000000007</v>
      </c>
      <c r="C81" s="64">
        <v>20.43</v>
      </c>
      <c r="D81" s="64">
        <v>17.329999999999998</v>
      </c>
      <c r="E81" s="64">
        <v>6.15</v>
      </c>
      <c r="F81" s="64">
        <v>12.92</v>
      </c>
      <c r="G81" s="64">
        <v>61.34</v>
      </c>
      <c r="H81" s="64">
        <v>43.45</v>
      </c>
      <c r="I81" s="64">
        <v>1.57</v>
      </c>
      <c r="J81" s="64">
        <v>0.08</v>
      </c>
      <c r="K81" s="64">
        <v>336.83</v>
      </c>
      <c r="L81" s="64">
        <v>27.91</v>
      </c>
      <c r="M81" s="64">
        <v>85.29</v>
      </c>
      <c r="N81" s="64">
        <v>72.7</v>
      </c>
      <c r="O81" s="64">
        <v>0</v>
      </c>
      <c r="P81" s="64">
        <v>0.55000000000000004</v>
      </c>
      <c r="Q81" s="64">
        <v>9.1300000000000008</v>
      </c>
      <c r="R81" s="198"/>
      <c r="S81" s="198"/>
      <c r="T81" s="198"/>
      <c r="U81" s="198"/>
    </row>
    <row r="82" spans="1:26" s="12" customFormat="1" x14ac:dyDescent="0.25">
      <c r="A82" s="212" t="s">
        <v>416</v>
      </c>
      <c r="B82" s="64">
        <v>8.86</v>
      </c>
      <c r="C82" s="64">
        <v>20.79</v>
      </c>
      <c r="D82" s="64">
        <v>17.97</v>
      </c>
      <c r="E82" s="64">
        <v>6.3</v>
      </c>
      <c r="F82" s="64">
        <v>12.29</v>
      </c>
      <c r="G82" s="64">
        <v>61.34</v>
      </c>
      <c r="H82" s="64">
        <v>26.95</v>
      </c>
      <c r="I82" s="64">
        <v>1.59</v>
      </c>
      <c r="J82" s="64">
        <v>0.05</v>
      </c>
      <c r="K82" s="64">
        <v>327.99</v>
      </c>
      <c r="L82" s="64">
        <v>27.62</v>
      </c>
      <c r="M82" s="64">
        <v>88.17</v>
      </c>
      <c r="N82" s="64">
        <v>62.8</v>
      </c>
      <c r="O82" s="64">
        <v>0</v>
      </c>
      <c r="P82" s="64">
        <v>0.53</v>
      </c>
      <c r="Q82" s="64">
        <v>9.15</v>
      </c>
      <c r="R82" s="198"/>
      <c r="S82" s="198"/>
      <c r="T82" s="198"/>
      <c r="U82" s="198"/>
    </row>
    <row r="83" spans="1:26" s="12" customFormat="1" x14ac:dyDescent="0.25">
      <c r="A83" s="212" t="s">
        <v>417</v>
      </c>
      <c r="B83" s="64">
        <v>6.91</v>
      </c>
      <c r="C83" s="64">
        <v>16.079999999999998</v>
      </c>
      <c r="D83" s="64">
        <v>13.94</v>
      </c>
      <c r="E83" s="64">
        <v>6</v>
      </c>
      <c r="F83" s="64">
        <v>12.06</v>
      </c>
      <c r="G83" s="64">
        <v>61.34</v>
      </c>
      <c r="H83" s="64">
        <v>26.95</v>
      </c>
      <c r="I83" s="64">
        <v>1.61</v>
      </c>
      <c r="J83" s="64">
        <v>0.11</v>
      </c>
      <c r="K83" s="64">
        <v>354.84</v>
      </c>
      <c r="L83" s="64">
        <v>27.38</v>
      </c>
      <c r="M83" s="64">
        <v>91.19</v>
      </c>
      <c r="N83" s="64">
        <v>55.9</v>
      </c>
      <c r="O83" s="64">
        <v>0</v>
      </c>
      <c r="P83" s="64">
        <v>0.45</v>
      </c>
      <c r="Q83" s="64">
        <v>9.15</v>
      </c>
      <c r="R83" s="198"/>
      <c r="S83" s="198"/>
      <c r="T83" s="198"/>
      <c r="U83" s="198"/>
    </row>
    <row r="84" spans="1:26" s="12" customFormat="1" x14ac:dyDescent="0.25">
      <c r="A84" s="212" t="s">
        <v>418</v>
      </c>
      <c r="B84" s="64">
        <v>6.85</v>
      </c>
      <c r="C84" s="64">
        <v>16.27</v>
      </c>
      <c r="D84" s="64">
        <v>14</v>
      </c>
      <c r="E84" s="64">
        <v>6.09</v>
      </c>
      <c r="F84" s="64">
        <v>14.76</v>
      </c>
      <c r="G84" s="64">
        <v>60.93</v>
      </c>
      <c r="H84" s="64">
        <v>26.95</v>
      </c>
      <c r="I84" s="64">
        <v>1.63</v>
      </c>
      <c r="J84" s="64">
        <v>0.06</v>
      </c>
      <c r="K84" s="64">
        <v>349.93</v>
      </c>
      <c r="L84" s="64">
        <v>27.18</v>
      </c>
      <c r="M84" s="64">
        <v>93.05</v>
      </c>
      <c r="N84" s="64">
        <v>54.9</v>
      </c>
      <c r="O84" s="64">
        <v>0</v>
      </c>
      <c r="P84" s="64">
        <v>0.52</v>
      </c>
      <c r="Q84" s="64">
        <v>9.16</v>
      </c>
      <c r="R84" s="198"/>
      <c r="S84" s="198"/>
      <c r="T84" s="198"/>
      <c r="U84" s="198"/>
    </row>
    <row r="85" spans="1:26" s="12" customFormat="1" x14ac:dyDescent="0.25">
      <c r="A85" s="212" t="s">
        <v>419</v>
      </c>
      <c r="B85" s="64">
        <v>7.99</v>
      </c>
      <c r="C85" s="64">
        <v>18.02</v>
      </c>
      <c r="D85" s="64">
        <v>15.82</v>
      </c>
      <c r="E85" s="64">
        <v>6.12</v>
      </c>
      <c r="F85" s="64">
        <v>11.78</v>
      </c>
      <c r="G85" s="64">
        <v>60.66</v>
      </c>
      <c r="H85" s="64">
        <v>25.07</v>
      </c>
      <c r="I85" s="64">
        <v>1.64</v>
      </c>
      <c r="J85" s="64">
        <v>7.0000000000000007E-2</v>
      </c>
      <c r="K85" s="64">
        <v>1.3</v>
      </c>
      <c r="L85" s="64">
        <v>27.02</v>
      </c>
      <c r="M85" s="64">
        <v>93.12</v>
      </c>
      <c r="N85" s="64">
        <v>54.7</v>
      </c>
      <c r="O85" s="64">
        <v>0</v>
      </c>
      <c r="P85" s="64">
        <v>0.56000000000000005</v>
      </c>
      <c r="Q85" s="64">
        <v>9.15</v>
      </c>
      <c r="R85" s="198"/>
      <c r="S85" s="198"/>
      <c r="T85" s="198"/>
      <c r="U85" s="198"/>
    </row>
    <row r="86" spans="1:26" s="12" customFormat="1" x14ac:dyDescent="0.25">
      <c r="A86" s="212" t="s">
        <v>420</v>
      </c>
      <c r="B86" s="64">
        <v>6.29</v>
      </c>
      <c r="C86" s="64">
        <v>17.809999999999999</v>
      </c>
      <c r="D86" s="64">
        <v>14.35</v>
      </c>
      <c r="E86" s="64">
        <v>6.12</v>
      </c>
      <c r="F86" s="64">
        <v>13.16</v>
      </c>
      <c r="G86" s="64">
        <v>60.66</v>
      </c>
      <c r="H86" s="64">
        <v>13.93</v>
      </c>
      <c r="I86" s="64">
        <v>1.65</v>
      </c>
      <c r="J86" s="64">
        <v>0.03</v>
      </c>
      <c r="K86" s="64">
        <v>326.73</v>
      </c>
      <c r="L86" s="64">
        <v>26.89</v>
      </c>
      <c r="M86" s="64">
        <v>93.59</v>
      </c>
      <c r="N86" s="64">
        <v>54.6</v>
      </c>
      <c r="O86" s="64">
        <v>0</v>
      </c>
      <c r="P86" s="64">
        <v>0.57999999999999996</v>
      </c>
      <c r="Q86" s="64">
        <v>9.15</v>
      </c>
      <c r="R86" s="198"/>
      <c r="S86" s="198"/>
      <c r="T86" s="198"/>
      <c r="U86" s="198"/>
    </row>
    <row r="87" spans="1:26" s="12" customFormat="1" x14ac:dyDescent="0.25">
      <c r="A87" s="212" t="s">
        <v>421</v>
      </c>
      <c r="B87" s="64">
        <v>7.56</v>
      </c>
      <c r="C87" s="64">
        <v>16.27</v>
      </c>
      <c r="D87" s="64">
        <v>14.57</v>
      </c>
      <c r="E87" s="64">
        <v>5.81</v>
      </c>
      <c r="F87" s="64">
        <v>10.130000000000001</v>
      </c>
      <c r="G87" s="64">
        <v>60.66</v>
      </c>
      <c r="H87" s="64">
        <v>13.93</v>
      </c>
      <c r="I87" s="64">
        <v>1.68</v>
      </c>
      <c r="J87" s="64">
        <v>0.05</v>
      </c>
      <c r="K87" s="64">
        <v>334.41</v>
      </c>
      <c r="L87" s="64">
        <v>26.73</v>
      </c>
      <c r="M87" s="64">
        <v>95.22</v>
      </c>
      <c r="N87" s="64">
        <v>54.8</v>
      </c>
      <c r="O87" s="64">
        <v>0</v>
      </c>
      <c r="P87" s="64">
        <v>0.64</v>
      </c>
      <c r="Q87" s="64">
        <v>9.15</v>
      </c>
      <c r="R87" s="198"/>
      <c r="S87" s="198"/>
      <c r="T87" s="198"/>
      <c r="U87" s="198"/>
    </row>
    <row r="88" spans="1:26" s="12" customFormat="1" x14ac:dyDescent="0.25">
      <c r="A88" s="212" t="s">
        <v>422</v>
      </c>
      <c r="B88" s="64">
        <v>7.13</v>
      </c>
      <c r="C88" s="64">
        <v>21.7</v>
      </c>
      <c r="D88" s="64">
        <v>17.059999999999999</v>
      </c>
      <c r="E88" s="64">
        <v>6.17</v>
      </c>
      <c r="F88" s="64">
        <v>13.77</v>
      </c>
      <c r="G88" s="64">
        <v>61.95</v>
      </c>
      <c r="H88" s="64">
        <v>13.93</v>
      </c>
      <c r="I88" s="64">
        <v>1.71</v>
      </c>
      <c r="J88" s="64">
        <v>0.03</v>
      </c>
      <c r="K88" s="64">
        <v>7.2</v>
      </c>
      <c r="L88" s="64">
        <v>26.6</v>
      </c>
      <c r="M88" s="64">
        <v>96.35</v>
      </c>
      <c r="N88" s="64">
        <v>54.9</v>
      </c>
      <c r="O88" s="64">
        <v>0</v>
      </c>
      <c r="P88" s="64">
        <v>0.7</v>
      </c>
      <c r="Q88" s="64">
        <v>9.14</v>
      </c>
      <c r="R88" s="198"/>
      <c r="S88" s="198"/>
      <c r="T88" s="198"/>
      <c r="U88" s="198"/>
    </row>
    <row r="89" spans="1:26" s="12" customFormat="1" x14ac:dyDescent="0.25">
      <c r="A89" s="212" t="s">
        <v>423</v>
      </c>
      <c r="B89" s="64">
        <v>20.88</v>
      </c>
      <c r="C89" s="64">
        <v>19.899999999999999</v>
      </c>
      <c r="D89" s="64">
        <v>27.1</v>
      </c>
      <c r="E89" s="64">
        <v>6.42</v>
      </c>
      <c r="F89" s="64">
        <v>7.62</v>
      </c>
      <c r="G89" s="64">
        <v>62.76</v>
      </c>
      <c r="H89" s="64">
        <v>17.96</v>
      </c>
      <c r="I89" s="64">
        <v>1.73</v>
      </c>
      <c r="J89" s="64">
        <v>0.36</v>
      </c>
      <c r="K89" s="64">
        <v>333.66</v>
      </c>
      <c r="L89" s="64">
        <v>26.43</v>
      </c>
      <c r="M89" s="64">
        <v>97.56</v>
      </c>
      <c r="N89" s="64">
        <v>54.8</v>
      </c>
      <c r="O89" s="64">
        <v>0</v>
      </c>
      <c r="P89" s="64">
        <v>0.93</v>
      </c>
      <c r="Q89" s="64">
        <v>9.1300000000000008</v>
      </c>
      <c r="R89" s="198"/>
      <c r="S89" s="198"/>
      <c r="T89" s="198"/>
      <c r="U89" s="198"/>
    </row>
    <row r="90" spans="1:26" s="12" customFormat="1" x14ac:dyDescent="0.25">
      <c r="A90" s="212" t="s">
        <v>424</v>
      </c>
      <c r="B90" s="64">
        <v>15.62</v>
      </c>
      <c r="C90" s="64">
        <v>15.66</v>
      </c>
      <c r="D90" s="64">
        <v>20.71</v>
      </c>
      <c r="E90" s="64">
        <v>6.16</v>
      </c>
      <c r="F90" s="64">
        <v>8.75</v>
      </c>
      <c r="G90" s="64">
        <v>62.76</v>
      </c>
      <c r="H90" s="64">
        <v>39.85</v>
      </c>
      <c r="I90" s="64">
        <v>1.75</v>
      </c>
      <c r="J90" s="64">
        <v>0.53</v>
      </c>
      <c r="K90" s="64">
        <v>336.31</v>
      </c>
      <c r="L90" s="64">
        <v>26.29</v>
      </c>
      <c r="M90" s="64">
        <v>98</v>
      </c>
      <c r="N90" s="64">
        <v>54.6</v>
      </c>
      <c r="O90" s="64">
        <v>0</v>
      </c>
      <c r="P90" s="64">
        <v>0.84</v>
      </c>
      <c r="Q90" s="64">
        <v>9.15</v>
      </c>
      <c r="R90" s="198"/>
      <c r="S90" s="198"/>
      <c r="T90" s="198"/>
      <c r="U90" s="198"/>
    </row>
    <row r="91" spans="1:26" s="12" customFormat="1" x14ac:dyDescent="0.25">
      <c r="A91" s="212" t="s">
        <v>425</v>
      </c>
      <c r="B91" s="64">
        <v>25.45</v>
      </c>
      <c r="C91" s="64">
        <v>22.85</v>
      </c>
      <c r="D91" s="64">
        <v>32.35</v>
      </c>
      <c r="E91" s="64">
        <v>6.41</v>
      </c>
      <c r="F91" s="64">
        <v>8.9700000000000006</v>
      </c>
      <c r="G91" s="64">
        <v>62.76</v>
      </c>
      <c r="H91" s="64">
        <v>39.85</v>
      </c>
      <c r="I91" s="64">
        <v>1.78</v>
      </c>
      <c r="J91" s="64">
        <v>0.16</v>
      </c>
      <c r="K91" s="64">
        <v>341.36</v>
      </c>
      <c r="L91" s="64">
        <v>26.28</v>
      </c>
      <c r="M91" s="64">
        <v>98</v>
      </c>
      <c r="N91" s="64">
        <v>54.9</v>
      </c>
      <c r="O91" s="64">
        <v>0</v>
      </c>
      <c r="P91" s="64">
        <v>1.27</v>
      </c>
      <c r="Q91" s="64">
        <v>9.19</v>
      </c>
      <c r="R91" s="198"/>
      <c r="S91" s="198"/>
      <c r="T91" s="198"/>
      <c r="U91" s="198"/>
    </row>
    <row r="92" spans="1:26" s="12" customFormat="1" x14ac:dyDescent="0.25">
      <c r="A92" s="212" t="s">
        <v>426</v>
      </c>
      <c r="B92" s="64">
        <v>17.88</v>
      </c>
      <c r="C92" s="64">
        <v>21.02</v>
      </c>
      <c r="D92" s="64">
        <v>25.32</v>
      </c>
      <c r="E92" s="64">
        <v>6.47</v>
      </c>
      <c r="F92" s="64">
        <v>7.39</v>
      </c>
      <c r="G92" s="64">
        <v>70.97</v>
      </c>
      <c r="H92" s="64">
        <v>39.85</v>
      </c>
      <c r="I92" s="64">
        <v>1.83</v>
      </c>
      <c r="J92" s="64">
        <v>0.11</v>
      </c>
      <c r="K92" s="64">
        <v>328.94</v>
      </c>
      <c r="L92" s="64">
        <v>26.14</v>
      </c>
      <c r="M92" s="64">
        <v>98</v>
      </c>
      <c r="N92" s="64">
        <v>54.9</v>
      </c>
      <c r="O92" s="64">
        <v>0</v>
      </c>
      <c r="P92" s="64">
        <v>1.01</v>
      </c>
      <c r="Q92" s="64">
        <v>9.1999999999999993</v>
      </c>
      <c r="R92" s="198"/>
      <c r="S92" s="198"/>
      <c r="T92" s="198"/>
      <c r="U92" s="198"/>
    </row>
    <row r="93" spans="1:26" s="12" customFormat="1" x14ac:dyDescent="0.25">
      <c r="A93" s="212" t="s">
        <v>427</v>
      </c>
      <c r="B93" s="64">
        <v>18.48</v>
      </c>
      <c r="C93" s="64">
        <v>18.239999999999998</v>
      </c>
      <c r="D93" s="64">
        <v>24.35</v>
      </c>
      <c r="E93" s="64">
        <v>6.13</v>
      </c>
      <c r="F93" s="64">
        <v>6.21</v>
      </c>
      <c r="G93" s="64">
        <v>76.19</v>
      </c>
      <c r="H93" s="64">
        <v>40</v>
      </c>
      <c r="I93" s="64">
        <v>1.99</v>
      </c>
      <c r="J93" s="64">
        <v>0.09</v>
      </c>
      <c r="K93" s="64">
        <v>326.64</v>
      </c>
      <c r="L93" s="64">
        <v>26.22</v>
      </c>
      <c r="M93" s="64">
        <v>98</v>
      </c>
      <c r="N93" s="64">
        <v>55</v>
      </c>
      <c r="O93" s="64">
        <v>0</v>
      </c>
      <c r="P93" s="64">
        <v>0.93</v>
      </c>
      <c r="Q93" s="64">
        <v>9.24</v>
      </c>
      <c r="R93" s="198"/>
      <c r="S93" s="198"/>
      <c r="T93" s="198"/>
      <c r="U93" s="198"/>
    </row>
    <row r="94" spans="1:26" s="12" customFormat="1" x14ac:dyDescent="0.25">
      <c r="A94" s="212" t="s">
        <v>428</v>
      </c>
      <c r="B94" s="64">
        <v>24.76</v>
      </c>
      <c r="C94" s="64">
        <v>24.21</v>
      </c>
      <c r="D94" s="64">
        <v>32.5</v>
      </c>
      <c r="E94" s="64">
        <v>5.98</v>
      </c>
      <c r="F94" s="64">
        <v>7.43</v>
      </c>
      <c r="G94" s="64">
        <v>76.19</v>
      </c>
      <c r="H94" s="64">
        <v>40.770000000000003</v>
      </c>
      <c r="I94" s="64">
        <v>2.02</v>
      </c>
      <c r="J94" s="64">
        <v>0.03</v>
      </c>
      <c r="K94" s="64">
        <v>286.64999999999998</v>
      </c>
      <c r="L94" s="64">
        <v>26.25</v>
      </c>
      <c r="M94" s="64">
        <v>98</v>
      </c>
      <c r="N94" s="64">
        <v>55</v>
      </c>
      <c r="O94" s="64">
        <v>0</v>
      </c>
      <c r="P94" s="64">
        <v>1.02</v>
      </c>
      <c r="Q94" s="64">
        <v>9.2899999999999991</v>
      </c>
      <c r="R94" s="198"/>
      <c r="S94" s="198"/>
      <c r="T94" s="198"/>
      <c r="U94" s="198"/>
    </row>
    <row r="95" spans="1:26" s="12" customFormat="1" x14ac:dyDescent="0.25">
      <c r="A95" s="212" t="s">
        <v>429</v>
      </c>
      <c r="B95" s="64">
        <v>12.04</v>
      </c>
      <c r="C95" s="64">
        <v>20.440000000000001</v>
      </c>
      <c r="D95" s="64">
        <v>20.329999999999998</v>
      </c>
      <c r="E95" s="64">
        <v>6.14</v>
      </c>
      <c r="F95" s="64">
        <v>6.66</v>
      </c>
      <c r="G95" s="64">
        <v>76.19</v>
      </c>
      <c r="H95" s="64">
        <v>40.770000000000003</v>
      </c>
      <c r="I95" s="64">
        <v>1.97</v>
      </c>
      <c r="J95" s="64">
        <v>0.04</v>
      </c>
      <c r="K95" s="64">
        <v>245.76</v>
      </c>
      <c r="L95" s="64">
        <v>26.25</v>
      </c>
      <c r="M95" s="64">
        <v>98</v>
      </c>
      <c r="N95" s="64">
        <v>55</v>
      </c>
      <c r="O95" s="64">
        <v>0</v>
      </c>
      <c r="P95" s="64">
        <v>0.69</v>
      </c>
      <c r="Q95" s="64">
        <v>9.32</v>
      </c>
      <c r="R95" s="198"/>
      <c r="S95" s="198"/>
      <c r="T95" s="198"/>
      <c r="U95" s="198"/>
    </row>
    <row r="96" spans="1:26" s="12" customFormat="1" x14ac:dyDescent="0.25">
      <c r="A96" s="212" t="s">
        <v>430</v>
      </c>
      <c r="B96" s="64">
        <v>8.9700000000000006</v>
      </c>
      <c r="C96" s="64">
        <v>17.86</v>
      </c>
      <c r="D96" s="64">
        <v>16.52</v>
      </c>
      <c r="E96" s="64">
        <v>6.21</v>
      </c>
      <c r="F96" s="64">
        <v>10.81</v>
      </c>
      <c r="G96" s="64">
        <v>79.400000000000006</v>
      </c>
      <c r="H96" s="64">
        <v>40.770000000000003</v>
      </c>
      <c r="I96" s="64">
        <v>2.0099999999999998</v>
      </c>
      <c r="J96" s="64">
        <v>0.05</v>
      </c>
      <c r="K96" s="64">
        <v>3.26</v>
      </c>
      <c r="L96" s="64">
        <v>26.19</v>
      </c>
      <c r="M96" s="64">
        <v>98</v>
      </c>
      <c r="N96" s="64">
        <v>55</v>
      </c>
      <c r="O96" s="64">
        <v>0</v>
      </c>
      <c r="P96" s="64">
        <v>0.62</v>
      </c>
      <c r="Q96" s="64">
        <v>9.34</v>
      </c>
      <c r="R96" s="198"/>
      <c r="S96" s="198"/>
      <c r="T96" s="198"/>
      <c r="U96" s="198"/>
      <c r="Z96" s="109"/>
    </row>
    <row r="97" spans="1:33" s="12" customFormat="1" x14ac:dyDescent="0.25">
      <c r="A97" s="212" t="s">
        <v>431</v>
      </c>
      <c r="B97" s="64">
        <v>8.02</v>
      </c>
      <c r="C97" s="64">
        <v>19.260000000000002</v>
      </c>
      <c r="D97" s="64">
        <v>16.5</v>
      </c>
      <c r="E97" s="64">
        <v>6.13</v>
      </c>
      <c r="F97" s="64">
        <v>10.220000000000001</v>
      </c>
      <c r="G97" s="64">
        <v>81.55</v>
      </c>
      <c r="H97" s="64">
        <v>38.659999999999997</v>
      </c>
      <c r="I97" s="64">
        <v>2.0299999999999998</v>
      </c>
      <c r="J97" s="64">
        <v>0.02</v>
      </c>
      <c r="K97" s="64">
        <v>227.61</v>
      </c>
      <c r="L97" s="64">
        <v>26.04</v>
      </c>
      <c r="M97" s="64">
        <v>97.99</v>
      </c>
      <c r="N97" s="64">
        <v>55.1</v>
      </c>
      <c r="O97" s="64">
        <v>0</v>
      </c>
      <c r="P97" s="64">
        <v>0.56000000000000005</v>
      </c>
      <c r="Q97" s="64">
        <v>9.34</v>
      </c>
      <c r="R97" s="198"/>
      <c r="S97" s="198"/>
      <c r="T97" s="198"/>
      <c r="U97" s="198"/>
    </row>
    <row r="98" spans="1:33" s="12" customFormat="1" x14ac:dyDescent="0.25">
      <c r="A98" s="212" t="s">
        <v>432</v>
      </c>
      <c r="B98" s="64">
        <v>8.41</v>
      </c>
      <c r="C98" s="64">
        <v>20.95</v>
      </c>
      <c r="D98" s="64">
        <v>17.690000000000001</v>
      </c>
      <c r="E98" s="64">
        <v>5.96</v>
      </c>
      <c r="F98" s="64">
        <v>8.57</v>
      </c>
      <c r="G98" s="64">
        <v>81.55</v>
      </c>
      <c r="H98" s="64">
        <v>27.21</v>
      </c>
      <c r="I98" s="64">
        <v>2.04</v>
      </c>
      <c r="J98" s="64">
        <v>0.06</v>
      </c>
      <c r="K98" s="64">
        <v>252.98</v>
      </c>
      <c r="L98" s="64">
        <v>25.96</v>
      </c>
      <c r="M98" s="64">
        <v>97.97</v>
      </c>
      <c r="N98" s="64">
        <v>55</v>
      </c>
      <c r="O98" s="64">
        <v>0</v>
      </c>
      <c r="P98" s="64">
        <v>0.51</v>
      </c>
      <c r="Q98" s="64">
        <v>9.36</v>
      </c>
      <c r="R98" s="198"/>
      <c r="S98" s="198"/>
      <c r="T98" s="198"/>
      <c r="U98" s="198"/>
    </row>
    <row r="99" spans="1:33" s="12" customFormat="1" x14ac:dyDescent="0.25">
      <c r="A99" s="212" t="s">
        <v>433</v>
      </c>
      <c r="B99" s="64">
        <v>8</v>
      </c>
      <c r="C99" s="64">
        <v>17.95</v>
      </c>
      <c r="D99" s="64">
        <v>15.79</v>
      </c>
      <c r="E99" s="64">
        <v>6.12</v>
      </c>
      <c r="F99" s="64">
        <v>9.99</v>
      </c>
      <c r="G99" s="64">
        <v>81.55</v>
      </c>
      <c r="H99" s="64">
        <v>27.21</v>
      </c>
      <c r="I99" s="64">
        <v>2.0499999999999998</v>
      </c>
      <c r="J99" s="64">
        <v>0.03</v>
      </c>
      <c r="K99" s="64">
        <v>307.38</v>
      </c>
      <c r="L99" s="64">
        <v>25.86</v>
      </c>
      <c r="M99" s="64">
        <v>97.95</v>
      </c>
      <c r="N99" s="64">
        <v>55</v>
      </c>
      <c r="O99" s="64">
        <v>0.2</v>
      </c>
      <c r="P99" s="64">
        <v>0.42</v>
      </c>
      <c r="Q99" s="64">
        <v>9.36</v>
      </c>
      <c r="R99" s="198"/>
      <c r="S99" s="198"/>
      <c r="T99" s="198"/>
      <c r="U99" s="198"/>
    </row>
    <row r="100" spans="1:33" s="12" customFormat="1" x14ac:dyDescent="0.25">
      <c r="A100" s="212" t="s">
        <v>434</v>
      </c>
      <c r="B100" s="64">
        <v>7.34</v>
      </c>
      <c r="C100" s="64">
        <v>16.82</v>
      </c>
      <c r="D100" s="64">
        <v>14.67</v>
      </c>
      <c r="E100" s="64">
        <v>5.84</v>
      </c>
      <c r="F100" s="64">
        <v>10.130000000000001</v>
      </c>
      <c r="G100" s="64">
        <v>77.260000000000005</v>
      </c>
      <c r="H100" s="64">
        <v>27.21</v>
      </c>
      <c r="I100" s="64">
        <v>2.17</v>
      </c>
      <c r="J100" s="64">
        <v>0.01</v>
      </c>
      <c r="K100" s="64">
        <v>278.61</v>
      </c>
      <c r="L100" s="64">
        <v>25.76</v>
      </c>
      <c r="M100" s="64">
        <v>97.96</v>
      </c>
      <c r="N100" s="64">
        <v>55.1</v>
      </c>
      <c r="O100" s="64">
        <v>0</v>
      </c>
      <c r="P100" s="64">
        <v>0.42</v>
      </c>
      <c r="Q100" s="64">
        <v>9.36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2" t="s">
        <v>435</v>
      </c>
      <c r="B101" s="64">
        <v>9.7200000000000006</v>
      </c>
      <c r="C101" s="64">
        <v>18.190000000000001</v>
      </c>
      <c r="D101" s="64">
        <v>17.3</v>
      </c>
      <c r="E101" s="64">
        <v>5.87</v>
      </c>
      <c r="F101" s="64">
        <v>9.74</v>
      </c>
      <c r="G101" s="64">
        <v>74.540000000000006</v>
      </c>
      <c r="H101" s="64">
        <v>27.16</v>
      </c>
      <c r="I101" s="64">
        <v>2.12</v>
      </c>
      <c r="J101" s="64">
        <v>0.03</v>
      </c>
      <c r="K101" s="64">
        <v>102.92</v>
      </c>
      <c r="L101" s="64">
        <v>25.65</v>
      </c>
      <c r="M101" s="64">
        <v>97.98</v>
      </c>
      <c r="N101" s="64">
        <v>55</v>
      </c>
      <c r="O101" s="64">
        <v>0</v>
      </c>
      <c r="P101" s="64">
        <v>0.41</v>
      </c>
      <c r="Q101" s="64">
        <v>9.35</v>
      </c>
      <c r="R101" s="198"/>
      <c r="S101" s="198"/>
      <c r="T101" s="198"/>
      <c r="U101" s="198"/>
    </row>
    <row r="102" spans="1:33" s="12" customFormat="1" x14ac:dyDescent="0.25">
      <c r="A102" s="212" t="s">
        <v>436</v>
      </c>
      <c r="B102" s="64">
        <v>6.28</v>
      </c>
      <c r="C102" s="64">
        <v>16.53</v>
      </c>
      <c r="D102" s="64">
        <v>13.67</v>
      </c>
      <c r="E102" s="64">
        <v>6.13</v>
      </c>
      <c r="F102" s="64">
        <v>9.85</v>
      </c>
      <c r="G102" s="64">
        <v>74.540000000000006</v>
      </c>
      <c r="H102" s="64">
        <v>26.88</v>
      </c>
      <c r="I102" s="64">
        <v>2.02</v>
      </c>
      <c r="J102" s="64">
        <v>0.02</v>
      </c>
      <c r="K102" s="64">
        <v>231.45</v>
      </c>
      <c r="L102" s="64">
        <v>25.56</v>
      </c>
      <c r="M102" s="64">
        <v>97.98</v>
      </c>
      <c r="N102" s="64">
        <v>55.1</v>
      </c>
      <c r="O102" s="64">
        <v>0</v>
      </c>
      <c r="P102" s="64">
        <v>0.32</v>
      </c>
      <c r="Q102" s="64">
        <v>9.35</v>
      </c>
      <c r="R102" s="198"/>
      <c r="S102" s="198"/>
      <c r="T102" s="198"/>
      <c r="U102" s="198"/>
    </row>
    <row r="103" spans="1:33" s="12" customFormat="1" x14ac:dyDescent="0.25">
      <c r="A103" s="212" t="s">
        <v>437</v>
      </c>
      <c r="B103" s="64">
        <v>6.8</v>
      </c>
      <c r="C103" s="64">
        <v>12.71</v>
      </c>
      <c r="D103" s="64">
        <v>12.09</v>
      </c>
      <c r="E103" s="64">
        <v>6.13</v>
      </c>
      <c r="F103" s="64">
        <v>10.210000000000001</v>
      </c>
      <c r="G103" s="64">
        <v>74.540000000000006</v>
      </c>
      <c r="H103" s="64">
        <v>26.88</v>
      </c>
      <c r="I103" s="64">
        <v>2.0099999999999998</v>
      </c>
      <c r="J103" s="64">
        <v>0.05</v>
      </c>
      <c r="K103" s="64">
        <v>239.86</v>
      </c>
      <c r="L103" s="64">
        <v>25.49</v>
      </c>
      <c r="M103" s="64">
        <v>97.98</v>
      </c>
      <c r="N103" s="64">
        <v>55.1</v>
      </c>
      <c r="O103" s="64">
        <v>0</v>
      </c>
      <c r="P103" s="64">
        <v>0.26</v>
      </c>
      <c r="Q103" s="64">
        <v>9.35</v>
      </c>
      <c r="R103" s="198"/>
      <c r="S103" s="198"/>
      <c r="T103" s="198"/>
      <c r="U103" s="198"/>
    </row>
    <row r="104" spans="1:33" s="12" customFormat="1" x14ac:dyDescent="0.25">
      <c r="A104" s="212" t="s">
        <v>438</v>
      </c>
      <c r="B104" s="64">
        <v>7.24</v>
      </c>
      <c r="C104" s="64">
        <v>12.24</v>
      </c>
      <c r="D104" s="64">
        <v>12.2</v>
      </c>
      <c r="E104" s="64">
        <v>3.59</v>
      </c>
      <c r="F104" s="64">
        <v>9.93</v>
      </c>
      <c r="G104" s="64">
        <v>72.069999999999993</v>
      </c>
      <c r="H104" s="64">
        <v>26.88</v>
      </c>
      <c r="I104" s="64">
        <v>1.98</v>
      </c>
      <c r="J104" s="64">
        <v>0.05</v>
      </c>
      <c r="K104" s="64">
        <v>304.85000000000002</v>
      </c>
      <c r="L104" s="64">
        <v>25.39</v>
      </c>
      <c r="M104" s="64">
        <v>98</v>
      </c>
      <c r="N104" s="64">
        <v>55.1</v>
      </c>
      <c r="O104" s="64">
        <v>0</v>
      </c>
      <c r="P104" s="64">
        <v>0.32</v>
      </c>
      <c r="Q104" s="64">
        <v>9.34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6.28</v>
      </c>
      <c r="C106" s="67">
        <f>MIN(C9:C104)</f>
        <v>7.5</v>
      </c>
      <c r="D106" s="67">
        <f t="shared" ref="D106:Q106" si="0">MIN(D9:D104)</f>
        <v>9.84</v>
      </c>
      <c r="E106" s="67">
        <f t="shared" si="0"/>
        <v>3.31</v>
      </c>
      <c r="F106" s="67">
        <f t="shared" si="0"/>
        <v>3.08</v>
      </c>
      <c r="G106" s="67">
        <f t="shared" si="0"/>
        <v>17.82</v>
      </c>
      <c r="H106" s="67">
        <f t="shared" si="0"/>
        <v>0.4</v>
      </c>
      <c r="I106" s="67">
        <f t="shared" si="0"/>
        <v>1.57</v>
      </c>
      <c r="J106" s="67">
        <f t="shared" si="0"/>
        <v>0</v>
      </c>
      <c r="K106" s="67">
        <f t="shared" si="0"/>
        <v>1.3</v>
      </c>
      <c r="L106" s="67">
        <f t="shared" si="0"/>
        <v>22.9</v>
      </c>
      <c r="M106" s="67">
        <f t="shared" si="0"/>
        <v>72.08</v>
      </c>
      <c r="N106" s="67">
        <f t="shared" si="0"/>
        <v>43.7</v>
      </c>
      <c r="O106" s="67">
        <f t="shared" si="0"/>
        <v>0</v>
      </c>
      <c r="P106" s="67">
        <f t="shared" si="0"/>
        <v>0.18</v>
      </c>
      <c r="Q106" s="67">
        <f t="shared" si="0"/>
        <v>9.06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25.45</v>
      </c>
      <c r="C107" s="66">
        <f t="shared" ref="C107:Q107" si="1">MAX(C9:C104)</f>
        <v>24.21</v>
      </c>
      <c r="D107" s="66">
        <f t="shared" si="1"/>
        <v>32.5</v>
      </c>
      <c r="E107" s="66">
        <f t="shared" si="1"/>
        <v>6.47</v>
      </c>
      <c r="F107" s="66">
        <f t="shared" si="1"/>
        <v>14.76</v>
      </c>
      <c r="G107" s="66">
        <f t="shared" si="1"/>
        <v>81.55</v>
      </c>
      <c r="H107" s="66">
        <f t="shared" si="1"/>
        <v>162.44</v>
      </c>
      <c r="I107" s="66">
        <f t="shared" si="1"/>
        <v>3.28</v>
      </c>
      <c r="J107" s="66">
        <f t="shared" si="1"/>
        <v>0.79</v>
      </c>
      <c r="K107" s="66">
        <f t="shared" si="1"/>
        <v>354.84</v>
      </c>
      <c r="L107" s="66">
        <f t="shared" si="1"/>
        <v>31.73</v>
      </c>
      <c r="M107" s="66">
        <f t="shared" si="1"/>
        <v>98.18</v>
      </c>
      <c r="N107" s="66">
        <f t="shared" si="1"/>
        <v>828.1</v>
      </c>
      <c r="O107" s="66">
        <f t="shared" si="1"/>
        <v>0.2</v>
      </c>
      <c r="P107" s="66">
        <f t="shared" si="1"/>
        <v>1.27</v>
      </c>
      <c r="Q107" s="66">
        <f t="shared" si="1"/>
        <v>9.36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9.0907291666666641</v>
      </c>
      <c r="C108" s="67">
        <f t="shared" ref="C108:Q108" si="2">AVERAGE(C9:C104)</f>
        <v>12.583020833333331</v>
      </c>
      <c r="D108" s="67">
        <f t="shared" si="2"/>
        <v>13.864479166666664</v>
      </c>
      <c r="E108" s="67">
        <f t="shared" si="2"/>
        <v>4.7390625000000002</v>
      </c>
      <c r="F108" s="67">
        <f t="shared" si="2"/>
        <v>7.4092708333333333</v>
      </c>
      <c r="G108" s="67">
        <f t="shared" si="2"/>
        <v>44.353125000000027</v>
      </c>
      <c r="H108" s="67">
        <f t="shared" si="2"/>
        <v>30.563124999999985</v>
      </c>
      <c r="I108" s="67">
        <f t="shared" si="2"/>
        <v>2.1676041666666661</v>
      </c>
      <c r="J108" s="67">
        <f t="shared" si="2"/>
        <v>0.14958333333333332</v>
      </c>
      <c r="K108" s="67">
        <f t="shared" si="2"/>
        <v>277.29406250000011</v>
      </c>
      <c r="L108" s="67">
        <f t="shared" si="2"/>
        <v>26.479791666666667</v>
      </c>
      <c r="M108" s="67">
        <f t="shared" si="2"/>
        <v>92.037395833333321</v>
      </c>
      <c r="N108" s="67">
        <f t="shared" si="2"/>
        <v>157.07291666666666</v>
      </c>
      <c r="O108" s="67">
        <f t="shared" si="2"/>
        <v>2.0833333333333333E-3</v>
      </c>
      <c r="P108" s="67">
        <f t="shared" si="2"/>
        <v>0.44343749999999998</v>
      </c>
      <c r="Q108" s="67">
        <f t="shared" si="2"/>
        <v>9.1557291666666654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3.2649794856425509</v>
      </c>
      <c r="C109" s="67">
        <f t="shared" ref="C109:Q109" si="3">STDEV(C9:C104)</f>
        <v>4.3130499941680451</v>
      </c>
      <c r="D109" s="67">
        <f t="shared" si="3"/>
        <v>4.1980273236471239</v>
      </c>
      <c r="E109" s="67">
        <f t="shared" si="3"/>
        <v>0.97307875823945655</v>
      </c>
      <c r="F109" s="67">
        <f t="shared" si="3"/>
        <v>2.8881300615091754</v>
      </c>
      <c r="G109" s="67">
        <f t="shared" si="3"/>
        <v>18.570579069422759</v>
      </c>
      <c r="H109" s="67">
        <f t="shared" si="3"/>
        <v>33.716198615486704</v>
      </c>
      <c r="I109" s="67">
        <f t="shared" si="3"/>
        <v>0.45929406883463153</v>
      </c>
      <c r="J109" s="67">
        <f t="shared" si="3"/>
        <v>0.14217792164576318</v>
      </c>
      <c r="K109" s="67">
        <f t="shared" si="3"/>
        <v>68.73880104888427</v>
      </c>
      <c r="L109" s="67">
        <f t="shared" si="3"/>
        <v>2.539063225168587</v>
      </c>
      <c r="M109" s="67">
        <f t="shared" si="3"/>
        <v>8.6830423051627257</v>
      </c>
      <c r="N109" s="67">
        <f t="shared" si="3"/>
        <v>157.27104091791179</v>
      </c>
      <c r="O109" s="67">
        <f t="shared" si="3"/>
        <v>2.0412414523193152E-2</v>
      </c>
      <c r="P109" s="67">
        <f t="shared" si="3"/>
        <v>0.18909662317116316</v>
      </c>
      <c r="Q109" s="67">
        <f t="shared" si="3"/>
        <v>8.3410775419848093E-2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216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48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6" sqref="J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03/08/2025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2" t="s">
        <v>439</v>
      </c>
      <c r="B9" s="64">
        <v>7.02</v>
      </c>
      <c r="C9" s="64">
        <v>12.2</v>
      </c>
      <c r="D9" s="64">
        <v>12</v>
      </c>
      <c r="E9" s="64">
        <v>3.93</v>
      </c>
      <c r="F9" s="64">
        <v>11.76</v>
      </c>
      <c r="G9" s="64">
        <v>70.42</v>
      </c>
      <c r="H9" s="64">
        <v>30.23</v>
      </c>
      <c r="I9" s="64">
        <v>1.94</v>
      </c>
      <c r="J9" s="64">
        <v>0.04</v>
      </c>
      <c r="K9" s="64">
        <v>225.04</v>
      </c>
      <c r="L9" s="64">
        <v>25.27</v>
      </c>
      <c r="M9" s="64">
        <v>98.02</v>
      </c>
      <c r="N9" s="64">
        <v>55.1</v>
      </c>
      <c r="O9" s="64">
        <v>0</v>
      </c>
      <c r="P9" s="64">
        <v>0.27</v>
      </c>
      <c r="Q9" s="64">
        <v>9.32</v>
      </c>
      <c r="R9" s="198"/>
      <c r="S9" s="198"/>
      <c r="T9" s="198"/>
      <c r="U9" s="198"/>
    </row>
    <row r="10" spans="1:21" s="12" customFormat="1" x14ac:dyDescent="0.25">
      <c r="A10" s="212" t="s">
        <v>440</v>
      </c>
      <c r="B10" s="64">
        <v>5.33</v>
      </c>
      <c r="C10" s="64">
        <v>11.59</v>
      </c>
      <c r="D10" s="64">
        <v>10.33</v>
      </c>
      <c r="E10" s="64">
        <v>3.88</v>
      </c>
      <c r="F10" s="64">
        <v>11.72</v>
      </c>
      <c r="G10" s="64">
        <v>70.42</v>
      </c>
      <c r="H10" s="64">
        <v>48.38</v>
      </c>
      <c r="I10" s="64">
        <v>1.9</v>
      </c>
      <c r="J10" s="64">
        <v>0.06</v>
      </c>
      <c r="K10" s="64">
        <v>123.66</v>
      </c>
      <c r="L10" s="64">
        <v>25.09</v>
      </c>
      <c r="M10" s="64">
        <v>98.02</v>
      </c>
      <c r="N10" s="64">
        <v>55.2</v>
      </c>
      <c r="O10" s="64">
        <v>0</v>
      </c>
      <c r="P10" s="64">
        <v>0.2</v>
      </c>
      <c r="Q10" s="64">
        <v>9.31</v>
      </c>
      <c r="R10" s="198"/>
      <c r="S10" s="198"/>
      <c r="T10" s="198"/>
      <c r="U10" s="198"/>
    </row>
    <row r="11" spans="1:21" s="12" customFormat="1" x14ac:dyDescent="0.25">
      <c r="A11" s="212" t="s">
        <v>441</v>
      </c>
      <c r="B11" s="64">
        <v>4.84</v>
      </c>
      <c r="C11" s="64">
        <v>10.78</v>
      </c>
      <c r="D11" s="64">
        <v>9.52</v>
      </c>
      <c r="E11" s="64">
        <v>4.07</v>
      </c>
      <c r="F11" s="64">
        <v>11.44</v>
      </c>
      <c r="G11" s="64">
        <v>70.42</v>
      </c>
      <c r="H11" s="64">
        <v>48.38</v>
      </c>
      <c r="I11" s="64">
        <v>1.85</v>
      </c>
      <c r="J11" s="64">
        <v>0.04</v>
      </c>
      <c r="K11" s="64">
        <v>123.83</v>
      </c>
      <c r="L11" s="64">
        <v>25.04</v>
      </c>
      <c r="M11" s="64">
        <v>98.02</v>
      </c>
      <c r="N11" s="64">
        <v>55</v>
      </c>
      <c r="O11" s="64">
        <v>0</v>
      </c>
      <c r="P11" s="64">
        <v>0.23</v>
      </c>
      <c r="Q11" s="64">
        <v>9.2899999999999991</v>
      </c>
      <c r="R11" s="198"/>
      <c r="S11" s="198"/>
      <c r="T11" s="198"/>
      <c r="U11" s="198"/>
    </row>
    <row r="12" spans="1:21" s="12" customFormat="1" x14ac:dyDescent="0.25">
      <c r="A12" s="212" t="s">
        <v>442</v>
      </c>
      <c r="B12" s="64">
        <v>4.74</v>
      </c>
      <c r="C12" s="64">
        <v>11.15</v>
      </c>
      <c r="D12" s="64">
        <v>9.6300000000000008</v>
      </c>
      <c r="E12" s="64">
        <v>3.72</v>
      </c>
      <c r="F12" s="64">
        <v>10.91</v>
      </c>
      <c r="G12" s="64">
        <v>63.82</v>
      </c>
      <c r="H12" s="64">
        <v>48.38</v>
      </c>
      <c r="I12" s="64">
        <v>1.81</v>
      </c>
      <c r="J12" s="64">
        <v>0.03</v>
      </c>
      <c r="K12" s="64">
        <v>74.040000000000006</v>
      </c>
      <c r="L12" s="64">
        <v>24.96</v>
      </c>
      <c r="M12" s="64">
        <v>98.04</v>
      </c>
      <c r="N12" s="64">
        <v>55</v>
      </c>
      <c r="O12" s="64">
        <v>0</v>
      </c>
      <c r="P12" s="64">
        <v>0.16</v>
      </c>
      <c r="Q12" s="64">
        <v>9.26</v>
      </c>
      <c r="R12" s="198"/>
      <c r="S12" s="198"/>
      <c r="T12" s="198"/>
      <c r="U12" s="198"/>
    </row>
    <row r="13" spans="1:21" s="12" customFormat="1" x14ac:dyDescent="0.25">
      <c r="A13" s="212" t="s">
        <v>443</v>
      </c>
      <c r="B13" s="64">
        <v>5.36</v>
      </c>
      <c r="C13" s="64">
        <v>9.85</v>
      </c>
      <c r="D13" s="64">
        <v>9.4499999999999993</v>
      </c>
      <c r="E13" s="64">
        <v>3.89</v>
      </c>
      <c r="F13" s="64">
        <v>10.47</v>
      </c>
      <c r="G13" s="64">
        <v>59.62</v>
      </c>
      <c r="H13" s="64">
        <v>46.6</v>
      </c>
      <c r="I13" s="64">
        <v>1.78</v>
      </c>
      <c r="J13" s="64">
        <v>0.16</v>
      </c>
      <c r="K13" s="64">
        <v>105.87</v>
      </c>
      <c r="L13" s="64">
        <v>24.89</v>
      </c>
      <c r="M13" s="64">
        <v>98.05</v>
      </c>
      <c r="N13" s="64">
        <v>55</v>
      </c>
      <c r="O13" s="64">
        <v>0</v>
      </c>
      <c r="P13" s="64">
        <v>0.21</v>
      </c>
      <c r="Q13" s="64">
        <v>9.25</v>
      </c>
      <c r="R13" s="198"/>
      <c r="S13" s="198"/>
      <c r="T13" s="198"/>
      <c r="U13" s="198"/>
    </row>
    <row r="14" spans="1:21" s="12" customFormat="1" x14ac:dyDescent="0.25">
      <c r="A14" s="212" t="s">
        <v>444</v>
      </c>
      <c r="B14" s="64">
        <v>6.27</v>
      </c>
      <c r="C14" s="64">
        <v>7.67</v>
      </c>
      <c r="D14" s="64">
        <v>9.0399999999999991</v>
      </c>
      <c r="E14" s="64">
        <v>3.87</v>
      </c>
      <c r="F14" s="64">
        <v>9.7899999999999991</v>
      </c>
      <c r="G14" s="64">
        <v>59.62</v>
      </c>
      <c r="H14" s="64">
        <v>36.020000000000003</v>
      </c>
      <c r="I14" s="64">
        <v>1.75</v>
      </c>
      <c r="J14" s="64">
        <v>0.15</v>
      </c>
      <c r="K14" s="64">
        <v>131.72</v>
      </c>
      <c r="L14" s="64">
        <v>24.78</v>
      </c>
      <c r="M14" s="64">
        <v>98</v>
      </c>
      <c r="N14" s="64">
        <v>55</v>
      </c>
      <c r="O14" s="64">
        <v>0</v>
      </c>
      <c r="P14" s="64">
        <v>0.23</v>
      </c>
      <c r="Q14" s="64">
        <v>9.25</v>
      </c>
      <c r="R14" s="198"/>
      <c r="S14" s="198"/>
      <c r="T14" s="198"/>
      <c r="U14" s="198"/>
    </row>
    <row r="15" spans="1:21" s="12" customFormat="1" x14ac:dyDescent="0.25">
      <c r="A15" s="212" t="s">
        <v>445</v>
      </c>
      <c r="B15" s="64">
        <v>4.82</v>
      </c>
      <c r="C15" s="64">
        <v>8.27</v>
      </c>
      <c r="D15" s="64">
        <v>8.19</v>
      </c>
      <c r="E15" s="64">
        <v>3.81</v>
      </c>
      <c r="F15" s="64">
        <v>10.68</v>
      </c>
      <c r="G15" s="64">
        <v>59.62</v>
      </c>
      <c r="H15" s="64">
        <v>36.020000000000003</v>
      </c>
      <c r="I15" s="64">
        <v>1.71</v>
      </c>
      <c r="J15" s="64">
        <v>7.0000000000000007E-2</v>
      </c>
      <c r="K15" s="64">
        <v>109.84</v>
      </c>
      <c r="L15" s="64">
        <v>24.63</v>
      </c>
      <c r="M15" s="64">
        <v>97.95</v>
      </c>
      <c r="N15" s="64">
        <v>55.1</v>
      </c>
      <c r="O15" s="64">
        <v>0</v>
      </c>
      <c r="P15" s="64">
        <v>0.14000000000000001</v>
      </c>
      <c r="Q15" s="64">
        <v>9.25</v>
      </c>
      <c r="R15" s="198"/>
      <c r="S15" s="198"/>
      <c r="T15" s="198"/>
      <c r="U15" s="198"/>
    </row>
    <row r="16" spans="1:21" s="12" customFormat="1" x14ac:dyDescent="0.25">
      <c r="A16" s="212" t="s">
        <v>446</v>
      </c>
      <c r="B16" s="64">
        <v>5.21</v>
      </c>
      <c r="C16" s="64">
        <v>8.24</v>
      </c>
      <c r="D16" s="64">
        <v>8.49</v>
      </c>
      <c r="E16" s="64">
        <v>3.83</v>
      </c>
      <c r="F16" s="64">
        <v>10.4</v>
      </c>
      <c r="G16" s="64">
        <v>55.91</v>
      </c>
      <c r="H16" s="64">
        <v>36.020000000000003</v>
      </c>
      <c r="I16" s="64">
        <v>1.78</v>
      </c>
      <c r="J16" s="64">
        <v>0.05</v>
      </c>
      <c r="K16" s="64">
        <v>99.91</v>
      </c>
      <c r="L16" s="64">
        <v>24.62</v>
      </c>
      <c r="M16" s="64">
        <v>97.97</v>
      </c>
      <c r="N16" s="64">
        <v>55.1</v>
      </c>
      <c r="O16" s="64">
        <v>0</v>
      </c>
      <c r="P16" s="64">
        <v>0.19</v>
      </c>
      <c r="Q16" s="64">
        <v>9.25</v>
      </c>
      <c r="R16" s="198"/>
      <c r="S16" s="198"/>
      <c r="T16" s="198"/>
      <c r="U16" s="198"/>
    </row>
    <row r="17" spans="1:21" s="12" customFormat="1" x14ac:dyDescent="0.25">
      <c r="A17" s="212" t="s">
        <v>447</v>
      </c>
      <c r="B17" s="64">
        <v>6.02</v>
      </c>
      <c r="C17" s="64">
        <v>7.11</v>
      </c>
      <c r="D17" s="64">
        <v>8.5399999999999991</v>
      </c>
      <c r="E17" s="64">
        <v>3.83</v>
      </c>
      <c r="F17" s="64">
        <v>8.93</v>
      </c>
      <c r="G17" s="64">
        <v>53.43</v>
      </c>
      <c r="H17" s="64">
        <v>33.020000000000003</v>
      </c>
      <c r="I17" s="64">
        <v>1.71</v>
      </c>
      <c r="J17" s="64">
        <v>0.05</v>
      </c>
      <c r="K17" s="64">
        <v>140.32</v>
      </c>
      <c r="L17" s="64">
        <v>24.57</v>
      </c>
      <c r="M17" s="64">
        <v>97.99</v>
      </c>
      <c r="N17" s="64">
        <v>55</v>
      </c>
      <c r="O17" s="64">
        <v>0</v>
      </c>
      <c r="P17" s="64">
        <v>0.18</v>
      </c>
      <c r="Q17" s="64">
        <v>9.24</v>
      </c>
      <c r="R17" s="198"/>
      <c r="S17" s="198"/>
      <c r="T17" s="198"/>
      <c r="U17" s="198"/>
    </row>
    <row r="18" spans="1:21" s="12" customFormat="1" x14ac:dyDescent="0.25">
      <c r="A18" s="212" t="s">
        <v>448</v>
      </c>
      <c r="B18" s="64">
        <v>5.96</v>
      </c>
      <c r="C18" s="64">
        <v>7.22</v>
      </c>
      <c r="D18" s="64">
        <v>8.5500000000000007</v>
      </c>
      <c r="E18" s="64">
        <v>3.98</v>
      </c>
      <c r="F18" s="64">
        <v>9.4</v>
      </c>
      <c r="G18" s="64">
        <v>53.43</v>
      </c>
      <c r="H18" s="64">
        <v>15.24</v>
      </c>
      <c r="I18" s="64">
        <v>1.61</v>
      </c>
      <c r="J18" s="64">
        <v>0.01</v>
      </c>
      <c r="K18" s="64">
        <v>62.38</v>
      </c>
      <c r="L18" s="64">
        <v>24.47</v>
      </c>
      <c r="M18" s="64">
        <v>98.01</v>
      </c>
      <c r="N18" s="64">
        <v>55</v>
      </c>
      <c r="O18" s="64">
        <v>0</v>
      </c>
      <c r="P18" s="64">
        <v>0.16</v>
      </c>
      <c r="Q18" s="64">
        <v>9.24</v>
      </c>
      <c r="R18" s="198"/>
      <c r="S18" s="198"/>
      <c r="T18" s="198"/>
      <c r="U18" s="198"/>
    </row>
    <row r="19" spans="1:21" s="12" customFormat="1" x14ac:dyDescent="0.25">
      <c r="A19" s="212" t="s">
        <v>449</v>
      </c>
      <c r="B19" s="64">
        <v>6.62</v>
      </c>
      <c r="C19" s="64">
        <v>9.0299999999999994</v>
      </c>
      <c r="D19" s="64">
        <v>10.029999999999999</v>
      </c>
      <c r="E19" s="64">
        <v>4.09</v>
      </c>
      <c r="F19" s="64">
        <v>7.69</v>
      </c>
      <c r="G19" s="64">
        <v>53.43</v>
      </c>
      <c r="H19" s="64">
        <v>15.24</v>
      </c>
      <c r="I19" s="64">
        <v>1.57</v>
      </c>
      <c r="J19" s="64">
        <v>7.0000000000000007E-2</v>
      </c>
      <c r="K19" s="64">
        <v>223.76</v>
      </c>
      <c r="L19" s="64">
        <v>24.4</v>
      </c>
      <c r="M19" s="64">
        <v>98.02</v>
      </c>
      <c r="N19" s="64">
        <v>55</v>
      </c>
      <c r="O19" s="64">
        <v>0</v>
      </c>
      <c r="P19" s="64">
        <v>0.17</v>
      </c>
      <c r="Q19" s="64">
        <v>9.24</v>
      </c>
      <c r="R19" s="198"/>
      <c r="S19" s="198"/>
      <c r="T19" s="198"/>
      <c r="U19" s="198"/>
    </row>
    <row r="20" spans="1:21" s="12" customFormat="1" x14ac:dyDescent="0.25">
      <c r="A20" s="212" t="s">
        <v>450</v>
      </c>
      <c r="B20" s="64">
        <v>6.63</v>
      </c>
      <c r="C20" s="64">
        <v>9.74</v>
      </c>
      <c r="D20" s="64">
        <v>10.41</v>
      </c>
      <c r="E20" s="64">
        <v>3.84</v>
      </c>
      <c r="F20" s="64">
        <v>7.56</v>
      </c>
      <c r="G20" s="64">
        <v>49.2</v>
      </c>
      <c r="H20" s="64">
        <v>15.24</v>
      </c>
      <c r="I20" s="64">
        <v>1.54</v>
      </c>
      <c r="J20" s="64">
        <v>0.06</v>
      </c>
      <c r="K20" s="64">
        <v>220.02</v>
      </c>
      <c r="L20" s="64">
        <v>24.44</v>
      </c>
      <c r="M20" s="64">
        <v>98.02</v>
      </c>
      <c r="N20" s="64">
        <v>55</v>
      </c>
      <c r="O20" s="64">
        <v>0</v>
      </c>
      <c r="P20" s="64">
        <v>0.16</v>
      </c>
      <c r="Q20" s="64">
        <v>9.24</v>
      </c>
      <c r="R20" s="198"/>
      <c r="S20" s="198"/>
      <c r="T20" s="198"/>
      <c r="U20" s="198"/>
    </row>
    <row r="21" spans="1:21" s="12" customFormat="1" x14ac:dyDescent="0.25">
      <c r="A21" s="212" t="s">
        <v>451</v>
      </c>
      <c r="B21" s="64">
        <v>6.29</v>
      </c>
      <c r="C21" s="64">
        <v>8.81</v>
      </c>
      <c r="D21" s="64">
        <v>9.65</v>
      </c>
      <c r="E21" s="64">
        <v>3.62</v>
      </c>
      <c r="F21" s="64">
        <v>7.86</v>
      </c>
      <c r="G21" s="64">
        <v>46.37</v>
      </c>
      <c r="H21" s="64">
        <v>15.27</v>
      </c>
      <c r="I21" s="64">
        <v>1.51</v>
      </c>
      <c r="J21" s="64">
        <v>0.03</v>
      </c>
      <c r="K21" s="64">
        <v>303.12</v>
      </c>
      <c r="L21" s="64">
        <v>24.47</v>
      </c>
      <c r="M21" s="64">
        <v>97.98</v>
      </c>
      <c r="N21" s="64">
        <v>55</v>
      </c>
      <c r="O21" s="64">
        <v>0</v>
      </c>
      <c r="P21" s="64">
        <v>0.15</v>
      </c>
      <c r="Q21" s="64">
        <v>9.24</v>
      </c>
      <c r="R21" s="198"/>
      <c r="S21" s="198"/>
      <c r="T21" s="198"/>
      <c r="U21" s="198"/>
    </row>
    <row r="22" spans="1:21" s="12" customFormat="1" x14ac:dyDescent="0.25">
      <c r="A22" s="212" t="s">
        <v>452</v>
      </c>
      <c r="B22" s="64">
        <v>6.16</v>
      </c>
      <c r="C22" s="64">
        <v>7.63</v>
      </c>
      <c r="D22" s="64">
        <v>8.93</v>
      </c>
      <c r="E22" s="64">
        <v>3.56</v>
      </c>
      <c r="F22" s="64">
        <v>8.73</v>
      </c>
      <c r="G22" s="64">
        <v>46.37</v>
      </c>
      <c r="H22" s="64">
        <v>15.45</v>
      </c>
      <c r="I22" s="64">
        <v>1.49</v>
      </c>
      <c r="J22" s="64">
        <v>0.08</v>
      </c>
      <c r="K22" s="64">
        <v>117.29</v>
      </c>
      <c r="L22" s="64">
        <v>24.38</v>
      </c>
      <c r="M22" s="64">
        <v>97.98</v>
      </c>
      <c r="N22" s="64">
        <v>55</v>
      </c>
      <c r="O22" s="64">
        <v>0</v>
      </c>
      <c r="P22" s="64">
        <v>0.15</v>
      </c>
      <c r="Q22" s="64">
        <v>9.25</v>
      </c>
      <c r="R22" s="198"/>
      <c r="S22" s="198"/>
      <c r="T22" s="198"/>
      <c r="U22" s="198"/>
    </row>
    <row r="23" spans="1:21" s="12" customFormat="1" x14ac:dyDescent="0.25">
      <c r="A23" s="212" t="s">
        <v>453</v>
      </c>
      <c r="B23" s="64">
        <v>6.26</v>
      </c>
      <c r="C23" s="64">
        <v>7.63</v>
      </c>
      <c r="D23" s="64">
        <v>9.01</v>
      </c>
      <c r="E23" s="64">
        <v>3.9</v>
      </c>
      <c r="F23" s="64">
        <v>8.51</v>
      </c>
      <c r="G23" s="64">
        <v>46.37</v>
      </c>
      <c r="H23" s="64">
        <v>15.45</v>
      </c>
      <c r="I23" s="64">
        <v>1.47</v>
      </c>
      <c r="J23" s="64">
        <v>0.08</v>
      </c>
      <c r="K23" s="64">
        <v>102.6</v>
      </c>
      <c r="L23" s="64">
        <v>24.27</v>
      </c>
      <c r="M23" s="64">
        <v>98.03</v>
      </c>
      <c r="N23" s="64">
        <v>55.1</v>
      </c>
      <c r="O23" s="64">
        <v>0</v>
      </c>
      <c r="P23" s="64">
        <v>0.15</v>
      </c>
      <c r="Q23" s="64">
        <v>9.25</v>
      </c>
      <c r="R23" s="198"/>
      <c r="S23" s="198"/>
      <c r="T23" s="198"/>
      <c r="U23" s="198"/>
    </row>
    <row r="24" spans="1:21" s="12" customFormat="1" x14ac:dyDescent="0.25">
      <c r="A24" s="212" t="s">
        <v>454</v>
      </c>
      <c r="B24" s="64">
        <v>6.45</v>
      </c>
      <c r="C24" s="64">
        <v>8.17</v>
      </c>
      <c r="D24" s="64">
        <v>9.44</v>
      </c>
      <c r="E24" s="64">
        <v>3.8</v>
      </c>
      <c r="F24" s="64">
        <v>8.09</v>
      </c>
      <c r="G24" s="64">
        <v>39.21</v>
      </c>
      <c r="H24" s="64">
        <v>15.45</v>
      </c>
      <c r="I24" s="64">
        <v>1.45</v>
      </c>
      <c r="J24" s="64">
        <v>0.09</v>
      </c>
      <c r="K24" s="64">
        <v>139.38999999999999</v>
      </c>
      <c r="L24" s="64">
        <v>24.22</v>
      </c>
      <c r="M24" s="64">
        <v>98.03</v>
      </c>
      <c r="N24" s="64">
        <v>55</v>
      </c>
      <c r="O24" s="64">
        <v>0</v>
      </c>
      <c r="P24" s="64">
        <v>0.15</v>
      </c>
      <c r="Q24" s="64">
        <v>9.25</v>
      </c>
      <c r="R24" s="198"/>
      <c r="S24" s="198"/>
      <c r="T24" s="198"/>
      <c r="U24" s="198"/>
    </row>
    <row r="25" spans="1:21" s="12" customFormat="1" x14ac:dyDescent="0.25">
      <c r="A25" s="212" t="s">
        <v>455</v>
      </c>
      <c r="B25" s="64">
        <v>6.31</v>
      </c>
      <c r="C25" s="64">
        <v>8.5500000000000007</v>
      </c>
      <c r="D25" s="64">
        <v>9.5299999999999994</v>
      </c>
      <c r="E25" s="64">
        <v>3.96</v>
      </c>
      <c r="F25" s="64">
        <v>8.11</v>
      </c>
      <c r="G25" s="64">
        <v>34.44</v>
      </c>
      <c r="H25" s="64">
        <v>15.23</v>
      </c>
      <c r="I25" s="64">
        <v>1.42</v>
      </c>
      <c r="J25" s="64">
        <v>7.0000000000000007E-2</v>
      </c>
      <c r="K25" s="64">
        <v>195.42</v>
      </c>
      <c r="L25" s="64">
        <v>24.21</v>
      </c>
      <c r="M25" s="64">
        <v>98.02</v>
      </c>
      <c r="N25" s="64">
        <v>55</v>
      </c>
      <c r="O25" s="64">
        <v>0</v>
      </c>
      <c r="P25" s="64">
        <v>0.15</v>
      </c>
      <c r="Q25" s="64">
        <v>9.26</v>
      </c>
      <c r="R25" s="198"/>
      <c r="S25" s="198"/>
      <c r="T25" s="198"/>
      <c r="U25" s="198"/>
    </row>
    <row r="26" spans="1:21" s="12" customFormat="1" x14ac:dyDescent="0.25">
      <c r="A26" s="212" t="s">
        <v>456</v>
      </c>
      <c r="B26" s="64">
        <v>8.06</v>
      </c>
      <c r="C26" s="64">
        <v>9.7799999999999994</v>
      </c>
      <c r="D26" s="64">
        <v>11.57</v>
      </c>
      <c r="E26" s="64">
        <v>4.05</v>
      </c>
      <c r="F26" s="64">
        <v>5.28</v>
      </c>
      <c r="G26" s="64">
        <v>34.44</v>
      </c>
      <c r="H26" s="64">
        <v>13.92</v>
      </c>
      <c r="I26" s="64">
        <v>1.4</v>
      </c>
      <c r="J26" s="64">
        <v>0.06</v>
      </c>
      <c r="K26" s="64">
        <v>269.18</v>
      </c>
      <c r="L26" s="64">
        <v>24.38</v>
      </c>
      <c r="M26" s="64">
        <v>98</v>
      </c>
      <c r="N26" s="64">
        <v>55</v>
      </c>
      <c r="O26" s="64">
        <v>0</v>
      </c>
      <c r="P26" s="64">
        <v>0.3</v>
      </c>
      <c r="Q26" s="64">
        <v>9.25</v>
      </c>
      <c r="R26" s="198"/>
      <c r="S26" s="198"/>
      <c r="T26" s="198"/>
      <c r="U26" s="198"/>
    </row>
    <row r="27" spans="1:21" s="12" customFormat="1" x14ac:dyDescent="0.25">
      <c r="A27" s="212" t="s">
        <v>457</v>
      </c>
      <c r="B27" s="64">
        <v>8.11</v>
      </c>
      <c r="C27" s="64">
        <v>8.74</v>
      </c>
      <c r="D27" s="64">
        <v>11.06</v>
      </c>
      <c r="E27" s="64">
        <v>4.0199999999999996</v>
      </c>
      <c r="F27" s="64">
        <v>8.56</v>
      </c>
      <c r="G27" s="64">
        <v>34.44</v>
      </c>
      <c r="H27" s="64">
        <v>13.92</v>
      </c>
      <c r="I27" s="64">
        <v>1.36</v>
      </c>
      <c r="J27" s="64">
        <v>0.03</v>
      </c>
      <c r="K27" s="64">
        <v>232.86</v>
      </c>
      <c r="L27" s="64">
        <v>24.52</v>
      </c>
      <c r="M27" s="64">
        <v>97.99</v>
      </c>
      <c r="N27" s="64">
        <v>55.2</v>
      </c>
      <c r="O27" s="64">
        <v>0</v>
      </c>
      <c r="P27" s="64">
        <v>0.2</v>
      </c>
      <c r="Q27" s="64">
        <v>9.23</v>
      </c>
      <c r="R27" s="198"/>
      <c r="S27" s="198"/>
      <c r="T27" s="198"/>
      <c r="U27" s="198"/>
    </row>
    <row r="28" spans="1:21" s="12" customFormat="1" x14ac:dyDescent="0.25">
      <c r="A28" s="212" t="s">
        <v>458</v>
      </c>
      <c r="B28" s="64">
        <v>6.75</v>
      </c>
      <c r="C28" s="64">
        <v>8.4600000000000009</v>
      </c>
      <c r="D28" s="64">
        <v>9.83</v>
      </c>
      <c r="E28" s="64">
        <v>3.96</v>
      </c>
      <c r="F28" s="64">
        <v>9.69</v>
      </c>
      <c r="G28" s="64">
        <v>33.950000000000003</v>
      </c>
      <c r="H28" s="64">
        <v>13.92</v>
      </c>
      <c r="I28" s="64">
        <v>1.32</v>
      </c>
      <c r="J28" s="64">
        <v>0.05</v>
      </c>
      <c r="K28" s="64">
        <v>319.89</v>
      </c>
      <c r="L28" s="64">
        <v>24.52</v>
      </c>
      <c r="M28" s="64">
        <v>97.96</v>
      </c>
      <c r="N28" s="64">
        <v>55.3</v>
      </c>
      <c r="O28" s="64">
        <v>0</v>
      </c>
      <c r="P28" s="64">
        <v>0.19</v>
      </c>
      <c r="Q28" s="64">
        <v>9.2200000000000006</v>
      </c>
      <c r="R28" s="198"/>
      <c r="S28" s="198"/>
      <c r="T28" s="198"/>
      <c r="U28" s="198"/>
    </row>
    <row r="29" spans="1:21" s="12" customFormat="1" x14ac:dyDescent="0.25">
      <c r="A29" s="212" t="s">
        <v>459</v>
      </c>
      <c r="B29" s="64">
        <v>9.86</v>
      </c>
      <c r="C29" s="64">
        <v>9.75</v>
      </c>
      <c r="D29" s="64">
        <v>13</v>
      </c>
      <c r="E29" s="64">
        <v>3.8</v>
      </c>
      <c r="F29" s="64">
        <v>6.36</v>
      </c>
      <c r="G29" s="64">
        <v>33.630000000000003</v>
      </c>
      <c r="H29" s="64">
        <v>12.81</v>
      </c>
      <c r="I29" s="64">
        <v>1.28</v>
      </c>
      <c r="J29" s="64">
        <v>0.06</v>
      </c>
      <c r="K29" s="64">
        <v>292</v>
      </c>
      <c r="L29" s="64">
        <v>24.47</v>
      </c>
      <c r="M29" s="64">
        <v>97.97</v>
      </c>
      <c r="N29" s="64">
        <v>55.3</v>
      </c>
      <c r="O29" s="64">
        <v>0</v>
      </c>
      <c r="P29" s="64">
        <v>0.23</v>
      </c>
      <c r="Q29" s="64">
        <v>9.2200000000000006</v>
      </c>
      <c r="R29" s="198"/>
      <c r="S29" s="198"/>
      <c r="T29" s="198"/>
      <c r="U29" s="198"/>
    </row>
    <row r="30" spans="1:21" s="12" customFormat="1" x14ac:dyDescent="0.25">
      <c r="A30" s="212" t="s">
        <v>460</v>
      </c>
      <c r="B30" s="64">
        <v>9.42</v>
      </c>
      <c r="C30" s="64">
        <v>9.08</v>
      </c>
      <c r="D30" s="64">
        <v>12.3</v>
      </c>
      <c r="E30" s="64">
        <v>3.6</v>
      </c>
      <c r="F30" s="64">
        <v>6.89</v>
      </c>
      <c r="G30" s="64">
        <v>33.630000000000003</v>
      </c>
      <c r="H30" s="64">
        <v>6.23</v>
      </c>
      <c r="I30" s="64">
        <v>1.25</v>
      </c>
      <c r="J30" s="64">
        <v>0.09</v>
      </c>
      <c r="K30" s="64">
        <v>292.22000000000003</v>
      </c>
      <c r="L30" s="64">
        <v>24.43</v>
      </c>
      <c r="M30" s="64">
        <v>97.98</v>
      </c>
      <c r="N30" s="64">
        <v>55.8</v>
      </c>
      <c r="O30" s="64">
        <v>0</v>
      </c>
      <c r="P30" s="64">
        <v>0.24</v>
      </c>
      <c r="Q30" s="64">
        <v>9.2100000000000009</v>
      </c>
      <c r="R30" s="198"/>
      <c r="S30" s="198"/>
      <c r="T30" s="198"/>
      <c r="U30" s="198"/>
    </row>
    <row r="31" spans="1:21" s="12" customFormat="1" x14ac:dyDescent="0.25">
      <c r="A31" s="212" t="s">
        <v>461</v>
      </c>
      <c r="B31" s="64">
        <v>10.11</v>
      </c>
      <c r="C31" s="64">
        <v>8.64</v>
      </c>
      <c r="D31" s="64">
        <v>12.62</v>
      </c>
      <c r="E31" s="64">
        <v>3.74</v>
      </c>
      <c r="F31" s="64">
        <v>7.36</v>
      </c>
      <c r="G31" s="64">
        <v>33.630000000000003</v>
      </c>
      <c r="H31" s="64">
        <v>6.23</v>
      </c>
      <c r="I31" s="64">
        <v>1.23</v>
      </c>
      <c r="J31" s="64">
        <v>0.09</v>
      </c>
      <c r="K31" s="64">
        <v>286.74</v>
      </c>
      <c r="L31" s="64">
        <v>24.4</v>
      </c>
      <c r="M31" s="64">
        <v>97.98</v>
      </c>
      <c r="N31" s="64">
        <v>60.8</v>
      </c>
      <c r="O31" s="64">
        <v>0</v>
      </c>
      <c r="P31" s="64">
        <v>0.26</v>
      </c>
      <c r="Q31" s="64">
        <v>9.19</v>
      </c>
      <c r="R31" s="198"/>
      <c r="S31" s="198"/>
      <c r="T31" s="198"/>
      <c r="U31" s="198"/>
    </row>
    <row r="32" spans="1:21" s="12" customFormat="1" x14ac:dyDescent="0.25">
      <c r="A32" s="212" t="s">
        <v>462</v>
      </c>
      <c r="B32" s="64">
        <v>9.92</v>
      </c>
      <c r="C32" s="64">
        <v>7.89</v>
      </c>
      <c r="D32" s="64">
        <v>12.07</v>
      </c>
      <c r="E32" s="64">
        <v>3.68</v>
      </c>
      <c r="F32" s="64">
        <v>5.72</v>
      </c>
      <c r="G32" s="64">
        <v>37.159999999999997</v>
      </c>
      <c r="H32" s="64">
        <v>6.23</v>
      </c>
      <c r="I32" s="64">
        <v>1.21</v>
      </c>
      <c r="J32" s="64">
        <v>0.08</v>
      </c>
      <c r="K32" s="64">
        <v>286.11</v>
      </c>
      <c r="L32" s="64">
        <v>24.39</v>
      </c>
      <c r="M32" s="64">
        <v>98</v>
      </c>
      <c r="N32" s="64">
        <v>77</v>
      </c>
      <c r="O32" s="64">
        <v>0</v>
      </c>
      <c r="P32" s="64">
        <v>0.26</v>
      </c>
      <c r="Q32" s="64">
        <v>9.17</v>
      </c>
      <c r="R32" s="198"/>
      <c r="S32" s="198"/>
      <c r="T32" s="198"/>
      <c r="U32" s="198"/>
    </row>
    <row r="33" spans="1:21" s="12" customFormat="1" x14ac:dyDescent="0.25">
      <c r="A33" s="212" t="s">
        <v>463</v>
      </c>
      <c r="B33" s="64">
        <v>8.26</v>
      </c>
      <c r="C33" s="64">
        <v>9.43</v>
      </c>
      <c r="D33" s="64">
        <v>11.55</v>
      </c>
      <c r="E33" s="64">
        <v>3.61</v>
      </c>
      <c r="F33" s="64">
        <v>7.67</v>
      </c>
      <c r="G33" s="64">
        <v>39.51</v>
      </c>
      <c r="H33" s="64">
        <v>7.15</v>
      </c>
      <c r="I33" s="64">
        <v>1.19</v>
      </c>
      <c r="J33" s="64">
        <v>0.1</v>
      </c>
      <c r="K33" s="64">
        <v>275.95999999999998</v>
      </c>
      <c r="L33" s="64">
        <v>24.54</v>
      </c>
      <c r="M33" s="64">
        <v>97.97</v>
      </c>
      <c r="N33" s="64">
        <v>100</v>
      </c>
      <c r="O33" s="64">
        <v>0</v>
      </c>
      <c r="P33" s="64">
        <v>0.24</v>
      </c>
      <c r="Q33" s="64">
        <v>9.18</v>
      </c>
      <c r="R33" s="198"/>
      <c r="S33" s="198"/>
      <c r="T33" s="198"/>
      <c r="U33" s="198"/>
    </row>
    <row r="34" spans="1:21" s="12" customFormat="1" x14ac:dyDescent="0.25">
      <c r="A34" s="212" t="s">
        <v>464</v>
      </c>
      <c r="B34" s="64">
        <v>9.7100000000000009</v>
      </c>
      <c r="C34" s="64">
        <v>7.71</v>
      </c>
      <c r="D34" s="64">
        <v>11.82</v>
      </c>
      <c r="E34" s="64">
        <v>3.55</v>
      </c>
      <c r="F34" s="64">
        <v>5.15</v>
      </c>
      <c r="G34" s="64">
        <v>39.51</v>
      </c>
      <c r="H34" s="64">
        <v>12.64</v>
      </c>
      <c r="I34" s="64">
        <v>1.19</v>
      </c>
      <c r="J34" s="64">
        <v>0.1</v>
      </c>
      <c r="K34" s="64">
        <v>273.62</v>
      </c>
      <c r="L34" s="64">
        <v>24.72</v>
      </c>
      <c r="M34" s="64">
        <v>97.95</v>
      </c>
      <c r="N34" s="64">
        <v>131.19999999999999</v>
      </c>
      <c r="O34" s="64">
        <v>0</v>
      </c>
      <c r="P34" s="64">
        <v>0.28999999999999998</v>
      </c>
      <c r="Q34" s="64">
        <v>9.18</v>
      </c>
      <c r="R34" s="198"/>
      <c r="S34" s="198"/>
      <c r="T34" s="198"/>
      <c r="U34" s="198"/>
    </row>
    <row r="35" spans="1:21" s="12" customFormat="1" x14ac:dyDescent="0.25">
      <c r="A35" s="212" t="s">
        <v>465</v>
      </c>
      <c r="B35" s="64">
        <v>10.33</v>
      </c>
      <c r="C35" s="64">
        <v>8.48</v>
      </c>
      <c r="D35" s="64">
        <v>12.72</v>
      </c>
      <c r="E35" s="64">
        <v>3.42</v>
      </c>
      <c r="F35" s="64">
        <v>5.01</v>
      </c>
      <c r="G35" s="64">
        <v>39.51</v>
      </c>
      <c r="H35" s="64">
        <v>12.64</v>
      </c>
      <c r="I35" s="64">
        <v>1.25</v>
      </c>
      <c r="J35" s="64">
        <v>0.08</v>
      </c>
      <c r="K35" s="64">
        <v>294.61</v>
      </c>
      <c r="L35" s="64">
        <v>25.08</v>
      </c>
      <c r="M35" s="64">
        <v>97.94</v>
      </c>
      <c r="N35" s="64">
        <v>167</v>
      </c>
      <c r="O35" s="64">
        <v>0</v>
      </c>
      <c r="P35" s="64">
        <v>0.27</v>
      </c>
      <c r="Q35" s="64">
        <v>9.17</v>
      </c>
      <c r="R35" s="198"/>
      <c r="S35" s="198"/>
      <c r="T35" s="198"/>
      <c r="U35" s="198"/>
    </row>
    <row r="36" spans="1:21" s="12" customFormat="1" x14ac:dyDescent="0.25">
      <c r="A36" s="212" t="s">
        <v>466</v>
      </c>
      <c r="B36" s="64">
        <v>9.52</v>
      </c>
      <c r="C36" s="64">
        <v>10.58</v>
      </c>
      <c r="D36" s="64">
        <v>13.16</v>
      </c>
      <c r="E36" s="64">
        <v>3.58</v>
      </c>
      <c r="F36" s="64">
        <v>7.7</v>
      </c>
      <c r="G36" s="64">
        <v>38.5</v>
      </c>
      <c r="H36" s="64">
        <v>12.64</v>
      </c>
      <c r="I36" s="64">
        <v>1.22</v>
      </c>
      <c r="J36" s="64">
        <v>0.11</v>
      </c>
      <c r="K36" s="64">
        <v>277.08</v>
      </c>
      <c r="L36" s="64">
        <v>25.51</v>
      </c>
      <c r="M36" s="64">
        <v>97.95</v>
      </c>
      <c r="N36" s="64">
        <v>204.7</v>
      </c>
      <c r="O36" s="64">
        <v>0</v>
      </c>
      <c r="P36" s="64">
        <v>0.26</v>
      </c>
      <c r="Q36" s="64">
        <v>9.18</v>
      </c>
      <c r="R36" s="198"/>
      <c r="S36" s="198"/>
      <c r="T36" s="198"/>
      <c r="U36" s="198"/>
    </row>
    <row r="37" spans="1:21" s="12" customFormat="1" x14ac:dyDescent="0.25">
      <c r="A37" s="212" t="s">
        <v>467</v>
      </c>
      <c r="B37" s="64">
        <v>10.39</v>
      </c>
      <c r="C37" s="64">
        <v>9.34</v>
      </c>
      <c r="D37" s="64">
        <v>13.22</v>
      </c>
      <c r="E37" s="64">
        <v>3.74</v>
      </c>
      <c r="F37" s="64">
        <v>5.19</v>
      </c>
      <c r="G37" s="64">
        <v>37.83</v>
      </c>
      <c r="H37" s="64">
        <v>12.93</v>
      </c>
      <c r="I37" s="64">
        <v>1.1499999999999999</v>
      </c>
      <c r="J37" s="64">
        <v>0.17</v>
      </c>
      <c r="K37" s="64">
        <v>286.77</v>
      </c>
      <c r="L37" s="64">
        <v>26.31</v>
      </c>
      <c r="M37" s="64">
        <v>97.9</v>
      </c>
      <c r="N37" s="64">
        <v>272.39999999999998</v>
      </c>
      <c r="O37" s="64">
        <v>0</v>
      </c>
      <c r="P37" s="64">
        <v>0.26</v>
      </c>
      <c r="Q37" s="64">
        <v>9.18</v>
      </c>
      <c r="R37" s="198"/>
      <c r="S37" s="198"/>
      <c r="T37" s="198"/>
      <c r="U37" s="198"/>
    </row>
    <row r="38" spans="1:21" s="12" customFormat="1" x14ac:dyDescent="0.25">
      <c r="A38" s="212" t="s">
        <v>468</v>
      </c>
      <c r="B38" s="64">
        <v>9.49</v>
      </c>
      <c r="C38" s="64">
        <v>8.35</v>
      </c>
      <c r="D38" s="64">
        <v>11.97</v>
      </c>
      <c r="E38" s="64">
        <v>3.75</v>
      </c>
      <c r="F38" s="64">
        <v>4.8</v>
      </c>
      <c r="G38" s="64">
        <v>37.83</v>
      </c>
      <c r="H38" s="64">
        <v>14.64</v>
      </c>
      <c r="I38" s="64">
        <v>1.1399999999999999</v>
      </c>
      <c r="J38" s="64">
        <v>0.12</v>
      </c>
      <c r="K38" s="64">
        <v>285.47000000000003</v>
      </c>
      <c r="L38" s="64">
        <v>26.34</v>
      </c>
      <c r="M38" s="64">
        <v>97.91</v>
      </c>
      <c r="N38" s="64">
        <v>316.39999999999998</v>
      </c>
      <c r="O38" s="64">
        <v>0</v>
      </c>
      <c r="P38" s="64">
        <v>0.26</v>
      </c>
      <c r="Q38" s="64">
        <v>9.19</v>
      </c>
      <c r="R38" s="198"/>
      <c r="S38" s="198"/>
      <c r="T38" s="198"/>
      <c r="U38" s="198"/>
    </row>
    <row r="39" spans="1:21" s="12" customFormat="1" x14ac:dyDescent="0.25">
      <c r="A39" s="212" t="s">
        <v>469</v>
      </c>
      <c r="B39" s="64">
        <v>9.68</v>
      </c>
      <c r="C39" s="64">
        <v>8.6300000000000008</v>
      </c>
      <c r="D39" s="64">
        <v>12.27</v>
      </c>
      <c r="E39" s="64">
        <v>3.25</v>
      </c>
      <c r="F39" s="64">
        <v>3.29</v>
      </c>
      <c r="G39" s="64">
        <v>37.83</v>
      </c>
      <c r="H39" s="64">
        <v>14.64</v>
      </c>
      <c r="I39" s="64">
        <v>1.21</v>
      </c>
      <c r="J39" s="64">
        <v>0.18</v>
      </c>
      <c r="K39" s="64">
        <v>281.63</v>
      </c>
      <c r="L39" s="64">
        <v>27.03</v>
      </c>
      <c r="M39" s="64">
        <v>96.98</v>
      </c>
      <c r="N39" s="64">
        <v>295.8</v>
      </c>
      <c r="O39" s="64">
        <v>0</v>
      </c>
      <c r="P39" s="64">
        <v>0.27</v>
      </c>
      <c r="Q39" s="64">
        <v>9.18</v>
      </c>
      <c r="R39" s="198"/>
      <c r="S39" s="198"/>
      <c r="T39" s="198"/>
      <c r="U39" s="198"/>
    </row>
    <row r="40" spans="1:21" s="12" customFormat="1" x14ac:dyDescent="0.25">
      <c r="A40" s="212" t="s">
        <v>470</v>
      </c>
      <c r="B40" s="64">
        <v>10.36</v>
      </c>
      <c r="C40" s="64">
        <v>9.86</v>
      </c>
      <c r="D40" s="64">
        <v>13.46</v>
      </c>
      <c r="E40" s="64">
        <v>4.9000000000000004</v>
      </c>
      <c r="F40" s="64">
        <v>5.19</v>
      </c>
      <c r="G40" s="64">
        <v>40.99</v>
      </c>
      <c r="H40" s="64">
        <v>14.64</v>
      </c>
      <c r="I40" s="64">
        <v>1.27</v>
      </c>
      <c r="J40" s="64">
        <v>0.15</v>
      </c>
      <c r="K40" s="64">
        <v>288.11</v>
      </c>
      <c r="L40" s="64">
        <v>28.12</v>
      </c>
      <c r="M40" s="64">
        <v>91.91</v>
      </c>
      <c r="N40" s="64">
        <v>362</v>
      </c>
      <c r="O40" s="64">
        <v>0</v>
      </c>
      <c r="P40" s="64">
        <v>0.3</v>
      </c>
      <c r="Q40" s="64">
        <v>9.19</v>
      </c>
      <c r="R40" s="198"/>
      <c r="S40" s="198"/>
      <c r="T40" s="198"/>
      <c r="U40" s="198"/>
    </row>
    <row r="41" spans="1:21" s="12" customFormat="1" x14ac:dyDescent="0.25">
      <c r="A41" s="212" t="s">
        <v>471</v>
      </c>
      <c r="B41" s="64">
        <v>9.99</v>
      </c>
      <c r="C41" s="64">
        <v>10.42</v>
      </c>
      <c r="D41" s="64">
        <v>13.46</v>
      </c>
      <c r="E41" s="64">
        <v>5.2</v>
      </c>
      <c r="F41" s="64">
        <v>6.37</v>
      </c>
      <c r="G41" s="64">
        <v>43.1</v>
      </c>
      <c r="H41" s="64">
        <v>13.52</v>
      </c>
      <c r="I41" s="64">
        <v>1.21</v>
      </c>
      <c r="J41" s="64">
        <v>0.13</v>
      </c>
      <c r="K41" s="64">
        <v>289.89</v>
      </c>
      <c r="L41" s="64">
        <v>28.1</v>
      </c>
      <c r="M41" s="64">
        <v>92.93</v>
      </c>
      <c r="N41" s="64">
        <v>434.5</v>
      </c>
      <c r="O41" s="64">
        <v>0</v>
      </c>
      <c r="P41" s="64">
        <v>0.42</v>
      </c>
      <c r="Q41" s="64">
        <v>9.18</v>
      </c>
      <c r="R41" s="198"/>
      <c r="S41" s="198"/>
      <c r="T41" s="198"/>
      <c r="U41" s="198"/>
    </row>
    <row r="42" spans="1:21" s="12" customFormat="1" x14ac:dyDescent="0.25">
      <c r="A42" s="212" t="s">
        <v>472</v>
      </c>
      <c r="B42" s="64">
        <v>11.82</v>
      </c>
      <c r="C42" s="64">
        <v>10.73</v>
      </c>
      <c r="D42" s="64">
        <v>15.09</v>
      </c>
      <c r="E42" s="64">
        <v>4.8</v>
      </c>
      <c r="F42" s="64">
        <v>6.55</v>
      </c>
      <c r="G42" s="64">
        <v>43.1</v>
      </c>
      <c r="H42" s="64">
        <v>6.86</v>
      </c>
      <c r="I42" s="64">
        <v>1.27</v>
      </c>
      <c r="J42" s="64">
        <v>0.18</v>
      </c>
      <c r="K42" s="64">
        <v>280.27999999999997</v>
      </c>
      <c r="L42" s="64">
        <v>30.3</v>
      </c>
      <c r="M42" s="64">
        <v>81.56</v>
      </c>
      <c r="N42" s="64">
        <v>518.79999999999995</v>
      </c>
      <c r="O42" s="64">
        <v>0</v>
      </c>
      <c r="P42" s="64">
        <v>0.46</v>
      </c>
      <c r="Q42" s="64">
        <v>9.19</v>
      </c>
      <c r="R42" s="198"/>
      <c r="S42" s="198"/>
      <c r="T42" s="198"/>
      <c r="U42" s="198"/>
    </row>
    <row r="43" spans="1:21" s="12" customFormat="1" x14ac:dyDescent="0.25">
      <c r="A43" s="212" t="s">
        <v>473</v>
      </c>
      <c r="B43" s="64">
        <v>9.1300000000000008</v>
      </c>
      <c r="C43" s="64">
        <v>10.71</v>
      </c>
      <c r="D43" s="64">
        <v>12.91</v>
      </c>
      <c r="E43" s="64">
        <v>4.8600000000000003</v>
      </c>
      <c r="F43" s="64">
        <v>6.74</v>
      </c>
      <c r="G43" s="64">
        <v>43.1</v>
      </c>
      <c r="H43" s="64">
        <v>6.86</v>
      </c>
      <c r="I43" s="64">
        <v>1.41</v>
      </c>
      <c r="J43" s="64">
        <v>0.14000000000000001</v>
      </c>
      <c r="K43" s="64">
        <v>272.72000000000003</v>
      </c>
      <c r="L43" s="64">
        <v>30.41</v>
      </c>
      <c r="M43" s="64">
        <v>80.83</v>
      </c>
      <c r="N43" s="64">
        <v>579.79999999999995</v>
      </c>
      <c r="O43" s="64">
        <v>0</v>
      </c>
      <c r="P43" s="64">
        <v>0.5</v>
      </c>
      <c r="Q43" s="64">
        <v>9.19</v>
      </c>
      <c r="R43" s="198"/>
      <c r="S43" s="198"/>
      <c r="T43" s="198"/>
      <c r="U43" s="198"/>
    </row>
    <row r="44" spans="1:21" s="12" customFormat="1" x14ac:dyDescent="0.25">
      <c r="A44" s="212" t="s">
        <v>474</v>
      </c>
      <c r="B44" s="64">
        <v>9.44</v>
      </c>
      <c r="C44" s="64">
        <v>9.75</v>
      </c>
      <c r="D44" s="64">
        <v>12.67</v>
      </c>
      <c r="E44" s="64">
        <v>5.04</v>
      </c>
      <c r="F44" s="64">
        <v>4.26</v>
      </c>
      <c r="G44" s="64">
        <v>50.78</v>
      </c>
      <c r="H44" s="64">
        <v>6.86</v>
      </c>
      <c r="I44" s="64">
        <v>1.57</v>
      </c>
      <c r="J44" s="64">
        <v>0.19</v>
      </c>
      <c r="K44" s="64">
        <v>287.45</v>
      </c>
      <c r="L44" s="64">
        <v>30.37</v>
      </c>
      <c r="M44" s="64">
        <v>81.81</v>
      </c>
      <c r="N44" s="64">
        <v>617.29999999999995</v>
      </c>
      <c r="O44" s="64">
        <v>0</v>
      </c>
      <c r="P44" s="64">
        <v>0.44</v>
      </c>
      <c r="Q44" s="64">
        <v>9.17</v>
      </c>
      <c r="R44" s="198"/>
      <c r="S44" s="198"/>
      <c r="T44" s="198"/>
      <c r="U44" s="198"/>
    </row>
    <row r="45" spans="1:21" s="12" customFormat="1" x14ac:dyDescent="0.25">
      <c r="A45" s="212" t="s">
        <v>475</v>
      </c>
      <c r="B45" s="64">
        <v>10.25</v>
      </c>
      <c r="C45" s="64">
        <v>10</v>
      </c>
      <c r="D45" s="64">
        <v>13.45</v>
      </c>
      <c r="E45" s="64">
        <v>5</v>
      </c>
      <c r="F45" s="64">
        <v>9.61</v>
      </c>
      <c r="G45" s="64">
        <v>55.9</v>
      </c>
      <c r="H45" s="64">
        <v>8.94</v>
      </c>
      <c r="I45" s="64">
        <v>1.72</v>
      </c>
      <c r="J45" s="64">
        <v>0.16</v>
      </c>
      <c r="K45" s="64">
        <v>289.45999999999998</v>
      </c>
      <c r="L45" s="64">
        <v>30.74</v>
      </c>
      <c r="M45" s="64">
        <v>78.78</v>
      </c>
      <c r="N45" s="64">
        <v>734.7</v>
      </c>
      <c r="O45" s="64">
        <v>0</v>
      </c>
      <c r="P45" s="64">
        <v>0.49</v>
      </c>
      <c r="Q45" s="64">
        <v>9.17</v>
      </c>
      <c r="R45" s="198"/>
      <c r="S45" s="198"/>
      <c r="T45" s="198"/>
      <c r="U45" s="198"/>
    </row>
    <row r="46" spans="1:21" s="12" customFormat="1" x14ac:dyDescent="0.25">
      <c r="A46" s="212" t="s">
        <v>476</v>
      </c>
      <c r="B46" s="64">
        <v>11.42</v>
      </c>
      <c r="C46" s="64">
        <v>10.29</v>
      </c>
      <c r="D46" s="64">
        <v>14.53</v>
      </c>
      <c r="E46" s="64">
        <v>5.14</v>
      </c>
      <c r="F46" s="64">
        <v>9.9499999999999993</v>
      </c>
      <c r="G46" s="64">
        <v>55.9</v>
      </c>
      <c r="H46" s="64">
        <v>21.28</v>
      </c>
      <c r="I46" s="64">
        <v>1.83</v>
      </c>
      <c r="J46" s="64">
        <v>0.13</v>
      </c>
      <c r="K46" s="64">
        <v>298.32</v>
      </c>
      <c r="L46" s="64">
        <v>31.28</v>
      </c>
      <c r="M46" s="64">
        <v>76.94</v>
      </c>
      <c r="N46" s="64">
        <v>779.6</v>
      </c>
      <c r="O46" s="64">
        <v>0</v>
      </c>
      <c r="P46" s="64">
        <v>0.51</v>
      </c>
      <c r="Q46" s="64">
        <v>9.17</v>
      </c>
      <c r="R46" s="198"/>
      <c r="S46" s="198"/>
      <c r="T46" s="198"/>
      <c r="U46" s="198"/>
    </row>
    <row r="47" spans="1:21" s="12" customFormat="1" x14ac:dyDescent="0.25">
      <c r="A47" s="212" t="s">
        <v>477</v>
      </c>
      <c r="B47" s="64">
        <v>9.25</v>
      </c>
      <c r="C47" s="64">
        <v>10</v>
      </c>
      <c r="D47" s="64">
        <v>12.64</v>
      </c>
      <c r="E47" s="64">
        <v>5</v>
      </c>
      <c r="F47" s="64">
        <v>5.33</v>
      </c>
      <c r="G47" s="64">
        <v>55.9</v>
      </c>
      <c r="H47" s="64">
        <v>21.28</v>
      </c>
      <c r="I47" s="64">
        <v>1.93</v>
      </c>
      <c r="J47" s="64">
        <v>0.05</v>
      </c>
      <c r="K47" s="64">
        <v>215.72</v>
      </c>
      <c r="L47" s="64">
        <v>30.92</v>
      </c>
      <c r="M47" s="64">
        <v>78.14</v>
      </c>
      <c r="N47" s="64">
        <v>817</v>
      </c>
      <c r="O47" s="64">
        <v>0</v>
      </c>
      <c r="P47" s="64">
        <v>0.47</v>
      </c>
      <c r="Q47" s="64">
        <v>9.15</v>
      </c>
      <c r="R47" s="198"/>
      <c r="S47" s="198"/>
      <c r="T47" s="198"/>
      <c r="U47" s="198"/>
    </row>
    <row r="48" spans="1:21" s="12" customFormat="1" x14ac:dyDescent="0.25">
      <c r="A48" s="212" t="s">
        <v>478</v>
      </c>
      <c r="B48" s="64">
        <v>9.0299999999999994</v>
      </c>
      <c r="C48" s="64">
        <v>10.7</v>
      </c>
      <c r="D48" s="64">
        <v>12.83</v>
      </c>
      <c r="E48" s="64">
        <v>4.9000000000000004</v>
      </c>
      <c r="F48" s="64">
        <v>5.63</v>
      </c>
      <c r="G48" s="64">
        <v>58.49</v>
      </c>
      <c r="H48" s="64">
        <v>21.28</v>
      </c>
      <c r="I48" s="64">
        <v>1.98</v>
      </c>
      <c r="J48" s="64">
        <v>0.28000000000000003</v>
      </c>
      <c r="K48" s="64">
        <v>294.08999999999997</v>
      </c>
      <c r="L48" s="64">
        <v>32.700000000000003</v>
      </c>
      <c r="M48" s="64">
        <v>68.98</v>
      </c>
      <c r="N48" s="64">
        <v>877</v>
      </c>
      <c r="O48" s="64">
        <v>0</v>
      </c>
      <c r="P48" s="64">
        <v>0.47</v>
      </c>
      <c r="Q48" s="64">
        <v>9.14</v>
      </c>
      <c r="R48" s="198"/>
      <c r="S48" s="198"/>
      <c r="T48" s="198"/>
      <c r="U48" s="198"/>
    </row>
    <row r="49" spans="1:21" s="12" customFormat="1" x14ac:dyDescent="0.25">
      <c r="A49" s="212" t="s">
        <v>479</v>
      </c>
      <c r="B49" s="64">
        <v>8.74</v>
      </c>
      <c r="C49" s="64">
        <v>12.01</v>
      </c>
      <c r="D49" s="64">
        <v>13.28</v>
      </c>
      <c r="E49" s="64">
        <v>4.8899999999999997</v>
      </c>
      <c r="F49" s="64">
        <v>11.44</v>
      </c>
      <c r="G49" s="64">
        <v>60.22</v>
      </c>
      <c r="H49" s="64">
        <v>21.6</v>
      </c>
      <c r="I49" s="64">
        <v>2</v>
      </c>
      <c r="J49" s="64">
        <v>0.17</v>
      </c>
      <c r="K49" s="64">
        <v>300.52999999999997</v>
      </c>
      <c r="L49" s="64">
        <v>32.28</v>
      </c>
      <c r="M49" s="64">
        <v>70.84</v>
      </c>
      <c r="N49" s="64">
        <v>871.1</v>
      </c>
      <c r="O49" s="64">
        <v>0</v>
      </c>
      <c r="P49" s="64">
        <v>0.48</v>
      </c>
      <c r="Q49" s="64">
        <v>9.1199999999999992</v>
      </c>
      <c r="R49" s="198"/>
      <c r="S49" s="198"/>
      <c r="T49" s="198"/>
      <c r="U49" s="198"/>
    </row>
    <row r="50" spans="1:21" s="12" customFormat="1" x14ac:dyDescent="0.25">
      <c r="A50" s="212" t="s">
        <v>480</v>
      </c>
      <c r="B50" s="64">
        <v>7.97</v>
      </c>
      <c r="C50" s="64">
        <v>11.15</v>
      </c>
      <c r="D50" s="64">
        <v>12.22</v>
      </c>
      <c r="E50" s="64">
        <v>5.03</v>
      </c>
      <c r="F50" s="64">
        <v>6.15</v>
      </c>
      <c r="G50" s="64">
        <v>60.22</v>
      </c>
      <c r="H50" s="64">
        <v>23.49</v>
      </c>
      <c r="I50" s="64">
        <v>2.02</v>
      </c>
      <c r="J50" s="64">
        <v>0.12</v>
      </c>
      <c r="K50" s="64">
        <v>242.35</v>
      </c>
      <c r="L50" s="64">
        <v>31.08</v>
      </c>
      <c r="M50" s="64">
        <v>75.84</v>
      </c>
      <c r="N50" s="64">
        <v>920.7</v>
      </c>
      <c r="O50" s="64">
        <v>0</v>
      </c>
      <c r="P50" s="64">
        <v>0.5</v>
      </c>
      <c r="Q50" s="64">
        <v>9.11</v>
      </c>
      <c r="R50" s="198"/>
      <c r="S50" s="198"/>
      <c r="T50" s="198"/>
      <c r="U50" s="198"/>
    </row>
    <row r="51" spans="1:21" s="12" customFormat="1" x14ac:dyDescent="0.25">
      <c r="A51" s="212" t="s">
        <v>481</v>
      </c>
      <c r="B51" s="64">
        <v>7.45</v>
      </c>
      <c r="C51" s="64">
        <v>11.77</v>
      </c>
      <c r="D51" s="64">
        <v>12.12</v>
      </c>
      <c r="E51" s="64">
        <v>5.38</v>
      </c>
      <c r="F51" s="64">
        <v>5.43</v>
      </c>
      <c r="G51" s="64">
        <v>60.22</v>
      </c>
      <c r="H51" s="64">
        <v>23.49</v>
      </c>
      <c r="I51" s="64">
        <v>2.0299999999999998</v>
      </c>
      <c r="J51" s="64">
        <v>0.14000000000000001</v>
      </c>
      <c r="K51" s="64">
        <v>250.35</v>
      </c>
      <c r="L51" s="64">
        <v>31.84</v>
      </c>
      <c r="M51" s="64">
        <v>71.709999999999994</v>
      </c>
      <c r="N51" s="64">
        <v>775.7</v>
      </c>
      <c r="O51" s="64">
        <v>0</v>
      </c>
      <c r="P51" s="64">
        <v>0.55000000000000004</v>
      </c>
      <c r="Q51" s="64">
        <v>9.09</v>
      </c>
      <c r="R51" s="198"/>
      <c r="S51" s="198"/>
      <c r="T51" s="198"/>
      <c r="U51" s="198"/>
    </row>
    <row r="52" spans="1:21" s="12" customFormat="1" x14ac:dyDescent="0.25">
      <c r="A52" s="212" t="s">
        <v>482</v>
      </c>
      <c r="B52" s="64">
        <v>6.74</v>
      </c>
      <c r="C52" s="64">
        <v>11.97</v>
      </c>
      <c r="D52" s="64">
        <v>11.66</v>
      </c>
      <c r="E52" s="64">
        <v>5.24</v>
      </c>
      <c r="F52" s="64">
        <v>10.039999999999999</v>
      </c>
      <c r="G52" s="64">
        <v>59.8</v>
      </c>
      <c r="H52" s="64">
        <v>23.49</v>
      </c>
      <c r="I52" s="64">
        <v>2.06</v>
      </c>
      <c r="J52" s="64">
        <v>0.14000000000000001</v>
      </c>
      <c r="K52" s="64">
        <v>250.34</v>
      </c>
      <c r="L52" s="64">
        <v>30.77</v>
      </c>
      <c r="M52" s="64">
        <v>74.400000000000006</v>
      </c>
      <c r="N52" s="64">
        <v>686.8</v>
      </c>
      <c r="O52" s="64">
        <v>0</v>
      </c>
      <c r="P52" s="64">
        <v>0.53</v>
      </c>
      <c r="Q52" s="64">
        <v>9.06</v>
      </c>
      <c r="R52" s="198"/>
      <c r="S52" s="198"/>
      <c r="T52" s="198"/>
      <c r="U52" s="198"/>
    </row>
    <row r="53" spans="1:21" s="12" customFormat="1" x14ac:dyDescent="0.25">
      <c r="A53" s="212" t="s">
        <v>483</v>
      </c>
      <c r="B53" s="64">
        <v>6.33</v>
      </c>
      <c r="C53" s="64">
        <v>12.05</v>
      </c>
      <c r="D53" s="64">
        <v>11.37</v>
      </c>
      <c r="E53" s="64">
        <v>5.09</v>
      </c>
      <c r="F53" s="64">
        <v>6.65</v>
      </c>
      <c r="G53" s="64">
        <v>59.52</v>
      </c>
      <c r="H53" s="64">
        <v>23.07</v>
      </c>
      <c r="I53" s="64">
        <v>2.14</v>
      </c>
      <c r="J53" s="64">
        <v>0.21</v>
      </c>
      <c r="K53" s="64">
        <v>287.19</v>
      </c>
      <c r="L53" s="64">
        <v>30.56</v>
      </c>
      <c r="M53" s="64">
        <v>71.28</v>
      </c>
      <c r="N53" s="64">
        <v>857.1</v>
      </c>
      <c r="O53" s="64">
        <v>0</v>
      </c>
      <c r="P53" s="64">
        <v>0.53</v>
      </c>
      <c r="Q53" s="64">
        <v>9.0399999999999991</v>
      </c>
      <c r="R53" s="198"/>
      <c r="S53" s="198"/>
      <c r="T53" s="198"/>
      <c r="U53" s="198"/>
    </row>
    <row r="54" spans="1:21" s="12" customFormat="1" x14ac:dyDescent="0.25">
      <c r="A54" s="212" t="s">
        <v>484</v>
      </c>
      <c r="B54" s="64">
        <v>7.08</v>
      </c>
      <c r="C54" s="64">
        <v>14.07</v>
      </c>
      <c r="D54" s="64">
        <v>13.03</v>
      </c>
      <c r="E54" s="64">
        <v>5.18</v>
      </c>
      <c r="F54" s="64">
        <v>8.75</v>
      </c>
      <c r="G54" s="64">
        <v>59.52</v>
      </c>
      <c r="H54" s="64">
        <v>20.57</v>
      </c>
      <c r="I54" s="64">
        <v>2.16</v>
      </c>
      <c r="J54" s="64">
        <v>0.17</v>
      </c>
      <c r="K54" s="64">
        <v>285.76</v>
      </c>
      <c r="L54" s="64">
        <v>31.66</v>
      </c>
      <c r="M54" s="64">
        <v>67.78</v>
      </c>
      <c r="N54" s="64">
        <v>764.4</v>
      </c>
      <c r="O54" s="64">
        <v>0</v>
      </c>
      <c r="P54" s="64">
        <v>0.52</v>
      </c>
      <c r="Q54" s="64">
        <v>9.0399999999999991</v>
      </c>
      <c r="R54" s="198"/>
      <c r="S54" s="198"/>
      <c r="T54" s="198"/>
      <c r="U54" s="198"/>
    </row>
    <row r="55" spans="1:21" s="12" customFormat="1" x14ac:dyDescent="0.25">
      <c r="A55" s="212" t="s">
        <v>485</v>
      </c>
      <c r="B55" s="64">
        <v>6.39</v>
      </c>
      <c r="C55" s="64">
        <v>13.34</v>
      </c>
      <c r="D55" s="64">
        <v>12.1</v>
      </c>
      <c r="E55" s="64">
        <v>5.53</v>
      </c>
      <c r="F55" s="64">
        <v>6.44</v>
      </c>
      <c r="G55" s="64">
        <v>59.52</v>
      </c>
      <c r="H55" s="64">
        <v>20.57</v>
      </c>
      <c r="I55" s="64">
        <v>2.11</v>
      </c>
      <c r="J55" s="64">
        <v>0.2</v>
      </c>
      <c r="K55" s="64">
        <v>290.68</v>
      </c>
      <c r="L55" s="64">
        <v>31.31</v>
      </c>
      <c r="M55" s="64">
        <v>67.209999999999994</v>
      </c>
      <c r="N55" s="64">
        <v>750.8</v>
      </c>
      <c r="O55" s="64">
        <v>0</v>
      </c>
      <c r="P55" s="64">
        <v>0.51</v>
      </c>
      <c r="Q55" s="64">
        <v>9.0500000000000007</v>
      </c>
      <c r="R55" s="198"/>
      <c r="S55" s="198"/>
      <c r="T55" s="198"/>
      <c r="U55" s="198"/>
    </row>
    <row r="56" spans="1:21" s="12" customFormat="1" x14ac:dyDescent="0.25">
      <c r="A56" s="212" t="s">
        <v>486</v>
      </c>
      <c r="B56" s="64">
        <v>5.64</v>
      </c>
      <c r="C56" s="64">
        <v>12.11</v>
      </c>
      <c r="D56" s="64">
        <v>10.85</v>
      </c>
      <c r="E56" s="64">
        <v>5.15</v>
      </c>
      <c r="F56" s="64">
        <v>6.1</v>
      </c>
      <c r="G56" s="64">
        <v>61.34</v>
      </c>
      <c r="H56" s="64">
        <v>20.57</v>
      </c>
      <c r="I56" s="64">
        <v>2.08</v>
      </c>
      <c r="J56" s="64">
        <v>0.2</v>
      </c>
      <c r="K56" s="64">
        <v>282.27999999999997</v>
      </c>
      <c r="L56" s="64">
        <v>30.98</v>
      </c>
      <c r="M56" s="64">
        <v>67.900000000000006</v>
      </c>
      <c r="N56" s="64">
        <v>841.1</v>
      </c>
      <c r="O56" s="64">
        <v>0</v>
      </c>
      <c r="P56" s="64">
        <v>0.5</v>
      </c>
      <c r="Q56" s="64">
        <v>9.06</v>
      </c>
      <c r="R56" s="198"/>
      <c r="S56" s="198"/>
      <c r="T56" s="198"/>
      <c r="U56" s="198"/>
    </row>
    <row r="57" spans="1:21" s="12" customFormat="1" x14ac:dyDescent="0.25">
      <c r="A57" s="212" t="s">
        <v>487</v>
      </c>
      <c r="B57" s="64">
        <v>5.29</v>
      </c>
      <c r="C57" s="64">
        <v>11.9</v>
      </c>
      <c r="D57" s="64">
        <v>10.46</v>
      </c>
      <c r="E57" s="64">
        <v>5.28</v>
      </c>
      <c r="F57" s="64">
        <v>7.48</v>
      </c>
      <c r="G57" s="64">
        <v>62.55</v>
      </c>
      <c r="H57" s="64">
        <v>20.83</v>
      </c>
      <c r="I57" s="64">
        <v>2.0299999999999998</v>
      </c>
      <c r="J57" s="64">
        <v>0.19</v>
      </c>
      <c r="K57" s="64">
        <v>257.29000000000002</v>
      </c>
      <c r="L57" s="64">
        <v>31.22</v>
      </c>
      <c r="M57" s="64">
        <v>66.89</v>
      </c>
      <c r="N57" s="64">
        <v>903.6</v>
      </c>
      <c r="O57" s="64">
        <v>0</v>
      </c>
      <c r="P57" s="64">
        <v>0.45</v>
      </c>
      <c r="Q57" s="64">
        <v>9.0500000000000007</v>
      </c>
      <c r="R57" s="198"/>
      <c r="S57" s="198"/>
      <c r="T57" s="198"/>
      <c r="U57" s="198"/>
    </row>
    <row r="58" spans="1:21" s="12" customFormat="1" x14ac:dyDescent="0.25">
      <c r="A58" s="212" t="s">
        <v>488</v>
      </c>
      <c r="B58" s="64">
        <v>5.53</v>
      </c>
      <c r="C58" s="64">
        <v>13.27</v>
      </c>
      <c r="D58" s="64">
        <v>11.36</v>
      </c>
      <c r="E58" s="64">
        <v>4.95</v>
      </c>
      <c r="F58" s="64">
        <v>7.41</v>
      </c>
      <c r="G58" s="64">
        <v>62.55</v>
      </c>
      <c r="H58" s="64">
        <v>22.31</v>
      </c>
      <c r="I58" s="64">
        <v>1.97</v>
      </c>
      <c r="J58" s="64">
        <v>0.17</v>
      </c>
      <c r="K58" s="64">
        <v>290.20999999999998</v>
      </c>
      <c r="L58" s="64">
        <v>30.99</v>
      </c>
      <c r="M58" s="64">
        <v>67.72</v>
      </c>
      <c r="N58" s="64">
        <v>839.5</v>
      </c>
      <c r="O58" s="64">
        <v>0</v>
      </c>
      <c r="P58" s="64">
        <v>0.44</v>
      </c>
      <c r="Q58" s="64">
        <v>9.0399999999999991</v>
      </c>
      <c r="R58" s="198"/>
      <c r="S58" s="198"/>
      <c r="T58" s="198"/>
      <c r="U58" s="198"/>
    </row>
    <row r="59" spans="1:21" s="12" customFormat="1" x14ac:dyDescent="0.25">
      <c r="A59" s="212" t="s">
        <v>489</v>
      </c>
      <c r="B59" s="64">
        <v>5.44</v>
      </c>
      <c r="C59" s="64">
        <v>13.92</v>
      </c>
      <c r="D59" s="64">
        <v>11.63</v>
      </c>
      <c r="E59" s="64">
        <v>5.38</v>
      </c>
      <c r="F59" s="64">
        <v>6.98</v>
      </c>
      <c r="G59" s="64">
        <v>62.55</v>
      </c>
      <c r="H59" s="64">
        <v>22.31</v>
      </c>
      <c r="I59" s="64">
        <v>1.9</v>
      </c>
      <c r="J59" s="64">
        <v>0.25</v>
      </c>
      <c r="K59" s="64">
        <v>281.48</v>
      </c>
      <c r="L59" s="64">
        <v>31.93</v>
      </c>
      <c r="M59" s="64">
        <v>63.63</v>
      </c>
      <c r="N59" s="64">
        <v>809</v>
      </c>
      <c r="O59" s="64">
        <v>0</v>
      </c>
      <c r="P59" s="64">
        <v>0.46</v>
      </c>
      <c r="Q59" s="64">
        <v>9.02</v>
      </c>
      <c r="R59" s="198"/>
      <c r="S59" s="198"/>
      <c r="T59" s="198"/>
      <c r="U59" s="198"/>
    </row>
    <row r="60" spans="1:21" s="12" customFormat="1" x14ac:dyDescent="0.25">
      <c r="A60" s="212" t="s">
        <v>490</v>
      </c>
      <c r="B60" s="64">
        <v>5.08</v>
      </c>
      <c r="C60" s="64">
        <v>13.13</v>
      </c>
      <c r="D60" s="64">
        <v>10.94</v>
      </c>
      <c r="E60" s="64">
        <v>5.21</v>
      </c>
      <c r="F60" s="64">
        <v>7.2</v>
      </c>
      <c r="G60" s="64">
        <v>62.83</v>
      </c>
      <c r="H60" s="64">
        <v>22.31</v>
      </c>
      <c r="I60" s="64">
        <v>1.84</v>
      </c>
      <c r="J60" s="64">
        <v>0.14000000000000001</v>
      </c>
      <c r="K60" s="64">
        <v>277.16000000000003</v>
      </c>
      <c r="L60" s="64">
        <v>30.94</v>
      </c>
      <c r="M60" s="64">
        <v>66.13</v>
      </c>
      <c r="N60" s="64">
        <v>759.7</v>
      </c>
      <c r="O60" s="64">
        <v>0</v>
      </c>
      <c r="P60" s="64">
        <v>0.41</v>
      </c>
      <c r="Q60" s="64">
        <v>9.02</v>
      </c>
      <c r="R60" s="198"/>
      <c r="S60" s="198"/>
      <c r="T60" s="198"/>
      <c r="U60" s="198"/>
    </row>
    <row r="61" spans="1:21" s="12" customFormat="1" x14ac:dyDescent="0.25">
      <c r="A61" s="212" t="s">
        <v>491</v>
      </c>
      <c r="B61" s="64">
        <v>4.78</v>
      </c>
      <c r="C61" s="64">
        <v>11.78</v>
      </c>
      <c r="D61" s="64">
        <v>9.99</v>
      </c>
      <c r="E61" s="64">
        <v>5.09</v>
      </c>
      <c r="F61" s="64">
        <v>5.67</v>
      </c>
      <c r="G61" s="64">
        <v>63.02</v>
      </c>
      <c r="H61" s="64">
        <v>22.31</v>
      </c>
      <c r="I61" s="64">
        <v>1.79</v>
      </c>
      <c r="J61" s="64">
        <v>0.17</v>
      </c>
      <c r="K61" s="64">
        <v>257.54000000000002</v>
      </c>
      <c r="L61" s="64">
        <v>30.97</v>
      </c>
      <c r="M61" s="64">
        <v>65.33</v>
      </c>
      <c r="N61" s="64">
        <v>376.2</v>
      </c>
      <c r="O61" s="64">
        <v>0</v>
      </c>
      <c r="P61" s="64">
        <v>0.44</v>
      </c>
      <c r="Q61" s="64">
        <v>9.01</v>
      </c>
      <c r="R61" s="198"/>
      <c r="S61" s="198"/>
      <c r="T61" s="198"/>
      <c r="U61" s="198"/>
    </row>
    <row r="62" spans="1:21" s="12" customFormat="1" x14ac:dyDescent="0.25">
      <c r="A62" s="212" t="s">
        <v>492</v>
      </c>
      <c r="B62" s="64">
        <v>4.88</v>
      </c>
      <c r="C62" s="64">
        <v>12.05</v>
      </c>
      <c r="D62" s="64">
        <v>10.210000000000001</v>
      </c>
      <c r="E62" s="64">
        <v>5.29</v>
      </c>
      <c r="F62" s="64">
        <v>4.1100000000000003</v>
      </c>
      <c r="G62" s="64">
        <v>63.02</v>
      </c>
      <c r="H62" s="64">
        <v>22.3</v>
      </c>
      <c r="I62" s="64">
        <v>1.74</v>
      </c>
      <c r="J62" s="64">
        <v>0.23</v>
      </c>
      <c r="K62" s="64">
        <v>257.3</v>
      </c>
      <c r="L62" s="64">
        <v>30.9</v>
      </c>
      <c r="M62" s="64">
        <v>64.94</v>
      </c>
      <c r="N62" s="64">
        <v>285.2</v>
      </c>
      <c r="O62" s="64">
        <v>0</v>
      </c>
      <c r="P62" s="64">
        <v>0.46</v>
      </c>
      <c r="Q62" s="64">
        <v>9</v>
      </c>
      <c r="R62" s="198"/>
      <c r="S62" s="198"/>
      <c r="T62" s="198"/>
      <c r="U62" s="198"/>
    </row>
    <row r="63" spans="1:21" s="12" customFormat="1" x14ac:dyDescent="0.25">
      <c r="A63" s="212" t="s">
        <v>493</v>
      </c>
      <c r="B63" s="64">
        <v>5.51</v>
      </c>
      <c r="C63" s="64">
        <v>10.11</v>
      </c>
      <c r="D63" s="64">
        <v>9.6999999999999993</v>
      </c>
      <c r="E63" s="64">
        <v>5.2</v>
      </c>
      <c r="F63" s="64">
        <v>4.3499999999999996</v>
      </c>
      <c r="G63" s="64">
        <v>63.02</v>
      </c>
      <c r="H63" s="64">
        <v>22.3</v>
      </c>
      <c r="I63" s="64">
        <v>1.66</v>
      </c>
      <c r="J63" s="64">
        <v>0.22</v>
      </c>
      <c r="K63" s="64">
        <v>292.89</v>
      </c>
      <c r="L63" s="64">
        <v>30.9</v>
      </c>
      <c r="M63" s="64">
        <v>64.8</v>
      </c>
      <c r="N63" s="64">
        <v>269.39999999999998</v>
      </c>
      <c r="O63" s="64">
        <v>0</v>
      </c>
      <c r="P63" s="64">
        <v>0.43</v>
      </c>
      <c r="Q63" s="64">
        <v>8.99</v>
      </c>
      <c r="R63" s="198"/>
      <c r="S63" s="198"/>
      <c r="T63" s="198"/>
      <c r="U63" s="198"/>
    </row>
    <row r="64" spans="1:21" s="12" customFormat="1" x14ac:dyDescent="0.25">
      <c r="A64" s="212" t="s">
        <v>494</v>
      </c>
      <c r="B64" s="64">
        <v>4.8899999999999997</v>
      </c>
      <c r="C64" s="64">
        <v>10.79</v>
      </c>
      <c r="D64" s="64">
        <v>9.56</v>
      </c>
      <c r="E64" s="64">
        <v>5.19</v>
      </c>
      <c r="F64" s="64">
        <v>9.73</v>
      </c>
      <c r="G64" s="64">
        <v>59.96</v>
      </c>
      <c r="H64" s="64">
        <v>22.3</v>
      </c>
      <c r="I64" s="64">
        <v>1.56</v>
      </c>
      <c r="J64" s="64">
        <v>0.19</v>
      </c>
      <c r="K64" s="64">
        <v>269.14</v>
      </c>
      <c r="L64" s="64">
        <v>30.91</v>
      </c>
      <c r="M64" s="64">
        <v>64.22</v>
      </c>
      <c r="N64" s="64">
        <v>254.8</v>
      </c>
      <c r="O64" s="64">
        <v>0</v>
      </c>
      <c r="P64" s="64">
        <v>0.39</v>
      </c>
      <c r="Q64" s="64">
        <v>8.9700000000000006</v>
      </c>
      <c r="R64" s="198"/>
      <c r="S64" s="198"/>
      <c r="T64" s="198"/>
      <c r="U64" s="198"/>
    </row>
    <row r="65" spans="1:21" s="12" customFormat="1" x14ac:dyDescent="0.25">
      <c r="A65" s="212" t="s">
        <v>495</v>
      </c>
      <c r="B65" s="64">
        <v>4.74</v>
      </c>
      <c r="C65" s="64">
        <v>10.94</v>
      </c>
      <c r="D65" s="64">
        <v>9.52</v>
      </c>
      <c r="E65" s="64">
        <v>4.78</v>
      </c>
      <c r="F65" s="64">
        <v>7.61</v>
      </c>
      <c r="G65" s="64">
        <v>57.93</v>
      </c>
      <c r="H65" s="64">
        <v>21.01</v>
      </c>
      <c r="I65" s="64">
        <v>1.5</v>
      </c>
      <c r="J65" s="64">
        <v>0.22</v>
      </c>
      <c r="K65" s="64">
        <v>293</v>
      </c>
      <c r="L65" s="64">
        <v>30.99</v>
      </c>
      <c r="M65" s="64">
        <v>62.35</v>
      </c>
      <c r="N65" s="64">
        <v>244.8</v>
      </c>
      <c r="O65" s="64">
        <v>0</v>
      </c>
      <c r="P65" s="64">
        <v>0.38</v>
      </c>
      <c r="Q65" s="64">
        <v>8.9499999999999993</v>
      </c>
      <c r="R65" s="198"/>
      <c r="S65" s="198"/>
      <c r="T65" s="198"/>
      <c r="U65" s="198"/>
    </row>
    <row r="66" spans="1:21" s="12" customFormat="1" x14ac:dyDescent="0.25">
      <c r="A66" s="212" t="s">
        <v>496</v>
      </c>
      <c r="B66" s="64">
        <v>4.74</v>
      </c>
      <c r="C66" s="64">
        <v>11.1</v>
      </c>
      <c r="D66" s="64">
        <v>9.61</v>
      </c>
      <c r="E66" s="64">
        <v>4.66</v>
      </c>
      <c r="F66" s="64">
        <v>6.03</v>
      </c>
      <c r="G66" s="64">
        <v>57.93</v>
      </c>
      <c r="H66" s="64">
        <v>13.97</v>
      </c>
      <c r="I66" s="64">
        <v>1.43</v>
      </c>
      <c r="J66" s="64">
        <v>0.15</v>
      </c>
      <c r="K66" s="64">
        <v>291.01</v>
      </c>
      <c r="L66" s="64">
        <v>30.98</v>
      </c>
      <c r="M66" s="64">
        <v>61.92</v>
      </c>
      <c r="N66" s="64">
        <v>208.9</v>
      </c>
      <c r="O66" s="64">
        <v>0</v>
      </c>
      <c r="P66" s="64">
        <v>0.39</v>
      </c>
      <c r="Q66" s="64">
        <v>8.9499999999999993</v>
      </c>
      <c r="R66" s="198"/>
      <c r="S66" s="198"/>
      <c r="T66" s="198"/>
      <c r="U66" s="198"/>
    </row>
    <row r="67" spans="1:21" s="12" customFormat="1" x14ac:dyDescent="0.25">
      <c r="A67" s="212" t="s">
        <v>497</v>
      </c>
      <c r="B67" s="64">
        <v>4.7699999999999996</v>
      </c>
      <c r="C67" s="64">
        <v>11.22</v>
      </c>
      <c r="D67" s="64">
        <v>9.69</v>
      </c>
      <c r="E67" s="64">
        <v>4.8</v>
      </c>
      <c r="F67" s="64">
        <v>5.0599999999999996</v>
      </c>
      <c r="G67" s="64">
        <v>57.93</v>
      </c>
      <c r="H67" s="64">
        <v>13.97</v>
      </c>
      <c r="I67" s="64">
        <v>1.36</v>
      </c>
      <c r="J67" s="64">
        <v>0.16</v>
      </c>
      <c r="K67" s="64">
        <v>294.19</v>
      </c>
      <c r="L67" s="64">
        <v>30.84</v>
      </c>
      <c r="M67" s="64">
        <v>57.62</v>
      </c>
      <c r="N67" s="64">
        <v>193.8</v>
      </c>
      <c r="O67" s="64">
        <v>0</v>
      </c>
      <c r="P67" s="64">
        <v>0.37</v>
      </c>
      <c r="Q67" s="64">
        <v>8.9700000000000006</v>
      </c>
      <c r="R67" s="198"/>
      <c r="S67" s="198"/>
      <c r="T67" s="198"/>
      <c r="U67" s="198"/>
    </row>
    <row r="68" spans="1:21" s="12" customFormat="1" x14ac:dyDescent="0.25">
      <c r="A68" s="212" t="s">
        <v>498</v>
      </c>
      <c r="B68" s="64">
        <v>4.9800000000000004</v>
      </c>
      <c r="C68" s="64">
        <v>10.94</v>
      </c>
      <c r="D68" s="64">
        <v>9.7100000000000009</v>
      </c>
      <c r="E68" s="64">
        <v>4.99</v>
      </c>
      <c r="F68" s="64">
        <v>10.81</v>
      </c>
      <c r="G68" s="64">
        <v>56.69</v>
      </c>
      <c r="H68" s="64">
        <v>13.97</v>
      </c>
      <c r="I68" s="64">
        <v>1.3</v>
      </c>
      <c r="J68" s="64">
        <v>0.17</v>
      </c>
      <c r="K68" s="64">
        <v>285.19</v>
      </c>
      <c r="L68" s="64">
        <v>30.66</v>
      </c>
      <c r="M68" s="64">
        <v>61.92</v>
      </c>
      <c r="N68" s="64">
        <v>202</v>
      </c>
      <c r="O68" s="64">
        <v>0</v>
      </c>
      <c r="P68" s="64">
        <v>0.34</v>
      </c>
      <c r="Q68" s="64">
        <v>8.9700000000000006</v>
      </c>
      <c r="R68" s="198"/>
      <c r="S68" s="198"/>
      <c r="T68" s="198"/>
      <c r="U68" s="198"/>
    </row>
    <row r="69" spans="1:21" s="12" customFormat="1" x14ac:dyDescent="0.25">
      <c r="A69" s="212" t="s">
        <v>499</v>
      </c>
      <c r="B69" s="64">
        <v>5.12</v>
      </c>
      <c r="C69" s="64">
        <v>10.51</v>
      </c>
      <c r="D69" s="64">
        <v>9.6</v>
      </c>
      <c r="E69" s="64">
        <v>4.8099999999999996</v>
      </c>
      <c r="F69" s="64">
        <v>5.93</v>
      </c>
      <c r="G69" s="64">
        <v>55.86</v>
      </c>
      <c r="H69" s="64">
        <v>13.89</v>
      </c>
      <c r="I69" s="64">
        <v>1.24</v>
      </c>
      <c r="J69" s="64">
        <v>0.2</v>
      </c>
      <c r="K69" s="64">
        <v>282.7</v>
      </c>
      <c r="L69" s="64">
        <v>30.78</v>
      </c>
      <c r="M69" s="64">
        <v>63.16</v>
      </c>
      <c r="N69" s="64">
        <v>219.5</v>
      </c>
      <c r="O69" s="64">
        <v>0</v>
      </c>
      <c r="P69" s="64">
        <v>0.36</v>
      </c>
      <c r="Q69" s="64">
        <v>8.9499999999999993</v>
      </c>
      <c r="R69" s="198"/>
      <c r="S69" s="198"/>
      <c r="T69" s="198"/>
      <c r="U69" s="198"/>
    </row>
    <row r="70" spans="1:21" s="12" customFormat="1" x14ac:dyDescent="0.25">
      <c r="A70" s="212" t="s">
        <v>500</v>
      </c>
      <c r="B70" s="64">
        <v>5.37</v>
      </c>
      <c r="C70" s="64">
        <v>11.26</v>
      </c>
      <c r="D70" s="64">
        <v>10.19</v>
      </c>
      <c r="E70" s="64">
        <v>4.66</v>
      </c>
      <c r="F70" s="64">
        <v>8.24</v>
      </c>
      <c r="G70" s="64">
        <v>55.86</v>
      </c>
      <c r="H70" s="64">
        <v>13.42</v>
      </c>
      <c r="I70" s="64">
        <v>1.22</v>
      </c>
      <c r="J70" s="64">
        <v>0.25</v>
      </c>
      <c r="K70" s="64">
        <v>294.18</v>
      </c>
      <c r="L70" s="64">
        <v>30.98</v>
      </c>
      <c r="M70" s="64">
        <v>63.62</v>
      </c>
      <c r="N70" s="64">
        <v>187.5</v>
      </c>
      <c r="O70" s="64">
        <v>0.2</v>
      </c>
      <c r="P70" s="64">
        <v>0.34</v>
      </c>
      <c r="Q70" s="64">
        <v>8.9499999999999993</v>
      </c>
      <c r="R70" s="198"/>
      <c r="S70" s="198"/>
      <c r="T70" s="198"/>
      <c r="U70" s="198"/>
    </row>
    <row r="71" spans="1:21" s="12" customFormat="1" x14ac:dyDescent="0.25">
      <c r="A71" s="212" t="s">
        <v>501</v>
      </c>
      <c r="B71" s="64">
        <v>5.55</v>
      </c>
      <c r="C71" s="64">
        <v>12.04</v>
      </c>
      <c r="D71" s="64">
        <v>10.74</v>
      </c>
      <c r="E71" s="64">
        <v>4.92</v>
      </c>
      <c r="F71" s="64">
        <v>9</v>
      </c>
      <c r="G71" s="64">
        <v>55.86</v>
      </c>
      <c r="H71" s="64">
        <v>13.42</v>
      </c>
      <c r="I71" s="64">
        <v>1.1299999999999999</v>
      </c>
      <c r="J71" s="64">
        <v>0.15</v>
      </c>
      <c r="K71" s="64">
        <v>283.29000000000002</v>
      </c>
      <c r="L71" s="64">
        <v>30.74</v>
      </c>
      <c r="M71" s="64">
        <v>62.73</v>
      </c>
      <c r="N71" s="64">
        <v>175.4</v>
      </c>
      <c r="O71" s="64">
        <v>0</v>
      </c>
      <c r="P71" s="64">
        <v>0.35</v>
      </c>
      <c r="Q71" s="64">
        <v>8.9600000000000009</v>
      </c>
      <c r="R71" s="198"/>
      <c r="S71" s="198"/>
      <c r="T71" s="198"/>
      <c r="U71" s="198"/>
    </row>
    <row r="72" spans="1:21" s="12" customFormat="1" x14ac:dyDescent="0.25">
      <c r="A72" s="212" t="s">
        <v>502</v>
      </c>
      <c r="B72" s="64">
        <v>5.38</v>
      </c>
      <c r="C72" s="64">
        <v>12.49</v>
      </c>
      <c r="D72" s="64">
        <v>10.84</v>
      </c>
      <c r="E72" s="64">
        <v>5.84</v>
      </c>
      <c r="F72" s="64">
        <v>11.37</v>
      </c>
      <c r="G72" s="64">
        <v>56.4</v>
      </c>
      <c r="H72" s="64">
        <v>13.42</v>
      </c>
      <c r="I72" s="64">
        <v>1.1100000000000001</v>
      </c>
      <c r="J72" s="64">
        <v>0.11</v>
      </c>
      <c r="K72" s="64">
        <v>295.17</v>
      </c>
      <c r="L72" s="64">
        <v>30.74</v>
      </c>
      <c r="M72" s="64">
        <v>64.569999999999993</v>
      </c>
      <c r="N72" s="64">
        <v>184.6</v>
      </c>
      <c r="O72" s="64">
        <v>0</v>
      </c>
      <c r="P72" s="64">
        <v>0.35</v>
      </c>
      <c r="Q72" s="64">
        <v>8.9700000000000006</v>
      </c>
      <c r="R72" s="198"/>
      <c r="S72" s="198"/>
      <c r="T72" s="198"/>
      <c r="U72" s="198"/>
    </row>
    <row r="73" spans="1:21" s="12" customFormat="1" x14ac:dyDescent="0.25">
      <c r="A73" s="212" t="s">
        <v>503</v>
      </c>
      <c r="B73" s="64">
        <v>5.23</v>
      </c>
      <c r="C73" s="64">
        <v>12.37</v>
      </c>
      <c r="D73" s="64">
        <v>10.65</v>
      </c>
      <c r="E73" s="64">
        <v>5.26</v>
      </c>
      <c r="F73" s="64">
        <v>10.26</v>
      </c>
      <c r="G73" s="64">
        <v>56.76</v>
      </c>
      <c r="H73" s="64">
        <v>12.61</v>
      </c>
      <c r="I73" s="64">
        <v>1.1399999999999999</v>
      </c>
      <c r="J73" s="64">
        <v>0.11</v>
      </c>
      <c r="K73" s="64">
        <v>280.74</v>
      </c>
      <c r="L73" s="64">
        <v>30.78</v>
      </c>
      <c r="M73" s="64">
        <v>64.819999999999993</v>
      </c>
      <c r="N73" s="64">
        <v>188.9</v>
      </c>
      <c r="O73" s="64">
        <v>0</v>
      </c>
      <c r="P73" s="64">
        <v>0.31</v>
      </c>
      <c r="Q73" s="64">
        <v>8.99</v>
      </c>
      <c r="R73" s="198"/>
      <c r="S73" s="198"/>
      <c r="T73" s="198"/>
      <c r="U73" s="198"/>
    </row>
    <row r="74" spans="1:21" s="12" customFormat="1" x14ac:dyDescent="0.25">
      <c r="A74" s="212" t="s">
        <v>504</v>
      </c>
      <c r="B74" s="64">
        <v>5.01</v>
      </c>
      <c r="C74" s="64">
        <v>11.37</v>
      </c>
      <c r="D74" s="64">
        <v>9.9600000000000009</v>
      </c>
      <c r="E74" s="64">
        <v>5.33</v>
      </c>
      <c r="F74" s="64">
        <v>8.98</v>
      </c>
      <c r="G74" s="64">
        <v>56.76</v>
      </c>
      <c r="H74" s="64">
        <v>8.2100000000000009</v>
      </c>
      <c r="I74" s="64">
        <v>1.1399999999999999</v>
      </c>
      <c r="J74" s="64">
        <v>7.0000000000000007E-2</v>
      </c>
      <c r="K74" s="64">
        <v>262.74</v>
      </c>
      <c r="L74" s="64">
        <v>30.69</v>
      </c>
      <c r="M74" s="64">
        <v>64.540000000000006</v>
      </c>
      <c r="N74" s="64">
        <v>163.6</v>
      </c>
      <c r="O74" s="64">
        <v>0</v>
      </c>
      <c r="P74" s="64">
        <v>0.33</v>
      </c>
      <c r="Q74" s="64">
        <v>9.01</v>
      </c>
      <c r="R74" s="198"/>
      <c r="S74" s="198"/>
      <c r="T74" s="198"/>
      <c r="U74" s="198"/>
    </row>
    <row r="75" spans="1:21" s="12" customFormat="1" x14ac:dyDescent="0.25">
      <c r="A75" s="212" t="s">
        <v>505</v>
      </c>
      <c r="B75" s="64">
        <v>5.1100000000000003</v>
      </c>
      <c r="C75" s="64">
        <v>11.12</v>
      </c>
      <c r="D75" s="64">
        <v>10.61</v>
      </c>
      <c r="E75" s="64">
        <v>5.65</v>
      </c>
      <c r="F75" s="64">
        <v>8.52</v>
      </c>
      <c r="G75" s="64">
        <v>56.76</v>
      </c>
      <c r="H75" s="64">
        <v>8.2100000000000009</v>
      </c>
      <c r="I75" s="64">
        <v>1.18</v>
      </c>
      <c r="J75" s="64">
        <v>0.13</v>
      </c>
      <c r="K75" s="64">
        <v>309.63</v>
      </c>
      <c r="L75" s="64">
        <v>30.55</v>
      </c>
      <c r="M75" s="64">
        <v>64.62</v>
      </c>
      <c r="N75" s="64">
        <v>152.4</v>
      </c>
      <c r="O75" s="64">
        <v>0</v>
      </c>
      <c r="P75" s="64">
        <v>0.34</v>
      </c>
      <c r="Q75" s="64">
        <v>9.01</v>
      </c>
      <c r="R75" s="198"/>
      <c r="S75" s="198"/>
      <c r="T75" s="198"/>
      <c r="U75" s="198"/>
    </row>
    <row r="76" spans="1:21" s="12" customFormat="1" x14ac:dyDescent="0.25">
      <c r="A76" s="212" t="s">
        <v>506</v>
      </c>
      <c r="B76" s="64">
        <v>6.81</v>
      </c>
      <c r="C76" s="64">
        <v>12.2</v>
      </c>
      <c r="D76" s="64">
        <v>11.84</v>
      </c>
      <c r="E76" s="64">
        <v>5.38</v>
      </c>
      <c r="F76" s="64">
        <v>12.27</v>
      </c>
      <c r="G76" s="64">
        <v>57.19</v>
      </c>
      <c r="H76" s="64">
        <v>8.2100000000000009</v>
      </c>
      <c r="I76" s="64">
        <v>1.18</v>
      </c>
      <c r="J76" s="64">
        <v>0.14000000000000001</v>
      </c>
      <c r="K76" s="64">
        <v>306.06</v>
      </c>
      <c r="L76" s="64">
        <v>30.46</v>
      </c>
      <c r="M76" s="64">
        <v>65.83</v>
      </c>
      <c r="N76" s="64">
        <v>141</v>
      </c>
      <c r="O76" s="64">
        <v>0</v>
      </c>
      <c r="P76" s="64">
        <v>0.35</v>
      </c>
      <c r="Q76" s="64">
        <v>9.01</v>
      </c>
      <c r="R76" s="198"/>
      <c r="S76" s="198"/>
      <c r="T76" s="198"/>
      <c r="U76" s="198"/>
    </row>
    <row r="77" spans="1:21" s="12" customFormat="1" x14ac:dyDescent="0.25">
      <c r="A77" s="212" t="s">
        <v>507</v>
      </c>
      <c r="B77" s="64">
        <v>8.9600000000000009</v>
      </c>
      <c r="C77" s="64">
        <v>11.88</v>
      </c>
      <c r="D77" s="64">
        <v>13.39</v>
      </c>
      <c r="E77" s="64">
        <v>5.6</v>
      </c>
      <c r="F77" s="64">
        <v>10.58</v>
      </c>
      <c r="G77" s="64">
        <v>57.48</v>
      </c>
      <c r="H77" s="64">
        <v>9.09</v>
      </c>
      <c r="I77" s="64">
        <v>1.18</v>
      </c>
      <c r="J77" s="64">
        <v>0.15</v>
      </c>
      <c r="K77" s="64">
        <v>311.51</v>
      </c>
      <c r="L77" s="64">
        <v>30.51</v>
      </c>
      <c r="M77" s="64">
        <v>66.44</v>
      </c>
      <c r="N77" s="64">
        <v>127.6</v>
      </c>
      <c r="O77" s="64">
        <v>0</v>
      </c>
      <c r="P77" s="64">
        <v>0.4</v>
      </c>
      <c r="Q77" s="64">
        <v>9.02</v>
      </c>
      <c r="R77" s="198"/>
      <c r="S77" s="198"/>
      <c r="T77" s="198"/>
      <c r="U77" s="198"/>
    </row>
    <row r="78" spans="1:21" s="12" customFormat="1" x14ac:dyDescent="0.25">
      <c r="A78" s="212" t="s">
        <v>508</v>
      </c>
      <c r="B78" s="64">
        <v>6.06</v>
      </c>
      <c r="C78" s="64">
        <v>13.8</v>
      </c>
      <c r="D78" s="64">
        <v>12.07</v>
      </c>
      <c r="E78" s="64">
        <v>5.41</v>
      </c>
      <c r="F78" s="64">
        <v>11.39</v>
      </c>
      <c r="G78" s="64">
        <v>57.48</v>
      </c>
      <c r="H78" s="64">
        <v>14.27</v>
      </c>
      <c r="I78" s="64">
        <v>1.2</v>
      </c>
      <c r="J78" s="64">
        <v>0.08</v>
      </c>
      <c r="K78" s="64">
        <v>320.95999999999998</v>
      </c>
      <c r="L78" s="64">
        <v>30.06</v>
      </c>
      <c r="M78" s="64">
        <v>68.92</v>
      </c>
      <c r="N78" s="64">
        <v>105.2</v>
      </c>
      <c r="O78" s="64">
        <v>0</v>
      </c>
      <c r="P78" s="64">
        <v>0.4</v>
      </c>
      <c r="Q78" s="64">
        <v>9.0299999999999994</v>
      </c>
      <c r="R78" s="198"/>
      <c r="S78" s="198"/>
      <c r="T78" s="198"/>
      <c r="U78" s="198"/>
    </row>
    <row r="79" spans="1:21" s="12" customFormat="1" x14ac:dyDescent="0.25">
      <c r="A79" s="212" t="s">
        <v>509</v>
      </c>
      <c r="B79" s="64">
        <v>6.73</v>
      </c>
      <c r="C79" s="64">
        <v>14.27</v>
      </c>
      <c r="D79" s="64">
        <v>12.85</v>
      </c>
      <c r="E79" s="64">
        <v>5.32</v>
      </c>
      <c r="F79" s="64">
        <v>6.89</v>
      </c>
      <c r="G79" s="64">
        <v>57.48</v>
      </c>
      <c r="H79" s="64">
        <v>14.27</v>
      </c>
      <c r="I79" s="64">
        <v>1.2</v>
      </c>
      <c r="J79" s="64">
        <v>0.12</v>
      </c>
      <c r="K79" s="64">
        <v>335.78</v>
      </c>
      <c r="L79" s="64">
        <v>29.7</v>
      </c>
      <c r="M79" s="64">
        <v>71.23</v>
      </c>
      <c r="N79" s="64">
        <v>90.9</v>
      </c>
      <c r="O79" s="64">
        <v>0</v>
      </c>
      <c r="P79" s="64">
        <v>0.41</v>
      </c>
      <c r="Q79" s="64">
        <v>9.02</v>
      </c>
      <c r="R79" s="198"/>
      <c r="S79" s="198"/>
      <c r="T79" s="198"/>
      <c r="U79" s="198"/>
    </row>
    <row r="80" spans="1:21" s="12" customFormat="1" x14ac:dyDescent="0.25">
      <c r="A80" s="212" t="s">
        <v>510</v>
      </c>
      <c r="B80" s="64">
        <v>5.69</v>
      </c>
      <c r="C80" s="64">
        <v>14.08</v>
      </c>
      <c r="D80" s="64">
        <v>11.92</v>
      </c>
      <c r="E80" s="64">
        <v>5.55</v>
      </c>
      <c r="F80" s="64">
        <v>14.84</v>
      </c>
      <c r="G80" s="64">
        <v>58.89</v>
      </c>
      <c r="H80" s="64">
        <v>14.27</v>
      </c>
      <c r="I80" s="64">
        <v>1.21</v>
      </c>
      <c r="J80" s="64">
        <v>0.06</v>
      </c>
      <c r="K80" s="64">
        <v>318.95999999999998</v>
      </c>
      <c r="L80" s="64">
        <v>29.32</v>
      </c>
      <c r="M80" s="64">
        <v>73.83</v>
      </c>
      <c r="N80" s="64">
        <v>74.599999999999994</v>
      </c>
      <c r="O80" s="64">
        <v>0</v>
      </c>
      <c r="P80" s="64">
        <v>0.38</v>
      </c>
      <c r="Q80" s="64">
        <v>9.0299999999999994</v>
      </c>
      <c r="R80" s="198"/>
      <c r="S80" s="198"/>
      <c r="T80" s="198"/>
      <c r="U80" s="198"/>
    </row>
    <row r="81" spans="1:26" s="12" customFormat="1" x14ac:dyDescent="0.25">
      <c r="A81" s="212" t="s">
        <v>511</v>
      </c>
      <c r="B81" s="64">
        <v>12.3</v>
      </c>
      <c r="C81" s="64">
        <v>20.239999999999998</v>
      </c>
      <c r="D81" s="64">
        <v>20.440000000000001</v>
      </c>
      <c r="E81" s="64">
        <v>5.84</v>
      </c>
      <c r="F81" s="64">
        <v>11.52</v>
      </c>
      <c r="G81" s="64">
        <v>59.82</v>
      </c>
      <c r="H81" s="64">
        <v>14.39</v>
      </c>
      <c r="I81" s="64">
        <v>1.1399999999999999</v>
      </c>
      <c r="J81" s="64">
        <v>7.0000000000000007E-2</v>
      </c>
      <c r="K81" s="64">
        <v>340.14</v>
      </c>
      <c r="L81" s="64">
        <v>29.22</v>
      </c>
      <c r="M81" s="64">
        <v>76.069999999999993</v>
      </c>
      <c r="N81" s="64">
        <v>66</v>
      </c>
      <c r="O81" s="64">
        <v>0</v>
      </c>
      <c r="P81" s="64">
        <v>0.7</v>
      </c>
      <c r="Q81" s="64">
        <v>9.0299999999999994</v>
      </c>
      <c r="R81" s="198"/>
      <c r="S81" s="198"/>
      <c r="T81" s="198"/>
      <c r="U81" s="198"/>
    </row>
    <row r="82" spans="1:26" s="12" customFormat="1" x14ac:dyDescent="0.25">
      <c r="A82" s="212" t="s">
        <v>512</v>
      </c>
      <c r="B82" s="64">
        <v>7.65</v>
      </c>
      <c r="C82" s="64">
        <v>14.81</v>
      </c>
      <c r="D82" s="64">
        <v>13.87</v>
      </c>
      <c r="E82" s="64">
        <v>5.54</v>
      </c>
      <c r="F82" s="64">
        <v>9.86</v>
      </c>
      <c r="G82" s="64">
        <v>59.82</v>
      </c>
      <c r="H82" s="64">
        <v>15.1</v>
      </c>
      <c r="I82" s="64">
        <v>1.17</v>
      </c>
      <c r="J82" s="64">
        <v>0.08</v>
      </c>
      <c r="K82" s="64">
        <v>331.79</v>
      </c>
      <c r="L82" s="64">
        <v>29.04</v>
      </c>
      <c r="M82" s="64">
        <v>76.22</v>
      </c>
      <c r="N82" s="64">
        <v>55.6</v>
      </c>
      <c r="O82" s="64">
        <v>0</v>
      </c>
      <c r="P82" s="64">
        <v>0.52</v>
      </c>
      <c r="Q82" s="64">
        <v>9.0299999999999994</v>
      </c>
      <c r="R82" s="198"/>
      <c r="S82" s="198"/>
      <c r="T82" s="198"/>
      <c r="U82" s="198"/>
    </row>
    <row r="83" spans="1:26" s="12" customFormat="1" x14ac:dyDescent="0.25">
      <c r="A83" s="212" t="s">
        <v>513</v>
      </c>
      <c r="B83" s="64">
        <v>10.8</v>
      </c>
      <c r="C83" s="64">
        <v>20.260000000000002</v>
      </c>
      <c r="D83" s="64">
        <v>19.25</v>
      </c>
      <c r="E83" s="64">
        <v>5.68</v>
      </c>
      <c r="F83" s="64">
        <v>12.57</v>
      </c>
      <c r="G83" s="64">
        <v>59.82</v>
      </c>
      <c r="H83" s="64">
        <v>15.1</v>
      </c>
      <c r="I83" s="64">
        <v>1.18</v>
      </c>
      <c r="J83" s="64">
        <v>0.08</v>
      </c>
      <c r="K83" s="64">
        <v>343.95</v>
      </c>
      <c r="L83" s="64">
        <v>28.8</v>
      </c>
      <c r="M83" s="64">
        <v>77.819999999999993</v>
      </c>
      <c r="N83" s="64">
        <v>51</v>
      </c>
      <c r="O83" s="64">
        <v>0</v>
      </c>
      <c r="P83" s="64">
        <v>0.79</v>
      </c>
      <c r="Q83" s="64">
        <v>9.0299999999999994</v>
      </c>
      <c r="R83" s="198"/>
      <c r="S83" s="198"/>
      <c r="T83" s="198"/>
      <c r="U83" s="198"/>
    </row>
    <row r="84" spans="1:26" s="12" customFormat="1" x14ac:dyDescent="0.25">
      <c r="A84" s="212" t="s">
        <v>514</v>
      </c>
      <c r="B84" s="64">
        <v>8.23</v>
      </c>
      <c r="C84" s="64">
        <v>22.27</v>
      </c>
      <c r="D84" s="64">
        <v>18.239999999999998</v>
      </c>
      <c r="E84" s="64">
        <v>5.77</v>
      </c>
      <c r="F84" s="64">
        <v>13.21</v>
      </c>
      <c r="G84" s="64">
        <v>62.59</v>
      </c>
      <c r="H84" s="64">
        <v>15.1</v>
      </c>
      <c r="I84" s="64">
        <v>1.24</v>
      </c>
      <c r="J84" s="64">
        <v>0.04</v>
      </c>
      <c r="K84" s="64">
        <v>335.41</v>
      </c>
      <c r="L84" s="64">
        <v>28.63</v>
      </c>
      <c r="M84" s="64">
        <v>78.459999999999994</v>
      </c>
      <c r="N84" s="64">
        <v>50.5</v>
      </c>
      <c r="O84" s="64">
        <v>0</v>
      </c>
      <c r="P84" s="64">
        <v>0.69</v>
      </c>
      <c r="Q84" s="64">
        <v>9.0500000000000007</v>
      </c>
      <c r="R84" s="198"/>
      <c r="S84" s="198"/>
      <c r="T84" s="198"/>
      <c r="U84" s="198"/>
    </row>
    <row r="85" spans="1:26" s="12" customFormat="1" x14ac:dyDescent="0.25">
      <c r="A85" s="212" t="s">
        <v>515</v>
      </c>
      <c r="B85" s="64">
        <v>7.99</v>
      </c>
      <c r="C85" s="64">
        <v>21.02</v>
      </c>
      <c r="D85" s="64">
        <v>17.39</v>
      </c>
      <c r="E85" s="64">
        <v>5.54</v>
      </c>
      <c r="F85" s="64">
        <v>12.86</v>
      </c>
      <c r="G85" s="64">
        <v>64.430000000000007</v>
      </c>
      <c r="H85" s="64">
        <v>15.01</v>
      </c>
      <c r="I85" s="64">
        <v>1.26</v>
      </c>
      <c r="J85" s="64">
        <v>0.03</v>
      </c>
      <c r="K85" s="64">
        <v>242.51</v>
      </c>
      <c r="L85" s="64">
        <v>28.39</v>
      </c>
      <c r="M85" s="64">
        <v>80.73</v>
      </c>
      <c r="N85" s="64">
        <v>50.4</v>
      </c>
      <c r="O85" s="64">
        <v>0</v>
      </c>
      <c r="P85" s="64">
        <v>0.57999999999999996</v>
      </c>
      <c r="Q85" s="64">
        <v>9.0500000000000007</v>
      </c>
      <c r="R85" s="198"/>
      <c r="S85" s="198"/>
      <c r="T85" s="198"/>
      <c r="U85" s="198"/>
    </row>
    <row r="86" spans="1:26" s="12" customFormat="1" x14ac:dyDescent="0.25">
      <c r="A86" s="212" t="s">
        <v>516</v>
      </c>
      <c r="B86" s="64">
        <v>12.05</v>
      </c>
      <c r="C86" s="64">
        <v>24.37</v>
      </c>
      <c r="D86" s="64">
        <v>22.4</v>
      </c>
      <c r="E86" s="64">
        <v>5.95</v>
      </c>
      <c r="F86" s="64">
        <v>11.97</v>
      </c>
      <c r="G86" s="64">
        <v>64.430000000000007</v>
      </c>
      <c r="H86" s="64">
        <v>14.42</v>
      </c>
      <c r="I86" s="64">
        <v>1.25</v>
      </c>
      <c r="J86" s="64">
        <v>0.05</v>
      </c>
      <c r="K86" s="64">
        <v>340.48</v>
      </c>
      <c r="L86" s="64">
        <v>28.2</v>
      </c>
      <c r="M86" s="64">
        <v>82.35</v>
      </c>
      <c r="N86" s="64">
        <v>50.2</v>
      </c>
      <c r="O86" s="64">
        <v>0</v>
      </c>
      <c r="P86" s="64">
        <v>0.9</v>
      </c>
      <c r="Q86" s="64">
        <v>9.07</v>
      </c>
      <c r="R86" s="198"/>
      <c r="S86" s="198"/>
      <c r="T86" s="198"/>
      <c r="U86" s="198"/>
    </row>
    <row r="87" spans="1:26" s="12" customFormat="1" x14ac:dyDescent="0.25">
      <c r="A87" s="212" t="s">
        <v>517</v>
      </c>
      <c r="B87" s="64">
        <v>8.36</v>
      </c>
      <c r="C87" s="64">
        <v>19.61</v>
      </c>
      <c r="D87" s="64">
        <v>16.95</v>
      </c>
      <c r="E87" s="64">
        <v>5.85</v>
      </c>
      <c r="F87" s="64">
        <v>13.63</v>
      </c>
      <c r="G87" s="64">
        <v>64.430000000000007</v>
      </c>
      <c r="H87" s="64">
        <v>14.42</v>
      </c>
      <c r="I87" s="64">
        <v>1.29</v>
      </c>
      <c r="J87" s="64">
        <v>0.3</v>
      </c>
      <c r="K87" s="64">
        <v>326.87</v>
      </c>
      <c r="L87" s="64">
        <v>28.22</v>
      </c>
      <c r="M87" s="64">
        <v>83.29</v>
      </c>
      <c r="N87" s="64">
        <v>50.1</v>
      </c>
      <c r="O87" s="64">
        <v>0</v>
      </c>
      <c r="P87" s="64">
        <v>0.68</v>
      </c>
      <c r="Q87" s="64">
        <v>9.1</v>
      </c>
      <c r="R87" s="198"/>
      <c r="S87" s="198"/>
      <c r="T87" s="198"/>
      <c r="U87" s="198"/>
    </row>
    <row r="88" spans="1:26" s="12" customFormat="1" x14ac:dyDescent="0.25">
      <c r="A88" s="212" t="s">
        <v>518</v>
      </c>
      <c r="B88" s="64">
        <v>16.61</v>
      </c>
      <c r="C88" s="64">
        <v>15.91</v>
      </c>
      <c r="D88" s="64">
        <v>21.63</v>
      </c>
      <c r="E88" s="64">
        <v>5.84</v>
      </c>
      <c r="F88" s="64">
        <v>10.130000000000001</v>
      </c>
      <c r="G88" s="64">
        <v>65.86</v>
      </c>
      <c r="H88" s="64">
        <v>14.42</v>
      </c>
      <c r="I88" s="64">
        <v>1.34</v>
      </c>
      <c r="J88" s="64">
        <v>0.5</v>
      </c>
      <c r="K88" s="64">
        <v>332.08</v>
      </c>
      <c r="L88" s="64">
        <v>28.11</v>
      </c>
      <c r="M88" s="64">
        <v>86.95</v>
      </c>
      <c r="N88" s="64">
        <v>50.3</v>
      </c>
      <c r="O88" s="64">
        <v>0</v>
      </c>
      <c r="P88" s="64">
        <v>0.82</v>
      </c>
      <c r="Q88" s="64">
        <v>9.11</v>
      </c>
      <c r="R88" s="198"/>
      <c r="S88" s="198"/>
      <c r="T88" s="198"/>
      <c r="U88" s="198"/>
    </row>
    <row r="89" spans="1:26" s="12" customFormat="1" x14ac:dyDescent="0.25">
      <c r="A89" s="212" t="s">
        <v>519</v>
      </c>
      <c r="B89" s="64">
        <v>19.03</v>
      </c>
      <c r="C89" s="64">
        <v>16.260000000000002</v>
      </c>
      <c r="D89" s="64">
        <v>23.75</v>
      </c>
      <c r="E89" s="64">
        <v>5.78</v>
      </c>
      <c r="F89" s="64">
        <v>7.53</v>
      </c>
      <c r="G89" s="64">
        <v>66.819999999999993</v>
      </c>
      <c r="H89" s="64">
        <v>14.4</v>
      </c>
      <c r="I89" s="64">
        <v>1.38</v>
      </c>
      <c r="J89" s="64">
        <v>0.52</v>
      </c>
      <c r="K89" s="64">
        <v>338.85</v>
      </c>
      <c r="L89" s="64">
        <v>27.87</v>
      </c>
      <c r="M89" s="64">
        <v>88.48</v>
      </c>
      <c r="N89" s="64">
        <v>50.4</v>
      </c>
      <c r="O89" s="64">
        <v>0</v>
      </c>
      <c r="P89" s="64">
        <v>0.84</v>
      </c>
      <c r="Q89" s="64">
        <v>9.1300000000000008</v>
      </c>
      <c r="R89" s="198"/>
      <c r="S89" s="198"/>
      <c r="T89" s="198"/>
      <c r="U89" s="198"/>
    </row>
    <row r="90" spans="1:26" s="12" customFormat="1" x14ac:dyDescent="0.25">
      <c r="A90" s="212" t="s">
        <v>520</v>
      </c>
      <c r="B90" s="64">
        <v>20.12</v>
      </c>
      <c r="C90" s="64">
        <v>16.79</v>
      </c>
      <c r="D90" s="64">
        <v>24.85</v>
      </c>
      <c r="E90" s="64">
        <v>5.78</v>
      </c>
      <c r="F90" s="64">
        <v>8.11</v>
      </c>
      <c r="G90" s="64">
        <v>66.819999999999993</v>
      </c>
      <c r="H90" s="64">
        <v>14.24</v>
      </c>
      <c r="I90" s="64">
        <v>1.42</v>
      </c>
      <c r="J90" s="64">
        <v>0.4</v>
      </c>
      <c r="K90" s="64">
        <v>342.08</v>
      </c>
      <c r="L90" s="64">
        <v>27.71</v>
      </c>
      <c r="M90" s="64">
        <v>87.91</v>
      </c>
      <c r="N90" s="64">
        <v>50.3</v>
      </c>
      <c r="O90" s="64">
        <v>0</v>
      </c>
      <c r="P90" s="64">
        <v>1.1000000000000001</v>
      </c>
      <c r="Q90" s="64">
        <v>9.17</v>
      </c>
      <c r="R90" s="198"/>
      <c r="S90" s="198"/>
      <c r="T90" s="198"/>
      <c r="U90" s="198"/>
    </row>
    <row r="91" spans="1:26" s="12" customFormat="1" x14ac:dyDescent="0.25">
      <c r="A91" s="212" t="s">
        <v>521</v>
      </c>
      <c r="B91" s="64">
        <v>19.420000000000002</v>
      </c>
      <c r="C91" s="64">
        <v>17.579999999999998</v>
      </c>
      <c r="D91" s="64">
        <v>24.76</v>
      </c>
      <c r="E91" s="64">
        <v>6.28</v>
      </c>
      <c r="F91" s="64">
        <v>7.52</v>
      </c>
      <c r="G91" s="64">
        <v>66.819999999999993</v>
      </c>
      <c r="H91" s="64">
        <v>14.24</v>
      </c>
      <c r="I91" s="64">
        <v>1.48</v>
      </c>
      <c r="J91" s="64">
        <v>0.63</v>
      </c>
      <c r="K91" s="64">
        <v>339.72</v>
      </c>
      <c r="L91" s="64">
        <v>27.66</v>
      </c>
      <c r="M91" s="64">
        <v>87.66</v>
      </c>
      <c r="N91" s="64">
        <v>50.2</v>
      </c>
      <c r="O91" s="64">
        <v>0</v>
      </c>
      <c r="P91" s="64">
        <v>0.92</v>
      </c>
      <c r="Q91" s="64">
        <v>9.23</v>
      </c>
      <c r="R91" s="198"/>
      <c r="S91" s="198"/>
      <c r="T91" s="198"/>
      <c r="U91" s="198"/>
    </row>
    <row r="92" spans="1:26" s="12" customFormat="1" x14ac:dyDescent="0.25">
      <c r="A92" s="212" t="s">
        <v>522</v>
      </c>
      <c r="B92" s="64">
        <v>16.87</v>
      </c>
      <c r="C92" s="64">
        <v>18.96</v>
      </c>
      <c r="D92" s="64">
        <v>23.44</v>
      </c>
      <c r="E92" s="64">
        <v>6.47</v>
      </c>
      <c r="F92" s="64">
        <v>8.89</v>
      </c>
      <c r="G92" s="64">
        <v>74.069999999999993</v>
      </c>
      <c r="H92" s="64">
        <v>14.24</v>
      </c>
      <c r="I92" s="64">
        <v>1.58</v>
      </c>
      <c r="J92" s="64">
        <v>0.43</v>
      </c>
      <c r="K92" s="64">
        <v>331.37</v>
      </c>
      <c r="L92" s="64">
        <v>27.59</v>
      </c>
      <c r="M92" s="64">
        <v>86.99</v>
      </c>
      <c r="N92" s="64">
        <v>50.4</v>
      </c>
      <c r="O92" s="64">
        <v>0</v>
      </c>
      <c r="P92" s="64">
        <v>1.06</v>
      </c>
      <c r="Q92" s="64">
        <v>9.2799999999999994</v>
      </c>
      <c r="R92" s="198"/>
      <c r="S92" s="198"/>
      <c r="T92" s="198"/>
      <c r="U92" s="198"/>
    </row>
    <row r="93" spans="1:26" s="12" customFormat="1" x14ac:dyDescent="0.25">
      <c r="A93" s="212" t="s">
        <v>523</v>
      </c>
      <c r="B93" s="64">
        <v>36.58</v>
      </c>
      <c r="C93" s="64">
        <v>18.45</v>
      </c>
      <c r="D93" s="64">
        <v>38.979999999999997</v>
      </c>
      <c r="E93" s="64">
        <v>6.96</v>
      </c>
      <c r="F93" s="64">
        <v>7.42</v>
      </c>
      <c r="G93" s="64">
        <v>78.900000000000006</v>
      </c>
      <c r="H93" s="64">
        <v>14.57</v>
      </c>
      <c r="I93" s="64">
        <v>1.69</v>
      </c>
      <c r="J93" s="64">
        <v>0.27</v>
      </c>
      <c r="K93" s="64">
        <v>339.3</v>
      </c>
      <c r="L93" s="64">
        <v>27.39</v>
      </c>
      <c r="M93" s="64">
        <v>88.64</v>
      </c>
      <c r="N93" s="64">
        <v>50.3</v>
      </c>
      <c r="O93" s="64">
        <v>0</v>
      </c>
      <c r="P93" s="64">
        <v>1.3</v>
      </c>
      <c r="Q93" s="64">
        <v>9.32</v>
      </c>
      <c r="R93" s="198"/>
      <c r="S93" s="198"/>
      <c r="T93" s="198"/>
      <c r="U93" s="198"/>
    </row>
    <row r="94" spans="1:26" s="12" customFormat="1" x14ac:dyDescent="0.25">
      <c r="A94" s="212" t="s">
        <v>524</v>
      </c>
      <c r="B94" s="64">
        <v>37.61</v>
      </c>
      <c r="C94" s="64">
        <v>16.57</v>
      </c>
      <c r="D94" s="64">
        <v>38.729999999999997</v>
      </c>
      <c r="E94" s="64">
        <v>6.82</v>
      </c>
      <c r="F94" s="64">
        <v>7.92</v>
      </c>
      <c r="G94" s="64">
        <v>78.900000000000006</v>
      </c>
      <c r="H94" s="64">
        <v>16.559999999999999</v>
      </c>
      <c r="I94" s="64">
        <v>1.83</v>
      </c>
      <c r="J94" s="64">
        <v>0.18</v>
      </c>
      <c r="K94" s="64">
        <v>330.77</v>
      </c>
      <c r="L94" s="64">
        <v>27.16</v>
      </c>
      <c r="M94" s="64">
        <v>89.68</v>
      </c>
      <c r="N94" s="64">
        <v>50.4</v>
      </c>
      <c r="O94" s="64">
        <v>0</v>
      </c>
      <c r="P94" s="64">
        <v>1.1499999999999999</v>
      </c>
      <c r="Q94" s="64">
        <v>9.3800000000000008</v>
      </c>
      <c r="R94" s="198"/>
      <c r="S94" s="198"/>
      <c r="T94" s="198"/>
      <c r="U94" s="198"/>
    </row>
    <row r="95" spans="1:26" s="12" customFormat="1" x14ac:dyDescent="0.25">
      <c r="A95" s="212" t="s">
        <v>525</v>
      </c>
      <c r="B95" s="64">
        <v>21.84</v>
      </c>
      <c r="C95" s="64">
        <v>17.27</v>
      </c>
      <c r="D95" s="64">
        <v>26.54</v>
      </c>
      <c r="E95" s="64">
        <v>7.14</v>
      </c>
      <c r="F95" s="64">
        <v>9.26</v>
      </c>
      <c r="G95" s="64">
        <v>78.900000000000006</v>
      </c>
      <c r="H95" s="64">
        <v>16.559999999999999</v>
      </c>
      <c r="I95" s="64">
        <v>1.97</v>
      </c>
      <c r="J95" s="64">
        <v>0.28000000000000003</v>
      </c>
      <c r="K95" s="64">
        <v>339.93</v>
      </c>
      <c r="L95" s="64">
        <v>27.07</v>
      </c>
      <c r="M95" s="64">
        <v>89.96</v>
      </c>
      <c r="N95" s="64">
        <v>50.3</v>
      </c>
      <c r="O95" s="64">
        <v>0</v>
      </c>
      <c r="P95" s="64">
        <v>0.88</v>
      </c>
      <c r="Q95" s="64">
        <v>9.4499999999999993</v>
      </c>
      <c r="R95" s="198"/>
      <c r="S95" s="198"/>
      <c r="T95" s="198"/>
      <c r="U95" s="198"/>
    </row>
    <row r="96" spans="1:26" s="12" customFormat="1" x14ac:dyDescent="0.25">
      <c r="A96" s="212" t="s">
        <v>526</v>
      </c>
      <c r="B96" s="64">
        <v>28.61</v>
      </c>
      <c r="C96" s="64">
        <v>16.37</v>
      </c>
      <c r="D96" s="64">
        <v>31.41</v>
      </c>
      <c r="E96" s="64">
        <v>6.46</v>
      </c>
      <c r="F96" s="64">
        <v>9.02</v>
      </c>
      <c r="G96" s="64">
        <v>90.38</v>
      </c>
      <c r="H96" s="64">
        <v>16.559999999999999</v>
      </c>
      <c r="I96" s="64">
        <v>2.0699999999999998</v>
      </c>
      <c r="J96" s="64">
        <v>0.21</v>
      </c>
      <c r="K96" s="64">
        <v>343.51</v>
      </c>
      <c r="L96" s="64">
        <v>26.98</v>
      </c>
      <c r="M96" s="64">
        <v>90.79</v>
      </c>
      <c r="N96" s="64">
        <v>50.5</v>
      </c>
      <c r="O96" s="64">
        <v>0</v>
      </c>
      <c r="P96" s="64">
        <v>1.26</v>
      </c>
      <c r="Q96" s="64">
        <v>9.5</v>
      </c>
      <c r="R96" s="198"/>
      <c r="S96" s="198"/>
      <c r="T96" s="198"/>
      <c r="U96" s="198"/>
      <c r="Z96" s="109"/>
    </row>
    <row r="97" spans="1:33" s="12" customFormat="1" x14ac:dyDescent="0.25">
      <c r="A97" s="212" t="s">
        <v>527</v>
      </c>
      <c r="B97" s="64">
        <v>24.22</v>
      </c>
      <c r="C97" s="64">
        <v>17.37</v>
      </c>
      <c r="D97" s="64">
        <v>28.5</v>
      </c>
      <c r="E97" s="64">
        <v>6.89</v>
      </c>
      <c r="F97" s="64">
        <v>7.35</v>
      </c>
      <c r="G97" s="64">
        <v>98.02</v>
      </c>
      <c r="H97" s="64">
        <v>17.04</v>
      </c>
      <c r="I97" s="64">
        <v>2.13</v>
      </c>
      <c r="J97" s="64">
        <v>0.15</v>
      </c>
      <c r="K97" s="64">
        <v>347.5</v>
      </c>
      <c r="L97" s="64">
        <v>26.77</v>
      </c>
      <c r="M97" s="64">
        <v>90.8</v>
      </c>
      <c r="N97" s="64">
        <v>50.4</v>
      </c>
      <c r="O97" s="64">
        <v>0</v>
      </c>
      <c r="P97" s="64">
        <v>1.1299999999999999</v>
      </c>
      <c r="Q97" s="64">
        <v>9.52</v>
      </c>
      <c r="R97" s="198"/>
      <c r="S97" s="198"/>
      <c r="T97" s="198"/>
      <c r="U97" s="198"/>
    </row>
    <row r="98" spans="1:33" s="12" customFormat="1" x14ac:dyDescent="0.25">
      <c r="A98" s="212" t="s">
        <v>528</v>
      </c>
      <c r="B98" s="64">
        <v>18.739999999999998</v>
      </c>
      <c r="C98" s="64">
        <v>23.08</v>
      </c>
      <c r="D98" s="64">
        <v>27.09</v>
      </c>
      <c r="E98" s="64">
        <v>6.63</v>
      </c>
      <c r="F98" s="64">
        <v>5.89</v>
      </c>
      <c r="G98" s="64">
        <v>98.02</v>
      </c>
      <c r="H98" s="64">
        <v>19.93</v>
      </c>
      <c r="I98" s="64">
        <v>2.16</v>
      </c>
      <c r="J98" s="64">
        <v>0.04</v>
      </c>
      <c r="K98" s="64">
        <v>349.2</v>
      </c>
      <c r="L98" s="64">
        <v>26.55</v>
      </c>
      <c r="M98" s="64">
        <v>91.62</v>
      </c>
      <c r="N98" s="64">
        <v>50.5</v>
      </c>
      <c r="O98" s="64">
        <v>0</v>
      </c>
      <c r="P98" s="64">
        <v>1.07</v>
      </c>
      <c r="Q98" s="64">
        <v>9.56</v>
      </c>
      <c r="R98" s="198"/>
      <c r="S98" s="198"/>
      <c r="T98" s="198"/>
      <c r="U98" s="198"/>
    </row>
    <row r="99" spans="1:33" s="12" customFormat="1" x14ac:dyDescent="0.25">
      <c r="A99" s="212" t="s">
        <v>529</v>
      </c>
      <c r="B99" s="64">
        <v>16.25</v>
      </c>
      <c r="C99" s="64">
        <v>23.62</v>
      </c>
      <c r="D99" s="64">
        <v>25.37</v>
      </c>
      <c r="E99" s="64">
        <v>6.27</v>
      </c>
      <c r="F99" s="64">
        <v>5.27</v>
      </c>
      <c r="G99" s="64">
        <v>98.02</v>
      </c>
      <c r="H99" s="64">
        <v>19.93</v>
      </c>
      <c r="I99" s="64">
        <v>2.19</v>
      </c>
      <c r="J99" s="64">
        <v>7.0000000000000007E-2</v>
      </c>
      <c r="K99" s="64">
        <v>296.69</v>
      </c>
      <c r="L99" s="64">
        <v>26.47</v>
      </c>
      <c r="M99" s="64">
        <v>91.54</v>
      </c>
      <c r="N99" s="64">
        <v>50.5</v>
      </c>
      <c r="O99" s="64">
        <v>0</v>
      </c>
      <c r="P99" s="64">
        <v>0.94</v>
      </c>
      <c r="Q99" s="64">
        <v>9.59</v>
      </c>
      <c r="R99" s="198"/>
      <c r="S99" s="198"/>
      <c r="T99" s="198"/>
      <c r="U99" s="198"/>
    </row>
    <row r="100" spans="1:33" s="12" customFormat="1" x14ac:dyDescent="0.25">
      <c r="A100" s="212" t="s">
        <v>530</v>
      </c>
      <c r="B100" s="64">
        <v>26.69</v>
      </c>
      <c r="C100" s="64">
        <v>17.52</v>
      </c>
      <c r="D100" s="64">
        <v>30.55</v>
      </c>
      <c r="E100" s="64">
        <v>6.41</v>
      </c>
      <c r="F100" s="64">
        <v>5.0999999999999996</v>
      </c>
      <c r="G100" s="64">
        <v>99.37</v>
      </c>
      <c r="H100" s="64">
        <v>19.93</v>
      </c>
      <c r="I100" s="64">
        <v>2.23</v>
      </c>
      <c r="J100" s="64">
        <v>0.06</v>
      </c>
      <c r="K100" s="64">
        <v>314.47000000000003</v>
      </c>
      <c r="L100" s="64">
        <v>26.45</v>
      </c>
      <c r="M100" s="64">
        <v>93.78</v>
      </c>
      <c r="N100" s="64">
        <v>50.5</v>
      </c>
      <c r="O100" s="64">
        <v>0</v>
      </c>
      <c r="P100" s="64">
        <v>1.01</v>
      </c>
      <c r="Q100" s="64">
        <v>9.6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2" t="s">
        <v>531</v>
      </c>
      <c r="B101" s="64">
        <v>30.8</v>
      </c>
      <c r="C101" s="64">
        <v>15.99</v>
      </c>
      <c r="D101" s="64">
        <v>33.049999999999997</v>
      </c>
      <c r="E101" s="64">
        <v>6.54</v>
      </c>
      <c r="F101" s="64">
        <v>4.74</v>
      </c>
      <c r="G101" s="64">
        <v>100.27</v>
      </c>
      <c r="H101" s="64">
        <v>20.309999999999999</v>
      </c>
      <c r="I101" s="64">
        <v>2.2599999999999998</v>
      </c>
      <c r="J101" s="64">
        <v>0.15</v>
      </c>
      <c r="K101" s="64">
        <v>358.22</v>
      </c>
      <c r="L101" s="64">
        <v>26.51</v>
      </c>
      <c r="M101" s="64">
        <v>97.19</v>
      </c>
      <c r="N101" s="64">
        <v>50.5</v>
      </c>
      <c r="O101" s="64">
        <v>0</v>
      </c>
      <c r="P101" s="64">
        <v>1.4</v>
      </c>
      <c r="Q101" s="64">
        <v>9.6</v>
      </c>
      <c r="R101" s="198"/>
      <c r="S101" s="198"/>
      <c r="T101" s="198"/>
      <c r="U101" s="198"/>
    </row>
    <row r="102" spans="1:33" s="12" customFormat="1" x14ac:dyDescent="0.25">
      <c r="A102" s="212" t="s">
        <v>532</v>
      </c>
      <c r="B102" s="64">
        <v>22.58</v>
      </c>
      <c r="C102" s="64">
        <v>16.98</v>
      </c>
      <c r="D102" s="64">
        <v>26.98</v>
      </c>
      <c r="E102" s="64">
        <v>6.61</v>
      </c>
      <c r="F102" s="64">
        <v>5.43</v>
      </c>
      <c r="G102" s="64">
        <v>100.27</v>
      </c>
      <c r="H102" s="64">
        <v>22.6</v>
      </c>
      <c r="I102" s="64">
        <v>2.3199999999999998</v>
      </c>
      <c r="J102" s="64">
        <v>0.26</v>
      </c>
      <c r="K102" s="64">
        <v>344.27</v>
      </c>
      <c r="L102" s="64">
        <v>26.43</v>
      </c>
      <c r="M102" s="64">
        <v>96.56</v>
      </c>
      <c r="N102" s="64">
        <v>50.2</v>
      </c>
      <c r="O102" s="64">
        <v>0</v>
      </c>
      <c r="P102" s="64">
        <v>1.0900000000000001</v>
      </c>
      <c r="Q102" s="64">
        <v>9.6300000000000008</v>
      </c>
      <c r="R102" s="198"/>
      <c r="S102" s="198"/>
      <c r="T102" s="198"/>
      <c r="U102" s="198"/>
    </row>
    <row r="103" spans="1:33" s="12" customFormat="1" x14ac:dyDescent="0.25">
      <c r="A103" s="212" t="s">
        <v>533</v>
      </c>
      <c r="B103" s="64">
        <v>17.7</v>
      </c>
      <c r="C103" s="64">
        <v>16.28</v>
      </c>
      <c r="D103" s="64">
        <v>22.7</v>
      </c>
      <c r="E103" s="64">
        <v>6.11</v>
      </c>
      <c r="F103" s="64">
        <v>6.58</v>
      </c>
      <c r="G103" s="64">
        <v>100.27</v>
      </c>
      <c r="H103" s="64">
        <v>22.6</v>
      </c>
      <c r="I103" s="64">
        <v>2.39</v>
      </c>
      <c r="J103" s="64">
        <v>0.22</v>
      </c>
      <c r="K103" s="64">
        <v>339.91</v>
      </c>
      <c r="L103" s="64">
        <v>26.44</v>
      </c>
      <c r="M103" s="64">
        <v>94.9</v>
      </c>
      <c r="N103" s="64">
        <v>50.2</v>
      </c>
      <c r="O103" s="64">
        <v>0</v>
      </c>
      <c r="P103" s="64">
        <v>0.72</v>
      </c>
      <c r="Q103" s="64">
        <v>9.64</v>
      </c>
      <c r="R103" s="198"/>
      <c r="S103" s="198"/>
      <c r="T103" s="198"/>
      <c r="U103" s="198"/>
    </row>
    <row r="104" spans="1:33" s="12" customFormat="1" x14ac:dyDescent="0.25">
      <c r="A104" s="212" t="s">
        <v>534</v>
      </c>
      <c r="B104" s="64">
        <v>8.58</v>
      </c>
      <c r="C104" s="64">
        <v>18.61</v>
      </c>
      <c r="D104" s="64">
        <v>16.61</v>
      </c>
      <c r="E104" s="64">
        <v>5.29</v>
      </c>
      <c r="F104" s="64">
        <v>6.51</v>
      </c>
      <c r="G104" s="64">
        <v>105.92</v>
      </c>
      <c r="H104" s="64">
        <v>22.6</v>
      </c>
      <c r="I104" s="64">
        <v>2.46</v>
      </c>
      <c r="J104" s="64">
        <v>0.06</v>
      </c>
      <c r="K104" s="64">
        <v>197.57</v>
      </c>
      <c r="L104" s="64">
        <v>26.36</v>
      </c>
      <c r="M104" s="64">
        <v>94.22</v>
      </c>
      <c r="N104" s="64">
        <v>50.5</v>
      </c>
      <c r="O104" s="64">
        <v>0</v>
      </c>
      <c r="P104" s="64">
        <v>0.65</v>
      </c>
      <c r="Q104" s="64">
        <v>9.61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4.74</v>
      </c>
      <c r="C106" s="67">
        <f>MIN(C9:C104)</f>
        <v>7.11</v>
      </c>
      <c r="D106" s="67">
        <f t="shared" ref="D106:Q106" si="0">MIN(D9:D104)</f>
        <v>8.19</v>
      </c>
      <c r="E106" s="67">
        <f t="shared" si="0"/>
        <v>3.25</v>
      </c>
      <c r="F106" s="67">
        <f t="shared" si="0"/>
        <v>3.29</v>
      </c>
      <c r="G106" s="67">
        <f t="shared" si="0"/>
        <v>33.630000000000003</v>
      </c>
      <c r="H106" s="67">
        <f t="shared" si="0"/>
        <v>6.23</v>
      </c>
      <c r="I106" s="67">
        <f t="shared" si="0"/>
        <v>1.1100000000000001</v>
      </c>
      <c r="J106" s="67">
        <f t="shared" si="0"/>
        <v>0.01</v>
      </c>
      <c r="K106" s="67">
        <f t="shared" si="0"/>
        <v>62.38</v>
      </c>
      <c r="L106" s="67">
        <f t="shared" si="0"/>
        <v>24.21</v>
      </c>
      <c r="M106" s="67">
        <f t="shared" si="0"/>
        <v>57.62</v>
      </c>
      <c r="N106" s="67">
        <f t="shared" si="0"/>
        <v>50.1</v>
      </c>
      <c r="O106" s="67">
        <f t="shared" si="0"/>
        <v>0</v>
      </c>
      <c r="P106" s="67">
        <f t="shared" si="0"/>
        <v>0.14000000000000001</v>
      </c>
      <c r="Q106" s="67">
        <f t="shared" si="0"/>
        <v>8.9499999999999993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37.61</v>
      </c>
      <c r="C107" s="66">
        <f t="shared" ref="C107:Q107" si="1">MAX(C9:C104)</f>
        <v>24.37</v>
      </c>
      <c r="D107" s="66">
        <f t="shared" si="1"/>
        <v>38.979999999999997</v>
      </c>
      <c r="E107" s="66">
        <f t="shared" si="1"/>
        <v>7.14</v>
      </c>
      <c r="F107" s="66">
        <f t="shared" si="1"/>
        <v>14.84</v>
      </c>
      <c r="G107" s="66">
        <f t="shared" si="1"/>
        <v>105.92</v>
      </c>
      <c r="H107" s="66">
        <f t="shared" si="1"/>
        <v>48.38</v>
      </c>
      <c r="I107" s="66">
        <f t="shared" si="1"/>
        <v>2.46</v>
      </c>
      <c r="J107" s="66">
        <f t="shared" si="1"/>
        <v>0.63</v>
      </c>
      <c r="K107" s="66">
        <f t="shared" si="1"/>
        <v>358.22</v>
      </c>
      <c r="L107" s="66">
        <f t="shared" si="1"/>
        <v>32.700000000000003</v>
      </c>
      <c r="M107" s="66">
        <f t="shared" si="1"/>
        <v>98.05</v>
      </c>
      <c r="N107" s="66">
        <f t="shared" si="1"/>
        <v>920.7</v>
      </c>
      <c r="O107" s="66">
        <f t="shared" si="1"/>
        <v>0.2</v>
      </c>
      <c r="P107" s="66">
        <f t="shared" si="1"/>
        <v>1.4</v>
      </c>
      <c r="Q107" s="66">
        <f t="shared" si="1"/>
        <v>9.64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9.9813541666666676</v>
      </c>
      <c r="C108" s="67">
        <f t="shared" ref="C108:Q108" si="2">AVERAGE(C9:C104)</f>
        <v>12.543333333333329</v>
      </c>
      <c r="D108" s="67">
        <f t="shared" si="2"/>
        <v>14.563437500000004</v>
      </c>
      <c r="E108" s="67">
        <f t="shared" si="2"/>
        <v>4.9652083333333321</v>
      </c>
      <c r="F108" s="67">
        <f t="shared" si="2"/>
        <v>8.1286458333333353</v>
      </c>
      <c r="G108" s="67">
        <f t="shared" si="2"/>
        <v>59.238020833333358</v>
      </c>
      <c r="H108" s="67">
        <f t="shared" si="2"/>
        <v>18.041458333333331</v>
      </c>
      <c r="I108" s="67">
        <f t="shared" si="2"/>
        <v>1.584583333333333</v>
      </c>
      <c r="J108" s="67">
        <f t="shared" si="2"/>
        <v>0.14718750000000005</v>
      </c>
      <c r="K108" s="67">
        <f t="shared" si="2"/>
        <v>270.33937499999996</v>
      </c>
      <c r="L108" s="67">
        <f t="shared" si="2"/>
        <v>28.024270833333329</v>
      </c>
      <c r="M108" s="67">
        <f t="shared" si="2"/>
        <v>83.331874999999968</v>
      </c>
      <c r="N108" s="67">
        <f t="shared" si="2"/>
        <v>243.89791666666676</v>
      </c>
      <c r="O108" s="67">
        <f t="shared" si="2"/>
        <v>2.0833333333333333E-3</v>
      </c>
      <c r="P108" s="67">
        <f t="shared" si="2"/>
        <v>0.48166666666666652</v>
      </c>
      <c r="Q108" s="67">
        <f t="shared" si="2"/>
        <v>9.1753125000000022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6.8845212530554312</v>
      </c>
      <c r="C109" s="67">
        <f t="shared" ref="C109:Q109" si="3">STDEV(C9:C104)</f>
        <v>4.0735590714720216</v>
      </c>
      <c r="D109" s="67">
        <f t="shared" si="3"/>
        <v>6.8630232448397326</v>
      </c>
      <c r="E109" s="67">
        <f t="shared" si="3"/>
        <v>0.97524623521358156</v>
      </c>
      <c r="F109" s="67">
        <f t="shared" si="3"/>
        <v>2.4825634543399979</v>
      </c>
      <c r="G109" s="67">
        <f t="shared" si="3"/>
        <v>16.806556090425325</v>
      </c>
      <c r="H109" s="67">
        <f t="shared" si="3"/>
        <v>8.8007515204419544</v>
      </c>
      <c r="I109" s="67">
        <f t="shared" si="3"/>
        <v>0.37084517032163128</v>
      </c>
      <c r="J109" s="67">
        <f t="shared" si="3"/>
        <v>0.1080321894037532</v>
      </c>
      <c r="K109" s="67">
        <f t="shared" si="3"/>
        <v>70.015784172495771</v>
      </c>
      <c r="L109" s="67">
        <f t="shared" si="3"/>
        <v>2.7009221601799038</v>
      </c>
      <c r="M109" s="67">
        <f t="shared" si="3"/>
        <v>13.765879199367681</v>
      </c>
      <c r="N109" s="67">
        <f t="shared" si="3"/>
        <v>281.69281551257825</v>
      </c>
      <c r="O109" s="67">
        <f t="shared" si="3"/>
        <v>2.0412414523193152E-2</v>
      </c>
      <c r="P109" s="67">
        <f t="shared" si="3"/>
        <v>0.30152128899846936</v>
      </c>
      <c r="Q109" s="67">
        <f t="shared" si="3"/>
        <v>0.1723885032495833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216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80" sqref="I8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04/08/2025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2" t="s">
        <v>535</v>
      </c>
      <c r="B9" s="64">
        <v>9.39</v>
      </c>
      <c r="C9" s="64">
        <v>17.79</v>
      </c>
      <c r="D9" s="64">
        <v>16.82</v>
      </c>
      <c r="E9" s="64">
        <v>5.52</v>
      </c>
      <c r="F9" s="64">
        <v>6.81</v>
      </c>
      <c r="G9" s="64">
        <v>109.68</v>
      </c>
      <c r="H9" s="64">
        <v>22.35</v>
      </c>
      <c r="I9" s="64">
        <v>2.4900000000000002</v>
      </c>
      <c r="J9" s="64">
        <v>0.04</v>
      </c>
      <c r="K9" s="64">
        <v>175.95</v>
      </c>
      <c r="L9" s="64">
        <v>26.22</v>
      </c>
      <c r="M9" s="64">
        <v>96.44</v>
      </c>
      <c r="N9" s="64">
        <v>50.5</v>
      </c>
      <c r="O9" s="64">
        <v>0</v>
      </c>
      <c r="P9" s="64">
        <v>0.77</v>
      </c>
      <c r="Q9" s="64">
        <v>9.6300000000000008</v>
      </c>
      <c r="R9" s="198"/>
      <c r="S9" s="198"/>
      <c r="T9" s="198"/>
      <c r="U9" s="198"/>
    </row>
    <row r="10" spans="1:21" s="12" customFormat="1" x14ac:dyDescent="0.25">
      <c r="A10" s="212" t="s">
        <v>536</v>
      </c>
      <c r="B10" s="64">
        <v>8.7200000000000006</v>
      </c>
      <c r="C10" s="64">
        <v>17.399999999999999</v>
      </c>
      <c r="D10" s="64">
        <v>16.09</v>
      </c>
      <c r="E10" s="64">
        <v>5.74</v>
      </c>
      <c r="F10" s="64">
        <v>5.94</v>
      </c>
      <c r="G10" s="64">
        <v>109.68</v>
      </c>
      <c r="H10" s="64">
        <v>20.86</v>
      </c>
      <c r="I10" s="64">
        <v>2.5099999999999998</v>
      </c>
      <c r="J10" s="64">
        <v>0.05</v>
      </c>
      <c r="K10" s="64">
        <v>196.15</v>
      </c>
      <c r="L10" s="64">
        <v>26.14</v>
      </c>
      <c r="M10" s="64">
        <v>97.07</v>
      </c>
      <c r="N10" s="64">
        <v>50.5</v>
      </c>
      <c r="O10" s="64">
        <v>0</v>
      </c>
      <c r="P10" s="64">
        <v>0.64</v>
      </c>
      <c r="Q10" s="64">
        <v>9.65</v>
      </c>
      <c r="R10" s="198"/>
      <c r="S10" s="198"/>
      <c r="T10" s="198"/>
      <c r="U10" s="198"/>
    </row>
    <row r="11" spans="1:21" s="12" customFormat="1" x14ac:dyDescent="0.25">
      <c r="A11" s="212" t="s">
        <v>537</v>
      </c>
      <c r="B11" s="64">
        <v>7.92</v>
      </c>
      <c r="C11" s="64">
        <v>18.079999999999998</v>
      </c>
      <c r="D11" s="64">
        <v>15.8</v>
      </c>
      <c r="E11" s="64">
        <v>5.52</v>
      </c>
      <c r="F11" s="64">
        <v>5.98</v>
      </c>
      <c r="G11" s="64">
        <v>109.68</v>
      </c>
      <c r="H11" s="64">
        <v>20.86</v>
      </c>
      <c r="I11" s="64">
        <v>2.5299999999999998</v>
      </c>
      <c r="J11" s="64">
        <v>0.04</v>
      </c>
      <c r="K11" s="64">
        <v>214.92</v>
      </c>
      <c r="L11" s="64">
        <v>26.14</v>
      </c>
      <c r="M11" s="64">
        <v>97.64</v>
      </c>
      <c r="N11" s="64">
        <v>50.5</v>
      </c>
      <c r="O11" s="64">
        <v>0</v>
      </c>
      <c r="P11" s="64">
        <v>0.46</v>
      </c>
      <c r="Q11" s="64">
        <v>9.64</v>
      </c>
      <c r="R11" s="198"/>
      <c r="S11" s="198"/>
      <c r="T11" s="198"/>
      <c r="U11" s="198"/>
    </row>
    <row r="12" spans="1:21" s="12" customFormat="1" x14ac:dyDescent="0.25">
      <c r="A12" s="212" t="s">
        <v>538</v>
      </c>
      <c r="B12" s="64">
        <v>7.17</v>
      </c>
      <c r="C12" s="64">
        <v>15.23</v>
      </c>
      <c r="D12" s="64">
        <v>13.71</v>
      </c>
      <c r="E12" s="64">
        <v>5.14</v>
      </c>
      <c r="F12" s="64">
        <v>7.2</v>
      </c>
      <c r="G12" s="64">
        <v>102.05</v>
      </c>
      <c r="H12" s="64">
        <v>20.86</v>
      </c>
      <c r="I12" s="64">
        <v>2.52</v>
      </c>
      <c r="J12" s="64">
        <v>0.03</v>
      </c>
      <c r="K12" s="64">
        <v>171</v>
      </c>
      <c r="L12" s="64">
        <v>26.12</v>
      </c>
      <c r="M12" s="64">
        <v>98</v>
      </c>
      <c r="N12" s="64">
        <v>50.5</v>
      </c>
      <c r="O12" s="64">
        <v>0</v>
      </c>
      <c r="P12" s="64">
        <v>0.32</v>
      </c>
      <c r="Q12" s="64">
        <v>9.6199999999999992</v>
      </c>
      <c r="R12" s="198"/>
      <c r="S12" s="198"/>
      <c r="T12" s="198"/>
      <c r="U12" s="198"/>
    </row>
    <row r="13" spans="1:21" s="12" customFormat="1" x14ac:dyDescent="0.25">
      <c r="A13" s="212" t="s">
        <v>539</v>
      </c>
      <c r="B13" s="64">
        <v>6.98</v>
      </c>
      <c r="C13" s="64">
        <v>14.43</v>
      </c>
      <c r="D13" s="64">
        <v>13.14</v>
      </c>
      <c r="E13" s="64">
        <v>5.27</v>
      </c>
      <c r="F13" s="64">
        <v>7.22</v>
      </c>
      <c r="G13" s="64">
        <v>96.95</v>
      </c>
      <c r="H13" s="64">
        <v>21.2</v>
      </c>
      <c r="I13" s="64">
        <v>2.5099999999999998</v>
      </c>
      <c r="J13" s="64">
        <v>7.0000000000000007E-2</v>
      </c>
      <c r="K13" s="64">
        <v>122.77</v>
      </c>
      <c r="L13" s="64">
        <v>26.18</v>
      </c>
      <c r="M13" s="64">
        <v>98.01</v>
      </c>
      <c r="N13" s="64">
        <v>50.5</v>
      </c>
      <c r="O13" s="64">
        <v>0</v>
      </c>
      <c r="P13" s="64">
        <v>0.16</v>
      </c>
      <c r="Q13" s="64">
        <v>9.6300000000000008</v>
      </c>
      <c r="R13" s="198"/>
      <c r="S13" s="198"/>
      <c r="T13" s="198"/>
      <c r="U13" s="198"/>
    </row>
    <row r="14" spans="1:21" s="12" customFormat="1" x14ac:dyDescent="0.25">
      <c r="A14" s="212" t="s">
        <v>540</v>
      </c>
      <c r="B14" s="64">
        <v>7.17</v>
      </c>
      <c r="C14" s="64">
        <v>12.25</v>
      </c>
      <c r="D14" s="64">
        <v>12.15</v>
      </c>
      <c r="E14" s="64">
        <v>5.32</v>
      </c>
      <c r="F14" s="64">
        <v>8</v>
      </c>
      <c r="G14" s="64">
        <v>96.95</v>
      </c>
      <c r="H14" s="64">
        <v>23.18</v>
      </c>
      <c r="I14" s="64">
        <v>2.5</v>
      </c>
      <c r="J14" s="64">
        <v>0.06</v>
      </c>
      <c r="K14" s="64">
        <v>204.3</v>
      </c>
      <c r="L14" s="64">
        <v>26.2</v>
      </c>
      <c r="M14" s="64">
        <v>98</v>
      </c>
      <c r="N14" s="64">
        <v>50.5</v>
      </c>
      <c r="O14" s="64">
        <v>0</v>
      </c>
      <c r="P14" s="64">
        <v>0.16</v>
      </c>
      <c r="Q14" s="64">
        <v>9.6199999999999992</v>
      </c>
      <c r="R14" s="198"/>
      <c r="S14" s="198"/>
      <c r="T14" s="198"/>
      <c r="U14" s="198"/>
    </row>
    <row r="15" spans="1:21" s="12" customFormat="1" x14ac:dyDescent="0.25">
      <c r="A15" s="212" t="s">
        <v>541</v>
      </c>
      <c r="B15" s="64">
        <v>8.35</v>
      </c>
      <c r="C15" s="64">
        <v>10.83</v>
      </c>
      <c r="D15" s="64">
        <v>12.36</v>
      </c>
      <c r="E15" s="64">
        <v>5.25</v>
      </c>
      <c r="F15" s="64">
        <v>8.49</v>
      </c>
      <c r="G15" s="64">
        <v>96.95</v>
      </c>
      <c r="H15" s="64">
        <v>23.18</v>
      </c>
      <c r="I15" s="64">
        <v>2.4500000000000002</v>
      </c>
      <c r="J15" s="64">
        <v>0.02</v>
      </c>
      <c r="K15" s="64">
        <v>274.72000000000003</v>
      </c>
      <c r="L15" s="64">
        <v>26.27</v>
      </c>
      <c r="M15" s="64">
        <v>97.82</v>
      </c>
      <c r="N15" s="64">
        <v>50.5</v>
      </c>
      <c r="O15" s="64">
        <v>0</v>
      </c>
      <c r="P15" s="64">
        <v>0.16</v>
      </c>
      <c r="Q15" s="64">
        <v>9.64</v>
      </c>
      <c r="R15" s="198"/>
      <c r="S15" s="198"/>
      <c r="T15" s="198"/>
      <c r="U15" s="198"/>
    </row>
    <row r="16" spans="1:21" s="12" customFormat="1" x14ac:dyDescent="0.25">
      <c r="A16" s="212" t="s">
        <v>542</v>
      </c>
      <c r="B16" s="64">
        <v>6.97</v>
      </c>
      <c r="C16" s="64">
        <v>10.76</v>
      </c>
      <c r="D16" s="64">
        <v>11.21</v>
      </c>
      <c r="E16" s="64">
        <v>5.33</v>
      </c>
      <c r="F16" s="64">
        <v>9.76</v>
      </c>
      <c r="G16" s="64">
        <v>81.790000000000006</v>
      </c>
      <c r="H16" s="64">
        <v>23.18</v>
      </c>
      <c r="I16" s="64">
        <v>2.39</v>
      </c>
      <c r="J16" s="64">
        <v>0.05</v>
      </c>
      <c r="K16" s="64">
        <v>340.47</v>
      </c>
      <c r="L16" s="64">
        <v>26.32</v>
      </c>
      <c r="M16" s="64">
        <v>97.34</v>
      </c>
      <c r="N16" s="64">
        <v>50.5</v>
      </c>
      <c r="O16" s="64">
        <v>0</v>
      </c>
      <c r="P16" s="64">
        <v>0.12</v>
      </c>
      <c r="Q16" s="64">
        <v>9.6199999999999992</v>
      </c>
      <c r="R16" s="198"/>
      <c r="S16" s="198"/>
      <c r="T16" s="198"/>
      <c r="U16" s="198"/>
    </row>
    <row r="17" spans="1:21" s="12" customFormat="1" x14ac:dyDescent="0.25">
      <c r="A17" s="212" t="s">
        <v>543</v>
      </c>
      <c r="B17" s="64">
        <v>8.57</v>
      </c>
      <c r="C17" s="64">
        <v>12.08</v>
      </c>
      <c r="D17" s="64">
        <v>13.18</v>
      </c>
      <c r="E17" s="64">
        <v>5.36</v>
      </c>
      <c r="F17" s="64">
        <v>8.36</v>
      </c>
      <c r="G17" s="64">
        <v>71.680000000000007</v>
      </c>
      <c r="H17" s="64">
        <v>22.09</v>
      </c>
      <c r="I17" s="64">
        <v>2.35</v>
      </c>
      <c r="J17" s="64">
        <v>0.05</v>
      </c>
      <c r="K17" s="64">
        <v>340.47</v>
      </c>
      <c r="L17" s="64">
        <v>26.21</v>
      </c>
      <c r="M17" s="64">
        <v>97.95</v>
      </c>
      <c r="N17" s="64">
        <v>50.5</v>
      </c>
      <c r="O17" s="64">
        <v>0</v>
      </c>
      <c r="P17" s="64">
        <v>0.13</v>
      </c>
      <c r="Q17" s="64">
        <v>9.64</v>
      </c>
      <c r="R17" s="198"/>
      <c r="S17" s="198"/>
      <c r="T17" s="198"/>
      <c r="U17" s="198"/>
    </row>
    <row r="18" spans="1:21" s="12" customFormat="1" x14ac:dyDescent="0.25">
      <c r="A18" s="212" t="s">
        <v>544</v>
      </c>
      <c r="B18" s="64">
        <v>8.36</v>
      </c>
      <c r="C18" s="64">
        <v>10.23</v>
      </c>
      <c r="D18" s="64">
        <v>12.04</v>
      </c>
      <c r="E18" s="64">
        <v>5.12</v>
      </c>
      <c r="F18" s="64">
        <v>7.97</v>
      </c>
      <c r="G18" s="64">
        <v>71.680000000000007</v>
      </c>
      <c r="H18" s="64">
        <v>15.69</v>
      </c>
      <c r="I18" s="64">
        <v>2.2999999999999998</v>
      </c>
      <c r="J18" s="64">
        <v>0.04</v>
      </c>
      <c r="K18" s="64">
        <v>261.64999999999998</v>
      </c>
      <c r="L18" s="64">
        <v>26.17</v>
      </c>
      <c r="M18" s="64">
        <v>98.03</v>
      </c>
      <c r="N18" s="64">
        <v>50.5</v>
      </c>
      <c r="O18" s="64">
        <v>0</v>
      </c>
      <c r="P18" s="64">
        <v>0.16</v>
      </c>
      <c r="Q18" s="64">
        <v>9.6300000000000008</v>
      </c>
      <c r="R18" s="198"/>
      <c r="S18" s="198"/>
      <c r="T18" s="198"/>
      <c r="U18" s="198"/>
    </row>
    <row r="19" spans="1:21" s="12" customFormat="1" x14ac:dyDescent="0.25">
      <c r="A19" s="212" t="s">
        <v>545</v>
      </c>
      <c r="B19" s="64">
        <v>7.39</v>
      </c>
      <c r="C19" s="64">
        <v>11.34</v>
      </c>
      <c r="D19" s="64">
        <v>11.85</v>
      </c>
      <c r="E19" s="64">
        <v>5.07</v>
      </c>
      <c r="F19" s="64">
        <v>7.65</v>
      </c>
      <c r="G19" s="64">
        <v>71.680000000000007</v>
      </c>
      <c r="H19" s="64">
        <v>15.69</v>
      </c>
      <c r="I19" s="64">
        <v>2.25</v>
      </c>
      <c r="J19" s="64">
        <v>0.04</v>
      </c>
      <c r="K19" s="64">
        <v>248.4</v>
      </c>
      <c r="L19" s="64">
        <v>26.02</v>
      </c>
      <c r="M19" s="64">
        <v>98.03</v>
      </c>
      <c r="N19" s="64">
        <v>50.5</v>
      </c>
      <c r="O19" s="64">
        <v>0</v>
      </c>
      <c r="P19" s="64">
        <v>0.14000000000000001</v>
      </c>
      <c r="Q19" s="64">
        <v>9.6</v>
      </c>
      <c r="R19" s="198"/>
      <c r="S19" s="198"/>
      <c r="T19" s="198"/>
      <c r="U19" s="198"/>
    </row>
    <row r="20" spans="1:21" s="12" customFormat="1" x14ac:dyDescent="0.25">
      <c r="A20" s="212" t="s">
        <v>546</v>
      </c>
      <c r="B20" s="64">
        <v>5.29</v>
      </c>
      <c r="C20" s="64">
        <v>14.35</v>
      </c>
      <c r="D20" s="64">
        <v>11.74</v>
      </c>
      <c r="E20" s="64">
        <v>5.43</v>
      </c>
      <c r="F20" s="64">
        <v>7.54</v>
      </c>
      <c r="G20" s="64">
        <v>60.67</v>
      </c>
      <c r="H20" s="64">
        <v>15.69</v>
      </c>
      <c r="I20" s="64">
        <v>2.1800000000000002</v>
      </c>
      <c r="J20" s="64">
        <v>0.06</v>
      </c>
      <c r="K20" s="64">
        <v>129.82</v>
      </c>
      <c r="L20" s="64">
        <v>25.99</v>
      </c>
      <c r="M20" s="64">
        <v>98.04</v>
      </c>
      <c r="N20" s="64">
        <v>50.4</v>
      </c>
      <c r="O20" s="64">
        <v>0</v>
      </c>
      <c r="P20" s="64">
        <v>7.0000000000000007E-2</v>
      </c>
      <c r="Q20" s="64">
        <v>9.57</v>
      </c>
      <c r="R20" s="198"/>
      <c r="S20" s="198"/>
      <c r="T20" s="198"/>
      <c r="U20" s="198"/>
    </row>
    <row r="21" spans="1:21" s="12" customFormat="1" x14ac:dyDescent="0.25">
      <c r="A21" s="212" t="s">
        <v>547</v>
      </c>
      <c r="B21" s="64">
        <v>5.19</v>
      </c>
      <c r="C21" s="64">
        <v>12.81</v>
      </c>
      <c r="D21" s="64">
        <v>10.85</v>
      </c>
      <c r="E21" s="64">
        <v>5.17</v>
      </c>
      <c r="F21" s="64">
        <v>7.12</v>
      </c>
      <c r="G21" s="64">
        <v>53.33</v>
      </c>
      <c r="H21" s="64">
        <v>15.56</v>
      </c>
      <c r="I21" s="64">
        <v>2.1</v>
      </c>
      <c r="J21" s="64">
        <v>0.03</v>
      </c>
      <c r="K21" s="64">
        <v>103.75</v>
      </c>
      <c r="L21" s="64">
        <v>26.03</v>
      </c>
      <c r="M21" s="64">
        <v>98.08</v>
      </c>
      <c r="N21" s="64">
        <v>50.5</v>
      </c>
      <c r="O21" s="64">
        <v>0</v>
      </c>
      <c r="P21" s="64">
        <v>7.0000000000000007E-2</v>
      </c>
      <c r="Q21" s="64">
        <v>9.5500000000000007</v>
      </c>
      <c r="R21" s="198"/>
      <c r="S21" s="198"/>
      <c r="T21" s="198"/>
      <c r="U21" s="198"/>
    </row>
    <row r="22" spans="1:21" s="12" customFormat="1" x14ac:dyDescent="0.25">
      <c r="A22" s="212" t="s">
        <v>548</v>
      </c>
      <c r="B22" s="64">
        <v>6.54</v>
      </c>
      <c r="C22" s="64">
        <v>9.94</v>
      </c>
      <c r="D22" s="64">
        <v>10.44</v>
      </c>
      <c r="E22" s="64">
        <v>5.1100000000000003</v>
      </c>
      <c r="F22" s="64">
        <v>7.16</v>
      </c>
      <c r="G22" s="64">
        <v>53.33</v>
      </c>
      <c r="H22" s="64">
        <v>14.82</v>
      </c>
      <c r="I22" s="64">
        <v>2.0499999999999998</v>
      </c>
      <c r="J22" s="64">
        <v>0.17</v>
      </c>
      <c r="K22" s="64">
        <v>130.96</v>
      </c>
      <c r="L22" s="64">
        <v>25.81</v>
      </c>
      <c r="M22" s="64">
        <v>98.11</v>
      </c>
      <c r="N22" s="64">
        <v>50.5</v>
      </c>
      <c r="O22" s="64">
        <v>0</v>
      </c>
      <c r="P22" s="64">
        <v>0.14000000000000001</v>
      </c>
      <c r="Q22" s="64">
        <v>9.5299999999999994</v>
      </c>
      <c r="R22" s="198"/>
      <c r="S22" s="198"/>
      <c r="T22" s="198"/>
      <c r="U22" s="198"/>
    </row>
    <row r="23" spans="1:21" s="12" customFormat="1" x14ac:dyDescent="0.25">
      <c r="A23" s="212" t="s">
        <v>549</v>
      </c>
      <c r="B23" s="64">
        <v>5.45</v>
      </c>
      <c r="C23" s="64">
        <v>11.73</v>
      </c>
      <c r="D23" s="64">
        <v>10.5</v>
      </c>
      <c r="E23" s="64">
        <v>5.13</v>
      </c>
      <c r="F23" s="64">
        <v>6.65</v>
      </c>
      <c r="G23" s="64">
        <v>53.33</v>
      </c>
      <c r="H23" s="64">
        <v>14.82</v>
      </c>
      <c r="I23" s="64">
        <v>1.98</v>
      </c>
      <c r="J23" s="64">
        <v>0.11</v>
      </c>
      <c r="K23" s="64">
        <v>142.36000000000001</v>
      </c>
      <c r="L23" s="64">
        <v>25.67</v>
      </c>
      <c r="M23" s="64">
        <v>98.1</v>
      </c>
      <c r="N23" s="64">
        <v>50.5</v>
      </c>
      <c r="O23" s="64">
        <v>0</v>
      </c>
      <c r="P23" s="64">
        <v>0.05</v>
      </c>
      <c r="Q23" s="64">
        <v>9.52</v>
      </c>
      <c r="R23" s="198"/>
      <c r="S23" s="198"/>
      <c r="T23" s="198"/>
      <c r="U23" s="198"/>
    </row>
    <row r="24" spans="1:21" s="12" customFormat="1" x14ac:dyDescent="0.25">
      <c r="A24" s="212" t="s">
        <v>550</v>
      </c>
      <c r="B24" s="64">
        <v>6.03</v>
      </c>
      <c r="C24" s="64">
        <v>11.73</v>
      </c>
      <c r="D24" s="64">
        <v>10.96</v>
      </c>
      <c r="E24" s="64">
        <v>5.07</v>
      </c>
      <c r="F24" s="64">
        <v>7.33</v>
      </c>
      <c r="G24" s="64">
        <v>48.48</v>
      </c>
      <c r="H24" s="64">
        <v>14.82</v>
      </c>
      <c r="I24" s="64">
        <v>1.93</v>
      </c>
      <c r="J24" s="64">
        <v>0.11</v>
      </c>
      <c r="K24" s="64">
        <v>158.44999999999999</v>
      </c>
      <c r="L24" s="64">
        <v>25.63</v>
      </c>
      <c r="M24" s="64">
        <v>98.13</v>
      </c>
      <c r="N24" s="64">
        <v>50.4</v>
      </c>
      <c r="O24" s="64">
        <v>0</v>
      </c>
      <c r="P24" s="64">
        <v>0.11</v>
      </c>
      <c r="Q24" s="64">
        <v>9.5</v>
      </c>
      <c r="R24" s="198"/>
      <c r="S24" s="198"/>
      <c r="T24" s="198"/>
      <c r="U24" s="198"/>
    </row>
    <row r="25" spans="1:21" s="12" customFormat="1" x14ac:dyDescent="0.25">
      <c r="A25" s="212" t="s">
        <v>551</v>
      </c>
      <c r="B25" s="64">
        <v>8.73</v>
      </c>
      <c r="C25" s="64">
        <v>8.68</v>
      </c>
      <c r="D25" s="64">
        <v>11.53</v>
      </c>
      <c r="E25" s="64">
        <v>4.9800000000000004</v>
      </c>
      <c r="F25" s="64">
        <v>7.04</v>
      </c>
      <c r="G25" s="64">
        <v>45.24</v>
      </c>
      <c r="H25" s="64">
        <v>14.24</v>
      </c>
      <c r="I25" s="64">
        <v>1.88</v>
      </c>
      <c r="J25" s="64">
        <v>0.11</v>
      </c>
      <c r="K25" s="64">
        <v>121.99</v>
      </c>
      <c r="L25" s="64">
        <v>25.56</v>
      </c>
      <c r="M25" s="64">
        <v>98.13</v>
      </c>
      <c r="N25" s="64">
        <v>50.5</v>
      </c>
      <c r="O25" s="64">
        <v>0</v>
      </c>
      <c r="P25" s="64">
        <v>0.16</v>
      </c>
      <c r="Q25" s="64">
        <v>9.4700000000000006</v>
      </c>
      <c r="R25" s="198"/>
      <c r="S25" s="198"/>
      <c r="T25" s="198"/>
      <c r="U25" s="198"/>
    </row>
    <row r="26" spans="1:21" s="12" customFormat="1" x14ac:dyDescent="0.25">
      <c r="A26" s="212" t="s">
        <v>552</v>
      </c>
      <c r="B26" s="64">
        <v>8.1</v>
      </c>
      <c r="C26" s="64">
        <v>10.26</v>
      </c>
      <c r="D26" s="64">
        <v>11.86</v>
      </c>
      <c r="E26" s="64">
        <v>4.97</v>
      </c>
      <c r="F26" s="64">
        <v>6.55</v>
      </c>
      <c r="G26" s="64">
        <v>45.24</v>
      </c>
      <c r="H26" s="64">
        <v>10.82</v>
      </c>
      <c r="I26" s="64">
        <v>1.83</v>
      </c>
      <c r="J26" s="64">
        <v>0.06</v>
      </c>
      <c r="K26" s="64">
        <v>203.85</v>
      </c>
      <c r="L26" s="64">
        <v>25.47</v>
      </c>
      <c r="M26" s="64">
        <v>98.04</v>
      </c>
      <c r="N26" s="64">
        <v>50.5</v>
      </c>
      <c r="O26" s="64">
        <v>0</v>
      </c>
      <c r="P26" s="64">
        <v>0.1</v>
      </c>
      <c r="Q26" s="64">
        <v>9.4700000000000006</v>
      </c>
      <c r="R26" s="198"/>
      <c r="S26" s="198"/>
      <c r="T26" s="198"/>
      <c r="U26" s="198"/>
    </row>
    <row r="27" spans="1:21" s="12" customFormat="1" x14ac:dyDescent="0.25">
      <c r="A27" s="212" t="s">
        <v>553</v>
      </c>
      <c r="B27" s="64">
        <v>7.93</v>
      </c>
      <c r="C27" s="64">
        <v>8.4499999999999993</v>
      </c>
      <c r="D27" s="64">
        <v>10.77</v>
      </c>
      <c r="E27" s="64">
        <v>4.9400000000000004</v>
      </c>
      <c r="F27" s="64">
        <v>7.38</v>
      </c>
      <c r="G27" s="64">
        <v>45.24</v>
      </c>
      <c r="H27" s="64">
        <v>10.82</v>
      </c>
      <c r="I27" s="64">
        <v>1.78</v>
      </c>
      <c r="J27" s="64">
        <v>0.04</v>
      </c>
      <c r="K27" s="64">
        <v>230.26</v>
      </c>
      <c r="L27" s="64">
        <v>25.41</v>
      </c>
      <c r="M27" s="64">
        <v>98.01</v>
      </c>
      <c r="N27" s="64">
        <v>50.5</v>
      </c>
      <c r="O27" s="64">
        <v>0</v>
      </c>
      <c r="P27" s="64">
        <v>0.11</v>
      </c>
      <c r="Q27" s="64">
        <v>9.4499999999999993</v>
      </c>
      <c r="R27" s="198"/>
      <c r="S27" s="198"/>
      <c r="T27" s="198"/>
      <c r="U27" s="198"/>
    </row>
    <row r="28" spans="1:21" s="12" customFormat="1" x14ac:dyDescent="0.25">
      <c r="A28" s="212" t="s">
        <v>554</v>
      </c>
      <c r="B28" s="64">
        <v>9.6</v>
      </c>
      <c r="C28" s="64">
        <v>6.37</v>
      </c>
      <c r="D28" s="64">
        <v>11.02</v>
      </c>
      <c r="E28" s="64">
        <v>5.01</v>
      </c>
      <c r="F28" s="64">
        <v>8.11</v>
      </c>
      <c r="G28" s="64">
        <v>43.93</v>
      </c>
      <c r="H28" s="64">
        <v>10.82</v>
      </c>
      <c r="I28" s="64">
        <v>1.74</v>
      </c>
      <c r="J28" s="64">
        <v>7.0000000000000007E-2</v>
      </c>
      <c r="K28" s="64">
        <v>261.06</v>
      </c>
      <c r="L28" s="64">
        <v>25.44</v>
      </c>
      <c r="M28" s="64">
        <v>97.99</v>
      </c>
      <c r="N28" s="64">
        <v>50.5</v>
      </c>
      <c r="O28" s="64">
        <v>0</v>
      </c>
      <c r="P28" s="64">
        <v>0.18</v>
      </c>
      <c r="Q28" s="64">
        <v>9.44</v>
      </c>
      <c r="R28" s="198"/>
      <c r="S28" s="198"/>
      <c r="T28" s="198"/>
      <c r="U28" s="198"/>
    </row>
    <row r="29" spans="1:21" s="12" customFormat="1" x14ac:dyDescent="0.25">
      <c r="A29" s="212" t="s">
        <v>555</v>
      </c>
      <c r="B29" s="64">
        <v>9.82</v>
      </c>
      <c r="C29" s="64">
        <v>6.58</v>
      </c>
      <c r="D29" s="64">
        <v>11.31</v>
      </c>
      <c r="E29" s="64">
        <v>5.19</v>
      </c>
      <c r="F29" s="64">
        <v>8.14</v>
      </c>
      <c r="G29" s="64">
        <v>43.05</v>
      </c>
      <c r="H29" s="64">
        <v>10.43</v>
      </c>
      <c r="I29" s="64">
        <v>1.69</v>
      </c>
      <c r="J29" s="64">
        <v>7.0000000000000007E-2</v>
      </c>
      <c r="K29" s="64">
        <v>269.77999999999997</v>
      </c>
      <c r="L29" s="64">
        <v>25.48</v>
      </c>
      <c r="M29" s="64">
        <v>98</v>
      </c>
      <c r="N29" s="64">
        <v>50.5</v>
      </c>
      <c r="O29" s="64">
        <v>0</v>
      </c>
      <c r="P29" s="64">
        <v>0.2</v>
      </c>
      <c r="Q29" s="64">
        <v>9.44</v>
      </c>
      <c r="R29" s="198"/>
      <c r="S29" s="198"/>
      <c r="T29" s="198"/>
      <c r="U29" s="198"/>
    </row>
    <row r="30" spans="1:21" s="12" customFormat="1" x14ac:dyDescent="0.25">
      <c r="A30" s="212" t="s">
        <v>556</v>
      </c>
      <c r="B30" s="64">
        <v>9.27</v>
      </c>
      <c r="C30" s="64">
        <v>12.52</v>
      </c>
      <c r="D30" s="64">
        <v>13.97</v>
      </c>
      <c r="E30" s="64">
        <v>4.93</v>
      </c>
      <c r="F30" s="64">
        <v>9.68</v>
      </c>
      <c r="G30" s="64">
        <v>43.05</v>
      </c>
      <c r="H30" s="64">
        <v>8.08</v>
      </c>
      <c r="I30" s="64">
        <v>1.64</v>
      </c>
      <c r="J30" s="64">
        <v>0.03</v>
      </c>
      <c r="K30" s="64">
        <v>255.48</v>
      </c>
      <c r="L30" s="64">
        <v>25.43</v>
      </c>
      <c r="M30" s="64">
        <v>98.01</v>
      </c>
      <c r="N30" s="64">
        <v>50.7</v>
      </c>
      <c r="O30" s="64">
        <v>0</v>
      </c>
      <c r="P30" s="64">
        <v>0.15</v>
      </c>
      <c r="Q30" s="64">
        <v>9.44</v>
      </c>
      <c r="R30" s="198"/>
      <c r="S30" s="198"/>
      <c r="T30" s="198"/>
      <c r="U30" s="198"/>
    </row>
    <row r="31" spans="1:21" s="12" customFormat="1" x14ac:dyDescent="0.25">
      <c r="A31" s="212" t="s">
        <v>557</v>
      </c>
      <c r="B31" s="64">
        <v>8.52</v>
      </c>
      <c r="C31" s="64">
        <v>9.14</v>
      </c>
      <c r="D31" s="64">
        <v>11.61</v>
      </c>
      <c r="E31" s="64">
        <v>5.18</v>
      </c>
      <c r="F31" s="64">
        <v>11.33</v>
      </c>
      <c r="G31" s="64">
        <v>43.05</v>
      </c>
      <c r="H31" s="64">
        <v>8.08</v>
      </c>
      <c r="I31" s="64">
        <v>1.6</v>
      </c>
      <c r="J31" s="64">
        <v>0.05</v>
      </c>
      <c r="K31" s="64">
        <v>258.37</v>
      </c>
      <c r="L31" s="64">
        <v>25.37</v>
      </c>
      <c r="M31" s="64">
        <v>98.09</v>
      </c>
      <c r="N31" s="64">
        <v>53.9</v>
      </c>
      <c r="O31" s="64">
        <v>0</v>
      </c>
      <c r="P31" s="64">
        <v>0.16</v>
      </c>
      <c r="Q31" s="64">
        <v>9.43</v>
      </c>
      <c r="R31" s="198"/>
      <c r="S31" s="198"/>
      <c r="T31" s="198"/>
      <c r="U31" s="198"/>
    </row>
    <row r="32" spans="1:21" s="12" customFormat="1" x14ac:dyDescent="0.25">
      <c r="A32" s="212" t="s">
        <v>558</v>
      </c>
      <c r="B32" s="64">
        <v>8</v>
      </c>
      <c r="C32" s="64">
        <v>9.48</v>
      </c>
      <c r="D32" s="64">
        <v>11.37</v>
      </c>
      <c r="E32" s="64">
        <v>4.96</v>
      </c>
      <c r="F32" s="64">
        <v>10.07</v>
      </c>
      <c r="G32" s="64">
        <v>40.04</v>
      </c>
      <c r="H32" s="64">
        <v>8.08</v>
      </c>
      <c r="I32" s="64">
        <v>1.57</v>
      </c>
      <c r="J32" s="64">
        <v>0.05</v>
      </c>
      <c r="K32" s="64">
        <v>239.94</v>
      </c>
      <c r="L32" s="64">
        <v>25.34</v>
      </c>
      <c r="M32" s="64">
        <v>98.11</v>
      </c>
      <c r="N32" s="64">
        <v>64.3</v>
      </c>
      <c r="O32" s="64">
        <v>0</v>
      </c>
      <c r="P32" s="64">
        <v>0.15</v>
      </c>
      <c r="Q32" s="64">
        <v>9.42</v>
      </c>
      <c r="R32" s="198"/>
      <c r="S32" s="198"/>
      <c r="T32" s="198"/>
      <c r="U32" s="198"/>
    </row>
    <row r="33" spans="1:21" s="12" customFormat="1" x14ac:dyDescent="0.25">
      <c r="A33" s="212" t="s">
        <v>559</v>
      </c>
      <c r="B33" s="64">
        <v>8.76</v>
      </c>
      <c r="C33" s="64">
        <v>11.37</v>
      </c>
      <c r="D33" s="64">
        <v>12.97</v>
      </c>
      <c r="E33" s="64">
        <v>5.1100000000000003</v>
      </c>
      <c r="F33" s="64">
        <v>8.64</v>
      </c>
      <c r="G33" s="64">
        <v>38.04</v>
      </c>
      <c r="H33" s="64">
        <v>8.5399999999999991</v>
      </c>
      <c r="I33" s="64">
        <v>1.54</v>
      </c>
      <c r="J33" s="64">
        <v>0.1</v>
      </c>
      <c r="K33" s="64">
        <v>147.02000000000001</v>
      </c>
      <c r="L33" s="64">
        <v>25.42</v>
      </c>
      <c r="M33" s="64">
        <v>98.05</v>
      </c>
      <c r="N33" s="64">
        <v>80.599999999999994</v>
      </c>
      <c r="O33" s="64">
        <v>0</v>
      </c>
      <c r="P33" s="64">
        <v>0.15</v>
      </c>
      <c r="Q33" s="64">
        <v>9.41</v>
      </c>
      <c r="R33" s="198"/>
      <c r="S33" s="198"/>
      <c r="T33" s="198"/>
      <c r="U33" s="198"/>
    </row>
    <row r="34" spans="1:21" s="12" customFormat="1" x14ac:dyDescent="0.25">
      <c r="A34" s="212" t="s">
        <v>560</v>
      </c>
      <c r="B34" s="64">
        <v>8.66</v>
      </c>
      <c r="C34" s="64">
        <v>11.95</v>
      </c>
      <c r="D34" s="64">
        <v>13.19</v>
      </c>
      <c r="E34" s="64">
        <v>5.27</v>
      </c>
      <c r="F34" s="64">
        <v>8.89</v>
      </c>
      <c r="G34" s="64">
        <v>38.04</v>
      </c>
      <c r="H34" s="64">
        <v>11.23</v>
      </c>
      <c r="I34" s="64">
        <v>1.53</v>
      </c>
      <c r="J34" s="64">
        <v>7.0000000000000007E-2</v>
      </c>
      <c r="K34" s="64">
        <v>243.06</v>
      </c>
      <c r="L34" s="64">
        <v>25.63</v>
      </c>
      <c r="M34" s="64">
        <v>98.09</v>
      </c>
      <c r="N34" s="64">
        <v>102.2</v>
      </c>
      <c r="O34" s="64">
        <v>0</v>
      </c>
      <c r="P34" s="64">
        <v>0.18</v>
      </c>
      <c r="Q34" s="64">
        <v>9.41</v>
      </c>
      <c r="R34" s="198"/>
      <c r="S34" s="198"/>
      <c r="T34" s="198"/>
      <c r="U34" s="198"/>
    </row>
    <row r="35" spans="1:21" s="12" customFormat="1" x14ac:dyDescent="0.25">
      <c r="A35" s="212" t="s">
        <v>561</v>
      </c>
      <c r="B35" s="64">
        <v>9.4600000000000009</v>
      </c>
      <c r="C35" s="64">
        <v>11.05</v>
      </c>
      <c r="D35" s="64">
        <v>13.36</v>
      </c>
      <c r="E35" s="64">
        <v>5.18</v>
      </c>
      <c r="F35" s="64">
        <v>9.26</v>
      </c>
      <c r="G35" s="64">
        <v>38.04</v>
      </c>
      <c r="H35" s="64">
        <v>11.23</v>
      </c>
      <c r="I35" s="64">
        <v>1.51</v>
      </c>
      <c r="J35" s="64">
        <v>0.18</v>
      </c>
      <c r="K35" s="64">
        <v>137.63999999999999</v>
      </c>
      <c r="L35" s="64">
        <v>25.81</v>
      </c>
      <c r="M35" s="64">
        <v>98.1</v>
      </c>
      <c r="N35" s="64">
        <v>112.4</v>
      </c>
      <c r="O35" s="64">
        <v>0</v>
      </c>
      <c r="P35" s="64">
        <v>0.17</v>
      </c>
      <c r="Q35" s="64">
        <v>9.41</v>
      </c>
      <c r="R35" s="198"/>
      <c r="S35" s="198"/>
      <c r="T35" s="198"/>
      <c r="U35" s="198"/>
    </row>
    <row r="36" spans="1:21" s="12" customFormat="1" x14ac:dyDescent="0.25">
      <c r="A36" s="212" t="s">
        <v>562</v>
      </c>
      <c r="B36" s="64">
        <v>9.3800000000000008</v>
      </c>
      <c r="C36" s="64">
        <v>9.7799999999999994</v>
      </c>
      <c r="D36" s="64">
        <v>12.63</v>
      </c>
      <c r="E36" s="64">
        <v>5.01</v>
      </c>
      <c r="F36" s="64">
        <v>7.81</v>
      </c>
      <c r="G36" s="64">
        <v>40.22</v>
      </c>
      <c r="H36" s="64">
        <v>11.23</v>
      </c>
      <c r="I36" s="64">
        <v>1.5</v>
      </c>
      <c r="J36" s="64">
        <v>0.15</v>
      </c>
      <c r="K36" s="64">
        <v>142.87</v>
      </c>
      <c r="L36" s="64">
        <v>26.1</v>
      </c>
      <c r="M36" s="64">
        <v>98.04</v>
      </c>
      <c r="N36" s="64">
        <v>154.6</v>
      </c>
      <c r="O36" s="64">
        <v>0</v>
      </c>
      <c r="P36" s="64">
        <v>0.22</v>
      </c>
      <c r="Q36" s="64">
        <v>9.3800000000000008</v>
      </c>
      <c r="R36" s="198"/>
      <c r="S36" s="198"/>
      <c r="T36" s="198"/>
      <c r="U36" s="198"/>
    </row>
    <row r="37" spans="1:21" s="12" customFormat="1" x14ac:dyDescent="0.25">
      <c r="A37" s="212" t="s">
        <v>563</v>
      </c>
      <c r="B37" s="64">
        <v>8.19</v>
      </c>
      <c r="C37" s="64">
        <v>10.9</v>
      </c>
      <c r="D37" s="64">
        <v>12.26</v>
      </c>
      <c r="E37" s="64">
        <v>5.0599999999999996</v>
      </c>
      <c r="F37" s="64">
        <v>9.93</v>
      </c>
      <c r="G37" s="64">
        <v>41.68</v>
      </c>
      <c r="H37" s="64">
        <v>10.91</v>
      </c>
      <c r="I37" s="64">
        <v>1.48</v>
      </c>
      <c r="J37" s="64">
        <v>0.11</v>
      </c>
      <c r="K37" s="64">
        <v>167.84</v>
      </c>
      <c r="L37" s="64">
        <v>26.58</v>
      </c>
      <c r="M37" s="64">
        <v>98.02</v>
      </c>
      <c r="N37" s="64">
        <v>175.6</v>
      </c>
      <c r="O37" s="64">
        <v>0</v>
      </c>
      <c r="P37" s="64">
        <v>0.18</v>
      </c>
      <c r="Q37" s="64">
        <v>9.3699999999999992</v>
      </c>
      <c r="R37" s="198"/>
      <c r="S37" s="198"/>
      <c r="T37" s="198"/>
      <c r="U37" s="198"/>
    </row>
    <row r="38" spans="1:21" s="12" customFormat="1" x14ac:dyDescent="0.25">
      <c r="A38" s="212" t="s">
        <v>564</v>
      </c>
      <c r="B38" s="64">
        <v>11.92</v>
      </c>
      <c r="C38" s="64">
        <v>11.36</v>
      </c>
      <c r="D38" s="64">
        <v>15.49</v>
      </c>
      <c r="E38" s="64">
        <v>5.19</v>
      </c>
      <c r="F38" s="64">
        <v>8.74</v>
      </c>
      <c r="G38" s="64">
        <v>41.68</v>
      </c>
      <c r="H38" s="64">
        <v>9</v>
      </c>
      <c r="I38" s="64">
        <v>1.44</v>
      </c>
      <c r="J38" s="64">
        <v>0.08</v>
      </c>
      <c r="K38" s="64">
        <v>282.58</v>
      </c>
      <c r="L38" s="64">
        <v>26.98</v>
      </c>
      <c r="M38" s="64">
        <v>98</v>
      </c>
      <c r="N38" s="64">
        <v>213.4</v>
      </c>
      <c r="O38" s="64">
        <v>0</v>
      </c>
      <c r="P38" s="64">
        <v>0.37</v>
      </c>
      <c r="Q38" s="64">
        <v>9.35</v>
      </c>
      <c r="R38" s="198"/>
      <c r="S38" s="198"/>
      <c r="T38" s="198"/>
      <c r="U38" s="198"/>
    </row>
    <row r="39" spans="1:21" s="12" customFormat="1" x14ac:dyDescent="0.25">
      <c r="A39" s="212" t="s">
        <v>565</v>
      </c>
      <c r="B39" s="64">
        <v>11.81</v>
      </c>
      <c r="C39" s="64">
        <v>8.7100000000000009</v>
      </c>
      <c r="D39" s="64">
        <v>14.02</v>
      </c>
      <c r="E39" s="64">
        <v>5.07</v>
      </c>
      <c r="F39" s="64">
        <v>6.16</v>
      </c>
      <c r="G39" s="64">
        <v>41.68</v>
      </c>
      <c r="H39" s="64">
        <v>9</v>
      </c>
      <c r="I39" s="64">
        <v>1.41</v>
      </c>
      <c r="J39" s="64">
        <v>0.13</v>
      </c>
      <c r="K39" s="64">
        <v>175.95</v>
      </c>
      <c r="L39" s="64">
        <v>27.48</v>
      </c>
      <c r="M39" s="64">
        <v>98</v>
      </c>
      <c r="N39" s="64">
        <v>254.4</v>
      </c>
      <c r="O39" s="64">
        <v>0</v>
      </c>
      <c r="P39" s="64">
        <v>0.35</v>
      </c>
      <c r="Q39" s="64">
        <v>9.34</v>
      </c>
      <c r="R39" s="198"/>
      <c r="S39" s="198"/>
      <c r="T39" s="198"/>
      <c r="U39" s="198"/>
    </row>
    <row r="40" spans="1:21" s="12" customFormat="1" x14ac:dyDescent="0.25">
      <c r="A40" s="212" t="s">
        <v>566</v>
      </c>
      <c r="B40" s="64">
        <v>9.0299999999999994</v>
      </c>
      <c r="C40" s="64">
        <v>9.5399999999999991</v>
      </c>
      <c r="D40" s="64">
        <v>12.23</v>
      </c>
      <c r="E40" s="64">
        <v>3.87</v>
      </c>
      <c r="F40" s="64">
        <v>12.23</v>
      </c>
      <c r="G40" s="64">
        <v>44.7</v>
      </c>
      <c r="H40" s="64">
        <v>9</v>
      </c>
      <c r="I40" s="64">
        <v>1.39</v>
      </c>
      <c r="J40" s="64">
        <v>0.06</v>
      </c>
      <c r="K40" s="64">
        <v>203.58</v>
      </c>
      <c r="L40" s="64">
        <v>27.4</v>
      </c>
      <c r="M40" s="64">
        <v>98</v>
      </c>
      <c r="N40" s="64">
        <v>241</v>
      </c>
      <c r="O40" s="64">
        <v>0</v>
      </c>
      <c r="P40" s="64">
        <v>0.26</v>
      </c>
      <c r="Q40" s="64">
        <v>9.34</v>
      </c>
      <c r="R40" s="198"/>
      <c r="S40" s="198"/>
      <c r="T40" s="198"/>
      <c r="U40" s="198"/>
    </row>
    <row r="41" spans="1:21" s="12" customFormat="1" x14ac:dyDescent="0.25">
      <c r="A41" s="212" t="s">
        <v>567</v>
      </c>
      <c r="B41" s="64">
        <v>8.5399999999999991</v>
      </c>
      <c r="C41" s="64">
        <v>9.81</v>
      </c>
      <c r="D41" s="64">
        <v>11.97</v>
      </c>
      <c r="E41" s="64">
        <v>4.53</v>
      </c>
      <c r="F41" s="64">
        <v>10.34</v>
      </c>
      <c r="G41" s="64">
        <v>46.72</v>
      </c>
      <c r="H41" s="64">
        <v>10.26</v>
      </c>
      <c r="I41" s="64">
        <v>1.37</v>
      </c>
      <c r="J41" s="64">
        <v>0.03</v>
      </c>
      <c r="K41" s="64">
        <v>182.61</v>
      </c>
      <c r="L41" s="64">
        <v>27.61</v>
      </c>
      <c r="M41" s="64">
        <v>97.95</v>
      </c>
      <c r="N41" s="64">
        <v>274.8</v>
      </c>
      <c r="O41" s="64">
        <v>0</v>
      </c>
      <c r="P41" s="64">
        <v>0.28999999999999998</v>
      </c>
      <c r="Q41" s="64">
        <v>9.31</v>
      </c>
      <c r="R41" s="198"/>
      <c r="S41" s="198"/>
      <c r="T41" s="198"/>
      <c r="U41" s="198"/>
    </row>
    <row r="42" spans="1:21" s="12" customFormat="1" x14ac:dyDescent="0.25">
      <c r="A42" s="212" t="s">
        <v>568</v>
      </c>
      <c r="B42" s="64">
        <v>9.36</v>
      </c>
      <c r="C42" s="64">
        <v>9.6199999999999992</v>
      </c>
      <c r="D42" s="64">
        <v>12.54</v>
      </c>
      <c r="E42" s="64">
        <v>4.3499999999999996</v>
      </c>
      <c r="F42" s="64">
        <v>12.16</v>
      </c>
      <c r="G42" s="64">
        <v>46.72</v>
      </c>
      <c r="H42" s="64">
        <v>17.079999999999998</v>
      </c>
      <c r="I42" s="64">
        <v>1.35</v>
      </c>
      <c r="J42" s="64">
        <v>0.05</v>
      </c>
      <c r="K42" s="64">
        <v>222.6</v>
      </c>
      <c r="L42" s="64">
        <v>28.1</v>
      </c>
      <c r="M42" s="64">
        <v>96.24</v>
      </c>
      <c r="N42" s="64">
        <v>329.3</v>
      </c>
      <c r="O42" s="64">
        <v>0</v>
      </c>
      <c r="P42" s="64">
        <v>0.36</v>
      </c>
      <c r="Q42" s="64">
        <v>9.3000000000000007</v>
      </c>
      <c r="R42" s="198"/>
      <c r="S42" s="198"/>
      <c r="T42" s="198"/>
      <c r="U42" s="198"/>
    </row>
    <row r="43" spans="1:21" s="12" customFormat="1" x14ac:dyDescent="0.25">
      <c r="A43" s="212" t="s">
        <v>569</v>
      </c>
      <c r="B43" s="64">
        <v>10.84</v>
      </c>
      <c r="C43" s="64">
        <v>8.82</v>
      </c>
      <c r="D43" s="64">
        <v>13.3</v>
      </c>
      <c r="E43" s="64">
        <v>4.33</v>
      </c>
      <c r="F43" s="64">
        <v>6.1</v>
      </c>
      <c r="G43" s="64">
        <v>46.72</v>
      </c>
      <c r="H43" s="64">
        <v>17.079999999999998</v>
      </c>
      <c r="I43" s="64">
        <v>1.33</v>
      </c>
      <c r="J43" s="64">
        <v>0.06</v>
      </c>
      <c r="K43" s="64">
        <v>316.01</v>
      </c>
      <c r="L43" s="64">
        <v>28.82</v>
      </c>
      <c r="M43" s="64">
        <v>92.71</v>
      </c>
      <c r="N43" s="64">
        <v>371.8</v>
      </c>
      <c r="O43" s="64">
        <v>0</v>
      </c>
      <c r="P43" s="64">
        <v>0.38</v>
      </c>
      <c r="Q43" s="64">
        <v>9.27</v>
      </c>
      <c r="R43" s="198"/>
      <c r="S43" s="198"/>
      <c r="T43" s="198"/>
      <c r="U43" s="198"/>
    </row>
    <row r="44" spans="1:21" s="12" customFormat="1" x14ac:dyDescent="0.25">
      <c r="A44" s="212" t="s">
        <v>570</v>
      </c>
      <c r="B44" s="64">
        <v>12.27</v>
      </c>
      <c r="C44" s="64">
        <v>9.81</v>
      </c>
      <c r="D44" s="64">
        <v>14.97</v>
      </c>
      <c r="E44" s="64">
        <v>4.49</v>
      </c>
      <c r="F44" s="64">
        <v>9.24</v>
      </c>
      <c r="G44" s="64">
        <v>48.81</v>
      </c>
      <c r="H44" s="64">
        <v>17.079999999999998</v>
      </c>
      <c r="I44" s="64">
        <v>1.41</v>
      </c>
      <c r="J44" s="64">
        <v>0.1</v>
      </c>
      <c r="K44" s="64">
        <v>298.56</v>
      </c>
      <c r="L44" s="64">
        <v>28.84</v>
      </c>
      <c r="M44" s="64">
        <v>93.35</v>
      </c>
      <c r="N44" s="64">
        <v>440.2</v>
      </c>
      <c r="O44" s="64">
        <v>0</v>
      </c>
      <c r="P44" s="64">
        <v>0.39</v>
      </c>
      <c r="Q44" s="64">
        <v>9.27</v>
      </c>
      <c r="R44" s="198"/>
      <c r="S44" s="198"/>
      <c r="T44" s="198"/>
      <c r="U44" s="198"/>
    </row>
    <row r="45" spans="1:21" s="12" customFormat="1" x14ac:dyDescent="0.25">
      <c r="A45" s="212" t="s">
        <v>571</v>
      </c>
      <c r="B45" s="64">
        <v>14.47</v>
      </c>
      <c r="C45" s="64">
        <v>11.16</v>
      </c>
      <c r="D45" s="64">
        <v>17.39</v>
      </c>
      <c r="E45" s="64">
        <v>4.3099999999999996</v>
      </c>
      <c r="F45" s="64">
        <v>11.43</v>
      </c>
      <c r="G45" s="64">
        <v>50.21</v>
      </c>
      <c r="H45" s="64">
        <v>16.82</v>
      </c>
      <c r="I45" s="64">
        <v>1.4</v>
      </c>
      <c r="J45" s="64">
        <v>0.19</v>
      </c>
      <c r="K45" s="64">
        <v>304.27999999999997</v>
      </c>
      <c r="L45" s="64">
        <v>30.01</v>
      </c>
      <c r="M45" s="64">
        <v>87.59</v>
      </c>
      <c r="N45" s="64">
        <v>438.5</v>
      </c>
      <c r="O45" s="64">
        <v>0</v>
      </c>
      <c r="P45" s="64">
        <v>0.46</v>
      </c>
      <c r="Q45" s="64">
        <v>9.26</v>
      </c>
      <c r="R45" s="198"/>
      <c r="S45" s="198"/>
      <c r="T45" s="198"/>
      <c r="U45" s="198"/>
    </row>
    <row r="46" spans="1:21" s="12" customFormat="1" x14ac:dyDescent="0.25">
      <c r="A46" s="212" t="s">
        <v>572</v>
      </c>
      <c r="B46" s="64">
        <v>11.79</v>
      </c>
      <c r="C46" s="64">
        <v>11.8</v>
      </c>
      <c r="D46" s="64">
        <v>15.62</v>
      </c>
      <c r="E46" s="64">
        <v>4.24</v>
      </c>
      <c r="F46" s="64">
        <v>11.57</v>
      </c>
      <c r="G46" s="64">
        <v>50.21</v>
      </c>
      <c r="H46" s="64">
        <v>15.42</v>
      </c>
      <c r="I46" s="64">
        <v>1.43</v>
      </c>
      <c r="J46" s="64">
        <v>0.12</v>
      </c>
      <c r="K46" s="64">
        <v>290.7</v>
      </c>
      <c r="L46" s="64">
        <v>30.29</v>
      </c>
      <c r="M46" s="64">
        <v>85.65</v>
      </c>
      <c r="N46" s="64">
        <v>388.2</v>
      </c>
      <c r="O46" s="64">
        <v>0</v>
      </c>
      <c r="P46" s="64">
        <v>0.51</v>
      </c>
      <c r="Q46" s="64">
        <v>9.26</v>
      </c>
      <c r="R46" s="198"/>
      <c r="S46" s="198"/>
      <c r="T46" s="198"/>
      <c r="U46" s="198"/>
    </row>
    <row r="47" spans="1:21" s="12" customFormat="1" x14ac:dyDescent="0.25">
      <c r="A47" s="212" t="s">
        <v>573</v>
      </c>
      <c r="B47" s="64">
        <v>11.77</v>
      </c>
      <c r="C47" s="64">
        <v>15.47</v>
      </c>
      <c r="D47" s="64">
        <v>17.52</v>
      </c>
      <c r="E47" s="64">
        <v>4.4400000000000004</v>
      </c>
      <c r="F47" s="64">
        <v>12.18</v>
      </c>
      <c r="G47" s="64">
        <v>50.21</v>
      </c>
      <c r="H47" s="64">
        <v>15.42</v>
      </c>
      <c r="I47" s="64">
        <v>1.43</v>
      </c>
      <c r="J47" s="64">
        <v>0.13</v>
      </c>
      <c r="K47" s="64">
        <v>283.79000000000002</v>
      </c>
      <c r="L47" s="64">
        <v>30.16</v>
      </c>
      <c r="M47" s="64">
        <v>85.82</v>
      </c>
      <c r="N47" s="64">
        <v>292.89999999999998</v>
      </c>
      <c r="O47" s="64">
        <v>0</v>
      </c>
      <c r="P47" s="64">
        <v>0.64</v>
      </c>
      <c r="Q47" s="64">
        <v>9.27</v>
      </c>
      <c r="R47" s="198"/>
      <c r="S47" s="198"/>
      <c r="T47" s="198"/>
      <c r="U47" s="198"/>
    </row>
    <row r="48" spans="1:21" s="12" customFormat="1" x14ac:dyDescent="0.25">
      <c r="A48" s="212" t="s">
        <v>574</v>
      </c>
      <c r="B48" s="64">
        <v>12.25</v>
      </c>
      <c r="C48" s="64">
        <v>12.57</v>
      </c>
      <c r="D48" s="64">
        <v>16.39</v>
      </c>
      <c r="E48" s="64">
        <v>4.55</v>
      </c>
      <c r="F48" s="64">
        <v>11.84</v>
      </c>
      <c r="G48" s="64">
        <v>56.67</v>
      </c>
      <c r="H48" s="64">
        <v>15.42</v>
      </c>
      <c r="I48" s="64">
        <v>1.5</v>
      </c>
      <c r="J48" s="64">
        <v>0.15</v>
      </c>
      <c r="K48" s="64">
        <v>281.39999999999998</v>
      </c>
      <c r="L48" s="64">
        <v>29.61</v>
      </c>
      <c r="M48" s="64">
        <v>88.19</v>
      </c>
      <c r="N48" s="64">
        <v>262.89999999999998</v>
      </c>
      <c r="O48" s="64">
        <v>0</v>
      </c>
      <c r="P48" s="64">
        <v>0.71</v>
      </c>
      <c r="Q48" s="64">
        <v>9.2899999999999991</v>
      </c>
      <c r="R48" s="198"/>
      <c r="S48" s="198"/>
      <c r="T48" s="198"/>
      <c r="U48" s="198"/>
    </row>
    <row r="49" spans="1:21" s="12" customFormat="1" x14ac:dyDescent="0.25">
      <c r="A49" s="212" t="s">
        <v>575</v>
      </c>
      <c r="B49" s="64">
        <v>14.48</v>
      </c>
      <c r="C49" s="64">
        <v>17</v>
      </c>
      <c r="D49" s="64">
        <v>20.48</v>
      </c>
      <c r="E49" s="64">
        <v>4.63</v>
      </c>
      <c r="F49" s="64">
        <v>12.25</v>
      </c>
      <c r="G49" s="64">
        <v>60.98</v>
      </c>
      <c r="H49" s="64">
        <v>15.09</v>
      </c>
      <c r="I49" s="64">
        <v>1.64</v>
      </c>
      <c r="J49" s="64">
        <v>0.13</v>
      </c>
      <c r="K49" s="64">
        <v>299.69</v>
      </c>
      <c r="L49" s="64">
        <v>29.48</v>
      </c>
      <c r="M49" s="64">
        <v>88.93</v>
      </c>
      <c r="N49" s="64">
        <v>242.3</v>
      </c>
      <c r="O49" s="64">
        <v>0</v>
      </c>
      <c r="P49" s="64">
        <v>0.89</v>
      </c>
      <c r="Q49" s="64">
        <v>9.2899999999999991</v>
      </c>
      <c r="R49" s="198"/>
      <c r="S49" s="198"/>
      <c r="T49" s="198"/>
      <c r="U49" s="198"/>
    </row>
    <row r="50" spans="1:21" s="12" customFormat="1" x14ac:dyDescent="0.25">
      <c r="A50" s="212" t="s">
        <v>576</v>
      </c>
      <c r="B50" s="64">
        <v>9.8800000000000008</v>
      </c>
      <c r="C50" s="64">
        <v>14.9</v>
      </c>
      <c r="D50" s="64">
        <v>15.7</v>
      </c>
      <c r="E50" s="64">
        <v>4.58</v>
      </c>
      <c r="F50" s="64">
        <v>10.93</v>
      </c>
      <c r="G50" s="64">
        <v>60.98</v>
      </c>
      <c r="H50" s="64">
        <v>13.14</v>
      </c>
      <c r="I50" s="64">
        <v>1.75</v>
      </c>
      <c r="J50" s="64">
        <v>0.11</v>
      </c>
      <c r="K50" s="64">
        <v>243.04</v>
      </c>
      <c r="L50" s="64">
        <v>29.06</v>
      </c>
      <c r="M50" s="64">
        <v>90.18</v>
      </c>
      <c r="N50" s="64">
        <v>244.3</v>
      </c>
      <c r="O50" s="64">
        <v>0</v>
      </c>
      <c r="P50" s="64">
        <v>0.7</v>
      </c>
      <c r="Q50" s="64">
        <v>9.2899999999999991</v>
      </c>
      <c r="R50" s="198"/>
      <c r="S50" s="198"/>
      <c r="T50" s="198"/>
      <c r="U50" s="198"/>
    </row>
    <row r="51" spans="1:21" s="12" customFormat="1" x14ac:dyDescent="0.25">
      <c r="A51" s="212" t="s">
        <v>577</v>
      </c>
      <c r="B51" s="64">
        <v>9.2799999999999994</v>
      </c>
      <c r="C51" s="64">
        <v>13.59</v>
      </c>
      <c r="D51" s="64">
        <v>14.54</v>
      </c>
      <c r="E51" s="64">
        <v>4.6100000000000003</v>
      </c>
      <c r="F51" s="64">
        <v>16.11</v>
      </c>
      <c r="G51" s="64">
        <v>60.98</v>
      </c>
      <c r="H51" s="64">
        <v>13.14</v>
      </c>
      <c r="I51" s="64">
        <v>1.84</v>
      </c>
      <c r="J51" s="64">
        <v>0.11</v>
      </c>
      <c r="K51" s="64">
        <v>258.74</v>
      </c>
      <c r="L51" s="64">
        <v>28.89</v>
      </c>
      <c r="M51" s="64">
        <v>90.01</v>
      </c>
      <c r="N51" s="64">
        <v>298.60000000000002</v>
      </c>
      <c r="O51" s="64">
        <v>0</v>
      </c>
      <c r="P51" s="64">
        <v>0.56000000000000005</v>
      </c>
      <c r="Q51" s="64">
        <v>9.2899999999999991</v>
      </c>
      <c r="R51" s="198"/>
      <c r="S51" s="198"/>
      <c r="T51" s="198"/>
      <c r="U51" s="198"/>
    </row>
    <row r="52" spans="1:21" s="12" customFormat="1" x14ac:dyDescent="0.25">
      <c r="A52" s="212" t="s">
        <v>578</v>
      </c>
      <c r="B52" s="64">
        <v>12.93</v>
      </c>
      <c r="C52" s="64">
        <v>15.69</v>
      </c>
      <c r="D52" s="64">
        <v>18.57</v>
      </c>
      <c r="E52" s="64">
        <v>4.7300000000000004</v>
      </c>
      <c r="F52" s="64">
        <v>13.79</v>
      </c>
      <c r="G52" s="64">
        <v>65.180000000000007</v>
      </c>
      <c r="H52" s="64">
        <v>13.14</v>
      </c>
      <c r="I52" s="64">
        <v>1.9</v>
      </c>
      <c r="J52" s="64">
        <v>0.17</v>
      </c>
      <c r="K52" s="64">
        <v>301.91000000000003</v>
      </c>
      <c r="L52" s="64">
        <v>29.79</v>
      </c>
      <c r="M52" s="64">
        <v>86.57</v>
      </c>
      <c r="N52" s="64">
        <v>384.2</v>
      </c>
      <c r="O52" s="64">
        <v>0</v>
      </c>
      <c r="P52" s="64">
        <v>0.62</v>
      </c>
      <c r="Q52" s="64">
        <v>9.2899999999999991</v>
      </c>
      <c r="R52" s="198"/>
      <c r="S52" s="198"/>
      <c r="T52" s="198"/>
      <c r="U52" s="198"/>
    </row>
    <row r="53" spans="1:21" s="12" customFormat="1" x14ac:dyDescent="0.25">
      <c r="A53" s="212" t="s">
        <v>579</v>
      </c>
      <c r="B53" s="64">
        <v>11.35</v>
      </c>
      <c r="C53" s="64">
        <v>11.85</v>
      </c>
      <c r="D53" s="64">
        <v>15.3</v>
      </c>
      <c r="E53" s="64">
        <v>4.82</v>
      </c>
      <c r="F53" s="64">
        <v>9.07</v>
      </c>
      <c r="G53" s="64">
        <v>67.97</v>
      </c>
      <c r="H53" s="64">
        <v>13.3</v>
      </c>
      <c r="I53" s="64">
        <v>1.93</v>
      </c>
      <c r="J53" s="64">
        <v>0.22</v>
      </c>
      <c r="K53" s="64">
        <v>301.79000000000002</v>
      </c>
      <c r="L53" s="64">
        <v>30.29</v>
      </c>
      <c r="M53" s="64">
        <v>83.88</v>
      </c>
      <c r="N53" s="64">
        <v>303</v>
      </c>
      <c r="O53" s="64">
        <v>0</v>
      </c>
      <c r="P53" s="64">
        <v>0.56999999999999995</v>
      </c>
      <c r="Q53" s="64">
        <v>9.2799999999999994</v>
      </c>
      <c r="R53" s="198"/>
      <c r="S53" s="198"/>
      <c r="T53" s="198"/>
      <c r="U53" s="198"/>
    </row>
    <row r="54" spans="1:21" s="12" customFormat="1" x14ac:dyDescent="0.25">
      <c r="A54" s="212" t="s">
        <v>580</v>
      </c>
      <c r="B54" s="64">
        <v>8.9</v>
      </c>
      <c r="C54" s="64">
        <v>13.18</v>
      </c>
      <c r="D54" s="64">
        <v>14.02</v>
      </c>
      <c r="E54" s="64">
        <v>4.7</v>
      </c>
      <c r="F54" s="64">
        <v>6.74</v>
      </c>
      <c r="G54" s="64">
        <v>67.97</v>
      </c>
      <c r="H54" s="64">
        <v>14.28</v>
      </c>
      <c r="I54" s="64">
        <v>1.98</v>
      </c>
      <c r="J54" s="64">
        <v>0.16</v>
      </c>
      <c r="K54" s="64">
        <v>292.77</v>
      </c>
      <c r="L54" s="64">
        <v>30.14</v>
      </c>
      <c r="M54" s="64">
        <v>84.27</v>
      </c>
      <c r="N54" s="64">
        <v>304</v>
      </c>
      <c r="O54" s="64">
        <v>0</v>
      </c>
      <c r="P54" s="64">
        <v>0.56999999999999995</v>
      </c>
      <c r="Q54" s="64">
        <v>9.2200000000000006</v>
      </c>
      <c r="R54" s="198"/>
      <c r="S54" s="198"/>
      <c r="T54" s="198"/>
      <c r="U54" s="198"/>
    </row>
    <row r="55" spans="1:21" s="12" customFormat="1" x14ac:dyDescent="0.25">
      <c r="A55" s="212" t="s">
        <v>581</v>
      </c>
      <c r="B55" s="64">
        <v>6.32</v>
      </c>
      <c r="C55" s="64">
        <v>17.2</v>
      </c>
      <c r="D55" s="64">
        <v>14.05</v>
      </c>
      <c r="E55" s="64">
        <v>4.63</v>
      </c>
      <c r="F55" s="64">
        <v>14.42</v>
      </c>
      <c r="G55" s="64">
        <v>67.97</v>
      </c>
      <c r="H55" s="64">
        <v>14.28</v>
      </c>
      <c r="I55" s="64">
        <v>2</v>
      </c>
      <c r="J55" s="64">
        <v>0.14000000000000001</v>
      </c>
      <c r="K55" s="64">
        <v>273.10000000000002</v>
      </c>
      <c r="L55" s="64">
        <v>29.59</v>
      </c>
      <c r="M55" s="64">
        <v>85.61</v>
      </c>
      <c r="N55" s="64">
        <v>290.39999999999998</v>
      </c>
      <c r="O55" s="64">
        <v>0</v>
      </c>
      <c r="P55" s="64">
        <v>0.61</v>
      </c>
      <c r="Q55" s="64">
        <v>9.1199999999999992</v>
      </c>
      <c r="R55" s="198"/>
      <c r="S55" s="198"/>
      <c r="T55" s="198"/>
      <c r="U55" s="198"/>
    </row>
    <row r="56" spans="1:21" s="12" customFormat="1" x14ac:dyDescent="0.25">
      <c r="A56" s="212" t="s">
        <v>582</v>
      </c>
      <c r="B56" s="64">
        <v>7.55</v>
      </c>
      <c r="C56" s="64">
        <v>21.37</v>
      </c>
      <c r="D56" s="64">
        <v>17.22</v>
      </c>
      <c r="E56" s="64">
        <v>4.72</v>
      </c>
      <c r="F56" s="64">
        <v>16.920000000000002</v>
      </c>
      <c r="G56" s="64">
        <v>69.849999999999994</v>
      </c>
      <c r="H56" s="64">
        <v>14.28</v>
      </c>
      <c r="I56" s="64">
        <v>2.0299999999999998</v>
      </c>
      <c r="J56" s="64">
        <v>0.13</v>
      </c>
      <c r="K56" s="64">
        <v>293.33999999999997</v>
      </c>
      <c r="L56" s="64">
        <v>30.12</v>
      </c>
      <c r="M56" s="64">
        <v>83.44</v>
      </c>
      <c r="N56" s="64">
        <v>263</v>
      </c>
      <c r="O56" s="64">
        <v>0</v>
      </c>
      <c r="P56" s="64">
        <v>0.69</v>
      </c>
      <c r="Q56" s="64">
        <v>9.0399999999999991</v>
      </c>
      <c r="R56" s="198"/>
      <c r="S56" s="198"/>
      <c r="T56" s="198"/>
      <c r="U56" s="198"/>
    </row>
    <row r="57" spans="1:21" s="12" customFormat="1" x14ac:dyDescent="0.25">
      <c r="A57" s="212" t="s">
        <v>583</v>
      </c>
      <c r="B57" s="64">
        <v>6.37</v>
      </c>
      <c r="C57" s="64">
        <v>18.510000000000002</v>
      </c>
      <c r="D57" s="64">
        <v>14.78</v>
      </c>
      <c r="E57" s="64">
        <v>4.54</v>
      </c>
      <c r="F57" s="64">
        <v>13.35</v>
      </c>
      <c r="G57" s="64">
        <v>71.11</v>
      </c>
      <c r="H57" s="64">
        <v>13.86</v>
      </c>
      <c r="I57" s="64">
        <v>2.04</v>
      </c>
      <c r="J57" s="64">
        <v>0.08</v>
      </c>
      <c r="K57" s="64">
        <v>278.73</v>
      </c>
      <c r="L57" s="64">
        <v>30.05</v>
      </c>
      <c r="M57" s="64">
        <v>83.45</v>
      </c>
      <c r="N57" s="64">
        <v>274.5</v>
      </c>
      <c r="O57" s="64">
        <v>0</v>
      </c>
      <c r="P57" s="64">
        <v>0.6</v>
      </c>
      <c r="Q57" s="64">
        <v>9</v>
      </c>
      <c r="R57" s="198"/>
      <c r="S57" s="198"/>
      <c r="T57" s="198"/>
      <c r="U57" s="198"/>
    </row>
    <row r="58" spans="1:21" s="12" customFormat="1" x14ac:dyDescent="0.25">
      <c r="A58" s="212" t="s">
        <v>584</v>
      </c>
      <c r="B58" s="64">
        <v>5.22</v>
      </c>
      <c r="C58" s="64">
        <v>15.15</v>
      </c>
      <c r="D58" s="64">
        <v>12.1</v>
      </c>
      <c r="E58" s="64">
        <v>4.67</v>
      </c>
      <c r="F58" s="64">
        <v>13.58</v>
      </c>
      <c r="G58" s="64">
        <v>71.11</v>
      </c>
      <c r="H58" s="64">
        <v>11.35</v>
      </c>
      <c r="I58" s="64">
        <v>2.06</v>
      </c>
      <c r="J58" s="64">
        <v>0.15</v>
      </c>
      <c r="K58" s="64">
        <v>195.16</v>
      </c>
      <c r="L58" s="64">
        <v>29.69</v>
      </c>
      <c r="M58" s="64">
        <v>82.81</v>
      </c>
      <c r="N58" s="64">
        <v>402.7</v>
      </c>
      <c r="O58" s="64">
        <v>0</v>
      </c>
      <c r="P58" s="64">
        <v>0.46</v>
      </c>
      <c r="Q58" s="64">
        <v>8.99</v>
      </c>
      <c r="R58" s="198"/>
      <c r="S58" s="198"/>
      <c r="T58" s="198"/>
      <c r="U58" s="198"/>
    </row>
    <row r="59" spans="1:21" s="12" customFormat="1" x14ac:dyDescent="0.25">
      <c r="A59" s="212" t="s">
        <v>585</v>
      </c>
      <c r="B59" s="64">
        <v>5.0599999999999996</v>
      </c>
      <c r="C59" s="64">
        <v>15</v>
      </c>
      <c r="D59" s="64">
        <v>11.9</v>
      </c>
      <c r="E59" s="64">
        <v>4.6500000000000004</v>
      </c>
      <c r="F59" s="64">
        <v>13.67</v>
      </c>
      <c r="G59" s="64">
        <v>71.11</v>
      </c>
      <c r="H59" s="64">
        <v>11.35</v>
      </c>
      <c r="I59" s="64">
        <v>2.08</v>
      </c>
      <c r="J59" s="64">
        <v>0.13</v>
      </c>
      <c r="K59" s="64">
        <v>183.94</v>
      </c>
      <c r="L59" s="64">
        <v>29.68</v>
      </c>
      <c r="M59" s="64">
        <v>83.14</v>
      </c>
      <c r="N59" s="64">
        <v>504.1</v>
      </c>
      <c r="O59" s="64">
        <v>0</v>
      </c>
      <c r="P59" s="64">
        <v>0.42</v>
      </c>
      <c r="Q59" s="64">
        <v>8.98</v>
      </c>
      <c r="R59" s="198"/>
      <c r="S59" s="198"/>
      <c r="T59" s="198"/>
      <c r="U59" s="198"/>
    </row>
    <row r="60" spans="1:21" s="12" customFormat="1" x14ac:dyDescent="0.25">
      <c r="A60" s="212" t="s">
        <v>586</v>
      </c>
      <c r="B60" s="64">
        <v>4.63</v>
      </c>
      <c r="C60" s="64">
        <v>13.83</v>
      </c>
      <c r="D60" s="64">
        <v>10.94</v>
      </c>
      <c r="E60" s="64">
        <v>4.4800000000000004</v>
      </c>
      <c r="F60" s="64">
        <v>7.34</v>
      </c>
      <c r="G60" s="64">
        <v>71.11</v>
      </c>
      <c r="H60" s="64">
        <v>11.35</v>
      </c>
      <c r="I60" s="64">
        <v>2</v>
      </c>
      <c r="J60" s="64">
        <v>0.13</v>
      </c>
      <c r="K60" s="64">
        <v>247.35</v>
      </c>
      <c r="L60" s="64">
        <v>30.09</v>
      </c>
      <c r="M60" s="64">
        <v>80.83</v>
      </c>
      <c r="N60" s="64">
        <v>525</v>
      </c>
      <c r="O60" s="64">
        <v>0</v>
      </c>
      <c r="P60" s="64">
        <v>0.43</v>
      </c>
      <c r="Q60" s="64">
        <v>8.98</v>
      </c>
      <c r="R60" s="198"/>
      <c r="S60" s="198"/>
      <c r="T60" s="198"/>
      <c r="U60" s="198"/>
    </row>
    <row r="61" spans="1:21" s="12" customFormat="1" x14ac:dyDescent="0.25">
      <c r="A61" s="212" t="s">
        <v>587</v>
      </c>
      <c r="B61" s="64">
        <v>4.9800000000000004</v>
      </c>
      <c r="C61" s="64">
        <v>13.05</v>
      </c>
      <c r="D61" s="64">
        <v>10.82</v>
      </c>
      <c r="E61" s="64">
        <v>4.8899999999999997</v>
      </c>
      <c r="F61" s="64">
        <v>8.49</v>
      </c>
      <c r="G61" s="64">
        <v>71.11</v>
      </c>
      <c r="H61" s="64">
        <v>11.35</v>
      </c>
      <c r="I61" s="64">
        <v>1.9</v>
      </c>
      <c r="J61" s="64">
        <v>0.16</v>
      </c>
      <c r="K61" s="64">
        <v>283.54000000000002</v>
      </c>
      <c r="L61" s="64">
        <v>30.6</v>
      </c>
      <c r="M61" s="64">
        <v>75.599999999999994</v>
      </c>
      <c r="N61" s="64">
        <v>333.8</v>
      </c>
      <c r="O61" s="64">
        <v>0</v>
      </c>
      <c r="P61" s="64">
        <v>0.42</v>
      </c>
      <c r="Q61" s="64">
        <v>9.01</v>
      </c>
      <c r="R61" s="198"/>
      <c r="S61" s="198"/>
      <c r="T61" s="198"/>
      <c r="U61" s="198"/>
    </row>
    <row r="62" spans="1:21" s="12" customFormat="1" x14ac:dyDescent="0.25">
      <c r="A62" s="212" t="s">
        <v>588</v>
      </c>
      <c r="B62" s="64">
        <v>4.7699999999999996</v>
      </c>
      <c r="C62" s="64">
        <v>13.34</v>
      </c>
      <c r="D62" s="64">
        <v>10.79</v>
      </c>
      <c r="E62" s="64">
        <v>4.75</v>
      </c>
      <c r="F62" s="64">
        <v>6.52</v>
      </c>
      <c r="G62" s="64">
        <v>71.11</v>
      </c>
      <c r="H62" s="64">
        <v>11.35</v>
      </c>
      <c r="I62" s="64">
        <v>1.87</v>
      </c>
      <c r="J62" s="64">
        <v>0.16</v>
      </c>
      <c r="K62" s="64">
        <v>293.72000000000003</v>
      </c>
      <c r="L62" s="64">
        <v>31.13</v>
      </c>
      <c r="M62" s="64">
        <v>71.319999999999993</v>
      </c>
      <c r="N62" s="64">
        <v>341.1</v>
      </c>
      <c r="O62" s="64">
        <v>0</v>
      </c>
      <c r="P62" s="64">
        <v>0.44</v>
      </c>
      <c r="Q62" s="64">
        <v>9.01</v>
      </c>
      <c r="R62" s="198"/>
      <c r="S62" s="198"/>
      <c r="T62" s="198"/>
      <c r="U62" s="198"/>
    </row>
    <row r="63" spans="1:21" s="12" customFormat="1" x14ac:dyDescent="0.25">
      <c r="A63" s="212" t="s">
        <v>589</v>
      </c>
      <c r="B63" s="64">
        <v>4.75</v>
      </c>
      <c r="C63" s="64">
        <v>13.17</v>
      </c>
      <c r="D63" s="64">
        <v>10.69</v>
      </c>
      <c r="E63" s="64">
        <v>4.82</v>
      </c>
      <c r="F63" s="64">
        <v>7.81</v>
      </c>
      <c r="G63" s="64">
        <v>2</v>
      </c>
      <c r="H63" s="64">
        <v>1</v>
      </c>
      <c r="I63" s="64">
        <v>1.82</v>
      </c>
      <c r="J63" s="64">
        <v>0.13</v>
      </c>
      <c r="K63" s="64">
        <v>250.94</v>
      </c>
      <c r="L63" s="64">
        <v>30.32</v>
      </c>
      <c r="M63" s="64">
        <v>74.72</v>
      </c>
      <c r="N63" s="64">
        <v>284.7</v>
      </c>
      <c r="O63" s="64">
        <v>0</v>
      </c>
      <c r="P63" s="64">
        <v>0.41</v>
      </c>
      <c r="Q63" s="64">
        <v>9.02</v>
      </c>
      <c r="R63" s="198"/>
      <c r="S63" s="198"/>
      <c r="T63" s="198"/>
      <c r="U63" s="198"/>
    </row>
    <row r="64" spans="1:21" s="12" customFormat="1" x14ac:dyDescent="0.25">
      <c r="A64" s="212" t="s">
        <v>590</v>
      </c>
      <c r="B64" s="64">
        <v>5.47</v>
      </c>
      <c r="C64" s="64">
        <v>13.1</v>
      </c>
      <c r="D64" s="64">
        <v>11.23</v>
      </c>
      <c r="E64" s="64">
        <v>4.5</v>
      </c>
      <c r="F64" s="64">
        <v>9.27</v>
      </c>
      <c r="G64" s="64">
        <v>2</v>
      </c>
      <c r="H64" s="64">
        <v>1</v>
      </c>
      <c r="I64" s="64">
        <v>1.73</v>
      </c>
      <c r="J64" s="64">
        <v>0.09</v>
      </c>
      <c r="K64" s="64">
        <v>218.3</v>
      </c>
      <c r="L64" s="64">
        <v>29.74</v>
      </c>
      <c r="M64" s="64">
        <v>79.37</v>
      </c>
      <c r="N64" s="64">
        <v>308.10000000000002</v>
      </c>
      <c r="O64" s="64">
        <v>0</v>
      </c>
      <c r="P64" s="64">
        <v>0.32</v>
      </c>
      <c r="Q64" s="64">
        <v>9.0299999999999994</v>
      </c>
      <c r="R64" s="198"/>
      <c r="S64" s="198"/>
      <c r="T64" s="198"/>
      <c r="U64" s="198"/>
    </row>
    <row r="65" spans="1:21" s="12" customFormat="1" x14ac:dyDescent="0.25">
      <c r="A65" s="212" t="s">
        <v>591</v>
      </c>
      <c r="B65" s="64">
        <v>6.42</v>
      </c>
      <c r="C65" s="64">
        <v>13.71</v>
      </c>
      <c r="D65" s="64">
        <v>12.31</v>
      </c>
      <c r="E65" s="64">
        <v>4.79</v>
      </c>
      <c r="F65" s="64">
        <v>9.92</v>
      </c>
      <c r="G65" s="64">
        <v>2</v>
      </c>
      <c r="H65" s="64">
        <v>1</v>
      </c>
      <c r="I65" s="64">
        <v>1.61</v>
      </c>
      <c r="J65" s="64">
        <v>0.16</v>
      </c>
      <c r="K65" s="64">
        <v>285.43</v>
      </c>
      <c r="L65" s="64">
        <v>30.68</v>
      </c>
      <c r="M65" s="64">
        <v>75.239999999999995</v>
      </c>
      <c r="N65" s="64">
        <v>308.7</v>
      </c>
      <c r="O65" s="64">
        <v>0</v>
      </c>
      <c r="P65" s="64">
        <v>0.36</v>
      </c>
      <c r="Q65" s="64">
        <v>9.02</v>
      </c>
      <c r="R65" s="198"/>
      <c r="S65" s="198"/>
      <c r="T65" s="198"/>
      <c r="U65" s="198"/>
    </row>
    <row r="66" spans="1:21" s="12" customFormat="1" x14ac:dyDescent="0.25">
      <c r="A66" s="212" t="s">
        <v>592</v>
      </c>
      <c r="B66" s="64">
        <v>7.46</v>
      </c>
      <c r="C66" s="64">
        <v>13.98</v>
      </c>
      <c r="D66" s="64">
        <v>13.29</v>
      </c>
      <c r="E66" s="64">
        <v>4.57</v>
      </c>
      <c r="F66" s="64">
        <v>11.45</v>
      </c>
      <c r="G66" s="64">
        <v>2</v>
      </c>
      <c r="H66" s="64">
        <v>1</v>
      </c>
      <c r="I66" s="64">
        <v>1.5</v>
      </c>
      <c r="J66" s="64">
        <v>0.15</v>
      </c>
      <c r="K66" s="64">
        <v>230.46</v>
      </c>
      <c r="L66" s="64">
        <v>30.65</v>
      </c>
      <c r="M66" s="64">
        <v>74.12</v>
      </c>
      <c r="N66" s="64">
        <v>296.3</v>
      </c>
      <c r="O66" s="64">
        <v>0</v>
      </c>
      <c r="P66" s="64">
        <v>0.3</v>
      </c>
      <c r="Q66" s="64">
        <v>9.02</v>
      </c>
      <c r="R66" s="198"/>
      <c r="S66" s="198"/>
      <c r="T66" s="198"/>
      <c r="U66" s="198"/>
    </row>
    <row r="67" spans="1:21" s="12" customFormat="1" x14ac:dyDescent="0.25">
      <c r="A67" s="212" t="s">
        <v>593</v>
      </c>
      <c r="B67" s="64">
        <v>5.0199999999999996</v>
      </c>
      <c r="C67" s="64">
        <v>11.33</v>
      </c>
      <c r="D67" s="64">
        <v>9.94</v>
      </c>
      <c r="E67" s="64">
        <v>4.33</v>
      </c>
      <c r="F67" s="64">
        <v>13.27</v>
      </c>
      <c r="G67" s="64">
        <v>21.02</v>
      </c>
      <c r="H67" s="64">
        <v>1.01</v>
      </c>
      <c r="I67" s="64">
        <v>1.43</v>
      </c>
      <c r="J67" s="64">
        <v>0.14000000000000001</v>
      </c>
      <c r="K67" s="64">
        <v>213.37</v>
      </c>
      <c r="L67" s="64">
        <v>30.45</v>
      </c>
      <c r="M67" s="64">
        <v>73.69</v>
      </c>
      <c r="N67" s="64">
        <v>278.3</v>
      </c>
      <c r="O67" s="64">
        <v>0</v>
      </c>
      <c r="P67" s="64">
        <v>0.28000000000000003</v>
      </c>
      <c r="Q67" s="64">
        <v>9.01</v>
      </c>
      <c r="R67" s="198"/>
      <c r="S67" s="198"/>
      <c r="T67" s="198"/>
      <c r="U67" s="198"/>
    </row>
    <row r="68" spans="1:21" s="12" customFormat="1" x14ac:dyDescent="0.25">
      <c r="A68" s="212" t="s">
        <v>594</v>
      </c>
      <c r="B68" s="64">
        <v>7.26</v>
      </c>
      <c r="C68" s="64">
        <v>12.58</v>
      </c>
      <c r="D68" s="64">
        <v>12.39</v>
      </c>
      <c r="E68" s="64">
        <v>4.62</v>
      </c>
      <c r="F68" s="64">
        <v>13.32</v>
      </c>
      <c r="G68" s="64">
        <v>87.6</v>
      </c>
      <c r="H68" s="64">
        <v>1.03</v>
      </c>
      <c r="I68" s="64">
        <v>1.39</v>
      </c>
      <c r="J68" s="64">
        <v>0.1</v>
      </c>
      <c r="K68" s="64">
        <v>218.26</v>
      </c>
      <c r="L68" s="64">
        <v>30.72</v>
      </c>
      <c r="M68" s="64">
        <v>73.92</v>
      </c>
      <c r="N68" s="64">
        <v>251.4</v>
      </c>
      <c r="O68" s="64">
        <v>0</v>
      </c>
      <c r="P68" s="64">
        <v>0.32</v>
      </c>
      <c r="Q68" s="64">
        <v>9.02</v>
      </c>
      <c r="R68" s="198"/>
      <c r="S68" s="198"/>
      <c r="T68" s="198"/>
      <c r="U68" s="198"/>
    </row>
    <row r="69" spans="1:21" s="12" customFormat="1" x14ac:dyDescent="0.25">
      <c r="A69" s="212" t="s">
        <v>595</v>
      </c>
      <c r="B69" s="64">
        <v>5.24</v>
      </c>
      <c r="C69" s="64">
        <v>11.49</v>
      </c>
      <c r="D69" s="64">
        <v>10.210000000000001</v>
      </c>
      <c r="E69" s="64">
        <v>4.5199999999999996</v>
      </c>
      <c r="F69" s="64">
        <v>11.23</v>
      </c>
      <c r="G69" s="64">
        <v>87.6</v>
      </c>
      <c r="H69" s="64">
        <v>1.03</v>
      </c>
      <c r="I69" s="64">
        <v>1.37</v>
      </c>
      <c r="J69" s="64">
        <v>0.17</v>
      </c>
      <c r="K69" s="64">
        <v>243.14</v>
      </c>
      <c r="L69" s="64">
        <v>30.26</v>
      </c>
      <c r="M69" s="64">
        <v>74.650000000000006</v>
      </c>
      <c r="N69" s="64">
        <v>224.2</v>
      </c>
      <c r="O69" s="64">
        <v>0</v>
      </c>
      <c r="P69" s="64">
        <v>0.31</v>
      </c>
      <c r="Q69" s="64">
        <v>9.02</v>
      </c>
      <c r="R69" s="198"/>
      <c r="S69" s="198"/>
      <c r="T69" s="198"/>
      <c r="U69" s="198"/>
    </row>
    <row r="70" spans="1:21" s="12" customFormat="1" x14ac:dyDescent="0.25">
      <c r="A70" s="212" t="s">
        <v>596</v>
      </c>
      <c r="B70" s="64">
        <v>4.88</v>
      </c>
      <c r="C70" s="64">
        <v>11.04</v>
      </c>
      <c r="D70" s="64">
        <v>9.68</v>
      </c>
      <c r="E70" s="64">
        <v>4.5199999999999996</v>
      </c>
      <c r="F70" s="64">
        <v>13.59</v>
      </c>
      <c r="G70" s="64">
        <v>87.6</v>
      </c>
      <c r="H70" s="64">
        <v>1.03</v>
      </c>
      <c r="I70" s="64">
        <v>1.35</v>
      </c>
      <c r="J70" s="64">
        <v>0.13</v>
      </c>
      <c r="K70" s="64">
        <v>278.38</v>
      </c>
      <c r="L70" s="64">
        <v>30.12</v>
      </c>
      <c r="M70" s="64">
        <v>73.95</v>
      </c>
      <c r="N70" s="64">
        <v>213.8</v>
      </c>
      <c r="O70" s="64">
        <v>0</v>
      </c>
      <c r="P70" s="64">
        <v>0.31</v>
      </c>
      <c r="Q70" s="64">
        <v>9.0299999999999994</v>
      </c>
      <c r="R70" s="198"/>
      <c r="S70" s="198"/>
      <c r="T70" s="198"/>
      <c r="U70" s="198"/>
    </row>
    <row r="71" spans="1:21" s="12" customFormat="1" x14ac:dyDescent="0.25">
      <c r="A71" s="212" t="s">
        <v>597</v>
      </c>
      <c r="B71" s="64">
        <v>5.9</v>
      </c>
      <c r="C71" s="64">
        <v>12.12</v>
      </c>
      <c r="D71" s="64">
        <v>11.07</v>
      </c>
      <c r="E71" s="64">
        <v>4.78</v>
      </c>
      <c r="F71" s="64">
        <v>6.56</v>
      </c>
      <c r="G71" s="64">
        <v>87.66</v>
      </c>
      <c r="H71" s="64">
        <v>1.03</v>
      </c>
      <c r="I71" s="64">
        <v>1.34</v>
      </c>
      <c r="J71" s="64">
        <v>0.3</v>
      </c>
      <c r="K71" s="64">
        <v>303.45999999999998</v>
      </c>
      <c r="L71" s="64">
        <v>30.34</v>
      </c>
      <c r="M71" s="64">
        <v>75.05</v>
      </c>
      <c r="N71" s="64">
        <v>173.8</v>
      </c>
      <c r="O71" s="64">
        <v>0</v>
      </c>
      <c r="P71" s="64">
        <v>0.35</v>
      </c>
      <c r="Q71" s="64">
        <v>9.01</v>
      </c>
      <c r="R71" s="198"/>
      <c r="S71" s="198"/>
      <c r="T71" s="198"/>
      <c r="U71" s="198"/>
    </row>
    <row r="72" spans="1:21" s="12" customFormat="1" x14ac:dyDescent="0.25">
      <c r="A72" s="212" t="s">
        <v>598</v>
      </c>
      <c r="B72" s="64">
        <v>6.24</v>
      </c>
      <c r="C72" s="64">
        <v>11.18</v>
      </c>
      <c r="D72" s="64">
        <v>10.85</v>
      </c>
      <c r="E72" s="64">
        <v>4.6100000000000003</v>
      </c>
      <c r="F72" s="64">
        <v>11.06</v>
      </c>
      <c r="G72" s="64">
        <v>87.86</v>
      </c>
      <c r="H72" s="64">
        <v>1.02</v>
      </c>
      <c r="I72" s="64">
        <v>1.34</v>
      </c>
      <c r="J72" s="64">
        <v>1.1000000000000001</v>
      </c>
      <c r="K72" s="64">
        <v>335.52</v>
      </c>
      <c r="L72" s="64">
        <v>29.08</v>
      </c>
      <c r="M72" s="64">
        <v>83.26</v>
      </c>
      <c r="N72" s="64">
        <v>143.6</v>
      </c>
      <c r="O72" s="64">
        <v>0</v>
      </c>
      <c r="P72" s="64">
        <v>0.36</v>
      </c>
      <c r="Q72" s="64">
        <v>9</v>
      </c>
      <c r="R72" s="198"/>
      <c r="S72" s="198"/>
      <c r="T72" s="198"/>
      <c r="U72" s="198"/>
    </row>
    <row r="73" spans="1:21" s="12" customFormat="1" x14ac:dyDescent="0.25">
      <c r="A73" s="212" t="s">
        <v>599</v>
      </c>
      <c r="B73" s="64">
        <v>7.29</v>
      </c>
      <c r="C73" s="64">
        <v>14.63</v>
      </c>
      <c r="D73" s="64">
        <v>13.49</v>
      </c>
      <c r="E73" s="64">
        <v>4.57</v>
      </c>
      <c r="F73" s="64">
        <v>13.6</v>
      </c>
      <c r="G73" s="64">
        <v>87.86</v>
      </c>
      <c r="H73" s="64">
        <v>1.02</v>
      </c>
      <c r="I73" s="64">
        <v>1.35</v>
      </c>
      <c r="J73" s="64">
        <v>0.3</v>
      </c>
      <c r="K73" s="64">
        <v>103.9</v>
      </c>
      <c r="L73" s="64">
        <v>27.09</v>
      </c>
      <c r="M73" s="64">
        <v>97.23</v>
      </c>
      <c r="N73" s="64">
        <v>141.30000000000001</v>
      </c>
      <c r="O73" s="64">
        <v>0</v>
      </c>
      <c r="P73" s="64">
        <v>0.24</v>
      </c>
      <c r="Q73" s="64">
        <v>8.99</v>
      </c>
      <c r="R73" s="198"/>
      <c r="S73" s="198"/>
      <c r="T73" s="198"/>
      <c r="U73" s="198"/>
    </row>
    <row r="74" spans="1:21" s="12" customFormat="1" x14ac:dyDescent="0.25">
      <c r="A74" s="212" t="s">
        <v>600</v>
      </c>
      <c r="B74" s="64">
        <v>6.3</v>
      </c>
      <c r="C74" s="64">
        <v>16.29</v>
      </c>
      <c r="D74" s="64">
        <v>13.56</v>
      </c>
      <c r="E74" s="64">
        <v>4.7</v>
      </c>
      <c r="F74" s="64">
        <v>11.69</v>
      </c>
      <c r="G74" s="64">
        <v>87.86</v>
      </c>
      <c r="H74" s="64">
        <v>1.02</v>
      </c>
      <c r="I74" s="64">
        <v>1.32</v>
      </c>
      <c r="J74" s="64">
        <v>0.45</v>
      </c>
      <c r="K74" s="64">
        <v>105.62</v>
      </c>
      <c r="L74" s="64">
        <v>27.01</v>
      </c>
      <c r="M74" s="64">
        <v>90.41</v>
      </c>
      <c r="N74" s="64">
        <v>144.9</v>
      </c>
      <c r="O74" s="64">
        <v>0</v>
      </c>
      <c r="P74" s="64">
        <v>0.24</v>
      </c>
      <c r="Q74" s="64">
        <v>8.99</v>
      </c>
      <c r="R74" s="198"/>
      <c r="S74" s="198"/>
      <c r="T74" s="198"/>
      <c r="U74" s="198"/>
    </row>
    <row r="75" spans="1:21" s="12" customFormat="1" x14ac:dyDescent="0.25">
      <c r="A75" s="212" t="s">
        <v>601</v>
      </c>
      <c r="B75" s="64">
        <v>9.59</v>
      </c>
      <c r="C75" s="64">
        <v>17.32</v>
      </c>
      <c r="D75" s="64">
        <v>16.739999999999998</v>
      </c>
      <c r="E75" s="64">
        <v>4.55</v>
      </c>
      <c r="F75" s="64">
        <v>9.5399999999999991</v>
      </c>
      <c r="G75" s="64">
        <v>83.62</v>
      </c>
      <c r="H75" s="64">
        <v>1.73</v>
      </c>
      <c r="I75" s="64">
        <v>1.31</v>
      </c>
      <c r="J75" s="64">
        <v>0.33</v>
      </c>
      <c r="K75" s="64">
        <v>338.23</v>
      </c>
      <c r="L75" s="64">
        <v>26.98</v>
      </c>
      <c r="M75" s="64">
        <v>97.1</v>
      </c>
      <c r="N75" s="64">
        <v>149.9</v>
      </c>
      <c r="O75" s="64">
        <v>0</v>
      </c>
      <c r="P75" s="64">
        <v>0.56999999999999995</v>
      </c>
      <c r="Q75" s="64">
        <v>8.99</v>
      </c>
      <c r="R75" s="198"/>
      <c r="S75" s="198"/>
      <c r="T75" s="198"/>
      <c r="U75" s="198"/>
    </row>
    <row r="76" spans="1:21" s="12" customFormat="1" x14ac:dyDescent="0.25">
      <c r="A76" s="212" t="s">
        <v>602</v>
      </c>
      <c r="B76" s="64">
        <v>12.94</v>
      </c>
      <c r="C76" s="64">
        <v>13.1</v>
      </c>
      <c r="D76" s="64">
        <v>17.12</v>
      </c>
      <c r="E76" s="64">
        <v>4.7300000000000004</v>
      </c>
      <c r="F76" s="64">
        <v>8.92</v>
      </c>
      <c r="G76" s="64">
        <v>68.75</v>
      </c>
      <c r="H76" s="64">
        <v>4.2</v>
      </c>
      <c r="I76" s="64">
        <v>1.29</v>
      </c>
      <c r="J76" s="64">
        <v>0.44</v>
      </c>
      <c r="K76" s="64">
        <v>332.1</v>
      </c>
      <c r="L76" s="64">
        <v>27.4</v>
      </c>
      <c r="M76" s="64">
        <v>97.45</v>
      </c>
      <c r="N76" s="64">
        <v>156.80000000000001</v>
      </c>
      <c r="O76" s="64">
        <v>0</v>
      </c>
      <c r="P76" s="64">
        <v>0.56999999999999995</v>
      </c>
      <c r="Q76" s="64">
        <v>9.01</v>
      </c>
      <c r="R76" s="198"/>
      <c r="S76" s="198"/>
      <c r="T76" s="198"/>
      <c r="U76" s="198"/>
    </row>
    <row r="77" spans="1:21" s="12" customFormat="1" x14ac:dyDescent="0.25">
      <c r="A77" s="212" t="s">
        <v>603</v>
      </c>
      <c r="B77" s="64">
        <v>11.19</v>
      </c>
      <c r="C77" s="64">
        <v>14.75</v>
      </c>
      <c r="D77" s="64">
        <v>17.940000000000001</v>
      </c>
      <c r="E77" s="64">
        <v>4.7699999999999996</v>
      </c>
      <c r="F77" s="64">
        <v>10.17</v>
      </c>
      <c r="G77" s="64">
        <v>68.75</v>
      </c>
      <c r="H77" s="64">
        <v>4.2</v>
      </c>
      <c r="I77" s="64">
        <v>1.3</v>
      </c>
      <c r="J77" s="64">
        <v>0.41</v>
      </c>
      <c r="K77" s="64">
        <v>332.94</v>
      </c>
      <c r="L77" s="64">
        <v>27.7</v>
      </c>
      <c r="M77" s="64">
        <v>95.66</v>
      </c>
      <c r="N77" s="64">
        <v>142.69999999999999</v>
      </c>
      <c r="O77" s="64">
        <v>0</v>
      </c>
      <c r="P77" s="64">
        <v>0.78</v>
      </c>
      <c r="Q77" s="64">
        <v>9.06</v>
      </c>
      <c r="R77" s="198"/>
      <c r="S77" s="198"/>
      <c r="T77" s="198"/>
      <c r="U77" s="198"/>
    </row>
    <row r="78" spans="1:21" s="12" customFormat="1" x14ac:dyDescent="0.25">
      <c r="A78" s="212" t="s">
        <v>604</v>
      </c>
      <c r="B78" s="64">
        <v>12.92</v>
      </c>
      <c r="C78" s="64">
        <v>20.87</v>
      </c>
      <c r="D78" s="64">
        <v>21.27</v>
      </c>
      <c r="E78" s="64">
        <v>5.07</v>
      </c>
      <c r="F78" s="64">
        <v>9.76</v>
      </c>
      <c r="G78" s="64">
        <v>68.75</v>
      </c>
      <c r="H78" s="64">
        <v>4.2</v>
      </c>
      <c r="I78" s="64">
        <v>1.29</v>
      </c>
      <c r="J78" s="64">
        <v>0.14000000000000001</v>
      </c>
      <c r="K78" s="64">
        <v>316.88</v>
      </c>
      <c r="L78" s="64">
        <v>27.62</v>
      </c>
      <c r="M78" s="64">
        <v>90.38</v>
      </c>
      <c r="N78" s="64">
        <v>135</v>
      </c>
      <c r="O78" s="64">
        <v>0</v>
      </c>
      <c r="P78" s="64">
        <v>0.67</v>
      </c>
      <c r="Q78" s="64">
        <v>9.09</v>
      </c>
      <c r="R78" s="198"/>
      <c r="S78" s="198"/>
      <c r="T78" s="198"/>
      <c r="U78" s="198"/>
    </row>
    <row r="79" spans="1:21" s="12" customFormat="1" x14ac:dyDescent="0.25">
      <c r="A79" s="212" t="s">
        <v>605</v>
      </c>
      <c r="B79" s="64">
        <v>6.23</v>
      </c>
      <c r="C79" s="64">
        <v>22.04</v>
      </c>
      <c r="D79" s="64">
        <v>16.510000000000002</v>
      </c>
      <c r="E79" s="64">
        <v>4.92</v>
      </c>
      <c r="F79" s="64">
        <v>10.67</v>
      </c>
      <c r="G79" s="64">
        <v>69.11</v>
      </c>
      <c r="H79" s="64">
        <v>4.2</v>
      </c>
      <c r="I79" s="64">
        <v>1.41</v>
      </c>
      <c r="J79" s="64">
        <v>7.0000000000000007E-2</v>
      </c>
      <c r="K79" s="64">
        <v>271.60000000000002</v>
      </c>
      <c r="L79" s="64">
        <v>27.49</v>
      </c>
      <c r="M79" s="64">
        <v>86.63</v>
      </c>
      <c r="N79" s="64">
        <v>115.3</v>
      </c>
      <c r="O79" s="64">
        <v>0</v>
      </c>
      <c r="P79" s="64">
        <v>0.49</v>
      </c>
      <c r="Q79" s="64">
        <v>9.11</v>
      </c>
      <c r="R79" s="198"/>
      <c r="S79" s="198"/>
      <c r="T79" s="198"/>
      <c r="U79" s="198"/>
    </row>
    <row r="80" spans="1:21" s="12" customFormat="1" x14ac:dyDescent="0.25">
      <c r="A80" s="212" t="s">
        <v>606</v>
      </c>
      <c r="B80" s="64">
        <v>5.19</v>
      </c>
      <c r="C80" s="64">
        <v>20.87</v>
      </c>
      <c r="D80" s="64">
        <v>15.07</v>
      </c>
      <c r="E80" s="64">
        <v>4.68</v>
      </c>
      <c r="F80" s="64">
        <v>11.86</v>
      </c>
      <c r="G80" s="64">
        <v>70.39</v>
      </c>
      <c r="H80" s="64">
        <v>4.2</v>
      </c>
      <c r="I80" s="64">
        <v>1.45</v>
      </c>
      <c r="J80" s="64">
        <v>0.1</v>
      </c>
      <c r="K80" s="64">
        <v>220.49</v>
      </c>
      <c r="L80" s="64">
        <v>27.58</v>
      </c>
      <c r="M80" s="64">
        <v>88.34</v>
      </c>
      <c r="N80" s="64">
        <v>105.7</v>
      </c>
      <c r="O80" s="64">
        <v>0</v>
      </c>
      <c r="P80" s="64">
        <v>0.77</v>
      </c>
      <c r="Q80" s="64">
        <v>9.1</v>
      </c>
      <c r="R80" s="198"/>
      <c r="S80" s="198"/>
      <c r="T80" s="198"/>
      <c r="U80" s="198"/>
    </row>
    <row r="81" spans="1:26" s="12" customFormat="1" x14ac:dyDescent="0.25">
      <c r="A81" s="212" t="s">
        <v>607</v>
      </c>
      <c r="B81" s="64">
        <v>8.3699999999999992</v>
      </c>
      <c r="C81" s="64">
        <v>25.4</v>
      </c>
      <c r="D81" s="64">
        <v>19.98</v>
      </c>
      <c r="E81" s="64">
        <v>4.63</v>
      </c>
      <c r="F81" s="64">
        <v>7.34</v>
      </c>
      <c r="G81" s="64">
        <v>40</v>
      </c>
      <c r="H81" s="64">
        <v>4.2</v>
      </c>
      <c r="I81" s="64">
        <v>1.49</v>
      </c>
      <c r="J81" s="64">
        <v>0.1</v>
      </c>
      <c r="K81" s="64">
        <v>196.45</v>
      </c>
      <c r="L81" s="64">
        <v>27.43</v>
      </c>
      <c r="M81" s="64">
        <v>91.13</v>
      </c>
      <c r="N81" s="64">
        <v>98.7</v>
      </c>
      <c r="O81" s="64">
        <v>0</v>
      </c>
      <c r="P81" s="64">
        <v>1.62</v>
      </c>
      <c r="Q81" s="64">
        <v>9.1199999999999992</v>
      </c>
      <c r="R81" s="198"/>
      <c r="S81" s="198"/>
      <c r="T81" s="198"/>
      <c r="U81" s="198"/>
    </row>
    <row r="82" spans="1:26" s="12" customFormat="1" x14ac:dyDescent="0.25">
      <c r="A82" s="212" t="s">
        <v>608</v>
      </c>
      <c r="B82" s="64">
        <v>6.97</v>
      </c>
      <c r="C82" s="64">
        <v>24.91</v>
      </c>
      <c r="D82" s="64">
        <v>18.600000000000001</v>
      </c>
      <c r="E82" s="64">
        <v>4.5599999999999996</v>
      </c>
      <c r="F82" s="64">
        <v>9.76</v>
      </c>
      <c r="G82" s="9" t="s">
        <v>36</v>
      </c>
      <c r="H82" s="9" t="s">
        <v>36</v>
      </c>
      <c r="I82" s="64">
        <v>1.78</v>
      </c>
      <c r="J82" s="64">
        <v>0.05</v>
      </c>
      <c r="K82" s="64">
        <v>231.53</v>
      </c>
      <c r="L82" s="64">
        <v>27.33</v>
      </c>
      <c r="M82" s="64">
        <v>92.08</v>
      </c>
      <c r="N82" s="64">
        <v>96.6</v>
      </c>
      <c r="O82" s="64">
        <v>0</v>
      </c>
      <c r="P82" s="64">
        <v>1.78</v>
      </c>
      <c r="Q82" s="64">
        <v>9.15</v>
      </c>
      <c r="R82" s="198"/>
      <c r="S82" s="198"/>
      <c r="T82" s="198"/>
      <c r="U82" s="198"/>
    </row>
    <row r="83" spans="1:26" s="12" customFormat="1" x14ac:dyDescent="0.25">
      <c r="A83" s="212" t="s">
        <v>609</v>
      </c>
      <c r="B83" s="64">
        <v>6.16</v>
      </c>
      <c r="C83" s="64">
        <v>24.89</v>
      </c>
      <c r="D83" s="64">
        <v>17.940000000000001</v>
      </c>
      <c r="E83" s="64">
        <v>4.91</v>
      </c>
      <c r="F83" s="64">
        <v>10.76</v>
      </c>
      <c r="G83" s="9" t="s">
        <v>36</v>
      </c>
      <c r="H83" s="9" t="s">
        <v>36</v>
      </c>
      <c r="I83" s="64">
        <v>2.0699999999999998</v>
      </c>
      <c r="J83" s="64">
        <v>0.04</v>
      </c>
      <c r="K83" s="64">
        <v>213.73</v>
      </c>
      <c r="L83" s="64">
        <v>27.22</v>
      </c>
      <c r="M83" s="64">
        <v>92.2</v>
      </c>
      <c r="N83" s="64">
        <v>90.1</v>
      </c>
      <c r="O83" s="64">
        <v>0</v>
      </c>
      <c r="P83" s="64">
        <v>1.05</v>
      </c>
      <c r="Q83" s="64">
        <v>9.17</v>
      </c>
      <c r="R83" s="198"/>
      <c r="S83" s="198"/>
      <c r="T83" s="198"/>
      <c r="U83" s="198"/>
    </row>
    <row r="84" spans="1:26" s="12" customFormat="1" x14ac:dyDescent="0.25">
      <c r="A84" s="212" t="s">
        <v>610</v>
      </c>
      <c r="B84" s="64">
        <v>5.0999999999999996</v>
      </c>
      <c r="C84" s="64">
        <v>19.329999999999998</v>
      </c>
      <c r="D84" s="64">
        <v>14.19</v>
      </c>
      <c r="E84" s="64">
        <v>4.7699999999999996</v>
      </c>
      <c r="F84" s="64">
        <v>13.82</v>
      </c>
      <c r="G84" s="9" t="s">
        <v>36</v>
      </c>
      <c r="H84" s="9" t="s">
        <v>36</v>
      </c>
      <c r="I84" s="64">
        <v>2.4300000000000002</v>
      </c>
      <c r="J84" s="64">
        <v>0.03</v>
      </c>
      <c r="K84" s="64">
        <v>278.54000000000002</v>
      </c>
      <c r="L84" s="64">
        <v>27.3</v>
      </c>
      <c r="M84" s="64">
        <v>91.5</v>
      </c>
      <c r="N84" s="64">
        <v>84.2</v>
      </c>
      <c r="O84" s="64">
        <v>0</v>
      </c>
      <c r="P84" s="64">
        <v>0.64</v>
      </c>
      <c r="Q84" s="64">
        <v>9.17</v>
      </c>
      <c r="R84" s="198"/>
      <c r="S84" s="198"/>
      <c r="T84" s="198"/>
      <c r="U84" s="198"/>
    </row>
    <row r="85" spans="1:26" s="12" customFormat="1" x14ac:dyDescent="0.25">
      <c r="A85" s="212" t="s">
        <v>611</v>
      </c>
      <c r="B85" s="64">
        <v>5.6</v>
      </c>
      <c r="C85" s="64">
        <v>22.78</v>
      </c>
      <c r="D85" s="64">
        <v>16.399999999999999</v>
      </c>
      <c r="E85" s="64">
        <v>4.71</v>
      </c>
      <c r="F85" s="64">
        <v>11.73</v>
      </c>
      <c r="G85" s="64">
        <v>55.76</v>
      </c>
      <c r="H85" s="64">
        <v>12.1</v>
      </c>
      <c r="I85" s="64">
        <v>2.68</v>
      </c>
      <c r="J85" s="64">
        <v>0.05</v>
      </c>
      <c r="K85" s="64">
        <v>176.46</v>
      </c>
      <c r="L85" s="64">
        <v>27.07</v>
      </c>
      <c r="M85" s="64">
        <v>91.8</v>
      </c>
      <c r="N85" s="64">
        <v>83.2</v>
      </c>
      <c r="O85" s="64">
        <v>0</v>
      </c>
      <c r="P85" s="64">
        <v>0.45</v>
      </c>
      <c r="Q85" s="64">
        <v>9.17</v>
      </c>
      <c r="R85" s="198"/>
      <c r="S85" s="198"/>
      <c r="T85" s="198"/>
      <c r="U85" s="198"/>
    </row>
    <row r="86" spans="1:26" s="12" customFormat="1" x14ac:dyDescent="0.25">
      <c r="A86" s="212" t="s">
        <v>612</v>
      </c>
      <c r="B86" s="64">
        <v>5.94</v>
      </c>
      <c r="C86" s="64">
        <v>23.25</v>
      </c>
      <c r="D86" s="64">
        <v>16.920000000000002</v>
      </c>
      <c r="E86" s="64">
        <v>4.88</v>
      </c>
      <c r="F86" s="64">
        <v>11.69</v>
      </c>
      <c r="G86" s="64">
        <v>120.01</v>
      </c>
      <c r="H86" s="64">
        <v>25.37</v>
      </c>
      <c r="I86" s="64">
        <v>2.73</v>
      </c>
      <c r="J86" s="64">
        <v>0</v>
      </c>
      <c r="K86" s="64">
        <v>71.33</v>
      </c>
      <c r="L86" s="64">
        <v>26.79</v>
      </c>
      <c r="M86" s="64">
        <v>95.06</v>
      </c>
      <c r="N86" s="64">
        <v>83.1</v>
      </c>
      <c r="O86" s="64">
        <v>0</v>
      </c>
      <c r="P86" s="64">
        <v>0.57999999999999996</v>
      </c>
      <c r="Q86" s="64">
        <v>9.19</v>
      </c>
      <c r="R86" s="198"/>
      <c r="S86" s="198"/>
      <c r="T86" s="198"/>
      <c r="U86" s="198"/>
    </row>
    <row r="87" spans="1:26" s="12" customFormat="1" x14ac:dyDescent="0.25">
      <c r="A87" s="212" t="s">
        <v>613</v>
      </c>
      <c r="B87" s="64">
        <v>5.25</v>
      </c>
      <c r="C87" s="64">
        <v>19.71</v>
      </c>
      <c r="D87" s="64">
        <v>14.51</v>
      </c>
      <c r="E87" s="64">
        <v>5.14</v>
      </c>
      <c r="F87" s="64">
        <v>13.51</v>
      </c>
      <c r="G87" s="64">
        <v>120.01</v>
      </c>
      <c r="H87" s="64">
        <v>25.37</v>
      </c>
      <c r="I87" s="64">
        <v>2.72</v>
      </c>
      <c r="J87" s="64">
        <v>0.09</v>
      </c>
      <c r="K87" s="64">
        <v>134.47</v>
      </c>
      <c r="L87" s="64">
        <v>26.73</v>
      </c>
      <c r="M87" s="64">
        <v>95.1</v>
      </c>
      <c r="N87" s="64">
        <v>82.9</v>
      </c>
      <c r="O87" s="64">
        <v>0</v>
      </c>
      <c r="P87" s="64">
        <v>0.49</v>
      </c>
      <c r="Q87" s="64">
        <v>9.19</v>
      </c>
      <c r="R87" s="198"/>
      <c r="S87" s="198"/>
      <c r="T87" s="198"/>
      <c r="U87" s="198"/>
    </row>
    <row r="88" spans="1:26" s="12" customFormat="1" x14ac:dyDescent="0.25">
      <c r="A88" s="212" t="s">
        <v>614</v>
      </c>
      <c r="B88" s="64">
        <v>10.36</v>
      </c>
      <c r="C88" s="64">
        <v>27.9</v>
      </c>
      <c r="D88" s="64">
        <v>22.89</v>
      </c>
      <c r="E88" s="64">
        <v>4.96</v>
      </c>
      <c r="F88" s="64">
        <v>8.17</v>
      </c>
      <c r="G88" s="64">
        <v>120.01</v>
      </c>
      <c r="H88" s="64">
        <v>25.37</v>
      </c>
      <c r="I88" s="64">
        <v>2.71</v>
      </c>
      <c r="J88" s="64">
        <v>0.25</v>
      </c>
      <c r="K88" s="64">
        <v>136.83000000000001</v>
      </c>
      <c r="L88" s="64">
        <v>26.71</v>
      </c>
      <c r="M88" s="64">
        <v>97.33</v>
      </c>
      <c r="N88" s="64">
        <v>83.7</v>
      </c>
      <c r="O88" s="64">
        <v>0</v>
      </c>
      <c r="P88" s="64">
        <v>0.57999999999999996</v>
      </c>
      <c r="Q88" s="64">
        <v>9.19</v>
      </c>
      <c r="R88" s="198"/>
      <c r="S88" s="198"/>
      <c r="T88" s="198"/>
      <c r="U88" s="198"/>
    </row>
    <row r="89" spans="1:26" s="12" customFormat="1" x14ac:dyDescent="0.25">
      <c r="A89" s="212" t="s">
        <v>615</v>
      </c>
      <c r="B89" s="64">
        <v>8.9</v>
      </c>
      <c r="C89" s="64">
        <v>22.12</v>
      </c>
      <c r="D89" s="64">
        <v>18.690000000000001</v>
      </c>
      <c r="E89" s="64">
        <v>5.08</v>
      </c>
      <c r="F89" s="64">
        <v>10.45</v>
      </c>
      <c r="G89" s="64">
        <v>113.13</v>
      </c>
      <c r="H89" s="64">
        <v>24.5</v>
      </c>
      <c r="I89" s="64">
        <v>2.7</v>
      </c>
      <c r="J89" s="64">
        <v>0.05</v>
      </c>
      <c r="K89" s="64">
        <v>146.94</v>
      </c>
      <c r="L89" s="64">
        <v>26.65</v>
      </c>
      <c r="M89" s="64">
        <v>97.55</v>
      </c>
      <c r="N89" s="64">
        <v>84.1</v>
      </c>
      <c r="O89" s="64">
        <v>0</v>
      </c>
      <c r="P89" s="64">
        <v>0.55000000000000004</v>
      </c>
      <c r="Q89" s="64">
        <v>9.18</v>
      </c>
      <c r="R89" s="198"/>
      <c r="S89" s="198"/>
      <c r="T89" s="198"/>
      <c r="U89" s="198"/>
    </row>
    <row r="90" spans="1:26" s="12" customFormat="1" x14ac:dyDescent="0.25">
      <c r="A90" s="212" t="s">
        <v>616</v>
      </c>
      <c r="B90" s="64">
        <v>7.85</v>
      </c>
      <c r="C90" s="64">
        <v>21.94</v>
      </c>
      <c r="D90" s="64">
        <v>17.760000000000002</v>
      </c>
      <c r="E90" s="64">
        <v>5.13</v>
      </c>
      <c r="F90" s="64">
        <v>9.34</v>
      </c>
      <c r="G90" s="64">
        <v>104.89</v>
      </c>
      <c r="H90" s="64">
        <v>23.45</v>
      </c>
      <c r="I90" s="64">
        <v>2.56</v>
      </c>
      <c r="J90" s="64">
        <v>0.01</v>
      </c>
      <c r="K90" s="64">
        <v>186.6</v>
      </c>
      <c r="L90" s="64">
        <v>26.55</v>
      </c>
      <c r="M90" s="64">
        <v>98.04</v>
      </c>
      <c r="N90" s="64">
        <v>83.9</v>
      </c>
      <c r="O90" s="64">
        <v>0</v>
      </c>
      <c r="P90" s="64">
        <v>0.54</v>
      </c>
      <c r="Q90" s="64">
        <v>9.18</v>
      </c>
      <c r="R90" s="198"/>
      <c r="S90" s="198"/>
      <c r="T90" s="198"/>
      <c r="U90" s="198"/>
    </row>
    <row r="91" spans="1:26" s="12" customFormat="1" x14ac:dyDescent="0.25">
      <c r="A91" s="212" t="s">
        <v>617</v>
      </c>
      <c r="B91" s="64">
        <v>11.9</v>
      </c>
      <c r="C91" s="64">
        <v>20.57</v>
      </c>
      <c r="D91" s="64">
        <v>20.29</v>
      </c>
      <c r="E91" s="64">
        <v>4.67</v>
      </c>
      <c r="F91" s="64">
        <v>8.17</v>
      </c>
      <c r="G91" s="64">
        <v>104.89</v>
      </c>
      <c r="H91" s="64">
        <v>23.45</v>
      </c>
      <c r="I91" s="64">
        <v>2.44</v>
      </c>
      <c r="J91" s="64">
        <v>0.19</v>
      </c>
      <c r="K91" s="64">
        <v>147.32</v>
      </c>
      <c r="L91" s="64">
        <v>26.58</v>
      </c>
      <c r="M91" s="64">
        <v>97.56</v>
      </c>
      <c r="N91" s="64">
        <v>83.1</v>
      </c>
      <c r="O91" s="64">
        <v>0</v>
      </c>
      <c r="P91" s="64">
        <v>0.43</v>
      </c>
      <c r="Q91" s="64">
        <v>9.18</v>
      </c>
      <c r="R91" s="198"/>
      <c r="S91" s="198"/>
      <c r="T91" s="198"/>
      <c r="U91" s="198"/>
    </row>
    <row r="92" spans="1:26" s="12" customFormat="1" x14ac:dyDescent="0.25">
      <c r="A92" s="212" t="s">
        <v>618</v>
      </c>
      <c r="B92" s="64">
        <v>9.33</v>
      </c>
      <c r="C92" s="64">
        <v>17.04</v>
      </c>
      <c r="D92" s="64">
        <v>16.38</v>
      </c>
      <c r="E92" s="64">
        <v>4.6399999999999997</v>
      </c>
      <c r="F92" s="64">
        <v>9.25</v>
      </c>
      <c r="G92" s="64">
        <v>104.89</v>
      </c>
      <c r="H92" s="64">
        <v>23.45</v>
      </c>
      <c r="I92" s="64">
        <v>2.39</v>
      </c>
      <c r="J92" s="64">
        <v>0.18</v>
      </c>
      <c r="K92" s="64">
        <v>132.87</v>
      </c>
      <c r="L92" s="64">
        <v>26.74</v>
      </c>
      <c r="M92" s="64">
        <v>98.04</v>
      </c>
      <c r="N92" s="64">
        <v>82.4</v>
      </c>
      <c r="O92" s="64">
        <v>0</v>
      </c>
      <c r="P92" s="64">
        <v>0.36</v>
      </c>
      <c r="Q92" s="64">
        <v>9.17</v>
      </c>
      <c r="R92" s="198"/>
      <c r="S92" s="198"/>
      <c r="T92" s="198"/>
      <c r="U92" s="198"/>
    </row>
    <row r="93" spans="1:26" s="12" customFormat="1" x14ac:dyDescent="0.25">
      <c r="A93" s="212" t="s">
        <v>619</v>
      </c>
      <c r="B93" s="64">
        <v>11.52</v>
      </c>
      <c r="C93" s="64">
        <v>16.64</v>
      </c>
      <c r="D93" s="64">
        <v>17.940000000000001</v>
      </c>
      <c r="E93" s="64">
        <v>4.71</v>
      </c>
      <c r="F93" s="64">
        <v>7.7</v>
      </c>
      <c r="G93" s="64">
        <v>97.12</v>
      </c>
      <c r="H93" s="64">
        <v>20.71</v>
      </c>
      <c r="I93" s="64">
        <v>2.36</v>
      </c>
      <c r="J93" s="64">
        <v>0.03</v>
      </c>
      <c r="K93" s="64">
        <v>269.98</v>
      </c>
      <c r="L93" s="64">
        <v>26.56</v>
      </c>
      <c r="M93" s="64">
        <v>98.12</v>
      </c>
      <c r="N93" s="64">
        <v>83.1</v>
      </c>
      <c r="O93" s="64">
        <v>0</v>
      </c>
      <c r="P93" s="64">
        <v>0.59</v>
      </c>
      <c r="Q93" s="64">
        <v>9.17</v>
      </c>
      <c r="R93" s="198"/>
      <c r="S93" s="198"/>
      <c r="T93" s="198"/>
      <c r="U93" s="198"/>
    </row>
    <row r="94" spans="1:26" s="12" customFormat="1" x14ac:dyDescent="0.25">
      <c r="A94" s="212" t="s">
        <v>620</v>
      </c>
      <c r="B94" s="64">
        <v>5.95</v>
      </c>
      <c r="C94" s="64">
        <v>15.39</v>
      </c>
      <c r="D94" s="64">
        <v>12.81</v>
      </c>
      <c r="E94" s="64">
        <v>4.47</v>
      </c>
      <c r="F94" s="64">
        <v>8.6</v>
      </c>
      <c r="G94" s="64">
        <v>87.84</v>
      </c>
      <c r="H94" s="64">
        <v>17.43</v>
      </c>
      <c r="I94" s="64">
        <v>2.3199999999999998</v>
      </c>
      <c r="J94" s="64">
        <v>0.02</v>
      </c>
      <c r="K94" s="64">
        <v>209.17</v>
      </c>
      <c r="L94" s="64">
        <v>26.44</v>
      </c>
      <c r="M94" s="64">
        <v>98.14</v>
      </c>
      <c r="N94" s="64">
        <v>83.7</v>
      </c>
      <c r="O94" s="64">
        <v>0</v>
      </c>
      <c r="P94" s="64">
        <v>0.35</v>
      </c>
      <c r="Q94" s="64">
        <v>9.19</v>
      </c>
      <c r="R94" s="198"/>
      <c r="S94" s="198"/>
      <c r="T94" s="198"/>
      <c r="U94" s="198"/>
    </row>
    <row r="95" spans="1:26" s="12" customFormat="1" x14ac:dyDescent="0.25">
      <c r="A95" s="212" t="s">
        <v>621</v>
      </c>
      <c r="B95" s="64">
        <v>8.57</v>
      </c>
      <c r="C95" s="64">
        <v>15.33</v>
      </c>
      <c r="D95" s="64">
        <v>14.88</v>
      </c>
      <c r="E95" s="64">
        <v>4.7300000000000004</v>
      </c>
      <c r="F95" s="64">
        <v>8.42</v>
      </c>
      <c r="G95" s="64">
        <v>87.84</v>
      </c>
      <c r="H95" s="64">
        <v>17.43</v>
      </c>
      <c r="I95" s="64">
        <v>2.2799999999999998</v>
      </c>
      <c r="J95" s="64">
        <v>0.02</v>
      </c>
      <c r="K95" s="64">
        <v>233.28</v>
      </c>
      <c r="L95" s="64">
        <v>26.32</v>
      </c>
      <c r="M95" s="64">
        <v>98.15</v>
      </c>
      <c r="N95" s="64">
        <v>83.8</v>
      </c>
      <c r="O95" s="64">
        <v>0</v>
      </c>
      <c r="P95" s="64">
        <v>0.45</v>
      </c>
      <c r="Q95" s="64">
        <v>9.1999999999999993</v>
      </c>
      <c r="R95" s="198"/>
      <c r="S95" s="198"/>
      <c r="T95" s="198"/>
      <c r="U95" s="198"/>
    </row>
    <row r="96" spans="1:26" s="12" customFormat="1" x14ac:dyDescent="0.25">
      <c r="A96" s="212" t="s">
        <v>622</v>
      </c>
      <c r="B96" s="64">
        <v>6.28</v>
      </c>
      <c r="C96" s="64">
        <v>11.4</v>
      </c>
      <c r="D96" s="64">
        <v>11</v>
      </c>
      <c r="E96" s="64">
        <v>4.51</v>
      </c>
      <c r="F96" s="64">
        <v>8.4499999999999993</v>
      </c>
      <c r="G96" s="64">
        <v>87.84</v>
      </c>
      <c r="H96" s="64">
        <v>17.43</v>
      </c>
      <c r="I96" s="64">
        <v>2.2400000000000002</v>
      </c>
      <c r="J96" s="64">
        <v>0.06</v>
      </c>
      <c r="K96" s="64">
        <v>217.9</v>
      </c>
      <c r="L96" s="64">
        <v>26.2</v>
      </c>
      <c r="M96" s="64">
        <v>98.15</v>
      </c>
      <c r="N96" s="64">
        <v>84.6</v>
      </c>
      <c r="O96" s="64">
        <v>0</v>
      </c>
      <c r="P96" s="64">
        <v>0.39</v>
      </c>
      <c r="Q96" s="64">
        <v>9.19</v>
      </c>
      <c r="R96" s="198"/>
      <c r="S96" s="198"/>
      <c r="T96" s="198"/>
      <c r="U96" s="198"/>
      <c r="Z96" s="109"/>
    </row>
    <row r="97" spans="1:33" s="12" customFormat="1" x14ac:dyDescent="0.25">
      <c r="A97" s="212" t="s">
        <v>623</v>
      </c>
      <c r="B97" s="64">
        <v>5.43</v>
      </c>
      <c r="C97" s="64">
        <v>12.32</v>
      </c>
      <c r="D97" s="64">
        <v>10.79</v>
      </c>
      <c r="E97" s="64">
        <v>4.59</v>
      </c>
      <c r="F97" s="64">
        <v>9.2100000000000009</v>
      </c>
      <c r="G97" s="64">
        <v>78.2</v>
      </c>
      <c r="H97" s="64">
        <v>16.59</v>
      </c>
      <c r="I97" s="64">
        <v>2.19</v>
      </c>
      <c r="J97" s="64">
        <v>0.19</v>
      </c>
      <c r="K97" s="64">
        <v>125.55</v>
      </c>
      <c r="L97" s="64">
        <v>26.18</v>
      </c>
      <c r="M97" s="64">
        <v>98.17</v>
      </c>
      <c r="N97" s="64">
        <v>85.9</v>
      </c>
      <c r="O97" s="64">
        <v>0</v>
      </c>
      <c r="P97" s="64">
        <v>0.27</v>
      </c>
      <c r="Q97" s="64">
        <v>9.19</v>
      </c>
      <c r="R97" s="198"/>
      <c r="S97" s="198"/>
      <c r="T97" s="198"/>
      <c r="U97" s="198"/>
    </row>
    <row r="98" spans="1:33" s="12" customFormat="1" x14ac:dyDescent="0.25">
      <c r="A98" s="212" t="s">
        <v>624</v>
      </c>
      <c r="B98" s="64">
        <v>5.43</v>
      </c>
      <c r="C98" s="64">
        <v>11.88</v>
      </c>
      <c r="D98" s="64">
        <v>10.56</v>
      </c>
      <c r="E98" s="64">
        <v>4.59</v>
      </c>
      <c r="F98" s="64">
        <v>9.4700000000000006</v>
      </c>
      <c r="G98" s="64">
        <v>66.67</v>
      </c>
      <c r="H98" s="64">
        <v>15.59</v>
      </c>
      <c r="I98" s="64">
        <v>2.14</v>
      </c>
      <c r="J98" s="64">
        <v>0.06</v>
      </c>
      <c r="K98" s="64">
        <v>165.82</v>
      </c>
      <c r="L98" s="64">
        <v>26.06</v>
      </c>
      <c r="M98" s="64">
        <v>98.18</v>
      </c>
      <c r="N98" s="64">
        <v>86.9</v>
      </c>
      <c r="O98" s="64">
        <v>0</v>
      </c>
      <c r="P98" s="64">
        <v>0.31</v>
      </c>
      <c r="Q98" s="64">
        <v>9.19</v>
      </c>
      <c r="R98" s="198"/>
      <c r="S98" s="198"/>
      <c r="T98" s="198"/>
      <c r="U98" s="198"/>
    </row>
    <row r="99" spans="1:33" s="12" customFormat="1" x14ac:dyDescent="0.25">
      <c r="A99" s="212" t="s">
        <v>625</v>
      </c>
      <c r="B99" s="64">
        <v>5.0999999999999996</v>
      </c>
      <c r="C99" s="64">
        <v>10.53</v>
      </c>
      <c r="D99" s="64">
        <v>9.59</v>
      </c>
      <c r="E99" s="64">
        <v>4.71</v>
      </c>
      <c r="F99" s="64">
        <v>9.73</v>
      </c>
      <c r="G99" s="64">
        <v>66.67</v>
      </c>
      <c r="H99" s="64">
        <v>15.59</v>
      </c>
      <c r="I99" s="64">
        <v>2.1</v>
      </c>
      <c r="J99" s="64">
        <v>0.05</v>
      </c>
      <c r="K99" s="64">
        <v>115.27</v>
      </c>
      <c r="L99" s="64">
        <v>26.02</v>
      </c>
      <c r="M99" s="64">
        <v>98.2</v>
      </c>
      <c r="N99" s="64">
        <v>86</v>
      </c>
      <c r="O99" s="64">
        <v>0</v>
      </c>
      <c r="P99" s="64">
        <v>0.26</v>
      </c>
      <c r="Q99" s="64">
        <v>9.1999999999999993</v>
      </c>
      <c r="R99" s="198"/>
      <c r="S99" s="198"/>
      <c r="T99" s="198"/>
      <c r="U99" s="198"/>
    </row>
    <row r="100" spans="1:33" s="12" customFormat="1" x14ac:dyDescent="0.25">
      <c r="A100" s="212" t="s">
        <v>626</v>
      </c>
      <c r="B100" s="64">
        <v>4.79</v>
      </c>
      <c r="C100" s="64">
        <v>10.33</v>
      </c>
      <c r="D100" s="64">
        <v>9.24</v>
      </c>
      <c r="E100" s="64">
        <v>4.66</v>
      </c>
      <c r="F100" s="64">
        <v>10.24</v>
      </c>
      <c r="G100" s="64">
        <v>66.67</v>
      </c>
      <c r="H100" s="64">
        <v>15.59</v>
      </c>
      <c r="I100" s="64">
        <v>2.0699999999999998</v>
      </c>
      <c r="J100" s="64">
        <v>0.15</v>
      </c>
      <c r="K100" s="64">
        <v>122.79</v>
      </c>
      <c r="L100" s="64">
        <v>25.96</v>
      </c>
      <c r="M100" s="64">
        <v>98.2</v>
      </c>
      <c r="N100" s="64">
        <v>80</v>
      </c>
      <c r="O100" s="64">
        <v>0</v>
      </c>
      <c r="P100" s="64">
        <v>0.23</v>
      </c>
      <c r="Q100" s="64">
        <v>9.2100000000000009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2" t="s">
        <v>627</v>
      </c>
      <c r="B101" s="64">
        <v>4.62</v>
      </c>
      <c r="C101" s="64">
        <v>9.9499999999999993</v>
      </c>
      <c r="D101" s="64">
        <v>8.9</v>
      </c>
      <c r="E101" s="64">
        <v>4.92</v>
      </c>
      <c r="F101" s="64">
        <v>10.79</v>
      </c>
      <c r="G101" s="64">
        <v>63.06</v>
      </c>
      <c r="H101" s="64">
        <v>14.42</v>
      </c>
      <c r="I101" s="64">
        <v>2.0499999999999998</v>
      </c>
      <c r="J101" s="64">
        <v>0.08</v>
      </c>
      <c r="K101" s="64">
        <v>140.47</v>
      </c>
      <c r="L101" s="64">
        <v>25.89</v>
      </c>
      <c r="M101" s="64">
        <v>98.2</v>
      </c>
      <c r="N101" s="64">
        <v>80.2</v>
      </c>
      <c r="O101" s="64">
        <v>0</v>
      </c>
      <c r="P101" s="64">
        <v>0.25</v>
      </c>
      <c r="Q101" s="64">
        <v>9.1999999999999993</v>
      </c>
      <c r="R101" s="198"/>
      <c r="S101" s="198"/>
      <c r="T101" s="198"/>
      <c r="U101" s="198"/>
    </row>
    <row r="102" spans="1:33" s="12" customFormat="1" x14ac:dyDescent="0.25">
      <c r="A102" s="212" t="s">
        <v>628</v>
      </c>
      <c r="B102" s="64">
        <v>4.8899999999999997</v>
      </c>
      <c r="C102" s="64">
        <v>10.83</v>
      </c>
      <c r="D102" s="64">
        <v>9.58</v>
      </c>
      <c r="E102" s="64">
        <v>4.71</v>
      </c>
      <c r="F102" s="64">
        <v>9.4600000000000009</v>
      </c>
      <c r="G102" s="64">
        <v>58.74</v>
      </c>
      <c r="H102" s="64">
        <v>13.01</v>
      </c>
      <c r="I102" s="64">
        <v>2.04</v>
      </c>
      <c r="J102" s="64">
        <v>0.04</v>
      </c>
      <c r="K102" s="64">
        <v>160.28</v>
      </c>
      <c r="L102" s="64">
        <v>25.76</v>
      </c>
      <c r="M102" s="64">
        <v>98.2</v>
      </c>
      <c r="N102" s="64">
        <v>80.3</v>
      </c>
      <c r="O102" s="64">
        <v>0</v>
      </c>
      <c r="P102" s="64">
        <v>0.23</v>
      </c>
      <c r="Q102" s="64">
        <v>9.1999999999999993</v>
      </c>
      <c r="R102" s="198"/>
      <c r="S102" s="198"/>
      <c r="T102" s="198"/>
      <c r="U102" s="198"/>
    </row>
    <row r="103" spans="1:33" s="12" customFormat="1" x14ac:dyDescent="0.25">
      <c r="A103" s="212" t="s">
        <v>629</v>
      </c>
      <c r="B103" s="64">
        <v>5.49</v>
      </c>
      <c r="C103" s="64">
        <v>10.32</v>
      </c>
      <c r="D103" s="64">
        <v>9.7899999999999991</v>
      </c>
      <c r="E103" s="64">
        <v>4.8600000000000003</v>
      </c>
      <c r="F103" s="64">
        <v>10.11</v>
      </c>
      <c r="G103" s="64">
        <v>58.74</v>
      </c>
      <c r="H103" s="64">
        <v>13.01</v>
      </c>
      <c r="I103" s="64">
        <v>2.04</v>
      </c>
      <c r="J103" s="64">
        <v>0.05</v>
      </c>
      <c r="K103" s="64">
        <v>337.73</v>
      </c>
      <c r="L103" s="64">
        <v>25.72</v>
      </c>
      <c r="M103" s="64">
        <v>98.22</v>
      </c>
      <c r="N103" s="64">
        <v>80.599999999999994</v>
      </c>
      <c r="O103" s="64">
        <v>0</v>
      </c>
      <c r="P103" s="64">
        <v>0.24</v>
      </c>
      <c r="Q103" s="64">
        <v>9.2100000000000009</v>
      </c>
      <c r="R103" s="198"/>
      <c r="S103" s="198"/>
      <c r="T103" s="198"/>
      <c r="U103" s="198"/>
    </row>
    <row r="104" spans="1:33" s="12" customFormat="1" x14ac:dyDescent="0.25">
      <c r="A104" s="212" t="s">
        <v>630</v>
      </c>
      <c r="B104" s="64">
        <v>5.18</v>
      </c>
      <c r="C104" s="64">
        <v>9.57</v>
      </c>
      <c r="D104" s="64">
        <v>9.15</v>
      </c>
      <c r="E104" s="64">
        <v>5.15</v>
      </c>
      <c r="F104" s="64">
        <v>10.58</v>
      </c>
      <c r="G104" s="64">
        <v>58.74</v>
      </c>
      <c r="H104" s="64">
        <v>13.01</v>
      </c>
      <c r="I104" s="64">
        <v>2.02</v>
      </c>
      <c r="J104" s="64">
        <v>0.05</v>
      </c>
      <c r="K104" s="64">
        <v>4.5999999999999996</v>
      </c>
      <c r="L104" s="64">
        <v>25.65</v>
      </c>
      <c r="M104" s="64">
        <v>98.25</v>
      </c>
      <c r="N104" s="64">
        <v>81.900000000000006</v>
      </c>
      <c r="O104" s="64">
        <v>0</v>
      </c>
      <c r="P104" s="64">
        <v>0.22</v>
      </c>
      <c r="Q104" s="64">
        <v>9.2100000000000009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4.62</v>
      </c>
      <c r="C106" s="67">
        <f>MIN(C9:C104)</f>
        <v>6.37</v>
      </c>
      <c r="D106" s="67">
        <f t="shared" ref="D106:Q106" si="0">MIN(D9:D104)</f>
        <v>8.9</v>
      </c>
      <c r="E106" s="67">
        <f t="shared" si="0"/>
        <v>3.87</v>
      </c>
      <c r="F106" s="67">
        <f t="shared" si="0"/>
        <v>5.94</v>
      </c>
      <c r="G106" s="67">
        <f t="shared" si="0"/>
        <v>2</v>
      </c>
      <c r="H106" s="67">
        <f t="shared" si="0"/>
        <v>1</v>
      </c>
      <c r="I106" s="67">
        <f t="shared" si="0"/>
        <v>1.29</v>
      </c>
      <c r="J106" s="67">
        <f t="shared" si="0"/>
        <v>0</v>
      </c>
      <c r="K106" s="67">
        <f t="shared" si="0"/>
        <v>4.5999999999999996</v>
      </c>
      <c r="L106" s="67">
        <f t="shared" si="0"/>
        <v>25.34</v>
      </c>
      <c r="M106" s="67">
        <f t="shared" si="0"/>
        <v>71.319999999999993</v>
      </c>
      <c r="N106" s="67">
        <f t="shared" si="0"/>
        <v>50.4</v>
      </c>
      <c r="O106" s="67">
        <f t="shared" si="0"/>
        <v>0</v>
      </c>
      <c r="P106" s="67">
        <f t="shared" si="0"/>
        <v>0.05</v>
      </c>
      <c r="Q106" s="67">
        <f t="shared" si="0"/>
        <v>8.98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14.48</v>
      </c>
      <c r="C107" s="66">
        <f t="shared" ref="C107:Q107" si="1">MAX(C9:C104)</f>
        <v>27.9</v>
      </c>
      <c r="D107" s="66">
        <f t="shared" si="1"/>
        <v>22.89</v>
      </c>
      <c r="E107" s="66">
        <f t="shared" si="1"/>
        <v>5.74</v>
      </c>
      <c r="F107" s="66">
        <f t="shared" si="1"/>
        <v>16.920000000000002</v>
      </c>
      <c r="G107" s="66">
        <f t="shared" si="1"/>
        <v>120.01</v>
      </c>
      <c r="H107" s="66">
        <f t="shared" si="1"/>
        <v>25.37</v>
      </c>
      <c r="I107" s="66">
        <f t="shared" si="1"/>
        <v>2.73</v>
      </c>
      <c r="J107" s="66">
        <f t="shared" si="1"/>
        <v>1.1000000000000001</v>
      </c>
      <c r="K107" s="66">
        <f t="shared" si="1"/>
        <v>340.47</v>
      </c>
      <c r="L107" s="66">
        <f t="shared" si="1"/>
        <v>31.13</v>
      </c>
      <c r="M107" s="66">
        <f t="shared" si="1"/>
        <v>98.25</v>
      </c>
      <c r="N107" s="66">
        <f t="shared" si="1"/>
        <v>525</v>
      </c>
      <c r="O107" s="66">
        <f t="shared" si="1"/>
        <v>0</v>
      </c>
      <c r="P107" s="66">
        <f t="shared" si="1"/>
        <v>1.78</v>
      </c>
      <c r="Q107" s="66">
        <f t="shared" si="1"/>
        <v>9.65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7.926562500000002</v>
      </c>
      <c r="C108" s="67">
        <f t="shared" ref="C108:Q108" si="2">AVERAGE(C9:C104)</f>
        <v>14.038958333333333</v>
      </c>
      <c r="D108" s="67">
        <f t="shared" si="2"/>
        <v>13.702916666666676</v>
      </c>
      <c r="E108" s="67">
        <f t="shared" si="2"/>
        <v>4.8317708333333318</v>
      </c>
      <c r="F108" s="67">
        <f t="shared" si="2"/>
        <v>9.7668750000000024</v>
      </c>
      <c r="G108" s="67">
        <f t="shared" si="2"/>
        <v>66.019247311827982</v>
      </c>
      <c r="H108" s="67">
        <f t="shared" si="2"/>
        <v>12.733225806451614</v>
      </c>
      <c r="I108" s="67">
        <f t="shared" si="2"/>
        <v>1.885</v>
      </c>
      <c r="J108" s="67">
        <f t="shared" si="2"/>
        <v>0.12177083333333333</v>
      </c>
      <c r="K108" s="67">
        <f t="shared" si="2"/>
        <v>221.24072916666668</v>
      </c>
      <c r="L108" s="67">
        <f t="shared" si="2"/>
        <v>27.511979166666663</v>
      </c>
      <c r="M108" s="67">
        <f t="shared" si="2"/>
        <v>92.164062500000014</v>
      </c>
      <c r="N108" s="67">
        <f t="shared" si="2"/>
        <v>163.33854166666669</v>
      </c>
      <c r="O108" s="67">
        <f t="shared" si="2"/>
        <v>0</v>
      </c>
      <c r="P108" s="67">
        <f t="shared" si="2"/>
        <v>0.4060416666666668</v>
      </c>
      <c r="Q108" s="67">
        <f t="shared" si="2"/>
        <v>9.2616666666666685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2.5188246332158024</v>
      </c>
      <c r="C109" s="67">
        <f t="shared" ref="C109:Q109" si="3">STDEV(C9:C104)</f>
        <v>4.5314634511128853</v>
      </c>
      <c r="D109" s="67">
        <f t="shared" si="3"/>
        <v>3.0951578198573664</v>
      </c>
      <c r="E109" s="67">
        <f t="shared" si="3"/>
        <v>0.3218695217554588</v>
      </c>
      <c r="F109" s="67">
        <f t="shared" si="3"/>
        <v>2.4018126104651474</v>
      </c>
      <c r="G109" s="67">
        <f t="shared" si="3"/>
        <v>26.357897803148386</v>
      </c>
      <c r="H109" s="67">
        <f t="shared" si="3"/>
        <v>6.9496174685608914</v>
      </c>
      <c r="I109" s="67">
        <f t="shared" si="3"/>
        <v>0.43032423516276969</v>
      </c>
      <c r="J109" s="67">
        <f t="shared" si="3"/>
        <v>0.13334557235494049</v>
      </c>
      <c r="K109" s="67">
        <f t="shared" si="3"/>
        <v>72.200993917124165</v>
      </c>
      <c r="L109" s="67">
        <f t="shared" si="3"/>
        <v>1.7900365299369649</v>
      </c>
      <c r="M109" s="67">
        <f t="shared" si="3"/>
        <v>8.0338841072475162</v>
      </c>
      <c r="N109" s="67">
        <f t="shared" si="3"/>
        <v>122.54469463470872</v>
      </c>
      <c r="O109" s="67">
        <f t="shared" si="3"/>
        <v>0</v>
      </c>
      <c r="P109" s="67">
        <f t="shared" si="3"/>
        <v>0.28061391032282518</v>
      </c>
      <c r="Q109" s="67">
        <f t="shared" si="3"/>
        <v>0.20268547927459407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216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F13" sqref="F1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05/08/2025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2" t="s">
        <v>631</v>
      </c>
      <c r="B9" s="64">
        <v>5.32</v>
      </c>
      <c r="C9" s="64">
        <v>10.220000000000001</v>
      </c>
      <c r="D9" s="64">
        <v>9.61</v>
      </c>
      <c r="E9" s="64">
        <v>5.0999999999999996</v>
      </c>
      <c r="F9" s="64">
        <v>10.31</v>
      </c>
      <c r="G9" s="64">
        <v>55.33</v>
      </c>
      <c r="H9" s="64">
        <v>11.65</v>
      </c>
      <c r="I9" s="64">
        <v>2</v>
      </c>
      <c r="J9" s="64">
        <v>0.03</v>
      </c>
      <c r="K9" s="64">
        <v>277.88</v>
      </c>
      <c r="L9" s="64">
        <v>25.63</v>
      </c>
      <c r="M9" s="64">
        <v>98.27</v>
      </c>
      <c r="N9" s="64">
        <v>83.7</v>
      </c>
      <c r="O9" s="64">
        <v>0</v>
      </c>
      <c r="P9" s="64">
        <v>0.22</v>
      </c>
      <c r="Q9" s="64">
        <v>9.1999999999999993</v>
      </c>
      <c r="R9" s="198"/>
      <c r="S9" s="198"/>
      <c r="T9" s="198"/>
      <c r="U9" s="198"/>
    </row>
    <row r="10" spans="1:21" s="12" customFormat="1" x14ac:dyDescent="0.25">
      <c r="A10" s="212" t="s">
        <v>632</v>
      </c>
      <c r="B10" s="64">
        <v>7.18</v>
      </c>
      <c r="C10" s="64">
        <v>10.84</v>
      </c>
      <c r="D10" s="64">
        <v>11.42</v>
      </c>
      <c r="E10" s="64">
        <v>4.95</v>
      </c>
      <c r="F10" s="64">
        <v>7.38</v>
      </c>
      <c r="G10" s="64">
        <v>51.26</v>
      </c>
      <c r="H10" s="64">
        <v>9.23</v>
      </c>
      <c r="I10" s="64">
        <v>1.96</v>
      </c>
      <c r="J10" s="64">
        <v>0.06</v>
      </c>
      <c r="K10" s="64">
        <v>279.33999999999997</v>
      </c>
      <c r="L10" s="64">
        <v>25.71</v>
      </c>
      <c r="M10" s="64">
        <v>98.27</v>
      </c>
      <c r="N10" s="64">
        <v>84.5</v>
      </c>
      <c r="O10" s="64">
        <v>0</v>
      </c>
      <c r="P10" s="64">
        <v>0.34</v>
      </c>
      <c r="Q10" s="64">
        <v>9.19</v>
      </c>
      <c r="R10" s="198"/>
      <c r="S10" s="198"/>
      <c r="T10" s="198"/>
      <c r="U10" s="198"/>
    </row>
    <row r="11" spans="1:21" s="12" customFormat="1" x14ac:dyDescent="0.25">
      <c r="A11" s="212" t="s">
        <v>633</v>
      </c>
      <c r="B11" s="64">
        <v>6.59</v>
      </c>
      <c r="C11" s="64">
        <v>8.5</v>
      </c>
      <c r="D11" s="64">
        <v>9.73</v>
      </c>
      <c r="E11" s="64">
        <v>4.97</v>
      </c>
      <c r="F11" s="64">
        <v>9.43</v>
      </c>
      <c r="G11" s="64">
        <v>51.26</v>
      </c>
      <c r="H11" s="64">
        <v>9.23</v>
      </c>
      <c r="I11" s="64">
        <v>1.92</v>
      </c>
      <c r="J11" s="64">
        <v>0.05</v>
      </c>
      <c r="K11" s="64">
        <v>328.35</v>
      </c>
      <c r="L11" s="64">
        <v>25.69</v>
      </c>
      <c r="M11" s="64">
        <v>98.25</v>
      </c>
      <c r="N11" s="64">
        <v>86.3</v>
      </c>
      <c r="O11" s="64">
        <v>0</v>
      </c>
      <c r="P11" s="64">
        <v>0.28000000000000003</v>
      </c>
      <c r="Q11" s="64">
        <v>9.18</v>
      </c>
      <c r="R11" s="198"/>
      <c r="S11" s="198"/>
      <c r="T11" s="198"/>
      <c r="U11" s="198"/>
    </row>
    <row r="12" spans="1:21" s="12" customFormat="1" x14ac:dyDescent="0.25">
      <c r="A12" s="212" t="s">
        <v>634</v>
      </c>
      <c r="B12" s="64">
        <v>5.83</v>
      </c>
      <c r="C12" s="64">
        <v>9.73</v>
      </c>
      <c r="D12" s="64">
        <v>9.76</v>
      </c>
      <c r="E12" s="64">
        <v>5.09</v>
      </c>
      <c r="F12" s="64">
        <v>9.49</v>
      </c>
      <c r="G12" s="64">
        <v>51.26</v>
      </c>
      <c r="H12" s="64">
        <v>9.23</v>
      </c>
      <c r="I12" s="64">
        <v>1.87</v>
      </c>
      <c r="J12" s="64">
        <v>0.05</v>
      </c>
      <c r="K12" s="64">
        <v>301.89999999999998</v>
      </c>
      <c r="L12" s="64">
        <v>25.58</v>
      </c>
      <c r="M12" s="64">
        <v>98.26</v>
      </c>
      <c r="N12" s="64">
        <v>84.1</v>
      </c>
      <c r="O12" s="64">
        <v>0</v>
      </c>
      <c r="P12" s="64">
        <v>0.27</v>
      </c>
      <c r="Q12" s="64">
        <v>9.17</v>
      </c>
      <c r="R12" s="198"/>
      <c r="S12" s="198"/>
      <c r="T12" s="198"/>
      <c r="U12" s="198"/>
    </row>
    <row r="13" spans="1:21" s="12" customFormat="1" x14ac:dyDescent="0.25">
      <c r="A13" s="212" t="s">
        <v>635</v>
      </c>
      <c r="B13" s="64">
        <v>5.28</v>
      </c>
      <c r="C13" s="64">
        <v>8.57</v>
      </c>
      <c r="D13" s="64">
        <v>8.7100000000000009</v>
      </c>
      <c r="E13" s="64">
        <v>4.91</v>
      </c>
      <c r="F13" s="64">
        <v>11.5</v>
      </c>
      <c r="G13" s="64">
        <v>51.5</v>
      </c>
      <c r="H13" s="64">
        <v>7.81</v>
      </c>
      <c r="I13" s="64">
        <v>1.82</v>
      </c>
      <c r="J13" s="64">
        <v>0.04</v>
      </c>
      <c r="K13" s="64">
        <v>304.54000000000002</v>
      </c>
      <c r="L13" s="64">
        <v>25.52</v>
      </c>
      <c r="M13" s="64">
        <v>98.29</v>
      </c>
      <c r="N13" s="64">
        <v>84</v>
      </c>
      <c r="O13" s="64">
        <v>0</v>
      </c>
      <c r="P13" s="64">
        <v>0.18</v>
      </c>
      <c r="Q13" s="64">
        <v>9.16</v>
      </c>
      <c r="R13" s="198"/>
      <c r="S13" s="198"/>
      <c r="T13" s="198"/>
      <c r="U13" s="198"/>
    </row>
    <row r="14" spans="1:21" s="12" customFormat="1" x14ac:dyDescent="0.25">
      <c r="A14" s="212" t="s">
        <v>636</v>
      </c>
      <c r="B14" s="64">
        <v>4.82</v>
      </c>
      <c r="C14" s="64">
        <v>9.35</v>
      </c>
      <c r="D14" s="64">
        <v>8.75</v>
      </c>
      <c r="E14" s="64">
        <v>4.9000000000000004</v>
      </c>
      <c r="F14" s="64">
        <v>11.28</v>
      </c>
      <c r="G14" s="64">
        <v>51.78</v>
      </c>
      <c r="H14" s="64">
        <v>6.58</v>
      </c>
      <c r="I14" s="64">
        <v>1.89</v>
      </c>
      <c r="J14" s="64">
        <v>0.13</v>
      </c>
      <c r="K14" s="64">
        <v>144.18</v>
      </c>
      <c r="L14" s="64">
        <v>25.4</v>
      </c>
      <c r="M14" s="64">
        <v>98.31</v>
      </c>
      <c r="N14" s="64">
        <v>83.5</v>
      </c>
      <c r="O14" s="64">
        <v>0</v>
      </c>
      <c r="P14" s="64">
        <v>0.2</v>
      </c>
      <c r="Q14" s="64">
        <v>9.16</v>
      </c>
      <c r="R14" s="198"/>
      <c r="S14" s="198"/>
      <c r="T14" s="198"/>
      <c r="U14" s="198"/>
    </row>
    <row r="15" spans="1:21" s="12" customFormat="1" x14ac:dyDescent="0.25">
      <c r="A15" s="212" t="s">
        <v>637</v>
      </c>
      <c r="B15" s="64">
        <v>4.07</v>
      </c>
      <c r="C15" s="64">
        <v>9.06</v>
      </c>
      <c r="D15" s="64">
        <v>8</v>
      </c>
      <c r="E15" s="64">
        <v>4.95</v>
      </c>
      <c r="F15" s="64">
        <v>12.12</v>
      </c>
      <c r="G15" s="64">
        <v>51.78</v>
      </c>
      <c r="H15" s="64">
        <v>6.58</v>
      </c>
      <c r="I15" s="64">
        <v>1.82</v>
      </c>
      <c r="J15" s="64">
        <v>0.02</v>
      </c>
      <c r="K15" s="64">
        <v>67.92</v>
      </c>
      <c r="L15" s="64">
        <v>25.13</v>
      </c>
      <c r="M15" s="64">
        <v>98.42</v>
      </c>
      <c r="N15" s="64">
        <v>79.8</v>
      </c>
      <c r="O15" s="64">
        <v>0</v>
      </c>
      <c r="P15" s="64">
        <v>0.14000000000000001</v>
      </c>
      <c r="Q15" s="64">
        <v>9.15</v>
      </c>
      <c r="R15" s="198"/>
      <c r="S15" s="198"/>
      <c r="T15" s="198"/>
      <c r="U15" s="198"/>
    </row>
    <row r="16" spans="1:21" s="12" customFormat="1" x14ac:dyDescent="0.25">
      <c r="A16" s="212" t="s">
        <v>638</v>
      </c>
      <c r="B16" s="64">
        <v>4.05</v>
      </c>
      <c r="C16" s="64">
        <v>9.98</v>
      </c>
      <c r="D16" s="64">
        <v>8.4600000000000009</v>
      </c>
      <c r="E16" s="64">
        <v>4.84</v>
      </c>
      <c r="F16" s="64">
        <v>11.79</v>
      </c>
      <c r="G16" s="64">
        <v>51.78</v>
      </c>
      <c r="H16" s="64">
        <v>6.58</v>
      </c>
      <c r="I16" s="64">
        <v>1.81</v>
      </c>
      <c r="J16" s="64">
        <v>0.05</v>
      </c>
      <c r="K16" s="64">
        <v>261.5</v>
      </c>
      <c r="L16" s="64">
        <v>25.04</v>
      </c>
      <c r="M16" s="64">
        <v>98.36</v>
      </c>
      <c r="N16" s="64">
        <v>77.7</v>
      </c>
      <c r="O16" s="64">
        <v>0</v>
      </c>
      <c r="P16" s="64">
        <v>0.15</v>
      </c>
      <c r="Q16" s="64">
        <v>9.1300000000000008</v>
      </c>
      <c r="R16" s="198"/>
      <c r="S16" s="198"/>
      <c r="T16" s="198"/>
      <c r="U16" s="198"/>
    </row>
    <row r="17" spans="1:21" s="12" customFormat="1" x14ac:dyDescent="0.25">
      <c r="A17" s="212" t="s">
        <v>639</v>
      </c>
      <c r="B17" s="64">
        <v>4.34</v>
      </c>
      <c r="C17" s="64">
        <v>9.5</v>
      </c>
      <c r="D17" s="64">
        <v>8.44</v>
      </c>
      <c r="E17" s="64">
        <v>4.72</v>
      </c>
      <c r="F17" s="64">
        <v>11.29</v>
      </c>
      <c r="G17" s="64">
        <v>49.17</v>
      </c>
      <c r="H17" s="64">
        <v>11.38</v>
      </c>
      <c r="I17" s="64">
        <v>1.74</v>
      </c>
      <c r="J17" s="64">
        <v>0.01</v>
      </c>
      <c r="K17" s="64">
        <v>313.08999999999997</v>
      </c>
      <c r="L17" s="64">
        <v>25.09</v>
      </c>
      <c r="M17" s="64">
        <v>98.21</v>
      </c>
      <c r="N17" s="64">
        <v>78.099999999999994</v>
      </c>
      <c r="O17" s="64">
        <v>0</v>
      </c>
      <c r="P17" s="64">
        <v>0.17</v>
      </c>
      <c r="Q17" s="64">
        <v>9.1199999999999992</v>
      </c>
      <c r="R17" s="198"/>
      <c r="S17" s="198"/>
      <c r="T17" s="198"/>
      <c r="U17" s="198"/>
    </row>
    <row r="18" spans="1:21" s="12" customFormat="1" x14ac:dyDescent="0.25">
      <c r="A18" s="212" t="s">
        <v>640</v>
      </c>
      <c r="B18" s="64">
        <v>4.9800000000000004</v>
      </c>
      <c r="C18" s="64">
        <v>7.88</v>
      </c>
      <c r="D18" s="64">
        <v>8.11</v>
      </c>
      <c r="E18" s="64">
        <v>5.22</v>
      </c>
      <c r="F18" s="64">
        <v>10.94</v>
      </c>
      <c r="G18" s="64">
        <v>46.05</v>
      </c>
      <c r="H18" s="64">
        <v>17.13</v>
      </c>
      <c r="I18" s="64">
        <v>1.71</v>
      </c>
      <c r="J18" s="64">
        <v>0.01</v>
      </c>
      <c r="K18" s="64">
        <v>111.21</v>
      </c>
      <c r="L18" s="64">
        <v>24.98</v>
      </c>
      <c r="M18" s="64">
        <v>97.89</v>
      </c>
      <c r="N18" s="64">
        <v>78.599999999999994</v>
      </c>
      <c r="O18" s="64">
        <v>0</v>
      </c>
      <c r="P18" s="64">
        <v>0.2</v>
      </c>
      <c r="Q18" s="64">
        <v>9.11</v>
      </c>
      <c r="R18" s="198"/>
      <c r="S18" s="198"/>
      <c r="T18" s="198"/>
      <c r="U18" s="198"/>
    </row>
    <row r="19" spans="1:21" s="12" customFormat="1" x14ac:dyDescent="0.25">
      <c r="A19" s="212" t="s">
        <v>641</v>
      </c>
      <c r="B19" s="64">
        <v>4.2</v>
      </c>
      <c r="C19" s="64">
        <v>8.57</v>
      </c>
      <c r="D19" s="64">
        <v>7.85</v>
      </c>
      <c r="E19" s="64">
        <v>4.8600000000000003</v>
      </c>
      <c r="F19" s="64">
        <v>11.8</v>
      </c>
      <c r="G19" s="64">
        <v>46.05</v>
      </c>
      <c r="H19" s="64">
        <v>17.13</v>
      </c>
      <c r="I19" s="64">
        <v>1.75</v>
      </c>
      <c r="J19" s="64">
        <v>0.05</v>
      </c>
      <c r="K19" s="64">
        <v>33.299999999999997</v>
      </c>
      <c r="L19" s="64">
        <v>24.84</v>
      </c>
      <c r="M19" s="64">
        <v>97.92</v>
      </c>
      <c r="N19" s="64">
        <v>80</v>
      </c>
      <c r="O19" s="64">
        <v>0</v>
      </c>
      <c r="P19" s="64">
        <v>0.13</v>
      </c>
      <c r="Q19" s="64">
        <v>9.1199999999999992</v>
      </c>
      <c r="R19" s="198"/>
      <c r="S19" s="198"/>
      <c r="T19" s="198"/>
      <c r="U19" s="198"/>
    </row>
    <row r="20" spans="1:21" s="12" customFormat="1" x14ac:dyDescent="0.25">
      <c r="A20" s="212" t="s">
        <v>642</v>
      </c>
      <c r="B20" s="64">
        <v>4.6900000000000004</v>
      </c>
      <c r="C20" s="64">
        <v>8.61</v>
      </c>
      <c r="D20" s="64">
        <v>8.26</v>
      </c>
      <c r="E20" s="64">
        <v>5.09</v>
      </c>
      <c r="F20" s="64">
        <v>11.02</v>
      </c>
      <c r="G20" s="64">
        <v>46.05</v>
      </c>
      <c r="H20" s="64">
        <v>17.13</v>
      </c>
      <c r="I20" s="64">
        <v>1.73</v>
      </c>
      <c r="J20" s="64">
        <v>0.06</v>
      </c>
      <c r="K20" s="64">
        <v>193.5</v>
      </c>
      <c r="L20" s="64">
        <v>24.83</v>
      </c>
      <c r="M20" s="64">
        <v>97.88</v>
      </c>
      <c r="N20" s="64">
        <v>83</v>
      </c>
      <c r="O20" s="64">
        <v>0</v>
      </c>
      <c r="P20" s="64">
        <v>0.18</v>
      </c>
      <c r="Q20" s="64">
        <v>9.1199999999999992</v>
      </c>
      <c r="R20" s="198"/>
      <c r="S20" s="198"/>
      <c r="T20" s="198"/>
      <c r="U20" s="198"/>
    </row>
    <row r="21" spans="1:21" s="12" customFormat="1" x14ac:dyDescent="0.25">
      <c r="A21" s="212" t="s">
        <v>643</v>
      </c>
      <c r="B21" s="64">
        <v>4.71</v>
      </c>
      <c r="C21" s="64">
        <v>8.2899999999999991</v>
      </c>
      <c r="D21" s="64">
        <v>8.11</v>
      </c>
      <c r="E21" s="64">
        <v>4.87</v>
      </c>
      <c r="F21" s="64">
        <v>10.74</v>
      </c>
      <c r="G21" s="64">
        <v>47.32</v>
      </c>
      <c r="H21" s="64">
        <v>14.61</v>
      </c>
      <c r="I21" s="64">
        <v>1.69</v>
      </c>
      <c r="J21" s="64">
        <v>0.11</v>
      </c>
      <c r="K21" s="64">
        <v>182.59</v>
      </c>
      <c r="L21" s="64">
        <v>24.79</v>
      </c>
      <c r="M21" s="64">
        <v>97.88</v>
      </c>
      <c r="N21" s="64">
        <v>80.2</v>
      </c>
      <c r="O21" s="64">
        <v>0</v>
      </c>
      <c r="P21" s="64">
        <v>0.17</v>
      </c>
      <c r="Q21" s="64">
        <v>9.14</v>
      </c>
      <c r="R21" s="198"/>
      <c r="S21" s="198"/>
      <c r="T21" s="198"/>
      <c r="U21" s="198"/>
    </row>
    <row r="22" spans="1:21" s="12" customFormat="1" x14ac:dyDescent="0.25">
      <c r="A22" s="212" t="s">
        <v>644</v>
      </c>
      <c r="B22" s="64">
        <v>4.51</v>
      </c>
      <c r="C22" s="64">
        <v>8.15</v>
      </c>
      <c r="D22" s="64">
        <v>7.87</v>
      </c>
      <c r="E22" s="64">
        <v>5.09</v>
      </c>
      <c r="F22" s="64">
        <v>10.31</v>
      </c>
      <c r="G22" s="64">
        <v>48.83</v>
      </c>
      <c r="H22" s="64">
        <v>11.61</v>
      </c>
      <c r="I22" s="64">
        <v>1.64</v>
      </c>
      <c r="J22" s="64">
        <v>0.05</v>
      </c>
      <c r="K22" s="64">
        <v>344.17</v>
      </c>
      <c r="L22" s="64">
        <v>24.71</v>
      </c>
      <c r="M22" s="64">
        <v>97.89</v>
      </c>
      <c r="N22" s="64">
        <v>80.599999999999994</v>
      </c>
      <c r="O22" s="64">
        <v>0</v>
      </c>
      <c r="P22" s="64">
        <v>0.16</v>
      </c>
      <c r="Q22" s="64">
        <v>9.16</v>
      </c>
      <c r="R22" s="198"/>
      <c r="S22" s="198"/>
      <c r="T22" s="198"/>
      <c r="U22" s="198"/>
    </row>
    <row r="23" spans="1:21" s="12" customFormat="1" x14ac:dyDescent="0.25">
      <c r="A23" s="212" t="s">
        <v>645</v>
      </c>
      <c r="B23" s="64">
        <v>4.6500000000000004</v>
      </c>
      <c r="C23" s="64">
        <v>8.68</v>
      </c>
      <c r="D23" s="64">
        <v>8.27</v>
      </c>
      <c r="E23" s="64">
        <v>5.28</v>
      </c>
      <c r="F23" s="64">
        <v>9.66</v>
      </c>
      <c r="G23" s="64">
        <v>48.83</v>
      </c>
      <c r="H23" s="64">
        <v>11.61</v>
      </c>
      <c r="I23" s="64">
        <v>1.6</v>
      </c>
      <c r="J23" s="64">
        <v>0.05</v>
      </c>
      <c r="K23" s="64">
        <v>197.88</v>
      </c>
      <c r="L23" s="64">
        <v>24.6</v>
      </c>
      <c r="M23" s="64">
        <v>97.9</v>
      </c>
      <c r="N23" s="64">
        <v>82.6</v>
      </c>
      <c r="O23" s="64">
        <v>0</v>
      </c>
      <c r="P23" s="64">
        <v>0.17</v>
      </c>
      <c r="Q23" s="64">
        <v>9.15</v>
      </c>
      <c r="R23" s="198"/>
      <c r="S23" s="198"/>
      <c r="T23" s="198"/>
      <c r="U23" s="198"/>
    </row>
    <row r="24" spans="1:21" s="12" customFormat="1" x14ac:dyDescent="0.25">
      <c r="A24" s="212" t="s">
        <v>646</v>
      </c>
      <c r="B24" s="64">
        <v>5.07</v>
      </c>
      <c r="C24" s="64">
        <v>10.26</v>
      </c>
      <c r="D24" s="64">
        <v>9.43</v>
      </c>
      <c r="E24" s="64">
        <v>4.97</v>
      </c>
      <c r="F24" s="64">
        <v>8.52</v>
      </c>
      <c r="G24" s="64">
        <v>48.83</v>
      </c>
      <c r="H24" s="64">
        <v>11.61</v>
      </c>
      <c r="I24" s="64">
        <v>1.59</v>
      </c>
      <c r="J24" s="64">
        <v>0.1</v>
      </c>
      <c r="K24" s="64">
        <v>199.06</v>
      </c>
      <c r="L24" s="64">
        <v>24.62</v>
      </c>
      <c r="M24" s="64">
        <v>97.89</v>
      </c>
      <c r="N24" s="64">
        <v>81.599999999999994</v>
      </c>
      <c r="O24" s="64">
        <v>0</v>
      </c>
      <c r="P24" s="64">
        <v>0.17</v>
      </c>
      <c r="Q24" s="64">
        <v>9.15</v>
      </c>
      <c r="R24" s="198"/>
      <c r="S24" s="198"/>
      <c r="T24" s="198"/>
      <c r="U24" s="198"/>
    </row>
    <row r="25" spans="1:21" s="12" customFormat="1" x14ac:dyDescent="0.25">
      <c r="A25" s="212" t="s">
        <v>647</v>
      </c>
      <c r="B25" s="64">
        <v>6.37</v>
      </c>
      <c r="C25" s="64">
        <v>11.45</v>
      </c>
      <c r="D25" s="64">
        <v>11.09</v>
      </c>
      <c r="E25" s="64">
        <v>4.84</v>
      </c>
      <c r="F25" s="64">
        <v>8.17</v>
      </c>
      <c r="G25" s="64">
        <v>47.1</v>
      </c>
      <c r="H25" s="64">
        <v>11.14</v>
      </c>
      <c r="I25" s="64">
        <v>1.57</v>
      </c>
      <c r="J25" s="64">
        <v>0.05</v>
      </c>
      <c r="K25" s="64">
        <v>191.6</v>
      </c>
      <c r="L25" s="64">
        <v>24.57</v>
      </c>
      <c r="M25" s="64">
        <v>97.88</v>
      </c>
      <c r="N25" s="64">
        <v>83.5</v>
      </c>
      <c r="O25" s="64">
        <v>0.2</v>
      </c>
      <c r="P25" s="64">
        <v>0.16</v>
      </c>
      <c r="Q25" s="64">
        <v>9.16</v>
      </c>
      <c r="R25" s="198"/>
      <c r="S25" s="198"/>
      <c r="T25" s="198"/>
      <c r="U25" s="198"/>
    </row>
    <row r="26" spans="1:21" s="12" customFormat="1" x14ac:dyDescent="0.25">
      <c r="A26" s="212" t="s">
        <v>648</v>
      </c>
      <c r="B26" s="64">
        <v>7.25</v>
      </c>
      <c r="C26" s="64">
        <v>12.66</v>
      </c>
      <c r="D26" s="64">
        <v>12.43</v>
      </c>
      <c r="E26" s="64">
        <v>5.01</v>
      </c>
      <c r="F26" s="64">
        <v>7.44</v>
      </c>
      <c r="G26" s="64">
        <v>45.02</v>
      </c>
      <c r="H26" s="64">
        <v>10.59</v>
      </c>
      <c r="I26" s="64">
        <v>1.54</v>
      </c>
      <c r="J26" s="64">
        <v>0.11</v>
      </c>
      <c r="K26" s="64">
        <v>169.53</v>
      </c>
      <c r="L26" s="64">
        <v>24.47</v>
      </c>
      <c r="M26" s="64">
        <v>97.94</v>
      </c>
      <c r="N26" s="64">
        <v>84.6</v>
      </c>
      <c r="O26" s="64">
        <v>0</v>
      </c>
      <c r="P26" s="64">
        <v>0.18</v>
      </c>
      <c r="Q26" s="64">
        <v>9.16</v>
      </c>
      <c r="R26" s="198"/>
      <c r="S26" s="198"/>
      <c r="T26" s="198"/>
      <c r="U26" s="198"/>
    </row>
    <row r="27" spans="1:21" s="12" customFormat="1" x14ac:dyDescent="0.25">
      <c r="A27" s="212" t="s">
        <v>649</v>
      </c>
      <c r="B27" s="64">
        <v>6.92</v>
      </c>
      <c r="C27" s="64">
        <v>10.78</v>
      </c>
      <c r="D27" s="64">
        <v>11.18</v>
      </c>
      <c r="E27" s="64">
        <v>4.9400000000000004</v>
      </c>
      <c r="F27" s="64">
        <v>8.15</v>
      </c>
      <c r="G27" s="64">
        <v>45.02</v>
      </c>
      <c r="H27" s="64">
        <v>10.59</v>
      </c>
      <c r="I27" s="64">
        <v>1.51</v>
      </c>
      <c r="J27" s="64">
        <v>0.1</v>
      </c>
      <c r="K27" s="64">
        <v>162.13</v>
      </c>
      <c r="L27" s="64">
        <v>24.42</v>
      </c>
      <c r="M27" s="64">
        <v>97.98</v>
      </c>
      <c r="N27" s="64">
        <v>84.5</v>
      </c>
      <c r="O27" s="64">
        <v>0</v>
      </c>
      <c r="P27" s="64">
        <v>0.18</v>
      </c>
      <c r="Q27" s="64">
        <v>9.18</v>
      </c>
      <c r="R27" s="198"/>
      <c r="S27" s="198"/>
      <c r="T27" s="198"/>
      <c r="U27" s="198"/>
    </row>
    <row r="28" spans="1:21" s="12" customFormat="1" x14ac:dyDescent="0.25">
      <c r="A28" s="212" t="s">
        <v>650</v>
      </c>
      <c r="B28" s="64">
        <v>6.19</v>
      </c>
      <c r="C28" s="64">
        <v>8.67</v>
      </c>
      <c r="D28" s="64">
        <v>9.49</v>
      </c>
      <c r="E28" s="64">
        <v>5.03</v>
      </c>
      <c r="F28" s="64">
        <v>7.91</v>
      </c>
      <c r="G28" s="64">
        <v>45.02</v>
      </c>
      <c r="H28" s="64">
        <v>10.59</v>
      </c>
      <c r="I28" s="64">
        <v>1.49</v>
      </c>
      <c r="J28" s="64">
        <v>7.0000000000000007E-2</v>
      </c>
      <c r="K28" s="64">
        <v>168.94</v>
      </c>
      <c r="L28" s="64">
        <v>24.41</v>
      </c>
      <c r="M28" s="64">
        <v>98</v>
      </c>
      <c r="N28" s="64">
        <v>84.9</v>
      </c>
      <c r="O28" s="64">
        <v>0</v>
      </c>
      <c r="P28" s="64">
        <v>0.21</v>
      </c>
      <c r="Q28" s="64">
        <v>9.18</v>
      </c>
      <c r="R28" s="198"/>
      <c r="S28" s="198"/>
      <c r="T28" s="198"/>
      <c r="U28" s="198"/>
    </row>
    <row r="29" spans="1:21" s="12" customFormat="1" x14ac:dyDescent="0.25">
      <c r="A29" s="212" t="s">
        <v>651</v>
      </c>
      <c r="B29" s="64">
        <v>6.11</v>
      </c>
      <c r="C29" s="64">
        <v>11.07</v>
      </c>
      <c r="D29" s="64">
        <v>10.69</v>
      </c>
      <c r="E29" s="64">
        <v>5.28</v>
      </c>
      <c r="F29" s="64">
        <v>7.78</v>
      </c>
      <c r="G29" s="64">
        <v>45.6</v>
      </c>
      <c r="H29" s="64">
        <v>10.59</v>
      </c>
      <c r="I29" s="64">
        <v>1.47</v>
      </c>
      <c r="J29" s="64">
        <v>0.01</v>
      </c>
      <c r="K29" s="64">
        <v>256.04000000000002</v>
      </c>
      <c r="L29" s="64">
        <v>24.41</v>
      </c>
      <c r="M29" s="64">
        <v>97.94</v>
      </c>
      <c r="N29" s="64">
        <v>90.5</v>
      </c>
      <c r="O29" s="64">
        <v>0</v>
      </c>
      <c r="P29" s="64">
        <v>0.17</v>
      </c>
      <c r="Q29" s="64">
        <v>9.16</v>
      </c>
      <c r="R29" s="198"/>
      <c r="S29" s="198"/>
      <c r="T29" s="198"/>
      <c r="U29" s="198"/>
    </row>
    <row r="30" spans="1:21" s="12" customFormat="1" x14ac:dyDescent="0.25">
      <c r="A30" s="212" t="s">
        <v>652</v>
      </c>
      <c r="B30" s="64">
        <v>5.8</v>
      </c>
      <c r="C30" s="64">
        <v>11.66</v>
      </c>
      <c r="D30" s="64">
        <v>10.74</v>
      </c>
      <c r="E30" s="64">
        <v>5.19</v>
      </c>
      <c r="F30" s="64">
        <v>8.59</v>
      </c>
      <c r="G30" s="64">
        <v>46.3</v>
      </c>
      <c r="H30" s="64">
        <v>10.59</v>
      </c>
      <c r="I30" s="64">
        <v>1.45</v>
      </c>
      <c r="J30" s="64">
        <v>0</v>
      </c>
      <c r="K30" s="64">
        <v>348.26</v>
      </c>
      <c r="L30" s="64">
        <v>24.4</v>
      </c>
      <c r="M30" s="64">
        <v>97.85</v>
      </c>
      <c r="N30" s="64">
        <v>92</v>
      </c>
      <c r="O30" s="64">
        <v>0</v>
      </c>
      <c r="P30" s="64">
        <v>0.2</v>
      </c>
      <c r="Q30" s="64">
        <v>9.16</v>
      </c>
      <c r="R30" s="198"/>
      <c r="S30" s="198"/>
      <c r="T30" s="198"/>
      <c r="U30" s="198"/>
    </row>
    <row r="31" spans="1:21" s="12" customFormat="1" x14ac:dyDescent="0.25">
      <c r="A31" s="212" t="s">
        <v>653</v>
      </c>
      <c r="B31" s="64">
        <v>5.23</v>
      </c>
      <c r="C31" s="64">
        <v>10.42</v>
      </c>
      <c r="D31" s="64">
        <v>9.64</v>
      </c>
      <c r="E31" s="64">
        <v>4.99</v>
      </c>
      <c r="F31" s="64">
        <v>8.9600000000000009</v>
      </c>
      <c r="G31" s="64">
        <v>46.3</v>
      </c>
      <c r="H31" s="64">
        <v>10.59</v>
      </c>
      <c r="I31" s="64">
        <v>1.43</v>
      </c>
      <c r="J31" s="64">
        <v>0.04</v>
      </c>
      <c r="K31" s="64">
        <v>214.37</v>
      </c>
      <c r="L31" s="64">
        <v>24.43</v>
      </c>
      <c r="M31" s="64">
        <v>97.85</v>
      </c>
      <c r="N31" s="64">
        <v>88.8</v>
      </c>
      <c r="O31" s="64">
        <v>0</v>
      </c>
      <c r="P31" s="64">
        <v>0.19</v>
      </c>
      <c r="Q31" s="64">
        <v>9.15</v>
      </c>
      <c r="R31" s="198"/>
      <c r="S31" s="198"/>
      <c r="T31" s="198"/>
      <c r="U31" s="198"/>
    </row>
    <row r="32" spans="1:21" s="12" customFormat="1" x14ac:dyDescent="0.25">
      <c r="A32" s="212" t="s">
        <v>654</v>
      </c>
      <c r="B32" s="64">
        <v>5.83</v>
      </c>
      <c r="C32" s="64">
        <v>12.62</v>
      </c>
      <c r="D32" s="64">
        <v>11.27</v>
      </c>
      <c r="E32" s="64">
        <v>4.7699999999999996</v>
      </c>
      <c r="F32" s="64">
        <v>7.57</v>
      </c>
      <c r="G32" s="64">
        <v>46.3</v>
      </c>
      <c r="H32" s="64">
        <v>10.59</v>
      </c>
      <c r="I32" s="64">
        <v>1.41</v>
      </c>
      <c r="J32" s="64">
        <v>0.06</v>
      </c>
      <c r="K32" s="64">
        <v>220.97</v>
      </c>
      <c r="L32" s="64">
        <v>24.49</v>
      </c>
      <c r="M32" s="64">
        <v>97.85</v>
      </c>
      <c r="N32" s="64">
        <v>102.7</v>
      </c>
      <c r="O32" s="64">
        <v>0</v>
      </c>
      <c r="P32" s="64">
        <v>0.21</v>
      </c>
      <c r="Q32" s="64">
        <v>9.14</v>
      </c>
      <c r="R32" s="198"/>
      <c r="S32" s="198"/>
      <c r="T32" s="198"/>
      <c r="U32" s="198"/>
    </row>
    <row r="33" spans="1:21" s="12" customFormat="1" x14ac:dyDescent="0.25">
      <c r="A33" s="212" t="s">
        <v>655</v>
      </c>
      <c r="B33" s="64">
        <v>5.7</v>
      </c>
      <c r="C33" s="64">
        <v>11.2</v>
      </c>
      <c r="D33" s="64">
        <v>10.42</v>
      </c>
      <c r="E33" s="64">
        <v>4.78</v>
      </c>
      <c r="F33" s="64">
        <v>8</v>
      </c>
      <c r="G33" s="64">
        <v>46.27</v>
      </c>
      <c r="H33" s="64">
        <v>11.19</v>
      </c>
      <c r="I33" s="64">
        <v>1.39</v>
      </c>
      <c r="J33" s="64">
        <v>0.04</v>
      </c>
      <c r="K33" s="64">
        <v>169.72</v>
      </c>
      <c r="L33" s="64">
        <v>24.69</v>
      </c>
      <c r="M33" s="64">
        <v>97.83</v>
      </c>
      <c r="N33" s="64">
        <v>121.5</v>
      </c>
      <c r="O33" s="64">
        <v>0</v>
      </c>
      <c r="P33" s="64">
        <v>0.23</v>
      </c>
      <c r="Q33" s="64">
        <v>9.14</v>
      </c>
      <c r="R33" s="198"/>
      <c r="S33" s="198"/>
      <c r="T33" s="198"/>
      <c r="U33" s="198"/>
    </row>
    <row r="34" spans="1:21" s="12" customFormat="1" x14ac:dyDescent="0.25">
      <c r="A34" s="212" t="s">
        <v>656</v>
      </c>
      <c r="B34" s="64">
        <v>6.5</v>
      </c>
      <c r="C34" s="64">
        <v>10.83</v>
      </c>
      <c r="D34" s="64">
        <v>10.88</v>
      </c>
      <c r="E34" s="64">
        <v>4.9000000000000004</v>
      </c>
      <c r="F34" s="64">
        <v>7.72</v>
      </c>
      <c r="G34" s="64">
        <v>46.23</v>
      </c>
      <c r="H34" s="64">
        <v>11.9</v>
      </c>
      <c r="I34" s="64">
        <v>1.39</v>
      </c>
      <c r="J34" s="64">
        <v>0.12</v>
      </c>
      <c r="K34" s="64">
        <v>196.29</v>
      </c>
      <c r="L34" s="64">
        <v>24.99</v>
      </c>
      <c r="M34" s="64">
        <v>97.8</v>
      </c>
      <c r="N34" s="64">
        <v>139.6</v>
      </c>
      <c r="O34" s="64">
        <v>0</v>
      </c>
      <c r="P34" s="64">
        <v>0.25</v>
      </c>
      <c r="Q34" s="64">
        <v>9.15</v>
      </c>
      <c r="R34" s="198"/>
      <c r="S34" s="198"/>
      <c r="T34" s="198"/>
      <c r="U34" s="198"/>
    </row>
    <row r="35" spans="1:21" s="12" customFormat="1" x14ac:dyDescent="0.25">
      <c r="A35" s="212" t="s">
        <v>657</v>
      </c>
      <c r="B35" s="64">
        <v>6.77</v>
      </c>
      <c r="C35" s="64">
        <v>9.98</v>
      </c>
      <c r="D35" s="64">
        <v>10.64</v>
      </c>
      <c r="E35" s="64">
        <v>4.82</v>
      </c>
      <c r="F35" s="64">
        <v>7.72</v>
      </c>
      <c r="G35" s="64">
        <v>46.23</v>
      </c>
      <c r="H35" s="64">
        <v>11.9</v>
      </c>
      <c r="I35" s="64">
        <v>1.38</v>
      </c>
      <c r="J35" s="64">
        <v>0.1</v>
      </c>
      <c r="K35" s="64">
        <v>142.15</v>
      </c>
      <c r="L35" s="64">
        <v>25.27</v>
      </c>
      <c r="M35" s="64">
        <v>97.8</v>
      </c>
      <c r="N35" s="64">
        <v>176.1</v>
      </c>
      <c r="O35" s="64">
        <v>0</v>
      </c>
      <c r="P35" s="64">
        <v>0.22</v>
      </c>
      <c r="Q35" s="64">
        <v>9.15</v>
      </c>
      <c r="R35" s="198"/>
      <c r="S35" s="198"/>
      <c r="T35" s="198"/>
      <c r="U35" s="198"/>
    </row>
    <row r="36" spans="1:21" s="12" customFormat="1" x14ac:dyDescent="0.25">
      <c r="A36" s="212" t="s">
        <v>658</v>
      </c>
      <c r="B36" s="64">
        <v>7.22</v>
      </c>
      <c r="C36" s="64">
        <v>13.77</v>
      </c>
      <c r="D36" s="64">
        <v>12.99</v>
      </c>
      <c r="E36" s="64">
        <v>5.0199999999999996</v>
      </c>
      <c r="F36" s="64">
        <v>7.46</v>
      </c>
      <c r="G36" s="64">
        <v>46.23</v>
      </c>
      <c r="H36" s="64">
        <v>11.9</v>
      </c>
      <c r="I36" s="64">
        <v>1.36</v>
      </c>
      <c r="J36" s="64">
        <v>0.23</v>
      </c>
      <c r="K36" s="64">
        <v>158.16</v>
      </c>
      <c r="L36" s="64">
        <v>25.65</v>
      </c>
      <c r="M36" s="64">
        <v>97.79</v>
      </c>
      <c r="N36" s="64">
        <v>229.6</v>
      </c>
      <c r="O36" s="64">
        <v>0</v>
      </c>
      <c r="P36" s="64">
        <v>0.23</v>
      </c>
      <c r="Q36" s="64">
        <v>9.14</v>
      </c>
      <c r="R36" s="198"/>
      <c r="S36" s="198"/>
      <c r="T36" s="198"/>
      <c r="U36" s="198"/>
    </row>
    <row r="37" spans="1:21" s="12" customFormat="1" x14ac:dyDescent="0.25">
      <c r="A37" s="212" t="s">
        <v>659</v>
      </c>
      <c r="B37" s="64">
        <v>7.54</v>
      </c>
      <c r="C37" s="64">
        <v>16.399999999999999</v>
      </c>
      <c r="D37" s="64">
        <v>14.61</v>
      </c>
      <c r="E37" s="64">
        <v>4.7</v>
      </c>
      <c r="F37" s="64">
        <v>9.32</v>
      </c>
      <c r="G37" s="64">
        <v>46.87</v>
      </c>
      <c r="H37" s="64">
        <v>10.4</v>
      </c>
      <c r="I37" s="64">
        <v>1.28</v>
      </c>
      <c r="J37" s="64">
        <v>0.16</v>
      </c>
      <c r="K37" s="64">
        <v>145.68</v>
      </c>
      <c r="L37" s="64">
        <v>26.37</v>
      </c>
      <c r="M37" s="64">
        <v>97.76</v>
      </c>
      <c r="N37" s="64">
        <v>276.8</v>
      </c>
      <c r="O37" s="64">
        <v>0</v>
      </c>
      <c r="P37" s="64">
        <v>0.25</v>
      </c>
      <c r="Q37" s="64">
        <v>9.14</v>
      </c>
      <c r="R37" s="198"/>
      <c r="S37" s="198"/>
      <c r="T37" s="198"/>
      <c r="U37" s="198"/>
    </row>
    <row r="38" spans="1:21" s="12" customFormat="1" x14ac:dyDescent="0.25">
      <c r="A38" s="212" t="s">
        <v>660</v>
      </c>
      <c r="B38" s="64">
        <v>7.85</v>
      </c>
      <c r="C38" s="64">
        <v>13.9</v>
      </c>
      <c r="D38" s="64">
        <v>13.55</v>
      </c>
      <c r="E38" s="64">
        <v>4.9400000000000004</v>
      </c>
      <c r="F38" s="64">
        <v>7.68</v>
      </c>
      <c r="G38" s="64">
        <v>47.63</v>
      </c>
      <c r="H38" s="64">
        <v>8.61</v>
      </c>
      <c r="I38" s="64">
        <v>1.29</v>
      </c>
      <c r="J38" s="64">
        <v>0.08</v>
      </c>
      <c r="K38" s="64">
        <v>276.39</v>
      </c>
      <c r="L38" s="64">
        <v>27.28</v>
      </c>
      <c r="M38" s="64">
        <v>97.7</v>
      </c>
      <c r="N38" s="64">
        <v>325.10000000000002</v>
      </c>
      <c r="O38" s="64">
        <v>0</v>
      </c>
      <c r="P38" s="64">
        <v>0.3</v>
      </c>
      <c r="Q38" s="64">
        <v>9.14</v>
      </c>
      <c r="R38" s="198"/>
      <c r="S38" s="198"/>
      <c r="T38" s="198"/>
      <c r="U38" s="198"/>
    </row>
    <row r="39" spans="1:21" s="12" customFormat="1" x14ac:dyDescent="0.25">
      <c r="A39" s="212" t="s">
        <v>661</v>
      </c>
      <c r="B39" s="64">
        <v>7.36</v>
      </c>
      <c r="C39" s="64">
        <v>10.61</v>
      </c>
      <c r="D39" s="64">
        <v>11.44</v>
      </c>
      <c r="E39" s="64">
        <v>5.18</v>
      </c>
      <c r="F39" s="64">
        <v>7.37</v>
      </c>
      <c r="G39" s="64">
        <v>47.63</v>
      </c>
      <c r="H39" s="64">
        <v>8.61</v>
      </c>
      <c r="I39" s="64">
        <v>1.32</v>
      </c>
      <c r="J39" s="64">
        <v>0.14000000000000001</v>
      </c>
      <c r="K39" s="64">
        <v>273.52</v>
      </c>
      <c r="L39" s="64">
        <v>28.07</v>
      </c>
      <c r="M39" s="64">
        <v>97.31</v>
      </c>
      <c r="N39" s="64">
        <v>381.3</v>
      </c>
      <c r="O39" s="64">
        <v>0</v>
      </c>
      <c r="P39" s="64">
        <v>0.33</v>
      </c>
      <c r="Q39" s="64">
        <v>9.14</v>
      </c>
      <c r="R39" s="198"/>
      <c r="S39" s="198"/>
      <c r="T39" s="198"/>
      <c r="U39" s="198"/>
    </row>
    <row r="40" spans="1:21" s="12" customFormat="1" x14ac:dyDescent="0.25">
      <c r="A40" s="212" t="s">
        <v>662</v>
      </c>
      <c r="B40" s="64">
        <v>9.75</v>
      </c>
      <c r="C40" s="64">
        <v>10.01</v>
      </c>
      <c r="D40" s="64">
        <v>13.05</v>
      </c>
      <c r="E40" s="64">
        <v>4.04</v>
      </c>
      <c r="F40" s="64">
        <v>9.67</v>
      </c>
      <c r="G40" s="64">
        <v>47.63</v>
      </c>
      <c r="H40" s="64">
        <v>8.61</v>
      </c>
      <c r="I40" s="64">
        <v>1.3</v>
      </c>
      <c r="J40" s="64">
        <v>0.12</v>
      </c>
      <c r="K40" s="64">
        <v>286.47000000000003</v>
      </c>
      <c r="L40" s="64">
        <v>28.98</v>
      </c>
      <c r="M40" s="64">
        <v>92.51</v>
      </c>
      <c r="N40" s="64">
        <v>286.10000000000002</v>
      </c>
      <c r="O40" s="64">
        <v>0</v>
      </c>
      <c r="P40" s="64">
        <v>0.37</v>
      </c>
      <c r="Q40" s="64">
        <v>9.15</v>
      </c>
      <c r="R40" s="198"/>
      <c r="S40" s="198"/>
      <c r="T40" s="198"/>
      <c r="U40" s="198"/>
    </row>
    <row r="41" spans="1:21" s="12" customFormat="1" x14ac:dyDescent="0.25">
      <c r="A41" s="212" t="s">
        <v>663</v>
      </c>
      <c r="B41" s="64">
        <v>8.82</v>
      </c>
      <c r="C41" s="64">
        <v>10.94</v>
      </c>
      <c r="D41" s="64">
        <v>12.79</v>
      </c>
      <c r="E41" s="64">
        <v>4.49</v>
      </c>
      <c r="F41" s="64">
        <v>9.76</v>
      </c>
      <c r="G41" s="64">
        <v>48.21</v>
      </c>
      <c r="H41" s="64">
        <v>8.9700000000000006</v>
      </c>
      <c r="I41" s="64">
        <v>1.28</v>
      </c>
      <c r="J41" s="64">
        <v>0.12</v>
      </c>
      <c r="K41" s="64">
        <v>276.98</v>
      </c>
      <c r="L41" s="64">
        <v>28.24</v>
      </c>
      <c r="M41" s="64">
        <v>95.59</v>
      </c>
      <c r="N41" s="64">
        <v>471.1</v>
      </c>
      <c r="O41" s="64">
        <v>0</v>
      </c>
      <c r="P41" s="64">
        <v>0.36</v>
      </c>
      <c r="Q41" s="64">
        <v>9.16</v>
      </c>
      <c r="R41" s="198"/>
      <c r="S41" s="198"/>
      <c r="T41" s="198"/>
      <c r="U41" s="198"/>
    </row>
    <row r="42" spans="1:21" s="12" customFormat="1" x14ac:dyDescent="0.25">
      <c r="A42" s="212" t="s">
        <v>664</v>
      </c>
      <c r="B42" s="64">
        <v>7.92</v>
      </c>
      <c r="C42" s="64">
        <v>9.6300000000000008</v>
      </c>
      <c r="D42" s="64">
        <v>11.38</v>
      </c>
      <c r="E42" s="64">
        <v>4.29</v>
      </c>
      <c r="F42" s="64">
        <v>8.6199999999999992</v>
      </c>
      <c r="G42" s="64">
        <v>48.91</v>
      </c>
      <c r="H42" s="64">
        <v>9.41</v>
      </c>
      <c r="I42" s="64">
        <v>1.29</v>
      </c>
      <c r="J42" s="64">
        <v>0.15</v>
      </c>
      <c r="K42" s="64">
        <v>285.62</v>
      </c>
      <c r="L42" s="64">
        <v>29.92</v>
      </c>
      <c r="M42" s="64">
        <v>87.17</v>
      </c>
      <c r="N42" s="64">
        <v>556.29999999999995</v>
      </c>
      <c r="O42" s="64">
        <v>0</v>
      </c>
      <c r="P42" s="64">
        <v>0.4</v>
      </c>
      <c r="Q42" s="64">
        <v>9.16</v>
      </c>
      <c r="R42" s="198"/>
      <c r="S42" s="198"/>
      <c r="T42" s="198"/>
      <c r="U42" s="198"/>
    </row>
    <row r="43" spans="1:21" s="12" customFormat="1" x14ac:dyDescent="0.25">
      <c r="A43" s="212" t="s">
        <v>665</v>
      </c>
      <c r="B43" s="64">
        <v>8.27</v>
      </c>
      <c r="C43" s="64">
        <v>9.34</v>
      </c>
      <c r="D43" s="64">
        <v>11.51</v>
      </c>
      <c r="E43" s="64">
        <v>4.12</v>
      </c>
      <c r="F43" s="64">
        <v>8.59</v>
      </c>
      <c r="G43" s="64">
        <v>48.91</v>
      </c>
      <c r="H43" s="64">
        <v>9.41</v>
      </c>
      <c r="I43" s="64">
        <v>1.33</v>
      </c>
      <c r="J43" s="64">
        <v>0.16</v>
      </c>
      <c r="K43" s="64">
        <v>285.05</v>
      </c>
      <c r="L43" s="64">
        <v>29.1</v>
      </c>
      <c r="M43" s="64">
        <v>90.67</v>
      </c>
      <c r="N43" s="64">
        <v>561.70000000000005</v>
      </c>
      <c r="O43" s="64">
        <v>0</v>
      </c>
      <c r="P43" s="64">
        <v>0.44</v>
      </c>
      <c r="Q43" s="64">
        <v>9.15</v>
      </c>
      <c r="R43" s="198"/>
      <c r="S43" s="198"/>
      <c r="T43" s="198"/>
      <c r="U43" s="198"/>
    </row>
    <row r="44" spans="1:21" s="12" customFormat="1" x14ac:dyDescent="0.25">
      <c r="A44" s="212" t="s">
        <v>666</v>
      </c>
      <c r="B44" s="64">
        <v>9.42</v>
      </c>
      <c r="C44" s="64">
        <v>12.11</v>
      </c>
      <c r="D44" s="64">
        <v>13.88</v>
      </c>
      <c r="E44" s="64">
        <v>4.09</v>
      </c>
      <c r="F44" s="64">
        <v>11.83</v>
      </c>
      <c r="G44" s="64">
        <v>48.91</v>
      </c>
      <c r="H44" s="64">
        <v>9.41</v>
      </c>
      <c r="I44" s="64">
        <v>1.4</v>
      </c>
      <c r="J44" s="64">
        <v>0.15</v>
      </c>
      <c r="K44" s="64">
        <v>296.69</v>
      </c>
      <c r="L44" s="64">
        <v>30.47</v>
      </c>
      <c r="M44" s="64">
        <v>84.2</v>
      </c>
      <c r="N44" s="64">
        <v>628.5</v>
      </c>
      <c r="O44" s="64">
        <v>0</v>
      </c>
      <c r="P44" s="64">
        <v>0.51</v>
      </c>
      <c r="Q44" s="64">
        <v>9.14</v>
      </c>
      <c r="R44" s="198"/>
      <c r="S44" s="198"/>
      <c r="T44" s="198"/>
      <c r="U44" s="198"/>
    </row>
    <row r="45" spans="1:21" s="12" customFormat="1" x14ac:dyDescent="0.25">
      <c r="A45" s="212" t="s">
        <v>667</v>
      </c>
      <c r="B45" s="64">
        <v>10.63</v>
      </c>
      <c r="C45" s="64">
        <v>12.8</v>
      </c>
      <c r="D45" s="64">
        <v>15.21</v>
      </c>
      <c r="E45" s="64">
        <v>4.1399999999999997</v>
      </c>
      <c r="F45" s="64">
        <v>9.77</v>
      </c>
      <c r="G45" s="64">
        <v>50.6</v>
      </c>
      <c r="H45" s="64">
        <v>9.1300000000000008</v>
      </c>
      <c r="I45" s="64">
        <v>1.5</v>
      </c>
      <c r="J45" s="64">
        <v>0.28000000000000003</v>
      </c>
      <c r="K45" s="64">
        <v>313.02</v>
      </c>
      <c r="L45" s="64">
        <v>32.090000000000003</v>
      </c>
      <c r="M45" s="64">
        <v>77.319999999999993</v>
      </c>
      <c r="N45" s="64">
        <v>686.1</v>
      </c>
      <c r="O45" s="64">
        <v>0</v>
      </c>
      <c r="P45" s="64">
        <v>0.53</v>
      </c>
      <c r="Q45" s="64">
        <v>9.14</v>
      </c>
      <c r="R45" s="198"/>
      <c r="S45" s="198"/>
      <c r="T45" s="198"/>
      <c r="U45" s="198"/>
    </row>
    <row r="46" spans="1:21" s="12" customFormat="1" x14ac:dyDescent="0.25">
      <c r="A46" s="212" t="s">
        <v>668</v>
      </c>
      <c r="B46" s="64">
        <v>10.59</v>
      </c>
      <c r="C46" s="64">
        <v>11.6</v>
      </c>
      <c r="D46" s="64">
        <v>14.55</v>
      </c>
      <c r="E46" s="64">
        <v>4.21</v>
      </c>
      <c r="F46" s="64">
        <v>8.4600000000000009</v>
      </c>
      <c r="G46" s="64">
        <v>52.62</v>
      </c>
      <c r="H46" s="64">
        <v>8.81</v>
      </c>
      <c r="I46" s="64">
        <v>1.59</v>
      </c>
      <c r="J46" s="64">
        <v>0.6</v>
      </c>
      <c r="K46" s="64">
        <v>330.89</v>
      </c>
      <c r="L46" s="64">
        <v>33.450000000000003</v>
      </c>
      <c r="M46" s="64">
        <v>70.42</v>
      </c>
      <c r="N46" s="64">
        <v>732.1</v>
      </c>
      <c r="O46" s="64">
        <v>0</v>
      </c>
      <c r="P46" s="64">
        <v>0.48</v>
      </c>
      <c r="Q46" s="64">
        <v>9.14</v>
      </c>
      <c r="R46" s="198"/>
      <c r="S46" s="198"/>
      <c r="T46" s="198"/>
      <c r="U46" s="198"/>
    </row>
    <row r="47" spans="1:21" s="12" customFormat="1" x14ac:dyDescent="0.25">
      <c r="A47" s="212" t="s">
        <v>669</v>
      </c>
      <c r="B47" s="64">
        <v>10.199999999999999</v>
      </c>
      <c r="C47" s="64">
        <v>11.56</v>
      </c>
      <c r="D47" s="64">
        <v>14.21</v>
      </c>
      <c r="E47" s="64">
        <v>4.45</v>
      </c>
      <c r="F47" s="64">
        <v>17.760000000000002</v>
      </c>
      <c r="G47" s="64">
        <v>52.62</v>
      </c>
      <c r="H47" s="64">
        <v>8.81</v>
      </c>
      <c r="I47" s="64">
        <v>1.66</v>
      </c>
      <c r="J47" s="64">
        <v>0.71</v>
      </c>
      <c r="K47" s="64">
        <v>336.57</v>
      </c>
      <c r="L47" s="64">
        <v>34.81</v>
      </c>
      <c r="M47" s="64">
        <v>61.95</v>
      </c>
      <c r="N47" s="64">
        <v>786.2</v>
      </c>
      <c r="O47" s="64">
        <v>0</v>
      </c>
      <c r="P47" s="64">
        <v>0.53</v>
      </c>
      <c r="Q47" s="64">
        <v>9.14</v>
      </c>
      <c r="R47" s="198"/>
      <c r="S47" s="198"/>
      <c r="T47" s="198"/>
      <c r="U47" s="198"/>
    </row>
    <row r="48" spans="1:21" s="12" customFormat="1" x14ac:dyDescent="0.25">
      <c r="A48" s="212" t="s">
        <v>670</v>
      </c>
      <c r="B48" s="64">
        <v>9.0299999999999994</v>
      </c>
      <c r="C48" s="64">
        <v>11.71</v>
      </c>
      <c r="D48" s="64">
        <v>13.36</v>
      </c>
      <c r="E48" s="64">
        <v>4.38</v>
      </c>
      <c r="F48" s="64">
        <v>16.57</v>
      </c>
      <c r="G48" s="64">
        <v>52.62</v>
      </c>
      <c r="H48" s="64">
        <v>8.81</v>
      </c>
      <c r="I48" s="64">
        <v>1.68</v>
      </c>
      <c r="J48" s="64">
        <v>0.65</v>
      </c>
      <c r="K48" s="64">
        <v>340.54</v>
      </c>
      <c r="L48" s="64">
        <v>35.35</v>
      </c>
      <c r="M48" s="64">
        <v>60.48</v>
      </c>
      <c r="N48" s="64">
        <v>831.5</v>
      </c>
      <c r="O48" s="64">
        <v>0</v>
      </c>
      <c r="P48" s="64">
        <v>0.56000000000000005</v>
      </c>
      <c r="Q48" s="64">
        <v>9.1300000000000008</v>
      </c>
      <c r="R48" s="198"/>
      <c r="S48" s="198"/>
      <c r="T48" s="198"/>
      <c r="U48" s="198"/>
    </row>
    <row r="49" spans="1:21" s="12" customFormat="1" x14ac:dyDescent="0.25">
      <c r="A49" s="212" t="s">
        <v>671</v>
      </c>
      <c r="B49" s="64">
        <v>9.02</v>
      </c>
      <c r="C49" s="64">
        <v>16.440000000000001</v>
      </c>
      <c r="D49" s="64">
        <v>15.83</v>
      </c>
      <c r="E49" s="64">
        <v>4.6399999999999997</v>
      </c>
      <c r="F49" s="64">
        <v>18.100000000000001</v>
      </c>
      <c r="G49" s="64">
        <v>58.68</v>
      </c>
      <c r="H49" s="64">
        <v>10.45</v>
      </c>
      <c r="I49" s="64">
        <v>1.7</v>
      </c>
      <c r="J49" s="64">
        <v>0.56999999999999995</v>
      </c>
      <c r="K49" s="64">
        <v>336.99</v>
      </c>
      <c r="L49" s="64">
        <v>35.340000000000003</v>
      </c>
      <c r="M49" s="64">
        <v>60.7</v>
      </c>
      <c r="N49" s="64">
        <v>682.3</v>
      </c>
      <c r="O49" s="64">
        <v>0</v>
      </c>
      <c r="P49" s="64">
        <v>0.64</v>
      </c>
      <c r="Q49" s="64">
        <v>9.1300000000000008</v>
      </c>
      <c r="R49" s="198"/>
      <c r="S49" s="198"/>
      <c r="T49" s="198"/>
      <c r="U49" s="198"/>
    </row>
    <row r="50" spans="1:21" s="12" customFormat="1" x14ac:dyDescent="0.25">
      <c r="A50" s="212" t="s">
        <v>672</v>
      </c>
      <c r="B50" s="64">
        <v>10.039999999999999</v>
      </c>
      <c r="C50" s="64">
        <v>18.72</v>
      </c>
      <c r="D50" s="64">
        <v>17.829999999999998</v>
      </c>
      <c r="E50" s="64">
        <v>4.55</v>
      </c>
      <c r="F50" s="64">
        <v>19.059999999999999</v>
      </c>
      <c r="G50" s="64">
        <v>65.92</v>
      </c>
      <c r="H50" s="64">
        <v>12.42</v>
      </c>
      <c r="I50" s="64">
        <v>1.71</v>
      </c>
      <c r="J50" s="64">
        <v>0.55000000000000004</v>
      </c>
      <c r="K50" s="64">
        <v>333.97</v>
      </c>
      <c r="L50" s="64">
        <v>35.700000000000003</v>
      </c>
      <c r="M50" s="64">
        <v>58.5</v>
      </c>
      <c r="N50" s="64">
        <v>677.5</v>
      </c>
      <c r="O50" s="64">
        <v>0</v>
      </c>
      <c r="P50" s="64">
        <v>0.62</v>
      </c>
      <c r="Q50" s="64">
        <v>9.14</v>
      </c>
      <c r="R50" s="198"/>
      <c r="S50" s="198"/>
      <c r="T50" s="198"/>
      <c r="U50" s="198"/>
    </row>
    <row r="51" spans="1:21" s="12" customFormat="1" x14ac:dyDescent="0.25">
      <c r="A51" s="212" t="s">
        <v>673</v>
      </c>
      <c r="B51" s="64">
        <v>9.5399999999999991</v>
      </c>
      <c r="C51" s="64">
        <v>15.9</v>
      </c>
      <c r="D51" s="64">
        <v>15.96</v>
      </c>
      <c r="E51" s="64">
        <v>4.24</v>
      </c>
      <c r="F51" s="64">
        <v>13.96</v>
      </c>
      <c r="G51" s="64">
        <v>65.92</v>
      </c>
      <c r="H51" s="64">
        <v>12.42</v>
      </c>
      <c r="I51" s="64">
        <v>1.75</v>
      </c>
      <c r="J51" s="64">
        <v>0.51</v>
      </c>
      <c r="K51" s="64">
        <v>334.67</v>
      </c>
      <c r="L51" s="64">
        <v>34.6</v>
      </c>
      <c r="M51" s="64">
        <v>60.52</v>
      </c>
      <c r="N51" s="64">
        <v>368.4</v>
      </c>
      <c r="O51" s="64">
        <v>0</v>
      </c>
      <c r="P51" s="64">
        <v>0.59</v>
      </c>
      <c r="Q51" s="64">
        <v>9.14</v>
      </c>
      <c r="R51" s="198"/>
      <c r="S51" s="198"/>
      <c r="T51" s="198"/>
      <c r="U51" s="198"/>
    </row>
    <row r="52" spans="1:21" s="12" customFormat="1" x14ac:dyDescent="0.25">
      <c r="A52" s="212" t="s">
        <v>674</v>
      </c>
      <c r="B52" s="64">
        <v>7.55</v>
      </c>
      <c r="C52" s="64">
        <v>15.18</v>
      </c>
      <c r="D52" s="64">
        <v>13.98</v>
      </c>
      <c r="E52" s="64">
        <v>4.41</v>
      </c>
      <c r="F52" s="64">
        <v>17.11</v>
      </c>
      <c r="G52" s="64">
        <v>65.92</v>
      </c>
      <c r="H52" s="64">
        <v>12.42</v>
      </c>
      <c r="I52" s="64">
        <v>1.78</v>
      </c>
      <c r="J52" s="64">
        <v>0.16</v>
      </c>
      <c r="K52" s="64">
        <v>292.99</v>
      </c>
      <c r="L52" s="64">
        <v>33.619999999999997</v>
      </c>
      <c r="M52" s="64">
        <v>64.06</v>
      </c>
      <c r="N52" s="64">
        <v>763.7</v>
      </c>
      <c r="O52" s="64">
        <v>0</v>
      </c>
      <c r="P52" s="64">
        <v>0.49</v>
      </c>
      <c r="Q52" s="64">
        <v>9.1300000000000008</v>
      </c>
      <c r="R52" s="198"/>
      <c r="S52" s="198"/>
      <c r="T52" s="198"/>
      <c r="U52" s="198"/>
    </row>
    <row r="53" spans="1:21" s="12" customFormat="1" x14ac:dyDescent="0.25">
      <c r="A53" s="212" t="s">
        <v>675</v>
      </c>
      <c r="B53" s="64">
        <v>9.64</v>
      </c>
      <c r="C53" s="64">
        <v>16.22</v>
      </c>
      <c r="D53" s="64">
        <v>16.2</v>
      </c>
      <c r="E53" s="64">
        <v>4.57</v>
      </c>
      <c r="F53" s="64">
        <v>19.440000000000001</v>
      </c>
      <c r="G53" s="64">
        <v>67.92</v>
      </c>
      <c r="H53" s="64">
        <v>12.37</v>
      </c>
      <c r="I53" s="64">
        <v>1.8</v>
      </c>
      <c r="J53" s="64">
        <v>0.5</v>
      </c>
      <c r="K53" s="64">
        <v>339.37</v>
      </c>
      <c r="L53" s="64">
        <v>33.42</v>
      </c>
      <c r="M53" s="64">
        <v>64.91</v>
      </c>
      <c r="N53" s="64">
        <v>489.7</v>
      </c>
      <c r="O53" s="64">
        <v>0</v>
      </c>
      <c r="P53" s="64">
        <v>0.55000000000000004</v>
      </c>
      <c r="Q53" s="64">
        <v>9.1199999999999992</v>
      </c>
      <c r="R53" s="198"/>
      <c r="S53" s="198"/>
      <c r="T53" s="198"/>
      <c r="U53" s="198"/>
    </row>
    <row r="54" spans="1:21" s="12" customFormat="1" x14ac:dyDescent="0.25">
      <c r="A54" s="212" t="s">
        <v>676</v>
      </c>
      <c r="B54" s="64">
        <v>6.28</v>
      </c>
      <c r="C54" s="64">
        <v>13.2</v>
      </c>
      <c r="D54" s="64">
        <v>11.93</v>
      </c>
      <c r="E54" s="64">
        <v>4.42</v>
      </c>
      <c r="F54" s="64">
        <v>15.63</v>
      </c>
      <c r="G54" s="64">
        <v>70.42</v>
      </c>
      <c r="H54" s="64">
        <v>12.32</v>
      </c>
      <c r="I54" s="64">
        <v>1.81</v>
      </c>
      <c r="J54" s="64">
        <v>0.24</v>
      </c>
      <c r="K54" s="64">
        <v>138.93</v>
      </c>
      <c r="L54" s="64">
        <v>32.729999999999997</v>
      </c>
      <c r="M54" s="64">
        <v>64.94</v>
      </c>
      <c r="N54" s="64">
        <v>542.9</v>
      </c>
      <c r="O54" s="64">
        <v>0</v>
      </c>
      <c r="P54" s="64">
        <v>0.38</v>
      </c>
      <c r="Q54" s="64">
        <v>9.11</v>
      </c>
      <c r="R54" s="198"/>
      <c r="S54" s="198"/>
      <c r="T54" s="198"/>
      <c r="U54" s="198"/>
    </row>
    <row r="55" spans="1:21" s="12" customFormat="1" x14ac:dyDescent="0.25">
      <c r="A55" s="212" t="s">
        <v>677</v>
      </c>
      <c r="B55" s="64">
        <v>6.15</v>
      </c>
      <c r="C55" s="64">
        <v>12.32</v>
      </c>
      <c r="D55" s="64">
        <v>11.37</v>
      </c>
      <c r="E55" s="64">
        <v>4.4800000000000004</v>
      </c>
      <c r="F55" s="64">
        <v>11.63</v>
      </c>
      <c r="G55" s="64">
        <v>70.42</v>
      </c>
      <c r="H55" s="64">
        <v>12.32</v>
      </c>
      <c r="I55" s="64">
        <v>1.81</v>
      </c>
      <c r="J55" s="64">
        <v>0.2</v>
      </c>
      <c r="K55" s="64">
        <v>261.66000000000003</v>
      </c>
      <c r="L55" s="64">
        <v>30.79</v>
      </c>
      <c r="M55" s="64">
        <v>73.709999999999994</v>
      </c>
      <c r="N55" s="64">
        <v>229.5</v>
      </c>
      <c r="O55" s="64">
        <v>0</v>
      </c>
      <c r="P55" s="64">
        <v>0.43</v>
      </c>
      <c r="Q55" s="64">
        <v>9.11</v>
      </c>
      <c r="R55" s="198"/>
      <c r="S55" s="198"/>
      <c r="T55" s="198"/>
      <c r="U55" s="198"/>
    </row>
    <row r="56" spans="1:21" s="12" customFormat="1" x14ac:dyDescent="0.25">
      <c r="A56" s="212" t="s">
        <v>678</v>
      </c>
      <c r="B56" s="64">
        <v>6.74</v>
      </c>
      <c r="C56" s="64">
        <v>10.56</v>
      </c>
      <c r="D56" s="64">
        <v>10.92</v>
      </c>
      <c r="E56" s="64">
        <v>4.3099999999999996</v>
      </c>
      <c r="F56" s="64">
        <v>4.01</v>
      </c>
      <c r="G56" s="64">
        <v>70.42</v>
      </c>
      <c r="H56" s="64">
        <v>12.32</v>
      </c>
      <c r="I56" s="64">
        <v>1.81</v>
      </c>
      <c r="J56" s="64">
        <v>0.25</v>
      </c>
      <c r="K56" s="64">
        <v>277.51</v>
      </c>
      <c r="L56" s="64">
        <v>30.67</v>
      </c>
      <c r="M56" s="64">
        <v>78.319999999999993</v>
      </c>
      <c r="N56" s="64">
        <v>385.8</v>
      </c>
      <c r="O56" s="64">
        <v>0</v>
      </c>
      <c r="P56" s="64">
        <v>0.48</v>
      </c>
      <c r="Q56" s="64">
        <v>9.09</v>
      </c>
      <c r="R56" s="198"/>
      <c r="S56" s="198"/>
      <c r="T56" s="198"/>
      <c r="U56" s="198"/>
    </row>
    <row r="57" spans="1:21" s="12" customFormat="1" x14ac:dyDescent="0.25">
      <c r="A57" s="212" t="s">
        <v>679</v>
      </c>
      <c r="B57" s="64">
        <v>7.72</v>
      </c>
      <c r="C57" s="64">
        <v>12.2</v>
      </c>
      <c r="D57" s="64">
        <v>12.57</v>
      </c>
      <c r="E57" s="64">
        <v>4.0199999999999996</v>
      </c>
      <c r="F57" s="64">
        <v>8.34</v>
      </c>
      <c r="G57" s="64">
        <v>68.319999999999993</v>
      </c>
      <c r="H57" s="64">
        <v>13.58</v>
      </c>
      <c r="I57" s="64">
        <v>1.78</v>
      </c>
      <c r="J57" s="64">
        <v>0.14000000000000001</v>
      </c>
      <c r="K57" s="64">
        <v>286.42</v>
      </c>
      <c r="L57" s="64">
        <v>29.52</v>
      </c>
      <c r="M57" s="64">
        <v>84.91</v>
      </c>
      <c r="N57" s="64">
        <v>225.2</v>
      </c>
      <c r="O57" s="64">
        <v>0</v>
      </c>
      <c r="P57" s="64">
        <v>0.45</v>
      </c>
      <c r="Q57" s="64">
        <v>9.06</v>
      </c>
      <c r="R57" s="198"/>
      <c r="S57" s="198"/>
      <c r="T57" s="198"/>
      <c r="U57" s="198"/>
    </row>
    <row r="58" spans="1:21" s="12" customFormat="1" x14ac:dyDescent="0.25">
      <c r="A58" s="212" t="s">
        <v>680</v>
      </c>
      <c r="B58" s="64">
        <v>15.96</v>
      </c>
      <c r="C58" s="64">
        <v>19.78</v>
      </c>
      <c r="D58" s="64">
        <v>23.14</v>
      </c>
      <c r="E58" s="64">
        <v>3.92</v>
      </c>
      <c r="F58" s="64">
        <v>12.97</v>
      </c>
      <c r="G58" s="64">
        <v>65.81</v>
      </c>
      <c r="H58" s="64">
        <v>15.09</v>
      </c>
      <c r="I58" s="64">
        <v>1.72</v>
      </c>
      <c r="J58" s="64">
        <v>0.31</v>
      </c>
      <c r="K58" s="64">
        <v>341.08</v>
      </c>
      <c r="L58" s="64">
        <v>29.31</v>
      </c>
      <c r="M58" s="64">
        <v>90.43</v>
      </c>
      <c r="N58" s="64">
        <v>326.8</v>
      </c>
      <c r="O58" s="64">
        <v>0</v>
      </c>
      <c r="P58" s="64">
        <v>0.66</v>
      </c>
      <c r="Q58" s="64">
        <v>9.0500000000000007</v>
      </c>
      <c r="R58" s="198"/>
      <c r="S58" s="198"/>
      <c r="T58" s="198"/>
      <c r="U58" s="198"/>
    </row>
    <row r="59" spans="1:21" s="12" customFormat="1" x14ac:dyDescent="0.25">
      <c r="A59" s="212" t="s">
        <v>681</v>
      </c>
      <c r="B59" s="64">
        <v>13.37</v>
      </c>
      <c r="C59" s="64">
        <v>18.88</v>
      </c>
      <c r="D59" s="64">
        <v>20.58</v>
      </c>
      <c r="E59" s="64">
        <v>4.38</v>
      </c>
      <c r="F59" s="64">
        <v>13.63</v>
      </c>
      <c r="G59" s="64">
        <v>65.81</v>
      </c>
      <c r="H59" s="64">
        <v>15.09</v>
      </c>
      <c r="I59" s="64">
        <v>1.68</v>
      </c>
      <c r="J59" s="64">
        <v>0.21</v>
      </c>
      <c r="K59" s="64">
        <v>348.06</v>
      </c>
      <c r="L59" s="64">
        <v>30.5</v>
      </c>
      <c r="M59" s="64">
        <v>78.72</v>
      </c>
      <c r="N59" s="64">
        <v>295.60000000000002</v>
      </c>
      <c r="O59" s="64">
        <v>0</v>
      </c>
      <c r="P59" s="64">
        <v>0.65</v>
      </c>
      <c r="Q59" s="64">
        <v>9.07</v>
      </c>
      <c r="R59" s="198"/>
      <c r="S59" s="198"/>
      <c r="T59" s="198"/>
      <c r="U59" s="198"/>
    </row>
    <row r="60" spans="1:21" s="12" customFormat="1" x14ac:dyDescent="0.25">
      <c r="A60" s="212" t="s">
        <v>682</v>
      </c>
      <c r="B60" s="64">
        <v>11.98</v>
      </c>
      <c r="C60" s="64">
        <v>22.2</v>
      </c>
      <c r="D60" s="64">
        <v>21.21</v>
      </c>
      <c r="E60" s="64">
        <v>4.54</v>
      </c>
      <c r="F60" s="64">
        <v>13.32</v>
      </c>
      <c r="G60" s="64">
        <v>65.81</v>
      </c>
      <c r="H60" s="64">
        <v>15.09</v>
      </c>
      <c r="I60" s="64">
        <v>1.68</v>
      </c>
      <c r="J60" s="64">
        <v>0.15</v>
      </c>
      <c r="K60" s="64">
        <v>357.75</v>
      </c>
      <c r="L60" s="64">
        <v>30.36</v>
      </c>
      <c r="M60" s="64">
        <v>79.209999999999994</v>
      </c>
      <c r="N60" s="64">
        <v>145</v>
      </c>
      <c r="O60" s="64">
        <v>0</v>
      </c>
      <c r="P60" s="64">
        <v>0.69</v>
      </c>
      <c r="Q60" s="64">
        <v>9.1</v>
      </c>
      <c r="R60" s="198"/>
      <c r="S60" s="198"/>
      <c r="T60" s="198"/>
      <c r="U60" s="198"/>
    </row>
    <row r="61" spans="1:21" s="12" customFormat="1" x14ac:dyDescent="0.25">
      <c r="A61" s="212" t="s">
        <v>683</v>
      </c>
      <c r="B61" s="64">
        <v>11.12</v>
      </c>
      <c r="C61" s="64">
        <v>18.239999999999998</v>
      </c>
      <c r="D61" s="64">
        <v>18.45</v>
      </c>
      <c r="E61" s="64">
        <v>4.1399999999999997</v>
      </c>
      <c r="F61" s="64">
        <v>13.5</v>
      </c>
      <c r="G61" s="64">
        <v>70.86</v>
      </c>
      <c r="H61" s="64">
        <v>14.6</v>
      </c>
      <c r="I61" s="64">
        <v>1.7</v>
      </c>
      <c r="J61" s="64">
        <v>0.21</v>
      </c>
      <c r="K61" s="64">
        <v>123.83</v>
      </c>
      <c r="L61" s="64">
        <v>28.7</v>
      </c>
      <c r="M61" s="64">
        <v>84.71</v>
      </c>
      <c r="N61" s="64">
        <v>137</v>
      </c>
      <c r="O61" s="64">
        <v>0</v>
      </c>
      <c r="P61" s="64">
        <v>0.55000000000000004</v>
      </c>
      <c r="Q61" s="64">
        <v>9.1199999999999992</v>
      </c>
      <c r="R61" s="198"/>
      <c r="S61" s="198"/>
      <c r="T61" s="198"/>
      <c r="U61" s="198"/>
    </row>
    <row r="62" spans="1:21" s="12" customFormat="1" x14ac:dyDescent="0.25">
      <c r="A62" s="212" t="s">
        <v>684</v>
      </c>
      <c r="B62" s="64">
        <v>8.08</v>
      </c>
      <c r="C62" s="64">
        <v>14.85</v>
      </c>
      <c r="D62" s="64">
        <v>14.23</v>
      </c>
      <c r="E62" s="64">
        <v>4.13</v>
      </c>
      <c r="F62" s="64">
        <v>15.61</v>
      </c>
      <c r="G62" s="64">
        <v>76.89</v>
      </c>
      <c r="H62" s="64">
        <v>14.01</v>
      </c>
      <c r="I62" s="64">
        <v>1.73</v>
      </c>
      <c r="J62" s="64">
        <v>0.35</v>
      </c>
      <c r="K62" s="64">
        <v>125.68</v>
      </c>
      <c r="L62" s="64">
        <v>27.62</v>
      </c>
      <c r="M62" s="64">
        <v>87.26</v>
      </c>
      <c r="N62" s="64">
        <v>194.5</v>
      </c>
      <c r="O62" s="64">
        <v>0</v>
      </c>
      <c r="P62" s="64">
        <v>0.48</v>
      </c>
      <c r="Q62" s="64">
        <v>9.14</v>
      </c>
      <c r="R62" s="198"/>
      <c r="S62" s="198"/>
      <c r="T62" s="198"/>
      <c r="U62" s="198"/>
    </row>
    <row r="63" spans="1:21" s="12" customFormat="1" x14ac:dyDescent="0.25">
      <c r="A63" s="212" t="s">
        <v>685</v>
      </c>
      <c r="B63" s="64">
        <v>10.47</v>
      </c>
      <c r="C63" s="64">
        <v>14.88</v>
      </c>
      <c r="D63" s="64">
        <v>16.170000000000002</v>
      </c>
      <c r="E63" s="64">
        <v>4.7699999999999996</v>
      </c>
      <c r="F63" s="64">
        <v>11.82</v>
      </c>
      <c r="G63" s="64">
        <v>76.89</v>
      </c>
      <c r="H63" s="64">
        <v>14.01</v>
      </c>
      <c r="I63" s="64">
        <v>1.65</v>
      </c>
      <c r="J63" s="64">
        <v>0.28000000000000003</v>
      </c>
      <c r="K63" s="64">
        <v>137.44</v>
      </c>
      <c r="L63" s="64">
        <v>27.83</v>
      </c>
      <c r="M63" s="64">
        <v>86.4</v>
      </c>
      <c r="N63" s="64">
        <v>262.3</v>
      </c>
      <c r="O63" s="64">
        <v>0</v>
      </c>
      <c r="P63" s="64">
        <v>0.54</v>
      </c>
      <c r="Q63" s="64">
        <v>9.15</v>
      </c>
      <c r="R63" s="198"/>
      <c r="S63" s="198"/>
      <c r="T63" s="198"/>
      <c r="U63" s="198"/>
    </row>
    <row r="64" spans="1:21" s="12" customFormat="1" x14ac:dyDescent="0.25">
      <c r="A64" s="212" t="s">
        <v>686</v>
      </c>
      <c r="B64" s="64">
        <v>6.39</v>
      </c>
      <c r="C64" s="64">
        <v>12.05</v>
      </c>
      <c r="D64" s="64">
        <v>11.42</v>
      </c>
      <c r="E64" s="64">
        <v>4.1500000000000004</v>
      </c>
      <c r="F64" s="64">
        <v>14.9</v>
      </c>
      <c r="G64" s="64">
        <v>76.89</v>
      </c>
      <c r="H64" s="64">
        <v>14.01</v>
      </c>
      <c r="I64" s="64">
        <v>1.59</v>
      </c>
      <c r="J64" s="64">
        <v>0.75</v>
      </c>
      <c r="K64" s="64">
        <v>118.83</v>
      </c>
      <c r="L64" s="64">
        <v>28.3</v>
      </c>
      <c r="M64" s="64">
        <v>84.29</v>
      </c>
      <c r="N64" s="64">
        <v>288</v>
      </c>
      <c r="O64" s="64">
        <v>0</v>
      </c>
      <c r="P64" s="64">
        <v>0.43</v>
      </c>
      <c r="Q64" s="64">
        <v>9.15</v>
      </c>
      <c r="R64" s="198"/>
      <c r="S64" s="198"/>
      <c r="T64" s="198"/>
      <c r="U64" s="198"/>
    </row>
    <row r="65" spans="1:21" s="12" customFormat="1" x14ac:dyDescent="0.25">
      <c r="A65" s="212" t="s">
        <v>687</v>
      </c>
      <c r="B65" s="64">
        <v>7.15</v>
      </c>
      <c r="C65" s="64">
        <v>17.25</v>
      </c>
      <c r="D65" s="64">
        <v>14.75</v>
      </c>
      <c r="E65" s="64">
        <v>4.59</v>
      </c>
      <c r="F65" s="64">
        <v>16.399999999999999</v>
      </c>
      <c r="G65" s="64">
        <v>67.14</v>
      </c>
      <c r="H65" s="64">
        <v>13.56</v>
      </c>
      <c r="I65" s="64">
        <v>1.57</v>
      </c>
      <c r="J65" s="64">
        <v>0.18</v>
      </c>
      <c r="K65" s="64">
        <v>121.49</v>
      </c>
      <c r="L65" s="64">
        <v>28.75</v>
      </c>
      <c r="M65" s="64">
        <v>82.84</v>
      </c>
      <c r="N65" s="64">
        <v>251</v>
      </c>
      <c r="O65" s="64">
        <v>0</v>
      </c>
      <c r="P65" s="64">
        <v>0.57999999999999996</v>
      </c>
      <c r="Q65" s="64">
        <v>9.15</v>
      </c>
      <c r="R65" s="198"/>
      <c r="S65" s="198"/>
      <c r="T65" s="198"/>
      <c r="U65" s="198"/>
    </row>
    <row r="66" spans="1:21" s="12" customFormat="1" x14ac:dyDescent="0.25">
      <c r="A66" s="212" t="s">
        <v>688</v>
      </c>
      <c r="B66" s="64">
        <v>15.85</v>
      </c>
      <c r="C66" s="64">
        <v>22.55</v>
      </c>
      <c r="D66" s="64">
        <v>24.49</v>
      </c>
      <c r="E66" s="64">
        <v>4.46</v>
      </c>
      <c r="F66" s="64">
        <v>13.21</v>
      </c>
      <c r="G66" s="64">
        <v>55.49</v>
      </c>
      <c r="H66" s="64">
        <v>13.03</v>
      </c>
      <c r="I66" s="64">
        <v>1.56</v>
      </c>
      <c r="J66" s="64">
        <v>7.0000000000000007E-2</v>
      </c>
      <c r="K66" s="64">
        <v>57.96</v>
      </c>
      <c r="L66" s="64">
        <v>29.24</v>
      </c>
      <c r="M66" s="64">
        <v>81.97</v>
      </c>
      <c r="N66" s="64">
        <v>253.1</v>
      </c>
      <c r="O66" s="64">
        <v>0</v>
      </c>
      <c r="P66" s="64">
        <v>0.71</v>
      </c>
      <c r="Q66" s="64">
        <v>9.1300000000000008</v>
      </c>
      <c r="R66" s="198"/>
      <c r="S66" s="198"/>
      <c r="T66" s="198"/>
      <c r="U66" s="198"/>
    </row>
    <row r="67" spans="1:21" s="12" customFormat="1" x14ac:dyDescent="0.25">
      <c r="A67" s="212" t="s">
        <v>689</v>
      </c>
      <c r="B67" s="64">
        <v>10.17</v>
      </c>
      <c r="C67" s="64">
        <v>21.48</v>
      </c>
      <c r="D67" s="64">
        <v>19.38</v>
      </c>
      <c r="E67" s="64">
        <v>4.3</v>
      </c>
      <c r="F67" s="64">
        <v>12.33</v>
      </c>
      <c r="G67" s="64">
        <v>55.49</v>
      </c>
      <c r="H67" s="64">
        <v>13.03</v>
      </c>
      <c r="I67" s="64">
        <v>1.55</v>
      </c>
      <c r="J67" s="64">
        <v>0.14000000000000001</v>
      </c>
      <c r="K67" s="64">
        <v>127.16</v>
      </c>
      <c r="L67" s="64">
        <v>29.36</v>
      </c>
      <c r="M67" s="64">
        <v>82.65</v>
      </c>
      <c r="N67" s="64">
        <v>236.3</v>
      </c>
      <c r="O67" s="64">
        <v>0</v>
      </c>
      <c r="P67" s="64">
        <v>0.7</v>
      </c>
      <c r="Q67" s="64">
        <v>9.14</v>
      </c>
      <c r="R67" s="198"/>
      <c r="S67" s="198"/>
      <c r="T67" s="198"/>
      <c r="U67" s="198"/>
    </row>
    <row r="68" spans="1:21" s="12" customFormat="1" x14ac:dyDescent="0.25">
      <c r="A68" s="212" t="s">
        <v>690</v>
      </c>
      <c r="B68" s="64">
        <v>13.93</v>
      </c>
      <c r="C68" s="64">
        <v>24.02</v>
      </c>
      <c r="D68" s="64">
        <v>23.72</v>
      </c>
      <c r="E68" s="64">
        <v>4.63</v>
      </c>
      <c r="F68" s="64">
        <v>12.99</v>
      </c>
      <c r="G68" s="64">
        <v>55.49</v>
      </c>
      <c r="H68" s="64">
        <v>13.03</v>
      </c>
      <c r="I68" s="64">
        <v>1.56</v>
      </c>
      <c r="J68" s="64">
        <v>7.0000000000000007E-2</v>
      </c>
      <c r="K68" s="64">
        <v>130.15</v>
      </c>
      <c r="L68" s="64">
        <v>29.17</v>
      </c>
      <c r="M68" s="64">
        <v>85.66</v>
      </c>
      <c r="N68" s="64">
        <v>194.4</v>
      </c>
      <c r="O68" s="64">
        <v>0</v>
      </c>
      <c r="P68" s="64">
        <v>0.79</v>
      </c>
      <c r="Q68" s="64">
        <v>9.14</v>
      </c>
      <c r="R68" s="198"/>
      <c r="S68" s="198"/>
      <c r="T68" s="198"/>
      <c r="U68" s="198"/>
    </row>
    <row r="69" spans="1:21" s="12" customFormat="1" x14ac:dyDescent="0.25">
      <c r="A69" s="212" t="s">
        <v>691</v>
      </c>
      <c r="B69" s="64">
        <v>16.12</v>
      </c>
      <c r="C69" s="64">
        <v>23.42</v>
      </c>
      <c r="D69" s="64">
        <v>25.17</v>
      </c>
      <c r="E69" s="64">
        <v>4.57</v>
      </c>
      <c r="F69" s="64">
        <v>13.38</v>
      </c>
      <c r="G69" s="64">
        <v>61.17</v>
      </c>
      <c r="H69" s="64">
        <v>12.57</v>
      </c>
      <c r="I69" s="64">
        <v>1.59</v>
      </c>
      <c r="J69" s="64">
        <v>0.18</v>
      </c>
      <c r="K69" s="64">
        <v>11.15</v>
      </c>
      <c r="L69" s="64">
        <v>29.49</v>
      </c>
      <c r="M69" s="64">
        <v>83.91</v>
      </c>
      <c r="N69" s="64">
        <v>195.9</v>
      </c>
      <c r="O69" s="64">
        <v>0</v>
      </c>
      <c r="P69" s="64">
        <v>0.74</v>
      </c>
      <c r="Q69" s="64">
        <v>9.16</v>
      </c>
      <c r="R69" s="198"/>
      <c r="S69" s="198"/>
      <c r="T69" s="198"/>
      <c r="U69" s="198"/>
    </row>
    <row r="70" spans="1:21" s="12" customFormat="1" x14ac:dyDescent="0.25">
      <c r="A70" s="212" t="s">
        <v>692</v>
      </c>
      <c r="B70" s="64">
        <v>11.93</v>
      </c>
      <c r="C70" s="64">
        <v>21.14</v>
      </c>
      <c r="D70" s="64">
        <v>20.61</v>
      </c>
      <c r="E70" s="64">
        <v>4.5599999999999996</v>
      </c>
      <c r="F70" s="64">
        <v>12.68</v>
      </c>
      <c r="G70" s="64">
        <v>67.959999999999994</v>
      </c>
      <c r="H70" s="64">
        <v>12.01</v>
      </c>
      <c r="I70" s="64">
        <v>1.61</v>
      </c>
      <c r="J70" s="64">
        <v>0.12</v>
      </c>
      <c r="K70" s="64">
        <v>343.23</v>
      </c>
      <c r="L70" s="64">
        <v>29.49</v>
      </c>
      <c r="M70" s="64">
        <v>83.94</v>
      </c>
      <c r="N70" s="64">
        <v>188.3</v>
      </c>
      <c r="O70" s="64">
        <v>0</v>
      </c>
      <c r="P70" s="64">
        <v>0.77</v>
      </c>
      <c r="Q70" s="64">
        <v>9.18</v>
      </c>
      <c r="R70" s="198"/>
      <c r="S70" s="198"/>
      <c r="T70" s="198"/>
      <c r="U70" s="198"/>
    </row>
    <row r="71" spans="1:21" s="12" customFormat="1" x14ac:dyDescent="0.25">
      <c r="A71" s="212" t="s">
        <v>693</v>
      </c>
      <c r="B71" s="64">
        <v>9.67</v>
      </c>
      <c r="C71" s="64">
        <v>24.47</v>
      </c>
      <c r="D71" s="64">
        <v>20.54</v>
      </c>
      <c r="E71" s="64">
        <v>4.79</v>
      </c>
      <c r="F71" s="64">
        <v>15.48</v>
      </c>
      <c r="G71" s="64">
        <v>67.959999999999994</v>
      </c>
      <c r="H71" s="64">
        <v>12.01</v>
      </c>
      <c r="I71" s="64">
        <v>1.63</v>
      </c>
      <c r="J71" s="64">
        <v>0.05</v>
      </c>
      <c r="K71" s="64">
        <v>61.02</v>
      </c>
      <c r="L71" s="64">
        <v>29.55</v>
      </c>
      <c r="M71" s="64">
        <v>82.31</v>
      </c>
      <c r="N71" s="64">
        <v>176.4</v>
      </c>
      <c r="O71" s="64">
        <v>0</v>
      </c>
      <c r="P71" s="64">
        <v>0.83</v>
      </c>
      <c r="Q71" s="64">
        <v>9.1999999999999993</v>
      </c>
      <c r="R71" s="198"/>
      <c r="S71" s="198"/>
      <c r="T71" s="198"/>
      <c r="U71" s="198"/>
    </row>
    <row r="72" spans="1:21" s="12" customFormat="1" x14ac:dyDescent="0.25">
      <c r="A72" s="212" t="s">
        <v>694</v>
      </c>
      <c r="B72" s="64">
        <v>14.64</v>
      </c>
      <c r="C72" s="64">
        <v>24.22</v>
      </c>
      <c r="D72" s="64">
        <v>24.4</v>
      </c>
      <c r="E72" s="64">
        <v>5.27</v>
      </c>
      <c r="F72" s="64">
        <v>16.149999999999999</v>
      </c>
      <c r="G72" s="64">
        <v>67.959999999999994</v>
      </c>
      <c r="H72" s="64">
        <v>12.01</v>
      </c>
      <c r="I72" s="64">
        <v>1.65</v>
      </c>
      <c r="J72" s="64">
        <v>0.13</v>
      </c>
      <c r="K72" s="64">
        <v>357.58</v>
      </c>
      <c r="L72" s="64">
        <v>29.6</v>
      </c>
      <c r="M72" s="64">
        <v>82.95</v>
      </c>
      <c r="N72" s="64">
        <v>178.9</v>
      </c>
      <c r="O72" s="64">
        <v>0</v>
      </c>
      <c r="P72" s="64">
        <v>0.85</v>
      </c>
      <c r="Q72" s="64">
        <v>9.1999999999999993</v>
      </c>
      <c r="R72" s="198"/>
      <c r="S72" s="198"/>
      <c r="T72" s="198"/>
      <c r="U72" s="198"/>
    </row>
    <row r="73" spans="1:21" s="12" customFormat="1" x14ac:dyDescent="0.25">
      <c r="A73" s="212" t="s">
        <v>695</v>
      </c>
      <c r="B73" s="64">
        <v>20.98</v>
      </c>
      <c r="C73" s="64">
        <v>27.36</v>
      </c>
      <c r="D73" s="64">
        <v>31.12</v>
      </c>
      <c r="E73" s="64">
        <v>5.93</v>
      </c>
      <c r="F73" s="64">
        <v>15.2</v>
      </c>
      <c r="G73" s="64">
        <v>68.599999999999994</v>
      </c>
      <c r="H73" s="64">
        <v>12.75</v>
      </c>
      <c r="I73" s="64">
        <v>1.66</v>
      </c>
      <c r="J73" s="64">
        <v>0.49</v>
      </c>
      <c r="K73" s="64">
        <v>339.64</v>
      </c>
      <c r="L73" s="64">
        <v>30.34</v>
      </c>
      <c r="M73" s="64">
        <v>79.98</v>
      </c>
      <c r="N73" s="64">
        <v>185.1</v>
      </c>
      <c r="O73" s="64">
        <v>0</v>
      </c>
      <c r="P73" s="64">
        <v>0.99</v>
      </c>
      <c r="Q73" s="64">
        <v>9.1999999999999993</v>
      </c>
      <c r="R73" s="198"/>
      <c r="S73" s="198"/>
      <c r="T73" s="198"/>
      <c r="U73" s="198"/>
    </row>
    <row r="74" spans="1:21" s="12" customFormat="1" x14ac:dyDescent="0.25">
      <c r="A74" s="212" t="s">
        <v>696</v>
      </c>
      <c r="B74" s="64">
        <v>15.34</v>
      </c>
      <c r="C74" s="64">
        <v>25.29</v>
      </c>
      <c r="D74" s="64">
        <v>25.51</v>
      </c>
      <c r="E74" s="64">
        <v>5.89</v>
      </c>
      <c r="F74" s="64">
        <v>17.170000000000002</v>
      </c>
      <c r="G74" s="64">
        <v>69.36</v>
      </c>
      <c r="H74" s="64">
        <v>13.64</v>
      </c>
      <c r="I74" s="64">
        <v>1.69</v>
      </c>
      <c r="J74" s="64">
        <v>0.63</v>
      </c>
      <c r="K74" s="64">
        <v>340.75</v>
      </c>
      <c r="L74" s="64">
        <v>30.9</v>
      </c>
      <c r="M74" s="64">
        <v>74.739999999999995</v>
      </c>
      <c r="N74" s="64">
        <v>196.3</v>
      </c>
      <c r="O74" s="64">
        <v>0</v>
      </c>
      <c r="P74" s="64">
        <v>0.92</v>
      </c>
      <c r="Q74" s="64">
        <v>9.23</v>
      </c>
      <c r="R74" s="198"/>
      <c r="S74" s="198"/>
      <c r="T74" s="198"/>
      <c r="U74" s="198"/>
    </row>
    <row r="75" spans="1:21" s="12" customFormat="1" x14ac:dyDescent="0.25">
      <c r="A75" s="212" t="s">
        <v>697</v>
      </c>
      <c r="B75" s="64">
        <v>19.98</v>
      </c>
      <c r="C75" s="64">
        <v>24.99</v>
      </c>
      <c r="D75" s="64">
        <v>29.08</v>
      </c>
      <c r="E75" s="64">
        <v>5.83</v>
      </c>
      <c r="F75" s="64">
        <v>15.86</v>
      </c>
      <c r="G75" s="64">
        <v>69.36</v>
      </c>
      <c r="H75" s="64">
        <v>13.64</v>
      </c>
      <c r="I75" s="64">
        <v>1.72</v>
      </c>
      <c r="J75" s="64">
        <v>0.5</v>
      </c>
      <c r="K75" s="64">
        <v>338.68</v>
      </c>
      <c r="L75" s="64">
        <v>31.18</v>
      </c>
      <c r="M75" s="64">
        <v>72.38</v>
      </c>
      <c r="N75" s="64">
        <v>164.5</v>
      </c>
      <c r="O75" s="64">
        <v>0</v>
      </c>
      <c r="P75" s="64">
        <v>0.86</v>
      </c>
      <c r="Q75" s="64">
        <v>9.2899999999999991</v>
      </c>
      <c r="R75" s="198"/>
      <c r="S75" s="198"/>
      <c r="T75" s="198"/>
      <c r="U75" s="198"/>
    </row>
    <row r="76" spans="1:21" s="12" customFormat="1" x14ac:dyDescent="0.25">
      <c r="A76" s="212" t="s">
        <v>698</v>
      </c>
      <c r="B76" s="64">
        <v>14.02</v>
      </c>
      <c r="C76" s="64">
        <v>20.21</v>
      </c>
      <c r="D76" s="64">
        <v>21.8</v>
      </c>
      <c r="E76" s="64">
        <v>5.95</v>
      </c>
      <c r="F76" s="64">
        <v>16.399999999999999</v>
      </c>
      <c r="G76" s="64">
        <v>69.36</v>
      </c>
      <c r="H76" s="64">
        <v>13.64</v>
      </c>
      <c r="I76" s="64">
        <v>1.77</v>
      </c>
      <c r="J76" s="64">
        <v>0.68</v>
      </c>
      <c r="K76" s="64">
        <v>336.96</v>
      </c>
      <c r="L76" s="64">
        <v>31.1</v>
      </c>
      <c r="M76" s="64">
        <v>71.849999999999994</v>
      </c>
      <c r="N76" s="64">
        <v>140.5</v>
      </c>
      <c r="O76" s="64">
        <v>0</v>
      </c>
      <c r="P76" s="64">
        <v>0.77</v>
      </c>
      <c r="Q76" s="64">
        <v>9.31</v>
      </c>
      <c r="R76" s="198"/>
      <c r="S76" s="198"/>
      <c r="T76" s="198"/>
      <c r="U76" s="198"/>
    </row>
    <row r="77" spans="1:21" s="12" customFormat="1" x14ac:dyDescent="0.25">
      <c r="A77" s="212" t="s">
        <v>699</v>
      </c>
      <c r="B77" s="64">
        <v>17.989999999999998</v>
      </c>
      <c r="C77" s="64">
        <v>20.47</v>
      </c>
      <c r="D77" s="64">
        <v>25.12</v>
      </c>
      <c r="E77" s="64">
        <v>5.55</v>
      </c>
      <c r="F77" s="64">
        <v>15.18</v>
      </c>
      <c r="G77" s="64">
        <v>65.78</v>
      </c>
      <c r="H77" s="64">
        <v>14.12</v>
      </c>
      <c r="I77" s="64">
        <v>1.82</v>
      </c>
      <c r="J77" s="64">
        <v>0.32</v>
      </c>
      <c r="K77" s="64">
        <v>338.79</v>
      </c>
      <c r="L77" s="64">
        <v>30.99</v>
      </c>
      <c r="M77" s="64">
        <v>71.52</v>
      </c>
      <c r="N77" s="64">
        <v>107</v>
      </c>
      <c r="O77" s="64">
        <v>0</v>
      </c>
      <c r="P77" s="64">
        <v>0.83</v>
      </c>
      <c r="Q77" s="64">
        <v>9.34</v>
      </c>
      <c r="R77" s="198"/>
      <c r="S77" s="198"/>
      <c r="T77" s="198"/>
      <c r="U77" s="198"/>
    </row>
    <row r="78" spans="1:21" s="12" customFormat="1" x14ac:dyDescent="0.25">
      <c r="A78" s="212" t="s">
        <v>700</v>
      </c>
      <c r="B78" s="64">
        <v>17.27</v>
      </c>
      <c r="C78" s="64">
        <v>22.18</v>
      </c>
      <c r="D78" s="64">
        <v>25.37</v>
      </c>
      <c r="E78" s="64">
        <v>5.64</v>
      </c>
      <c r="F78" s="64">
        <v>12.79</v>
      </c>
      <c r="G78" s="64">
        <v>61.49</v>
      </c>
      <c r="H78" s="64">
        <v>14.69</v>
      </c>
      <c r="I78" s="64">
        <v>1.95</v>
      </c>
      <c r="J78" s="64">
        <v>0.34</v>
      </c>
      <c r="K78" s="64">
        <v>328.59</v>
      </c>
      <c r="L78" s="64">
        <v>30.6</v>
      </c>
      <c r="M78" s="64">
        <v>72.69</v>
      </c>
      <c r="N78" s="64">
        <v>97.1</v>
      </c>
      <c r="O78" s="64">
        <v>0</v>
      </c>
      <c r="P78" s="64">
        <v>0.89</v>
      </c>
      <c r="Q78" s="64">
        <v>9.33</v>
      </c>
      <c r="R78" s="198"/>
      <c r="S78" s="198"/>
      <c r="T78" s="198"/>
      <c r="U78" s="198"/>
    </row>
    <row r="79" spans="1:21" s="12" customFormat="1" x14ac:dyDescent="0.25">
      <c r="A79" s="212" t="s">
        <v>701</v>
      </c>
      <c r="B79" s="64">
        <v>42.88</v>
      </c>
      <c r="C79" s="64">
        <v>23.79</v>
      </c>
      <c r="D79" s="64">
        <v>46.19</v>
      </c>
      <c r="E79" s="64">
        <v>5.97</v>
      </c>
      <c r="F79" s="64">
        <v>11.52</v>
      </c>
      <c r="G79" s="64">
        <v>61.49</v>
      </c>
      <c r="H79" s="64">
        <v>14.69</v>
      </c>
      <c r="I79" s="64">
        <v>1.9</v>
      </c>
      <c r="J79" s="64">
        <v>0.16</v>
      </c>
      <c r="K79" s="64">
        <v>327.49</v>
      </c>
      <c r="L79" s="64">
        <v>30.23</v>
      </c>
      <c r="M79" s="64">
        <v>73.3</v>
      </c>
      <c r="N79" s="64">
        <v>92</v>
      </c>
      <c r="O79" s="64">
        <v>0</v>
      </c>
      <c r="P79" s="64">
        <v>0.74</v>
      </c>
      <c r="Q79" s="64">
        <v>9.4</v>
      </c>
      <c r="R79" s="198"/>
      <c r="S79" s="198"/>
      <c r="T79" s="198"/>
      <c r="U79" s="198"/>
    </row>
    <row r="80" spans="1:21" s="12" customFormat="1" x14ac:dyDescent="0.25">
      <c r="A80" s="212" t="s">
        <v>702</v>
      </c>
      <c r="B80" s="64">
        <v>12.14</v>
      </c>
      <c r="C80" s="64">
        <v>22.29</v>
      </c>
      <c r="D80" s="64">
        <v>21.38</v>
      </c>
      <c r="E80" s="64">
        <v>5.72</v>
      </c>
      <c r="F80" s="64">
        <v>10.88</v>
      </c>
      <c r="G80" s="64">
        <v>61.49</v>
      </c>
      <c r="H80" s="64">
        <v>14.69</v>
      </c>
      <c r="I80" s="64">
        <v>1.85</v>
      </c>
      <c r="J80" s="64">
        <v>0.17</v>
      </c>
      <c r="K80" s="64">
        <v>327.93</v>
      </c>
      <c r="L80" s="64">
        <v>29.76</v>
      </c>
      <c r="M80" s="64">
        <v>80.52</v>
      </c>
      <c r="N80" s="64">
        <v>85.2</v>
      </c>
      <c r="O80" s="64">
        <v>0</v>
      </c>
      <c r="P80" s="64">
        <v>0.75</v>
      </c>
      <c r="Q80" s="64">
        <v>9.48</v>
      </c>
      <c r="R80" s="198"/>
      <c r="S80" s="198"/>
      <c r="T80" s="198"/>
      <c r="U80" s="198"/>
    </row>
    <row r="81" spans="1:26" s="12" customFormat="1" x14ac:dyDescent="0.25">
      <c r="A81" s="212" t="s">
        <v>703</v>
      </c>
      <c r="B81" s="64">
        <v>11.77</v>
      </c>
      <c r="C81" s="64">
        <v>25.12</v>
      </c>
      <c r="D81" s="64">
        <v>22.56</v>
      </c>
      <c r="E81" s="64">
        <v>5.33</v>
      </c>
      <c r="F81" s="64">
        <v>11.38</v>
      </c>
      <c r="G81" s="64">
        <v>69.94</v>
      </c>
      <c r="H81" s="64">
        <v>15.17</v>
      </c>
      <c r="I81" s="64">
        <v>1.9</v>
      </c>
      <c r="J81" s="64">
        <v>0.1</v>
      </c>
      <c r="K81" s="64">
        <v>343.51</v>
      </c>
      <c r="L81" s="64">
        <v>29.3</v>
      </c>
      <c r="M81" s="64">
        <v>87.93</v>
      </c>
      <c r="N81" s="64">
        <v>70.599999999999994</v>
      </c>
      <c r="O81" s="64">
        <v>0</v>
      </c>
      <c r="P81" s="64">
        <v>0.84</v>
      </c>
      <c r="Q81" s="64">
        <v>9.4499999999999993</v>
      </c>
      <c r="R81" s="198"/>
      <c r="S81" s="198"/>
      <c r="T81" s="198"/>
      <c r="U81" s="198"/>
    </row>
    <row r="82" spans="1:26" s="12" customFormat="1" x14ac:dyDescent="0.25">
      <c r="A82" s="212" t="s">
        <v>704</v>
      </c>
      <c r="B82" s="64">
        <v>21.36</v>
      </c>
      <c r="C82" s="64">
        <v>22.69</v>
      </c>
      <c r="D82" s="64">
        <v>28.99</v>
      </c>
      <c r="E82" s="64">
        <v>5.64</v>
      </c>
      <c r="F82" s="64">
        <v>10.119999999999999</v>
      </c>
      <c r="G82" s="64">
        <v>80.03</v>
      </c>
      <c r="H82" s="64">
        <v>15.75</v>
      </c>
      <c r="I82" s="64">
        <v>1.89</v>
      </c>
      <c r="J82" s="64">
        <v>0.28000000000000003</v>
      </c>
      <c r="K82" s="64">
        <v>338.92</v>
      </c>
      <c r="L82" s="64">
        <v>28.64</v>
      </c>
      <c r="M82" s="64">
        <v>92</v>
      </c>
      <c r="N82" s="64">
        <v>59.5</v>
      </c>
      <c r="O82" s="64">
        <v>0</v>
      </c>
      <c r="P82" s="64">
        <v>1.1000000000000001</v>
      </c>
      <c r="Q82" s="64">
        <v>9.42</v>
      </c>
      <c r="R82" s="198"/>
      <c r="S82" s="198"/>
      <c r="T82" s="198"/>
      <c r="U82" s="198"/>
    </row>
    <row r="83" spans="1:26" s="12" customFormat="1" x14ac:dyDescent="0.25">
      <c r="A83" s="212" t="s">
        <v>705</v>
      </c>
      <c r="B83" s="64">
        <v>13.68</v>
      </c>
      <c r="C83" s="64">
        <v>26.16</v>
      </c>
      <c r="D83" s="64">
        <v>24.64</v>
      </c>
      <c r="E83" s="64">
        <v>5.7</v>
      </c>
      <c r="F83" s="64">
        <v>9.49</v>
      </c>
      <c r="G83" s="64">
        <v>80.03</v>
      </c>
      <c r="H83" s="64">
        <v>15.75</v>
      </c>
      <c r="I83" s="64">
        <v>1.91</v>
      </c>
      <c r="J83" s="64">
        <v>0.03</v>
      </c>
      <c r="K83" s="64">
        <v>312.67</v>
      </c>
      <c r="L83" s="64">
        <v>28.3</v>
      </c>
      <c r="M83" s="64">
        <v>92</v>
      </c>
      <c r="N83" s="64">
        <v>53.8</v>
      </c>
      <c r="O83" s="64">
        <v>0</v>
      </c>
      <c r="P83" s="64">
        <v>1.1200000000000001</v>
      </c>
      <c r="Q83" s="64">
        <v>9.4499999999999993</v>
      </c>
      <c r="R83" s="198"/>
      <c r="S83" s="198"/>
      <c r="T83" s="198"/>
      <c r="U83" s="198"/>
    </row>
    <row r="84" spans="1:26" s="12" customFormat="1" x14ac:dyDescent="0.25">
      <c r="A84" s="212" t="s">
        <v>706</v>
      </c>
      <c r="B84" s="64">
        <v>12.62</v>
      </c>
      <c r="C84" s="64">
        <v>24.71</v>
      </c>
      <c r="D84" s="64">
        <v>23.03</v>
      </c>
      <c r="E84" s="64">
        <v>5.4</v>
      </c>
      <c r="F84" s="64">
        <v>8.8000000000000007</v>
      </c>
      <c r="G84" s="64">
        <v>80.03</v>
      </c>
      <c r="H84" s="64">
        <v>15.75</v>
      </c>
      <c r="I84" s="64">
        <v>2.04</v>
      </c>
      <c r="J84" s="64">
        <v>0.04</v>
      </c>
      <c r="K84" s="64">
        <v>231.71</v>
      </c>
      <c r="L84" s="64">
        <v>27.86</v>
      </c>
      <c r="M84" s="64">
        <v>93.38</v>
      </c>
      <c r="N84" s="64">
        <v>49.9</v>
      </c>
      <c r="O84" s="64">
        <v>0</v>
      </c>
      <c r="P84" s="64">
        <v>0.88</v>
      </c>
      <c r="Q84" s="64">
        <v>9.4499999999999993</v>
      </c>
      <c r="R84" s="198"/>
      <c r="S84" s="198"/>
      <c r="T84" s="198"/>
      <c r="U84" s="198"/>
    </row>
    <row r="85" spans="1:26" s="12" customFormat="1" x14ac:dyDescent="0.25">
      <c r="A85" s="212" t="s">
        <v>707</v>
      </c>
      <c r="B85" s="64">
        <v>5.96</v>
      </c>
      <c r="C85" s="64">
        <v>24.05</v>
      </c>
      <c r="D85" s="64">
        <v>17.350000000000001</v>
      </c>
      <c r="E85" s="64">
        <v>5.4</v>
      </c>
      <c r="F85" s="64">
        <v>9.4499999999999993</v>
      </c>
      <c r="G85" s="64">
        <v>89.28</v>
      </c>
      <c r="H85" s="64">
        <v>15.89</v>
      </c>
      <c r="I85" s="64">
        <v>2.15</v>
      </c>
      <c r="J85" s="64">
        <v>0.06</v>
      </c>
      <c r="K85" s="64">
        <v>235.27</v>
      </c>
      <c r="L85" s="64">
        <v>27.66</v>
      </c>
      <c r="M85" s="64">
        <v>93.78</v>
      </c>
      <c r="N85" s="64">
        <v>49.7</v>
      </c>
      <c r="O85" s="64">
        <v>0</v>
      </c>
      <c r="P85" s="64">
        <v>0.62</v>
      </c>
      <c r="Q85" s="64">
        <v>9.4499999999999993</v>
      </c>
      <c r="R85" s="198"/>
      <c r="S85" s="198"/>
      <c r="T85" s="198"/>
      <c r="U85" s="198"/>
    </row>
    <row r="86" spans="1:26" s="12" customFormat="1" x14ac:dyDescent="0.25">
      <c r="A86" s="212" t="s">
        <v>708</v>
      </c>
      <c r="B86" s="64">
        <v>5.1100000000000003</v>
      </c>
      <c r="C86" s="64">
        <v>23.46</v>
      </c>
      <c r="D86" s="64">
        <v>16.350000000000001</v>
      </c>
      <c r="E86" s="64">
        <v>5.36</v>
      </c>
      <c r="F86" s="64">
        <v>9.48</v>
      </c>
      <c r="G86" s="64">
        <v>100.35</v>
      </c>
      <c r="H86" s="64">
        <v>16.059999999999999</v>
      </c>
      <c r="I86" s="64">
        <v>2.17</v>
      </c>
      <c r="J86" s="64">
        <v>0.05</v>
      </c>
      <c r="K86" s="64">
        <v>249.4</v>
      </c>
      <c r="L86" s="64">
        <v>27.52</v>
      </c>
      <c r="M86" s="64">
        <v>93.76</v>
      </c>
      <c r="N86" s="64">
        <v>49.4</v>
      </c>
      <c r="O86" s="64">
        <v>0</v>
      </c>
      <c r="P86" s="64">
        <v>0.88</v>
      </c>
      <c r="Q86" s="64">
        <v>9.43</v>
      </c>
      <c r="R86" s="198"/>
      <c r="S86" s="198"/>
      <c r="T86" s="198"/>
      <c r="U86" s="198"/>
    </row>
    <row r="87" spans="1:26" s="12" customFormat="1" x14ac:dyDescent="0.25">
      <c r="A87" s="212" t="s">
        <v>709</v>
      </c>
      <c r="B87" s="64">
        <v>17.25</v>
      </c>
      <c r="C87" s="64">
        <v>26.66</v>
      </c>
      <c r="D87" s="64">
        <v>27.76</v>
      </c>
      <c r="E87" s="64">
        <v>5.32</v>
      </c>
      <c r="F87" s="64">
        <v>8.1300000000000008</v>
      </c>
      <c r="G87" s="64">
        <v>100.35</v>
      </c>
      <c r="H87" s="64">
        <v>16.059999999999999</v>
      </c>
      <c r="I87" s="64">
        <v>2.2799999999999998</v>
      </c>
      <c r="J87" s="64">
        <v>0.04</v>
      </c>
      <c r="K87" s="64">
        <v>15.83</v>
      </c>
      <c r="L87" s="64">
        <v>27.36</v>
      </c>
      <c r="M87" s="64">
        <v>96.19</v>
      </c>
      <c r="N87" s="64">
        <v>49.5</v>
      </c>
      <c r="O87" s="64">
        <v>0</v>
      </c>
      <c r="P87" s="64">
        <v>1.24</v>
      </c>
      <c r="Q87" s="64">
        <v>9.42</v>
      </c>
      <c r="R87" s="198"/>
      <c r="S87" s="198"/>
      <c r="T87" s="198"/>
      <c r="U87" s="198"/>
    </row>
    <row r="88" spans="1:26" s="12" customFormat="1" x14ac:dyDescent="0.25">
      <c r="A88" s="212" t="s">
        <v>710</v>
      </c>
      <c r="B88" s="64">
        <v>11.15</v>
      </c>
      <c r="C88" s="64">
        <v>23.96</v>
      </c>
      <c r="D88" s="64">
        <v>21.45</v>
      </c>
      <c r="E88" s="64">
        <v>5.15</v>
      </c>
      <c r="F88" s="64">
        <v>8.73</v>
      </c>
      <c r="G88" s="64">
        <v>100.35</v>
      </c>
      <c r="H88" s="64">
        <v>16.059999999999999</v>
      </c>
      <c r="I88" s="64">
        <v>2.4700000000000002</v>
      </c>
      <c r="J88" s="64">
        <v>0.06</v>
      </c>
      <c r="K88" s="64">
        <v>324.63</v>
      </c>
      <c r="L88" s="64">
        <v>27.13</v>
      </c>
      <c r="M88" s="64">
        <v>95.82</v>
      </c>
      <c r="N88" s="64">
        <v>49.6</v>
      </c>
      <c r="O88" s="64">
        <v>0</v>
      </c>
      <c r="P88" s="64">
        <v>0.92</v>
      </c>
      <c r="Q88" s="64">
        <v>9.4</v>
      </c>
      <c r="R88" s="198"/>
      <c r="S88" s="198"/>
      <c r="T88" s="198"/>
      <c r="U88" s="198"/>
    </row>
    <row r="89" spans="1:26" s="12" customFormat="1" x14ac:dyDescent="0.25">
      <c r="A89" s="212" t="s">
        <v>711</v>
      </c>
      <c r="B89" s="64">
        <v>19.22</v>
      </c>
      <c r="C89" s="64">
        <v>23.07</v>
      </c>
      <c r="D89" s="64">
        <v>27.32</v>
      </c>
      <c r="E89" s="64">
        <v>5.33</v>
      </c>
      <c r="F89" s="64">
        <v>6.83</v>
      </c>
      <c r="G89" s="64">
        <v>96.69</v>
      </c>
      <c r="H89" s="64">
        <v>16.77</v>
      </c>
      <c r="I89" s="64">
        <v>2.61</v>
      </c>
      <c r="J89" s="64">
        <v>0.13</v>
      </c>
      <c r="K89" s="64">
        <v>336.5</v>
      </c>
      <c r="L89" s="64">
        <v>26.99</v>
      </c>
      <c r="M89" s="64">
        <v>95.6</v>
      </c>
      <c r="N89" s="64">
        <v>49.4</v>
      </c>
      <c r="O89" s="64">
        <v>0</v>
      </c>
      <c r="P89" s="64">
        <v>1.1100000000000001</v>
      </c>
      <c r="Q89" s="64">
        <v>9.39</v>
      </c>
      <c r="R89" s="198"/>
      <c r="S89" s="198"/>
      <c r="T89" s="198"/>
      <c r="U89" s="198"/>
    </row>
    <row r="90" spans="1:26" s="12" customFormat="1" x14ac:dyDescent="0.25">
      <c r="A90" s="212" t="s">
        <v>712</v>
      </c>
      <c r="B90" s="64">
        <v>28.3</v>
      </c>
      <c r="C90" s="64">
        <v>18.7</v>
      </c>
      <c r="D90" s="64">
        <v>32.46</v>
      </c>
      <c r="E90" s="64">
        <v>5.43</v>
      </c>
      <c r="F90" s="64">
        <v>6.01</v>
      </c>
      <c r="G90" s="64">
        <v>92.33</v>
      </c>
      <c r="H90" s="64">
        <v>17.62</v>
      </c>
      <c r="I90" s="64">
        <v>2.7</v>
      </c>
      <c r="J90" s="64">
        <v>0.02</v>
      </c>
      <c r="K90" s="64">
        <v>7.18</v>
      </c>
      <c r="L90" s="64">
        <v>26.88</v>
      </c>
      <c r="M90" s="64">
        <v>96.97</v>
      </c>
      <c r="N90" s="64">
        <v>49.6</v>
      </c>
      <c r="O90" s="64">
        <v>0</v>
      </c>
      <c r="P90" s="64">
        <v>1.52</v>
      </c>
      <c r="Q90" s="64">
        <v>9.39</v>
      </c>
      <c r="R90" s="198"/>
      <c r="S90" s="198"/>
      <c r="T90" s="198"/>
      <c r="U90" s="198"/>
    </row>
    <row r="91" spans="1:26" s="12" customFormat="1" x14ac:dyDescent="0.25">
      <c r="A91" s="212" t="s">
        <v>713</v>
      </c>
      <c r="B91" s="64">
        <v>10.15</v>
      </c>
      <c r="C91" s="64">
        <v>23.76</v>
      </c>
      <c r="D91" s="64">
        <v>20.55</v>
      </c>
      <c r="E91" s="64">
        <v>5.69</v>
      </c>
      <c r="F91" s="64">
        <v>6.67</v>
      </c>
      <c r="G91" s="64">
        <v>92.33</v>
      </c>
      <c r="H91" s="64">
        <v>17.62</v>
      </c>
      <c r="I91" s="64">
        <v>2.77</v>
      </c>
      <c r="J91" s="64">
        <v>0.06</v>
      </c>
      <c r="K91" s="64">
        <v>190.05</v>
      </c>
      <c r="L91" s="64">
        <v>26.78</v>
      </c>
      <c r="M91" s="64">
        <v>95.5</v>
      </c>
      <c r="N91" s="64">
        <v>49.4</v>
      </c>
      <c r="O91" s="64">
        <v>0</v>
      </c>
      <c r="P91" s="64">
        <v>1.1000000000000001</v>
      </c>
      <c r="Q91" s="64">
        <v>9.43</v>
      </c>
      <c r="R91" s="198"/>
      <c r="S91" s="198"/>
      <c r="T91" s="198"/>
      <c r="U91" s="198"/>
    </row>
    <row r="92" spans="1:26" s="12" customFormat="1" x14ac:dyDescent="0.25">
      <c r="A92" s="212" t="s">
        <v>714</v>
      </c>
      <c r="B92" s="64">
        <v>9.89</v>
      </c>
      <c r="C92" s="64">
        <v>27.98</v>
      </c>
      <c r="D92" s="64">
        <v>22.55</v>
      </c>
      <c r="E92" s="64">
        <v>5.2</v>
      </c>
      <c r="F92" s="64">
        <v>6.8</v>
      </c>
      <c r="G92" s="64">
        <v>92.33</v>
      </c>
      <c r="H92" s="64">
        <v>17.62</v>
      </c>
      <c r="I92" s="64">
        <v>2.84</v>
      </c>
      <c r="J92" s="64">
        <v>0.06</v>
      </c>
      <c r="K92" s="64">
        <v>122.01</v>
      </c>
      <c r="L92" s="64">
        <v>26.75</v>
      </c>
      <c r="M92" s="64">
        <v>96.01</v>
      </c>
      <c r="N92" s="64">
        <v>49.6</v>
      </c>
      <c r="O92" s="64">
        <v>0</v>
      </c>
      <c r="P92" s="64">
        <v>0.89</v>
      </c>
      <c r="Q92" s="64">
        <v>9.4600000000000009</v>
      </c>
      <c r="R92" s="198"/>
      <c r="S92" s="198"/>
      <c r="T92" s="198"/>
      <c r="U92" s="198"/>
    </row>
    <row r="93" spans="1:26" s="12" customFormat="1" x14ac:dyDescent="0.25">
      <c r="A93" s="212" t="s">
        <v>715</v>
      </c>
      <c r="B93" s="64">
        <v>10.42</v>
      </c>
      <c r="C93" s="64">
        <v>26.47</v>
      </c>
      <c r="D93" s="64">
        <v>22.19</v>
      </c>
      <c r="E93" s="64">
        <v>4.9800000000000004</v>
      </c>
      <c r="F93" s="64">
        <v>6.67</v>
      </c>
      <c r="G93" s="64">
        <v>89.87</v>
      </c>
      <c r="H93" s="64">
        <v>17.899999999999999</v>
      </c>
      <c r="I93" s="64">
        <v>2.91</v>
      </c>
      <c r="J93" s="64">
        <v>0.02</v>
      </c>
      <c r="K93" s="64">
        <v>209.08</v>
      </c>
      <c r="L93" s="64">
        <v>26.6</v>
      </c>
      <c r="M93" s="64">
        <v>97.12</v>
      </c>
      <c r="N93" s="64">
        <v>49.5</v>
      </c>
      <c r="O93" s="64">
        <v>0</v>
      </c>
      <c r="P93" s="64">
        <v>0.75</v>
      </c>
      <c r="Q93" s="64">
        <v>9.48</v>
      </c>
      <c r="R93" s="198"/>
      <c r="S93" s="198"/>
      <c r="T93" s="198"/>
      <c r="U93" s="198"/>
    </row>
    <row r="94" spans="1:26" s="12" customFormat="1" x14ac:dyDescent="0.25">
      <c r="A94" s="212" t="s">
        <v>716</v>
      </c>
      <c r="B94" s="64">
        <v>10.61</v>
      </c>
      <c r="C94" s="64">
        <v>20.92</v>
      </c>
      <c r="D94" s="64">
        <v>19.43</v>
      </c>
      <c r="E94" s="64">
        <v>5.35</v>
      </c>
      <c r="F94" s="64">
        <v>8.1199999999999992</v>
      </c>
      <c r="G94" s="64">
        <v>86.94</v>
      </c>
      <c r="H94" s="64">
        <v>18.239999999999998</v>
      </c>
      <c r="I94" s="64">
        <v>2.96</v>
      </c>
      <c r="J94" s="64">
        <v>0.06</v>
      </c>
      <c r="K94" s="64">
        <v>328.97</v>
      </c>
      <c r="L94" s="64">
        <v>26.53</v>
      </c>
      <c r="M94" s="64">
        <v>97.53</v>
      </c>
      <c r="N94" s="64">
        <v>49.4</v>
      </c>
      <c r="O94" s="64">
        <v>0</v>
      </c>
      <c r="P94" s="64">
        <v>0.61</v>
      </c>
      <c r="Q94" s="64">
        <v>9.48</v>
      </c>
      <c r="R94" s="198"/>
      <c r="S94" s="198"/>
      <c r="T94" s="198"/>
      <c r="U94" s="198"/>
    </row>
    <row r="95" spans="1:26" s="12" customFormat="1" x14ac:dyDescent="0.25">
      <c r="A95" s="212" t="s">
        <v>717</v>
      </c>
      <c r="B95" s="64">
        <v>8.17</v>
      </c>
      <c r="C95" s="64">
        <v>19.190000000000001</v>
      </c>
      <c r="D95" s="64">
        <v>16.57</v>
      </c>
      <c r="E95" s="64">
        <v>5.36</v>
      </c>
      <c r="F95" s="64">
        <v>8.33</v>
      </c>
      <c r="G95" s="64">
        <v>86.94</v>
      </c>
      <c r="H95" s="64">
        <v>18.239999999999998</v>
      </c>
      <c r="I95" s="64">
        <v>2.98</v>
      </c>
      <c r="J95" s="64">
        <v>0.04</v>
      </c>
      <c r="K95" s="64">
        <v>145.72999999999999</v>
      </c>
      <c r="L95" s="64">
        <v>26.4</v>
      </c>
      <c r="M95" s="64">
        <v>97.58</v>
      </c>
      <c r="N95" s="64">
        <v>49.4</v>
      </c>
      <c r="O95" s="64">
        <v>0</v>
      </c>
      <c r="P95" s="64">
        <v>0.45</v>
      </c>
      <c r="Q95" s="64">
        <v>9.49</v>
      </c>
      <c r="R95" s="198"/>
      <c r="S95" s="198"/>
      <c r="T95" s="198"/>
      <c r="U95" s="198"/>
    </row>
    <row r="96" spans="1:26" s="12" customFormat="1" x14ac:dyDescent="0.25">
      <c r="A96" s="212" t="s">
        <v>718</v>
      </c>
      <c r="B96" s="64">
        <v>19.809999999999999</v>
      </c>
      <c r="C96" s="64">
        <v>22.15</v>
      </c>
      <c r="D96" s="64">
        <v>27.46</v>
      </c>
      <c r="E96" s="64">
        <v>5.29</v>
      </c>
      <c r="F96" s="64">
        <v>6.03</v>
      </c>
      <c r="G96" s="64">
        <v>86.94</v>
      </c>
      <c r="H96" s="64">
        <v>18.239999999999998</v>
      </c>
      <c r="I96" s="64">
        <v>2.96</v>
      </c>
      <c r="J96" s="64">
        <v>0.08</v>
      </c>
      <c r="K96" s="64">
        <v>321.58999999999997</v>
      </c>
      <c r="L96" s="64">
        <v>26.32</v>
      </c>
      <c r="M96" s="64">
        <v>97.58</v>
      </c>
      <c r="N96" s="64">
        <v>49.4</v>
      </c>
      <c r="O96" s="64">
        <v>0</v>
      </c>
      <c r="P96" s="64">
        <v>0.62</v>
      </c>
      <c r="Q96" s="64">
        <v>9.5</v>
      </c>
      <c r="R96" s="198"/>
      <c r="S96" s="198"/>
      <c r="T96" s="198"/>
      <c r="U96" s="198"/>
      <c r="Z96" s="109"/>
    </row>
    <row r="97" spans="1:33" s="12" customFormat="1" x14ac:dyDescent="0.25">
      <c r="A97" s="212" t="s">
        <v>719</v>
      </c>
      <c r="B97" s="64">
        <v>37.979999999999997</v>
      </c>
      <c r="C97" s="64">
        <v>17.309999999999999</v>
      </c>
      <c r="D97" s="64">
        <v>39.5</v>
      </c>
      <c r="E97" s="64">
        <v>5.64</v>
      </c>
      <c r="F97" s="64">
        <v>4.93</v>
      </c>
      <c r="G97" s="64">
        <v>86.67</v>
      </c>
      <c r="H97" s="64">
        <v>18.440000000000001</v>
      </c>
      <c r="I97" s="64">
        <v>2.93</v>
      </c>
      <c r="J97" s="64">
        <v>0.19</v>
      </c>
      <c r="K97" s="64">
        <v>343.25</v>
      </c>
      <c r="L97" s="64">
        <v>26.12</v>
      </c>
      <c r="M97" s="64">
        <v>97.62</v>
      </c>
      <c r="N97" s="64">
        <v>49.5</v>
      </c>
      <c r="O97" s="64">
        <v>0</v>
      </c>
      <c r="P97" s="64">
        <v>1.39</v>
      </c>
      <c r="Q97" s="64">
        <v>9.52</v>
      </c>
      <c r="R97" s="198"/>
      <c r="S97" s="198"/>
      <c r="T97" s="198"/>
      <c r="U97" s="198"/>
    </row>
    <row r="98" spans="1:33" s="12" customFormat="1" x14ac:dyDescent="0.25">
      <c r="A98" s="212" t="s">
        <v>720</v>
      </c>
      <c r="B98" s="64">
        <v>28.3</v>
      </c>
      <c r="C98" s="64">
        <v>19.39</v>
      </c>
      <c r="D98" s="64">
        <v>32.82</v>
      </c>
      <c r="E98" s="64">
        <v>5.31</v>
      </c>
      <c r="F98" s="64">
        <v>4.9000000000000004</v>
      </c>
      <c r="G98" s="64">
        <v>86.35</v>
      </c>
      <c r="H98" s="64">
        <v>18.670000000000002</v>
      </c>
      <c r="I98" s="64">
        <v>2.9</v>
      </c>
      <c r="J98" s="64">
        <v>0.09</v>
      </c>
      <c r="K98" s="64">
        <v>316.72000000000003</v>
      </c>
      <c r="L98" s="64">
        <v>25.81</v>
      </c>
      <c r="M98" s="64">
        <v>97.62</v>
      </c>
      <c r="N98" s="64">
        <v>49.4</v>
      </c>
      <c r="O98" s="64">
        <v>0</v>
      </c>
      <c r="P98" s="64">
        <v>1.1499999999999999</v>
      </c>
      <c r="Q98" s="64">
        <v>9.5500000000000007</v>
      </c>
      <c r="R98" s="198"/>
      <c r="S98" s="198"/>
      <c r="T98" s="198"/>
      <c r="U98" s="198"/>
    </row>
    <row r="99" spans="1:33" s="12" customFormat="1" x14ac:dyDescent="0.25">
      <c r="A99" s="212" t="s">
        <v>721</v>
      </c>
      <c r="B99" s="64">
        <v>35.65</v>
      </c>
      <c r="C99" s="64">
        <v>16.14</v>
      </c>
      <c r="D99" s="64">
        <v>36.94</v>
      </c>
      <c r="E99" s="64">
        <v>5.34</v>
      </c>
      <c r="F99" s="64">
        <v>4.87</v>
      </c>
      <c r="G99" s="64">
        <v>86.35</v>
      </c>
      <c r="H99" s="64">
        <v>18.670000000000002</v>
      </c>
      <c r="I99" s="64">
        <v>2.91</v>
      </c>
      <c r="J99" s="64">
        <v>0.08</v>
      </c>
      <c r="K99" s="64">
        <v>314.33</v>
      </c>
      <c r="L99" s="64">
        <v>25.63</v>
      </c>
      <c r="M99" s="64">
        <v>97.65</v>
      </c>
      <c r="N99" s="64">
        <v>49.6</v>
      </c>
      <c r="O99" s="64">
        <v>0</v>
      </c>
      <c r="P99" s="64">
        <v>0.9</v>
      </c>
      <c r="Q99" s="64">
        <v>9.58</v>
      </c>
      <c r="R99" s="198"/>
      <c r="S99" s="198"/>
      <c r="T99" s="198"/>
      <c r="U99" s="198"/>
    </row>
    <row r="100" spans="1:33" s="12" customFormat="1" x14ac:dyDescent="0.25">
      <c r="A100" s="212" t="s">
        <v>722</v>
      </c>
      <c r="B100" s="64">
        <v>30.99</v>
      </c>
      <c r="C100" s="64">
        <v>20.16</v>
      </c>
      <c r="D100" s="64">
        <v>35.39</v>
      </c>
      <c r="E100" s="64">
        <v>5.49</v>
      </c>
      <c r="F100" s="64">
        <v>3.92</v>
      </c>
      <c r="G100" s="64">
        <v>86.35</v>
      </c>
      <c r="H100" s="64">
        <v>18.670000000000002</v>
      </c>
      <c r="I100" s="64">
        <v>2.92</v>
      </c>
      <c r="J100" s="64">
        <v>0.04</v>
      </c>
      <c r="K100" s="64">
        <v>244.23</v>
      </c>
      <c r="L100" s="64">
        <v>25.56</v>
      </c>
      <c r="M100" s="64">
        <v>97.71</v>
      </c>
      <c r="N100" s="64">
        <v>49.6</v>
      </c>
      <c r="O100" s="64">
        <v>0</v>
      </c>
      <c r="P100" s="64">
        <v>0.76</v>
      </c>
      <c r="Q100" s="64">
        <v>9.6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2" t="s">
        <v>723</v>
      </c>
      <c r="B101" s="64">
        <v>12.43</v>
      </c>
      <c r="C101" s="64">
        <v>18.760000000000002</v>
      </c>
      <c r="D101" s="64">
        <v>19.77</v>
      </c>
      <c r="E101" s="64">
        <v>5.29</v>
      </c>
      <c r="F101" s="64">
        <v>5.64</v>
      </c>
      <c r="G101" s="64">
        <v>87.03</v>
      </c>
      <c r="H101" s="64">
        <v>16.38</v>
      </c>
      <c r="I101" s="64">
        <v>2.9</v>
      </c>
      <c r="J101" s="64">
        <v>0.1</v>
      </c>
      <c r="K101" s="64">
        <v>327.37</v>
      </c>
      <c r="L101" s="64">
        <v>25.58</v>
      </c>
      <c r="M101" s="64">
        <v>97.69</v>
      </c>
      <c r="N101" s="64">
        <v>49.4</v>
      </c>
      <c r="O101" s="64">
        <v>0</v>
      </c>
      <c r="P101" s="64">
        <v>0.57999999999999996</v>
      </c>
      <c r="Q101" s="64">
        <v>9.61</v>
      </c>
      <c r="R101" s="198"/>
      <c r="S101" s="198"/>
      <c r="T101" s="198"/>
      <c r="U101" s="198"/>
    </row>
    <row r="102" spans="1:33" s="12" customFormat="1" x14ac:dyDescent="0.25">
      <c r="A102" s="212" t="s">
        <v>724</v>
      </c>
      <c r="B102" s="64">
        <v>8.92</v>
      </c>
      <c r="C102" s="64">
        <v>15.45</v>
      </c>
      <c r="D102" s="64">
        <v>15.22</v>
      </c>
      <c r="E102" s="64">
        <v>5.26</v>
      </c>
      <c r="F102" s="64">
        <v>6.55</v>
      </c>
      <c r="G102" s="64">
        <v>87.85</v>
      </c>
      <c r="H102" s="64">
        <v>13.64</v>
      </c>
      <c r="I102" s="64">
        <v>2.88</v>
      </c>
      <c r="J102" s="64">
        <v>0.04</v>
      </c>
      <c r="K102" s="64">
        <v>152.71</v>
      </c>
      <c r="L102" s="64">
        <v>25.5</v>
      </c>
      <c r="M102" s="64">
        <v>97.67</v>
      </c>
      <c r="N102" s="64">
        <v>49.5</v>
      </c>
      <c r="O102" s="64">
        <v>0</v>
      </c>
      <c r="P102" s="64">
        <v>0.56999999999999995</v>
      </c>
      <c r="Q102" s="64">
        <v>9.6199999999999992</v>
      </c>
      <c r="R102" s="198"/>
      <c r="S102" s="198"/>
      <c r="T102" s="198"/>
      <c r="U102" s="198"/>
    </row>
    <row r="103" spans="1:33" s="12" customFormat="1" x14ac:dyDescent="0.25">
      <c r="A103" s="212" t="s">
        <v>725</v>
      </c>
      <c r="B103" s="64">
        <v>7.65</v>
      </c>
      <c r="C103" s="64">
        <v>13.51</v>
      </c>
      <c r="D103" s="64">
        <v>13.19</v>
      </c>
      <c r="E103" s="64">
        <v>5.12</v>
      </c>
      <c r="F103" s="64">
        <v>7.28</v>
      </c>
      <c r="G103" s="64">
        <v>87.85</v>
      </c>
      <c r="H103" s="64">
        <v>13.64</v>
      </c>
      <c r="I103" s="64">
        <v>2.86</v>
      </c>
      <c r="J103" s="64">
        <v>0.04</v>
      </c>
      <c r="K103" s="64">
        <v>218.49</v>
      </c>
      <c r="L103" s="64">
        <v>25.53</v>
      </c>
      <c r="M103" s="64">
        <v>97.7</v>
      </c>
      <c r="N103" s="64">
        <v>49.4</v>
      </c>
      <c r="O103" s="64">
        <v>0</v>
      </c>
      <c r="P103" s="64">
        <v>0.37</v>
      </c>
      <c r="Q103" s="64">
        <v>9.6300000000000008</v>
      </c>
      <c r="R103" s="198"/>
      <c r="S103" s="198"/>
      <c r="T103" s="198"/>
      <c r="U103" s="198"/>
    </row>
    <row r="104" spans="1:33" s="12" customFormat="1" x14ac:dyDescent="0.25">
      <c r="A104" s="212" t="s">
        <v>726</v>
      </c>
      <c r="B104" s="64">
        <v>10.14</v>
      </c>
      <c r="C104" s="64">
        <v>15.37</v>
      </c>
      <c r="D104" s="64">
        <v>16.16</v>
      </c>
      <c r="E104" s="64">
        <v>4.68</v>
      </c>
      <c r="F104" s="64">
        <v>7.14</v>
      </c>
      <c r="G104" s="64">
        <v>87.85</v>
      </c>
      <c r="H104" s="64">
        <v>13.64</v>
      </c>
      <c r="I104" s="64">
        <v>2.82</v>
      </c>
      <c r="J104" s="64">
        <v>7.0000000000000007E-2</v>
      </c>
      <c r="K104" s="64">
        <v>344.62</v>
      </c>
      <c r="L104" s="64">
        <v>25.57</v>
      </c>
      <c r="M104" s="64">
        <v>97.7</v>
      </c>
      <c r="N104" s="64">
        <v>49.6</v>
      </c>
      <c r="O104" s="64">
        <v>0.2</v>
      </c>
      <c r="P104" s="64">
        <v>0.42</v>
      </c>
      <c r="Q104" s="64">
        <v>9.6199999999999992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4.05</v>
      </c>
      <c r="C106" s="67">
        <f>MIN(C9:C104)</f>
        <v>7.88</v>
      </c>
      <c r="D106" s="67">
        <f t="shared" ref="D106:Q106" si="0">MIN(D9:D104)</f>
        <v>7.85</v>
      </c>
      <c r="E106" s="67">
        <f t="shared" si="0"/>
        <v>3.92</v>
      </c>
      <c r="F106" s="67">
        <f t="shared" si="0"/>
        <v>3.92</v>
      </c>
      <c r="G106" s="67">
        <f t="shared" si="0"/>
        <v>45.02</v>
      </c>
      <c r="H106" s="67">
        <f t="shared" si="0"/>
        <v>6.58</v>
      </c>
      <c r="I106" s="67">
        <f t="shared" si="0"/>
        <v>1.28</v>
      </c>
      <c r="J106" s="67">
        <f t="shared" si="0"/>
        <v>0</v>
      </c>
      <c r="K106" s="67">
        <f t="shared" si="0"/>
        <v>7.18</v>
      </c>
      <c r="L106" s="67">
        <f t="shared" si="0"/>
        <v>24.4</v>
      </c>
      <c r="M106" s="67">
        <f t="shared" si="0"/>
        <v>58.5</v>
      </c>
      <c r="N106" s="67">
        <f t="shared" si="0"/>
        <v>49.4</v>
      </c>
      <c r="O106" s="67">
        <f t="shared" si="0"/>
        <v>0</v>
      </c>
      <c r="P106" s="67">
        <f t="shared" si="0"/>
        <v>0.13</v>
      </c>
      <c r="Q106" s="67">
        <f t="shared" si="0"/>
        <v>9.0500000000000007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42.88</v>
      </c>
      <c r="C107" s="66">
        <f t="shared" ref="C107:Q107" si="1">MAX(C9:C104)</f>
        <v>27.98</v>
      </c>
      <c r="D107" s="66">
        <f t="shared" si="1"/>
        <v>46.19</v>
      </c>
      <c r="E107" s="66">
        <f t="shared" si="1"/>
        <v>5.97</v>
      </c>
      <c r="F107" s="66">
        <f t="shared" si="1"/>
        <v>19.440000000000001</v>
      </c>
      <c r="G107" s="66">
        <f t="shared" si="1"/>
        <v>100.35</v>
      </c>
      <c r="H107" s="66">
        <f t="shared" si="1"/>
        <v>18.670000000000002</v>
      </c>
      <c r="I107" s="66">
        <f t="shared" si="1"/>
        <v>2.98</v>
      </c>
      <c r="J107" s="66">
        <f t="shared" si="1"/>
        <v>0.75</v>
      </c>
      <c r="K107" s="66">
        <f t="shared" si="1"/>
        <v>357.75</v>
      </c>
      <c r="L107" s="66">
        <f t="shared" si="1"/>
        <v>35.700000000000003</v>
      </c>
      <c r="M107" s="66">
        <f t="shared" si="1"/>
        <v>98.42</v>
      </c>
      <c r="N107" s="66">
        <f t="shared" si="1"/>
        <v>831.5</v>
      </c>
      <c r="O107" s="66">
        <f t="shared" si="1"/>
        <v>0.2</v>
      </c>
      <c r="P107" s="66">
        <f t="shared" si="1"/>
        <v>1.52</v>
      </c>
      <c r="Q107" s="66">
        <f t="shared" si="1"/>
        <v>9.6300000000000008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11.054166666666667</v>
      </c>
      <c r="C108" s="67">
        <f t="shared" ref="C108:Q108" si="2">AVERAGE(C9:C104)</f>
        <v>16.185416666666672</v>
      </c>
      <c r="D108" s="67">
        <f t="shared" si="2"/>
        <v>17.310937500000001</v>
      </c>
      <c r="E108" s="67">
        <f t="shared" si="2"/>
        <v>4.9353124999999984</v>
      </c>
      <c r="F108" s="67">
        <f t="shared" si="2"/>
        <v>10.576770833333329</v>
      </c>
      <c r="G108" s="67">
        <f t="shared" si="2"/>
        <v>64.493541666666658</v>
      </c>
      <c r="H108" s="67">
        <f t="shared" si="2"/>
        <v>12.98302083333334</v>
      </c>
      <c r="I108" s="67">
        <f t="shared" si="2"/>
        <v>1.8780208333333339</v>
      </c>
      <c r="J108" s="67">
        <f t="shared" si="2"/>
        <v>0.17197916666666668</v>
      </c>
      <c r="K108" s="67">
        <f t="shared" si="2"/>
        <v>243.79697916666669</v>
      </c>
      <c r="L108" s="67">
        <f t="shared" si="2"/>
        <v>27.95385416666667</v>
      </c>
      <c r="M108" s="67">
        <f t="shared" si="2"/>
        <v>88.774895833333346</v>
      </c>
      <c r="N108" s="67">
        <f t="shared" si="2"/>
        <v>199.8885416666667</v>
      </c>
      <c r="O108" s="67">
        <f t="shared" si="2"/>
        <v>4.1666666666666666E-3</v>
      </c>
      <c r="P108" s="67">
        <f t="shared" si="2"/>
        <v>0.54958333333333331</v>
      </c>
      <c r="Q108" s="67">
        <f t="shared" si="2"/>
        <v>9.2449999999999992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7.3993711918708094</v>
      </c>
      <c r="C109" s="67">
        <f t="shared" ref="C109:Q109" si="3">STDEV(C9:C104)</f>
        <v>5.9792384511859158</v>
      </c>
      <c r="D109" s="67">
        <f t="shared" si="3"/>
        <v>8.021520931794079</v>
      </c>
      <c r="E109" s="67">
        <f t="shared" si="3"/>
        <v>0.50325457223328074</v>
      </c>
      <c r="F109" s="67">
        <f t="shared" si="3"/>
        <v>3.6278079490721375</v>
      </c>
      <c r="G109" s="67">
        <f t="shared" si="3"/>
        <v>16.654170584297475</v>
      </c>
      <c r="H109" s="67">
        <f t="shared" si="3"/>
        <v>3.1211088177429431</v>
      </c>
      <c r="I109" s="67">
        <f t="shared" si="3"/>
        <v>0.49404585295755704</v>
      </c>
      <c r="J109" s="67">
        <f t="shared" si="3"/>
        <v>0.18141328096027559</v>
      </c>
      <c r="K109" s="67">
        <f t="shared" si="3"/>
        <v>96.35692724252182</v>
      </c>
      <c r="L109" s="67">
        <f t="shared" si="3"/>
        <v>2.9657491712769235</v>
      </c>
      <c r="M109" s="67">
        <f t="shared" si="3"/>
        <v>11.621726748663976</v>
      </c>
      <c r="N109" s="67">
        <f t="shared" si="3"/>
        <v>201.34134245880571</v>
      </c>
      <c r="O109" s="67">
        <f t="shared" si="3"/>
        <v>2.8715177232759195E-2</v>
      </c>
      <c r="P109" s="67">
        <f t="shared" si="3"/>
        <v>0.31837057741161251</v>
      </c>
      <c r="Q109" s="67">
        <f t="shared" si="3"/>
        <v>0.160446744730882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216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54" sqref="I5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06/08/2025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2" t="s">
        <v>727</v>
      </c>
      <c r="B9" s="64">
        <v>7.3</v>
      </c>
      <c r="C9" s="64">
        <v>14.88</v>
      </c>
      <c r="D9" s="64">
        <v>13.62</v>
      </c>
      <c r="E9" s="64">
        <v>4.51</v>
      </c>
      <c r="F9" s="64">
        <v>7.46</v>
      </c>
      <c r="G9" s="64">
        <v>82.6</v>
      </c>
      <c r="H9" s="64">
        <v>13.54</v>
      </c>
      <c r="I9" s="64">
        <v>2.75</v>
      </c>
      <c r="J9" s="64">
        <v>0.03</v>
      </c>
      <c r="K9" s="64">
        <v>345.98</v>
      </c>
      <c r="L9" s="64">
        <v>25.46</v>
      </c>
      <c r="M9" s="64">
        <v>97.68</v>
      </c>
      <c r="N9" s="64">
        <v>49.7</v>
      </c>
      <c r="O9" s="64">
        <v>0</v>
      </c>
      <c r="P9" s="64">
        <v>0.28999999999999998</v>
      </c>
      <c r="Q9" s="64">
        <v>9.6199999999999992</v>
      </c>
      <c r="R9" s="198"/>
      <c r="S9" s="198"/>
      <c r="T9" s="198"/>
      <c r="U9" s="198"/>
    </row>
    <row r="10" spans="1:21" s="12" customFormat="1" x14ac:dyDescent="0.25">
      <c r="A10" s="212" t="s">
        <v>728</v>
      </c>
      <c r="B10" s="64">
        <v>5.08</v>
      </c>
      <c r="C10" s="64">
        <v>13.15</v>
      </c>
      <c r="D10" s="64">
        <v>10.94</v>
      </c>
      <c r="E10" s="64">
        <v>4.5599999999999996</v>
      </c>
      <c r="F10" s="64">
        <v>8.5500000000000007</v>
      </c>
      <c r="G10" s="64">
        <v>76.33</v>
      </c>
      <c r="H10" s="64">
        <v>13.43</v>
      </c>
      <c r="I10" s="64">
        <v>2.7</v>
      </c>
      <c r="J10" s="64">
        <v>0.14000000000000001</v>
      </c>
      <c r="K10" s="64">
        <v>116.26</v>
      </c>
      <c r="L10" s="64">
        <v>25.39</v>
      </c>
      <c r="M10" s="64">
        <v>97.69</v>
      </c>
      <c r="N10" s="64">
        <v>49.4</v>
      </c>
      <c r="O10" s="64">
        <v>0</v>
      </c>
      <c r="P10" s="64">
        <v>0.2</v>
      </c>
      <c r="Q10" s="64">
        <v>9.6</v>
      </c>
      <c r="R10" s="198"/>
      <c r="S10" s="198"/>
      <c r="T10" s="198"/>
      <c r="U10" s="198"/>
    </row>
    <row r="11" spans="1:21" s="12" customFormat="1" x14ac:dyDescent="0.25">
      <c r="A11" s="212" t="s">
        <v>729</v>
      </c>
      <c r="B11" s="64">
        <v>4.74</v>
      </c>
      <c r="C11" s="64">
        <v>10.51</v>
      </c>
      <c r="D11" s="64">
        <v>9.2899999999999991</v>
      </c>
      <c r="E11" s="64">
        <v>4.57</v>
      </c>
      <c r="F11" s="64">
        <v>8.85</v>
      </c>
      <c r="G11" s="64">
        <v>76.33</v>
      </c>
      <c r="H11" s="64">
        <v>13.43</v>
      </c>
      <c r="I11" s="64">
        <v>2.65</v>
      </c>
      <c r="J11" s="64">
        <v>0.03</v>
      </c>
      <c r="K11" s="64">
        <v>185.77</v>
      </c>
      <c r="L11" s="64">
        <v>25.4</v>
      </c>
      <c r="M11" s="64">
        <v>97.7</v>
      </c>
      <c r="N11" s="64">
        <v>49.7</v>
      </c>
      <c r="O11" s="64">
        <v>0</v>
      </c>
      <c r="P11" s="64">
        <v>0.21</v>
      </c>
      <c r="Q11" s="64">
        <v>9.58</v>
      </c>
      <c r="R11" s="198"/>
      <c r="S11" s="198"/>
      <c r="T11" s="198"/>
      <c r="U11" s="198"/>
    </row>
    <row r="12" spans="1:21" s="12" customFormat="1" x14ac:dyDescent="0.25">
      <c r="A12" s="212" t="s">
        <v>730</v>
      </c>
      <c r="B12" s="64">
        <v>5.59</v>
      </c>
      <c r="C12" s="64">
        <v>8.23</v>
      </c>
      <c r="D12" s="64">
        <v>8.7799999999999994</v>
      </c>
      <c r="E12" s="64">
        <v>4.51</v>
      </c>
      <c r="F12" s="64">
        <v>9.33</v>
      </c>
      <c r="G12" s="64">
        <v>76.33</v>
      </c>
      <c r="H12" s="64">
        <v>13.43</v>
      </c>
      <c r="I12" s="64">
        <v>2.58</v>
      </c>
      <c r="J12" s="64">
        <v>0.06</v>
      </c>
      <c r="K12" s="64">
        <v>99.8</v>
      </c>
      <c r="L12" s="64">
        <v>25.38</v>
      </c>
      <c r="M12" s="64">
        <v>97.69</v>
      </c>
      <c r="N12" s="64">
        <v>49.7</v>
      </c>
      <c r="O12" s="64">
        <v>0</v>
      </c>
      <c r="P12" s="64">
        <v>0.2</v>
      </c>
      <c r="Q12" s="64">
        <v>9.57</v>
      </c>
      <c r="R12" s="198"/>
      <c r="S12" s="198"/>
      <c r="T12" s="198"/>
      <c r="U12" s="198"/>
    </row>
    <row r="13" spans="1:21" s="12" customFormat="1" x14ac:dyDescent="0.25">
      <c r="A13" s="212" t="s">
        <v>731</v>
      </c>
      <c r="B13" s="64">
        <v>8.0399999999999991</v>
      </c>
      <c r="C13" s="64">
        <v>6.43</v>
      </c>
      <c r="D13" s="64">
        <v>9.81</v>
      </c>
      <c r="E13" s="64">
        <v>4.3899999999999997</v>
      </c>
      <c r="F13" s="64">
        <v>9.56</v>
      </c>
      <c r="G13" s="64">
        <v>69.290000000000006</v>
      </c>
      <c r="H13" s="64">
        <v>13.46</v>
      </c>
      <c r="I13" s="64">
        <v>2.52</v>
      </c>
      <c r="J13" s="64">
        <v>0.19</v>
      </c>
      <c r="K13" s="64">
        <v>124.92</v>
      </c>
      <c r="L13" s="64">
        <v>25.35</v>
      </c>
      <c r="M13" s="64">
        <v>97.68</v>
      </c>
      <c r="N13" s="64">
        <v>49.6</v>
      </c>
      <c r="O13" s="64">
        <v>0</v>
      </c>
      <c r="P13" s="64">
        <v>0.21</v>
      </c>
      <c r="Q13" s="64">
        <v>9.56</v>
      </c>
      <c r="R13" s="198"/>
      <c r="S13" s="198"/>
      <c r="T13" s="198"/>
      <c r="U13" s="198"/>
    </row>
    <row r="14" spans="1:21" s="12" customFormat="1" x14ac:dyDescent="0.25">
      <c r="A14" s="212" t="s">
        <v>732</v>
      </c>
      <c r="B14" s="64">
        <v>8.58</v>
      </c>
      <c r="C14" s="64">
        <v>5.68</v>
      </c>
      <c r="D14" s="64">
        <v>9.85</v>
      </c>
      <c r="E14" s="64">
        <v>4.75</v>
      </c>
      <c r="F14" s="64">
        <v>9.2799999999999994</v>
      </c>
      <c r="G14" s="64">
        <v>60.87</v>
      </c>
      <c r="H14" s="64">
        <v>13.49</v>
      </c>
      <c r="I14" s="64">
        <v>2.4500000000000002</v>
      </c>
      <c r="J14" s="64">
        <v>0.03</v>
      </c>
      <c r="K14" s="64">
        <v>271.31</v>
      </c>
      <c r="L14" s="64">
        <v>25.34</v>
      </c>
      <c r="M14" s="64">
        <v>97.68</v>
      </c>
      <c r="N14" s="64">
        <v>50</v>
      </c>
      <c r="O14" s="64">
        <v>0</v>
      </c>
      <c r="P14" s="64">
        <v>0.22</v>
      </c>
      <c r="Q14" s="64">
        <v>9.5500000000000007</v>
      </c>
      <c r="R14" s="198"/>
      <c r="S14" s="198"/>
      <c r="T14" s="198"/>
      <c r="U14" s="198"/>
    </row>
    <row r="15" spans="1:21" s="12" customFormat="1" x14ac:dyDescent="0.25">
      <c r="A15" s="212" t="s">
        <v>733</v>
      </c>
      <c r="B15" s="64">
        <v>7.83</v>
      </c>
      <c r="C15" s="64">
        <v>5.44</v>
      </c>
      <c r="D15" s="64">
        <v>9.1199999999999992</v>
      </c>
      <c r="E15" s="64">
        <v>4.53</v>
      </c>
      <c r="F15" s="64">
        <v>9.3800000000000008</v>
      </c>
      <c r="G15" s="64">
        <v>60.87</v>
      </c>
      <c r="H15" s="64">
        <v>13.49</v>
      </c>
      <c r="I15" s="64">
        <v>2.39</v>
      </c>
      <c r="J15" s="64">
        <v>7.0000000000000007E-2</v>
      </c>
      <c r="K15" s="64">
        <v>219.41</v>
      </c>
      <c r="L15" s="64">
        <v>25.25</v>
      </c>
      <c r="M15" s="64">
        <v>97.67</v>
      </c>
      <c r="N15" s="64">
        <v>50.1</v>
      </c>
      <c r="O15" s="64">
        <v>0</v>
      </c>
      <c r="P15" s="64">
        <v>0.19</v>
      </c>
      <c r="Q15" s="64">
        <v>9.5399999999999991</v>
      </c>
      <c r="R15" s="198"/>
      <c r="S15" s="198"/>
      <c r="T15" s="198"/>
      <c r="U15" s="198"/>
    </row>
    <row r="16" spans="1:21" s="12" customFormat="1" x14ac:dyDescent="0.25">
      <c r="A16" s="212" t="s">
        <v>734</v>
      </c>
      <c r="B16" s="64">
        <v>7.44</v>
      </c>
      <c r="C16" s="64">
        <v>5.28</v>
      </c>
      <c r="D16" s="64">
        <v>8.7200000000000006</v>
      </c>
      <c r="E16" s="64">
        <v>4.47</v>
      </c>
      <c r="F16" s="64">
        <v>9.1</v>
      </c>
      <c r="G16" s="64">
        <v>60.87</v>
      </c>
      <c r="H16" s="64">
        <v>13.49</v>
      </c>
      <c r="I16" s="64">
        <v>2.34</v>
      </c>
      <c r="J16" s="64">
        <v>0.06</v>
      </c>
      <c r="K16" s="64">
        <v>196.5</v>
      </c>
      <c r="L16" s="64">
        <v>25.14</v>
      </c>
      <c r="M16" s="64">
        <v>97.69</v>
      </c>
      <c r="N16" s="64">
        <v>50.1</v>
      </c>
      <c r="O16" s="64">
        <v>0</v>
      </c>
      <c r="P16" s="64">
        <v>0.18</v>
      </c>
      <c r="Q16" s="64">
        <v>9.52</v>
      </c>
      <c r="R16" s="198"/>
      <c r="S16" s="198"/>
      <c r="T16" s="198"/>
      <c r="U16" s="198"/>
    </row>
    <row r="17" spans="1:21" s="12" customFormat="1" x14ac:dyDescent="0.25">
      <c r="A17" s="212" t="s">
        <v>735</v>
      </c>
      <c r="B17" s="64">
        <v>6.23</v>
      </c>
      <c r="C17" s="64">
        <v>6.17</v>
      </c>
      <c r="D17" s="64">
        <v>8.2200000000000006</v>
      </c>
      <c r="E17" s="64">
        <v>4.55</v>
      </c>
      <c r="F17" s="64">
        <v>8.7100000000000009</v>
      </c>
      <c r="G17" s="64">
        <v>49.61</v>
      </c>
      <c r="H17" s="64">
        <v>12.78</v>
      </c>
      <c r="I17" s="64">
        <v>2.2799999999999998</v>
      </c>
      <c r="J17" s="64">
        <v>0.02</v>
      </c>
      <c r="K17" s="64">
        <v>240.61</v>
      </c>
      <c r="L17" s="64">
        <v>25.09</v>
      </c>
      <c r="M17" s="64">
        <v>97.7</v>
      </c>
      <c r="N17" s="64">
        <v>50.1</v>
      </c>
      <c r="O17" s="64">
        <v>0</v>
      </c>
      <c r="P17" s="64">
        <v>0.16</v>
      </c>
      <c r="Q17" s="64">
        <v>9.5</v>
      </c>
      <c r="R17" s="198"/>
      <c r="S17" s="198"/>
      <c r="T17" s="198"/>
      <c r="U17" s="198"/>
    </row>
    <row r="18" spans="1:21" s="12" customFormat="1" x14ac:dyDescent="0.25">
      <c r="A18" s="212" t="s">
        <v>736</v>
      </c>
      <c r="B18" s="64">
        <v>7.45</v>
      </c>
      <c r="C18" s="64">
        <v>6.11</v>
      </c>
      <c r="D18" s="64">
        <v>9.17</v>
      </c>
      <c r="E18" s="64">
        <v>4.51</v>
      </c>
      <c r="F18" s="64">
        <v>8.84</v>
      </c>
      <c r="G18" s="64">
        <v>35.54</v>
      </c>
      <c r="H18" s="64">
        <v>11.92</v>
      </c>
      <c r="I18" s="64">
        <v>2.23</v>
      </c>
      <c r="J18" s="64">
        <v>0.04</v>
      </c>
      <c r="K18" s="64">
        <v>321.29000000000002</v>
      </c>
      <c r="L18" s="64">
        <v>25.03</v>
      </c>
      <c r="M18" s="64">
        <v>97.7</v>
      </c>
      <c r="N18" s="64">
        <v>50.1</v>
      </c>
      <c r="O18" s="64">
        <v>0</v>
      </c>
      <c r="P18" s="64">
        <v>0.16</v>
      </c>
      <c r="Q18" s="64">
        <v>9.49</v>
      </c>
      <c r="R18" s="198"/>
      <c r="S18" s="198"/>
      <c r="T18" s="198"/>
      <c r="U18" s="198"/>
    </row>
    <row r="19" spans="1:21" s="12" customFormat="1" x14ac:dyDescent="0.25">
      <c r="A19" s="212" t="s">
        <v>737</v>
      </c>
      <c r="B19" s="64">
        <v>7.79</v>
      </c>
      <c r="C19" s="64">
        <v>6.12</v>
      </c>
      <c r="D19" s="64">
        <v>9.4499999999999993</v>
      </c>
      <c r="E19" s="64">
        <v>4.58</v>
      </c>
      <c r="F19" s="64">
        <v>8.77</v>
      </c>
      <c r="G19" s="64">
        <v>35.54</v>
      </c>
      <c r="H19" s="64">
        <v>11.92</v>
      </c>
      <c r="I19" s="64">
        <v>2.19</v>
      </c>
      <c r="J19" s="64">
        <v>0.03</v>
      </c>
      <c r="K19" s="64">
        <v>344.01</v>
      </c>
      <c r="L19" s="64">
        <v>24.95</v>
      </c>
      <c r="M19" s="64">
        <v>97.7</v>
      </c>
      <c r="N19" s="64">
        <v>50.3</v>
      </c>
      <c r="O19" s="64">
        <v>0</v>
      </c>
      <c r="P19" s="64">
        <v>0.17</v>
      </c>
      <c r="Q19" s="64">
        <v>9.49</v>
      </c>
      <c r="R19" s="198"/>
      <c r="S19" s="198"/>
      <c r="T19" s="198"/>
      <c r="U19" s="198"/>
    </row>
    <row r="20" spans="1:21" s="12" customFormat="1" x14ac:dyDescent="0.25">
      <c r="A20" s="212" t="s">
        <v>738</v>
      </c>
      <c r="B20" s="64">
        <v>7.87</v>
      </c>
      <c r="C20" s="64">
        <v>6.56</v>
      </c>
      <c r="D20" s="64">
        <v>9.74</v>
      </c>
      <c r="E20" s="64">
        <v>4.74</v>
      </c>
      <c r="F20" s="64">
        <v>8.14</v>
      </c>
      <c r="G20" s="64">
        <v>35.54</v>
      </c>
      <c r="H20" s="64">
        <v>11.92</v>
      </c>
      <c r="I20" s="64">
        <v>2.14</v>
      </c>
      <c r="J20" s="64">
        <v>0.1</v>
      </c>
      <c r="K20" s="64">
        <v>330.81</v>
      </c>
      <c r="L20" s="64">
        <v>24.87</v>
      </c>
      <c r="M20" s="64">
        <v>97.7</v>
      </c>
      <c r="N20" s="64">
        <v>50.5</v>
      </c>
      <c r="O20" s="64">
        <v>0</v>
      </c>
      <c r="P20" s="64">
        <v>0.18</v>
      </c>
      <c r="Q20" s="64">
        <v>9.4700000000000006</v>
      </c>
      <c r="R20" s="198"/>
      <c r="S20" s="198"/>
      <c r="T20" s="198"/>
      <c r="U20" s="198"/>
    </row>
    <row r="21" spans="1:21" s="12" customFormat="1" x14ac:dyDescent="0.25">
      <c r="A21" s="212" t="s">
        <v>739</v>
      </c>
      <c r="B21" s="64">
        <v>6.83</v>
      </c>
      <c r="C21" s="64">
        <v>7.61</v>
      </c>
      <c r="D21" s="64">
        <v>9.4499999999999993</v>
      </c>
      <c r="E21" s="64">
        <v>4.6100000000000003</v>
      </c>
      <c r="F21" s="64">
        <v>7.5</v>
      </c>
      <c r="G21" s="64">
        <v>34.76</v>
      </c>
      <c r="H21" s="64">
        <v>10.39</v>
      </c>
      <c r="I21" s="64">
        <v>2.1</v>
      </c>
      <c r="J21" s="64">
        <v>0.01</v>
      </c>
      <c r="K21" s="64">
        <v>329.95</v>
      </c>
      <c r="L21" s="64">
        <v>24.73</v>
      </c>
      <c r="M21" s="64">
        <v>97.73</v>
      </c>
      <c r="N21" s="64">
        <v>50.5</v>
      </c>
      <c r="O21" s="64">
        <v>0</v>
      </c>
      <c r="P21" s="64">
        <v>0.2</v>
      </c>
      <c r="Q21" s="64">
        <v>9.44</v>
      </c>
      <c r="R21" s="198"/>
      <c r="S21" s="198"/>
      <c r="T21" s="198"/>
      <c r="U21" s="198"/>
    </row>
    <row r="22" spans="1:21" s="12" customFormat="1" x14ac:dyDescent="0.25">
      <c r="A22" s="212" t="s">
        <v>740</v>
      </c>
      <c r="B22" s="64">
        <v>5.99</v>
      </c>
      <c r="C22" s="64">
        <v>10.57</v>
      </c>
      <c r="D22" s="64">
        <v>10.32</v>
      </c>
      <c r="E22" s="64">
        <v>4.47</v>
      </c>
      <c r="F22" s="64">
        <v>6.48</v>
      </c>
      <c r="G22" s="64">
        <v>33.83</v>
      </c>
      <c r="H22" s="64">
        <v>8.5500000000000007</v>
      </c>
      <c r="I22" s="64">
        <v>2.04</v>
      </c>
      <c r="J22" s="64">
        <v>0.05</v>
      </c>
      <c r="K22" s="64">
        <v>312.66000000000003</v>
      </c>
      <c r="L22" s="64">
        <v>24.66</v>
      </c>
      <c r="M22" s="64">
        <v>97.75</v>
      </c>
      <c r="N22" s="64">
        <v>50.5</v>
      </c>
      <c r="O22" s="64">
        <v>0</v>
      </c>
      <c r="P22" s="64">
        <v>0.17</v>
      </c>
      <c r="Q22" s="64">
        <v>9.43</v>
      </c>
      <c r="R22" s="198"/>
      <c r="S22" s="198"/>
      <c r="T22" s="198"/>
      <c r="U22" s="198"/>
    </row>
    <row r="23" spans="1:21" s="12" customFormat="1" x14ac:dyDescent="0.25">
      <c r="A23" s="212" t="s">
        <v>741</v>
      </c>
      <c r="B23" s="64">
        <v>6.25</v>
      </c>
      <c r="C23" s="64">
        <v>9</v>
      </c>
      <c r="D23" s="64">
        <v>9.7100000000000009</v>
      </c>
      <c r="E23" s="64">
        <v>4.54</v>
      </c>
      <c r="F23" s="64">
        <v>7.45</v>
      </c>
      <c r="G23" s="64">
        <v>33.83</v>
      </c>
      <c r="H23" s="64">
        <v>8.5500000000000007</v>
      </c>
      <c r="I23" s="64">
        <v>1.98</v>
      </c>
      <c r="J23" s="64">
        <v>0.1</v>
      </c>
      <c r="K23" s="64">
        <v>352.91</v>
      </c>
      <c r="L23" s="64">
        <v>24.69</v>
      </c>
      <c r="M23" s="64">
        <v>97.75</v>
      </c>
      <c r="N23" s="64">
        <v>50.5</v>
      </c>
      <c r="O23" s="64">
        <v>0</v>
      </c>
      <c r="P23" s="64">
        <v>0.18</v>
      </c>
      <c r="Q23" s="64">
        <v>9.41</v>
      </c>
      <c r="R23" s="198"/>
      <c r="S23" s="198"/>
      <c r="T23" s="198"/>
      <c r="U23" s="198"/>
    </row>
    <row r="24" spans="1:21" s="12" customFormat="1" x14ac:dyDescent="0.25">
      <c r="A24" s="212" t="s">
        <v>742</v>
      </c>
      <c r="B24" s="64">
        <v>5.63</v>
      </c>
      <c r="C24" s="64">
        <v>8.48</v>
      </c>
      <c r="D24" s="64">
        <v>8.94</v>
      </c>
      <c r="E24" s="64">
        <v>4.53</v>
      </c>
      <c r="F24" s="64">
        <v>7.16</v>
      </c>
      <c r="G24" s="64">
        <v>33.83</v>
      </c>
      <c r="H24" s="64">
        <v>8.5500000000000007</v>
      </c>
      <c r="I24" s="64">
        <v>1.92</v>
      </c>
      <c r="J24" s="64">
        <v>0.04</v>
      </c>
      <c r="K24" s="64">
        <v>265.67</v>
      </c>
      <c r="L24" s="64">
        <v>24.77</v>
      </c>
      <c r="M24" s="64">
        <v>97.75</v>
      </c>
      <c r="N24" s="64">
        <v>50.5</v>
      </c>
      <c r="O24" s="64">
        <v>0</v>
      </c>
      <c r="P24" s="64">
        <v>0.18</v>
      </c>
      <c r="Q24" s="64">
        <v>9.4</v>
      </c>
      <c r="R24" s="198"/>
      <c r="S24" s="198"/>
      <c r="T24" s="198"/>
      <c r="U24" s="198"/>
    </row>
    <row r="25" spans="1:21" s="12" customFormat="1" x14ac:dyDescent="0.25">
      <c r="A25" s="212" t="s">
        <v>743</v>
      </c>
      <c r="B25" s="64">
        <v>5.12</v>
      </c>
      <c r="C25" s="64">
        <v>8.0399999999999991</v>
      </c>
      <c r="D25" s="64">
        <v>8.31</v>
      </c>
      <c r="E25" s="64">
        <v>4.74</v>
      </c>
      <c r="F25" s="64">
        <v>7.43</v>
      </c>
      <c r="G25" s="64">
        <v>32.6</v>
      </c>
      <c r="H25" s="64">
        <v>8.19</v>
      </c>
      <c r="I25" s="64">
        <v>1.87</v>
      </c>
      <c r="J25" s="64">
        <v>0.02</v>
      </c>
      <c r="K25" s="64">
        <v>261.75</v>
      </c>
      <c r="L25" s="64">
        <v>24.87</v>
      </c>
      <c r="M25" s="64">
        <v>97.75</v>
      </c>
      <c r="N25" s="64">
        <v>50.5</v>
      </c>
      <c r="O25" s="64">
        <v>0</v>
      </c>
      <c r="P25" s="64">
        <v>0.15</v>
      </c>
      <c r="Q25" s="64">
        <v>9.39</v>
      </c>
      <c r="R25" s="198"/>
      <c r="S25" s="198"/>
      <c r="T25" s="198"/>
      <c r="U25" s="198"/>
    </row>
    <row r="26" spans="1:21" s="12" customFormat="1" x14ac:dyDescent="0.25">
      <c r="A26" s="212" t="s">
        <v>744</v>
      </c>
      <c r="B26" s="64">
        <v>5.41</v>
      </c>
      <c r="C26" s="64">
        <v>9.33</v>
      </c>
      <c r="D26" s="64">
        <v>9.2100000000000009</v>
      </c>
      <c r="E26" s="64">
        <v>4.2300000000000004</v>
      </c>
      <c r="F26" s="64">
        <v>7.13</v>
      </c>
      <c r="G26" s="64">
        <v>31.13</v>
      </c>
      <c r="H26" s="64">
        <v>7.76</v>
      </c>
      <c r="I26" s="64">
        <v>1.83</v>
      </c>
      <c r="J26" s="64">
        <v>0.03</v>
      </c>
      <c r="K26" s="64">
        <v>51.82</v>
      </c>
      <c r="L26" s="64">
        <v>24.81</v>
      </c>
      <c r="M26" s="64">
        <v>97.75</v>
      </c>
      <c r="N26" s="64">
        <v>50.5</v>
      </c>
      <c r="O26" s="64">
        <v>0</v>
      </c>
      <c r="P26" s="64">
        <v>0.15</v>
      </c>
      <c r="Q26" s="64">
        <v>9.3699999999999992</v>
      </c>
      <c r="R26" s="198"/>
      <c r="S26" s="198"/>
      <c r="T26" s="198"/>
      <c r="U26" s="198"/>
    </row>
    <row r="27" spans="1:21" s="12" customFormat="1" x14ac:dyDescent="0.25">
      <c r="A27" s="212" t="s">
        <v>745</v>
      </c>
      <c r="B27" s="64">
        <v>11.76</v>
      </c>
      <c r="C27" s="64">
        <v>11</v>
      </c>
      <c r="D27" s="64">
        <v>15.18</v>
      </c>
      <c r="E27" s="64">
        <v>4.5999999999999996</v>
      </c>
      <c r="F27" s="64">
        <v>5.92</v>
      </c>
      <c r="G27" s="64">
        <v>31.13</v>
      </c>
      <c r="H27" s="64">
        <v>7.76</v>
      </c>
      <c r="I27" s="64">
        <v>1.79</v>
      </c>
      <c r="J27" s="64">
        <v>0.01</v>
      </c>
      <c r="K27" s="64">
        <v>153.35</v>
      </c>
      <c r="L27" s="64">
        <v>24.82</v>
      </c>
      <c r="M27" s="64">
        <v>97.73</v>
      </c>
      <c r="N27" s="64">
        <v>50.5</v>
      </c>
      <c r="O27" s="64">
        <v>0</v>
      </c>
      <c r="P27" s="64">
        <v>0.27</v>
      </c>
      <c r="Q27" s="64">
        <v>9.3699999999999992</v>
      </c>
      <c r="R27" s="198"/>
      <c r="S27" s="198"/>
      <c r="T27" s="198"/>
      <c r="U27" s="198"/>
    </row>
    <row r="28" spans="1:21" s="12" customFormat="1" x14ac:dyDescent="0.25">
      <c r="A28" s="212" t="s">
        <v>746</v>
      </c>
      <c r="B28" s="64">
        <v>13.46</v>
      </c>
      <c r="C28" s="64">
        <v>9.74</v>
      </c>
      <c r="D28" s="64">
        <v>15.89</v>
      </c>
      <c r="E28" s="64">
        <v>4.4400000000000004</v>
      </c>
      <c r="F28" s="64">
        <v>5.81</v>
      </c>
      <c r="G28" s="64">
        <v>31.13</v>
      </c>
      <c r="H28" s="64">
        <v>7.76</v>
      </c>
      <c r="I28" s="64">
        <v>1.75</v>
      </c>
      <c r="J28" s="64">
        <v>0.04</v>
      </c>
      <c r="K28" s="64">
        <v>296.39999999999998</v>
      </c>
      <c r="L28" s="64">
        <v>24.76</v>
      </c>
      <c r="M28" s="64">
        <v>97.75</v>
      </c>
      <c r="N28" s="64">
        <v>50.7</v>
      </c>
      <c r="O28" s="64">
        <v>0</v>
      </c>
      <c r="P28" s="64">
        <v>0.27</v>
      </c>
      <c r="Q28" s="64">
        <v>9.35</v>
      </c>
      <c r="R28" s="198"/>
      <c r="S28" s="198"/>
      <c r="T28" s="198"/>
      <c r="U28" s="198"/>
    </row>
    <row r="29" spans="1:21" s="12" customFormat="1" x14ac:dyDescent="0.25">
      <c r="A29" s="212" t="s">
        <v>747</v>
      </c>
      <c r="B29" s="64">
        <v>8.8800000000000008</v>
      </c>
      <c r="C29" s="64">
        <v>10.4</v>
      </c>
      <c r="D29" s="64">
        <v>12.55</v>
      </c>
      <c r="E29" s="64">
        <v>4.46</v>
      </c>
      <c r="F29" s="64">
        <v>5.95</v>
      </c>
      <c r="G29" s="64">
        <v>33.979999999999997</v>
      </c>
      <c r="H29" s="64">
        <v>8.02</v>
      </c>
      <c r="I29" s="64">
        <v>1.71</v>
      </c>
      <c r="J29" s="64">
        <v>0.03</v>
      </c>
      <c r="K29" s="64">
        <v>307.99</v>
      </c>
      <c r="L29" s="64">
        <v>24.75</v>
      </c>
      <c r="M29" s="64">
        <v>97.73</v>
      </c>
      <c r="N29" s="64">
        <v>50.8</v>
      </c>
      <c r="O29" s="64">
        <v>0</v>
      </c>
      <c r="P29" s="64">
        <v>0.22</v>
      </c>
      <c r="Q29" s="64">
        <v>9.35</v>
      </c>
      <c r="R29" s="198"/>
      <c r="S29" s="198"/>
      <c r="T29" s="198"/>
      <c r="U29" s="198"/>
    </row>
    <row r="30" spans="1:21" s="12" customFormat="1" x14ac:dyDescent="0.25">
      <c r="A30" s="212" t="s">
        <v>748</v>
      </c>
      <c r="B30" s="64">
        <v>8.08</v>
      </c>
      <c r="C30" s="64">
        <v>10.57</v>
      </c>
      <c r="D30" s="64">
        <v>12</v>
      </c>
      <c r="E30" s="64">
        <v>4.4000000000000004</v>
      </c>
      <c r="F30" s="64">
        <v>6.04</v>
      </c>
      <c r="G30" s="64">
        <v>37.380000000000003</v>
      </c>
      <c r="H30" s="64">
        <v>8.33</v>
      </c>
      <c r="I30" s="64">
        <v>1.68</v>
      </c>
      <c r="J30" s="64">
        <v>0.04</v>
      </c>
      <c r="K30" s="64">
        <v>317.24</v>
      </c>
      <c r="L30" s="64">
        <v>24.71</v>
      </c>
      <c r="M30" s="64">
        <v>97.75</v>
      </c>
      <c r="N30" s="64">
        <v>51.4</v>
      </c>
      <c r="O30" s="64">
        <v>0</v>
      </c>
      <c r="P30" s="64">
        <v>0.24</v>
      </c>
      <c r="Q30" s="64">
        <v>9.36</v>
      </c>
      <c r="R30" s="198"/>
      <c r="S30" s="198"/>
      <c r="T30" s="198"/>
      <c r="U30" s="198"/>
    </row>
    <row r="31" spans="1:21" s="12" customFormat="1" x14ac:dyDescent="0.25">
      <c r="A31" s="212" t="s">
        <v>749</v>
      </c>
      <c r="B31" s="64">
        <v>12.56</v>
      </c>
      <c r="C31" s="64">
        <v>10.23</v>
      </c>
      <c r="D31" s="64">
        <v>15.42</v>
      </c>
      <c r="E31" s="64">
        <v>4.5</v>
      </c>
      <c r="F31" s="64">
        <v>5.98</v>
      </c>
      <c r="G31" s="64">
        <v>37.380000000000003</v>
      </c>
      <c r="H31" s="64">
        <v>8.33</v>
      </c>
      <c r="I31" s="64">
        <v>1.65</v>
      </c>
      <c r="J31" s="64">
        <v>0.03</v>
      </c>
      <c r="K31" s="64">
        <v>282.04000000000002</v>
      </c>
      <c r="L31" s="64">
        <v>24.77</v>
      </c>
      <c r="M31" s="64">
        <v>97.73</v>
      </c>
      <c r="N31" s="64">
        <v>55.7</v>
      </c>
      <c r="O31" s="64">
        <v>0</v>
      </c>
      <c r="P31" s="64">
        <v>0.32</v>
      </c>
      <c r="Q31" s="64">
        <v>9.3800000000000008</v>
      </c>
      <c r="R31" s="198"/>
      <c r="S31" s="198"/>
      <c r="T31" s="198"/>
      <c r="U31" s="198"/>
    </row>
    <row r="32" spans="1:21" s="12" customFormat="1" x14ac:dyDescent="0.25">
      <c r="A32" s="212" t="s">
        <v>750</v>
      </c>
      <c r="B32" s="64">
        <v>10.64</v>
      </c>
      <c r="C32" s="64">
        <v>10.19</v>
      </c>
      <c r="D32" s="64">
        <v>13.85</v>
      </c>
      <c r="E32" s="64">
        <v>4.12</v>
      </c>
      <c r="F32" s="64">
        <v>5.62</v>
      </c>
      <c r="G32" s="64">
        <v>37.380000000000003</v>
      </c>
      <c r="H32" s="64">
        <v>8.33</v>
      </c>
      <c r="I32" s="64">
        <v>1.62</v>
      </c>
      <c r="J32" s="64">
        <v>0.06</v>
      </c>
      <c r="K32" s="64">
        <v>242.21</v>
      </c>
      <c r="L32" s="64">
        <v>24.91</v>
      </c>
      <c r="M32" s="64">
        <v>97.73</v>
      </c>
      <c r="N32" s="64">
        <v>68.3</v>
      </c>
      <c r="O32" s="64">
        <v>0</v>
      </c>
      <c r="P32" s="64">
        <v>0.28999999999999998</v>
      </c>
      <c r="Q32" s="64">
        <v>9.39</v>
      </c>
      <c r="R32" s="198"/>
      <c r="S32" s="198"/>
      <c r="T32" s="198"/>
      <c r="U32" s="198"/>
    </row>
    <row r="33" spans="1:21" s="12" customFormat="1" x14ac:dyDescent="0.25">
      <c r="A33" s="212" t="s">
        <v>751</v>
      </c>
      <c r="B33" s="64">
        <v>14.76</v>
      </c>
      <c r="C33" s="64">
        <v>9.77</v>
      </c>
      <c r="D33" s="64">
        <v>16.940000000000001</v>
      </c>
      <c r="E33" s="64">
        <v>4.3</v>
      </c>
      <c r="F33" s="64">
        <v>5.88</v>
      </c>
      <c r="G33" s="64">
        <v>39.380000000000003</v>
      </c>
      <c r="H33" s="64">
        <v>8.9</v>
      </c>
      <c r="I33" s="64">
        <v>1.6</v>
      </c>
      <c r="J33" s="64">
        <v>0.02</v>
      </c>
      <c r="K33" s="64">
        <v>252.9</v>
      </c>
      <c r="L33" s="64">
        <v>25.19</v>
      </c>
      <c r="M33" s="64">
        <v>97.71</v>
      </c>
      <c r="N33" s="64">
        <v>85.3</v>
      </c>
      <c r="O33" s="64">
        <v>0</v>
      </c>
      <c r="P33" s="64">
        <v>0.32</v>
      </c>
      <c r="Q33" s="64">
        <v>9.4</v>
      </c>
      <c r="R33" s="198"/>
      <c r="S33" s="198"/>
      <c r="T33" s="198"/>
      <c r="U33" s="198"/>
    </row>
    <row r="34" spans="1:21" s="12" customFormat="1" x14ac:dyDescent="0.25">
      <c r="A34" s="212" t="s">
        <v>752</v>
      </c>
      <c r="B34" s="64">
        <v>14.38</v>
      </c>
      <c r="C34" s="64">
        <v>9.23</v>
      </c>
      <c r="D34" s="64">
        <v>16.350000000000001</v>
      </c>
      <c r="E34" s="64">
        <v>4.55</v>
      </c>
      <c r="F34" s="64">
        <v>5.74</v>
      </c>
      <c r="G34" s="64">
        <v>41.77</v>
      </c>
      <c r="H34" s="64">
        <v>9.58</v>
      </c>
      <c r="I34" s="64">
        <v>1.58</v>
      </c>
      <c r="J34" s="64">
        <v>7.0000000000000007E-2</v>
      </c>
      <c r="K34" s="64">
        <v>302.64999999999998</v>
      </c>
      <c r="L34" s="64">
        <v>25.62</v>
      </c>
      <c r="M34" s="64">
        <v>97.69</v>
      </c>
      <c r="N34" s="64">
        <v>111.3</v>
      </c>
      <c r="O34" s="64">
        <v>0</v>
      </c>
      <c r="P34" s="64">
        <v>0.43</v>
      </c>
      <c r="Q34" s="64">
        <v>9.42</v>
      </c>
      <c r="R34" s="198"/>
      <c r="S34" s="198"/>
      <c r="T34" s="198"/>
      <c r="U34" s="198"/>
    </row>
    <row r="35" spans="1:21" s="12" customFormat="1" x14ac:dyDescent="0.25">
      <c r="A35" s="212" t="s">
        <v>753</v>
      </c>
      <c r="B35" s="64">
        <v>13.07</v>
      </c>
      <c r="C35" s="64">
        <v>9.3800000000000008</v>
      </c>
      <c r="D35" s="64">
        <v>15.39</v>
      </c>
      <c r="E35" s="64">
        <v>4.59</v>
      </c>
      <c r="F35" s="64">
        <v>6.1</v>
      </c>
      <c r="G35" s="64">
        <v>41.77</v>
      </c>
      <c r="H35" s="64">
        <v>9.58</v>
      </c>
      <c r="I35" s="64">
        <v>1.59</v>
      </c>
      <c r="J35" s="64">
        <v>0.1</v>
      </c>
      <c r="K35" s="64">
        <v>154.47999999999999</v>
      </c>
      <c r="L35" s="64">
        <v>26.1</v>
      </c>
      <c r="M35" s="64">
        <v>97.66</v>
      </c>
      <c r="N35" s="64">
        <v>128.6</v>
      </c>
      <c r="O35" s="64">
        <v>0</v>
      </c>
      <c r="P35" s="64">
        <v>0.35</v>
      </c>
      <c r="Q35" s="64">
        <v>9.44</v>
      </c>
      <c r="R35" s="198"/>
      <c r="S35" s="198"/>
      <c r="T35" s="198"/>
      <c r="U35" s="198"/>
    </row>
    <row r="36" spans="1:21" s="12" customFormat="1" x14ac:dyDescent="0.25">
      <c r="A36" s="212" t="s">
        <v>754</v>
      </c>
      <c r="B36" s="64">
        <v>13.26</v>
      </c>
      <c r="C36" s="64">
        <v>8.32</v>
      </c>
      <c r="D36" s="64">
        <v>14.98</v>
      </c>
      <c r="E36" s="64">
        <v>4.3899999999999997</v>
      </c>
      <c r="F36" s="64">
        <v>6.78</v>
      </c>
      <c r="G36" s="64">
        <v>41.77</v>
      </c>
      <c r="H36" s="64">
        <v>9.58</v>
      </c>
      <c r="I36" s="64">
        <v>1.6</v>
      </c>
      <c r="J36" s="64">
        <v>0.1</v>
      </c>
      <c r="K36" s="64">
        <v>311.39</v>
      </c>
      <c r="L36" s="64">
        <v>26.33</v>
      </c>
      <c r="M36" s="64">
        <v>97.65</v>
      </c>
      <c r="N36" s="64">
        <v>198.2</v>
      </c>
      <c r="O36" s="64">
        <v>0</v>
      </c>
      <c r="P36" s="64">
        <v>0.34</v>
      </c>
      <c r="Q36" s="64">
        <v>9.44</v>
      </c>
      <c r="R36" s="198"/>
      <c r="S36" s="198"/>
      <c r="T36" s="198"/>
      <c r="U36" s="198"/>
    </row>
    <row r="37" spans="1:21" s="12" customFormat="1" x14ac:dyDescent="0.25">
      <c r="A37" s="212" t="s">
        <v>755</v>
      </c>
      <c r="B37" s="64">
        <v>15.37</v>
      </c>
      <c r="C37" s="64">
        <v>9</v>
      </c>
      <c r="D37" s="64">
        <v>17.03</v>
      </c>
      <c r="E37" s="64">
        <v>4.6100000000000003</v>
      </c>
      <c r="F37" s="64">
        <v>7.3</v>
      </c>
      <c r="G37" s="64">
        <v>46.21</v>
      </c>
      <c r="H37" s="64">
        <v>9.0399999999999991</v>
      </c>
      <c r="I37" s="64">
        <v>1.61</v>
      </c>
      <c r="J37" s="64">
        <v>0.26</v>
      </c>
      <c r="K37" s="64">
        <v>319.16000000000003</v>
      </c>
      <c r="L37" s="64">
        <v>28.29</v>
      </c>
      <c r="M37" s="64">
        <v>97.06</v>
      </c>
      <c r="N37" s="64">
        <v>267.8</v>
      </c>
      <c r="O37" s="64">
        <v>0</v>
      </c>
      <c r="P37" s="64">
        <v>0.38</v>
      </c>
      <c r="Q37" s="64">
        <v>9.4600000000000009</v>
      </c>
      <c r="R37" s="198"/>
      <c r="S37" s="198"/>
      <c r="T37" s="198"/>
      <c r="U37" s="198"/>
    </row>
    <row r="38" spans="1:21" s="12" customFormat="1" x14ac:dyDescent="0.25">
      <c r="A38" s="212" t="s">
        <v>756</v>
      </c>
      <c r="B38" s="64">
        <v>13.5</v>
      </c>
      <c r="C38" s="64">
        <v>7.67</v>
      </c>
      <c r="D38" s="64">
        <v>14.83</v>
      </c>
      <c r="E38" s="64">
        <v>4.45</v>
      </c>
      <c r="F38" s="64">
        <v>7.11</v>
      </c>
      <c r="G38" s="64">
        <v>51.77</v>
      </c>
      <c r="H38" s="64">
        <v>8.4</v>
      </c>
      <c r="I38" s="64">
        <v>1.6</v>
      </c>
      <c r="J38" s="64">
        <v>0.16</v>
      </c>
      <c r="K38" s="64">
        <v>308.95</v>
      </c>
      <c r="L38" s="64">
        <v>30.04</v>
      </c>
      <c r="M38" s="64">
        <v>90.18</v>
      </c>
      <c r="N38" s="64">
        <v>311.10000000000002</v>
      </c>
      <c r="O38" s="64">
        <v>0</v>
      </c>
      <c r="P38" s="64">
        <v>0.42</v>
      </c>
      <c r="Q38" s="64">
        <v>9.4600000000000009</v>
      </c>
      <c r="R38" s="198"/>
      <c r="S38" s="198"/>
      <c r="T38" s="198"/>
      <c r="U38" s="198"/>
    </row>
    <row r="39" spans="1:21" s="12" customFormat="1" x14ac:dyDescent="0.25">
      <c r="A39" s="212" t="s">
        <v>757</v>
      </c>
      <c r="B39" s="64">
        <v>15.86</v>
      </c>
      <c r="C39" s="64">
        <v>11.09</v>
      </c>
      <c r="D39" s="64">
        <v>18.52</v>
      </c>
      <c r="E39" s="64">
        <v>4.38</v>
      </c>
      <c r="F39" s="64">
        <v>9</v>
      </c>
      <c r="G39" s="64">
        <v>51.77</v>
      </c>
      <c r="H39" s="64">
        <v>8.4</v>
      </c>
      <c r="I39" s="64">
        <v>1.61</v>
      </c>
      <c r="J39" s="64">
        <v>0.3</v>
      </c>
      <c r="K39" s="64">
        <v>323.36</v>
      </c>
      <c r="L39" s="64">
        <v>31.57</v>
      </c>
      <c r="M39" s="64">
        <v>79.09</v>
      </c>
      <c r="N39" s="64">
        <v>389.3</v>
      </c>
      <c r="O39" s="64">
        <v>0</v>
      </c>
      <c r="P39" s="64">
        <v>0.45</v>
      </c>
      <c r="Q39" s="64">
        <v>9.44</v>
      </c>
      <c r="R39" s="198"/>
      <c r="S39" s="198"/>
      <c r="T39" s="198"/>
      <c r="U39" s="198"/>
    </row>
    <row r="40" spans="1:21" s="12" customFormat="1" x14ac:dyDescent="0.25">
      <c r="A40" s="212" t="s">
        <v>758</v>
      </c>
      <c r="B40" s="64">
        <v>16.91</v>
      </c>
      <c r="C40" s="64">
        <v>11.8</v>
      </c>
      <c r="D40" s="64">
        <v>19.72</v>
      </c>
      <c r="E40" s="64">
        <v>5.18</v>
      </c>
      <c r="F40" s="64">
        <v>10.5</v>
      </c>
      <c r="G40" s="64">
        <v>51.77</v>
      </c>
      <c r="H40" s="64">
        <v>8.4</v>
      </c>
      <c r="I40" s="64">
        <v>1.63</v>
      </c>
      <c r="J40" s="64">
        <v>0.43</v>
      </c>
      <c r="K40" s="64">
        <v>334.6</v>
      </c>
      <c r="L40" s="64">
        <v>32.89</v>
      </c>
      <c r="M40" s="64">
        <v>70.45</v>
      </c>
      <c r="N40" s="64">
        <v>472.6</v>
      </c>
      <c r="O40" s="64">
        <v>0</v>
      </c>
      <c r="P40" s="64">
        <v>0.46</v>
      </c>
      <c r="Q40" s="64">
        <v>9.44</v>
      </c>
      <c r="R40" s="198"/>
      <c r="S40" s="198"/>
      <c r="T40" s="198"/>
      <c r="U40" s="198"/>
    </row>
    <row r="41" spans="1:21" s="12" customFormat="1" x14ac:dyDescent="0.25">
      <c r="A41" s="212" t="s">
        <v>759</v>
      </c>
      <c r="B41" s="64">
        <v>17.239999999999998</v>
      </c>
      <c r="C41" s="64">
        <v>13.78</v>
      </c>
      <c r="D41" s="64">
        <v>21.03</v>
      </c>
      <c r="E41" s="64">
        <v>4.83</v>
      </c>
      <c r="F41" s="64">
        <v>10.8</v>
      </c>
      <c r="G41" s="64">
        <v>60.6</v>
      </c>
      <c r="H41" s="64">
        <v>9.7899999999999991</v>
      </c>
      <c r="I41" s="64">
        <v>1.66</v>
      </c>
      <c r="J41" s="64">
        <v>0.26</v>
      </c>
      <c r="K41" s="64">
        <v>2.69</v>
      </c>
      <c r="L41" s="64">
        <v>33.869999999999997</v>
      </c>
      <c r="M41" s="64">
        <v>64.41</v>
      </c>
      <c r="N41" s="64">
        <v>518.9</v>
      </c>
      <c r="O41" s="64">
        <v>0</v>
      </c>
      <c r="P41" s="64">
        <v>0.4</v>
      </c>
      <c r="Q41" s="64">
        <v>9.4499999999999993</v>
      </c>
      <c r="R41" s="198"/>
      <c r="S41" s="198"/>
      <c r="T41" s="198"/>
      <c r="U41" s="198"/>
    </row>
    <row r="42" spans="1:21" s="12" customFormat="1" x14ac:dyDescent="0.25">
      <c r="A42" s="212" t="s">
        <v>760</v>
      </c>
      <c r="B42" s="64">
        <v>13.15</v>
      </c>
      <c r="C42" s="64">
        <v>12.48</v>
      </c>
      <c r="D42" s="64">
        <v>17.059999999999999</v>
      </c>
      <c r="E42" s="64">
        <v>5.1100000000000003</v>
      </c>
      <c r="F42" s="64">
        <v>12.82</v>
      </c>
      <c r="G42" s="64">
        <v>71.16</v>
      </c>
      <c r="H42" s="64">
        <v>11.45</v>
      </c>
      <c r="I42" s="64">
        <v>1.68</v>
      </c>
      <c r="J42" s="64">
        <v>0.2</v>
      </c>
      <c r="K42" s="64">
        <v>340.49</v>
      </c>
      <c r="L42" s="64">
        <v>32.5</v>
      </c>
      <c r="M42" s="64">
        <v>71.959999999999994</v>
      </c>
      <c r="N42" s="64">
        <v>581.1</v>
      </c>
      <c r="O42" s="64">
        <v>0</v>
      </c>
      <c r="P42" s="64">
        <v>0.43</v>
      </c>
      <c r="Q42" s="64">
        <v>9.4700000000000006</v>
      </c>
      <c r="R42" s="198"/>
      <c r="S42" s="198"/>
      <c r="T42" s="198"/>
      <c r="U42" s="198"/>
    </row>
    <row r="43" spans="1:21" s="12" customFormat="1" x14ac:dyDescent="0.25">
      <c r="A43" s="212" t="s">
        <v>761</v>
      </c>
      <c r="B43" s="64">
        <v>10.78</v>
      </c>
      <c r="C43" s="64">
        <v>12.7</v>
      </c>
      <c r="D43" s="64">
        <v>15.28</v>
      </c>
      <c r="E43" s="64">
        <v>4.87</v>
      </c>
      <c r="F43" s="64">
        <v>14.09</v>
      </c>
      <c r="G43" s="64">
        <v>71.16</v>
      </c>
      <c r="H43" s="64">
        <v>11.45</v>
      </c>
      <c r="I43" s="64">
        <v>1.69</v>
      </c>
      <c r="J43" s="64">
        <v>0.31</v>
      </c>
      <c r="K43" s="64">
        <v>346.99</v>
      </c>
      <c r="L43" s="64">
        <v>34.06</v>
      </c>
      <c r="M43" s="64">
        <v>62.72</v>
      </c>
      <c r="N43" s="64">
        <v>637.9</v>
      </c>
      <c r="O43" s="64">
        <v>0</v>
      </c>
      <c r="P43" s="64">
        <v>0.37</v>
      </c>
      <c r="Q43" s="64">
        <v>9.4700000000000006</v>
      </c>
      <c r="R43" s="198"/>
      <c r="S43" s="198"/>
      <c r="T43" s="198"/>
      <c r="U43" s="198"/>
    </row>
    <row r="44" spans="1:21" s="12" customFormat="1" x14ac:dyDescent="0.25">
      <c r="A44" s="212" t="s">
        <v>762</v>
      </c>
      <c r="B44" s="64">
        <v>12.38</v>
      </c>
      <c r="C44" s="64">
        <v>11.43</v>
      </c>
      <c r="D44" s="64">
        <v>15.9</v>
      </c>
      <c r="E44" s="64">
        <v>4.8600000000000003</v>
      </c>
      <c r="F44" s="64">
        <v>12.92</v>
      </c>
      <c r="G44" s="64">
        <v>71.16</v>
      </c>
      <c r="H44" s="64">
        <v>11.45</v>
      </c>
      <c r="I44" s="64">
        <v>1.7</v>
      </c>
      <c r="J44" s="64">
        <v>0.43</v>
      </c>
      <c r="K44" s="64">
        <v>330.88</v>
      </c>
      <c r="L44" s="64">
        <v>35.020000000000003</v>
      </c>
      <c r="M44" s="64">
        <v>58</v>
      </c>
      <c r="N44" s="64">
        <v>693.1</v>
      </c>
      <c r="O44" s="64">
        <v>0</v>
      </c>
      <c r="P44" s="64">
        <v>0.49</v>
      </c>
      <c r="Q44" s="64">
        <v>9.48</v>
      </c>
      <c r="R44" s="198"/>
      <c r="S44" s="198"/>
      <c r="T44" s="198"/>
      <c r="U44" s="198"/>
    </row>
    <row r="45" spans="1:21" s="12" customFormat="1" x14ac:dyDescent="0.25">
      <c r="A45" s="212" t="s">
        <v>763</v>
      </c>
      <c r="B45" s="64">
        <v>10.86</v>
      </c>
      <c r="C45" s="64">
        <v>14.21</v>
      </c>
      <c r="D45" s="64">
        <v>16.13</v>
      </c>
      <c r="E45" s="64">
        <v>4.96</v>
      </c>
      <c r="F45" s="64">
        <v>14.54</v>
      </c>
      <c r="G45" s="64">
        <v>73.94</v>
      </c>
      <c r="H45" s="64">
        <v>12.85</v>
      </c>
      <c r="I45" s="64">
        <v>1.7</v>
      </c>
      <c r="J45" s="64">
        <v>0.11</v>
      </c>
      <c r="K45" s="64">
        <v>336.44</v>
      </c>
      <c r="L45" s="64">
        <v>34.549999999999997</v>
      </c>
      <c r="M45" s="64">
        <v>59.68</v>
      </c>
      <c r="N45" s="64">
        <v>735</v>
      </c>
      <c r="O45" s="64">
        <v>0</v>
      </c>
      <c r="P45" s="64">
        <v>0.39</v>
      </c>
      <c r="Q45" s="64">
        <v>9.48</v>
      </c>
      <c r="R45" s="198"/>
      <c r="S45" s="198"/>
      <c r="T45" s="198"/>
      <c r="U45" s="198"/>
    </row>
    <row r="46" spans="1:21" s="12" customFormat="1" x14ac:dyDescent="0.25">
      <c r="A46" s="212" t="s">
        <v>764</v>
      </c>
      <c r="B46" s="64">
        <v>12.41</v>
      </c>
      <c r="C46" s="64">
        <v>10.98</v>
      </c>
      <c r="D46" s="64">
        <v>15.69</v>
      </c>
      <c r="E46" s="64">
        <v>4.79</v>
      </c>
      <c r="F46" s="64">
        <v>13.11</v>
      </c>
      <c r="G46" s="64">
        <v>77.41</v>
      </c>
      <c r="H46" s="64">
        <v>14.53</v>
      </c>
      <c r="I46" s="64">
        <v>1.69</v>
      </c>
      <c r="J46" s="64">
        <v>0.54</v>
      </c>
      <c r="K46" s="64">
        <v>337.52</v>
      </c>
      <c r="L46" s="64">
        <v>35.090000000000003</v>
      </c>
      <c r="M46" s="64">
        <v>58.29</v>
      </c>
      <c r="N46" s="64">
        <v>771.4</v>
      </c>
      <c r="O46" s="64">
        <v>0</v>
      </c>
      <c r="P46" s="64">
        <v>0.47</v>
      </c>
      <c r="Q46" s="64">
        <v>9.4600000000000009</v>
      </c>
      <c r="R46" s="198"/>
      <c r="S46" s="198"/>
      <c r="T46" s="198"/>
      <c r="U46" s="198"/>
    </row>
    <row r="47" spans="1:21" s="12" customFormat="1" x14ac:dyDescent="0.25">
      <c r="A47" s="212" t="s">
        <v>765</v>
      </c>
      <c r="B47" s="64">
        <v>9.75</v>
      </c>
      <c r="C47" s="64">
        <v>13.44</v>
      </c>
      <c r="D47" s="64">
        <v>14.83</v>
      </c>
      <c r="E47" s="64">
        <v>5.3</v>
      </c>
      <c r="F47" s="64">
        <v>15.13</v>
      </c>
      <c r="G47" s="64">
        <v>77.41</v>
      </c>
      <c r="H47" s="64">
        <v>14.53</v>
      </c>
      <c r="I47" s="64">
        <v>1.69</v>
      </c>
      <c r="J47" s="64">
        <v>0.23</v>
      </c>
      <c r="K47" s="64">
        <v>354.62</v>
      </c>
      <c r="L47" s="64">
        <v>35.450000000000003</v>
      </c>
      <c r="M47" s="64">
        <v>54.6</v>
      </c>
      <c r="N47" s="64">
        <v>779.2</v>
      </c>
      <c r="O47" s="64">
        <v>0</v>
      </c>
      <c r="P47" s="64">
        <v>0.47</v>
      </c>
      <c r="Q47" s="64">
        <v>9.4499999999999993</v>
      </c>
      <c r="R47" s="198"/>
      <c r="S47" s="198"/>
      <c r="T47" s="198"/>
      <c r="U47" s="198"/>
    </row>
    <row r="48" spans="1:21" s="12" customFormat="1" x14ac:dyDescent="0.25">
      <c r="A48" s="212" t="s">
        <v>766</v>
      </c>
      <c r="B48" s="64">
        <v>14.13</v>
      </c>
      <c r="C48" s="64">
        <v>14.03</v>
      </c>
      <c r="D48" s="64">
        <v>18.66</v>
      </c>
      <c r="E48" s="64">
        <v>5.18</v>
      </c>
      <c r="F48" s="64">
        <v>15.02</v>
      </c>
      <c r="G48" s="64">
        <v>77.41</v>
      </c>
      <c r="H48" s="64">
        <v>14.53</v>
      </c>
      <c r="I48" s="64">
        <v>1.69</v>
      </c>
      <c r="J48" s="64">
        <v>0.56999999999999995</v>
      </c>
      <c r="K48" s="64">
        <v>335.36</v>
      </c>
      <c r="L48" s="64">
        <v>34.729999999999997</v>
      </c>
      <c r="M48" s="64">
        <v>58.3</v>
      </c>
      <c r="N48" s="64">
        <v>819.5</v>
      </c>
      <c r="O48" s="64">
        <v>0</v>
      </c>
      <c r="P48" s="64">
        <v>0.52</v>
      </c>
      <c r="Q48" s="64">
        <v>9.4499999999999993</v>
      </c>
      <c r="R48" s="198"/>
      <c r="S48" s="198"/>
      <c r="T48" s="198"/>
      <c r="U48" s="198"/>
    </row>
    <row r="49" spans="1:21" s="12" customFormat="1" x14ac:dyDescent="0.25">
      <c r="A49" s="212" t="s">
        <v>767</v>
      </c>
      <c r="B49" s="64">
        <v>10.26</v>
      </c>
      <c r="C49" s="64">
        <v>15.25</v>
      </c>
      <c r="D49" s="64">
        <v>16.190000000000001</v>
      </c>
      <c r="E49" s="64">
        <v>5.0999999999999996</v>
      </c>
      <c r="F49" s="64">
        <v>14.25</v>
      </c>
      <c r="G49" s="64">
        <v>80.44</v>
      </c>
      <c r="H49" s="64">
        <v>14.93</v>
      </c>
      <c r="I49" s="64">
        <v>1.69</v>
      </c>
      <c r="J49" s="64">
        <v>0.13</v>
      </c>
      <c r="K49" s="64">
        <v>313.38</v>
      </c>
      <c r="L49" s="64">
        <v>36.01</v>
      </c>
      <c r="M49" s="64">
        <v>52.33</v>
      </c>
      <c r="N49" s="64">
        <v>855.3</v>
      </c>
      <c r="O49" s="64">
        <v>0</v>
      </c>
      <c r="P49" s="64">
        <v>0.48</v>
      </c>
      <c r="Q49" s="64">
        <v>9.4600000000000009</v>
      </c>
      <c r="R49" s="198"/>
      <c r="S49" s="198"/>
      <c r="T49" s="198"/>
      <c r="U49" s="198"/>
    </row>
    <row r="50" spans="1:21" s="12" customFormat="1" x14ac:dyDescent="0.25">
      <c r="A50" s="212" t="s">
        <v>768</v>
      </c>
      <c r="B50" s="64">
        <v>12.09</v>
      </c>
      <c r="C50" s="64">
        <v>15.88</v>
      </c>
      <c r="D50" s="64">
        <v>17.989999999999998</v>
      </c>
      <c r="E50" s="64">
        <v>4.82</v>
      </c>
      <c r="F50" s="64">
        <v>12.27</v>
      </c>
      <c r="G50" s="64">
        <v>84.07</v>
      </c>
      <c r="H50" s="64">
        <v>15.41</v>
      </c>
      <c r="I50" s="64">
        <v>1.68</v>
      </c>
      <c r="J50" s="64">
        <v>0.22</v>
      </c>
      <c r="K50" s="64">
        <v>301.81</v>
      </c>
      <c r="L50" s="64">
        <v>35.29</v>
      </c>
      <c r="M50" s="64">
        <v>55.57</v>
      </c>
      <c r="N50" s="64">
        <v>744</v>
      </c>
      <c r="O50" s="64">
        <v>0</v>
      </c>
      <c r="P50" s="64">
        <v>0.55000000000000004</v>
      </c>
      <c r="Q50" s="64">
        <v>9.4499999999999993</v>
      </c>
      <c r="R50" s="198"/>
      <c r="S50" s="198"/>
      <c r="T50" s="198"/>
      <c r="U50" s="198"/>
    </row>
    <row r="51" spans="1:21" s="12" customFormat="1" x14ac:dyDescent="0.25">
      <c r="A51" s="212" t="s">
        <v>769</v>
      </c>
      <c r="B51" s="64">
        <v>13.31</v>
      </c>
      <c r="C51" s="64">
        <v>14.32</v>
      </c>
      <c r="D51" s="64">
        <v>18.16</v>
      </c>
      <c r="E51" s="64">
        <v>4.9400000000000004</v>
      </c>
      <c r="F51" s="64">
        <v>15.1</v>
      </c>
      <c r="G51" s="64">
        <v>84.07</v>
      </c>
      <c r="H51" s="64">
        <v>15.41</v>
      </c>
      <c r="I51" s="64">
        <v>1.68</v>
      </c>
      <c r="J51" s="64">
        <v>0.81</v>
      </c>
      <c r="K51" s="64">
        <v>336.4</v>
      </c>
      <c r="L51" s="64">
        <v>36.33</v>
      </c>
      <c r="M51" s="64">
        <v>51.31</v>
      </c>
      <c r="N51" s="64">
        <v>900.7</v>
      </c>
      <c r="O51" s="64">
        <v>0</v>
      </c>
      <c r="P51" s="64">
        <v>0.47</v>
      </c>
      <c r="Q51" s="64">
        <v>9.4600000000000009</v>
      </c>
      <c r="R51" s="198"/>
      <c r="S51" s="198"/>
      <c r="T51" s="198"/>
      <c r="U51" s="198"/>
    </row>
    <row r="52" spans="1:21" s="12" customFormat="1" x14ac:dyDescent="0.25">
      <c r="A52" s="212" t="s">
        <v>770</v>
      </c>
      <c r="B52" s="64">
        <v>10.210000000000001</v>
      </c>
      <c r="C52" s="64">
        <v>20.77</v>
      </c>
      <c r="D52" s="64">
        <v>16.3</v>
      </c>
      <c r="E52" s="64">
        <v>5.29</v>
      </c>
      <c r="F52" s="64">
        <v>16.079999999999998</v>
      </c>
      <c r="G52" s="64">
        <v>84.07</v>
      </c>
      <c r="H52" s="64">
        <v>15.41</v>
      </c>
      <c r="I52" s="64">
        <v>1.68</v>
      </c>
      <c r="J52" s="64">
        <v>0.64</v>
      </c>
      <c r="K52" s="64">
        <v>333.07</v>
      </c>
      <c r="L52" s="64">
        <v>36.24</v>
      </c>
      <c r="M52" s="64">
        <v>51.81</v>
      </c>
      <c r="N52" s="64">
        <v>963.5</v>
      </c>
      <c r="O52" s="64">
        <v>0</v>
      </c>
      <c r="P52" s="64">
        <v>0.62</v>
      </c>
      <c r="Q52" s="64">
        <v>9.4</v>
      </c>
      <c r="R52" s="198"/>
      <c r="S52" s="198"/>
      <c r="T52" s="198"/>
      <c r="U52" s="198"/>
    </row>
    <row r="53" spans="1:21" s="12" customFormat="1" x14ac:dyDescent="0.25">
      <c r="A53" s="212" t="s">
        <v>771</v>
      </c>
      <c r="B53" s="64">
        <v>13.77</v>
      </c>
      <c r="C53" s="64">
        <v>29.76</v>
      </c>
      <c r="D53" s="64">
        <v>26.59</v>
      </c>
      <c r="E53" s="64">
        <v>5.63</v>
      </c>
      <c r="F53" s="64">
        <v>13.84</v>
      </c>
      <c r="G53" s="64">
        <v>84.07</v>
      </c>
      <c r="H53" s="64">
        <v>15.41</v>
      </c>
      <c r="I53" s="64">
        <v>1.63</v>
      </c>
      <c r="J53" s="64">
        <v>0.63</v>
      </c>
      <c r="K53" s="64">
        <v>331.21</v>
      </c>
      <c r="L53" s="64">
        <v>36.71</v>
      </c>
      <c r="M53" s="64">
        <v>49.81</v>
      </c>
      <c r="N53" s="64">
        <v>936.2</v>
      </c>
      <c r="O53" s="64">
        <v>0</v>
      </c>
      <c r="P53" s="64">
        <v>0.57999999999999996</v>
      </c>
      <c r="Q53" s="64">
        <v>9.3000000000000007</v>
      </c>
      <c r="R53" s="198"/>
      <c r="S53" s="198"/>
      <c r="T53" s="198"/>
      <c r="U53" s="198"/>
    </row>
    <row r="54" spans="1:21" s="12" customFormat="1" x14ac:dyDescent="0.25">
      <c r="A54" s="212" t="s">
        <v>772</v>
      </c>
      <c r="B54" s="64">
        <v>10.72</v>
      </c>
      <c r="C54" s="64">
        <v>49.13</v>
      </c>
      <c r="D54" s="64">
        <v>34.26</v>
      </c>
      <c r="E54" s="64">
        <v>5.41</v>
      </c>
      <c r="F54" s="64">
        <v>13.12</v>
      </c>
      <c r="G54" s="64">
        <v>84.07</v>
      </c>
      <c r="H54" s="64">
        <v>15.41</v>
      </c>
      <c r="I54" s="64">
        <v>1.55</v>
      </c>
      <c r="J54" s="64">
        <v>0.36</v>
      </c>
      <c r="K54" s="64">
        <v>316.52</v>
      </c>
      <c r="L54" s="64">
        <v>36.71</v>
      </c>
      <c r="M54" s="64">
        <v>48.56</v>
      </c>
      <c r="N54" s="64">
        <v>721.1</v>
      </c>
      <c r="O54" s="64">
        <v>0</v>
      </c>
      <c r="P54" s="64">
        <v>0.48</v>
      </c>
      <c r="Q54" s="64">
        <v>9.2799999999999994</v>
      </c>
      <c r="R54" s="198"/>
      <c r="S54" s="198"/>
      <c r="T54" s="198"/>
      <c r="U54" s="198"/>
    </row>
    <row r="55" spans="1:21" s="12" customFormat="1" x14ac:dyDescent="0.25">
      <c r="A55" s="212" t="s">
        <v>773</v>
      </c>
      <c r="B55" s="64">
        <v>7.32</v>
      </c>
      <c r="C55" s="64">
        <v>60.64</v>
      </c>
      <c r="D55" s="64">
        <v>37.56</v>
      </c>
      <c r="E55" s="64">
        <v>5.47</v>
      </c>
      <c r="F55" s="64">
        <v>12.96</v>
      </c>
      <c r="G55" s="64">
        <v>84.07</v>
      </c>
      <c r="H55" s="64">
        <v>15.41</v>
      </c>
      <c r="I55" s="64">
        <v>1.54</v>
      </c>
      <c r="J55" s="64">
        <v>0.3</v>
      </c>
      <c r="K55" s="64">
        <v>321.97000000000003</v>
      </c>
      <c r="L55" s="64">
        <v>36.21</v>
      </c>
      <c r="M55" s="64">
        <v>49.38</v>
      </c>
      <c r="N55" s="64">
        <v>770.1</v>
      </c>
      <c r="O55" s="64">
        <v>0</v>
      </c>
      <c r="P55" s="64">
        <v>0.43</v>
      </c>
      <c r="Q55" s="64">
        <v>9.2899999999999991</v>
      </c>
      <c r="R55" s="198"/>
      <c r="S55" s="198"/>
      <c r="T55" s="198"/>
      <c r="U55" s="198"/>
    </row>
    <row r="56" spans="1:21" s="12" customFormat="1" x14ac:dyDescent="0.25">
      <c r="A56" s="212" t="s">
        <v>774</v>
      </c>
      <c r="B56" s="64">
        <v>8.7200000000000006</v>
      </c>
      <c r="C56" s="64">
        <v>16.57</v>
      </c>
      <c r="D56" s="64">
        <v>15.65</v>
      </c>
      <c r="E56" s="64">
        <v>5.24</v>
      </c>
      <c r="F56" s="64">
        <v>10.55</v>
      </c>
      <c r="G56" s="64">
        <v>84.07</v>
      </c>
      <c r="H56" s="64">
        <v>15.41</v>
      </c>
      <c r="I56" s="64">
        <v>1.56</v>
      </c>
      <c r="J56" s="64">
        <v>0.47</v>
      </c>
      <c r="K56" s="64">
        <v>328</v>
      </c>
      <c r="L56" s="64">
        <v>35.53</v>
      </c>
      <c r="M56" s="64">
        <v>51.44</v>
      </c>
      <c r="N56" s="64">
        <v>664.2</v>
      </c>
      <c r="O56" s="64">
        <v>0</v>
      </c>
      <c r="P56" s="64">
        <v>0.49</v>
      </c>
      <c r="Q56" s="64">
        <v>9.2799999999999994</v>
      </c>
      <c r="R56" s="198"/>
      <c r="S56" s="198"/>
      <c r="T56" s="198"/>
      <c r="U56" s="198"/>
    </row>
    <row r="57" spans="1:21" s="12" customFormat="1" x14ac:dyDescent="0.25">
      <c r="A57" s="212" t="s">
        <v>775</v>
      </c>
      <c r="B57" s="64">
        <v>9.83</v>
      </c>
      <c r="C57" s="64">
        <v>15.56</v>
      </c>
      <c r="D57" s="64">
        <v>16.010000000000002</v>
      </c>
      <c r="E57" s="64">
        <v>5.67</v>
      </c>
      <c r="F57" s="64">
        <v>11.45</v>
      </c>
      <c r="G57" s="64">
        <v>84.07</v>
      </c>
      <c r="H57" s="64">
        <v>15.41</v>
      </c>
      <c r="I57" s="64">
        <v>1.55</v>
      </c>
      <c r="J57" s="64">
        <v>0.91</v>
      </c>
      <c r="K57" s="64">
        <v>332.77</v>
      </c>
      <c r="L57" s="64">
        <v>35.979999999999997</v>
      </c>
      <c r="M57" s="64">
        <v>51.26</v>
      </c>
      <c r="N57" s="64">
        <v>900.3</v>
      </c>
      <c r="O57" s="64">
        <v>0</v>
      </c>
      <c r="P57" s="64">
        <v>0.47</v>
      </c>
      <c r="Q57" s="64">
        <v>9.27</v>
      </c>
      <c r="R57" s="198"/>
      <c r="S57" s="198"/>
      <c r="T57" s="198"/>
      <c r="U57" s="198"/>
    </row>
    <row r="58" spans="1:21" s="12" customFormat="1" x14ac:dyDescent="0.25">
      <c r="A58" s="212" t="s">
        <v>776</v>
      </c>
      <c r="B58" s="64">
        <v>9.3800000000000008</v>
      </c>
      <c r="C58" s="64">
        <v>13.03</v>
      </c>
      <c r="D58" s="64">
        <v>14.33</v>
      </c>
      <c r="E58" s="64">
        <v>4.74</v>
      </c>
      <c r="F58" s="64">
        <v>15.94</v>
      </c>
      <c r="G58" s="64">
        <v>84.07</v>
      </c>
      <c r="H58" s="64">
        <v>15.41</v>
      </c>
      <c r="I58" s="64">
        <v>1.52</v>
      </c>
      <c r="J58" s="64">
        <v>0.47</v>
      </c>
      <c r="K58" s="64">
        <v>328.97</v>
      </c>
      <c r="L58" s="64">
        <v>36.22</v>
      </c>
      <c r="M58" s="64">
        <v>49.54</v>
      </c>
      <c r="N58" s="64">
        <v>890.7</v>
      </c>
      <c r="O58" s="64">
        <v>0</v>
      </c>
      <c r="P58" s="64">
        <v>0.49</v>
      </c>
      <c r="Q58" s="64">
        <v>9.24</v>
      </c>
      <c r="R58" s="198"/>
      <c r="S58" s="198"/>
      <c r="T58" s="198"/>
      <c r="U58" s="198"/>
    </row>
    <row r="59" spans="1:21" s="12" customFormat="1" x14ac:dyDescent="0.25">
      <c r="A59" s="212" t="s">
        <v>777</v>
      </c>
      <c r="B59" s="64">
        <v>12.17</v>
      </c>
      <c r="C59" s="64">
        <v>14.09</v>
      </c>
      <c r="D59" s="64">
        <v>17.12</v>
      </c>
      <c r="E59" s="64">
        <v>4.93</v>
      </c>
      <c r="F59" s="64">
        <v>22.23</v>
      </c>
      <c r="G59" s="64">
        <v>69.02</v>
      </c>
      <c r="H59" s="64">
        <v>17.850000000000001</v>
      </c>
      <c r="I59" s="64">
        <v>1.49</v>
      </c>
      <c r="J59" s="64">
        <v>0.8</v>
      </c>
      <c r="K59" s="64">
        <v>340.98</v>
      </c>
      <c r="L59" s="64">
        <v>36.18</v>
      </c>
      <c r="M59" s="64">
        <v>48.21</v>
      </c>
      <c r="N59" s="64">
        <v>455.6</v>
      </c>
      <c r="O59" s="64">
        <v>0</v>
      </c>
      <c r="P59" s="64">
        <v>0.48</v>
      </c>
      <c r="Q59" s="64">
        <v>9.2200000000000006</v>
      </c>
      <c r="R59" s="198"/>
      <c r="S59" s="198"/>
      <c r="T59" s="198"/>
      <c r="U59" s="198"/>
    </row>
    <row r="60" spans="1:21" s="12" customFormat="1" x14ac:dyDescent="0.25">
      <c r="A60" s="212" t="s">
        <v>778</v>
      </c>
      <c r="B60" s="64">
        <v>7.32</v>
      </c>
      <c r="C60" s="64">
        <v>29.88</v>
      </c>
      <c r="D60" s="64">
        <v>21.49</v>
      </c>
      <c r="E60" s="64">
        <v>5.27</v>
      </c>
      <c r="F60" s="64">
        <v>9.8699999999999992</v>
      </c>
      <c r="G60" s="64">
        <v>74.67</v>
      </c>
      <c r="H60" s="64">
        <v>19.27</v>
      </c>
      <c r="I60" s="64">
        <v>1.47</v>
      </c>
      <c r="J60" s="64">
        <v>0.41</v>
      </c>
      <c r="K60" s="64">
        <v>323.45999999999998</v>
      </c>
      <c r="L60" s="64">
        <v>35.71</v>
      </c>
      <c r="M60" s="64">
        <v>49.82</v>
      </c>
      <c r="N60" s="64">
        <v>634.70000000000005</v>
      </c>
      <c r="O60" s="64">
        <v>0</v>
      </c>
      <c r="P60" s="64">
        <v>0.54</v>
      </c>
      <c r="Q60" s="64">
        <v>9.2200000000000006</v>
      </c>
      <c r="R60" s="198"/>
      <c r="S60" s="198"/>
      <c r="T60" s="198"/>
      <c r="U60" s="198"/>
    </row>
    <row r="61" spans="1:21" s="12" customFormat="1" x14ac:dyDescent="0.25">
      <c r="A61" s="212" t="s">
        <v>779</v>
      </c>
      <c r="B61" s="64">
        <v>4.87</v>
      </c>
      <c r="C61" s="64">
        <v>23.18</v>
      </c>
      <c r="D61" s="64">
        <v>16.02</v>
      </c>
      <c r="E61" s="64">
        <v>5.16</v>
      </c>
      <c r="F61" s="64">
        <v>12.18</v>
      </c>
      <c r="G61" s="64">
        <v>74.67</v>
      </c>
      <c r="H61" s="64">
        <v>19.27</v>
      </c>
      <c r="I61" s="64">
        <v>1.45</v>
      </c>
      <c r="J61" s="64">
        <v>0.5</v>
      </c>
      <c r="K61" s="64">
        <v>326.77</v>
      </c>
      <c r="L61" s="64">
        <v>35.090000000000003</v>
      </c>
      <c r="M61" s="64">
        <v>49.63</v>
      </c>
      <c r="N61" s="64">
        <v>376.4</v>
      </c>
      <c r="O61" s="64">
        <v>0</v>
      </c>
      <c r="P61" s="64">
        <v>0.41</v>
      </c>
      <c r="Q61" s="64">
        <v>9.1999999999999993</v>
      </c>
      <c r="R61" s="198"/>
      <c r="S61" s="198"/>
      <c r="T61" s="198"/>
      <c r="U61" s="198"/>
    </row>
    <row r="62" spans="1:21" s="12" customFormat="1" x14ac:dyDescent="0.25">
      <c r="A62" s="212" t="s">
        <v>780</v>
      </c>
      <c r="B62" s="64">
        <v>4.9800000000000004</v>
      </c>
      <c r="C62" s="64">
        <v>20.95</v>
      </c>
      <c r="D62" s="64">
        <v>14.94</v>
      </c>
      <c r="E62" s="64">
        <v>5.14</v>
      </c>
      <c r="F62" s="64">
        <v>5.2</v>
      </c>
      <c r="G62" s="64">
        <v>74.67</v>
      </c>
      <c r="H62" s="64">
        <v>19.27</v>
      </c>
      <c r="I62" s="64">
        <v>1.41</v>
      </c>
      <c r="J62" s="64">
        <v>0.84</v>
      </c>
      <c r="K62" s="64">
        <v>328.24</v>
      </c>
      <c r="L62" s="64">
        <v>35.090000000000003</v>
      </c>
      <c r="M62" s="64">
        <v>49.81</v>
      </c>
      <c r="N62" s="64">
        <v>332.8</v>
      </c>
      <c r="O62" s="64">
        <v>0</v>
      </c>
      <c r="P62" s="64">
        <v>0.45</v>
      </c>
      <c r="Q62" s="64">
        <v>9.16</v>
      </c>
      <c r="R62" s="198"/>
      <c r="S62" s="198"/>
      <c r="T62" s="198"/>
      <c r="U62" s="198"/>
    </row>
    <row r="63" spans="1:21" s="12" customFormat="1" x14ac:dyDescent="0.25">
      <c r="A63" s="212" t="s">
        <v>781</v>
      </c>
      <c r="B63" s="64">
        <v>6.61</v>
      </c>
      <c r="C63" s="64">
        <v>19.260000000000002</v>
      </c>
      <c r="D63" s="64">
        <v>15.36</v>
      </c>
      <c r="E63" s="64">
        <v>5.38</v>
      </c>
      <c r="F63" s="64">
        <v>9.08</v>
      </c>
      <c r="G63" s="64">
        <v>77.63</v>
      </c>
      <c r="H63" s="64">
        <v>15.51</v>
      </c>
      <c r="I63" s="64">
        <v>1.34</v>
      </c>
      <c r="J63" s="64">
        <v>1.28</v>
      </c>
      <c r="K63" s="64">
        <v>332.16</v>
      </c>
      <c r="L63" s="64">
        <v>35.49</v>
      </c>
      <c r="M63" s="64">
        <v>49.46</v>
      </c>
      <c r="N63" s="64">
        <v>316</v>
      </c>
      <c r="O63" s="64">
        <v>0</v>
      </c>
      <c r="P63" s="64">
        <v>0.39</v>
      </c>
      <c r="Q63" s="64">
        <v>9.1300000000000008</v>
      </c>
      <c r="R63" s="198"/>
      <c r="S63" s="198"/>
      <c r="T63" s="198"/>
      <c r="U63" s="198"/>
    </row>
    <row r="64" spans="1:21" s="12" customFormat="1" x14ac:dyDescent="0.25">
      <c r="A64" s="212" t="s">
        <v>782</v>
      </c>
      <c r="B64" s="64">
        <v>8.64</v>
      </c>
      <c r="C64" s="64">
        <v>17.5</v>
      </c>
      <c r="D64" s="64">
        <v>16.07</v>
      </c>
      <c r="E64" s="64">
        <v>4.79</v>
      </c>
      <c r="F64" s="64">
        <v>15.12</v>
      </c>
      <c r="G64" s="64">
        <v>77.88</v>
      </c>
      <c r="H64" s="64">
        <v>15.19</v>
      </c>
      <c r="I64" s="64">
        <v>1.27</v>
      </c>
      <c r="J64" s="64">
        <v>0.45</v>
      </c>
      <c r="K64" s="64">
        <v>335.14</v>
      </c>
      <c r="L64" s="64">
        <v>35.119999999999997</v>
      </c>
      <c r="M64" s="64">
        <v>48.63</v>
      </c>
      <c r="N64" s="64">
        <v>312.89999999999998</v>
      </c>
      <c r="O64" s="64">
        <v>0</v>
      </c>
      <c r="P64" s="64">
        <v>0.37</v>
      </c>
      <c r="Q64" s="64">
        <v>9.1300000000000008</v>
      </c>
      <c r="R64" s="198"/>
      <c r="S64" s="198"/>
      <c r="T64" s="198"/>
      <c r="U64" s="198"/>
    </row>
    <row r="65" spans="1:21" s="12" customFormat="1" x14ac:dyDescent="0.25">
      <c r="A65" s="212" t="s">
        <v>783</v>
      </c>
      <c r="B65" s="64">
        <v>8.1</v>
      </c>
      <c r="C65" s="64">
        <v>14.23</v>
      </c>
      <c r="D65" s="64">
        <v>13.93</v>
      </c>
      <c r="E65" s="64">
        <v>4.67</v>
      </c>
      <c r="F65" s="64">
        <v>16.45</v>
      </c>
      <c r="G65" s="64">
        <v>77.88</v>
      </c>
      <c r="H65" s="64">
        <v>15.19</v>
      </c>
      <c r="I65" s="64">
        <v>1.22</v>
      </c>
      <c r="J65" s="64">
        <v>0.94</v>
      </c>
      <c r="K65" s="64">
        <v>338.93</v>
      </c>
      <c r="L65" s="64">
        <v>35.07</v>
      </c>
      <c r="M65" s="64">
        <v>50.9</v>
      </c>
      <c r="N65" s="64">
        <v>304.7</v>
      </c>
      <c r="O65" s="64">
        <v>0</v>
      </c>
      <c r="P65" s="64">
        <v>0.38</v>
      </c>
      <c r="Q65" s="64">
        <v>9.1199999999999992</v>
      </c>
      <c r="R65" s="198"/>
      <c r="S65" s="198"/>
      <c r="T65" s="198"/>
      <c r="U65" s="198"/>
    </row>
    <row r="66" spans="1:21" s="12" customFormat="1" x14ac:dyDescent="0.25">
      <c r="A66" s="212" t="s">
        <v>784</v>
      </c>
      <c r="B66" s="64">
        <v>14.72</v>
      </c>
      <c r="C66" s="64">
        <v>17.920000000000002</v>
      </c>
      <c r="D66" s="64">
        <v>21.17</v>
      </c>
      <c r="E66" s="64">
        <v>4.96</v>
      </c>
      <c r="F66" s="64">
        <v>19.07</v>
      </c>
      <c r="G66" s="64">
        <v>77.88</v>
      </c>
      <c r="H66" s="64">
        <v>15.19</v>
      </c>
      <c r="I66" s="64">
        <v>1.2</v>
      </c>
      <c r="J66" s="64">
        <v>0.85</v>
      </c>
      <c r="K66" s="64">
        <v>341.43</v>
      </c>
      <c r="L66" s="64">
        <v>34.82</v>
      </c>
      <c r="M66" s="64">
        <v>51.4</v>
      </c>
      <c r="N66" s="64">
        <v>227.7</v>
      </c>
      <c r="O66" s="64">
        <v>0</v>
      </c>
      <c r="P66" s="64">
        <v>0.38</v>
      </c>
      <c r="Q66" s="64">
        <v>9.14</v>
      </c>
      <c r="R66" s="198"/>
      <c r="S66" s="198"/>
      <c r="T66" s="198"/>
      <c r="U66" s="198"/>
    </row>
    <row r="67" spans="1:21" s="12" customFormat="1" x14ac:dyDescent="0.25">
      <c r="A67" s="212" t="s">
        <v>785</v>
      </c>
      <c r="B67" s="64">
        <v>10.38</v>
      </c>
      <c r="C67" s="64">
        <v>18.190000000000001</v>
      </c>
      <c r="D67" s="64">
        <v>17.829999999999998</v>
      </c>
      <c r="E67" s="64">
        <v>4.97</v>
      </c>
      <c r="F67" s="64">
        <v>18.09</v>
      </c>
      <c r="G67" s="64">
        <v>68.290000000000006</v>
      </c>
      <c r="H67" s="64">
        <v>11.92</v>
      </c>
      <c r="I67" s="64">
        <v>1.18</v>
      </c>
      <c r="J67" s="64">
        <v>0.28000000000000003</v>
      </c>
      <c r="K67" s="64">
        <v>0.61</v>
      </c>
      <c r="L67" s="64">
        <v>33.72</v>
      </c>
      <c r="M67" s="64">
        <v>57.65</v>
      </c>
      <c r="N67" s="64">
        <v>260.10000000000002</v>
      </c>
      <c r="O67" s="64">
        <v>0</v>
      </c>
      <c r="P67" s="64">
        <v>0.41</v>
      </c>
      <c r="Q67" s="64">
        <v>9.17</v>
      </c>
      <c r="R67" s="198"/>
      <c r="S67" s="198"/>
      <c r="T67" s="198"/>
      <c r="U67" s="198"/>
    </row>
    <row r="68" spans="1:21" s="12" customFormat="1" x14ac:dyDescent="0.25">
      <c r="A68" s="212" t="s">
        <v>786</v>
      </c>
      <c r="B68" s="64">
        <v>6.45</v>
      </c>
      <c r="C68" s="64">
        <v>16.14</v>
      </c>
      <c r="D68" s="64">
        <v>13.6</v>
      </c>
      <c r="E68" s="64">
        <v>4.96</v>
      </c>
      <c r="F68" s="64">
        <v>18.239999999999998</v>
      </c>
      <c r="G68" s="64">
        <v>67.489999999999995</v>
      </c>
      <c r="H68" s="64">
        <v>11.65</v>
      </c>
      <c r="I68" s="64">
        <v>1.17</v>
      </c>
      <c r="J68" s="64">
        <v>0.3</v>
      </c>
      <c r="K68" s="64">
        <v>125.47</v>
      </c>
      <c r="L68" s="64">
        <v>32.11</v>
      </c>
      <c r="M68" s="64">
        <v>67.11</v>
      </c>
      <c r="N68" s="64">
        <v>253.1</v>
      </c>
      <c r="O68" s="64">
        <v>0</v>
      </c>
      <c r="P68" s="64">
        <v>0.28999999999999998</v>
      </c>
      <c r="Q68" s="64">
        <v>9.15</v>
      </c>
      <c r="R68" s="198"/>
      <c r="S68" s="198"/>
      <c r="T68" s="198"/>
      <c r="U68" s="198"/>
    </row>
    <row r="69" spans="1:21" s="12" customFormat="1" x14ac:dyDescent="0.25">
      <c r="A69" s="212" t="s">
        <v>787</v>
      </c>
      <c r="B69" s="64">
        <v>8.8800000000000008</v>
      </c>
      <c r="C69" s="64">
        <v>16.16</v>
      </c>
      <c r="D69" s="64">
        <v>15.57</v>
      </c>
      <c r="E69" s="64">
        <v>4.7</v>
      </c>
      <c r="F69" s="64">
        <v>17.23</v>
      </c>
      <c r="G69" s="64">
        <v>67.489999999999995</v>
      </c>
      <c r="H69" s="64">
        <v>11.65</v>
      </c>
      <c r="I69" s="64">
        <v>1.05</v>
      </c>
      <c r="J69" s="64">
        <v>0.38</v>
      </c>
      <c r="K69" s="64">
        <v>119.66</v>
      </c>
      <c r="L69" s="64">
        <v>31.83</v>
      </c>
      <c r="M69" s="64">
        <v>68.209999999999994</v>
      </c>
      <c r="N69" s="64">
        <v>248.6</v>
      </c>
      <c r="O69" s="64">
        <v>0</v>
      </c>
      <c r="P69" s="64">
        <v>0.28999999999999998</v>
      </c>
      <c r="Q69" s="64">
        <v>9.11</v>
      </c>
      <c r="R69" s="198"/>
      <c r="S69" s="198"/>
      <c r="T69" s="198"/>
      <c r="U69" s="198"/>
    </row>
    <row r="70" spans="1:21" s="12" customFormat="1" x14ac:dyDescent="0.25">
      <c r="A70" s="212" t="s">
        <v>788</v>
      </c>
      <c r="B70" s="64">
        <v>14.15</v>
      </c>
      <c r="C70" s="64">
        <v>18.95</v>
      </c>
      <c r="D70" s="64">
        <v>21.25</v>
      </c>
      <c r="E70" s="64">
        <v>4.9000000000000004</v>
      </c>
      <c r="F70" s="64">
        <v>16.02</v>
      </c>
      <c r="G70" s="64">
        <v>67.489999999999995</v>
      </c>
      <c r="H70" s="64">
        <v>11.65</v>
      </c>
      <c r="I70" s="64">
        <v>0.9</v>
      </c>
      <c r="J70" s="64">
        <v>0.1</v>
      </c>
      <c r="K70" s="64">
        <v>5.53</v>
      </c>
      <c r="L70" s="64">
        <v>32.35</v>
      </c>
      <c r="M70" s="64">
        <v>65.989999999999995</v>
      </c>
      <c r="N70" s="64">
        <v>244.4</v>
      </c>
      <c r="O70" s="64">
        <v>0</v>
      </c>
      <c r="P70" s="64">
        <v>0.45</v>
      </c>
      <c r="Q70" s="64">
        <v>9.1</v>
      </c>
      <c r="R70" s="198"/>
      <c r="S70" s="198"/>
      <c r="T70" s="198"/>
      <c r="U70" s="198"/>
    </row>
    <row r="71" spans="1:21" s="12" customFormat="1" x14ac:dyDescent="0.25">
      <c r="A71" s="212" t="s">
        <v>789</v>
      </c>
      <c r="B71" s="64">
        <v>6.18</v>
      </c>
      <c r="C71" s="64">
        <v>13.65</v>
      </c>
      <c r="D71" s="64">
        <v>12.09</v>
      </c>
      <c r="E71" s="64">
        <v>5.08</v>
      </c>
      <c r="F71" s="64">
        <v>18.87</v>
      </c>
      <c r="G71" s="64">
        <v>77.98</v>
      </c>
      <c r="H71" s="64">
        <v>14.98</v>
      </c>
      <c r="I71" s="64">
        <v>0.88</v>
      </c>
      <c r="J71" s="64">
        <v>0.43</v>
      </c>
      <c r="K71" s="64">
        <v>113.7</v>
      </c>
      <c r="L71" s="64">
        <v>32.229999999999997</v>
      </c>
      <c r="M71" s="64">
        <v>66.459999999999994</v>
      </c>
      <c r="N71" s="64">
        <v>245.1</v>
      </c>
      <c r="O71" s="64">
        <v>0</v>
      </c>
      <c r="P71" s="64">
        <v>0.24</v>
      </c>
      <c r="Q71" s="64">
        <v>9.1</v>
      </c>
      <c r="R71" s="198"/>
      <c r="S71" s="198"/>
      <c r="T71" s="198"/>
      <c r="U71" s="198"/>
    </row>
    <row r="72" spans="1:21" s="12" customFormat="1" x14ac:dyDescent="0.25">
      <c r="A72" s="212" t="s">
        <v>790</v>
      </c>
      <c r="B72" s="64">
        <v>4.42</v>
      </c>
      <c r="C72" s="64">
        <v>11.1</v>
      </c>
      <c r="D72" s="64">
        <v>9.34</v>
      </c>
      <c r="E72" s="64">
        <v>4.71</v>
      </c>
      <c r="F72" s="64">
        <v>19.66</v>
      </c>
      <c r="G72" s="64">
        <v>78.86</v>
      </c>
      <c r="H72" s="64">
        <v>15.26</v>
      </c>
      <c r="I72" s="64">
        <v>0.93</v>
      </c>
      <c r="J72" s="64">
        <v>0.81</v>
      </c>
      <c r="K72" s="64">
        <v>123.77</v>
      </c>
      <c r="L72" s="64">
        <v>31.4</v>
      </c>
      <c r="M72" s="64">
        <v>71.41</v>
      </c>
      <c r="N72" s="64">
        <v>165.7</v>
      </c>
      <c r="O72" s="64">
        <v>0</v>
      </c>
      <c r="P72" s="64">
        <v>0.15</v>
      </c>
      <c r="Q72" s="64">
        <v>9.1199999999999992</v>
      </c>
      <c r="R72" s="198"/>
      <c r="S72" s="198"/>
      <c r="T72" s="198"/>
      <c r="U72" s="198"/>
    </row>
    <row r="73" spans="1:21" s="12" customFormat="1" x14ac:dyDescent="0.25">
      <c r="A73" s="212" t="s">
        <v>791</v>
      </c>
      <c r="B73" s="64">
        <v>4.7</v>
      </c>
      <c r="C73" s="64">
        <v>12.95</v>
      </c>
      <c r="D73" s="64">
        <v>10.53</v>
      </c>
      <c r="E73" s="64">
        <v>4.71</v>
      </c>
      <c r="F73" s="64">
        <v>18.87</v>
      </c>
      <c r="G73" s="64">
        <v>78.86</v>
      </c>
      <c r="H73" s="64">
        <v>15.26</v>
      </c>
      <c r="I73" s="64">
        <v>0.97</v>
      </c>
      <c r="J73" s="64">
        <v>0.86</v>
      </c>
      <c r="K73" s="64">
        <v>125.2</v>
      </c>
      <c r="L73" s="64">
        <v>30.79</v>
      </c>
      <c r="M73" s="64">
        <v>75.94</v>
      </c>
      <c r="N73" s="64">
        <v>128.1</v>
      </c>
      <c r="O73" s="64">
        <v>0</v>
      </c>
      <c r="P73" s="64">
        <v>0.18</v>
      </c>
      <c r="Q73" s="64">
        <v>9.1199999999999992</v>
      </c>
      <c r="R73" s="198"/>
      <c r="S73" s="198"/>
      <c r="T73" s="198"/>
      <c r="U73" s="198"/>
    </row>
    <row r="74" spans="1:21" s="12" customFormat="1" x14ac:dyDescent="0.25">
      <c r="A74" s="212" t="s">
        <v>792</v>
      </c>
      <c r="B74" s="64">
        <v>4.26</v>
      </c>
      <c r="C74" s="64">
        <v>13.8</v>
      </c>
      <c r="D74" s="64">
        <v>10.63</v>
      </c>
      <c r="E74" s="64">
        <v>4.7300000000000004</v>
      </c>
      <c r="F74" s="64">
        <v>20.04</v>
      </c>
      <c r="G74" s="64">
        <v>78.86</v>
      </c>
      <c r="H74" s="64">
        <v>15.26</v>
      </c>
      <c r="I74" s="64">
        <v>1.08</v>
      </c>
      <c r="J74" s="64">
        <v>0.8</v>
      </c>
      <c r="K74" s="64">
        <v>117.93</v>
      </c>
      <c r="L74" s="64">
        <v>30.44</v>
      </c>
      <c r="M74" s="64">
        <v>77.459999999999994</v>
      </c>
      <c r="N74" s="64">
        <v>103.4</v>
      </c>
      <c r="O74" s="64">
        <v>0</v>
      </c>
      <c r="P74" s="64">
        <v>0.17</v>
      </c>
      <c r="Q74" s="64">
        <v>9.11</v>
      </c>
      <c r="R74" s="198"/>
      <c r="S74" s="198"/>
      <c r="T74" s="198"/>
      <c r="U74" s="198"/>
    </row>
    <row r="75" spans="1:21" s="12" customFormat="1" x14ac:dyDescent="0.25">
      <c r="A75" s="212" t="s">
        <v>793</v>
      </c>
      <c r="B75" s="64">
        <v>4.3</v>
      </c>
      <c r="C75" s="64">
        <v>14.53</v>
      </c>
      <c r="D75" s="64">
        <v>11.04</v>
      </c>
      <c r="E75" s="64">
        <v>4.71</v>
      </c>
      <c r="F75" s="64">
        <v>16.100000000000001</v>
      </c>
      <c r="G75" s="64">
        <v>63.26</v>
      </c>
      <c r="H75" s="64">
        <v>12.86</v>
      </c>
      <c r="I75" s="64">
        <v>1.05</v>
      </c>
      <c r="J75" s="64">
        <v>0.96</v>
      </c>
      <c r="K75" s="64">
        <v>131.25</v>
      </c>
      <c r="L75" s="64">
        <v>30.15</v>
      </c>
      <c r="M75" s="64">
        <v>78.81</v>
      </c>
      <c r="N75" s="64">
        <v>89.6</v>
      </c>
      <c r="O75" s="64">
        <v>0</v>
      </c>
      <c r="P75" s="64">
        <v>0.19</v>
      </c>
      <c r="Q75" s="64">
        <v>9.09</v>
      </c>
      <c r="R75" s="198"/>
      <c r="S75" s="198"/>
      <c r="T75" s="198"/>
      <c r="U75" s="198"/>
    </row>
    <row r="76" spans="1:21" s="12" customFormat="1" x14ac:dyDescent="0.25">
      <c r="A76" s="212" t="s">
        <v>794</v>
      </c>
      <c r="B76" s="64">
        <v>7.53</v>
      </c>
      <c r="C76" s="64">
        <v>12.49</v>
      </c>
      <c r="D76" s="64">
        <v>12.57</v>
      </c>
      <c r="E76" s="64">
        <v>4.3</v>
      </c>
      <c r="F76" s="64">
        <v>10.01</v>
      </c>
      <c r="G76" s="64">
        <v>61.95</v>
      </c>
      <c r="H76" s="64">
        <v>12.66</v>
      </c>
      <c r="I76" s="64">
        <v>0.97</v>
      </c>
      <c r="J76" s="64">
        <v>0.45</v>
      </c>
      <c r="K76" s="64">
        <v>318.73</v>
      </c>
      <c r="L76" s="64">
        <v>29.21</v>
      </c>
      <c r="M76" s="64">
        <v>82.68</v>
      </c>
      <c r="N76" s="64">
        <v>77.099999999999994</v>
      </c>
      <c r="O76" s="64">
        <v>0</v>
      </c>
      <c r="P76" s="64">
        <v>0.3</v>
      </c>
      <c r="Q76" s="64">
        <v>9.06</v>
      </c>
      <c r="R76" s="198"/>
      <c r="S76" s="198"/>
      <c r="T76" s="198"/>
      <c r="U76" s="198"/>
    </row>
    <row r="77" spans="1:21" s="12" customFormat="1" x14ac:dyDescent="0.25">
      <c r="A77" s="212" t="s">
        <v>795</v>
      </c>
      <c r="B77" s="64">
        <v>13.14</v>
      </c>
      <c r="C77" s="64">
        <v>13.07</v>
      </c>
      <c r="D77" s="64">
        <v>17.239999999999998</v>
      </c>
      <c r="E77" s="64">
        <v>4.6100000000000003</v>
      </c>
      <c r="F77" s="64">
        <v>9.74</v>
      </c>
      <c r="G77" s="64">
        <v>61.95</v>
      </c>
      <c r="H77" s="64">
        <v>12.66</v>
      </c>
      <c r="I77" s="64">
        <v>0.96</v>
      </c>
      <c r="J77" s="64">
        <v>0.43</v>
      </c>
      <c r="K77" s="64">
        <v>358.41</v>
      </c>
      <c r="L77" s="64">
        <v>28.71</v>
      </c>
      <c r="M77" s="64">
        <v>75.44</v>
      </c>
      <c r="N77" s="64">
        <v>61.7</v>
      </c>
      <c r="O77" s="64">
        <v>0</v>
      </c>
      <c r="P77" s="64">
        <v>0.39</v>
      </c>
      <c r="Q77" s="64">
        <v>9.08</v>
      </c>
      <c r="R77" s="198"/>
      <c r="S77" s="198"/>
      <c r="T77" s="198"/>
      <c r="U77" s="198"/>
    </row>
    <row r="78" spans="1:21" s="12" customFormat="1" x14ac:dyDescent="0.25">
      <c r="A78" s="212" t="s">
        <v>796</v>
      </c>
      <c r="B78" s="64">
        <v>7.76</v>
      </c>
      <c r="C78" s="64">
        <v>12.63</v>
      </c>
      <c r="D78" s="64">
        <v>12.82</v>
      </c>
      <c r="E78" s="64">
        <v>4.6500000000000004</v>
      </c>
      <c r="F78" s="64">
        <v>10.78</v>
      </c>
      <c r="G78" s="64">
        <v>61.95</v>
      </c>
      <c r="H78" s="64">
        <v>12.66</v>
      </c>
      <c r="I78" s="64">
        <v>0.98</v>
      </c>
      <c r="J78" s="64">
        <v>0.43</v>
      </c>
      <c r="K78" s="64">
        <v>119.81</v>
      </c>
      <c r="L78" s="64">
        <v>26.77</v>
      </c>
      <c r="M78" s="64">
        <v>91.83</v>
      </c>
      <c r="N78" s="64">
        <v>66.099999999999994</v>
      </c>
      <c r="O78" s="64">
        <v>0</v>
      </c>
      <c r="P78" s="64">
        <v>0.31</v>
      </c>
      <c r="Q78" s="64">
        <v>9.08</v>
      </c>
      <c r="R78" s="198"/>
      <c r="S78" s="198"/>
      <c r="T78" s="198"/>
      <c r="U78" s="198"/>
    </row>
    <row r="79" spans="1:21" s="12" customFormat="1" x14ac:dyDescent="0.25">
      <c r="A79" s="212" t="s">
        <v>797</v>
      </c>
      <c r="B79" s="64">
        <v>7.27</v>
      </c>
      <c r="C79" s="64">
        <v>10.050000000000001</v>
      </c>
      <c r="D79" s="64">
        <v>11.08</v>
      </c>
      <c r="E79" s="64">
        <v>4.42</v>
      </c>
      <c r="F79" s="64">
        <v>4.25</v>
      </c>
      <c r="G79" s="64">
        <v>66.099999999999994</v>
      </c>
      <c r="H79" s="64">
        <v>13.29</v>
      </c>
      <c r="I79" s="64">
        <v>1</v>
      </c>
      <c r="J79" s="64">
        <v>0.62</v>
      </c>
      <c r="K79" s="64">
        <v>141.01</v>
      </c>
      <c r="L79" s="64">
        <v>24.13</v>
      </c>
      <c r="M79" s="64">
        <v>97.76</v>
      </c>
      <c r="N79" s="64">
        <v>62</v>
      </c>
      <c r="O79" s="64">
        <v>0</v>
      </c>
      <c r="P79" s="64">
        <v>0.28000000000000003</v>
      </c>
      <c r="Q79" s="64">
        <v>9.08</v>
      </c>
      <c r="R79" s="198"/>
      <c r="S79" s="198"/>
      <c r="T79" s="198"/>
      <c r="U79" s="198"/>
    </row>
    <row r="80" spans="1:21" s="12" customFormat="1" x14ac:dyDescent="0.25">
      <c r="A80" s="212" t="s">
        <v>798</v>
      </c>
      <c r="B80" s="64">
        <v>6.8</v>
      </c>
      <c r="C80" s="64">
        <v>11.74</v>
      </c>
      <c r="D80" s="64">
        <v>11.58</v>
      </c>
      <c r="E80" s="64">
        <v>4.6100000000000003</v>
      </c>
      <c r="F80" s="64">
        <v>4.8499999999999996</v>
      </c>
      <c r="G80" s="64">
        <v>66.45</v>
      </c>
      <c r="H80" s="64">
        <v>13.34</v>
      </c>
      <c r="I80" s="64">
        <v>0.99</v>
      </c>
      <c r="J80" s="64">
        <v>0.28999999999999998</v>
      </c>
      <c r="K80" s="64">
        <v>147.9</v>
      </c>
      <c r="L80" s="64">
        <v>23.9</v>
      </c>
      <c r="M80" s="64">
        <v>97.72</v>
      </c>
      <c r="N80" s="64">
        <v>59.3</v>
      </c>
      <c r="O80" s="64">
        <v>0</v>
      </c>
      <c r="P80" s="64">
        <v>0.23</v>
      </c>
      <c r="Q80" s="64">
        <v>9.1</v>
      </c>
      <c r="R80" s="198"/>
      <c r="S80" s="198"/>
      <c r="T80" s="198"/>
      <c r="U80" s="198"/>
    </row>
    <row r="81" spans="1:26" s="12" customFormat="1" x14ac:dyDescent="0.25">
      <c r="A81" s="212" t="s">
        <v>799</v>
      </c>
      <c r="B81" s="64">
        <v>6.91</v>
      </c>
      <c r="C81" s="64">
        <v>9.5399999999999991</v>
      </c>
      <c r="D81" s="64">
        <v>10.53</v>
      </c>
      <c r="E81" s="64">
        <v>4.57</v>
      </c>
      <c r="F81" s="64">
        <v>2.78</v>
      </c>
      <c r="G81" s="64">
        <v>66.45</v>
      </c>
      <c r="H81" s="64">
        <v>13.34</v>
      </c>
      <c r="I81" s="64">
        <v>0.99</v>
      </c>
      <c r="J81" s="64">
        <v>1.52</v>
      </c>
      <c r="K81" s="64">
        <v>131.47</v>
      </c>
      <c r="L81" s="64">
        <v>23.05</v>
      </c>
      <c r="M81" s="64">
        <v>97.75</v>
      </c>
      <c r="N81" s="64">
        <v>61.5</v>
      </c>
      <c r="O81" s="64">
        <v>0</v>
      </c>
      <c r="P81" s="64">
        <v>0.26</v>
      </c>
      <c r="Q81" s="64">
        <v>9.1</v>
      </c>
      <c r="R81" s="198"/>
      <c r="S81" s="198"/>
      <c r="T81" s="198"/>
      <c r="U81" s="198"/>
    </row>
    <row r="82" spans="1:26" s="12" customFormat="1" x14ac:dyDescent="0.25">
      <c r="A82" s="212" t="s">
        <v>800</v>
      </c>
      <c r="B82" s="64">
        <v>6.99</v>
      </c>
      <c r="C82" s="64">
        <v>8.8000000000000007</v>
      </c>
      <c r="D82" s="64">
        <v>10.199999999999999</v>
      </c>
      <c r="E82" s="64">
        <v>4.2699999999999996</v>
      </c>
      <c r="F82" s="64">
        <v>3.32</v>
      </c>
      <c r="G82" s="64">
        <v>66.45</v>
      </c>
      <c r="H82" s="64">
        <v>13.34</v>
      </c>
      <c r="I82" s="64">
        <v>0.98</v>
      </c>
      <c r="J82" s="64">
        <v>0.52</v>
      </c>
      <c r="K82" s="64">
        <v>142.29</v>
      </c>
      <c r="L82" s="64">
        <v>22.26</v>
      </c>
      <c r="M82" s="64">
        <v>97.78</v>
      </c>
      <c r="N82" s="64">
        <v>59.1</v>
      </c>
      <c r="O82" s="64">
        <v>0</v>
      </c>
      <c r="P82" s="64">
        <v>0.27</v>
      </c>
      <c r="Q82" s="64">
        <v>9.09</v>
      </c>
      <c r="R82" s="198"/>
      <c r="S82" s="198"/>
      <c r="T82" s="198"/>
      <c r="U82" s="198"/>
    </row>
    <row r="83" spans="1:26" s="12" customFormat="1" x14ac:dyDescent="0.25">
      <c r="A83" s="212" t="s">
        <v>801</v>
      </c>
      <c r="B83" s="64">
        <v>6.8</v>
      </c>
      <c r="C83" s="64">
        <v>8.91</v>
      </c>
      <c r="D83" s="64">
        <v>10.11</v>
      </c>
      <c r="E83" s="64">
        <v>4.26</v>
      </c>
      <c r="F83" s="64">
        <v>2.96</v>
      </c>
      <c r="G83" s="64">
        <v>47.16</v>
      </c>
      <c r="H83" s="64">
        <v>9.94</v>
      </c>
      <c r="I83" s="64">
        <v>0.96</v>
      </c>
      <c r="J83" s="64">
        <v>0.62</v>
      </c>
      <c r="K83" s="64">
        <v>137.66</v>
      </c>
      <c r="L83" s="64">
        <v>22.23</v>
      </c>
      <c r="M83" s="64">
        <v>97.78</v>
      </c>
      <c r="N83" s="64">
        <v>58.8</v>
      </c>
      <c r="O83" s="64">
        <v>0</v>
      </c>
      <c r="P83" s="64">
        <v>0.25</v>
      </c>
      <c r="Q83" s="64">
        <v>9.09</v>
      </c>
      <c r="R83" s="198"/>
      <c r="S83" s="198"/>
      <c r="T83" s="198"/>
      <c r="U83" s="198"/>
    </row>
    <row r="84" spans="1:26" s="12" customFormat="1" x14ac:dyDescent="0.25">
      <c r="A84" s="212" t="s">
        <v>802</v>
      </c>
      <c r="B84" s="64">
        <v>6.65</v>
      </c>
      <c r="C84" s="64">
        <v>9.09</v>
      </c>
      <c r="D84" s="64">
        <v>10.08</v>
      </c>
      <c r="E84" s="64">
        <v>4.25</v>
      </c>
      <c r="F84" s="64">
        <v>3.29</v>
      </c>
      <c r="G84" s="64">
        <v>45.53</v>
      </c>
      <c r="H84" s="64">
        <v>9.65</v>
      </c>
      <c r="I84" s="64">
        <v>0.95</v>
      </c>
      <c r="J84" s="64">
        <v>0.2</v>
      </c>
      <c r="K84" s="64">
        <v>142.69999999999999</v>
      </c>
      <c r="L84" s="64">
        <v>22.07</v>
      </c>
      <c r="M84" s="64">
        <v>97.76</v>
      </c>
      <c r="N84" s="64">
        <v>59</v>
      </c>
      <c r="O84" s="64">
        <v>0</v>
      </c>
      <c r="P84" s="64">
        <v>0.24</v>
      </c>
      <c r="Q84" s="64">
        <v>9.08</v>
      </c>
      <c r="R84" s="198"/>
      <c r="S84" s="198"/>
      <c r="T84" s="198"/>
      <c r="U84" s="198"/>
    </row>
    <row r="85" spans="1:26" s="12" customFormat="1" x14ac:dyDescent="0.25">
      <c r="A85" s="212" t="s">
        <v>803</v>
      </c>
      <c r="B85" s="64">
        <v>6.56</v>
      </c>
      <c r="C85" s="64">
        <v>9.81</v>
      </c>
      <c r="D85" s="64">
        <v>10.39</v>
      </c>
      <c r="E85" s="64">
        <v>4.57</v>
      </c>
      <c r="F85" s="64">
        <v>4.34</v>
      </c>
      <c r="G85" s="64">
        <v>45.53</v>
      </c>
      <c r="H85" s="64">
        <v>9.65</v>
      </c>
      <c r="I85" s="64">
        <v>0.94</v>
      </c>
      <c r="J85" s="64">
        <v>0.4</v>
      </c>
      <c r="K85" s="64">
        <v>141.97999999999999</v>
      </c>
      <c r="L85" s="64">
        <v>22.22</v>
      </c>
      <c r="M85" s="64">
        <v>97.75</v>
      </c>
      <c r="N85" s="64">
        <v>58.5</v>
      </c>
      <c r="O85" s="64">
        <v>0</v>
      </c>
      <c r="P85" s="64">
        <v>0.23</v>
      </c>
      <c r="Q85" s="64">
        <v>9.09</v>
      </c>
      <c r="R85" s="198"/>
      <c r="S85" s="198"/>
      <c r="T85" s="198"/>
      <c r="U85" s="198"/>
    </row>
    <row r="86" spans="1:26" s="12" customFormat="1" x14ac:dyDescent="0.25">
      <c r="A86" s="212" t="s">
        <v>804</v>
      </c>
      <c r="B86" s="64">
        <v>6.71</v>
      </c>
      <c r="C86" s="64">
        <v>9.42</v>
      </c>
      <c r="D86" s="64">
        <v>10.3</v>
      </c>
      <c r="E86" s="64">
        <v>4.21</v>
      </c>
      <c r="F86" s="64">
        <v>4.2300000000000004</v>
      </c>
      <c r="G86" s="64">
        <v>45.53</v>
      </c>
      <c r="H86" s="64">
        <v>9.65</v>
      </c>
      <c r="I86" s="64">
        <v>0.93</v>
      </c>
      <c r="J86" s="64">
        <v>0.19</v>
      </c>
      <c r="K86" s="64">
        <v>133.04</v>
      </c>
      <c r="L86" s="64">
        <v>22.29</v>
      </c>
      <c r="M86" s="64">
        <v>97.75</v>
      </c>
      <c r="N86" s="64">
        <v>58.9</v>
      </c>
      <c r="O86" s="64">
        <v>0</v>
      </c>
      <c r="P86" s="64">
        <v>0.23</v>
      </c>
      <c r="Q86" s="64">
        <v>9.11</v>
      </c>
      <c r="R86" s="198"/>
      <c r="S86" s="198"/>
      <c r="T86" s="198"/>
      <c r="U86" s="198"/>
    </row>
    <row r="87" spans="1:26" s="12" customFormat="1" x14ac:dyDescent="0.25">
      <c r="A87" s="212" t="s">
        <v>805</v>
      </c>
      <c r="B87" s="64">
        <v>6.56</v>
      </c>
      <c r="C87" s="64">
        <v>8.7799999999999994</v>
      </c>
      <c r="D87" s="64">
        <v>9.85</v>
      </c>
      <c r="E87" s="64">
        <v>4.21</v>
      </c>
      <c r="F87" s="64">
        <v>4.67</v>
      </c>
      <c r="G87" s="64">
        <v>30.57</v>
      </c>
      <c r="H87" s="64">
        <v>9.15</v>
      </c>
      <c r="I87" s="64">
        <v>0.93</v>
      </c>
      <c r="J87" s="64">
        <v>7.0000000000000007E-2</v>
      </c>
      <c r="K87" s="64">
        <v>143.5</v>
      </c>
      <c r="L87" s="64">
        <v>22.31</v>
      </c>
      <c r="M87" s="64">
        <v>97.75</v>
      </c>
      <c r="N87" s="64">
        <v>58.4</v>
      </c>
      <c r="O87" s="64">
        <v>0</v>
      </c>
      <c r="P87" s="64">
        <v>0.23</v>
      </c>
      <c r="Q87" s="64">
        <v>9.11</v>
      </c>
      <c r="R87" s="198"/>
      <c r="S87" s="198"/>
      <c r="T87" s="198"/>
      <c r="U87" s="198"/>
    </row>
    <row r="88" spans="1:26" s="12" customFormat="1" x14ac:dyDescent="0.25">
      <c r="A88" s="212" t="s">
        <v>806</v>
      </c>
      <c r="B88" s="64">
        <v>6.57</v>
      </c>
      <c r="C88" s="64">
        <v>8.98</v>
      </c>
      <c r="D88" s="64">
        <v>9.9600000000000009</v>
      </c>
      <c r="E88" s="64">
        <v>4.33</v>
      </c>
      <c r="F88" s="64">
        <v>4.3499999999999996</v>
      </c>
      <c r="G88" s="64">
        <v>29.31</v>
      </c>
      <c r="H88" s="64">
        <v>9.11</v>
      </c>
      <c r="I88" s="64">
        <v>1.02</v>
      </c>
      <c r="J88" s="64">
        <v>0.06</v>
      </c>
      <c r="K88" s="64">
        <v>323.77</v>
      </c>
      <c r="L88" s="64">
        <v>22.43</v>
      </c>
      <c r="M88" s="64">
        <v>97.75</v>
      </c>
      <c r="N88" s="64">
        <v>58.6</v>
      </c>
      <c r="O88" s="64">
        <v>0</v>
      </c>
      <c r="P88" s="64">
        <v>0.23</v>
      </c>
      <c r="Q88" s="64">
        <v>9.1199999999999992</v>
      </c>
      <c r="R88" s="198"/>
      <c r="S88" s="198"/>
      <c r="T88" s="198"/>
      <c r="U88" s="198"/>
    </row>
    <row r="89" spans="1:26" s="12" customFormat="1" x14ac:dyDescent="0.25">
      <c r="A89" s="212" t="s">
        <v>807</v>
      </c>
      <c r="B89" s="64">
        <v>6.78</v>
      </c>
      <c r="C89" s="64">
        <v>8.59</v>
      </c>
      <c r="D89" s="64">
        <v>9.93</v>
      </c>
      <c r="E89" s="64">
        <v>4.22</v>
      </c>
      <c r="F89" s="64">
        <v>3.13</v>
      </c>
      <c r="G89" s="64">
        <v>29.31</v>
      </c>
      <c r="H89" s="64">
        <v>9.11</v>
      </c>
      <c r="I89" s="64">
        <v>1.0900000000000001</v>
      </c>
      <c r="J89" s="64">
        <v>7.0000000000000007E-2</v>
      </c>
      <c r="K89" s="64">
        <v>162.27000000000001</v>
      </c>
      <c r="L89" s="64">
        <v>22.38</v>
      </c>
      <c r="M89" s="64">
        <v>97.75</v>
      </c>
      <c r="N89" s="64">
        <v>59</v>
      </c>
      <c r="O89" s="64">
        <v>0</v>
      </c>
      <c r="P89" s="64">
        <v>0.22</v>
      </c>
      <c r="Q89" s="64">
        <v>9.1199999999999992</v>
      </c>
      <c r="R89" s="198"/>
      <c r="S89" s="198"/>
      <c r="T89" s="198"/>
      <c r="U89" s="198"/>
    </row>
    <row r="90" spans="1:26" s="12" customFormat="1" x14ac:dyDescent="0.25">
      <c r="A90" s="212" t="s">
        <v>808</v>
      </c>
      <c r="B90" s="64">
        <v>7.29</v>
      </c>
      <c r="C90" s="64">
        <v>10.84</v>
      </c>
      <c r="D90" s="64">
        <v>11.5</v>
      </c>
      <c r="E90" s="64">
        <v>4.3600000000000003</v>
      </c>
      <c r="F90" s="64">
        <v>6.04</v>
      </c>
      <c r="G90" s="64">
        <v>29.31</v>
      </c>
      <c r="H90" s="64">
        <v>9.11</v>
      </c>
      <c r="I90" s="64">
        <v>1.1000000000000001</v>
      </c>
      <c r="J90" s="64">
        <v>0.27</v>
      </c>
      <c r="K90" s="64">
        <v>131.28</v>
      </c>
      <c r="L90" s="64">
        <v>22.36</v>
      </c>
      <c r="M90" s="64">
        <v>97.77</v>
      </c>
      <c r="N90" s="64">
        <v>58.7</v>
      </c>
      <c r="O90" s="64">
        <v>0</v>
      </c>
      <c r="P90" s="64">
        <v>0.2</v>
      </c>
      <c r="Q90" s="64">
        <v>9.1199999999999992</v>
      </c>
      <c r="R90" s="198"/>
      <c r="S90" s="198"/>
      <c r="T90" s="198"/>
      <c r="U90" s="198"/>
    </row>
    <row r="91" spans="1:26" s="12" customFormat="1" x14ac:dyDescent="0.25">
      <c r="A91" s="212" t="s">
        <v>809</v>
      </c>
      <c r="B91" s="64">
        <v>8.56</v>
      </c>
      <c r="C91" s="64">
        <v>11.26</v>
      </c>
      <c r="D91" s="64">
        <v>12.75</v>
      </c>
      <c r="E91" s="64">
        <v>4.34</v>
      </c>
      <c r="F91" s="64">
        <v>3.87</v>
      </c>
      <c r="G91" s="64">
        <v>25.28</v>
      </c>
      <c r="H91" s="64">
        <v>6.81</v>
      </c>
      <c r="I91" s="64">
        <v>1.0900000000000001</v>
      </c>
      <c r="J91" s="64">
        <v>0.18</v>
      </c>
      <c r="K91" s="64">
        <v>138.78</v>
      </c>
      <c r="L91" s="64">
        <v>22.5</v>
      </c>
      <c r="M91" s="64">
        <v>97.76</v>
      </c>
      <c r="N91" s="64">
        <v>58.7</v>
      </c>
      <c r="O91" s="64">
        <v>0</v>
      </c>
      <c r="P91" s="64">
        <v>0.23</v>
      </c>
      <c r="Q91" s="64">
        <v>9.1199999999999992</v>
      </c>
      <c r="R91" s="198"/>
      <c r="S91" s="198"/>
      <c r="T91" s="198"/>
      <c r="U91" s="198"/>
    </row>
    <row r="92" spans="1:26" s="12" customFormat="1" x14ac:dyDescent="0.25">
      <c r="A92" s="212" t="s">
        <v>810</v>
      </c>
      <c r="B92" s="64">
        <v>9.64</v>
      </c>
      <c r="C92" s="64">
        <v>14.31</v>
      </c>
      <c r="D92" s="64">
        <v>15.21</v>
      </c>
      <c r="E92" s="64">
        <v>4.32</v>
      </c>
      <c r="F92" s="64">
        <v>3.58</v>
      </c>
      <c r="G92" s="64">
        <v>24.94</v>
      </c>
      <c r="H92" s="64">
        <v>6.62</v>
      </c>
      <c r="I92" s="64">
        <v>1.08</v>
      </c>
      <c r="J92" s="64">
        <v>0.06</v>
      </c>
      <c r="K92" s="64">
        <v>334.57</v>
      </c>
      <c r="L92" s="64">
        <v>22.6</v>
      </c>
      <c r="M92" s="64">
        <v>97.78</v>
      </c>
      <c r="N92" s="64">
        <v>58.7</v>
      </c>
      <c r="O92" s="64">
        <v>0</v>
      </c>
      <c r="P92" s="64">
        <v>0.36</v>
      </c>
      <c r="Q92" s="64">
        <v>9.1300000000000008</v>
      </c>
      <c r="R92" s="198"/>
      <c r="S92" s="198"/>
      <c r="T92" s="198"/>
      <c r="U92" s="198"/>
    </row>
    <row r="93" spans="1:26" s="12" customFormat="1" x14ac:dyDescent="0.25">
      <c r="A93" s="212" t="s">
        <v>811</v>
      </c>
      <c r="B93" s="64">
        <v>9.3000000000000007</v>
      </c>
      <c r="C93" s="64">
        <v>8.64</v>
      </c>
      <c r="D93" s="64">
        <v>11.97</v>
      </c>
      <c r="E93" s="64">
        <v>4.3499999999999996</v>
      </c>
      <c r="F93" s="64">
        <v>3.31</v>
      </c>
      <c r="G93" s="64">
        <v>24.94</v>
      </c>
      <c r="H93" s="64">
        <v>6.62</v>
      </c>
      <c r="I93" s="64">
        <v>0.99</v>
      </c>
      <c r="J93" s="64">
        <v>0.04</v>
      </c>
      <c r="K93" s="64">
        <v>327.54000000000002</v>
      </c>
      <c r="L93" s="64">
        <v>22.75</v>
      </c>
      <c r="M93" s="64">
        <v>97.76</v>
      </c>
      <c r="N93" s="64">
        <v>58.8</v>
      </c>
      <c r="O93" s="64">
        <v>0</v>
      </c>
      <c r="P93" s="64">
        <v>0.28000000000000003</v>
      </c>
      <c r="Q93" s="64">
        <v>9.1300000000000008</v>
      </c>
      <c r="R93" s="198"/>
      <c r="S93" s="198"/>
      <c r="T93" s="198"/>
      <c r="U93" s="198"/>
    </row>
    <row r="94" spans="1:26" s="12" customFormat="1" x14ac:dyDescent="0.25">
      <c r="A94" s="212" t="s">
        <v>812</v>
      </c>
      <c r="B94" s="64">
        <v>6.75</v>
      </c>
      <c r="C94" s="64">
        <v>11.53</v>
      </c>
      <c r="D94" s="64">
        <v>11.44</v>
      </c>
      <c r="E94" s="64">
        <v>4.71</v>
      </c>
      <c r="F94" s="64">
        <v>7.88</v>
      </c>
      <c r="G94" s="64">
        <v>24.94</v>
      </c>
      <c r="H94" s="64">
        <v>6.62</v>
      </c>
      <c r="I94" s="64">
        <v>0.93</v>
      </c>
      <c r="J94" s="64">
        <v>0.05</v>
      </c>
      <c r="K94" s="64">
        <v>276.27</v>
      </c>
      <c r="L94" s="64">
        <v>22.95</v>
      </c>
      <c r="M94" s="64">
        <v>97.75</v>
      </c>
      <c r="N94" s="64">
        <v>58.8</v>
      </c>
      <c r="O94" s="64">
        <v>0</v>
      </c>
      <c r="P94" s="64">
        <v>0.31</v>
      </c>
      <c r="Q94" s="64">
        <v>9.1300000000000008</v>
      </c>
      <c r="R94" s="198"/>
      <c r="S94" s="198"/>
      <c r="T94" s="198"/>
      <c r="U94" s="198"/>
    </row>
    <row r="95" spans="1:26" s="12" customFormat="1" x14ac:dyDescent="0.25">
      <c r="A95" s="212" t="s">
        <v>813</v>
      </c>
      <c r="B95" s="64">
        <v>9.17</v>
      </c>
      <c r="C95" s="64">
        <v>11.09</v>
      </c>
      <c r="D95" s="64">
        <v>13.15</v>
      </c>
      <c r="E95" s="64">
        <v>4.3</v>
      </c>
      <c r="F95" s="64">
        <v>4.96</v>
      </c>
      <c r="G95" s="64">
        <v>24.92</v>
      </c>
      <c r="H95" s="64">
        <v>5.01</v>
      </c>
      <c r="I95" s="64">
        <v>0.96</v>
      </c>
      <c r="J95" s="64">
        <v>0.05</v>
      </c>
      <c r="K95" s="64">
        <v>172.66</v>
      </c>
      <c r="L95" s="64">
        <v>23.17</v>
      </c>
      <c r="M95" s="64">
        <v>97.75</v>
      </c>
      <c r="N95" s="64">
        <v>58.7</v>
      </c>
      <c r="O95" s="64">
        <v>0</v>
      </c>
      <c r="P95" s="64">
        <v>0.28999999999999998</v>
      </c>
      <c r="Q95" s="64">
        <v>9.1300000000000008</v>
      </c>
      <c r="R95" s="198"/>
      <c r="S95" s="198"/>
      <c r="T95" s="198"/>
      <c r="U95" s="198"/>
    </row>
    <row r="96" spans="1:26" s="12" customFormat="1" x14ac:dyDescent="0.25">
      <c r="A96" s="212" t="s">
        <v>814</v>
      </c>
      <c r="B96" s="64">
        <v>7.72</v>
      </c>
      <c r="C96" s="64">
        <v>9.3699999999999992</v>
      </c>
      <c r="D96" s="64">
        <v>11.09</v>
      </c>
      <c r="E96" s="64">
        <v>4.07</v>
      </c>
      <c r="F96" s="64">
        <v>5.55</v>
      </c>
      <c r="G96" s="64">
        <v>24.92</v>
      </c>
      <c r="H96" s="64">
        <v>4.9000000000000004</v>
      </c>
      <c r="I96" s="64">
        <v>0.97</v>
      </c>
      <c r="J96" s="64">
        <v>0.14000000000000001</v>
      </c>
      <c r="K96" s="64">
        <v>172.81</v>
      </c>
      <c r="L96" s="64">
        <v>23.24</v>
      </c>
      <c r="M96" s="64">
        <v>97.75</v>
      </c>
      <c r="N96" s="64">
        <v>59</v>
      </c>
      <c r="O96" s="64">
        <v>0</v>
      </c>
      <c r="P96" s="64">
        <v>0.23</v>
      </c>
      <c r="Q96" s="64">
        <v>9.1199999999999992</v>
      </c>
      <c r="R96" s="198"/>
      <c r="S96" s="198"/>
      <c r="T96" s="198"/>
      <c r="U96" s="198"/>
      <c r="Z96" s="109"/>
    </row>
    <row r="97" spans="1:33" s="12" customFormat="1" x14ac:dyDescent="0.25">
      <c r="A97" s="212" t="s">
        <v>815</v>
      </c>
      <c r="B97" s="64">
        <v>7.45</v>
      </c>
      <c r="C97" s="64">
        <v>10.199999999999999</v>
      </c>
      <c r="D97" s="64">
        <v>11.31</v>
      </c>
      <c r="E97" s="64">
        <v>4.4000000000000004</v>
      </c>
      <c r="F97" s="64">
        <v>4.05</v>
      </c>
      <c r="G97" s="64">
        <v>24.92</v>
      </c>
      <c r="H97" s="64">
        <v>4.9000000000000004</v>
      </c>
      <c r="I97" s="64">
        <v>0.98</v>
      </c>
      <c r="J97" s="64">
        <v>0.05</v>
      </c>
      <c r="K97" s="64">
        <v>154.28</v>
      </c>
      <c r="L97" s="64">
        <v>23.23</v>
      </c>
      <c r="M97" s="64">
        <v>97.75</v>
      </c>
      <c r="N97" s="64">
        <v>59.1</v>
      </c>
      <c r="O97" s="64">
        <v>0</v>
      </c>
      <c r="P97" s="64">
        <v>0.23</v>
      </c>
      <c r="Q97" s="64">
        <v>9.1199999999999992</v>
      </c>
      <c r="R97" s="198"/>
      <c r="S97" s="198"/>
      <c r="T97" s="198"/>
      <c r="U97" s="198"/>
    </row>
    <row r="98" spans="1:33" s="12" customFormat="1" x14ac:dyDescent="0.25">
      <c r="A98" s="212" t="s">
        <v>816</v>
      </c>
      <c r="B98" s="64">
        <v>8.89</v>
      </c>
      <c r="C98" s="64">
        <v>11.48</v>
      </c>
      <c r="D98" s="64">
        <v>13.13</v>
      </c>
      <c r="E98" s="64">
        <v>4.21</v>
      </c>
      <c r="F98" s="64">
        <v>5.24</v>
      </c>
      <c r="G98" s="64">
        <v>24.92</v>
      </c>
      <c r="H98" s="64">
        <v>4.9000000000000004</v>
      </c>
      <c r="I98" s="64">
        <v>0.98</v>
      </c>
      <c r="J98" s="64">
        <v>0.04</v>
      </c>
      <c r="K98" s="64">
        <v>188.67</v>
      </c>
      <c r="L98" s="64">
        <v>23.23</v>
      </c>
      <c r="M98" s="64">
        <v>97.76</v>
      </c>
      <c r="N98" s="64">
        <v>59</v>
      </c>
      <c r="O98" s="64">
        <v>0</v>
      </c>
      <c r="P98" s="64">
        <v>0.21</v>
      </c>
      <c r="Q98" s="64">
        <v>9.1199999999999992</v>
      </c>
      <c r="R98" s="198"/>
      <c r="S98" s="198"/>
      <c r="T98" s="198"/>
      <c r="U98" s="198"/>
    </row>
    <row r="99" spans="1:33" s="12" customFormat="1" x14ac:dyDescent="0.25">
      <c r="A99" s="212" t="s">
        <v>817</v>
      </c>
      <c r="B99" s="64">
        <v>8.1</v>
      </c>
      <c r="C99" s="64">
        <v>9.8800000000000008</v>
      </c>
      <c r="D99" s="64">
        <v>11.65</v>
      </c>
      <c r="E99" s="64">
        <v>4.12</v>
      </c>
      <c r="F99" s="64">
        <v>3.77</v>
      </c>
      <c r="G99" s="64">
        <v>17.68</v>
      </c>
      <c r="H99" s="64">
        <v>4.09</v>
      </c>
      <c r="I99" s="64">
        <v>0.98</v>
      </c>
      <c r="J99" s="64">
        <v>0.01</v>
      </c>
      <c r="K99" s="64">
        <v>168.38</v>
      </c>
      <c r="L99" s="64">
        <v>23.22</v>
      </c>
      <c r="M99" s="64">
        <v>97.75</v>
      </c>
      <c r="N99" s="64">
        <v>59</v>
      </c>
      <c r="O99" s="64">
        <v>0</v>
      </c>
      <c r="P99" s="64">
        <v>0.22</v>
      </c>
      <c r="Q99" s="64">
        <v>9.1300000000000008</v>
      </c>
      <c r="R99" s="198"/>
      <c r="S99" s="198"/>
      <c r="T99" s="198"/>
      <c r="U99" s="198"/>
    </row>
    <row r="100" spans="1:33" s="12" customFormat="1" x14ac:dyDescent="0.25">
      <c r="A100" s="212" t="s">
        <v>818</v>
      </c>
      <c r="B100" s="64">
        <v>7.88</v>
      </c>
      <c r="C100" s="64">
        <v>7.74</v>
      </c>
      <c r="D100" s="64">
        <v>10.36</v>
      </c>
      <c r="E100" s="64">
        <v>4.3099999999999996</v>
      </c>
      <c r="F100" s="64">
        <v>6.94</v>
      </c>
      <c r="G100" s="64">
        <v>17.170000000000002</v>
      </c>
      <c r="H100" s="64">
        <v>4.03</v>
      </c>
      <c r="I100" s="64">
        <v>0.98</v>
      </c>
      <c r="J100" s="64">
        <v>7.0000000000000007E-2</v>
      </c>
      <c r="K100" s="64">
        <v>134.66999999999999</v>
      </c>
      <c r="L100" s="64">
        <v>23.26</v>
      </c>
      <c r="M100" s="64">
        <v>97.78</v>
      </c>
      <c r="N100" s="64">
        <v>58.8</v>
      </c>
      <c r="O100" s="64">
        <v>0</v>
      </c>
      <c r="P100" s="64">
        <v>0.2</v>
      </c>
      <c r="Q100" s="64">
        <v>9.14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2" t="s">
        <v>819</v>
      </c>
      <c r="B101" s="64">
        <v>6.49</v>
      </c>
      <c r="C101" s="64">
        <v>7.49</v>
      </c>
      <c r="D101" s="64">
        <v>9.1199999999999992</v>
      </c>
      <c r="E101" s="64">
        <v>4.0999999999999996</v>
      </c>
      <c r="F101" s="64">
        <v>8.89</v>
      </c>
      <c r="G101" s="64">
        <v>17.170000000000002</v>
      </c>
      <c r="H101" s="64">
        <v>4.03</v>
      </c>
      <c r="I101" s="64">
        <v>0.97</v>
      </c>
      <c r="J101" s="64">
        <v>7.0000000000000007E-2</v>
      </c>
      <c r="K101" s="64">
        <v>169.44</v>
      </c>
      <c r="L101" s="64">
        <v>23.31</v>
      </c>
      <c r="M101" s="64">
        <v>97.76</v>
      </c>
      <c r="N101" s="64">
        <v>59.1</v>
      </c>
      <c r="O101" s="64">
        <v>0</v>
      </c>
      <c r="P101" s="64">
        <v>0.16</v>
      </c>
      <c r="Q101" s="64">
        <v>9.14</v>
      </c>
      <c r="R101" s="198"/>
      <c r="S101" s="198"/>
      <c r="T101" s="198"/>
      <c r="U101" s="198"/>
    </row>
    <row r="102" spans="1:33" s="12" customFormat="1" x14ac:dyDescent="0.25">
      <c r="A102" s="212" t="s">
        <v>820</v>
      </c>
      <c r="B102" s="64">
        <v>6.7</v>
      </c>
      <c r="C102" s="64">
        <v>7.63</v>
      </c>
      <c r="D102" s="64">
        <v>9.36</v>
      </c>
      <c r="E102" s="64">
        <v>4.03</v>
      </c>
      <c r="F102" s="64">
        <v>7.84</v>
      </c>
      <c r="G102" s="64">
        <v>17.170000000000002</v>
      </c>
      <c r="H102" s="64">
        <v>4.03</v>
      </c>
      <c r="I102" s="64">
        <v>1.04</v>
      </c>
      <c r="J102" s="64">
        <v>0.06</v>
      </c>
      <c r="K102" s="64">
        <v>173.9</v>
      </c>
      <c r="L102" s="64">
        <v>23.41</v>
      </c>
      <c r="M102" s="64">
        <v>97.73</v>
      </c>
      <c r="N102" s="64">
        <v>59.4</v>
      </c>
      <c r="O102" s="64">
        <v>0</v>
      </c>
      <c r="P102" s="64">
        <v>0.17</v>
      </c>
      <c r="Q102" s="64">
        <v>9.15</v>
      </c>
      <c r="R102" s="198"/>
      <c r="S102" s="198"/>
      <c r="T102" s="198"/>
      <c r="U102" s="198"/>
    </row>
    <row r="103" spans="1:33" s="12" customFormat="1" x14ac:dyDescent="0.25">
      <c r="A103" s="212" t="s">
        <v>821</v>
      </c>
      <c r="B103" s="64">
        <v>7.21</v>
      </c>
      <c r="C103" s="64">
        <v>7.66</v>
      </c>
      <c r="D103" s="64">
        <v>9.7799999999999994</v>
      </c>
      <c r="E103" s="64">
        <v>4.01</v>
      </c>
      <c r="F103" s="64">
        <v>7.09</v>
      </c>
      <c r="G103" s="64">
        <v>17.71</v>
      </c>
      <c r="H103" s="64">
        <v>4.42</v>
      </c>
      <c r="I103" s="64">
        <v>1.01</v>
      </c>
      <c r="J103" s="64">
        <v>0.02</v>
      </c>
      <c r="K103" s="64">
        <v>300.86</v>
      </c>
      <c r="L103" s="64">
        <v>23.48</v>
      </c>
      <c r="M103" s="64">
        <v>97.73</v>
      </c>
      <c r="N103" s="64">
        <v>59.2</v>
      </c>
      <c r="O103" s="64">
        <v>0</v>
      </c>
      <c r="P103" s="64">
        <v>0.18</v>
      </c>
      <c r="Q103" s="64">
        <v>9.16</v>
      </c>
      <c r="R103" s="198"/>
      <c r="S103" s="198"/>
      <c r="T103" s="198"/>
      <c r="U103" s="198"/>
    </row>
    <row r="104" spans="1:33" s="12" customFormat="1" x14ac:dyDescent="0.25">
      <c r="A104" s="212" t="s">
        <v>822</v>
      </c>
      <c r="B104" s="64">
        <v>7.08</v>
      </c>
      <c r="C104" s="64">
        <v>7.72</v>
      </c>
      <c r="D104" s="64">
        <v>9.7100000000000009</v>
      </c>
      <c r="E104" s="64">
        <v>5.43</v>
      </c>
      <c r="F104" s="64">
        <v>7.19</v>
      </c>
      <c r="G104" s="64">
        <v>17.760000000000002</v>
      </c>
      <c r="H104" s="64">
        <v>4.46</v>
      </c>
      <c r="I104" s="64">
        <v>1.01</v>
      </c>
      <c r="J104" s="64">
        <v>0.22</v>
      </c>
      <c r="K104" s="64">
        <v>133.38</v>
      </c>
      <c r="L104" s="64">
        <v>23.44</v>
      </c>
      <c r="M104" s="64">
        <v>97.73</v>
      </c>
      <c r="N104" s="64">
        <v>59.3</v>
      </c>
      <c r="O104" s="64">
        <v>0</v>
      </c>
      <c r="P104" s="64">
        <v>0.16</v>
      </c>
      <c r="Q104" s="64">
        <v>9.17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4.26</v>
      </c>
      <c r="C106" s="67">
        <f>MIN(C9:C104)</f>
        <v>5.28</v>
      </c>
      <c r="D106" s="67">
        <f t="shared" ref="D106:Q106" si="0">MIN(D9:D104)</f>
        <v>8.2200000000000006</v>
      </c>
      <c r="E106" s="67">
        <f t="shared" si="0"/>
        <v>4.01</v>
      </c>
      <c r="F106" s="67">
        <f t="shared" si="0"/>
        <v>2.78</v>
      </c>
      <c r="G106" s="67">
        <f t="shared" si="0"/>
        <v>17.170000000000002</v>
      </c>
      <c r="H106" s="67">
        <f t="shared" si="0"/>
        <v>4.03</v>
      </c>
      <c r="I106" s="67">
        <f t="shared" si="0"/>
        <v>0.88</v>
      </c>
      <c r="J106" s="67">
        <f t="shared" si="0"/>
        <v>0.01</v>
      </c>
      <c r="K106" s="67">
        <f t="shared" si="0"/>
        <v>0.61</v>
      </c>
      <c r="L106" s="67">
        <f t="shared" si="0"/>
        <v>22.07</v>
      </c>
      <c r="M106" s="67">
        <f t="shared" si="0"/>
        <v>48.21</v>
      </c>
      <c r="N106" s="67">
        <f t="shared" si="0"/>
        <v>49.4</v>
      </c>
      <c r="O106" s="67">
        <f t="shared" si="0"/>
        <v>0</v>
      </c>
      <c r="P106" s="67">
        <f t="shared" si="0"/>
        <v>0.15</v>
      </c>
      <c r="Q106" s="67">
        <f t="shared" si="0"/>
        <v>9.06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17.239999999999998</v>
      </c>
      <c r="C107" s="66">
        <f t="shared" ref="C107:Q107" si="1">MAX(C9:C104)</f>
        <v>60.64</v>
      </c>
      <c r="D107" s="66">
        <f t="shared" si="1"/>
        <v>37.56</v>
      </c>
      <c r="E107" s="66">
        <f t="shared" si="1"/>
        <v>5.67</v>
      </c>
      <c r="F107" s="66">
        <f t="shared" si="1"/>
        <v>22.23</v>
      </c>
      <c r="G107" s="66">
        <f t="shared" si="1"/>
        <v>84.07</v>
      </c>
      <c r="H107" s="66">
        <f t="shared" si="1"/>
        <v>19.27</v>
      </c>
      <c r="I107" s="66">
        <f t="shared" si="1"/>
        <v>2.75</v>
      </c>
      <c r="J107" s="66">
        <f t="shared" si="1"/>
        <v>1.52</v>
      </c>
      <c r="K107" s="66">
        <f t="shared" si="1"/>
        <v>358.41</v>
      </c>
      <c r="L107" s="66">
        <f t="shared" si="1"/>
        <v>36.71</v>
      </c>
      <c r="M107" s="66">
        <f t="shared" si="1"/>
        <v>97.78</v>
      </c>
      <c r="N107" s="66">
        <f t="shared" si="1"/>
        <v>963.5</v>
      </c>
      <c r="O107" s="66">
        <f t="shared" si="1"/>
        <v>0</v>
      </c>
      <c r="P107" s="66">
        <f t="shared" si="1"/>
        <v>0.62</v>
      </c>
      <c r="Q107" s="66">
        <f t="shared" si="1"/>
        <v>9.6199999999999992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8.9620833333333305</v>
      </c>
      <c r="C108" s="67">
        <f t="shared" ref="C108:Q108" si="2">AVERAGE(C9:C104)</f>
        <v>12.720416666666665</v>
      </c>
      <c r="D108" s="67">
        <f t="shared" si="2"/>
        <v>13.802812499999996</v>
      </c>
      <c r="E108" s="67">
        <f t="shared" si="2"/>
        <v>4.6591666666666649</v>
      </c>
      <c r="F108" s="67">
        <f t="shared" si="2"/>
        <v>9.5631250000000012</v>
      </c>
      <c r="G108" s="67">
        <f t="shared" si="2"/>
        <v>54.400833333333345</v>
      </c>
      <c r="H108" s="67">
        <f t="shared" si="2"/>
        <v>11.231562499999997</v>
      </c>
      <c r="I108" s="67">
        <f t="shared" si="2"/>
        <v>1.483125</v>
      </c>
      <c r="J108" s="67">
        <f t="shared" si="2"/>
        <v>0.29666666666666669</v>
      </c>
      <c r="K108" s="67">
        <f t="shared" si="2"/>
        <v>239.16145833333329</v>
      </c>
      <c r="L108" s="67">
        <f t="shared" si="2"/>
        <v>28.23052083333333</v>
      </c>
      <c r="M108" s="67">
        <f t="shared" si="2"/>
        <v>82.188541666666637</v>
      </c>
      <c r="N108" s="67">
        <f t="shared" si="2"/>
        <v>244.97187499999995</v>
      </c>
      <c r="O108" s="67">
        <f t="shared" si="2"/>
        <v>0</v>
      </c>
      <c r="P108" s="67">
        <f t="shared" si="2"/>
        <v>0.30864583333333334</v>
      </c>
      <c r="Q108" s="67">
        <f t="shared" si="2"/>
        <v>9.2862500000000008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3.1799989793664971</v>
      </c>
      <c r="C109" s="67">
        <f t="shared" ref="C109:Q109" si="3">STDEV(C9:C104)</f>
        <v>7.6984912967161341</v>
      </c>
      <c r="D109" s="67">
        <f t="shared" si="3"/>
        <v>4.9069265121919958</v>
      </c>
      <c r="E109" s="67">
        <f t="shared" si="3"/>
        <v>0.37825267708146909</v>
      </c>
      <c r="F109" s="67">
        <f t="shared" si="3"/>
        <v>4.793272107861176</v>
      </c>
      <c r="G109" s="67">
        <f t="shared" si="3"/>
        <v>22.087898981195739</v>
      </c>
      <c r="H109" s="67">
        <f t="shared" si="3"/>
        <v>3.7824543210446695</v>
      </c>
      <c r="I109" s="67">
        <f t="shared" si="3"/>
        <v>0.49184788512838229</v>
      </c>
      <c r="J109" s="67">
        <f t="shared" si="3"/>
        <v>0.31241223328924217</v>
      </c>
      <c r="K109" s="67">
        <f t="shared" si="3"/>
        <v>99.289350263487989</v>
      </c>
      <c r="L109" s="67">
        <f t="shared" si="3"/>
        <v>5.149521668086078</v>
      </c>
      <c r="M109" s="67">
        <f t="shared" si="3"/>
        <v>19.806890240741442</v>
      </c>
      <c r="N109" s="67">
        <f t="shared" si="3"/>
        <v>282.37498536264269</v>
      </c>
      <c r="O109" s="67">
        <f t="shared" si="3"/>
        <v>0</v>
      </c>
      <c r="P109" s="67">
        <f t="shared" si="3"/>
        <v>0.12138342721932341</v>
      </c>
      <c r="Q109" s="67">
        <f t="shared" si="3"/>
        <v>0.16973818848915226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D110" si="4">COUNT(C9:C104)</f>
        <v>96</v>
      </c>
      <c r="D110" s="66">
        <f t="shared" si="4"/>
        <v>96</v>
      </c>
      <c r="E110" s="66">
        <f t="shared" ref="E110:Q110" si="5">COUNT(E9:E104)</f>
        <v>96</v>
      </c>
      <c r="F110" s="66">
        <f t="shared" si="5"/>
        <v>96</v>
      </c>
      <c r="G110" s="66">
        <f>COUNT(G9:G104)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 t="shared" si="5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216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3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7" sqref="B117:U11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07/08/2025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2" t="s">
        <v>823</v>
      </c>
      <c r="B9" s="64">
        <v>6.79</v>
      </c>
      <c r="C9" s="64">
        <v>7.13</v>
      </c>
      <c r="D9" s="64">
        <v>9.17</v>
      </c>
      <c r="E9" s="64">
        <v>5.53</v>
      </c>
      <c r="F9" s="64">
        <v>8.0500000000000007</v>
      </c>
      <c r="G9" s="64">
        <v>17.760000000000002</v>
      </c>
      <c r="H9" s="64">
        <v>4.46</v>
      </c>
      <c r="I9" s="64">
        <v>1.05</v>
      </c>
      <c r="J9" s="64">
        <v>0.3</v>
      </c>
      <c r="K9" s="64">
        <v>134.75</v>
      </c>
      <c r="L9" s="64">
        <v>23.43</v>
      </c>
      <c r="M9" s="64">
        <v>97.73</v>
      </c>
      <c r="N9" s="64">
        <v>59.1</v>
      </c>
      <c r="O9" s="64">
        <v>0</v>
      </c>
      <c r="P9" s="64">
        <v>0.14000000000000001</v>
      </c>
      <c r="Q9" s="64">
        <v>9.18</v>
      </c>
      <c r="R9" s="198"/>
      <c r="S9" s="198"/>
      <c r="T9" s="198"/>
      <c r="U9" s="198"/>
    </row>
    <row r="10" spans="1:21" s="12" customFormat="1" x14ac:dyDescent="0.25">
      <c r="A10" s="212" t="s">
        <v>824</v>
      </c>
      <c r="B10" s="64">
        <v>6.67</v>
      </c>
      <c r="C10" s="64">
        <v>6.43</v>
      </c>
      <c r="D10" s="64">
        <v>8.7100000000000009</v>
      </c>
      <c r="E10" s="64">
        <v>5.29</v>
      </c>
      <c r="F10" s="64">
        <v>9.02</v>
      </c>
      <c r="G10" s="64">
        <v>17.760000000000002</v>
      </c>
      <c r="H10" s="64">
        <v>4.46</v>
      </c>
      <c r="I10" s="64">
        <v>1.05</v>
      </c>
      <c r="J10" s="64">
        <v>0.32</v>
      </c>
      <c r="K10" s="64">
        <v>133.97</v>
      </c>
      <c r="L10" s="64">
        <v>23.5</v>
      </c>
      <c r="M10" s="64">
        <v>97.78</v>
      </c>
      <c r="N10" s="64">
        <v>59</v>
      </c>
      <c r="O10" s="64">
        <v>0</v>
      </c>
      <c r="P10" s="64">
        <v>0.14000000000000001</v>
      </c>
      <c r="Q10" s="64">
        <v>9.18</v>
      </c>
      <c r="R10" s="198"/>
      <c r="S10" s="198"/>
      <c r="T10" s="198"/>
      <c r="U10" s="198"/>
    </row>
    <row r="11" spans="1:21" s="12" customFormat="1" x14ac:dyDescent="0.25">
      <c r="A11" s="212" t="s">
        <v>825</v>
      </c>
      <c r="B11" s="64">
        <v>6.97</v>
      </c>
      <c r="C11" s="64">
        <v>6.28</v>
      </c>
      <c r="D11" s="64">
        <v>8.8699999999999992</v>
      </c>
      <c r="E11" s="64">
        <v>5.5</v>
      </c>
      <c r="F11" s="64">
        <v>7.87</v>
      </c>
      <c r="G11" s="64">
        <v>15.91</v>
      </c>
      <c r="H11" s="64">
        <v>4.55</v>
      </c>
      <c r="I11" s="64">
        <v>1.04</v>
      </c>
      <c r="J11" s="64">
        <v>0.4</v>
      </c>
      <c r="K11" s="64">
        <v>137.97999999999999</v>
      </c>
      <c r="L11" s="64">
        <v>23.51</v>
      </c>
      <c r="M11" s="64">
        <v>97.83</v>
      </c>
      <c r="N11" s="64">
        <v>59.1</v>
      </c>
      <c r="O11" s="64">
        <v>0</v>
      </c>
      <c r="P11" s="64">
        <v>0.16</v>
      </c>
      <c r="Q11" s="64">
        <v>9.18</v>
      </c>
      <c r="R11" s="198"/>
      <c r="S11" s="198"/>
      <c r="T11" s="198"/>
      <c r="U11" s="198"/>
    </row>
    <row r="12" spans="1:21" s="12" customFormat="1" x14ac:dyDescent="0.25">
      <c r="A12" s="212" t="s">
        <v>826</v>
      </c>
      <c r="B12" s="64">
        <v>7.14</v>
      </c>
      <c r="C12" s="64">
        <v>6.48</v>
      </c>
      <c r="D12" s="64">
        <v>9.11</v>
      </c>
      <c r="E12" s="64">
        <v>5.0599999999999996</v>
      </c>
      <c r="F12" s="64">
        <v>5.9</v>
      </c>
      <c r="G12" s="64">
        <v>15.75</v>
      </c>
      <c r="H12" s="64">
        <v>4.55</v>
      </c>
      <c r="I12" s="64">
        <v>1.03</v>
      </c>
      <c r="J12" s="64">
        <v>0.33</v>
      </c>
      <c r="K12" s="64">
        <v>139.1</v>
      </c>
      <c r="L12" s="64">
        <v>23.5</v>
      </c>
      <c r="M12" s="64">
        <v>97.89</v>
      </c>
      <c r="N12" s="64">
        <v>59</v>
      </c>
      <c r="O12" s="64">
        <v>0</v>
      </c>
      <c r="P12" s="64">
        <v>0.16</v>
      </c>
      <c r="Q12" s="64">
        <v>9.18</v>
      </c>
      <c r="R12" s="198"/>
      <c r="S12" s="198"/>
      <c r="T12" s="198"/>
      <c r="U12" s="198"/>
    </row>
    <row r="13" spans="1:21" s="12" customFormat="1" x14ac:dyDescent="0.25">
      <c r="A13" s="212" t="s">
        <v>827</v>
      </c>
      <c r="B13" s="64">
        <v>7.97</v>
      </c>
      <c r="C13" s="64">
        <v>6.36</v>
      </c>
      <c r="D13" s="64">
        <v>9.7100000000000009</v>
      </c>
      <c r="E13" s="64">
        <v>5.36</v>
      </c>
      <c r="F13" s="64">
        <v>4.46</v>
      </c>
      <c r="G13" s="64">
        <v>15.75</v>
      </c>
      <c r="H13" s="64">
        <v>4.55</v>
      </c>
      <c r="I13" s="64">
        <v>1.04</v>
      </c>
      <c r="J13" s="64">
        <v>0.31</v>
      </c>
      <c r="K13" s="64">
        <v>132.33000000000001</v>
      </c>
      <c r="L13" s="64">
        <v>23.5</v>
      </c>
      <c r="M13" s="64">
        <v>97.95</v>
      </c>
      <c r="N13" s="64">
        <v>59</v>
      </c>
      <c r="O13" s="64">
        <v>0</v>
      </c>
      <c r="P13" s="64">
        <v>0.24</v>
      </c>
      <c r="Q13" s="64">
        <v>9.16</v>
      </c>
      <c r="R13" s="198"/>
      <c r="S13" s="198"/>
      <c r="T13" s="198"/>
      <c r="U13" s="198"/>
    </row>
    <row r="14" spans="1:21" s="12" customFormat="1" x14ac:dyDescent="0.25">
      <c r="A14" s="212" t="s">
        <v>828</v>
      </c>
      <c r="B14" s="64">
        <v>6.86</v>
      </c>
      <c r="C14" s="64">
        <v>6.44</v>
      </c>
      <c r="D14" s="64">
        <v>8.8699999999999992</v>
      </c>
      <c r="E14" s="64">
        <v>5.41</v>
      </c>
      <c r="F14" s="64">
        <v>8.4499999999999993</v>
      </c>
      <c r="G14" s="64">
        <v>15.75</v>
      </c>
      <c r="H14" s="64">
        <v>4.55</v>
      </c>
      <c r="I14" s="64">
        <v>1.02</v>
      </c>
      <c r="J14" s="64">
        <v>0.2</v>
      </c>
      <c r="K14" s="64">
        <v>139.85</v>
      </c>
      <c r="L14" s="64">
        <v>23.49</v>
      </c>
      <c r="M14" s="64">
        <v>97.99</v>
      </c>
      <c r="N14" s="64">
        <v>59.1</v>
      </c>
      <c r="O14" s="64">
        <v>0</v>
      </c>
      <c r="P14" s="64">
        <v>0.2</v>
      </c>
      <c r="Q14" s="64">
        <v>9.15</v>
      </c>
      <c r="R14" s="198"/>
      <c r="S14" s="198"/>
      <c r="T14" s="198"/>
      <c r="U14" s="198"/>
    </row>
    <row r="15" spans="1:21" s="12" customFormat="1" x14ac:dyDescent="0.25">
      <c r="A15" s="212" t="s">
        <v>829</v>
      </c>
      <c r="B15" s="64">
        <v>6.92</v>
      </c>
      <c r="C15" s="64">
        <v>6.32</v>
      </c>
      <c r="D15" s="64">
        <v>8.85</v>
      </c>
      <c r="E15" s="64">
        <v>5.3</v>
      </c>
      <c r="F15" s="64">
        <v>6.3</v>
      </c>
      <c r="G15" s="64">
        <v>13.38</v>
      </c>
      <c r="H15" s="64">
        <v>4.46</v>
      </c>
      <c r="I15" s="64">
        <v>0.99</v>
      </c>
      <c r="J15" s="64">
        <v>0.1</v>
      </c>
      <c r="K15" s="64">
        <v>137.94</v>
      </c>
      <c r="L15" s="64">
        <v>23.5</v>
      </c>
      <c r="M15" s="64">
        <v>97.89</v>
      </c>
      <c r="N15" s="64">
        <v>59</v>
      </c>
      <c r="O15" s="64">
        <v>0</v>
      </c>
      <c r="P15" s="64">
        <v>0.22</v>
      </c>
      <c r="Q15" s="64">
        <v>9.1300000000000008</v>
      </c>
      <c r="R15" s="198"/>
      <c r="S15" s="198"/>
      <c r="T15" s="198"/>
      <c r="U15" s="198"/>
    </row>
    <row r="16" spans="1:21" s="12" customFormat="1" x14ac:dyDescent="0.25">
      <c r="A16" s="212" t="s">
        <v>830</v>
      </c>
      <c r="B16" s="64">
        <v>5.65</v>
      </c>
      <c r="C16" s="64">
        <v>6.2</v>
      </c>
      <c r="D16" s="64">
        <v>7.77</v>
      </c>
      <c r="E16" s="64">
        <v>5.22</v>
      </c>
      <c r="F16" s="64">
        <v>7.46</v>
      </c>
      <c r="G16" s="64">
        <v>13.18</v>
      </c>
      <c r="H16" s="64">
        <v>4.46</v>
      </c>
      <c r="I16" s="64">
        <v>0.96</v>
      </c>
      <c r="J16" s="64">
        <v>0.08</v>
      </c>
      <c r="K16" s="64">
        <v>153.59</v>
      </c>
      <c r="L16" s="64">
        <v>23.53</v>
      </c>
      <c r="M16" s="64">
        <v>97.92</v>
      </c>
      <c r="N16" s="64">
        <v>58.9</v>
      </c>
      <c r="O16" s="64">
        <v>0</v>
      </c>
      <c r="P16" s="64">
        <v>0.2</v>
      </c>
      <c r="Q16" s="64">
        <v>9.14</v>
      </c>
      <c r="R16" s="198"/>
      <c r="S16" s="198"/>
      <c r="T16" s="198"/>
      <c r="U16" s="198"/>
    </row>
    <row r="17" spans="1:21" s="12" customFormat="1" x14ac:dyDescent="0.25">
      <c r="A17" s="212" t="s">
        <v>831</v>
      </c>
      <c r="B17" s="64">
        <v>6.52</v>
      </c>
      <c r="C17" s="64">
        <v>6.22</v>
      </c>
      <c r="D17" s="64">
        <v>8.4700000000000006</v>
      </c>
      <c r="E17" s="64">
        <v>5.13</v>
      </c>
      <c r="F17" s="64">
        <v>6.58</v>
      </c>
      <c r="G17" s="64">
        <v>13.18</v>
      </c>
      <c r="H17" s="64">
        <v>4.46</v>
      </c>
      <c r="I17" s="64">
        <v>0.88</v>
      </c>
      <c r="J17" s="64">
        <v>0.04</v>
      </c>
      <c r="K17" s="64">
        <v>122.18</v>
      </c>
      <c r="L17" s="64">
        <v>23.58</v>
      </c>
      <c r="M17" s="64">
        <v>97.88</v>
      </c>
      <c r="N17" s="64">
        <v>59</v>
      </c>
      <c r="O17" s="64">
        <v>0</v>
      </c>
      <c r="P17" s="64">
        <v>0.21</v>
      </c>
      <c r="Q17" s="64">
        <v>9.1300000000000008</v>
      </c>
      <c r="R17" s="198"/>
      <c r="S17" s="198"/>
      <c r="T17" s="198"/>
      <c r="U17" s="198"/>
    </row>
    <row r="18" spans="1:21" s="12" customFormat="1" x14ac:dyDescent="0.25">
      <c r="A18" s="212" t="s">
        <v>832</v>
      </c>
      <c r="B18" s="64">
        <v>5.77</v>
      </c>
      <c r="C18" s="64">
        <v>6.48</v>
      </c>
      <c r="D18" s="64">
        <v>8.01</v>
      </c>
      <c r="E18" s="64">
        <v>5.15</v>
      </c>
      <c r="F18" s="64">
        <v>7.73</v>
      </c>
      <c r="G18" s="64">
        <v>13.18</v>
      </c>
      <c r="H18" s="64">
        <v>4.46</v>
      </c>
      <c r="I18" s="64">
        <v>0.91</v>
      </c>
      <c r="J18" s="64">
        <v>0.22</v>
      </c>
      <c r="K18" s="64">
        <v>130.06</v>
      </c>
      <c r="L18" s="64">
        <v>23.6</v>
      </c>
      <c r="M18" s="64">
        <v>97.83</v>
      </c>
      <c r="N18" s="64">
        <v>58.9</v>
      </c>
      <c r="O18" s="64">
        <v>0</v>
      </c>
      <c r="P18" s="64">
        <v>0.18</v>
      </c>
      <c r="Q18" s="64">
        <v>9.1300000000000008</v>
      </c>
      <c r="R18" s="198"/>
      <c r="S18" s="198"/>
      <c r="T18" s="198"/>
      <c r="U18" s="198"/>
    </row>
    <row r="19" spans="1:21" s="12" customFormat="1" x14ac:dyDescent="0.25">
      <c r="A19" s="212" t="s">
        <v>833</v>
      </c>
      <c r="B19" s="64">
        <v>5.77</v>
      </c>
      <c r="C19" s="64">
        <v>6.73</v>
      </c>
      <c r="D19" s="64">
        <v>8.14</v>
      </c>
      <c r="E19" s="64">
        <v>5.3</v>
      </c>
      <c r="F19" s="64">
        <v>7.73</v>
      </c>
      <c r="G19" s="64">
        <v>11.39</v>
      </c>
      <c r="H19" s="64">
        <v>4.51</v>
      </c>
      <c r="I19" s="64">
        <v>0.94</v>
      </c>
      <c r="J19" s="64">
        <v>0.06</v>
      </c>
      <c r="K19" s="64">
        <v>321.2</v>
      </c>
      <c r="L19" s="64">
        <v>23.64</v>
      </c>
      <c r="M19" s="64">
        <v>97.84</v>
      </c>
      <c r="N19" s="64">
        <v>59</v>
      </c>
      <c r="O19" s="64">
        <v>0</v>
      </c>
      <c r="P19" s="64">
        <v>0.18</v>
      </c>
      <c r="Q19" s="64">
        <v>9.1199999999999992</v>
      </c>
      <c r="R19" s="198"/>
      <c r="S19" s="198"/>
      <c r="T19" s="198"/>
      <c r="U19" s="198"/>
    </row>
    <row r="20" spans="1:21" s="12" customFormat="1" x14ac:dyDescent="0.25">
      <c r="A20" s="212" t="s">
        <v>834</v>
      </c>
      <c r="B20" s="64">
        <v>7.12</v>
      </c>
      <c r="C20" s="64">
        <v>6.12</v>
      </c>
      <c r="D20" s="64">
        <v>8.91</v>
      </c>
      <c r="E20" s="64">
        <v>5.24</v>
      </c>
      <c r="F20" s="64">
        <v>5.37</v>
      </c>
      <c r="G20" s="64">
        <v>11.24</v>
      </c>
      <c r="H20" s="64">
        <v>4.5199999999999996</v>
      </c>
      <c r="I20" s="64">
        <v>0.9</v>
      </c>
      <c r="J20" s="64">
        <v>0.04</v>
      </c>
      <c r="K20" s="64">
        <v>217.94</v>
      </c>
      <c r="L20" s="64">
        <v>23.66</v>
      </c>
      <c r="M20" s="64">
        <v>97.92</v>
      </c>
      <c r="N20" s="64">
        <v>59.1</v>
      </c>
      <c r="O20" s="64">
        <v>0</v>
      </c>
      <c r="P20" s="64">
        <v>0.19</v>
      </c>
      <c r="Q20" s="64">
        <v>9.11</v>
      </c>
      <c r="R20" s="198"/>
      <c r="S20" s="198"/>
      <c r="T20" s="198"/>
      <c r="U20" s="198"/>
    </row>
    <row r="21" spans="1:21" s="12" customFormat="1" x14ac:dyDescent="0.25">
      <c r="A21" s="212" t="s">
        <v>835</v>
      </c>
      <c r="B21" s="64">
        <v>7.08</v>
      </c>
      <c r="C21" s="64">
        <v>6.31</v>
      </c>
      <c r="D21" s="64">
        <v>8.9700000000000006</v>
      </c>
      <c r="E21" s="64">
        <v>5.17</v>
      </c>
      <c r="F21" s="64">
        <v>6.16</v>
      </c>
      <c r="G21" s="64">
        <v>11.24</v>
      </c>
      <c r="H21" s="64">
        <v>4.5199999999999996</v>
      </c>
      <c r="I21" s="64">
        <v>0.9</v>
      </c>
      <c r="J21" s="64">
        <v>7.0000000000000007E-2</v>
      </c>
      <c r="K21" s="64">
        <v>295.05</v>
      </c>
      <c r="L21" s="64">
        <v>23.73</v>
      </c>
      <c r="M21" s="64">
        <v>97.93</v>
      </c>
      <c r="N21" s="64">
        <v>59</v>
      </c>
      <c r="O21" s="64">
        <v>0</v>
      </c>
      <c r="P21" s="64">
        <v>0.2</v>
      </c>
      <c r="Q21" s="64">
        <v>9.11</v>
      </c>
      <c r="R21" s="198"/>
      <c r="S21" s="198"/>
      <c r="T21" s="198"/>
      <c r="U21" s="198"/>
    </row>
    <row r="22" spans="1:21" s="12" customFormat="1" x14ac:dyDescent="0.25">
      <c r="A22" s="212" t="s">
        <v>836</v>
      </c>
      <c r="B22" s="64">
        <v>6.81</v>
      </c>
      <c r="C22" s="64">
        <v>6.44</v>
      </c>
      <c r="D22" s="64">
        <v>8.83</v>
      </c>
      <c r="E22" s="64">
        <v>5.1100000000000003</v>
      </c>
      <c r="F22" s="64">
        <v>6.07</v>
      </c>
      <c r="G22" s="64">
        <v>11.24</v>
      </c>
      <c r="H22" s="64">
        <v>4.5199999999999996</v>
      </c>
      <c r="I22" s="64">
        <v>0.9</v>
      </c>
      <c r="J22" s="64">
        <v>0.06</v>
      </c>
      <c r="K22" s="64">
        <v>271.63</v>
      </c>
      <c r="L22" s="64">
        <v>23.8</v>
      </c>
      <c r="M22" s="64">
        <v>97.82</v>
      </c>
      <c r="N22" s="64">
        <v>59.1</v>
      </c>
      <c r="O22" s="64">
        <v>0</v>
      </c>
      <c r="P22" s="64">
        <v>0.2</v>
      </c>
      <c r="Q22" s="64">
        <v>9.11</v>
      </c>
      <c r="R22" s="198"/>
      <c r="S22" s="198"/>
      <c r="T22" s="198"/>
      <c r="U22" s="198"/>
    </row>
    <row r="23" spans="1:21" s="12" customFormat="1" x14ac:dyDescent="0.25">
      <c r="A23" s="212" t="s">
        <v>837</v>
      </c>
      <c r="B23" s="64">
        <v>5.96</v>
      </c>
      <c r="C23" s="64">
        <v>6.78</v>
      </c>
      <c r="D23" s="64">
        <v>8.32</v>
      </c>
      <c r="E23" s="64">
        <v>5.14</v>
      </c>
      <c r="F23" s="64">
        <v>8.7200000000000006</v>
      </c>
      <c r="G23" s="64">
        <v>13.2</v>
      </c>
      <c r="H23" s="64">
        <v>3.51</v>
      </c>
      <c r="I23" s="64">
        <v>0.9</v>
      </c>
      <c r="J23" s="64">
        <v>0.06</v>
      </c>
      <c r="K23" s="64">
        <v>248.29</v>
      </c>
      <c r="L23" s="64">
        <v>23.82</v>
      </c>
      <c r="M23" s="64">
        <v>97.79</v>
      </c>
      <c r="N23" s="64">
        <v>58.9</v>
      </c>
      <c r="O23" s="64">
        <v>0</v>
      </c>
      <c r="P23" s="64">
        <v>0.17</v>
      </c>
      <c r="Q23" s="64">
        <v>9.1199999999999992</v>
      </c>
      <c r="R23" s="198"/>
      <c r="S23" s="198"/>
      <c r="T23" s="198"/>
      <c r="U23" s="198"/>
    </row>
    <row r="24" spans="1:21" s="12" customFormat="1" x14ac:dyDescent="0.25">
      <c r="A24" s="212" t="s">
        <v>838</v>
      </c>
      <c r="B24" s="64">
        <v>5.95</v>
      </c>
      <c r="C24" s="64">
        <v>7.38</v>
      </c>
      <c r="D24" s="64">
        <v>8.6300000000000008</v>
      </c>
      <c r="E24" s="64">
        <v>5.37</v>
      </c>
      <c r="F24" s="64">
        <v>6.92</v>
      </c>
      <c r="G24" s="64">
        <v>13.37</v>
      </c>
      <c r="H24" s="64">
        <v>3.43</v>
      </c>
      <c r="I24" s="64">
        <v>0.88</v>
      </c>
      <c r="J24" s="64">
        <v>0.06</v>
      </c>
      <c r="K24" s="64">
        <v>264.83</v>
      </c>
      <c r="L24" s="64">
        <v>23.84</v>
      </c>
      <c r="M24" s="64">
        <v>97.8</v>
      </c>
      <c r="N24" s="64">
        <v>59.1</v>
      </c>
      <c r="O24" s="64">
        <v>0</v>
      </c>
      <c r="P24" s="64">
        <v>0.19</v>
      </c>
      <c r="Q24" s="64">
        <v>9.1300000000000008</v>
      </c>
      <c r="R24" s="198"/>
      <c r="S24" s="198"/>
      <c r="T24" s="198"/>
      <c r="U24" s="198"/>
    </row>
    <row r="25" spans="1:21" s="12" customFormat="1" x14ac:dyDescent="0.25">
      <c r="A25" s="212" t="s">
        <v>839</v>
      </c>
      <c r="B25" s="64">
        <v>6.56</v>
      </c>
      <c r="C25" s="64">
        <v>7.76</v>
      </c>
      <c r="D25" s="64">
        <v>9.32</v>
      </c>
      <c r="E25" s="64">
        <v>5.73</v>
      </c>
      <c r="F25" s="64">
        <v>6.3</v>
      </c>
      <c r="G25" s="64">
        <v>13.37</v>
      </c>
      <c r="H25" s="64">
        <v>3.43</v>
      </c>
      <c r="I25" s="64">
        <v>0.86</v>
      </c>
      <c r="J25" s="64">
        <v>7.0000000000000007E-2</v>
      </c>
      <c r="K25" s="64">
        <v>290.75</v>
      </c>
      <c r="L25" s="64">
        <v>23.87</v>
      </c>
      <c r="M25" s="64">
        <v>97.92</v>
      </c>
      <c r="N25" s="64">
        <v>59.1</v>
      </c>
      <c r="O25" s="64">
        <v>0</v>
      </c>
      <c r="P25" s="64">
        <v>0.2</v>
      </c>
      <c r="Q25" s="64">
        <v>9.15</v>
      </c>
      <c r="R25" s="198"/>
      <c r="S25" s="198"/>
      <c r="T25" s="198"/>
      <c r="U25" s="198"/>
    </row>
    <row r="26" spans="1:21" s="12" customFormat="1" x14ac:dyDescent="0.25">
      <c r="A26" s="212" t="s">
        <v>840</v>
      </c>
      <c r="B26" s="64">
        <v>8.18</v>
      </c>
      <c r="C26" s="64">
        <v>8.07</v>
      </c>
      <c r="D26" s="64">
        <v>10.78</v>
      </c>
      <c r="E26" s="64">
        <v>5.38</v>
      </c>
      <c r="F26" s="64">
        <v>7.74</v>
      </c>
      <c r="G26" s="64">
        <v>13.37</v>
      </c>
      <c r="H26" s="64">
        <v>3.43</v>
      </c>
      <c r="I26" s="64">
        <v>0.85</v>
      </c>
      <c r="J26" s="64">
        <v>7.0000000000000007E-2</v>
      </c>
      <c r="K26" s="64">
        <v>306.91000000000003</v>
      </c>
      <c r="L26" s="64">
        <v>23.89</v>
      </c>
      <c r="M26" s="64">
        <v>97.89</v>
      </c>
      <c r="N26" s="64">
        <v>59.1</v>
      </c>
      <c r="O26" s="64">
        <v>0</v>
      </c>
      <c r="P26" s="64">
        <v>0.19</v>
      </c>
      <c r="Q26" s="64">
        <v>9.16</v>
      </c>
      <c r="R26" s="198"/>
      <c r="S26" s="198"/>
      <c r="T26" s="198"/>
      <c r="U26" s="198"/>
    </row>
    <row r="27" spans="1:21" s="12" customFormat="1" x14ac:dyDescent="0.25">
      <c r="A27" s="212" t="s">
        <v>841</v>
      </c>
      <c r="B27" s="64">
        <v>8.1999999999999993</v>
      </c>
      <c r="C27" s="64">
        <v>7.23</v>
      </c>
      <c r="D27" s="64">
        <v>10.35</v>
      </c>
      <c r="E27" s="64">
        <v>5.44</v>
      </c>
      <c r="F27" s="64">
        <v>5.45</v>
      </c>
      <c r="G27" s="64">
        <v>13.04</v>
      </c>
      <c r="H27" s="64">
        <v>2.58</v>
      </c>
      <c r="I27" s="64">
        <v>0.85</v>
      </c>
      <c r="J27" s="64">
        <v>0.13</v>
      </c>
      <c r="K27" s="64">
        <v>314.76</v>
      </c>
      <c r="L27" s="64">
        <v>23.91</v>
      </c>
      <c r="M27" s="64">
        <v>97.89</v>
      </c>
      <c r="N27" s="64">
        <v>59.1</v>
      </c>
      <c r="O27" s="64">
        <v>0</v>
      </c>
      <c r="P27" s="64">
        <v>0.2</v>
      </c>
      <c r="Q27" s="64">
        <v>9.16</v>
      </c>
      <c r="R27" s="198"/>
      <c r="S27" s="198"/>
      <c r="T27" s="198"/>
      <c r="U27" s="198"/>
    </row>
    <row r="28" spans="1:21" s="12" customFormat="1" x14ac:dyDescent="0.25">
      <c r="A28" s="212" t="s">
        <v>842</v>
      </c>
      <c r="B28" s="64">
        <v>7.93</v>
      </c>
      <c r="C28" s="64">
        <v>6.98</v>
      </c>
      <c r="D28" s="64">
        <v>10</v>
      </c>
      <c r="E28" s="64">
        <v>5.37</v>
      </c>
      <c r="F28" s="64">
        <v>4.76</v>
      </c>
      <c r="G28" s="64">
        <v>13.01</v>
      </c>
      <c r="H28" s="64">
        <v>2.5</v>
      </c>
      <c r="I28" s="64">
        <v>0.85</v>
      </c>
      <c r="J28" s="64">
        <v>0.14000000000000001</v>
      </c>
      <c r="K28" s="64">
        <v>310.42</v>
      </c>
      <c r="L28" s="64">
        <v>23.99</v>
      </c>
      <c r="M28" s="64">
        <v>97.84</v>
      </c>
      <c r="N28" s="64">
        <v>59.1</v>
      </c>
      <c r="O28" s="64">
        <v>0</v>
      </c>
      <c r="P28" s="64">
        <v>0.21</v>
      </c>
      <c r="Q28" s="64">
        <v>9.16</v>
      </c>
      <c r="R28" s="198"/>
      <c r="S28" s="198"/>
      <c r="T28" s="198"/>
      <c r="U28" s="198"/>
    </row>
    <row r="29" spans="1:21" s="12" customFormat="1" x14ac:dyDescent="0.25">
      <c r="A29" s="212" t="s">
        <v>843</v>
      </c>
      <c r="B29" s="64">
        <v>9.18</v>
      </c>
      <c r="C29" s="64">
        <v>7.59</v>
      </c>
      <c r="D29" s="64">
        <v>11.33</v>
      </c>
      <c r="E29" s="64">
        <v>5.32</v>
      </c>
      <c r="F29" s="64">
        <v>5.4</v>
      </c>
      <c r="G29" s="64">
        <v>13.01</v>
      </c>
      <c r="H29" s="64">
        <v>2.5</v>
      </c>
      <c r="I29" s="64">
        <v>0.85</v>
      </c>
      <c r="J29" s="64">
        <v>0.13</v>
      </c>
      <c r="K29" s="64">
        <v>312.49</v>
      </c>
      <c r="L29" s="64">
        <v>24.01</v>
      </c>
      <c r="M29" s="64">
        <v>97.84</v>
      </c>
      <c r="N29" s="64">
        <v>59.1</v>
      </c>
      <c r="O29" s="64">
        <v>0</v>
      </c>
      <c r="P29" s="64">
        <v>0.24</v>
      </c>
      <c r="Q29" s="64">
        <v>9.17</v>
      </c>
      <c r="R29" s="198"/>
      <c r="S29" s="198"/>
      <c r="T29" s="198"/>
      <c r="U29" s="198"/>
    </row>
    <row r="30" spans="1:21" s="12" customFormat="1" x14ac:dyDescent="0.25">
      <c r="A30" s="212" t="s">
        <v>844</v>
      </c>
      <c r="B30" s="64">
        <v>11.57</v>
      </c>
      <c r="C30" s="64">
        <v>8.09</v>
      </c>
      <c r="D30" s="64">
        <v>13.5</v>
      </c>
      <c r="E30" s="64">
        <v>5.15</v>
      </c>
      <c r="F30" s="64">
        <v>4.24</v>
      </c>
      <c r="G30" s="64">
        <v>13.01</v>
      </c>
      <c r="H30" s="64">
        <v>2.5</v>
      </c>
      <c r="I30" s="64">
        <v>0.85</v>
      </c>
      <c r="J30" s="64">
        <v>0.12</v>
      </c>
      <c r="K30" s="64">
        <v>305.58999999999997</v>
      </c>
      <c r="L30" s="64">
        <v>24.02</v>
      </c>
      <c r="M30" s="64">
        <v>97.85</v>
      </c>
      <c r="N30" s="64">
        <v>59.6</v>
      </c>
      <c r="O30" s="64">
        <v>0</v>
      </c>
      <c r="P30" s="64">
        <v>0.28999999999999998</v>
      </c>
      <c r="Q30" s="64">
        <v>9.17</v>
      </c>
      <c r="R30" s="198"/>
      <c r="S30" s="198"/>
      <c r="T30" s="198"/>
      <c r="U30" s="198"/>
    </row>
    <row r="31" spans="1:21" s="12" customFormat="1" x14ac:dyDescent="0.25">
      <c r="A31" s="212" t="s">
        <v>845</v>
      </c>
      <c r="B31" s="64">
        <v>13.76</v>
      </c>
      <c r="C31" s="64">
        <v>10.17</v>
      </c>
      <c r="D31" s="64">
        <v>16.350000000000001</v>
      </c>
      <c r="E31" s="64">
        <v>5.37</v>
      </c>
      <c r="F31" s="64">
        <v>3.82</v>
      </c>
      <c r="G31" s="64">
        <v>17.64</v>
      </c>
      <c r="H31" s="64">
        <v>1.91</v>
      </c>
      <c r="I31" s="64">
        <v>0.87</v>
      </c>
      <c r="J31" s="64">
        <v>0.11</v>
      </c>
      <c r="K31" s="64">
        <v>310.44</v>
      </c>
      <c r="L31" s="64">
        <v>24.03</v>
      </c>
      <c r="M31" s="64">
        <v>97.9</v>
      </c>
      <c r="N31" s="64">
        <v>65.400000000000006</v>
      </c>
      <c r="O31" s="64">
        <v>0</v>
      </c>
      <c r="P31" s="64">
        <v>0.41</v>
      </c>
      <c r="Q31" s="64">
        <v>9.16</v>
      </c>
      <c r="R31" s="198"/>
      <c r="S31" s="198"/>
      <c r="T31" s="198"/>
      <c r="U31" s="198"/>
    </row>
    <row r="32" spans="1:21" s="12" customFormat="1" x14ac:dyDescent="0.25">
      <c r="A32" s="212" t="s">
        <v>846</v>
      </c>
      <c r="B32" s="64">
        <v>10.41</v>
      </c>
      <c r="C32" s="64">
        <v>8.32</v>
      </c>
      <c r="D32" s="64">
        <v>12.69</v>
      </c>
      <c r="E32" s="64">
        <v>5.42</v>
      </c>
      <c r="F32" s="64">
        <v>3.58</v>
      </c>
      <c r="G32" s="64">
        <v>18.03</v>
      </c>
      <c r="H32" s="64">
        <v>1.86</v>
      </c>
      <c r="I32" s="64">
        <v>0.88</v>
      </c>
      <c r="J32" s="64">
        <v>0.22</v>
      </c>
      <c r="K32" s="64">
        <v>315.43</v>
      </c>
      <c r="L32" s="64">
        <v>24.16</v>
      </c>
      <c r="M32" s="64">
        <v>97.9</v>
      </c>
      <c r="N32" s="64">
        <v>81.599999999999994</v>
      </c>
      <c r="O32" s="64">
        <v>0</v>
      </c>
      <c r="P32" s="64">
        <v>0.28000000000000003</v>
      </c>
      <c r="Q32" s="64">
        <v>9.16</v>
      </c>
      <c r="R32" s="198"/>
      <c r="S32" s="198"/>
      <c r="T32" s="198"/>
      <c r="U32" s="198"/>
    </row>
    <row r="33" spans="1:21" s="12" customFormat="1" x14ac:dyDescent="0.25">
      <c r="A33" s="212" t="s">
        <v>847</v>
      </c>
      <c r="B33" s="64">
        <v>11.57</v>
      </c>
      <c r="C33" s="64">
        <v>7.33</v>
      </c>
      <c r="D33" s="64">
        <v>13.1</v>
      </c>
      <c r="E33" s="64">
        <v>5.49</v>
      </c>
      <c r="F33" s="64">
        <v>4.47</v>
      </c>
      <c r="G33" s="64">
        <v>18.03</v>
      </c>
      <c r="H33" s="64">
        <v>1.86</v>
      </c>
      <c r="I33" s="64">
        <v>0.91</v>
      </c>
      <c r="J33" s="64">
        <v>0.39</v>
      </c>
      <c r="K33" s="64">
        <v>332.22</v>
      </c>
      <c r="L33" s="64">
        <v>24.55</v>
      </c>
      <c r="M33" s="64">
        <v>97.9</v>
      </c>
      <c r="N33" s="64">
        <v>101.9</v>
      </c>
      <c r="O33" s="64">
        <v>0</v>
      </c>
      <c r="P33" s="64">
        <v>0.31</v>
      </c>
      <c r="Q33" s="64">
        <v>9.17</v>
      </c>
      <c r="R33" s="198"/>
      <c r="S33" s="198"/>
      <c r="T33" s="198"/>
      <c r="U33" s="198"/>
    </row>
    <row r="34" spans="1:21" s="12" customFormat="1" x14ac:dyDescent="0.25">
      <c r="A34" s="212" t="s">
        <v>848</v>
      </c>
      <c r="B34" s="64">
        <v>11.55</v>
      </c>
      <c r="C34" s="64">
        <v>7.64</v>
      </c>
      <c r="D34" s="64">
        <v>13.26</v>
      </c>
      <c r="E34" s="64">
        <v>5.45</v>
      </c>
      <c r="F34" s="64">
        <v>4.2699999999999996</v>
      </c>
      <c r="G34" s="64">
        <v>18.03</v>
      </c>
      <c r="H34" s="64">
        <v>1.86</v>
      </c>
      <c r="I34" s="64">
        <v>0.95</v>
      </c>
      <c r="J34" s="64">
        <v>0.34</v>
      </c>
      <c r="K34" s="64">
        <v>327.51</v>
      </c>
      <c r="L34" s="64">
        <v>25.07</v>
      </c>
      <c r="M34" s="64">
        <v>97.86</v>
      </c>
      <c r="N34" s="64">
        <v>134.19999999999999</v>
      </c>
      <c r="O34" s="64">
        <v>0</v>
      </c>
      <c r="P34" s="64">
        <v>0.3</v>
      </c>
      <c r="Q34" s="64">
        <v>9.18</v>
      </c>
      <c r="R34" s="198"/>
      <c r="S34" s="198"/>
      <c r="T34" s="198"/>
      <c r="U34" s="198"/>
    </row>
    <row r="35" spans="1:21" s="12" customFormat="1" x14ac:dyDescent="0.25">
      <c r="A35" s="212" t="s">
        <v>849</v>
      </c>
      <c r="B35" s="64">
        <v>12.22</v>
      </c>
      <c r="C35" s="64">
        <v>7.86</v>
      </c>
      <c r="D35" s="64">
        <v>13.9</v>
      </c>
      <c r="E35" s="64">
        <v>4.88</v>
      </c>
      <c r="F35" s="64">
        <v>3.52</v>
      </c>
      <c r="G35" s="64">
        <v>26.72</v>
      </c>
      <c r="H35" s="64">
        <v>2.46</v>
      </c>
      <c r="I35" s="64">
        <v>1.05</v>
      </c>
      <c r="J35" s="64">
        <v>0.69</v>
      </c>
      <c r="K35" s="64">
        <v>331.77</v>
      </c>
      <c r="L35" s="64">
        <v>25.94</v>
      </c>
      <c r="M35" s="64">
        <v>97.81</v>
      </c>
      <c r="N35" s="64">
        <v>196.5</v>
      </c>
      <c r="O35" s="64">
        <v>0</v>
      </c>
      <c r="P35" s="64">
        <v>0.3</v>
      </c>
      <c r="Q35" s="64">
        <v>9.19</v>
      </c>
      <c r="R35" s="198"/>
      <c r="S35" s="198"/>
      <c r="T35" s="198"/>
      <c r="U35" s="198"/>
    </row>
    <row r="36" spans="1:21" s="12" customFormat="1" x14ac:dyDescent="0.25">
      <c r="A36" s="212" t="s">
        <v>850</v>
      </c>
      <c r="B36" s="64">
        <v>11.89</v>
      </c>
      <c r="C36" s="64">
        <v>7.84</v>
      </c>
      <c r="D36" s="64">
        <v>13.63</v>
      </c>
      <c r="E36" s="64">
        <v>4.93</v>
      </c>
      <c r="F36" s="64">
        <v>3.21</v>
      </c>
      <c r="G36" s="64">
        <v>27.45</v>
      </c>
      <c r="H36" s="64">
        <v>2.5099999999999998</v>
      </c>
      <c r="I36" s="64">
        <v>1.1599999999999999</v>
      </c>
      <c r="J36" s="64">
        <v>0.88</v>
      </c>
      <c r="K36" s="64">
        <v>331.52</v>
      </c>
      <c r="L36" s="64">
        <v>27.05</v>
      </c>
      <c r="M36" s="64">
        <v>97.76</v>
      </c>
      <c r="N36" s="64">
        <v>274.60000000000002</v>
      </c>
      <c r="O36" s="64">
        <v>0</v>
      </c>
      <c r="P36" s="64">
        <v>0.28999999999999998</v>
      </c>
      <c r="Q36" s="64">
        <v>9.1999999999999993</v>
      </c>
      <c r="R36" s="198"/>
      <c r="S36" s="198"/>
      <c r="T36" s="198"/>
      <c r="U36" s="198"/>
    </row>
    <row r="37" spans="1:21" s="12" customFormat="1" x14ac:dyDescent="0.25">
      <c r="A37" s="212" t="s">
        <v>851</v>
      </c>
      <c r="B37" s="64">
        <v>11.97</v>
      </c>
      <c r="C37" s="64">
        <v>7.82</v>
      </c>
      <c r="D37" s="64">
        <v>13.69</v>
      </c>
      <c r="E37" s="64">
        <v>5.32</v>
      </c>
      <c r="F37" s="64">
        <v>3.9</v>
      </c>
      <c r="G37" s="64">
        <v>27.45</v>
      </c>
      <c r="H37" s="64">
        <v>2.5099999999999998</v>
      </c>
      <c r="I37" s="64">
        <v>1.24</v>
      </c>
      <c r="J37" s="64">
        <v>0.9</v>
      </c>
      <c r="K37" s="64">
        <v>333.15</v>
      </c>
      <c r="L37" s="64">
        <v>28.19</v>
      </c>
      <c r="M37" s="64">
        <v>95.8</v>
      </c>
      <c r="N37" s="64">
        <v>290.7</v>
      </c>
      <c r="O37" s="64">
        <v>0</v>
      </c>
      <c r="P37" s="64">
        <v>0.28000000000000003</v>
      </c>
      <c r="Q37" s="64">
        <v>9.2100000000000009</v>
      </c>
      <c r="R37" s="198"/>
      <c r="S37" s="198"/>
      <c r="T37" s="198"/>
      <c r="U37" s="198"/>
    </row>
    <row r="38" spans="1:21" s="12" customFormat="1" x14ac:dyDescent="0.25">
      <c r="A38" s="212" t="s">
        <v>852</v>
      </c>
      <c r="B38" s="64">
        <v>13.48</v>
      </c>
      <c r="C38" s="64">
        <v>6.86</v>
      </c>
      <c r="D38" s="64">
        <v>14.39</v>
      </c>
      <c r="E38" s="64">
        <v>5.16</v>
      </c>
      <c r="F38" s="64">
        <v>5.97</v>
      </c>
      <c r="G38" s="64">
        <v>27.45</v>
      </c>
      <c r="H38" s="64">
        <v>2.5099999999999998</v>
      </c>
      <c r="I38" s="64">
        <v>1.3</v>
      </c>
      <c r="J38" s="64">
        <v>0.82</v>
      </c>
      <c r="K38" s="64">
        <v>333.1</v>
      </c>
      <c r="L38" s="64">
        <v>28.81</v>
      </c>
      <c r="M38" s="64">
        <v>91.79</v>
      </c>
      <c r="N38" s="64">
        <v>208.3</v>
      </c>
      <c r="O38" s="64">
        <v>0</v>
      </c>
      <c r="P38" s="64">
        <v>0.35</v>
      </c>
      <c r="Q38" s="64">
        <v>9.23</v>
      </c>
      <c r="R38" s="198"/>
      <c r="S38" s="198"/>
      <c r="T38" s="198"/>
      <c r="U38" s="198"/>
    </row>
    <row r="39" spans="1:21" s="12" customFormat="1" x14ac:dyDescent="0.25">
      <c r="A39" s="212" t="s">
        <v>853</v>
      </c>
      <c r="B39" s="64">
        <v>12.68</v>
      </c>
      <c r="C39" s="64">
        <v>8.7200000000000006</v>
      </c>
      <c r="D39" s="64">
        <v>14.73</v>
      </c>
      <c r="E39" s="64">
        <v>5.46</v>
      </c>
      <c r="F39" s="64">
        <v>6.38</v>
      </c>
      <c r="G39" s="64">
        <v>40.29</v>
      </c>
      <c r="H39" s="64">
        <v>5.51</v>
      </c>
      <c r="I39" s="64">
        <v>1.33</v>
      </c>
      <c r="J39" s="64">
        <v>0.71</v>
      </c>
      <c r="K39" s="64">
        <v>335.31</v>
      </c>
      <c r="L39" s="64">
        <v>28.64</v>
      </c>
      <c r="M39" s="64">
        <v>92.74</v>
      </c>
      <c r="N39" s="64">
        <v>223.9</v>
      </c>
      <c r="O39" s="64">
        <v>0</v>
      </c>
      <c r="P39" s="64">
        <v>0.4</v>
      </c>
      <c r="Q39" s="64">
        <v>9.24</v>
      </c>
      <c r="R39" s="198"/>
      <c r="S39" s="198"/>
      <c r="T39" s="198"/>
      <c r="U39" s="198"/>
    </row>
    <row r="40" spans="1:21" s="12" customFormat="1" x14ac:dyDescent="0.25">
      <c r="A40" s="212" t="s">
        <v>854</v>
      </c>
      <c r="B40" s="64">
        <v>16.45</v>
      </c>
      <c r="C40" s="64">
        <v>11.1</v>
      </c>
      <c r="D40" s="64">
        <v>18.989999999999998</v>
      </c>
      <c r="E40" s="64">
        <v>3.69</v>
      </c>
      <c r="F40" s="64">
        <v>8.6999999999999993</v>
      </c>
      <c r="G40" s="64">
        <v>41.38</v>
      </c>
      <c r="H40" s="64">
        <v>5.76</v>
      </c>
      <c r="I40" s="64">
        <v>1.35</v>
      </c>
      <c r="J40" s="64">
        <v>0.52</v>
      </c>
      <c r="K40" s="64">
        <v>333.18</v>
      </c>
      <c r="L40" s="64">
        <v>28.87</v>
      </c>
      <c r="M40" s="64">
        <v>90.2</v>
      </c>
      <c r="N40" s="64">
        <v>203.3</v>
      </c>
      <c r="O40" s="64">
        <v>0</v>
      </c>
      <c r="P40" s="64">
        <v>0.49</v>
      </c>
      <c r="Q40" s="64">
        <v>9.26</v>
      </c>
      <c r="R40" s="198"/>
      <c r="S40" s="198"/>
      <c r="T40" s="198"/>
      <c r="U40" s="198"/>
    </row>
    <row r="41" spans="1:21" s="12" customFormat="1" x14ac:dyDescent="0.25">
      <c r="A41" s="212" t="s">
        <v>855</v>
      </c>
      <c r="B41" s="64">
        <v>15.83</v>
      </c>
      <c r="C41" s="64">
        <v>13.04</v>
      </c>
      <c r="D41" s="64">
        <v>19.47</v>
      </c>
      <c r="E41" s="64">
        <v>3.5</v>
      </c>
      <c r="F41" s="64">
        <v>8</v>
      </c>
      <c r="G41" s="64">
        <v>41.38</v>
      </c>
      <c r="H41" s="64">
        <v>5.76</v>
      </c>
      <c r="I41" s="64">
        <v>1.37</v>
      </c>
      <c r="J41" s="64">
        <v>0.18</v>
      </c>
      <c r="K41" s="64">
        <v>319.91000000000003</v>
      </c>
      <c r="L41" s="64">
        <v>28.69</v>
      </c>
      <c r="M41" s="64">
        <v>90.59</v>
      </c>
      <c r="N41" s="64">
        <v>193.2</v>
      </c>
      <c r="O41" s="64">
        <v>0</v>
      </c>
      <c r="P41" s="64">
        <v>0.42</v>
      </c>
      <c r="Q41" s="64">
        <v>9.2899999999999991</v>
      </c>
      <c r="R41" s="198"/>
      <c r="S41" s="198"/>
      <c r="T41" s="198"/>
      <c r="U41" s="198"/>
    </row>
    <row r="42" spans="1:21" s="12" customFormat="1" x14ac:dyDescent="0.25">
      <c r="A42" s="212" t="s">
        <v>856</v>
      </c>
      <c r="B42" s="64">
        <v>11.42</v>
      </c>
      <c r="C42" s="64">
        <v>13.65</v>
      </c>
      <c r="D42" s="64">
        <v>16.29</v>
      </c>
      <c r="E42" s="64">
        <v>3.77</v>
      </c>
      <c r="F42" s="64">
        <v>8.75</v>
      </c>
      <c r="G42" s="64">
        <v>41.38</v>
      </c>
      <c r="H42" s="64">
        <v>5.76</v>
      </c>
      <c r="I42" s="64">
        <v>1.38</v>
      </c>
      <c r="J42" s="64">
        <v>0.08</v>
      </c>
      <c r="K42" s="64">
        <v>268.36</v>
      </c>
      <c r="L42" s="64">
        <v>27.77</v>
      </c>
      <c r="M42" s="64">
        <v>95.18</v>
      </c>
      <c r="N42" s="64">
        <v>214.6</v>
      </c>
      <c r="O42" s="64">
        <v>0</v>
      </c>
      <c r="P42" s="64">
        <v>0.4</v>
      </c>
      <c r="Q42" s="64">
        <v>9.32</v>
      </c>
      <c r="R42" s="198"/>
      <c r="S42" s="198"/>
      <c r="T42" s="198"/>
      <c r="U42" s="198"/>
    </row>
    <row r="43" spans="1:21" s="12" customFormat="1" x14ac:dyDescent="0.25">
      <c r="A43" s="212" t="s">
        <v>857</v>
      </c>
      <c r="B43" s="64">
        <v>16.600000000000001</v>
      </c>
      <c r="C43" s="64">
        <v>14.3</v>
      </c>
      <c r="D43" s="64">
        <v>20.78</v>
      </c>
      <c r="E43" s="64">
        <v>3.4</v>
      </c>
      <c r="F43" s="64">
        <v>6.61</v>
      </c>
      <c r="G43" s="64">
        <v>46.32</v>
      </c>
      <c r="H43" s="64">
        <v>4.66</v>
      </c>
      <c r="I43" s="64">
        <v>1.39</v>
      </c>
      <c r="J43" s="64">
        <v>0.1</v>
      </c>
      <c r="K43" s="64">
        <v>298.82</v>
      </c>
      <c r="L43" s="64">
        <v>28.4</v>
      </c>
      <c r="M43" s="64">
        <v>94.53</v>
      </c>
      <c r="N43" s="64">
        <v>302</v>
      </c>
      <c r="O43" s="64">
        <v>0</v>
      </c>
      <c r="P43" s="64">
        <v>0.54</v>
      </c>
      <c r="Q43" s="64">
        <v>9.34</v>
      </c>
      <c r="R43" s="198"/>
      <c r="S43" s="198"/>
      <c r="T43" s="198"/>
      <c r="U43" s="198"/>
    </row>
    <row r="44" spans="1:21" s="12" customFormat="1" x14ac:dyDescent="0.25">
      <c r="A44" s="212" t="s">
        <v>858</v>
      </c>
      <c r="B44" s="64">
        <v>13.3</v>
      </c>
      <c r="C44" s="64">
        <v>11.58</v>
      </c>
      <c r="D44" s="64">
        <v>16.72</v>
      </c>
      <c r="E44" s="64">
        <v>3.54</v>
      </c>
      <c r="F44" s="64">
        <v>9.2899999999999991</v>
      </c>
      <c r="G44" s="64">
        <v>46.74</v>
      </c>
      <c r="H44" s="64">
        <v>4.58</v>
      </c>
      <c r="I44" s="64">
        <v>1.4</v>
      </c>
      <c r="J44" s="64">
        <v>0.02</v>
      </c>
      <c r="K44" s="64">
        <v>219.52</v>
      </c>
      <c r="L44" s="64">
        <v>29.24</v>
      </c>
      <c r="M44" s="64">
        <v>89.61</v>
      </c>
      <c r="N44" s="64">
        <v>293.10000000000002</v>
      </c>
      <c r="O44" s="64">
        <v>0</v>
      </c>
      <c r="P44" s="64">
        <v>0.43</v>
      </c>
      <c r="Q44" s="64">
        <v>9.35</v>
      </c>
      <c r="R44" s="198"/>
      <c r="S44" s="198"/>
      <c r="T44" s="198"/>
      <c r="U44" s="198"/>
    </row>
    <row r="45" spans="1:21" s="12" customFormat="1" x14ac:dyDescent="0.25">
      <c r="A45" s="212" t="s">
        <v>859</v>
      </c>
      <c r="B45" s="64">
        <v>10.050000000000001</v>
      </c>
      <c r="C45" s="64">
        <v>12.73</v>
      </c>
      <c r="D45" s="64">
        <v>14.71</v>
      </c>
      <c r="E45" s="64">
        <v>3.77</v>
      </c>
      <c r="F45" s="64">
        <v>9.0399999999999991</v>
      </c>
      <c r="G45" s="64">
        <v>46.74</v>
      </c>
      <c r="H45" s="64">
        <v>4.58</v>
      </c>
      <c r="I45" s="64">
        <v>1.43</v>
      </c>
      <c r="J45" s="64">
        <v>0.12</v>
      </c>
      <c r="K45" s="64">
        <v>230.09</v>
      </c>
      <c r="L45" s="64">
        <v>28.37</v>
      </c>
      <c r="M45" s="64">
        <v>93.55</v>
      </c>
      <c r="N45" s="64">
        <v>320.39999999999998</v>
      </c>
      <c r="O45" s="64">
        <v>0</v>
      </c>
      <c r="P45" s="64">
        <v>0.37</v>
      </c>
      <c r="Q45" s="64">
        <v>9.36</v>
      </c>
      <c r="R45" s="198"/>
      <c r="S45" s="198"/>
      <c r="T45" s="198"/>
      <c r="U45" s="198"/>
    </row>
    <row r="46" spans="1:21" s="12" customFormat="1" x14ac:dyDescent="0.25">
      <c r="A46" s="212" t="s">
        <v>860</v>
      </c>
      <c r="B46" s="64">
        <v>13.12</v>
      </c>
      <c r="C46" s="64">
        <v>12.85</v>
      </c>
      <c r="D46" s="64">
        <v>17.23</v>
      </c>
      <c r="E46" s="64">
        <v>3.7</v>
      </c>
      <c r="F46" s="64">
        <v>9.23</v>
      </c>
      <c r="G46" s="64">
        <v>46.74</v>
      </c>
      <c r="H46" s="64">
        <v>4.58</v>
      </c>
      <c r="I46" s="64">
        <v>1.46</v>
      </c>
      <c r="J46" s="64">
        <v>0.31</v>
      </c>
      <c r="K46" s="64">
        <v>324.64</v>
      </c>
      <c r="L46" s="64">
        <v>29.49</v>
      </c>
      <c r="M46" s="64">
        <v>87.49</v>
      </c>
      <c r="N46" s="64">
        <v>401.8</v>
      </c>
      <c r="O46" s="64">
        <v>0</v>
      </c>
      <c r="P46" s="64">
        <v>0.46</v>
      </c>
      <c r="Q46" s="64">
        <v>9.36</v>
      </c>
      <c r="R46" s="198"/>
      <c r="S46" s="198"/>
      <c r="T46" s="198"/>
      <c r="U46" s="198"/>
    </row>
    <row r="47" spans="1:21" s="12" customFormat="1" x14ac:dyDescent="0.25">
      <c r="A47" s="212" t="s">
        <v>861</v>
      </c>
      <c r="B47" s="64">
        <v>17.04</v>
      </c>
      <c r="C47" s="64">
        <v>13.75</v>
      </c>
      <c r="D47" s="64">
        <v>20.85</v>
      </c>
      <c r="E47" s="64">
        <v>3.93</v>
      </c>
      <c r="F47" s="64">
        <v>7.3</v>
      </c>
      <c r="G47" s="64">
        <v>53.43</v>
      </c>
      <c r="H47" s="64">
        <v>6.46</v>
      </c>
      <c r="I47" s="64">
        <v>1.48</v>
      </c>
      <c r="J47" s="64">
        <v>0.2</v>
      </c>
      <c r="K47" s="64">
        <v>303.86</v>
      </c>
      <c r="L47" s="64">
        <v>31.13</v>
      </c>
      <c r="M47" s="64">
        <v>77.19</v>
      </c>
      <c r="N47" s="64">
        <v>380</v>
      </c>
      <c r="O47" s="64">
        <v>0</v>
      </c>
      <c r="P47" s="64">
        <v>0.55000000000000004</v>
      </c>
      <c r="Q47" s="64">
        <v>9.3699999999999992</v>
      </c>
      <c r="R47" s="198"/>
      <c r="S47" s="198"/>
      <c r="T47" s="198"/>
      <c r="U47" s="198"/>
    </row>
    <row r="48" spans="1:21" s="12" customFormat="1" x14ac:dyDescent="0.25">
      <c r="A48" s="212" t="s">
        <v>862</v>
      </c>
      <c r="B48" s="64">
        <v>17.34</v>
      </c>
      <c r="C48" s="64">
        <v>9.93</v>
      </c>
      <c r="D48" s="64">
        <v>18.88</v>
      </c>
      <c r="E48" s="64">
        <v>3.47</v>
      </c>
      <c r="F48" s="64">
        <v>5.74</v>
      </c>
      <c r="G48" s="64">
        <v>54</v>
      </c>
      <c r="H48" s="64">
        <v>6.62</v>
      </c>
      <c r="I48" s="64">
        <v>1.49</v>
      </c>
      <c r="J48" s="64">
        <v>0.83</v>
      </c>
      <c r="K48" s="64">
        <v>336</v>
      </c>
      <c r="L48" s="64">
        <v>31.97</v>
      </c>
      <c r="M48" s="64">
        <v>74.36</v>
      </c>
      <c r="N48" s="64">
        <v>730.7</v>
      </c>
      <c r="O48" s="64">
        <v>0</v>
      </c>
      <c r="P48" s="64">
        <v>0.48</v>
      </c>
      <c r="Q48" s="64">
        <v>9.3699999999999992</v>
      </c>
      <c r="R48" s="198"/>
      <c r="S48" s="198"/>
      <c r="T48" s="198"/>
      <c r="U48" s="198"/>
    </row>
    <row r="49" spans="1:21" s="12" customFormat="1" x14ac:dyDescent="0.25">
      <c r="A49" s="212" t="s">
        <v>863</v>
      </c>
      <c r="B49" s="64">
        <v>12.93</v>
      </c>
      <c r="C49" s="64">
        <v>11.44</v>
      </c>
      <c r="D49" s="64">
        <v>16.100000000000001</v>
      </c>
      <c r="E49" s="64">
        <v>3.66</v>
      </c>
      <c r="F49" s="64">
        <v>11.48</v>
      </c>
      <c r="G49" s="64">
        <v>54</v>
      </c>
      <c r="H49" s="64">
        <v>6.62</v>
      </c>
      <c r="I49" s="64">
        <v>1.5</v>
      </c>
      <c r="J49" s="64">
        <v>0.3</v>
      </c>
      <c r="K49" s="64">
        <v>325.61</v>
      </c>
      <c r="L49" s="64">
        <v>34.01</v>
      </c>
      <c r="M49" s="64">
        <v>64.89</v>
      </c>
      <c r="N49" s="64">
        <v>886.8</v>
      </c>
      <c r="O49" s="64">
        <v>0</v>
      </c>
      <c r="P49" s="64">
        <v>0.42</v>
      </c>
      <c r="Q49" s="64">
        <v>9.36</v>
      </c>
      <c r="R49" s="198"/>
      <c r="S49" s="198"/>
      <c r="T49" s="198"/>
      <c r="U49" s="198"/>
    </row>
    <row r="50" spans="1:21" s="12" customFormat="1" x14ac:dyDescent="0.25">
      <c r="A50" s="212" t="s">
        <v>864</v>
      </c>
      <c r="B50" s="64">
        <v>13.24</v>
      </c>
      <c r="C50" s="64">
        <v>10.45</v>
      </c>
      <c r="D50" s="64">
        <v>16.079999999999998</v>
      </c>
      <c r="E50" s="64">
        <v>3.62</v>
      </c>
      <c r="F50" s="64">
        <v>11.8</v>
      </c>
      <c r="G50" s="64">
        <v>54</v>
      </c>
      <c r="H50" s="64">
        <v>6.62</v>
      </c>
      <c r="I50" s="64">
        <v>1.49</v>
      </c>
      <c r="J50" s="64">
        <v>0.98</v>
      </c>
      <c r="K50" s="64">
        <v>335.41</v>
      </c>
      <c r="L50" s="64">
        <v>35.26</v>
      </c>
      <c r="M50" s="64">
        <v>59.89</v>
      </c>
      <c r="N50" s="64">
        <v>949.6</v>
      </c>
      <c r="O50" s="64">
        <v>0</v>
      </c>
      <c r="P50" s="64">
        <v>0.5</v>
      </c>
      <c r="Q50" s="64">
        <v>9.36</v>
      </c>
      <c r="R50" s="198"/>
      <c r="S50" s="198"/>
      <c r="T50" s="198"/>
      <c r="U50" s="198"/>
    </row>
    <row r="51" spans="1:21" s="12" customFormat="1" x14ac:dyDescent="0.25">
      <c r="A51" s="212" t="s">
        <v>865</v>
      </c>
      <c r="B51" s="64">
        <v>9.49</v>
      </c>
      <c r="C51" s="64">
        <v>12.59</v>
      </c>
      <c r="D51" s="64">
        <v>14.19</v>
      </c>
      <c r="E51" s="64">
        <v>3.59</v>
      </c>
      <c r="F51" s="64">
        <v>13.64</v>
      </c>
      <c r="G51" s="64">
        <v>59.68</v>
      </c>
      <c r="H51" s="64">
        <v>8.69</v>
      </c>
      <c r="I51" s="64">
        <v>1.48</v>
      </c>
      <c r="J51" s="64">
        <v>0.49</v>
      </c>
      <c r="K51" s="64">
        <v>326.08999999999997</v>
      </c>
      <c r="L51" s="64">
        <v>36.06</v>
      </c>
      <c r="M51" s="64">
        <v>55.31</v>
      </c>
      <c r="N51" s="64">
        <v>874.6</v>
      </c>
      <c r="O51" s="64">
        <v>0</v>
      </c>
      <c r="P51" s="64">
        <v>0.49</v>
      </c>
      <c r="Q51" s="64">
        <v>9.33</v>
      </c>
      <c r="R51" s="198"/>
      <c r="S51" s="198"/>
      <c r="T51" s="198"/>
      <c r="U51" s="198"/>
    </row>
    <row r="52" spans="1:21" s="12" customFormat="1" x14ac:dyDescent="0.25">
      <c r="A52" s="212" t="s">
        <v>866</v>
      </c>
      <c r="B52" s="64">
        <v>10.49</v>
      </c>
      <c r="C52" s="64">
        <v>17.440000000000001</v>
      </c>
      <c r="D52" s="64">
        <v>17.53</v>
      </c>
      <c r="E52" s="64">
        <v>3.55</v>
      </c>
      <c r="F52" s="64">
        <v>11.94</v>
      </c>
      <c r="G52" s="64">
        <v>60.16</v>
      </c>
      <c r="H52" s="64">
        <v>8.84</v>
      </c>
      <c r="I52" s="64">
        <v>1.49</v>
      </c>
      <c r="J52" s="64">
        <v>0.84</v>
      </c>
      <c r="K52" s="64">
        <v>330.32</v>
      </c>
      <c r="L52" s="64">
        <v>35.380000000000003</v>
      </c>
      <c r="M52" s="64">
        <v>57.09</v>
      </c>
      <c r="N52" s="64">
        <v>479.3</v>
      </c>
      <c r="O52" s="64">
        <v>0</v>
      </c>
      <c r="P52" s="64">
        <v>0.49</v>
      </c>
      <c r="Q52" s="64">
        <v>9.23</v>
      </c>
      <c r="R52" s="198"/>
      <c r="S52" s="198"/>
      <c r="T52" s="198"/>
      <c r="U52" s="198"/>
    </row>
    <row r="53" spans="1:21" s="12" customFormat="1" x14ac:dyDescent="0.25">
      <c r="A53" s="212" t="s">
        <v>867</v>
      </c>
      <c r="B53" s="64">
        <v>9.98</v>
      </c>
      <c r="C53" s="64">
        <v>15.27</v>
      </c>
      <c r="D53" s="64">
        <v>15.98</v>
      </c>
      <c r="E53" s="64">
        <v>3.62</v>
      </c>
      <c r="F53" s="64">
        <v>10.95</v>
      </c>
      <c r="G53" s="64">
        <v>60.16</v>
      </c>
      <c r="H53" s="64">
        <v>8.84</v>
      </c>
      <c r="I53" s="64">
        <v>1.36</v>
      </c>
      <c r="J53" s="64">
        <v>1</v>
      </c>
      <c r="K53" s="64">
        <v>333.03</v>
      </c>
      <c r="L53" s="64">
        <v>34.96</v>
      </c>
      <c r="M53" s="64">
        <v>58.98</v>
      </c>
      <c r="N53" s="64">
        <v>908.3</v>
      </c>
      <c r="O53" s="64">
        <v>0</v>
      </c>
      <c r="P53" s="64">
        <v>0.47</v>
      </c>
      <c r="Q53" s="64">
        <v>9.15</v>
      </c>
      <c r="R53" s="198"/>
      <c r="S53" s="198"/>
      <c r="T53" s="198"/>
      <c r="U53" s="198"/>
    </row>
    <row r="54" spans="1:21" s="12" customFormat="1" x14ac:dyDescent="0.25">
      <c r="A54" s="212" t="s">
        <v>868</v>
      </c>
      <c r="B54" s="64">
        <v>8.15</v>
      </c>
      <c r="C54" s="64">
        <v>16.86</v>
      </c>
      <c r="D54" s="64">
        <v>15.35</v>
      </c>
      <c r="E54" s="64">
        <v>3.46</v>
      </c>
      <c r="F54" s="64">
        <v>4.22</v>
      </c>
      <c r="G54" s="64">
        <v>60.16</v>
      </c>
      <c r="H54" s="64">
        <v>8.84</v>
      </c>
      <c r="I54" s="64">
        <v>1.27</v>
      </c>
      <c r="J54" s="64">
        <v>0.71</v>
      </c>
      <c r="K54" s="64">
        <v>323.33999999999997</v>
      </c>
      <c r="L54" s="64">
        <v>35.479999999999997</v>
      </c>
      <c r="M54" s="64">
        <v>57.1</v>
      </c>
      <c r="N54" s="64">
        <v>1025.9000000000001</v>
      </c>
      <c r="O54" s="64">
        <v>0</v>
      </c>
      <c r="P54" s="64">
        <v>0.46</v>
      </c>
      <c r="Q54" s="64">
        <v>9.11</v>
      </c>
      <c r="R54" s="198"/>
      <c r="S54" s="198"/>
      <c r="T54" s="198"/>
      <c r="U54" s="198"/>
    </row>
    <row r="55" spans="1:21" s="12" customFormat="1" x14ac:dyDescent="0.25">
      <c r="A55" s="212" t="s">
        <v>869</v>
      </c>
      <c r="B55" s="64">
        <v>7.67</v>
      </c>
      <c r="C55" s="64">
        <v>16.149999999999999</v>
      </c>
      <c r="D55" s="64">
        <v>14.59</v>
      </c>
      <c r="E55" s="64">
        <v>3.33</v>
      </c>
      <c r="F55" s="64">
        <v>6.65</v>
      </c>
      <c r="G55" s="64">
        <v>62.89</v>
      </c>
      <c r="H55" s="64">
        <v>8.2799999999999994</v>
      </c>
      <c r="I55" s="64">
        <v>1.24</v>
      </c>
      <c r="J55" s="64">
        <v>1.02</v>
      </c>
      <c r="K55" s="64">
        <v>329.13</v>
      </c>
      <c r="L55" s="64">
        <v>34.86</v>
      </c>
      <c r="M55" s="64">
        <v>56.3</v>
      </c>
      <c r="N55" s="64">
        <v>315.8</v>
      </c>
      <c r="O55" s="64">
        <v>0</v>
      </c>
      <c r="P55" s="64">
        <v>0.45</v>
      </c>
      <c r="Q55" s="64">
        <v>9.1</v>
      </c>
      <c r="R55" s="198"/>
      <c r="S55" s="198"/>
      <c r="T55" s="198"/>
      <c r="U55" s="198"/>
    </row>
    <row r="56" spans="1:21" s="12" customFormat="1" x14ac:dyDescent="0.25">
      <c r="A56" s="212" t="s">
        <v>870</v>
      </c>
      <c r="B56" s="64">
        <v>6.93</v>
      </c>
      <c r="C56" s="64">
        <v>16.149999999999999</v>
      </c>
      <c r="D56" s="64">
        <v>14</v>
      </c>
      <c r="E56" s="64">
        <v>3.73</v>
      </c>
      <c r="F56" s="64">
        <v>7.83</v>
      </c>
      <c r="G56" s="64">
        <v>63.12</v>
      </c>
      <c r="H56" s="64">
        <v>8.23</v>
      </c>
      <c r="I56" s="64">
        <v>1.18</v>
      </c>
      <c r="J56" s="64">
        <v>1.1599999999999999</v>
      </c>
      <c r="K56" s="64">
        <v>333.42</v>
      </c>
      <c r="L56" s="64">
        <v>32.619999999999997</v>
      </c>
      <c r="M56" s="64">
        <v>63.16</v>
      </c>
      <c r="N56" s="64">
        <v>207.8</v>
      </c>
      <c r="O56" s="64">
        <v>0</v>
      </c>
      <c r="P56" s="64">
        <v>0.45</v>
      </c>
      <c r="Q56" s="64">
        <v>9.07</v>
      </c>
      <c r="R56" s="198"/>
      <c r="S56" s="198"/>
      <c r="T56" s="198"/>
      <c r="U56" s="198"/>
    </row>
    <row r="57" spans="1:21" s="12" customFormat="1" x14ac:dyDescent="0.25">
      <c r="A57" s="212" t="s">
        <v>871</v>
      </c>
      <c r="B57" s="64">
        <v>9.15</v>
      </c>
      <c r="C57" s="64">
        <v>14.88</v>
      </c>
      <c r="D57" s="64">
        <v>15.06</v>
      </c>
      <c r="E57" s="64">
        <v>3.26</v>
      </c>
      <c r="F57" s="64">
        <v>10.51</v>
      </c>
      <c r="G57" s="64">
        <v>63.12</v>
      </c>
      <c r="H57" s="64">
        <v>8.23</v>
      </c>
      <c r="I57" s="64">
        <v>1.1100000000000001</v>
      </c>
      <c r="J57" s="64">
        <v>0.99</v>
      </c>
      <c r="K57" s="64">
        <v>336.78</v>
      </c>
      <c r="L57" s="64">
        <v>31.74</v>
      </c>
      <c r="M57" s="64">
        <v>69.38</v>
      </c>
      <c r="N57" s="64">
        <v>212.6</v>
      </c>
      <c r="O57" s="64">
        <v>0</v>
      </c>
      <c r="P57" s="64">
        <v>0.47</v>
      </c>
      <c r="Q57" s="64">
        <v>9.09</v>
      </c>
      <c r="R57" s="198"/>
      <c r="S57" s="198"/>
      <c r="T57" s="198"/>
      <c r="U57" s="198"/>
    </row>
    <row r="58" spans="1:21" s="12" customFormat="1" x14ac:dyDescent="0.25">
      <c r="A58" s="212" t="s">
        <v>872</v>
      </c>
      <c r="B58" s="64">
        <v>12.54</v>
      </c>
      <c r="C58" s="64">
        <v>15.34</v>
      </c>
      <c r="D58" s="64">
        <v>18.07</v>
      </c>
      <c r="E58" s="64">
        <v>3.43</v>
      </c>
      <c r="F58" s="64">
        <v>15.28</v>
      </c>
      <c r="G58" s="64">
        <v>63.12</v>
      </c>
      <c r="H58" s="64">
        <v>8.23</v>
      </c>
      <c r="I58" s="64">
        <v>1.1100000000000001</v>
      </c>
      <c r="J58" s="64">
        <v>0.82</v>
      </c>
      <c r="K58" s="64">
        <v>337.81</v>
      </c>
      <c r="L58" s="64">
        <v>31.4</v>
      </c>
      <c r="M58" s="64">
        <v>71.8</v>
      </c>
      <c r="N58" s="64">
        <v>270.7</v>
      </c>
      <c r="O58" s="64">
        <v>0</v>
      </c>
      <c r="P58" s="64">
        <v>0.56999999999999995</v>
      </c>
      <c r="Q58" s="64">
        <v>9.14</v>
      </c>
      <c r="R58" s="198"/>
      <c r="S58" s="198"/>
      <c r="T58" s="198"/>
      <c r="U58" s="198"/>
    </row>
    <row r="59" spans="1:21" s="12" customFormat="1" x14ac:dyDescent="0.25">
      <c r="A59" s="212" t="s">
        <v>873</v>
      </c>
      <c r="B59" s="64">
        <v>9.9</v>
      </c>
      <c r="C59" s="64">
        <v>15.95</v>
      </c>
      <c r="D59" s="64">
        <v>16.27</v>
      </c>
      <c r="E59" s="64">
        <v>3.93</v>
      </c>
      <c r="F59" s="64">
        <v>13.15</v>
      </c>
      <c r="G59" s="64">
        <v>62.84</v>
      </c>
      <c r="H59" s="64">
        <v>9.07</v>
      </c>
      <c r="I59" s="64">
        <v>1.1299999999999999</v>
      </c>
      <c r="J59" s="64">
        <v>0.79</v>
      </c>
      <c r="K59" s="64">
        <v>331.73</v>
      </c>
      <c r="L59" s="64">
        <v>32.74</v>
      </c>
      <c r="M59" s="64">
        <v>67.75</v>
      </c>
      <c r="N59" s="64">
        <v>954.9</v>
      </c>
      <c r="O59" s="64">
        <v>0</v>
      </c>
      <c r="P59" s="64">
        <v>0.49</v>
      </c>
      <c r="Q59" s="64">
        <v>9.1999999999999993</v>
      </c>
      <c r="R59" s="198"/>
      <c r="S59" s="198"/>
      <c r="T59" s="198"/>
      <c r="U59" s="198"/>
    </row>
    <row r="60" spans="1:21" s="12" customFormat="1" x14ac:dyDescent="0.25">
      <c r="A60" s="212" t="s">
        <v>874</v>
      </c>
      <c r="B60" s="64">
        <v>9.11</v>
      </c>
      <c r="C60" s="64">
        <v>14.95</v>
      </c>
      <c r="D60" s="64">
        <v>15.11</v>
      </c>
      <c r="E60" s="64">
        <v>3.57</v>
      </c>
      <c r="F60" s="64">
        <v>12.39</v>
      </c>
      <c r="G60" s="64">
        <v>62.82</v>
      </c>
      <c r="H60" s="64">
        <v>9.14</v>
      </c>
      <c r="I60" s="64">
        <v>1.17</v>
      </c>
      <c r="J60" s="64">
        <v>1.1200000000000001</v>
      </c>
      <c r="K60" s="64">
        <v>336.81</v>
      </c>
      <c r="L60" s="64">
        <v>34.46</v>
      </c>
      <c r="M60" s="64">
        <v>59.52</v>
      </c>
      <c r="N60" s="64">
        <v>852.5</v>
      </c>
      <c r="O60" s="64">
        <v>0</v>
      </c>
      <c r="P60" s="64">
        <v>0.46</v>
      </c>
      <c r="Q60" s="64">
        <v>9.2100000000000009</v>
      </c>
      <c r="R60" s="198"/>
      <c r="S60" s="198"/>
      <c r="T60" s="198"/>
      <c r="U60" s="198"/>
    </row>
    <row r="61" spans="1:21" s="12" customFormat="1" x14ac:dyDescent="0.25">
      <c r="A61" s="212" t="s">
        <v>875</v>
      </c>
      <c r="B61" s="64">
        <v>12.6</v>
      </c>
      <c r="C61" s="64">
        <v>17.32</v>
      </c>
      <c r="D61" s="64">
        <v>19.149999999999999</v>
      </c>
      <c r="E61" s="64">
        <v>3.63</v>
      </c>
      <c r="F61" s="64">
        <v>12.95</v>
      </c>
      <c r="G61" s="64">
        <v>62.82</v>
      </c>
      <c r="H61" s="64">
        <v>9.14</v>
      </c>
      <c r="I61" s="64">
        <v>1.18</v>
      </c>
      <c r="J61" s="64">
        <v>0.8</v>
      </c>
      <c r="K61" s="64">
        <v>336.05</v>
      </c>
      <c r="L61" s="64">
        <v>33.979999999999997</v>
      </c>
      <c r="M61" s="64">
        <v>58.03</v>
      </c>
      <c r="N61" s="64">
        <v>304.10000000000002</v>
      </c>
      <c r="O61" s="64">
        <v>0</v>
      </c>
      <c r="P61" s="64">
        <v>0.49</v>
      </c>
      <c r="Q61" s="64">
        <v>9.19</v>
      </c>
      <c r="R61" s="198"/>
      <c r="S61" s="198"/>
      <c r="T61" s="198"/>
      <c r="U61" s="198"/>
    </row>
    <row r="62" spans="1:21" s="12" customFormat="1" x14ac:dyDescent="0.25">
      <c r="A62" s="212" t="s">
        <v>876</v>
      </c>
      <c r="B62" s="64">
        <v>12.69</v>
      </c>
      <c r="C62" s="64">
        <v>17.32</v>
      </c>
      <c r="D62" s="64">
        <v>19.22</v>
      </c>
      <c r="E62" s="64">
        <v>3.86</v>
      </c>
      <c r="F62" s="64">
        <v>13.04</v>
      </c>
      <c r="G62" s="64">
        <v>62.82</v>
      </c>
      <c r="H62" s="64">
        <v>9.14</v>
      </c>
      <c r="I62" s="64">
        <v>1.19</v>
      </c>
      <c r="J62" s="64">
        <v>0.78</v>
      </c>
      <c r="K62" s="64">
        <v>328.77</v>
      </c>
      <c r="L62" s="64">
        <v>32.590000000000003</v>
      </c>
      <c r="M62" s="64">
        <v>64.16</v>
      </c>
      <c r="N62" s="64">
        <v>248.8</v>
      </c>
      <c r="O62" s="64">
        <v>0</v>
      </c>
      <c r="P62" s="64">
        <v>0.54</v>
      </c>
      <c r="Q62" s="64">
        <v>9.18</v>
      </c>
      <c r="R62" s="198"/>
      <c r="S62" s="198"/>
      <c r="T62" s="198"/>
      <c r="U62" s="198"/>
    </row>
    <row r="63" spans="1:21" s="12" customFormat="1" x14ac:dyDescent="0.25">
      <c r="A63" s="212" t="s">
        <v>877</v>
      </c>
      <c r="B63" s="64">
        <v>15.18</v>
      </c>
      <c r="C63" s="64">
        <v>15.83</v>
      </c>
      <c r="D63" s="64">
        <v>20.440000000000001</v>
      </c>
      <c r="E63" s="64">
        <v>3.53</v>
      </c>
      <c r="F63" s="64">
        <v>12.24</v>
      </c>
      <c r="G63" s="64">
        <v>63.39</v>
      </c>
      <c r="H63" s="64">
        <v>9.32</v>
      </c>
      <c r="I63" s="64">
        <v>1.2</v>
      </c>
      <c r="J63" s="64">
        <v>0.56999999999999995</v>
      </c>
      <c r="K63" s="64">
        <v>328.83</v>
      </c>
      <c r="L63" s="64">
        <v>32.44</v>
      </c>
      <c r="M63" s="64">
        <v>64.930000000000007</v>
      </c>
      <c r="N63" s="64">
        <v>214.3</v>
      </c>
      <c r="O63" s="64">
        <v>0</v>
      </c>
      <c r="P63" s="64">
        <v>0.56000000000000005</v>
      </c>
      <c r="Q63" s="64">
        <v>9.1999999999999993</v>
      </c>
      <c r="R63" s="198"/>
      <c r="S63" s="198"/>
      <c r="T63" s="198"/>
      <c r="U63" s="198"/>
    </row>
    <row r="64" spans="1:21" s="12" customFormat="1" x14ac:dyDescent="0.25">
      <c r="A64" s="212" t="s">
        <v>878</v>
      </c>
      <c r="B64" s="64">
        <v>10.48</v>
      </c>
      <c r="C64" s="64">
        <v>15.85</v>
      </c>
      <c r="D64" s="64">
        <v>16.690000000000001</v>
      </c>
      <c r="E64" s="64">
        <v>3.66</v>
      </c>
      <c r="F64" s="64">
        <v>15.13</v>
      </c>
      <c r="G64" s="64">
        <v>63.44</v>
      </c>
      <c r="H64" s="64">
        <v>9.34</v>
      </c>
      <c r="I64" s="64">
        <v>1.19</v>
      </c>
      <c r="J64" s="64">
        <v>0.63</v>
      </c>
      <c r="K64" s="64">
        <v>337</v>
      </c>
      <c r="L64" s="64">
        <v>31.83</v>
      </c>
      <c r="M64" s="64">
        <v>65.72</v>
      </c>
      <c r="N64" s="64">
        <v>199.3</v>
      </c>
      <c r="O64" s="64">
        <v>0</v>
      </c>
      <c r="P64" s="64">
        <v>0.56000000000000005</v>
      </c>
      <c r="Q64" s="64">
        <v>9.2200000000000006</v>
      </c>
      <c r="R64" s="198"/>
      <c r="S64" s="198"/>
      <c r="T64" s="198"/>
      <c r="U64" s="198"/>
    </row>
    <row r="65" spans="1:21" s="12" customFormat="1" x14ac:dyDescent="0.25">
      <c r="A65" s="212" t="s">
        <v>879</v>
      </c>
      <c r="B65" s="64">
        <v>13.18</v>
      </c>
      <c r="C65" s="64">
        <v>16.739999999999998</v>
      </c>
      <c r="D65" s="64">
        <v>19.32</v>
      </c>
      <c r="E65" s="64">
        <v>3.63</v>
      </c>
      <c r="F65" s="64">
        <v>14.33</v>
      </c>
      <c r="G65" s="64">
        <v>63.44</v>
      </c>
      <c r="H65" s="64">
        <v>9.34</v>
      </c>
      <c r="I65" s="64">
        <v>1.19</v>
      </c>
      <c r="J65" s="64">
        <v>0.38</v>
      </c>
      <c r="K65" s="64">
        <v>332.33</v>
      </c>
      <c r="L65" s="64">
        <v>31.43</v>
      </c>
      <c r="M65" s="64">
        <v>66.69</v>
      </c>
      <c r="N65" s="64">
        <v>185.1</v>
      </c>
      <c r="O65" s="64">
        <v>0</v>
      </c>
      <c r="P65" s="64">
        <v>0.52</v>
      </c>
      <c r="Q65" s="64">
        <v>9.24</v>
      </c>
      <c r="R65" s="198"/>
      <c r="S65" s="198"/>
      <c r="T65" s="198"/>
      <c r="U65" s="198"/>
    </row>
    <row r="66" spans="1:21" s="12" customFormat="1" x14ac:dyDescent="0.25">
      <c r="A66" s="212" t="s">
        <v>880</v>
      </c>
      <c r="B66" s="64">
        <v>13.48</v>
      </c>
      <c r="C66" s="64">
        <v>17.02</v>
      </c>
      <c r="D66" s="64">
        <v>19.7</v>
      </c>
      <c r="E66" s="64">
        <v>3.89</v>
      </c>
      <c r="F66" s="64">
        <v>10.17</v>
      </c>
      <c r="G66" s="64">
        <v>63.44</v>
      </c>
      <c r="H66" s="64">
        <v>9.34</v>
      </c>
      <c r="I66" s="64">
        <v>1.21</v>
      </c>
      <c r="J66" s="64">
        <v>0.72</v>
      </c>
      <c r="K66" s="64">
        <v>336.97</v>
      </c>
      <c r="L66" s="64">
        <v>31.1</v>
      </c>
      <c r="M66" s="64">
        <v>68.81</v>
      </c>
      <c r="N66" s="64">
        <v>156.69999999999999</v>
      </c>
      <c r="O66" s="64">
        <v>0</v>
      </c>
      <c r="P66" s="64">
        <v>0.57999999999999996</v>
      </c>
      <c r="Q66" s="64">
        <v>9.2799999999999994</v>
      </c>
      <c r="R66" s="198"/>
      <c r="S66" s="198"/>
      <c r="T66" s="198"/>
      <c r="U66" s="198"/>
    </row>
    <row r="67" spans="1:21" s="12" customFormat="1" x14ac:dyDescent="0.25">
      <c r="A67" s="212" t="s">
        <v>881</v>
      </c>
      <c r="B67" s="64">
        <v>7.32</v>
      </c>
      <c r="C67" s="64">
        <v>16.14</v>
      </c>
      <c r="D67" s="64">
        <v>14.31</v>
      </c>
      <c r="E67" s="64">
        <v>3.44</v>
      </c>
      <c r="F67" s="64">
        <v>10.48</v>
      </c>
      <c r="G67" s="64">
        <v>60.63</v>
      </c>
      <c r="H67" s="64">
        <v>7.7</v>
      </c>
      <c r="I67" s="64">
        <v>1.21</v>
      </c>
      <c r="J67" s="64">
        <v>0.27</v>
      </c>
      <c r="K67" s="64">
        <v>154.4</v>
      </c>
      <c r="L67" s="64">
        <v>29.92</v>
      </c>
      <c r="M67" s="64">
        <v>77.11</v>
      </c>
      <c r="N67" s="64">
        <v>131.4</v>
      </c>
      <c r="O67" s="64">
        <v>0</v>
      </c>
      <c r="P67" s="64">
        <v>0.42</v>
      </c>
      <c r="Q67" s="64">
        <v>9.2899999999999991</v>
      </c>
      <c r="R67" s="198"/>
      <c r="S67" s="198"/>
      <c r="T67" s="198"/>
      <c r="U67" s="198"/>
    </row>
    <row r="68" spans="1:21" s="12" customFormat="1" x14ac:dyDescent="0.25">
      <c r="A68" s="212" t="s">
        <v>882</v>
      </c>
      <c r="B68" s="64">
        <v>7.98</v>
      </c>
      <c r="C68" s="64">
        <v>14.72</v>
      </c>
      <c r="D68" s="64">
        <v>14.09</v>
      </c>
      <c r="E68" s="64">
        <v>3.77</v>
      </c>
      <c r="F68" s="64">
        <v>7.44</v>
      </c>
      <c r="G68" s="64">
        <v>60.4</v>
      </c>
      <c r="H68" s="64">
        <v>7.56</v>
      </c>
      <c r="I68" s="64">
        <v>1.21</v>
      </c>
      <c r="J68" s="64">
        <v>0.06</v>
      </c>
      <c r="K68" s="64">
        <v>274.86</v>
      </c>
      <c r="L68" s="64">
        <v>28.27</v>
      </c>
      <c r="M68" s="64">
        <v>93.8</v>
      </c>
      <c r="N68" s="64">
        <v>145.4</v>
      </c>
      <c r="O68" s="64">
        <v>0</v>
      </c>
      <c r="P68" s="64">
        <v>0.5</v>
      </c>
      <c r="Q68" s="64">
        <v>9.27</v>
      </c>
      <c r="R68" s="198"/>
      <c r="S68" s="198"/>
      <c r="T68" s="198"/>
      <c r="U68" s="198"/>
    </row>
    <row r="69" spans="1:21" s="12" customFormat="1" x14ac:dyDescent="0.25">
      <c r="A69" s="212" t="s">
        <v>883</v>
      </c>
      <c r="B69" s="64">
        <v>8.08</v>
      </c>
      <c r="C69" s="64">
        <v>12.19</v>
      </c>
      <c r="D69" s="64">
        <v>12.85</v>
      </c>
      <c r="E69" s="64">
        <v>3.61</v>
      </c>
      <c r="F69" s="64">
        <v>7.52</v>
      </c>
      <c r="G69" s="64">
        <v>60.4</v>
      </c>
      <c r="H69" s="64">
        <v>7.56</v>
      </c>
      <c r="I69" s="64">
        <v>1.19</v>
      </c>
      <c r="J69" s="64">
        <v>0.03</v>
      </c>
      <c r="K69" s="64">
        <v>175.9</v>
      </c>
      <c r="L69" s="64">
        <v>27.61</v>
      </c>
      <c r="M69" s="64">
        <v>91.73</v>
      </c>
      <c r="N69" s="64">
        <v>163.9</v>
      </c>
      <c r="O69" s="64">
        <v>0</v>
      </c>
      <c r="P69" s="64">
        <v>0.45</v>
      </c>
      <c r="Q69" s="64">
        <v>9.24</v>
      </c>
      <c r="R69" s="198"/>
      <c r="S69" s="198"/>
      <c r="T69" s="198"/>
      <c r="U69" s="198"/>
    </row>
    <row r="70" spans="1:21" s="12" customFormat="1" x14ac:dyDescent="0.25">
      <c r="A70" s="212" t="s">
        <v>884</v>
      </c>
      <c r="B70" s="64">
        <v>7.95</v>
      </c>
      <c r="C70" s="64">
        <v>13.33</v>
      </c>
      <c r="D70" s="64">
        <v>13.34</v>
      </c>
      <c r="E70" s="64">
        <v>3.44</v>
      </c>
      <c r="F70" s="64">
        <v>8.08</v>
      </c>
      <c r="G70" s="64">
        <v>60.4</v>
      </c>
      <c r="H70" s="64">
        <v>7.56</v>
      </c>
      <c r="I70" s="64">
        <v>1.1599999999999999</v>
      </c>
      <c r="J70" s="64">
        <v>0.16</v>
      </c>
      <c r="K70" s="64">
        <v>130.12</v>
      </c>
      <c r="L70" s="64">
        <v>27.07</v>
      </c>
      <c r="M70" s="64">
        <v>93.39</v>
      </c>
      <c r="N70" s="64">
        <v>151.4</v>
      </c>
      <c r="O70" s="64">
        <v>0</v>
      </c>
      <c r="P70" s="64">
        <v>0.41</v>
      </c>
      <c r="Q70" s="64">
        <v>9.1999999999999993</v>
      </c>
      <c r="R70" s="198"/>
      <c r="S70" s="198"/>
      <c r="T70" s="198"/>
      <c r="U70" s="198"/>
    </row>
    <row r="71" spans="1:21" s="12" customFormat="1" x14ac:dyDescent="0.25">
      <c r="A71" s="212" t="s">
        <v>885</v>
      </c>
      <c r="B71" s="64">
        <v>7.57</v>
      </c>
      <c r="C71" s="64">
        <v>12.59</v>
      </c>
      <c r="D71" s="64">
        <v>12.64</v>
      </c>
      <c r="E71" s="64">
        <v>3.64</v>
      </c>
      <c r="F71" s="64">
        <v>5.25</v>
      </c>
      <c r="G71" s="64">
        <v>63.97</v>
      </c>
      <c r="H71" s="64">
        <v>7.33</v>
      </c>
      <c r="I71" s="64">
        <v>1.1299999999999999</v>
      </c>
      <c r="J71" s="64">
        <v>0.03</v>
      </c>
      <c r="K71" s="64">
        <v>209.55</v>
      </c>
      <c r="L71" s="64">
        <v>26.61</v>
      </c>
      <c r="M71" s="64">
        <v>95.37</v>
      </c>
      <c r="N71" s="64">
        <v>143.5</v>
      </c>
      <c r="O71" s="64">
        <v>0</v>
      </c>
      <c r="P71" s="64">
        <v>0.41</v>
      </c>
      <c r="Q71" s="64">
        <v>9.17</v>
      </c>
      <c r="R71" s="198"/>
      <c r="S71" s="198"/>
      <c r="T71" s="198"/>
      <c r="U71" s="198"/>
    </row>
    <row r="72" spans="1:21" s="12" customFormat="1" x14ac:dyDescent="0.25">
      <c r="A72" s="212" t="s">
        <v>886</v>
      </c>
      <c r="B72" s="64">
        <v>7.24</v>
      </c>
      <c r="C72" s="64">
        <v>11.8</v>
      </c>
      <c r="D72" s="64">
        <v>11.97</v>
      </c>
      <c r="E72" s="64">
        <v>5.69</v>
      </c>
      <c r="F72" s="64">
        <v>9.5399999999999991</v>
      </c>
      <c r="G72" s="64">
        <v>64.27</v>
      </c>
      <c r="H72" s="64">
        <v>7.31</v>
      </c>
      <c r="I72" s="64">
        <v>1.1000000000000001</v>
      </c>
      <c r="J72" s="64">
        <v>0.28999999999999998</v>
      </c>
      <c r="K72" s="64">
        <v>124.14</v>
      </c>
      <c r="L72" s="64">
        <v>26.28</v>
      </c>
      <c r="M72" s="64">
        <v>96.71</v>
      </c>
      <c r="N72" s="64">
        <v>135.19999999999999</v>
      </c>
      <c r="O72" s="64">
        <v>0</v>
      </c>
      <c r="P72" s="64">
        <v>0.35</v>
      </c>
      <c r="Q72" s="64">
        <v>9.17</v>
      </c>
      <c r="R72" s="198"/>
      <c r="S72" s="198"/>
      <c r="T72" s="198"/>
      <c r="U72" s="198"/>
    </row>
    <row r="73" spans="1:21" s="12" customFormat="1" x14ac:dyDescent="0.25">
      <c r="A73" s="212" t="s">
        <v>887</v>
      </c>
      <c r="B73" s="64">
        <v>7.31</v>
      </c>
      <c r="C73" s="64">
        <v>11.35</v>
      </c>
      <c r="D73" s="64">
        <v>11.8</v>
      </c>
      <c r="E73" s="64">
        <v>5.16</v>
      </c>
      <c r="F73" s="64">
        <v>7.75</v>
      </c>
      <c r="G73" s="64">
        <v>64.27</v>
      </c>
      <c r="H73" s="64">
        <v>7.31</v>
      </c>
      <c r="I73" s="64">
        <v>1.08</v>
      </c>
      <c r="J73" s="64">
        <v>0.35</v>
      </c>
      <c r="K73" s="64">
        <v>130</v>
      </c>
      <c r="L73" s="64">
        <v>25.94</v>
      </c>
      <c r="M73" s="64">
        <v>97.73</v>
      </c>
      <c r="N73" s="64">
        <v>116.2</v>
      </c>
      <c r="O73" s="64">
        <v>0</v>
      </c>
      <c r="P73" s="64">
        <v>0.4</v>
      </c>
      <c r="Q73" s="64">
        <v>9.15</v>
      </c>
      <c r="R73" s="198"/>
      <c r="S73" s="198"/>
      <c r="T73" s="198"/>
      <c r="U73" s="198"/>
    </row>
    <row r="74" spans="1:21" s="12" customFormat="1" x14ac:dyDescent="0.25">
      <c r="A74" s="212" t="s">
        <v>888</v>
      </c>
      <c r="B74" s="64">
        <v>7.41</v>
      </c>
      <c r="C74" s="64">
        <v>10.48</v>
      </c>
      <c r="D74" s="64">
        <v>11.42</v>
      </c>
      <c r="E74" s="64">
        <v>5.0999999999999996</v>
      </c>
      <c r="F74" s="64">
        <v>4.3</v>
      </c>
      <c r="G74" s="64">
        <v>64.27</v>
      </c>
      <c r="H74" s="64">
        <v>7.31</v>
      </c>
      <c r="I74" s="64">
        <v>1.06</v>
      </c>
      <c r="J74" s="64">
        <v>0.19</v>
      </c>
      <c r="K74" s="64">
        <v>133.91</v>
      </c>
      <c r="L74" s="64">
        <v>25.84</v>
      </c>
      <c r="M74" s="64">
        <v>97.75</v>
      </c>
      <c r="N74" s="64">
        <v>102</v>
      </c>
      <c r="O74" s="64">
        <v>0</v>
      </c>
      <c r="P74" s="64">
        <v>0.4</v>
      </c>
      <c r="Q74" s="64">
        <v>9.15</v>
      </c>
      <c r="R74" s="198"/>
      <c r="S74" s="198"/>
      <c r="T74" s="198"/>
      <c r="U74" s="198"/>
    </row>
    <row r="75" spans="1:21" s="12" customFormat="1" x14ac:dyDescent="0.25">
      <c r="A75" s="212" t="s">
        <v>889</v>
      </c>
      <c r="B75" s="64">
        <v>7.17</v>
      </c>
      <c r="C75" s="64">
        <v>10.6</v>
      </c>
      <c r="D75" s="64">
        <v>11.28</v>
      </c>
      <c r="E75" s="64">
        <v>5.38</v>
      </c>
      <c r="F75" s="64">
        <v>5.4</v>
      </c>
      <c r="G75" s="64">
        <v>49.65</v>
      </c>
      <c r="H75" s="64">
        <v>7.26</v>
      </c>
      <c r="I75" s="64">
        <v>1.04</v>
      </c>
      <c r="J75" s="64">
        <v>0.1</v>
      </c>
      <c r="K75" s="64">
        <v>175.89</v>
      </c>
      <c r="L75" s="64">
        <v>25.72</v>
      </c>
      <c r="M75" s="64">
        <v>97.75</v>
      </c>
      <c r="N75" s="64">
        <v>89</v>
      </c>
      <c r="O75" s="64">
        <v>0</v>
      </c>
      <c r="P75" s="64">
        <v>0.35</v>
      </c>
      <c r="Q75" s="64">
        <v>9.15</v>
      </c>
      <c r="R75" s="198"/>
      <c r="S75" s="198"/>
      <c r="T75" s="198"/>
      <c r="U75" s="198"/>
    </row>
    <row r="76" spans="1:21" s="12" customFormat="1" x14ac:dyDescent="0.25">
      <c r="A76" s="212" t="s">
        <v>890</v>
      </c>
      <c r="B76" s="64">
        <v>7.47</v>
      </c>
      <c r="C76" s="64">
        <v>10.5</v>
      </c>
      <c r="D76" s="64">
        <v>11.47</v>
      </c>
      <c r="E76" s="64">
        <v>5</v>
      </c>
      <c r="F76" s="64">
        <v>4.0199999999999996</v>
      </c>
      <c r="G76" s="64">
        <v>48.41</v>
      </c>
      <c r="H76" s="64">
        <v>7.26</v>
      </c>
      <c r="I76" s="64">
        <v>1.04</v>
      </c>
      <c r="J76" s="64">
        <v>0.12</v>
      </c>
      <c r="K76" s="64">
        <v>294.22000000000003</v>
      </c>
      <c r="L76" s="64">
        <v>25.69</v>
      </c>
      <c r="M76" s="64">
        <v>97.66</v>
      </c>
      <c r="N76" s="64">
        <v>86</v>
      </c>
      <c r="O76" s="64">
        <v>0</v>
      </c>
      <c r="P76" s="64">
        <v>0.37</v>
      </c>
      <c r="Q76" s="64">
        <v>9.15</v>
      </c>
      <c r="R76" s="198"/>
      <c r="S76" s="198"/>
      <c r="T76" s="198"/>
      <c r="U76" s="198"/>
    </row>
    <row r="77" spans="1:21" s="12" customFormat="1" x14ac:dyDescent="0.25">
      <c r="A77" s="212" t="s">
        <v>891</v>
      </c>
      <c r="B77" s="64">
        <v>7.13</v>
      </c>
      <c r="C77" s="64">
        <v>9.82</v>
      </c>
      <c r="D77" s="64">
        <v>10.85</v>
      </c>
      <c r="E77" s="64">
        <v>4.8499999999999996</v>
      </c>
      <c r="F77" s="64">
        <v>3.54</v>
      </c>
      <c r="G77" s="64">
        <v>48.41</v>
      </c>
      <c r="H77" s="64">
        <v>7.26</v>
      </c>
      <c r="I77" s="64">
        <v>1.02</v>
      </c>
      <c r="J77" s="64">
        <v>0.16</v>
      </c>
      <c r="K77" s="64">
        <v>322.51</v>
      </c>
      <c r="L77" s="64">
        <v>25.47</v>
      </c>
      <c r="M77" s="64">
        <v>97.75</v>
      </c>
      <c r="N77" s="64">
        <v>74.7</v>
      </c>
      <c r="O77" s="64">
        <v>0</v>
      </c>
      <c r="P77" s="64">
        <v>0.38</v>
      </c>
      <c r="Q77" s="64">
        <v>9.14</v>
      </c>
      <c r="R77" s="198"/>
      <c r="S77" s="198"/>
      <c r="T77" s="198"/>
      <c r="U77" s="198"/>
    </row>
    <row r="78" spans="1:21" s="12" customFormat="1" x14ac:dyDescent="0.25">
      <c r="A78" s="212" t="s">
        <v>892</v>
      </c>
      <c r="B78" s="64">
        <v>6.67</v>
      </c>
      <c r="C78" s="64">
        <v>10.119999999999999</v>
      </c>
      <c r="D78" s="64">
        <v>10.64</v>
      </c>
      <c r="E78" s="64">
        <v>5.21</v>
      </c>
      <c r="F78" s="64">
        <v>4.04</v>
      </c>
      <c r="G78" s="64">
        <v>48.41</v>
      </c>
      <c r="H78" s="64">
        <v>7.26</v>
      </c>
      <c r="I78" s="64">
        <v>1.03</v>
      </c>
      <c r="J78" s="64">
        <v>0.08</v>
      </c>
      <c r="K78" s="64">
        <v>309.45</v>
      </c>
      <c r="L78" s="64">
        <v>25.46</v>
      </c>
      <c r="M78" s="64">
        <v>97.74</v>
      </c>
      <c r="N78" s="64">
        <v>77.3</v>
      </c>
      <c r="O78" s="64">
        <v>0</v>
      </c>
      <c r="P78" s="64">
        <v>0.38</v>
      </c>
      <c r="Q78" s="64">
        <v>9.1199999999999992</v>
      </c>
      <c r="R78" s="198"/>
      <c r="S78" s="198"/>
      <c r="T78" s="198"/>
      <c r="U78" s="198"/>
    </row>
    <row r="79" spans="1:21" s="12" customFormat="1" x14ac:dyDescent="0.25">
      <c r="A79" s="212" t="s">
        <v>893</v>
      </c>
      <c r="B79" s="64">
        <v>6.76</v>
      </c>
      <c r="C79" s="64">
        <v>9.85</v>
      </c>
      <c r="D79" s="64">
        <v>10.57</v>
      </c>
      <c r="E79" s="64">
        <v>5.24</v>
      </c>
      <c r="F79" s="64">
        <v>4.5599999999999996</v>
      </c>
      <c r="G79" s="64">
        <v>39.729999999999997</v>
      </c>
      <c r="H79" s="64">
        <v>5.4</v>
      </c>
      <c r="I79" s="64">
        <v>1.06</v>
      </c>
      <c r="J79" s="64">
        <v>7.0000000000000007E-2</v>
      </c>
      <c r="K79" s="64">
        <v>329.69</v>
      </c>
      <c r="L79" s="64">
        <v>25.33</v>
      </c>
      <c r="M79" s="64">
        <v>97.74</v>
      </c>
      <c r="N79" s="64">
        <v>72.599999999999994</v>
      </c>
      <c r="O79" s="64">
        <v>0</v>
      </c>
      <c r="P79" s="64">
        <v>0.37</v>
      </c>
      <c r="Q79" s="64">
        <v>9.11</v>
      </c>
      <c r="R79" s="198"/>
      <c r="S79" s="198"/>
      <c r="T79" s="198"/>
      <c r="U79" s="198"/>
    </row>
    <row r="80" spans="1:21" s="12" customFormat="1" x14ac:dyDescent="0.25">
      <c r="A80" s="212" t="s">
        <v>894</v>
      </c>
      <c r="B80" s="64">
        <v>6.44</v>
      </c>
      <c r="C80" s="64">
        <v>9.61</v>
      </c>
      <c r="D80" s="64">
        <v>10.19</v>
      </c>
      <c r="E80" s="64">
        <v>5.14</v>
      </c>
      <c r="F80" s="64">
        <v>4.45</v>
      </c>
      <c r="G80" s="64">
        <v>38.99</v>
      </c>
      <c r="H80" s="64">
        <v>5.25</v>
      </c>
      <c r="I80" s="64">
        <v>1.0900000000000001</v>
      </c>
      <c r="J80" s="64">
        <v>0.08</v>
      </c>
      <c r="K80" s="64">
        <v>341.28</v>
      </c>
      <c r="L80" s="64">
        <v>25.22</v>
      </c>
      <c r="M80" s="64">
        <v>97.69</v>
      </c>
      <c r="N80" s="64">
        <v>67.599999999999994</v>
      </c>
      <c r="O80" s="64">
        <v>0</v>
      </c>
      <c r="P80" s="64">
        <v>0.36</v>
      </c>
      <c r="Q80" s="64">
        <v>9.11</v>
      </c>
      <c r="R80" s="198"/>
      <c r="S80" s="198"/>
      <c r="T80" s="198"/>
      <c r="U80" s="198"/>
    </row>
    <row r="81" spans="1:26" s="12" customFormat="1" x14ac:dyDescent="0.25">
      <c r="A81" s="212" t="s">
        <v>895</v>
      </c>
      <c r="B81" s="64">
        <v>6.1</v>
      </c>
      <c r="C81" s="64">
        <v>9.7799999999999994</v>
      </c>
      <c r="D81" s="64">
        <v>10</v>
      </c>
      <c r="E81" s="64">
        <v>5.0599999999999996</v>
      </c>
      <c r="F81" s="64">
        <v>4.04</v>
      </c>
      <c r="G81" s="64">
        <v>38.99</v>
      </c>
      <c r="H81" s="64">
        <v>5.25</v>
      </c>
      <c r="I81" s="64">
        <v>1.1200000000000001</v>
      </c>
      <c r="J81" s="64">
        <v>7.0000000000000007E-2</v>
      </c>
      <c r="K81" s="64">
        <v>313.67</v>
      </c>
      <c r="L81" s="64">
        <v>24.99</v>
      </c>
      <c r="M81" s="64">
        <v>97.65</v>
      </c>
      <c r="N81" s="64">
        <v>58.7</v>
      </c>
      <c r="O81" s="64">
        <v>0</v>
      </c>
      <c r="P81" s="64">
        <v>0.35</v>
      </c>
      <c r="Q81" s="64">
        <v>9.1</v>
      </c>
      <c r="R81" s="198"/>
      <c r="S81" s="198"/>
      <c r="T81" s="198"/>
      <c r="U81" s="198"/>
    </row>
    <row r="82" spans="1:26" s="12" customFormat="1" x14ac:dyDescent="0.25">
      <c r="A82" s="212" t="s">
        <v>896</v>
      </c>
      <c r="B82" s="64">
        <v>6.94</v>
      </c>
      <c r="C82" s="64">
        <v>11.05</v>
      </c>
      <c r="D82" s="64">
        <v>11.34</v>
      </c>
      <c r="E82" s="64">
        <v>5.14</v>
      </c>
      <c r="F82" s="64">
        <v>5.73</v>
      </c>
      <c r="G82" s="64">
        <v>38.99</v>
      </c>
      <c r="H82" s="64">
        <v>5.25</v>
      </c>
      <c r="I82" s="64">
        <v>1.23</v>
      </c>
      <c r="J82" s="64">
        <v>0.06</v>
      </c>
      <c r="K82" s="64">
        <v>325.45999999999998</v>
      </c>
      <c r="L82" s="64">
        <v>24.91</v>
      </c>
      <c r="M82" s="64">
        <v>97.65</v>
      </c>
      <c r="N82" s="64">
        <v>53.3</v>
      </c>
      <c r="O82" s="64">
        <v>0</v>
      </c>
      <c r="P82" s="64">
        <v>0.34</v>
      </c>
      <c r="Q82" s="64">
        <v>9.08</v>
      </c>
      <c r="R82" s="198"/>
      <c r="S82" s="198"/>
      <c r="T82" s="198"/>
      <c r="U82" s="198"/>
    </row>
    <row r="83" spans="1:26" s="12" customFormat="1" x14ac:dyDescent="0.25">
      <c r="A83" s="212" t="s">
        <v>897</v>
      </c>
      <c r="B83" s="64">
        <v>5.85</v>
      </c>
      <c r="C83" s="64">
        <v>10.119999999999999</v>
      </c>
      <c r="D83" s="64">
        <v>9.98</v>
      </c>
      <c r="E83" s="64">
        <v>5.13</v>
      </c>
      <c r="F83" s="64">
        <v>3.81</v>
      </c>
      <c r="G83" s="64">
        <v>33.450000000000003</v>
      </c>
      <c r="H83" s="64">
        <v>5.94</v>
      </c>
      <c r="I83" s="64">
        <v>1.32</v>
      </c>
      <c r="J83" s="64">
        <v>0.04</v>
      </c>
      <c r="K83" s="64">
        <v>306.35000000000002</v>
      </c>
      <c r="L83" s="64">
        <v>24.88</v>
      </c>
      <c r="M83" s="64">
        <v>97.67</v>
      </c>
      <c r="N83" s="64">
        <v>51.7</v>
      </c>
      <c r="O83" s="64">
        <v>0</v>
      </c>
      <c r="P83" s="64">
        <v>0.35</v>
      </c>
      <c r="Q83" s="64">
        <v>9.07</v>
      </c>
      <c r="R83" s="198"/>
      <c r="S83" s="198"/>
      <c r="T83" s="198"/>
      <c r="U83" s="198"/>
    </row>
    <row r="84" spans="1:26" s="12" customFormat="1" x14ac:dyDescent="0.25">
      <c r="A84" s="212" t="s">
        <v>898</v>
      </c>
      <c r="B84" s="64">
        <v>6.83</v>
      </c>
      <c r="C84" s="64">
        <v>9.89</v>
      </c>
      <c r="D84" s="64">
        <v>10.65</v>
      </c>
      <c r="E84" s="64">
        <v>5.24</v>
      </c>
      <c r="F84" s="64">
        <v>2.52</v>
      </c>
      <c r="G84" s="64">
        <v>32.979999999999997</v>
      </c>
      <c r="H84" s="64">
        <v>5.99</v>
      </c>
      <c r="I84" s="64">
        <v>1.37</v>
      </c>
      <c r="J84" s="64">
        <v>0.54</v>
      </c>
      <c r="K84" s="64">
        <v>318.26</v>
      </c>
      <c r="L84" s="64">
        <v>25.06</v>
      </c>
      <c r="M84" s="64">
        <v>97.69</v>
      </c>
      <c r="N84" s="64">
        <v>51.3</v>
      </c>
      <c r="O84" s="64">
        <v>0</v>
      </c>
      <c r="P84" s="64">
        <v>0.37</v>
      </c>
      <c r="Q84" s="64">
        <v>9.07</v>
      </c>
      <c r="R84" s="198"/>
      <c r="S84" s="198"/>
      <c r="T84" s="198"/>
      <c r="U84" s="198"/>
    </row>
    <row r="85" spans="1:26" s="12" customFormat="1" x14ac:dyDescent="0.25">
      <c r="A85" s="212" t="s">
        <v>899</v>
      </c>
      <c r="B85" s="64">
        <v>6.58</v>
      </c>
      <c r="C85" s="64">
        <v>9.4499999999999993</v>
      </c>
      <c r="D85" s="64">
        <v>10.220000000000001</v>
      </c>
      <c r="E85" s="64">
        <v>4.72</v>
      </c>
      <c r="F85" s="64">
        <v>2.31</v>
      </c>
      <c r="G85" s="64">
        <v>32.979999999999997</v>
      </c>
      <c r="H85" s="64">
        <v>5.99</v>
      </c>
      <c r="I85" s="64">
        <v>1.31</v>
      </c>
      <c r="J85" s="64">
        <v>0.46</v>
      </c>
      <c r="K85" s="64">
        <v>309.42</v>
      </c>
      <c r="L85" s="64">
        <v>24.91</v>
      </c>
      <c r="M85" s="64">
        <v>97.69</v>
      </c>
      <c r="N85" s="64">
        <v>52.3</v>
      </c>
      <c r="O85" s="64">
        <v>0</v>
      </c>
      <c r="P85" s="64">
        <v>0.35</v>
      </c>
      <c r="Q85" s="64">
        <v>9.0500000000000007</v>
      </c>
      <c r="R85" s="198"/>
      <c r="S85" s="198"/>
      <c r="T85" s="198"/>
      <c r="U85" s="198"/>
    </row>
    <row r="86" spans="1:26" s="12" customFormat="1" x14ac:dyDescent="0.25">
      <c r="A86" s="212" t="s">
        <v>900</v>
      </c>
      <c r="B86" s="64">
        <v>5.85</v>
      </c>
      <c r="C86" s="64">
        <v>10.130000000000001</v>
      </c>
      <c r="D86" s="64">
        <v>9.98</v>
      </c>
      <c r="E86" s="64">
        <v>5.13</v>
      </c>
      <c r="F86" s="64">
        <v>2.86</v>
      </c>
      <c r="G86" s="64">
        <v>32.979999999999997</v>
      </c>
      <c r="H86" s="64">
        <v>5.99</v>
      </c>
      <c r="I86" s="64">
        <v>1.24</v>
      </c>
      <c r="J86" s="64">
        <v>1.08</v>
      </c>
      <c r="K86" s="64">
        <v>313.89</v>
      </c>
      <c r="L86" s="64">
        <v>22.3</v>
      </c>
      <c r="M86" s="64">
        <v>97.81</v>
      </c>
      <c r="N86" s="64">
        <v>55.2</v>
      </c>
      <c r="O86" s="64">
        <v>0</v>
      </c>
      <c r="P86" s="64">
        <v>0.36</v>
      </c>
      <c r="Q86" s="64">
        <v>9.0299999999999994</v>
      </c>
      <c r="R86" s="198"/>
      <c r="S86" s="198"/>
      <c r="T86" s="198"/>
      <c r="U86" s="198"/>
    </row>
    <row r="87" spans="1:26" s="12" customFormat="1" x14ac:dyDescent="0.25">
      <c r="A87" s="212" t="s">
        <v>901</v>
      </c>
      <c r="B87" s="64">
        <v>5.04</v>
      </c>
      <c r="C87" s="64">
        <v>11.14</v>
      </c>
      <c r="D87" s="64">
        <v>9.86</v>
      </c>
      <c r="E87" s="64">
        <v>5.23</v>
      </c>
      <c r="F87" s="64">
        <v>2.86</v>
      </c>
      <c r="G87" s="64">
        <v>29.2</v>
      </c>
      <c r="H87" s="64">
        <v>4.43</v>
      </c>
      <c r="I87" s="64">
        <v>1.2</v>
      </c>
      <c r="J87" s="64">
        <v>0.1</v>
      </c>
      <c r="K87" s="64">
        <v>241.82</v>
      </c>
      <c r="L87" s="64">
        <v>22.13</v>
      </c>
      <c r="M87" s="64">
        <v>97.85</v>
      </c>
      <c r="N87" s="64">
        <v>50.9</v>
      </c>
      <c r="O87" s="64">
        <v>0</v>
      </c>
      <c r="P87" s="64">
        <v>0.35</v>
      </c>
      <c r="Q87" s="64">
        <v>9</v>
      </c>
      <c r="R87" s="198"/>
      <c r="S87" s="198"/>
      <c r="T87" s="198"/>
      <c r="U87" s="198"/>
    </row>
    <row r="88" spans="1:26" s="12" customFormat="1" x14ac:dyDescent="0.25">
      <c r="A88" s="212" t="s">
        <v>902</v>
      </c>
      <c r="B88" s="64">
        <v>4.6500000000000004</v>
      </c>
      <c r="C88" s="64">
        <v>11.88</v>
      </c>
      <c r="D88" s="64">
        <v>9.93</v>
      </c>
      <c r="E88" s="64">
        <v>5.4</v>
      </c>
      <c r="F88" s="64">
        <v>3.31</v>
      </c>
      <c r="G88" s="64">
        <v>28.93</v>
      </c>
      <c r="H88" s="64">
        <v>4.3</v>
      </c>
      <c r="I88" s="64">
        <v>1.1599999999999999</v>
      </c>
      <c r="J88" s="64">
        <v>0.12</v>
      </c>
      <c r="K88" s="64">
        <v>338</v>
      </c>
      <c r="L88" s="64">
        <v>21.92</v>
      </c>
      <c r="M88" s="64">
        <v>97.84</v>
      </c>
      <c r="N88" s="64">
        <v>52.2</v>
      </c>
      <c r="O88" s="64">
        <v>0</v>
      </c>
      <c r="P88" s="64">
        <v>0.36</v>
      </c>
      <c r="Q88" s="64">
        <v>8.99</v>
      </c>
      <c r="R88" s="198"/>
      <c r="S88" s="198"/>
      <c r="T88" s="198"/>
      <c r="U88" s="198"/>
    </row>
    <row r="89" spans="1:26" s="12" customFormat="1" x14ac:dyDescent="0.25">
      <c r="A89" s="212" t="s">
        <v>903</v>
      </c>
      <c r="B89" s="64">
        <v>4.97</v>
      </c>
      <c r="C89" s="64">
        <v>11.83</v>
      </c>
      <c r="D89" s="64">
        <v>10.16</v>
      </c>
      <c r="E89" s="64">
        <v>5.31</v>
      </c>
      <c r="F89" s="64">
        <v>2.62</v>
      </c>
      <c r="G89" s="64">
        <v>28.93</v>
      </c>
      <c r="H89" s="64">
        <v>4.3</v>
      </c>
      <c r="I89" s="64">
        <v>1.1299999999999999</v>
      </c>
      <c r="J89" s="64">
        <v>0.08</v>
      </c>
      <c r="K89" s="64">
        <v>333.1</v>
      </c>
      <c r="L89" s="64">
        <v>21.98</v>
      </c>
      <c r="M89" s="64">
        <v>97.82</v>
      </c>
      <c r="N89" s="64">
        <v>51.6</v>
      </c>
      <c r="O89" s="64">
        <v>0</v>
      </c>
      <c r="P89" s="64">
        <v>0.37</v>
      </c>
      <c r="Q89" s="64">
        <v>8.98</v>
      </c>
      <c r="R89" s="198"/>
      <c r="S89" s="198"/>
      <c r="T89" s="198"/>
      <c r="U89" s="198"/>
    </row>
    <row r="90" spans="1:26" s="12" customFormat="1" x14ac:dyDescent="0.25">
      <c r="A90" s="212" t="s">
        <v>904</v>
      </c>
      <c r="B90" s="64">
        <v>4.84</v>
      </c>
      <c r="C90" s="64">
        <v>11.42</v>
      </c>
      <c r="D90" s="64">
        <v>9.85</v>
      </c>
      <c r="E90" s="64">
        <v>4.93</v>
      </c>
      <c r="F90" s="64">
        <v>2.93</v>
      </c>
      <c r="G90" s="64">
        <v>28.93</v>
      </c>
      <c r="H90" s="64">
        <v>4.3</v>
      </c>
      <c r="I90" s="64">
        <v>1.1200000000000001</v>
      </c>
      <c r="J90" s="64">
        <v>0.06</v>
      </c>
      <c r="K90" s="64">
        <v>338.58</v>
      </c>
      <c r="L90" s="64">
        <v>22.15</v>
      </c>
      <c r="M90" s="64">
        <v>97.83</v>
      </c>
      <c r="N90" s="64">
        <v>51.3</v>
      </c>
      <c r="O90" s="64">
        <v>0</v>
      </c>
      <c r="P90" s="64">
        <v>0.35</v>
      </c>
      <c r="Q90" s="64">
        <v>8.9700000000000006</v>
      </c>
      <c r="R90" s="198"/>
      <c r="S90" s="198"/>
      <c r="T90" s="198"/>
      <c r="U90" s="198"/>
    </row>
    <row r="91" spans="1:26" s="12" customFormat="1" x14ac:dyDescent="0.25">
      <c r="A91" s="212" t="s">
        <v>905</v>
      </c>
      <c r="B91" s="64">
        <v>5</v>
      </c>
      <c r="C91" s="64">
        <v>11.1</v>
      </c>
      <c r="D91" s="64">
        <v>9.81</v>
      </c>
      <c r="E91" s="64">
        <v>4.57</v>
      </c>
      <c r="F91" s="64">
        <v>2.38</v>
      </c>
      <c r="G91" s="64">
        <v>26.33</v>
      </c>
      <c r="H91" s="64">
        <v>3.19</v>
      </c>
      <c r="I91" s="64">
        <v>1.1399999999999999</v>
      </c>
      <c r="J91" s="64">
        <v>0.12</v>
      </c>
      <c r="K91" s="64">
        <v>344.63</v>
      </c>
      <c r="L91" s="64">
        <v>22.42</v>
      </c>
      <c r="M91" s="64">
        <v>97.81</v>
      </c>
      <c r="N91" s="64">
        <v>51.3</v>
      </c>
      <c r="O91" s="64">
        <v>0</v>
      </c>
      <c r="P91" s="64">
        <v>0.35</v>
      </c>
      <c r="Q91" s="64">
        <v>8.9700000000000006</v>
      </c>
      <c r="R91" s="198"/>
      <c r="S91" s="198"/>
      <c r="T91" s="198"/>
      <c r="U91" s="198"/>
    </row>
    <row r="92" spans="1:26" s="12" customFormat="1" x14ac:dyDescent="0.25">
      <c r="A92" s="212" t="s">
        <v>906</v>
      </c>
      <c r="B92" s="64">
        <v>5.4</v>
      </c>
      <c r="C92" s="64">
        <v>11.17</v>
      </c>
      <c r="D92" s="64">
        <v>10.17</v>
      </c>
      <c r="E92" s="64">
        <v>4.9400000000000004</v>
      </c>
      <c r="F92" s="64">
        <v>2.4900000000000002</v>
      </c>
      <c r="G92" s="64">
        <v>26.12</v>
      </c>
      <c r="H92" s="64">
        <v>3.11</v>
      </c>
      <c r="I92" s="64">
        <v>1.17</v>
      </c>
      <c r="J92" s="64">
        <v>0.11</v>
      </c>
      <c r="K92" s="64">
        <v>355.24</v>
      </c>
      <c r="L92" s="64">
        <v>22.51</v>
      </c>
      <c r="M92" s="64">
        <v>97.82</v>
      </c>
      <c r="N92" s="64">
        <v>51.8</v>
      </c>
      <c r="O92" s="64">
        <v>0</v>
      </c>
      <c r="P92" s="64">
        <v>0.35</v>
      </c>
      <c r="Q92" s="64">
        <v>8.9600000000000009</v>
      </c>
      <c r="R92" s="198"/>
      <c r="S92" s="198"/>
      <c r="T92" s="198"/>
      <c r="U92" s="198"/>
    </row>
    <row r="93" spans="1:26" s="12" customFormat="1" x14ac:dyDescent="0.25">
      <c r="A93" s="212" t="s">
        <v>907</v>
      </c>
      <c r="B93" s="64">
        <v>5.48</v>
      </c>
      <c r="C93" s="64">
        <v>11.02</v>
      </c>
      <c r="D93" s="64">
        <v>10.15</v>
      </c>
      <c r="E93" s="64">
        <v>4.76</v>
      </c>
      <c r="F93" s="64">
        <v>2.21</v>
      </c>
      <c r="G93" s="64">
        <v>26.12</v>
      </c>
      <c r="H93" s="64">
        <v>3.11</v>
      </c>
      <c r="I93" s="64">
        <v>1.19</v>
      </c>
      <c r="J93" s="64">
        <v>0.14000000000000001</v>
      </c>
      <c r="K93" s="64">
        <v>349.8</v>
      </c>
      <c r="L93" s="64">
        <v>22.46</v>
      </c>
      <c r="M93" s="64">
        <v>97.83</v>
      </c>
      <c r="N93" s="64">
        <v>52.1</v>
      </c>
      <c r="O93" s="64">
        <v>0</v>
      </c>
      <c r="P93" s="64">
        <v>0.35</v>
      </c>
      <c r="Q93" s="64">
        <v>8.93</v>
      </c>
      <c r="R93" s="198"/>
      <c r="S93" s="198"/>
      <c r="T93" s="198"/>
      <c r="U93" s="198"/>
    </row>
    <row r="94" spans="1:26" s="12" customFormat="1" x14ac:dyDescent="0.25">
      <c r="A94" s="212" t="s">
        <v>908</v>
      </c>
      <c r="B94" s="64">
        <v>5.57</v>
      </c>
      <c r="C94" s="64">
        <v>10.93</v>
      </c>
      <c r="D94" s="64">
        <v>10.18</v>
      </c>
      <c r="E94" s="64">
        <v>4.63</v>
      </c>
      <c r="F94" s="64">
        <v>2.11</v>
      </c>
      <c r="G94" s="64">
        <v>26.12</v>
      </c>
      <c r="H94" s="64">
        <v>3.11</v>
      </c>
      <c r="I94" s="64">
        <v>1.17</v>
      </c>
      <c r="J94" s="64">
        <v>0.17</v>
      </c>
      <c r="K94" s="64">
        <v>345.78</v>
      </c>
      <c r="L94" s="64">
        <v>22.46</v>
      </c>
      <c r="M94" s="64">
        <v>97.83</v>
      </c>
      <c r="N94" s="64">
        <v>52.2</v>
      </c>
      <c r="O94" s="64">
        <v>0</v>
      </c>
      <c r="P94" s="64">
        <v>0.35</v>
      </c>
      <c r="Q94" s="64">
        <v>8.93</v>
      </c>
      <c r="R94" s="198"/>
      <c r="S94" s="198"/>
      <c r="T94" s="198"/>
      <c r="U94" s="198"/>
    </row>
    <row r="95" spans="1:26" s="12" customFormat="1" x14ac:dyDescent="0.25">
      <c r="A95" s="212" t="s">
        <v>909</v>
      </c>
      <c r="B95" s="64">
        <v>5.66</v>
      </c>
      <c r="C95" s="64">
        <v>11.4</v>
      </c>
      <c r="D95" s="64">
        <v>10.49</v>
      </c>
      <c r="E95" s="64">
        <v>4.67</v>
      </c>
      <c r="F95" s="64">
        <v>2.1</v>
      </c>
      <c r="G95" s="64">
        <v>19.850000000000001</v>
      </c>
      <c r="H95" s="64">
        <v>2.4500000000000002</v>
      </c>
      <c r="I95" s="64">
        <v>1.1499999999999999</v>
      </c>
      <c r="J95" s="64">
        <v>0.13</v>
      </c>
      <c r="K95" s="64">
        <v>358.05</v>
      </c>
      <c r="L95" s="64">
        <v>22.51</v>
      </c>
      <c r="M95" s="64">
        <v>97.83</v>
      </c>
      <c r="N95" s="64">
        <v>52</v>
      </c>
      <c r="O95" s="64">
        <v>0</v>
      </c>
      <c r="P95" s="64">
        <v>0.36</v>
      </c>
      <c r="Q95" s="64">
        <v>8.94</v>
      </c>
      <c r="R95" s="198"/>
      <c r="S95" s="198"/>
      <c r="T95" s="198"/>
      <c r="U95" s="198"/>
    </row>
    <row r="96" spans="1:26" s="12" customFormat="1" x14ac:dyDescent="0.25">
      <c r="A96" s="212" t="s">
        <v>910</v>
      </c>
      <c r="B96" s="64">
        <v>5.75</v>
      </c>
      <c r="C96" s="64">
        <v>11.82</v>
      </c>
      <c r="D96" s="64">
        <v>0</v>
      </c>
      <c r="E96" s="64">
        <v>0</v>
      </c>
      <c r="F96" s="64">
        <v>2.1</v>
      </c>
      <c r="G96" s="64">
        <v>19.32</v>
      </c>
      <c r="H96" s="64">
        <v>2.39</v>
      </c>
      <c r="I96" s="64">
        <v>0</v>
      </c>
      <c r="J96" s="64">
        <v>0.09</v>
      </c>
      <c r="K96" s="64">
        <v>350.8</v>
      </c>
      <c r="L96" s="64">
        <v>22.66</v>
      </c>
      <c r="M96" s="64">
        <v>97.85</v>
      </c>
      <c r="N96" s="64">
        <v>52</v>
      </c>
      <c r="O96" s="64">
        <v>0</v>
      </c>
      <c r="P96" s="64">
        <v>0.3</v>
      </c>
      <c r="Q96" s="64">
        <v>0</v>
      </c>
      <c r="R96" s="198"/>
      <c r="S96" s="198"/>
      <c r="T96" s="198"/>
      <c r="U96" s="198"/>
      <c r="Z96" s="109"/>
    </row>
    <row r="97" spans="1:33" s="12" customFormat="1" x14ac:dyDescent="0.25">
      <c r="A97" s="212" t="s">
        <v>911</v>
      </c>
      <c r="B97" s="64">
        <v>5.5</v>
      </c>
      <c r="C97" s="64">
        <v>9.06</v>
      </c>
      <c r="D97" s="64">
        <v>9.14</v>
      </c>
      <c r="E97" s="64">
        <v>4.2</v>
      </c>
      <c r="F97" s="64">
        <v>2.6</v>
      </c>
      <c r="G97" s="64">
        <v>19.32</v>
      </c>
      <c r="H97" s="64">
        <v>2.39</v>
      </c>
      <c r="I97" s="64">
        <v>0</v>
      </c>
      <c r="J97" s="64">
        <v>0.06</v>
      </c>
      <c r="K97" s="64">
        <v>329.56</v>
      </c>
      <c r="L97" s="64">
        <v>22.8</v>
      </c>
      <c r="M97" s="64">
        <v>97.84</v>
      </c>
      <c r="N97" s="64">
        <v>52</v>
      </c>
      <c r="O97" s="64">
        <v>0</v>
      </c>
      <c r="P97" s="64">
        <v>0.31</v>
      </c>
      <c r="Q97" s="64">
        <v>0</v>
      </c>
      <c r="R97" s="198"/>
      <c r="S97" s="198"/>
      <c r="T97" s="198"/>
      <c r="U97" s="198"/>
    </row>
    <row r="98" spans="1:33" s="12" customFormat="1" x14ac:dyDescent="0.25">
      <c r="A98" s="212" t="s">
        <v>912</v>
      </c>
      <c r="B98" s="64">
        <v>6.23</v>
      </c>
      <c r="C98" s="64">
        <v>10.44</v>
      </c>
      <c r="D98" s="64">
        <v>10.45</v>
      </c>
      <c r="E98" s="64">
        <v>3.34</v>
      </c>
      <c r="F98" s="64">
        <v>2.2599999999999998</v>
      </c>
      <c r="G98" s="64">
        <v>19.32</v>
      </c>
      <c r="H98" s="64">
        <v>2.39</v>
      </c>
      <c r="I98" s="64">
        <v>0.67</v>
      </c>
      <c r="J98" s="64">
        <v>0.08</v>
      </c>
      <c r="K98" s="64">
        <v>343.05</v>
      </c>
      <c r="L98" s="64">
        <v>22.89</v>
      </c>
      <c r="M98" s="64">
        <v>97.86</v>
      </c>
      <c r="N98" s="64">
        <v>52.1</v>
      </c>
      <c r="O98" s="64">
        <v>0</v>
      </c>
      <c r="P98" s="64">
        <v>0.31</v>
      </c>
      <c r="Q98" s="64">
        <v>9.41</v>
      </c>
      <c r="R98" s="198"/>
      <c r="S98" s="198"/>
      <c r="T98" s="198"/>
      <c r="U98" s="198"/>
    </row>
    <row r="99" spans="1:33" s="12" customFormat="1" x14ac:dyDescent="0.25">
      <c r="A99" s="212" t="s">
        <v>913</v>
      </c>
      <c r="B99" s="64">
        <v>6.4</v>
      </c>
      <c r="C99" s="64">
        <v>10.31</v>
      </c>
      <c r="D99" s="64">
        <v>10.52</v>
      </c>
      <c r="E99" s="64">
        <v>2.69</v>
      </c>
      <c r="F99" s="64">
        <v>2.4300000000000002</v>
      </c>
      <c r="G99" s="64">
        <v>18.75</v>
      </c>
      <c r="H99" s="64">
        <v>1.97</v>
      </c>
      <c r="I99" s="64">
        <v>1.18</v>
      </c>
      <c r="J99" s="64">
        <v>0.08</v>
      </c>
      <c r="K99" s="64">
        <v>335.56</v>
      </c>
      <c r="L99" s="64">
        <v>22.99</v>
      </c>
      <c r="M99" s="64">
        <v>97.87</v>
      </c>
      <c r="N99" s="64">
        <v>52.2</v>
      </c>
      <c r="O99" s="64">
        <v>0</v>
      </c>
      <c r="P99" s="64">
        <v>0.28000000000000003</v>
      </c>
      <c r="Q99" s="64">
        <v>9.59</v>
      </c>
      <c r="R99" s="198"/>
      <c r="S99" s="198"/>
      <c r="T99" s="198"/>
      <c r="U99" s="198"/>
    </row>
    <row r="100" spans="1:33" s="12" customFormat="1" x14ac:dyDescent="0.25">
      <c r="A100" s="212" t="s">
        <v>914</v>
      </c>
      <c r="B100" s="64">
        <v>6.35</v>
      </c>
      <c r="C100" s="64">
        <v>10.31</v>
      </c>
      <c r="D100" s="64">
        <v>10.48</v>
      </c>
      <c r="E100" s="64">
        <v>2.95</v>
      </c>
      <c r="F100" s="64">
        <v>2.31</v>
      </c>
      <c r="G100" s="64">
        <v>18.7</v>
      </c>
      <c r="H100" s="64">
        <v>1.93</v>
      </c>
      <c r="I100" s="64">
        <v>1.22</v>
      </c>
      <c r="J100" s="64">
        <v>0.08</v>
      </c>
      <c r="K100" s="64">
        <v>328.7</v>
      </c>
      <c r="L100" s="64">
        <v>23.04</v>
      </c>
      <c r="M100" s="64">
        <v>97.87</v>
      </c>
      <c r="N100" s="64">
        <v>52.2</v>
      </c>
      <c r="O100" s="64">
        <v>0</v>
      </c>
      <c r="P100" s="64">
        <v>0.27</v>
      </c>
      <c r="Q100" s="64">
        <v>9.6199999999999992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2" t="s">
        <v>915</v>
      </c>
      <c r="B101" s="64">
        <v>6.14</v>
      </c>
      <c r="C101" s="64">
        <v>10.26</v>
      </c>
      <c r="D101" s="64">
        <v>10.28</v>
      </c>
      <c r="E101" s="64">
        <v>2.52</v>
      </c>
      <c r="F101" s="64">
        <v>5.36</v>
      </c>
      <c r="G101" s="64">
        <v>18.7</v>
      </c>
      <c r="H101" s="64">
        <v>1.93</v>
      </c>
      <c r="I101" s="64">
        <v>1.1599999999999999</v>
      </c>
      <c r="J101" s="64">
        <v>7.0000000000000007E-2</v>
      </c>
      <c r="K101" s="64">
        <v>335</v>
      </c>
      <c r="L101" s="64">
        <v>23.11</v>
      </c>
      <c r="M101" s="64">
        <v>97.85</v>
      </c>
      <c r="N101" s="64">
        <v>52.2</v>
      </c>
      <c r="O101" s="64">
        <v>0</v>
      </c>
      <c r="P101" s="64">
        <v>0.24</v>
      </c>
      <c r="Q101" s="64">
        <v>9.6199999999999992</v>
      </c>
      <c r="R101" s="198"/>
      <c r="S101" s="198"/>
      <c r="T101" s="198"/>
      <c r="U101" s="198"/>
    </row>
    <row r="102" spans="1:33" s="12" customFormat="1" x14ac:dyDescent="0.25">
      <c r="A102" s="212" t="s">
        <v>916</v>
      </c>
      <c r="B102" s="64">
        <v>6.2</v>
      </c>
      <c r="C102" s="64">
        <v>10.01</v>
      </c>
      <c r="D102" s="64">
        <v>10.199999999999999</v>
      </c>
      <c r="E102" s="64">
        <v>2.63</v>
      </c>
      <c r="F102" s="64">
        <v>3.83</v>
      </c>
      <c r="G102" s="64">
        <v>18.7</v>
      </c>
      <c r="H102" s="64">
        <v>1.93</v>
      </c>
      <c r="I102" s="64">
        <v>1.1299999999999999</v>
      </c>
      <c r="J102" s="64">
        <v>0.14000000000000001</v>
      </c>
      <c r="K102" s="64">
        <v>119.6</v>
      </c>
      <c r="L102" s="64">
        <v>23.07</v>
      </c>
      <c r="M102" s="64">
        <v>97.85</v>
      </c>
      <c r="N102" s="64">
        <v>52.2</v>
      </c>
      <c r="O102" s="64">
        <v>0</v>
      </c>
      <c r="P102" s="64">
        <v>0.25</v>
      </c>
      <c r="Q102" s="64">
        <v>9.59</v>
      </c>
      <c r="R102" s="198"/>
      <c r="S102" s="198"/>
      <c r="T102" s="198"/>
      <c r="U102" s="198"/>
    </row>
    <row r="103" spans="1:33" s="12" customFormat="1" x14ac:dyDescent="0.25">
      <c r="A103" s="212" t="s">
        <v>917</v>
      </c>
      <c r="B103" s="64">
        <v>5.91</v>
      </c>
      <c r="C103" s="64">
        <v>9.82</v>
      </c>
      <c r="D103" s="64">
        <v>9.8699999999999992</v>
      </c>
      <c r="E103" s="64">
        <v>2.85</v>
      </c>
      <c r="F103" s="64">
        <v>4.01</v>
      </c>
      <c r="G103" s="64">
        <v>17.829999999999998</v>
      </c>
      <c r="H103" s="64">
        <v>3.96</v>
      </c>
      <c r="I103" s="64">
        <v>1.1000000000000001</v>
      </c>
      <c r="J103" s="64">
        <v>0.01</v>
      </c>
      <c r="K103" s="64">
        <v>187.63</v>
      </c>
      <c r="L103" s="64">
        <v>23.01</v>
      </c>
      <c r="M103" s="64">
        <v>97.84</v>
      </c>
      <c r="N103" s="64">
        <v>52</v>
      </c>
      <c r="O103" s="64">
        <v>0</v>
      </c>
      <c r="P103" s="64">
        <v>0.22</v>
      </c>
      <c r="Q103" s="64">
        <v>9.56</v>
      </c>
      <c r="R103" s="198"/>
      <c r="S103" s="198"/>
      <c r="T103" s="198"/>
      <c r="U103" s="198"/>
    </row>
    <row r="104" spans="1:33" s="12" customFormat="1" x14ac:dyDescent="0.25">
      <c r="A104" s="212" t="s">
        <v>918</v>
      </c>
      <c r="B104" s="64">
        <v>6.15</v>
      </c>
      <c r="C104" s="64">
        <v>9.1</v>
      </c>
      <c r="D104" s="64">
        <v>9.69</v>
      </c>
      <c r="E104" s="64">
        <v>4.43</v>
      </c>
      <c r="F104" s="64">
        <v>4.4000000000000004</v>
      </c>
      <c r="G104" s="64">
        <v>17.760000000000002</v>
      </c>
      <c r="H104" s="64">
        <v>4.13</v>
      </c>
      <c r="I104" s="64">
        <v>1.0900000000000001</v>
      </c>
      <c r="J104" s="64">
        <v>0.03</v>
      </c>
      <c r="K104" s="64">
        <v>327.01</v>
      </c>
      <c r="L104" s="64">
        <v>23.03</v>
      </c>
      <c r="M104" s="64">
        <v>97.85</v>
      </c>
      <c r="N104" s="64">
        <v>52</v>
      </c>
      <c r="O104" s="64">
        <v>0</v>
      </c>
      <c r="P104" s="64">
        <v>0.22</v>
      </c>
      <c r="Q104" s="64">
        <v>9.59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4.6500000000000004</v>
      </c>
      <c r="C106" s="67">
        <f>MIN(C9:C104)</f>
        <v>6.12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2.1</v>
      </c>
      <c r="G106" s="67">
        <f t="shared" si="0"/>
        <v>11.24</v>
      </c>
      <c r="H106" s="67">
        <f t="shared" si="0"/>
        <v>1.86</v>
      </c>
      <c r="I106" s="67">
        <f t="shared" si="0"/>
        <v>0</v>
      </c>
      <c r="J106" s="67">
        <f t="shared" si="0"/>
        <v>0.01</v>
      </c>
      <c r="K106" s="67">
        <f t="shared" si="0"/>
        <v>119.6</v>
      </c>
      <c r="L106" s="67">
        <f t="shared" si="0"/>
        <v>21.92</v>
      </c>
      <c r="M106" s="67">
        <f t="shared" si="0"/>
        <v>55.31</v>
      </c>
      <c r="N106" s="67">
        <f t="shared" si="0"/>
        <v>50.9</v>
      </c>
      <c r="O106" s="67">
        <f t="shared" si="0"/>
        <v>0</v>
      </c>
      <c r="P106" s="67">
        <f t="shared" si="0"/>
        <v>0.14000000000000001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17.34</v>
      </c>
      <c r="C107" s="66">
        <f t="shared" ref="C107:Q107" si="1">MAX(C9:C104)</f>
        <v>17.440000000000001</v>
      </c>
      <c r="D107" s="66">
        <f t="shared" si="1"/>
        <v>20.85</v>
      </c>
      <c r="E107" s="66">
        <f t="shared" si="1"/>
        <v>5.73</v>
      </c>
      <c r="F107" s="66">
        <f t="shared" si="1"/>
        <v>15.28</v>
      </c>
      <c r="G107" s="66">
        <f t="shared" si="1"/>
        <v>64.27</v>
      </c>
      <c r="H107" s="66">
        <f t="shared" si="1"/>
        <v>9.34</v>
      </c>
      <c r="I107" s="66">
        <f t="shared" si="1"/>
        <v>1.5</v>
      </c>
      <c r="J107" s="66">
        <f t="shared" si="1"/>
        <v>1.1599999999999999</v>
      </c>
      <c r="K107" s="66">
        <f t="shared" si="1"/>
        <v>358.05</v>
      </c>
      <c r="L107" s="66">
        <f t="shared" si="1"/>
        <v>36.06</v>
      </c>
      <c r="M107" s="66">
        <f t="shared" si="1"/>
        <v>97.99</v>
      </c>
      <c r="N107" s="66">
        <f t="shared" si="1"/>
        <v>1025.9000000000001</v>
      </c>
      <c r="O107" s="66">
        <f t="shared" si="1"/>
        <v>0</v>
      </c>
      <c r="P107" s="66">
        <f t="shared" si="1"/>
        <v>0.57999999999999996</v>
      </c>
      <c r="Q107" s="66">
        <f t="shared" si="1"/>
        <v>9.6199999999999992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8.722187500000004</v>
      </c>
      <c r="C108" s="67">
        <f t="shared" ref="C108:Q108" si="2">AVERAGE(C9:C104)</f>
        <v>10.722916666666668</v>
      </c>
      <c r="D108" s="67">
        <f t="shared" si="2"/>
        <v>12.47864583333334</v>
      </c>
      <c r="E108" s="67">
        <f t="shared" si="2"/>
        <v>4.4480208333333335</v>
      </c>
      <c r="F108" s="67">
        <f t="shared" si="2"/>
        <v>6.5219791666666618</v>
      </c>
      <c r="G108" s="67">
        <f t="shared" si="2"/>
        <v>35.814791666666643</v>
      </c>
      <c r="H108" s="67">
        <f t="shared" si="2"/>
        <v>5.2392708333333333</v>
      </c>
      <c r="I108" s="67">
        <f t="shared" si="2"/>
        <v>1.110625</v>
      </c>
      <c r="J108" s="67">
        <f t="shared" si="2"/>
        <v>0.32020833333333332</v>
      </c>
      <c r="K108" s="67">
        <f t="shared" si="2"/>
        <v>281.67447916666657</v>
      </c>
      <c r="L108" s="67">
        <f t="shared" si="2"/>
        <v>26.548437500000009</v>
      </c>
      <c r="M108" s="67">
        <f t="shared" si="2"/>
        <v>89.790729166666665</v>
      </c>
      <c r="N108" s="67">
        <f t="shared" si="2"/>
        <v>187.24687499999993</v>
      </c>
      <c r="O108" s="67">
        <f t="shared" si="2"/>
        <v>0</v>
      </c>
      <c r="P108" s="67">
        <f t="shared" si="2"/>
        <v>0.35000000000000014</v>
      </c>
      <c r="Q108" s="67">
        <f t="shared" si="2"/>
        <v>9.0012500000000006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3.2398899276705384</v>
      </c>
      <c r="C109" s="67">
        <f t="shared" ref="C109:Q109" si="3">STDEV(C9:C104)</f>
        <v>3.2554362361623994</v>
      </c>
      <c r="D109" s="67">
        <f t="shared" si="3"/>
        <v>3.7547322056843537</v>
      </c>
      <c r="E109" s="67">
        <f t="shared" si="3"/>
        <v>0.9910054647378822</v>
      </c>
      <c r="F109" s="67">
        <f t="shared" si="3"/>
        <v>3.4063626594921668</v>
      </c>
      <c r="G109" s="67">
        <f t="shared" si="3"/>
        <v>19.300714029833358</v>
      </c>
      <c r="H109" s="67">
        <f t="shared" si="3"/>
        <v>2.3104117859407753</v>
      </c>
      <c r="I109" s="67">
        <f t="shared" si="3"/>
        <v>0.24393188220873166</v>
      </c>
      <c r="J109" s="67">
        <f t="shared" si="3"/>
        <v>0.32395899404795253</v>
      </c>
      <c r="K109" s="67">
        <f t="shared" si="3"/>
        <v>75.976781645444859</v>
      </c>
      <c r="L109" s="67">
        <f t="shared" si="3"/>
        <v>4.0226247854445969</v>
      </c>
      <c r="M109" s="67">
        <f t="shared" si="3"/>
        <v>13.864015309979605</v>
      </c>
      <c r="N109" s="67">
        <f t="shared" si="3"/>
        <v>236.17858851797322</v>
      </c>
      <c r="O109" s="67">
        <f t="shared" si="3"/>
        <v>0</v>
      </c>
      <c r="P109" s="67">
        <f t="shared" si="3"/>
        <v>0.11566739976510686</v>
      </c>
      <c r="Q109" s="67">
        <f t="shared" si="3"/>
        <v>1.327969760277139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</f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216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6" sqref="J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08/08/2025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2" t="s">
        <v>919</v>
      </c>
      <c r="B9" s="64">
        <v>6.13</v>
      </c>
      <c r="C9" s="64">
        <v>8.3800000000000008</v>
      </c>
      <c r="D9" s="64">
        <v>9.2899999999999991</v>
      </c>
      <c r="E9" s="64">
        <v>3.92</v>
      </c>
      <c r="F9" s="64">
        <v>4.0199999999999996</v>
      </c>
      <c r="G9" s="64">
        <v>17.760000000000002</v>
      </c>
      <c r="H9" s="64">
        <v>4.13</v>
      </c>
      <c r="I9" s="64">
        <v>1.1000000000000001</v>
      </c>
      <c r="J9" s="64">
        <v>0.08</v>
      </c>
      <c r="K9" s="64">
        <v>334.62</v>
      </c>
      <c r="L9" s="64">
        <v>23.08</v>
      </c>
      <c r="M9" s="64">
        <v>97.85</v>
      </c>
      <c r="N9" s="64">
        <v>52</v>
      </c>
      <c r="O9" s="64">
        <v>0</v>
      </c>
      <c r="P9" s="64">
        <v>0.2</v>
      </c>
      <c r="Q9" s="64">
        <v>9.6199999999999992</v>
      </c>
      <c r="R9" s="198"/>
      <c r="S9" s="198"/>
      <c r="T9" s="198"/>
      <c r="U9" s="198"/>
    </row>
    <row r="10" spans="1:21" s="12" customFormat="1" x14ac:dyDescent="0.25">
      <c r="A10" s="212" t="s">
        <v>920</v>
      </c>
      <c r="B10" s="64">
        <v>6.08</v>
      </c>
      <c r="C10" s="64">
        <v>8.48</v>
      </c>
      <c r="D10" s="64">
        <v>9.31</v>
      </c>
      <c r="E10" s="64">
        <v>4.05</v>
      </c>
      <c r="F10" s="64">
        <v>6.99</v>
      </c>
      <c r="G10" s="64">
        <v>17.760000000000002</v>
      </c>
      <c r="H10" s="64">
        <v>4.13</v>
      </c>
      <c r="I10" s="64">
        <v>1.08</v>
      </c>
      <c r="J10" s="64">
        <v>0.01</v>
      </c>
      <c r="K10" s="64">
        <v>347.23</v>
      </c>
      <c r="L10" s="64">
        <v>23.11</v>
      </c>
      <c r="M10" s="64">
        <v>97.91</v>
      </c>
      <c r="N10" s="64">
        <v>52</v>
      </c>
      <c r="O10" s="64">
        <v>0</v>
      </c>
      <c r="P10" s="64">
        <v>0.19</v>
      </c>
      <c r="Q10" s="64">
        <v>9.61</v>
      </c>
      <c r="R10" s="198"/>
      <c r="S10" s="198"/>
      <c r="T10" s="198"/>
      <c r="U10" s="198"/>
    </row>
    <row r="11" spans="1:21" s="12" customFormat="1" x14ac:dyDescent="0.25">
      <c r="A11" s="212" t="s">
        <v>921</v>
      </c>
      <c r="B11" s="64">
        <v>5.56</v>
      </c>
      <c r="C11" s="64">
        <v>7.87</v>
      </c>
      <c r="D11" s="64">
        <v>8.57</v>
      </c>
      <c r="E11" s="64">
        <v>4.26</v>
      </c>
      <c r="F11" s="64">
        <v>7.11</v>
      </c>
      <c r="G11" s="64">
        <v>16.670000000000002</v>
      </c>
      <c r="H11" s="64">
        <v>3.08</v>
      </c>
      <c r="I11" s="64">
        <v>1.01</v>
      </c>
      <c r="J11" s="64">
        <v>0.18</v>
      </c>
      <c r="K11" s="64">
        <v>123.91</v>
      </c>
      <c r="L11" s="64">
        <v>23.08</v>
      </c>
      <c r="M11" s="64">
        <v>97.95</v>
      </c>
      <c r="N11" s="64">
        <v>52</v>
      </c>
      <c r="O11" s="64">
        <v>0</v>
      </c>
      <c r="P11" s="64">
        <v>0.18</v>
      </c>
      <c r="Q11" s="64">
        <v>9.59</v>
      </c>
      <c r="R11" s="198"/>
      <c r="S11" s="198"/>
      <c r="T11" s="198"/>
      <c r="U11" s="198"/>
    </row>
    <row r="12" spans="1:21" s="12" customFormat="1" x14ac:dyDescent="0.25">
      <c r="A12" s="212" t="s">
        <v>922</v>
      </c>
      <c r="B12" s="64">
        <v>5.63</v>
      </c>
      <c r="C12" s="64">
        <v>7.85</v>
      </c>
      <c r="D12" s="64">
        <v>8.6199999999999992</v>
      </c>
      <c r="E12" s="64">
        <v>4.1399999999999997</v>
      </c>
      <c r="F12" s="64">
        <v>5.56</v>
      </c>
      <c r="G12" s="64">
        <v>16.579999999999998</v>
      </c>
      <c r="H12" s="64">
        <v>3.08</v>
      </c>
      <c r="I12" s="64">
        <v>0.94</v>
      </c>
      <c r="J12" s="64">
        <v>0.01</v>
      </c>
      <c r="K12" s="64">
        <v>244.41</v>
      </c>
      <c r="L12" s="64">
        <v>23.05</v>
      </c>
      <c r="M12" s="64">
        <v>97.96</v>
      </c>
      <c r="N12" s="64">
        <v>52</v>
      </c>
      <c r="O12" s="64">
        <v>0</v>
      </c>
      <c r="P12" s="64">
        <v>0.18</v>
      </c>
      <c r="Q12" s="64">
        <v>9.59</v>
      </c>
      <c r="R12" s="198"/>
      <c r="S12" s="198"/>
      <c r="T12" s="198"/>
      <c r="U12" s="198"/>
    </row>
    <row r="13" spans="1:21" s="12" customFormat="1" x14ac:dyDescent="0.25">
      <c r="A13" s="212" t="s">
        <v>923</v>
      </c>
      <c r="B13" s="64">
        <v>6.05</v>
      </c>
      <c r="C13" s="64">
        <v>7.72</v>
      </c>
      <c r="D13" s="64">
        <v>8.89</v>
      </c>
      <c r="E13" s="64">
        <v>4.45</v>
      </c>
      <c r="F13" s="64">
        <v>4.74</v>
      </c>
      <c r="G13" s="64">
        <v>16.579999999999998</v>
      </c>
      <c r="H13" s="64">
        <v>3.08</v>
      </c>
      <c r="I13" s="64">
        <v>0.94</v>
      </c>
      <c r="J13" s="64">
        <v>0.08</v>
      </c>
      <c r="K13" s="64">
        <v>317.02999999999997</v>
      </c>
      <c r="L13" s="64">
        <v>23.08</v>
      </c>
      <c r="M13" s="64">
        <v>97.98</v>
      </c>
      <c r="N13" s="64">
        <v>52</v>
      </c>
      <c r="O13" s="64">
        <v>0</v>
      </c>
      <c r="P13" s="64">
        <v>0.17</v>
      </c>
      <c r="Q13" s="64">
        <v>9.61</v>
      </c>
      <c r="R13" s="198"/>
      <c r="S13" s="198"/>
      <c r="T13" s="198"/>
      <c r="U13" s="198"/>
    </row>
    <row r="14" spans="1:21" s="12" customFormat="1" x14ac:dyDescent="0.25">
      <c r="A14" s="212" t="s">
        <v>924</v>
      </c>
      <c r="B14" s="64">
        <v>5.92</v>
      </c>
      <c r="C14" s="64">
        <v>7.64</v>
      </c>
      <c r="D14" s="64">
        <v>8.74</v>
      </c>
      <c r="E14" s="64">
        <v>4.8499999999999996</v>
      </c>
      <c r="F14" s="64">
        <v>7.09</v>
      </c>
      <c r="G14" s="64">
        <v>16.579999999999998</v>
      </c>
      <c r="H14" s="64">
        <v>3.08</v>
      </c>
      <c r="I14" s="64">
        <v>0.99</v>
      </c>
      <c r="J14" s="64">
        <v>0.04</v>
      </c>
      <c r="K14" s="64">
        <v>348.25</v>
      </c>
      <c r="L14" s="64">
        <v>23.09</v>
      </c>
      <c r="M14" s="64">
        <v>97.99</v>
      </c>
      <c r="N14" s="64">
        <v>51.9</v>
      </c>
      <c r="O14" s="64">
        <v>0</v>
      </c>
      <c r="P14" s="64">
        <v>0.16</v>
      </c>
      <c r="Q14" s="64">
        <v>9.6199999999999992</v>
      </c>
      <c r="R14" s="198"/>
      <c r="S14" s="198"/>
      <c r="T14" s="198"/>
      <c r="U14" s="198"/>
    </row>
    <row r="15" spans="1:21" s="12" customFormat="1" x14ac:dyDescent="0.25">
      <c r="A15" s="212" t="s">
        <v>925</v>
      </c>
      <c r="B15" s="64">
        <v>5.93</v>
      </c>
      <c r="C15" s="64">
        <v>7.65</v>
      </c>
      <c r="D15" s="64">
        <v>8.75</v>
      </c>
      <c r="E15" s="64">
        <v>4.43</v>
      </c>
      <c r="F15" s="64">
        <v>4.93</v>
      </c>
      <c r="G15" s="64">
        <v>13.5</v>
      </c>
      <c r="H15" s="64">
        <v>2.2599999999999998</v>
      </c>
      <c r="I15" s="64">
        <v>0.99</v>
      </c>
      <c r="J15" s="64">
        <v>0.1</v>
      </c>
      <c r="K15" s="64">
        <v>317.2</v>
      </c>
      <c r="L15" s="64">
        <v>23.05</v>
      </c>
      <c r="M15" s="64">
        <v>98.01</v>
      </c>
      <c r="N15" s="64">
        <v>51.8</v>
      </c>
      <c r="O15" s="64">
        <v>0</v>
      </c>
      <c r="P15" s="64">
        <v>0.17</v>
      </c>
      <c r="Q15" s="64">
        <v>9.6300000000000008</v>
      </c>
      <c r="R15" s="198"/>
      <c r="S15" s="198"/>
      <c r="T15" s="198"/>
      <c r="U15" s="198"/>
    </row>
    <row r="16" spans="1:21" s="12" customFormat="1" x14ac:dyDescent="0.25">
      <c r="A16" s="212" t="s">
        <v>926</v>
      </c>
      <c r="B16" s="64">
        <v>6.39</v>
      </c>
      <c r="C16" s="64">
        <v>7.69</v>
      </c>
      <c r="D16" s="64">
        <v>9.14</v>
      </c>
      <c r="E16" s="64">
        <v>4.68</v>
      </c>
      <c r="F16" s="64">
        <v>3.62</v>
      </c>
      <c r="G16" s="64">
        <v>13.24</v>
      </c>
      <c r="H16" s="64">
        <v>2.2000000000000002</v>
      </c>
      <c r="I16" s="64">
        <v>0.99</v>
      </c>
      <c r="J16" s="64">
        <v>0.09</v>
      </c>
      <c r="K16" s="64">
        <v>323.97000000000003</v>
      </c>
      <c r="L16" s="64">
        <v>23.05</v>
      </c>
      <c r="M16" s="64">
        <v>98.06</v>
      </c>
      <c r="N16" s="64">
        <v>52</v>
      </c>
      <c r="O16" s="64">
        <v>0</v>
      </c>
      <c r="P16" s="64">
        <v>0.2</v>
      </c>
      <c r="Q16" s="64">
        <v>9.6300000000000008</v>
      </c>
      <c r="R16" s="198"/>
      <c r="S16" s="198"/>
      <c r="T16" s="198"/>
      <c r="U16" s="198"/>
    </row>
    <row r="17" spans="1:21" s="12" customFormat="1" x14ac:dyDescent="0.25">
      <c r="A17" s="212" t="s">
        <v>927</v>
      </c>
      <c r="B17" s="64">
        <v>6.46</v>
      </c>
      <c r="C17" s="64">
        <v>7.63</v>
      </c>
      <c r="D17" s="64">
        <v>9.17</v>
      </c>
      <c r="E17" s="64">
        <v>4.8099999999999996</v>
      </c>
      <c r="F17" s="64">
        <v>4.07</v>
      </c>
      <c r="G17" s="64">
        <v>13.24</v>
      </c>
      <c r="H17" s="64">
        <v>2.2000000000000002</v>
      </c>
      <c r="I17" s="64">
        <v>0.97</v>
      </c>
      <c r="J17" s="64">
        <v>0.08</v>
      </c>
      <c r="K17" s="64">
        <v>296.97000000000003</v>
      </c>
      <c r="L17" s="64">
        <v>23</v>
      </c>
      <c r="M17" s="64">
        <v>98.09</v>
      </c>
      <c r="N17" s="64">
        <v>51.9</v>
      </c>
      <c r="O17" s="64">
        <v>0</v>
      </c>
      <c r="P17" s="64">
        <v>0.17</v>
      </c>
      <c r="Q17" s="64">
        <v>9.6300000000000008</v>
      </c>
      <c r="R17" s="198"/>
      <c r="S17" s="198"/>
      <c r="T17" s="198"/>
      <c r="U17" s="198"/>
    </row>
    <row r="18" spans="1:21" s="12" customFormat="1" x14ac:dyDescent="0.25">
      <c r="A18" s="212" t="s">
        <v>928</v>
      </c>
      <c r="B18" s="64">
        <v>6.62</v>
      </c>
      <c r="C18" s="64">
        <v>7.7</v>
      </c>
      <c r="D18" s="64">
        <v>9.33</v>
      </c>
      <c r="E18" s="64">
        <v>4.63</v>
      </c>
      <c r="F18" s="64">
        <v>2.79</v>
      </c>
      <c r="G18" s="64">
        <v>13.24</v>
      </c>
      <c r="H18" s="64">
        <v>2.2000000000000002</v>
      </c>
      <c r="I18" s="64">
        <v>0.97</v>
      </c>
      <c r="J18" s="64">
        <v>7.0000000000000007E-2</v>
      </c>
      <c r="K18" s="64">
        <v>337.12</v>
      </c>
      <c r="L18" s="64">
        <v>22.96</v>
      </c>
      <c r="M18" s="64">
        <v>98.1</v>
      </c>
      <c r="N18" s="64">
        <v>51.8</v>
      </c>
      <c r="O18" s="64">
        <v>0</v>
      </c>
      <c r="P18" s="64">
        <v>0.2</v>
      </c>
      <c r="Q18" s="64">
        <v>9.6199999999999992</v>
      </c>
      <c r="R18" s="198"/>
      <c r="S18" s="198"/>
      <c r="T18" s="198"/>
      <c r="U18" s="198"/>
    </row>
    <row r="19" spans="1:21" s="12" customFormat="1" x14ac:dyDescent="0.25">
      <c r="A19" s="212" t="s">
        <v>929</v>
      </c>
      <c r="B19" s="64">
        <v>6.82</v>
      </c>
      <c r="C19" s="64">
        <v>7.76</v>
      </c>
      <c r="D19" s="64">
        <v>9.5299999999999994</v>
      </c>
      <c r="E19" s="64">
        <v>4.43</v>
      </c>
      <c r="F19" s="64">
        <v>2.2999999999999998</v>
      </c>
      <c r="G19" s="64">
        <v>14.58</v>
      </c>
      <c r="H19" s="64">
        <v>2.71</v>
      </c>
      <c r="I19" s="64">
        <v>0.95</v>
      </c>
      <c r="J19" s="64">
        <v>0.08</v>
      </c>
      <c r="K19" s="64">
        <v>324.47000000000003</v>
      </c>
      <c r="L19" s="64">
        <v>22.91</v>
      </c>
      <c r="M19" s="64">
        <v>98.1</v>
      </c>
      <c r="N19" s="64">
        <v>51.8</v>
      </c>
      <c r="O19" s="64">
        <v>0</v>
      </c>
      <c r="P19" s="64">
        <v>0.2</v>
      </c>
      <c r="Q19" s="64">
        <v>9.61</v>
      </c>
      <c r="R19" s="198"/>
      <c r="S19" s="198"/>
      <c r="T19" s="198"/>
      <c r="U19" s="198"/>
    </row>
    <row r="20" spans="1:21" s="12" customFormat="1" x14ac:dyDescent="0.25">
      <c r="A20" s="212" t="s">
        <v>930</v>
      </c>
      <c r="B20" s="64">
        <v>6.68</v>
      </c>
      <c r="C20" s="64">
        <v>7.62</v>
      </c>
      <c r="D20" s="64">
        <v>9.34</v>
      </c>
      <c r="E20" s="64">
        <v>4.21</v>
      </c>
      <c r="F20" s="64">
        <v>3.4</v>
      </c>
      <c r="G20" s="64">
        <v>14.69</v>
      </c>
      <c r="H20" s="64">
        <v>2.75</v>
      </c>
      <c r="I20" s="64">
        <v>0.92</v>
      </c>
      <c r="J20" s="64">
        <v>0.08</v>
      </c>
      <c r="K20" s="64">
        <v>305.12</v>
      </c>
      <c r="L20" s="64">
        <v>22.82</v>
      </c>
      <c r="M20" s="64">
        <v>98.1</v>
      </c>
      <c r="N20" s="64">
        <v>51.7</v>
      </c>
      <c r="O20" s="64">
        <v>0</v>
      </c>
      <c r="P20" s="64">
        <v>0.18</v>
      </c>
      <c r="Q20" s="64">
        <v>9.6300000000000008</v>
      </c>
      <c r="R20" s="198"/>
      <c r="S20" s="198"/>
      <c r="T20" s="198"/>
      <c r="U20" s="198"/>
    </row>
    <row r="21" spans="1:21" s="12" customFormat="1" x14ac:dyDescent="0.25">
      <c r="A21" s="212" t="s">
        <v>931</v>
      </c>
      <c r="B21" s="64">
        <v>6.74</v>
      </c>
      <c r="C21" s="64">
        <v>7.49</v>
      </c>
      <c r="D21" s="64">
        <v>9.31</v>
      </c>
      <c r="E21" s="64">
        <v>4.55</v>
      </c>
      <c r="F21" s="64">
        <v>2.89</v>
      </c>
      <c r="G21" s="64">
        <v>14.69</v>
      </c>
      <c r="H21" s="64">
        <v>2.75</v>
      </c>
      <c r="I21" s="64">
        <v>0.91</v>
      </c>
      <c r="J21" s="64">
        <v>0.06</v>
      </c>
      <c r="K21" s="64">
        <v>350.05</v>
      </c>
      <c r="L21" s="64">
        <v>22.8</v>
      </c>
      <c r="M21" s="64">
        <v>98.08</v>
      </c>
      <c r="N21" s="64">
        <v>51.6</v>
      </c>
      <c r="O21" s="64">
        <v>0</v>
      </c>
      <c r="P21" s="64">
        <v>0.18</v>
      </c>
      <c r="Q21" s="64">
        <v>9.6300000000000008</v>
      </c>
      <c r="R21" s="198"/>
      <c r="S21" s="198"/>
      <c r="T21" s="198"/>
      <c r="U21" s="198"/>
    </row>
    <row r="22" spans="1:21" s="12" customFormat="1" x14ac:dyDescent="0.25">
      <c r="A22" s="212" t="s">
        <v>932</v>
      </c>
      <c r="B22" s="64">
        <v>6.59</v>
      </c>
      <c r="C22" s="64">
        <v>7.51</v>
      </c>
      <c r="D22" s="64">
        <v>9.1999999999999993</v>
      </c>
      <c r="E22" s="64">
        <v>4.4800000000000004</v>
      </c>
      <c r="F22" s="64">
        <v>3.2</v>
      </c>
      <c r="G22" s="64">
        <v>14.69</v>
      </c>
      <c r="H22" s="64">
        <v>2.75</v>
      </c>
      <c r="I22" s="64">
        <v>0.88</v>
      </c>
      <c r="J22" s="64">
        <v>0.06</v>
      </c>
      <c r="K22" s="64">
        <v>297.66000000000003</v>
      </c>
      <c r="L22" s="64">
        <v>22.78</v>
      </c>
      <c r="M22" s="64">
        <v>98.08</v>
      </c>
      <c r="N22" s="64">
        <v>51.6</v>
      </c>
      <c r="O22" s="64">
        <v>0</v>
      </c>
      <c r="P22" s="64">
        <v>0.16</v>
      </c>
      <c r="Q22" s="64">
        <v>9.6300000000000008</v>
      </c>
      <c r="R22" s="198"/>
      <c r="S22" s="198"/>
      <c r="T22" s="198"/>
      <c r="U22" s="198"/>
    </row>
    <row r="23" spans="1:21" s="12" customFormat="1" x14ac:dyDescent="0.25">
      <c r="A23" s="212" t="s">
        <v>933</v>
      </c>
      <c r="B23" s="64">
        <v>6.52</v>
      </c>
      <c r="C23" s="64">
        <v>7.44</v>
      </c>
      <c r="D23" s="64">
        <v>9.11</v>
      </c>
      <c r="E23" s="64">
        <v>4.68</v>
      </c>
      <c r="F23" s="64">
        <v>2.73</v>
      </c>
      <c r="G23" s="64">
        <v>13.38</v>
      </c>
      <c r="H23" s="64">
        <v>4.13</v>
      </c>
      <c r="I23" s="64">
        <v>0.86</v>
      </c>
      <c r="J23" s="64">
        <v>0.11</v>
      </c>
      <c r="K23" s="64">
        <v>325.91000000000003</v>
      </c>
      <c r="L23" s="64">
        <v>22.77</v>
      </c>
      <c r="M23" s="64">
        <v>98.08</v>
      </c>
      <c r="N23" s="64">
        <v>51.6</v>
      </c>
      <c r="O23" s="64">
        <v>0</v>
      </c>
      <c r="P23" s="64">
        <v>0.17</v>
      </c>
      <c r="Q23" s="64">
        <v>9.6300000000000008</v>
      </c>
      <c r="R23" s="198"/>
      <c r="S23" s="198"/>
      <c r="T23" s="198"/>
      <c r="U23" s="198"/>
    </row>
    <row r="24" spans="1:21" s="12" customFormat="1" x14ac:dyDescent="0.25">
      <c r="A24" s="212" t="s">
        <v>934</v>
      </c>
      <c r="B24" s="64">
        <v>6.56</v>
      </c>
      <c r="C24" s="64">
        <v>7.44</v>
      </c>
      <c r="D24" s="64">
        <v>9.15</v>
      </c>
      <c r="E24" s="64">
        <v>4.43</v>
      </c>
      <c r="F24" s="64">
        <v>2.78</v>
      </c>
      <c r="G24" s="64">
        <v>13.27</v>
      </c>
      <c r="H24" s="64">
        <v>4.24</v>
      </c>
      <c r="I24" s="64">
        <v>0.83</v>
      </c>
      <c r="J24" s="64">
        <v>0.09</v>
      </c>
      <c r="K24" s="64">
        <v>317.7</v>
      </c>
      <c r="L24" s="64">
        <v>22.81</v>
      </c>
      <c r="M24" s="64">
        <v>98.1</v>
      </c>
      <c r="N24" s="64">
        <v>51.7</v>
      </c>
      <c r="O24" s="64">
        <v>0</v>
      </c>
      <c r="P24" s="64">
        <v>0.17</v>
      </c>
      <c r="Q24" s="64">
        <v>9.6300000000000008</v>
      </c>
      <c r="R24" s="198"/>
      <c r="S24" s="198"/>
      <c r="T24" s="198"/>
      <c r="U24" s="198"/>
    </row>
    <row r="25" spans="1:21" s="12" customFormat="1" x14ac:dyDescent="0.25">
      <c r="A25" s="212" t="s">
        <v>935</v>
      </c>
      <c r="B25" s="64">
        <v>6.89</v>
      </c>
      <c r="C25" s="64">
        <v>7.59</v>
      </c>
      <c r="D25" s="64">
        <v>9.49</v>
      </c>
      <c r="E25" s="64">
        <v>4.5999999999999996</v>
      </c>
      <c r="F25" s="64">
        <v>2.4300000000000002</v>
      </c>
      <c r="G25" s="64">
        <v>13.27</v>
      </c>
      <c r="H25" s="64">
        <v>4.24</v>
      </c>
      <c r="I25" s="64">
        <v>0.83</v>
      </c>
      <c r="J25" s="64">
        <v>0.09</v>
      </c>
      <c r="K25" s="64">
        <v>303.11</v>
      </c>
      <c r="L25" s="64">
        <v>22.85</v>
      </c>
      <c r="M25" s="64">
        <v>98.11</v>
      </c>
      <c r="N25" s="64">
        <v>51.7</v>
      </c>
      <c r="O25" s="64">
        <v>0</v>
      </c>
      <c r="P25" s="64">
        <v>0.17</v>
      </c>
      <c r="Q25" s="64">
        <v>9.64</v>
      </c>
      <c r="R25" s="198"/>
      <c r="S25" s="198"/>
      <c r="T25" s="198"/>
      <c r="U25" s="198"/>
    </row>
    <row r="26" spans="1:21" s="12" customFormat="1" x14ac:dyDescent="0.25">
      <c r="A26" s="212" t="s">
        <v>936</v>
      </c>
      <c r="B26" s="64">
        <v>6.83</v>
      </c>
      <c r="C26" s="64">
        <v>7.86</v>
      </c>
      <c r="D26" s="64">
        <v>9.58</v>
      </c>
      <c r="E26" s="64">
        <v>4.7</v>
      </c>
      <c r="F26" s="64">
        <v>2.66</v>
      </c>
      <c r="G26" s="64">
        <v>13.27</v>
      </c>
      <c r="H26" s="64">
        <v>4.24</v>
      </c>
      <c r="I26" s="64">
        <v>0.82</v>
      </c>
      <c r="J26" s="64">
        <v>0.06</v>
      </c>
      <c r="K26" s="64">
        <v>298.31</v>
      </c>
      <c r="L26" s="64">
        <v>22.89</v>
      </c>
      <c r="M26" s="64">
        <v>98.13</v>
      </c>
      <c r="N26" s="64">
        <v>51.9</v>
      </c>
      <c r="O26" s="64">
        <v>0</v>
      </c>
      <c r="P26" s="64">
        <v>0.18</v>
      </c>
      <c r="Q26" s="64">
        <v>9.61</v>
      </c>
      <c r="R26" s="198"/>
      <c r="S26" s="198"/>
      <c r="T26" s="198"/>
      <c r="U26" s="198"/>
    </row>
    <row r="27" spans="1:21" s="12" customFormat="1" x14ac:dyDescent="0.25">
      <c r="A27" s="212" t="s">
        <v>937</v>
      </c>
      <c r="B27" s="64">
        <v>6.5</v>
      </c>
      <c r="C27" s="64">
        <v>8.08</v>
      </c>
      <c r="D27" s="64">
        <v>9.43</v>
      </c>
      <c r="E27" s="64">
        <v>4.46</v>
      </c>
      <c r="F27" s="64">
        <v>2.98</v>
      </c>
      <c r="G27" s="64">
        <v>12.65</v>
      </c>
      <c r="H27" s="64">
        <v>3.37</v>
      </c>
      <c r="I27" s="64">
        <v>0.82</v>
      </c>
      <c r="J27" s="64">
        <v>0.1</v>
      </c>
      <c r="K27" s="64">
        <v>326.16000000000003</v>
      </c>
      <c r="L27" s="64">
        <v>22.85</v>
      </c>
      <c r="M27" s="64">
        <v>98.12</v>
      </c>
      <c r="N27" s="64">
        <v>51.9</v>
      </c>
      <c r="O27" s="64">
        <v>0</v>
      </c>
      <c r="P27" s="64">
        <v>0.19</v>
      </c>
      <c r="Q27" s="64">
        <v>9.6300000000000008</v>
      </c>
      <c r="R27" s="198"/>
      <c r="S27" s="198"/>
      <c r="T27" s="198"/>
      <c r="U27" s="198"/>
    </row>
    <row r="28" spans="1:21" s="12" customFormat="1" x14ac:dyDescent="0.25">
      <c r="A28" s="212" t="s">
        <v>938</v>
      </c>
      <c r="B28" s="64">
        <v>8.1199999999999992</v>
      </c>
      <c r="C28" s="64">
        <v>9.66</v>
      </c>
      <c r="D28" s="64">
        <v>11.56</v>
      </c>
      <c r="E28" s="64">
        <v>4.3499999999999996</v>
      </c>
      <c r="F28" s="64">
        <v>3.15</v>
      </c>
      <c r="G28" s="64">
        <v>12.59</v>
      </c>
      <c r="H28" s="64">
        <v>3.3</v>
      </c>
      <c r="I28" s="64">
        <v>0.83</v>
      </c>
      <c r="J28" s="64">
        <v>0.08</v>
      </c>
      <c r="K28" s="64">
        <v>321.33999999999997</v>
      </c>
      <c r="L28" s="64">
        <v>22.86</v>
      </c>
      <c r="M28" s="64">
        <v>98.13</v>
      </c>
      <c r="N28" s="64">
        <v>51.8</v>
      </c>
      <c r="O28" s="64">
        <v>0</v>
      </c>
      <c r="P28" s="64">
        <v>0.23</v>
      </c>
      <c r="Q28" s="64">
        <v>9.6199999999999992</v>
      </c>
      <c r="R28" s="198"/>
      <c r="S28" s="198"/>
      <c r="T28" s="198"/>
      <c r="U28" s="198"/>
    </row>
    <row r="29" spans="1:21" s="12" customFormat="1" x14ac:dyDescent="0.25">
      <c r="A29" s="212" t="s">
        <v>939</v>
      </c>
      <c r="B29" s="64">
        <v>7.16</v>
      </c>
      <c r="C29" s="64">
        <v>10.48</v>
      </c>
      <c r="D29" s="64">
        <v>11.22</v>
      </c>
      <c r="E29" s="64">
        <v>4.2300000000000004</v>
      </c>
      <c r="F29" s="64">
        <v>5.0199999999999996</v>
      </c>
      <c r="G29" s="64">
        <v>12.59</v>
      </c>
      <c r="H29" s="64">
        <v>3.3</v>
      </c>
      <c r="I29" s="64">
        <v>0.83</v>
      </c>
      <c r="J29" s="64">
        <v>0.06</v>
      </c>
      <c r="K29" s="64">
        <v>305.29000000000002</v>
      </c>
      <c r="L29" s="64">
        <v>22.85</v>
      </c>
      <c r="M29" s="64">
        <v>98.06</v>
      </c>
      <c r="N29" s="64">
        <v>51.6</v>
      </c>
      <c r="O29" s="64">
        <v>0</v>
      </c>
      <c r="P29" s="64">
        <v>0.27</v>
      </c>
      <c r="Q29" s="64">
        <v>9.6300000000000008</v>
      </c>
      <c r="R29" s="198"/>
      <c r="S29" s="198"/>
      <c r="T29" s="198"/>
      <c r="U29" s="198"/>
    </row>
    <row r="30" spans="1:21" s="12" customFormat="1" x14ac:dyDescent="0.25">
      <c r="A30" s="212" t="s">
        <v>940</v>
      </c>
      <c r="B30" s="64">
        <v>6.89</v>
      </c>
      <c r="C30" s="64">
        <v>10.29</v>
      </c>
      <c r="D30" s="64">
        <v>10.9</v>
      </c>
      <c r="E30" s="64">
        <v>4.2699999999999996</v>
      </c>
      <c r="F30" s="64">
        <v>4.57</v>
      </c>
      <c r="G30" s="64">
        <v>12.59</v>
      </c>
      <c r="H30" s="64">
        <v>3.3</v>
      </c>
      <c r="I30" s="64">
        <v>0.86</v>
      </c>
      <c r="J30" s="64">
        <v>0.06</v>
      </c>
      <c r="K30" s="64">
        <v>256.2</v>
      </c>
      <c r="L30" s="64">
        <v>22.93</v>
      </c>
      <c r="M30" s="64">
        <v>98</v>
      </c>
      <c r="N30" s="64">
        <v>52</v>
      </c>
      <c r="O30" s="64">
        <v>0</v>
      </c>
      <c r="P30" s="64">
        <v>0.28999999999999998</v>
      </c>
      <c r="Q30" s="64">
        <v>9.64</v>
      </c>
      <c r="R30" s="198"/>
      <c r="S30" s="198"/>
      <c r="T30" s="198"/>
      <c r="U30" s="198"/>
    </row>
    <row r="31" spans="1:21" s="12" customFormat="1" x14ac:dyDescent="0.25">
      <c r="A31" s="212" t="s">
        <v>941</v>
      </c>
      <c r="B31" s="64">
        <v>6.55</v>
      </c>
      <c r="C31" s="64">
        <v>10.38</v>
      </c>
      <c r="D31" s="64">
        <v>10.68</v>
      </c>
      <c r="E31" s="64">
        <v>4.51</v>
      </c>
      <c r="F31" s="64">
        <v>3.95</v>
      </c>
      <c r="G31" s="64">
        <v>13.39</v>
      </c>
      <c r="H31" s="64">
        <v>4.28</v>
      </c>
      <c r="I31" s="64">
        <v>0.88</v>
      </c>
      <c r="J31" s="64">
        <v>7.0000000000000007E-2</v>
      </c>
      <c r="K31" s="64">
        <v>233.38</v>
      </c>
      <c r="L31" s="64">
        <v>22.96</v>
      </c>
      <c r="M31" s="64">
        <v>98</v>
      </c>
      <c r="N31" s="64">
        <v>56</v>
      </c>
      <c r="O31" s="64">
        <v>0</v>
      </c>
      <c r="P31" s="64">
        <v>0.24</v>
      </c>
      <c r="Q31" s="64">
        <v>9.6300000000000008</v>
      </c>
      <c r="R31" s="198"/>
      <c r="S31" s="198"/>
      <c r="T31" s="198"/>
      <c r="U31" s="198"/>
    </row>
    <row r="32" spans="1:21" s="12" customFormat="1" x14ac:dyDescent="0.25">
      <c r="A32" s="212" t="s">
        <v>942</v>
      </c>
      <c r="B32" s="64">
        <v>7.02</v>
      </c>
      <c r="C32" s="64">
        <v>8.85</v>
      </c>
      <c r="D32" s="64">
        <v>10.26</v>
      </c>
      <c r="E32" s="64">
        <v>4.7</v>
      </c>
      <c r="F32" s="64">
        <v>2.76</v>
      </c>
      <c r="G32" s="64">
        <v>13.45</v>
      </c>
      <c r="H32" s="64">
        <v>4.3600000000000003</v>
      </c>
      <c r="I32" s="64">
        <v>0.93</v>
      </c>
      <c r="J32" s="64">
        <v>0.1</v>
      </c>
      <c r="K32" s="64">
        <v>299.88</v>
      </c>
      <c r="L32" s="64">
        <v>22.94</v>
      </c>
      <c r="M32" s="64">
        <v>98.02</v>
      </c>
      <c r="N32" s="64">
        <v>63.6</v>
      </c>
      <c r="O32" s="64">
        <v>0</v>
      </c>
      <c r="P32" s="64">
        <v>0.21</v>
      </c>
      <c r="Q32" s="64">
        <v>9.6300000000000008</v>
      </c>
      <c r="R32" s="198"/>
      <c r="S32" s="198"/>
      <c r="T32" s="198"/>
      <c r="U32" s="198"/>
    </row>
    <row r="33" spans="1:21" s="12" customFormat="1" x14ac:dyDescent="0.25">
      <c r="A33" s="212" t="s">
        <v>943</v>
      </c>
      <c r="B33" s="64">
        <v>7.42</v>
      </c>
      <c r="C33" s="64">
        <v>7.87</v>
      </c>
      <c r="D33" s="64">
        <v>10.06</v>
      </c>
      <c r="E33" s="64">
        <v>4.6900000000000004</v>
      </c>
      <c r="F33" s="64">
        <v>2.73</v>
      </c>
      <c r="G33" s="64">
        <v>13.45</v>
      </c>
      <c r="H33" s="64">
        <v>4.3600000000000003</v>
      </c>
      <c r="I33" s="64">
        <v>0.97</v>
      </c>
      <c r="J33" s="64">
        <v>0.14000000000000001</v>
      </c>
      <c r="K33" s="64">
        <v>299.85000000000002</v>
      </c>
      <c r="L33" s="64">
        <v>22.96</v>
      </c>
      <c r="M33" s="64">
        <v>98.01</v>
      </c>
      <c r="N33" s="64">
        <v>73.5</v>
      </c>
      <c r="O33" s="64">
        <v>0</v>
      </c>
      <c r="P33" s="64">
        <v>0.2</v>
      </c>
      <c r="Q33" s="64">
        <v>9.6300000000000008</v>
      </c>
      <c r="R33" s="198"/>
      <c r="S33" s="198"/>
      <c r="T33" s="198"/>
      <c r="U33" s="198"/>
    </row>
    <row r="34" spans="1:21" s="12" customFormat="1" x14ac:dyDescent="0.25">
      <c r="A34" s="212" t="s">
        <v>944</v>
      </c>
      <c r="B34" s="64">
        <v>7.36</v>
      </c>
      <c r="C34" s="64">
        <v>8.1</v>
      </c>
      <c r="D34" s="64">
        <v>10.14</v>
      </c>
      <c r="E34" s="64">
        <v>4.6500000000000004</v>
      </c>
      <c r="F34" s="64">
        <v>2.4900000000000002</v>
      </c>
      <c r="G34" s="64">
        <v>13.45</v>
      </c>
      <c r="H34" s="64">
        <v>4.3600000000000003</v>
      </c>
      <c r="I34" s="64">
        <v>0.96</v>
      </c>
      <c r="J34" s="64">
        <v>0.12</v>
      </c>
      <c r="K34" s="64">
        <v>290.36</v>
      </c>
      <c r="L34" s="64">
        <v>22.94</v>
      </c>
      <c r="M34" s="64">
        <v>97.91</v>
      </c>
      <c r="N34" s="64">
        <v>81.900000000000006</v>
      </c>
      <c r="O34" s="64">
        <v>0</v>
      </c>
      <c r="P34" s="64">
        <v>0.2</v>
      </c>
      <c r="Q34" s="64">
        <v>9.6300000000000008</v>
      </c>
      <c r="R34" s="198"/>
      <c r="S34" s="198"/>
      <c r="T34" s="198"/>
      <c r="U34" s="198"/>
    </row>
    <row r="35" spans="1:21" s="12" customFormat="1" x14ac:dyDescent="0.25">
      <c r="A35" s="212" t="s">
        <v>945</v>
      </c>
      <c r="B35" s="64">
        <v>7.79</v>
      </c>
      <c r="C35" s="64">
        <v>10.58</v>
      </c>
      <c r="D35" s="64">
        <v>11.78</v>
      </c>
      <c r="E35" s="64">
        <v>4.5199999999999996</v>
      </c>
      <c r="F35" s="64">
        <v>2.52</v>
      </c>
      <c r="G35" s="64">
        <v>13.76</v>
      </c>
      <c r="H35" s="64">
        <v>3.25</v>
      </c>
      <c r="I35" s="64">
        <v>0.95</v>
      </c>
      <c r="J35" s="64">
        <v>0.15</v>
      </c>
      <c r="K35" s="64">
        <v>296.10000000000002</v>
      </c>
      <c r="L35" s="64">
        <v>22.94</v>
      </c>
      <c r="M35" s="64">
        <v>97.9</v>
      </c>
      <c r="N35" s="64">
        <v>90.7</v>
      </c>
      <c r="O35" s="64">
        <v>0</v>
      </c>
      <c r="P35" s="64">
        <v>0.21</v>
      </c>
      <c r="Q35" s="64">
        <v>9.6199999999999992</v>
      </c>
      <c r="R35" s="198"/>
      <c r="S35" s="198"/>
      <c r="T35" s="198"/>
      <c r="U35" s="198"/>
    </row>
    <row r="36" spans="1:21" s="12" customFormat="1" x14ac:dyDescent="0.25">
      <c r="A36" s="212" t="s">
        <v>946</v>
      </c>
      <c r="B36" s="64">
        <v>7.51</v>
      </c>
      <c r="C36" s="64">
        <v>9.11</v>
      </c>
      <c r="D36" s="64">
        <v>10.78</v>
      </c>
      <c r="E36" s="64">
        <v>4.83</v>
      </c>
      <c r="F36" s="64">
        <v>2.4500000000000002</v>
      </c>
      <c r="G36" s="64">
        <v>13.78</v>
      </c>
      <c r="H36" s="64">
        <v>3.16</v>
      </c>
      <c r="I36" s="64">
        <v>0.95</v>
      </c>
      <c r="J36" s="64">
        <v>0.17</v>
      </c>
      <c r="K36" s="64">
        <v>297.37</v>
      </c>
      <c r="L36" s="64">
        <v>22.9</v>
      </c>
      <c r="M36" s="64">
        <v>97.82</v>
      </c>
      <c r="N36" s="64">
        <v>92.6</v>
      </c>
      <c r="O36" s="64">
        <v>0</v>
      </c>
      <c r="P36" s="64">
        <v>0.21</v>
      </c>
      <c r="Q36" s="64">
        <v>9.6199999999999992</v>
      </c>
      <c r="R36" s="198"/>
      <c r="S36" s="198"/>
      <c r="T36" s="198"/>
      <c r="U36" s="198"/>
    </row>
    <row r="37" spans="1:21" s="12" customFormat="1" x14ac:dyDescent="0.25">
      <c r="A37" s="212" t="s">
        <v>947</v>
      </c>
      <c r="B37" s="64">
        <v>7.24</v>
      </c>
      <c r="C37" s="64">
        <v>8.81</v>
      </c>
      <c r="D37" s="64">
        <v>10.41</v>
      </c>
      <c r="E37" s="64">
        <v>4.51</v>
      </c>
      <c r="F37" s="64">
        <v>2.1</v>
      </c>
      <c r="G37" s="64">
        <v>13.78</v>
      </c>
      <c r="H37" s="64">
        <v>3.16</v>
      </c>
      <c r="I37" s="64">
        <v>0.95</v>
      </c>
      <c r="J37" s="64">
        <v>0.16</v>
      </c>
      <c r="K37" s="64">
        <v>298.27</v>
      </c>
      <c r="L37" s="64">
        <v>22.99</v>
      </c>
      <c r="M37" s="64">
        <v>97.77</v>
      </c>
      <c r="N37" s="64">
        <v>107.6</v>
      </c>
      <c r="O37" s="64">
        <v>0</v>
      </c>
      <c r="P37" s="64">
        <v>0.18</v>
      </c>
      <c r="Q37" s="64">
        <v>9.6199999999999992</v>
      </c>
      <c r="R37" s="198"/>
      <c r="S37" s="198"/>
      <c r="T37" s="198"/>
      <c r="U37" s="198"/>
    </row>
    <row r="38" spans="1:21" s="12" customFormat="1" x14ac:dyDescent="0.25">
      <c r="A38" s="212" t="s">
        <v>948</v>
      </c>
      <c r="B38" s="64">
        <v>7.18</v>
      </c>
      <c r="C38" s="64">
        <v>8.8000000000000007</v>
      </c>
      <c r="D38" s="64">
        <v>10.36</v>
      </c>
      <c r="E38" s="64">
        <v>4.41</v>
      </c>
      <c r="F38" s="64">
        <v>2.2400000000000002</v>
      </c>
      <c r="G38" s="64">
        <v>13.78</v>
      </c>
      <c r="H38" s="64">
        <v>3.16</v>
      </c>
      <c r="I38" s="64">
        <v>0.94</v>
      </c>
      <c r="J38" s="64">
        <v>0.17</v>
      </c>
      <c r="K38" s="64">
        <v>303.72000000000003</v>
      </c>
      <c r="L38" s="64">
        <v>23.11</v>
      </c>
      <c r="M38" s="64">
        <v>97.76</v>
      </c>
      <c r="N38" s="64">
        <v>117</v>
      </c>
      <c r="O38" s="64">
        <v>0</v>
      </c>
      <c r="P38" s="64">
        <v>0.21</v>
      </c>
      <c r="Q38" s="64">
        <v>9.6199999999999992</v>
      </c>
      <c r="R38" s="198"/>
      <c r="S38" s="198"/>
      <c r="T38" s="198"/>
      <c r="U38" s="198"/>
    </row>
    <row r="39" spans="1:21" s="12" customFormat="1" x14ac:dyDescent="0.25">
      <c r="A39" s="212" t="s">
        <v>949</v>
      </c>
      <c r="B39" s="64">
        <v>6.96</v>
      </c>
      <c r="C39" s="64">
        <v>8.8800000000000008</v>
      </c>
      <c r="D39" s="64">
        <v>10.220000000000001</v>
      </c>
      <c r="E39" s="64">
        <v>4.54</v>
      </c>
      <c r="F39" s="64">
        <v>2.14</v>
      </c>
      <c r="G39" s="64">
        <v>16.07</v>
      </c>
      <c r="H39" s="64">
        <v>3.95</v>
      </c>
      <c r="I39" s="64">
        <v>0.93</v>
      </c>
      <c r="J39" s="64">
        <v>0.22</v>
      </c>
      <c r="K39" s="64">
        <v>292.68</v>
      </c>
      <c r="L39" s="64">
        <v>23.15</v>
      </c>
      <c r="M39" s="64">
        <v>97.73</v>
      </c>
      <c r="N39" s="64">
        <v>121.8</v>
      </c>
      <c r="O39" s="64">
        <v>0</v>
      </c>
      <c r="P39" s="64">
        <v>0.2</v>
      </c>
      <c r="Q39" s="64">
        <v>9.6300000000000008</v>
      </c>
      <c r="R39" s="198"/>
      <c r="S39" s="198"/>
      <c r="T39" s="198"/>
      <c r="U39" s="198"/>
    </row>
    <row r="40" spans="1:21" s="12" customFormat="1" x14ac:dyDescent="0.25">
      <c r="A40" s="212" t="s">
        <v>950</v>
      </c>
      <c r="B40" s="64">
        <v>6.74</v>
      </c>
      <c r="C40" s="64">
        <v>9.1300000000000008</v>
      </c>
      <c r="D40" s="64">
        <v>10.18</v>
      </c>
      <c r="E40" s="64">
        <v>4.2699999999999996</v>
      </c>
      <c r="F40" s="64">
        <v>2.3199999999999998</v>
      </c>
      <c r="G40" s="64">
        <v>16.260000000000002</v>
      </c>
      <c r="H40" s="64">
        <v>4.01</v>
      </c>
      <c r="I40" s="64">
        <v>0.92</v>
      </c>
      <c r="J40" s="64">
        <v>0.16</v>
      </c>
      <c r="K40" s="64">
        <v>289.12</v>
      </c>
      <c r="L40" s="64">
        <v>23.29</v>
      </c>
      <c r="M40" s="64">
        <v>97.73</v>
      </c>
      <c r="N40" s="64">
        <v>167.8</v>
      </c>
      <c r="O40" s="64">
        <v>0</v>
      </c>
      <c r="P40" s="64">
        <v>0.21</v>
      </c>
      <c r="Q40" s="64">
        <v>9.6199999999999992</v>
      </c>
      <c r="R40" s="198"/>
      <c r="S40" s="198"/>
      <c r="T40" s="198"/>
      <c r="U40" s="198"/>
    </row>
    <row r="41" spans="1:21" s="12" customFormat="1" x14ac:dyDescent="0.25">
      <c r="A41" s="212" t="s">
        <v>951</v>
      </c>
      <c r="B41" s="64">
        <v>6.46</v>
      </c>
      <c r="C41" s="64">
        <v>9.36</v>
      </c>
      <c r="D41" s="64">
        <v>10.07</v>
      </c>
      <c r="E41" s="64">
        <v>3.91</v>
      </c>
      <c r="F41" s="64">
        <v>2.5099999999999998</v>
      </c>
      <c r="G41" s="64">
        <v>16.260000000000002</v>
      </c>
      <c r="H41" s="64">
        <v>4.01</v>
      </c>
      <c r="I41" s="64">
        <v>0.89</v>
      </c>
      <c r="J41" s="64">
        <v>0.18</v>
      </c>
      <c r="K41" s="64">
        <v>298.91000000000003</v>
      </c>
      <c r="L41" s="64">
        <v>23.6</v>
      </c>
      <c r="M41" s="64">
        <v>97.72</v>
      </c>
      <c r="N41" s="64">
        <v>229</v>
      </c>
      <c r="O41" s="64">
        <v>0</v>
      </c>
      <c r="P41" s="64">
        <v>0.21</v>
      </c>
      <c r="Q41" s="64">
        <v>9.6199999999999992</v>
      </c>
      <c r="R41" s="198"/>
      <c r="S41" s="198"/>
      <c r="T41" s="198"/>
      <c r="U41" s="198"/>
    </row>
    <row r="42" spans="1:21" s="12" customFormat="1" x14ac:dyDescent="0.25">
      <c r="A42" s="212" t="s">
        <v>952</v>
      </c>
      <c r="B42" s="64">
        <v>6.44</v>
      </c>
      <c r="C42" s="64">
        <v>10</v>
      </c>
      <c r="D42" s="64">
        <v>10.39</v>
      </c>
      <c r="E42" s="64">
        <v>4.2300000000000004</v>
      </c>
      <c r="F42" s="64">
        <v>2.2200000000000002</v>
      </c>
      <c r="G42" s="64">
        <v>16.260000000000002</v>
      </c>
      <c r="H42" s="64">
        <v>4.01</v>
      </c>
      <c r="I42" s="64">
        <v>0.9</v>
      </c>
      <c r="J42" s="64">
        <v>0.17</v>
      </c>
      <c r="K42" s="64">
        <v>282.22000000000003</v>
      </c>
      <c r="L42" s="64">
        <v>24.07</v>
      </c>
      <c r="M42" s="64">
        <v>97.7</v>
      </c>
      <c r="N42" s="64">
        <v>230.5</v>
      </c>
      <c r="O42" s="64">
        <v>0</v>
      </c>
      <c r="P42" s="64">
        <v>0.22</v>
      </c>
      <c r="Q42" s="64">
        <v>9.61</v>
      </c>
      <c r="R42" s="198"/>
      <c r="S42" s="198"/>
      <c r="T42" s="198"/>
      <c r="U42" s="198"/>
    </row>
    <row r="43" spans="1:21" s="12" customFormat="1" x14ac:dyDescent="0.25">
      <c r="A43" s="212" t="s">
        <v>953</v>
      </c>
      <c r="B43" s="64">
        <v>6.96</v>
      </c>
      <c r="C43" s="64">
        <v>9.7200000000000006</v>
      </c>
      <c r="D43" s="64">
        <v>10.66</v>
      </c>
      <c r="E43" s="64">
        <v>4.1500000000000004</v>
      </c>
      <c r="F43" s="64">
        <v>2.72</v>
      </c>
      <c r="G43" s="64">
        <v>17.38</v>
      </c>
      <c r="H43" s="64">
        <v>3.04</v>
      </c>
      <c r="I43" s="64">
        <v>0.89</v>
      </c>
      <c r="J43" s="64">
        <v>0.16</v>
      </c>
      <c r="K43" s="64">
        <v>274.64</v>
      </c>
      <c r="L43" s="64">
        <v>24.62</v>
      </c>
      <c r="M43" s="64">
        <v>97.66</v>
      </c>
      <c r="N43" s="64">
        <v>237.3</v>
      </c>
      <c r="O43" s="64">
        <v>0.2</v>
      </c>
      <c r="P43" s="64">
        <v>0.22</v>
      </c>
      <c r="Q43" s="64">
        <v>9.6199999999999992</v>
      </c>
      <c r="R43" s="198"/>
      <c r="S43" s="198"/>
      <c r="T43" s="198"/>
      <c r="U43" s="198"/>
    </row>
    <row r="44" spans="1:21" s="12" customFormat="1" x14ac:dyDescent="0.25">
      <c r="A44" s="212" t="s">
        <v>954</v>
      </c>
      <c r="B44" s="64">
        <v>7.24</v>
      </c>
      <c r="C44" s="64">
        <v>9.23</v>
      </c>
      <c r="D44" s="64">
        <v>10.63</v>
      </c>
      <c r="E44" s="64">
        <v>3.87</v>
      </c>
      <c r="F44" s="64">
        <v>2.4500000000000002</v>
      </c>
      <c r="G44" s="64">
        <v>17.48</v>
      </c>
      <c r="H44" s="64">
        <v>2.95</v>
      </c>
      <c r="I44" s="64">
        <v>0.91</v>
      </c>
      <c r="J44" s="64">
        <v>0.13</v>
      </c>
      <c r="K44" s="64">
        <v>284.93</v>
      </c>
      <c r="L44" s="64">
        <v>24.79</v>
      </c>
      <c r="M44" s="64">
        <v>97.67</v>
      </c>
      <c r="N44" s="64">
        <v>265</v>
      </c>
      <c r="O44" s="64">
        <v>0</v>
      </c>
      <c r="P44" s="64">
        <v>0.24</v>
      </c>
      <c r="Q44" s="64">
        <v>9.6</v>
      </c>
      <c r="R44" s="198"/>
      <c r="S44" s="198"/>
      <c r="T44" s="198"/>
      <c r="U44" s="198"/>
    </row>
    <row r="45" spans="1:21" s="12" customFormat="1" x14ac:dyDescent="0.25">
      <c r="A45" s="212" t="s">
        <v>955</v>
      </c>
      <c r="B45" s="64">
        <v>7.16</v>
      </c>
      <c r="C45" s="64">
        <v>9.02</v>
      </c>
      <c r="D45" s="64">
        <v>10.46</v>
      </c>
      <c r="E45" s="64">
        <v>4.0199999999999996</v>
      </c>
      <c r="F45" s="64">
        <v>2.93</v>
      </c>
      <c r="G45" s="64">
        <v>17.48</v>
      </c>
      <c r="H45" s="64">
        <v>2.95</v>
      </c>
      <c r="I45" s="64">
        <v>0.9</v>
      </c>
      <c r="J45" s="64">
        <v>0.11</v>
      </c>
      <c r="K45" s="64">
        <v>281.89</v>
      </c>
      <c r="L45" s="64">
        <v>24.9</v>
      </c>
      <c r="M45" s="64">
        <v>97.66</v>
      </c>
      <c r="N45" s="64">
        <v>352.1</v>
      </c>
      <c r="O45" s="64">
        <v>0</v>
      </c>
      <c r="P45" s="64">
        <v>0.21</v>
      </c>
      <c r="Q45" s="64">
        <v>9.6199999999999992</v>
      </c>
      <c r="R45" s="198"/>
      <c r="S45" s="198"/>
      <c r="T45" s="198"/>
      <c r="U45" s="198"/>
    </row>
    <row r="46" spans="1:21" s="12" customFormat="1" x14ac:dyDescent="0.25">
      <c r="A46" s="212" t="s">
        <v>956</v>
      </c>
      <c r="B46" s="64">
        <v>7.03</v>
      </c>
      <c r="C46" s="64">
        <v>9.09</v>
      </c>
      <c r="D46" s="64">
        <v>10.38</v>
      </c>
      <c r="E46" s="64">
        <v>4.0199999999999996</v>
      </c>
      <c r="F46" s="64">
        <v>2.94</v>
      </c>
      <c r="G46" s="64">
        <v>17.48</v>
      </c>
      <c r="H46" s="64">
        <v>2.95</v>
      </c>
      <c r="I46" s="64">
        <v>0.92</v>
      </c>
      <c r="J46" s="64">
        <v>0.11</v>
      </c>
      <c r="K46" s="64">
        <v>230.49</v>
      </c>
      <c r="L46" s="64">
        <v>25.16</v>
      </c>
      <c r="M46" s="64">
        <v>97.63</v>
      </c>
      <c r="N46" s="64">
        <v>329</v>
      </c>
      <c r="O46" s="64">
        <v>0</v>
      </c>
      <c r="P46" s="64">
        <v>0.23</v>
      </c>
      <c r="Q46" s="64">
        <v>9.6199999999999992</v>
      </c>
      <c r="R46" s="198"/>
      <c r="S46" s="198"/>
      <c r="T46" s="198"/>
      <c r="U46" s="198"/>
    </row>
    <row r="47" spans="1:21" s="12" customFormat="1" x14ac:dyDescent="0.25">
      <c r="A47" s="212" t="s">
        <v>957</v>
      </c>
      <c r="B47" s="64">
        <v>6.96</v>
      </c>
      <c r="C47" s="64">
        <v>9.02</v>
      </c>
      <c r="D47" s="64">
        <v>10.29</v>
      </c>
      <c r="E47" s="64">
        <v>4.05</v>
      </c>
      <c r="F47" s="64">
        <v>2.5099999999999998</v>
      </c>
      <c r="G47" s="64">
        <v>18.16</v>
      </c>
      <c r="H47" s="64">
        <v>2.44</v>
      </c>
      <c r="I47" s="64">
        <v>0.92</v>
      </c>
      <c r="J47" s="64">
        <v>0.15</v>
      </c>
      <c r="K47" s="64">
        <v>280.47000000000003</v>
      </c>
      <c r="L47" s="64">
        <v>25.18</v>
      </c>
      <c r="M47" s="64">
        <v>97.56</v>
      </c>
      <c r="N47" s="64">
        <v>288.7</v>
      </c>
      <c r="O47" s="64">
        <v>0</v>
      </c>
      <c r="P47" s="64">
        <v>0.23</v>
      </c>
      <c r="Q47" s="64">
        <v>9.61</v>
      </c>
      <c r="R47" s="198"/>
      <c r="S47" s="198"/>
      <c r="T47" s="198"/>
      <c r="U47" s="198"/>
    </row>
    <row r="48" spans="1:21" s="12" customFormat="1" x14ac:dyDescent="0.25">
      <c r="A48" s="212" t="s">
        <v>958</v>
      </c>
      <c r="B48" s="64">
        <v>7.05</v>
      </c>
      <c r="C48" s="64">
        <v>9.49</v>
      </c>
      <c r="D48" s="64">
        <v>10.61</v>
      </c>
      <c r="E48" s="64">
        <v>3.96</v>
      </c>
      <c r="F48" s="64">
        <v>3.11</v>
      </c>
      <c r="G48" s="64">
        <v>18.22</v>
      </c>
      <c r="H48" s="64">
        <v>2.4</v>
      </c>
      <c r="I48" s="64">
        <v>0.91</v>
      </c>
      <c r="J48" s="64">
        <v>0.14000000000000001</v>
      </c>
      <c r="K48" s="64">
        <v>205.66</v>
      </c>
      <c r="L48" s="64">
        <v>25.29</v>
      </c>
      <c r="M48" s="64">
        <v>97.5</v>
      </c>
      <c r="N48" s="64">
        <v>245.3</v>
      </c>
      <c r="O48" s="64">
        <v>0</v>
      </c>
      <c r="P48" s="64">
        <v>0.23</v>
      </c>
      <c r="Q48" s="64">
        <v>9.61</v>
      </c>
      <c r="R48" s="198"/>
      <c r="S48" s="198"/>
      <c r="T48" s="198"/>
      <c r="U48" s="198"/>
    </row>
    <row r="49" spans="1:21" s="12" customFormat="1" x14ac:dyDescent="0.25">
      <c r="A49" s="212" t="s">
        <v>959</v>
      </c>
      <c r="B49" s="64">
        <v>7.1</v>
      </c>
      <c r="C49" s="64">
        <v>9.59</v>
      </c>
      <c r="D49" s="64">
        <v>10.71</v>
      </c>
      <c r="E49" s="64">
        <v>3.91</v>
      </c>
      <c r="F49" s="64">
        <v>2.1</v>
      </c>
      <c r="G49" s="64">
        <v>18.22</v>
      </c>
      <c r="H49" s="64">
        <v>2.4</v>
      </c>
      <c r="I49" s="64">
        <v>0.9</v>
      </c>
      <c r="J49" s="64">
        <v>0.12</v>
      </c>
      <c r="K49" s="64">
        <v>237.27</v>
      </c>
      <c r="L49" s="64">
        <v>25.07</v>
      </c>
      <c r="M49" s="64">
        <v>97.66</v>
      </c>
      <c r="N49" s="64">
        <v>232.2</v>
      </c>
      <c r="O49" s="64">
        <v>0</v>
      </c>
      <c r="P49" s="64">
        <v>0.23</v>
      </c>
      <c r="Q49" s="64">
        <v>9.61</v>
      </c>
      <c r="R49" s="198"/>
      <c r="S49" s="198"/>
      <c r="T49" s="198"/>
      <c r="U49" s="198"/>
    </row>
    <row r="50" spans="1:21" s="12" customFormat="1" x14ac:dyDescent="0.25">
      <c r="A50" s="212" t="s">
        <v>960</v>
      </c>
      <c r="B50" s="64">
        <v>7.08</v>
      </c>
      <c r="C50" s="64">
        <v>9.52</v>
      </c>
      <c r="D50" s="64">
        <v>10.65</v>
      </c>
      <c r="E50" s="64">
        <v>4.18</v>
      </c>
      <c r="F50" s="64">
        <v>2.72</v>
      </c>
      <c r="G50" s="64">
        <v>18.22</v>
      </c>
      <c r="H50" s="64">
        <v>2.4</v>
      </c>
      <c r="I50" s="64">
        <v>0.94</v>
      </c>
      <c r="J50" s="64">
        <v>0.12</v>
      </c>
      <c r="K50" s="64">
        <v>188.43</v>
      </c>
      <c r="L50" s="64">
        <v>25.1</v>
      </c>
      <c r="M50" s="64">
        <v>97.66</v>
      </c>
      <c r="N50" s="64">
        <v>227.1</v>
      </c>
      <c r="O50" s="64">
        <v>0</v>
      </c>
      <c r="P50" s="64">
        <v>0.24</v>
      </c>
      <c r="Q50" s="64">
        <v>9.61</v>
      </c>
      <c r="R50" s="198"/>
      <c r="S50" s="198"/>
      <c r="T50" s="198"/>
      <c r="U50" s="198"/>
    </row>
    <row r="51" spans="1:21" s="12" customFormat="1" x14ac:dyDescent="0.25">
      <c r="A51" s="212" t="s">
        <v>961</v>
      </c>
      <c r="B51" s="64">
        <v>7.05</v>
      </c>
      <c r="C51" s="64">
        <v>9.27</v>
      </c>
      <c r="D51" s="64">
        <v>10.5</v>
      </c>
      <c r="E51" s="64">
        <v>4.29</v>
      </c>
      <c r="F51" s="64">
        <v>2.8</v>
      </c>
      <c r="G51" s="64">
        <v>22.31</v>
      </c>
      <c r="H51" s="64">
        <v>3.99</v>
      </c>
      <c r="I51" s="64">
        <v>0.95</v>
      </c>
      <c r="J51" s="64">
        <v>0.06</v>
      </c>
      <c r="K51" s="64">
        <v>209.71</v>
      </c>
      <c r="L51" s="64">
        <v>25.23</v>
      </c>
      <c r="M51" s="64">
        <v>97.65</v>
      </c>
      <c r="N51" s="64">
        <v>282.89999999999998</v>
      </c>
      <c r="O51" s="64">
        <v>0</v>
      </c>
      <c r="P51" s="64">
        <v>0.22</v>
      </c>
      <c r="Q51" s="64">
        <v>9.6199999999999992</v>
      </c>
      <c r="R51" s="198"/>
      <c r="S51" s="198"/>
      <c r="T51" s="198"/>
      <c r="U51" s="198"/>
    </row>
    <row r="52" spans="1:21" s="12" customFormat="1" x14ac:dyDescent="0.25">
      <c r="A52" s="212" t="s">
        <v>962</v>
      </c>
      <c r="B52" s="64">
        <v>7.66</v>
      </c>
      <c r="C52" s="64">
        <v>9.49</v>
      </c>
      <c r="D52" s="64">
        <v>11.1</v>
      </c>
      <c r="E52" s="64">
        <v>3.93</v>
      </c>
      <c r="F52" s="64">
        <v>3.22</v>
      </c>
      <c r="G52" s="64">
        <v>22.65</v>
      </c>
      <c r="H52" s="64">
        <v>4.13</v>
      </c>
      <c r="I52" s="64">
        <v>0.93</v>
      </c>
      <c r="J52" s="64">
        <v>0.66</v>
      </c>
      <c r="K52" s="64">
        <v>137.69999999999999</v>
      </c>
      <c r="L52" s="64">
        <v>25.5</v>
      </c>
      <c r="M52" s="64">
        <v>97.65</v>
      </c>
      <c r="N52" s="64">
        <v>348.5</v>
      </c>
      <c r="O52" s="64">
        <v>0</v>
      </c>
      <c r="P52" s="64">
        <v>0.22</v>
      </c>
      <c r="Q52" s="64">
        <v>9.6199999999999992</v>
      </c>
      <c r="R52" s="198"/>
      <c r="S52" s="198"/>
      <c r="T52" s="198"/>
      <c r="U52" s="198"/>
    </row>
    <row r="53" spans="1:21" s="12" customFormat="1" x14ac:dyDescent="0.25">
      <c r="A53" s="212" t="s">
        <v>963</v>
      </c>
      <c r="B53" s="64">
        <v>7.28</v>
      </c>
      <c r="C53" s="64">
        <v>9.35</v>
      </c>
      <c r="D53" s="64">
        <v>10.73</v>
      </c>
      <c r="E53" s="64">
        <v>4.05</v>
      </c>
      <c r="F53" s="64">
        <v>5.39</v>
      </c>
      <c r="G53" s="64">
        <v>22.65</v>
      </c>
      <c r="H53" s="64">
        <v>4.13</v>
      </c>
      <c r="I53" s="64">
        <v>0.92</v>
      </c>
      <c r="J53" s="64">
        <v>0.43</v>
      </c>
      <c r="K53" s="64">
        <v>133.37</v>
      </c>
      <c r="L53" s="64">
        <v>26.04</v>
      </c>
      <c r="M53" s="64">
        <v>97.17</v>
      </c>
      <c r="N53" s="64">
        <v>462</v>
      </c>
      <c r="O53" s="64">
        <v>0</v>
      </c>
      <c r="P53" s="64">
        <v>0.2</v>
      </c>
      <c r="Q53" s="64">
        <v>9.6199999999999992</v>
      </c>
      <c r="R53" s="198"/>
      <c r="S53" s="198"/>
      <c r="T53" s="198"/>
      <c r="U53" s="198"/>
    </row>
    <row r="54" spans="1:21" s="12" customFormat="1" x14ac:dyDescent="0.25">
      <c r="A54" s="212" t="s">
        <v>964</v>
      </c>
      <c r="B54" s="64">
        <v>7.02</v>
      </c>
      <c r="C54" s="64">
        <v>8.98</v>
      </c>
      <c r="D54" s="64">
        <v>10.32</v>
      </c>
      <c r="E54" s="64">
        <v>4.21</v>
      </c>
      <c r="F54" s="64">
        <v>2.75</v>
      </c>
      <c r="G54" s="64">
        <v>22.65</v>
      </c>
      <c r="H54" s="64">
        <v>4.13</v>
      </c>
      <c r="I54" s="64">
        <v>0.91</v>
      </c>
      <c r="J54" s="64">
        <v>0.25</v>
      </c>
      <c r="K54" s="64">
        <v>155.55000000000001</v>
      </c>
      <c r="L54" s="64">
        <v>26.44</v>
      </c>
      <c r="M54" s="64">
        <v>95.59</v>
      </c>
      <c r="N54" s="64">
        <v>633.1</v>
      </c>
      <c r="O54" s="64">
        <v>0</v>
      </c>
      <c r="P54" s="64">
        <v>0.21</v>
      </c>
      <c r="Q54" s="64">
        <v>9.6300000000000008</v>
      </c>
      <c r="R54" s="198"/>
      <c r="S54" s="198"/>
      <c r="T54" s="198"/>
      <c r="U54" s="198"/>
    </row>
    <row r="55" spans="1:21" s="12" customFormat="1" x14ac:dyDescent="0.25">
      <c r="A55" s="212" t="s">
        <v>965</v>
      </c>
      <c r="B55" s="64">
        <v>7</v>
      </c>
      <c r="C55" s="64">
        <v>8.9499999999999993</v>
      </c>
      <c r="D55" s="64">
        <v>10.29</v>
      </c>
      <c r="E55" s="64">
        <v>3.96</v>
      </c>
      <c r="F55" s="64">
        <v>2.86</v>
      </c>
      <c r="G55" s="64">
        <v>18.37</v>
      </c>
      <c r="H55" s="64">
        <v>3.29</v>
      </c>
      <c r="I55" s="64">
        <v>0.9</v>
      </c>
      <c r="J55" s="64">
        <v>0.13</v>
      </c>
      <c r="K55" s="64">
        <v>181.84</v>
      </c>
      <c r="L55" s="64">
        <v>26.78</v>
      </c>
      <c r="M55" s="64">
        <v>93.93</v>
      </c>
      <c r="N55" s="64">
        <v>464.2</v>
      </c>
      <c r="O55" s="64">
        <v>0</v>
      </c>
      <c r="P55" s="64">
        <v>0.22</v>
      </c>
      <c r="Q55" s="64">
        <v>9.6</v>
      </c>
      <c r="R55" s="198"/>
      <c r="S55" s="198"/>
      <c r="T55" s="198"/>
      <c r="U55" s="198"/>
    </row>
    <row r="56" spans="1:21" s="12" customFormat="1" x14ac:dyDescent="0.25">
      <c r="A56" s="212" t="s">
        <v>966</v>
      </c>
      <c r="B56" s="64">
        <v>6.92</v>
      </c>
      <c r="C56" s="64">
        <v>9.24</v>
      </c>
      <c r="D56" s="64">
        <v>10.38</v>
      </c>
      <c r="E56" s="64">
        <v>4</v>
      </c>
      <c r="F56" s="64">
        <v>3.09</v>
      </c>
      <c r="G56" s="64">
        <v>18.010000000000002</v>
      </c>
      <c r="H56" s="64">
        <v>3.23</v>
      </c>
      <c r="I56" s="64">
        <v>0.88</v>
      </c>
      <c r="J56" s="64">
        <v>0.23</v>
      </c>
      <c r="K56" s="64">
        <v>151.55000000000001</v>
      </c>
      <c r="L56" s="64">
        <v>26.67</v>
      </c>
      <c r="M56" s="64">
        <v>94.1</v>
      </c>
      <c r="N56" s="64">
        <v>402.7</v>
      </c>
      <c r="O56" s="64">
        <v>0</v>
      </c>
      <c r="P56" s="64">
        <v>0.2</v>
      </c>
      <c r="Q56" s="64">
        <v>9.6199999999999992</v>
      </c>
      <c r="R56" s="198"/>
      <c r="S56" s="198"/>
      <c r="T56" s="198"/>
      <c r="U56" s="198"/>
    </row>
    <row r="57" spans="1:21" s="12" customFormat="1" x14ac:dyDescent="0.25">
      <c r="A57" s="212" t="s">
        <v>967</v>
      </c>
      <c r="B57" s="64">
        <v>6.97</v>
      </c>
      <c r="C57" s="64">
        <v>9.58</v>
      </c>
      <c r="D57" s="64">
        <v>10.6</v>
      </c>
      <c r="E57" s="64">
        <v>4</v>
      </c>
      <c r="F57" s="64">
        <v>3.07</v>
      </c>
      <c r="G57" s="64">
        <v>18.010000000000002</v>
      </c>
      <c r="H57" s="64">
        <v>3.23</v>
      </c>
      <c r="I57" s="64">
        <v>0.89</v>
      </c>
      <c r="J57" s="64">
        <v>0.16</v>
      </c>
      <c r="K57" s="64">
        <v>150.68</v>
      </c>
      <c r="L57" s="64">
        <v>26.58</v>
      </c>
      <c r="M57" s="64">
        <v>95.16</v>
      </c>
      <c r="N57" s="64">
        <v>301.5</v>
      </c>
      <c r="O57" s="64">
        <v>0</v>
      </c>
      <c r="P57" s="64">
        <v>0.21</v>
      </c>
      <c r="Q57" s="64">
        <v>9.6</v>
      </c>
      <c r="R57" s="198"/>
      <c r="S57" s="198"/>
      <c r="T57" s="198"/>
      <c r="U57" s="198"/>
    </row>
    <row r="58" spans="1:21" s="12" customFormat="1" x14ac:dyDescent="0.25">
      <c r="A58" s="212" t="s">
        <v>968</v>
      </c>
      <c r="B58" s="64">
        <v>7.72</v>
      </c>
      <c r="C58" s="64">
        <v>8.9</v>
      </c>
      <c r="D58" s="64">
        <v>10.84</v>
      </c>
      <c r="E58" s="64">
        <v>3.96</v>
      </c>
      <c r="F58" s="64">
        <v>4.26</v>
      </c>
      <c r="G58" s="64">
        <v>18.010000000000002</v>
      </c>
      <c r="H58" s="64">
        <v>3.23</v>
      </c>
      <c r="I58" s="64">
        <v>0.89</v>
      </c>
      <c r="J58" s="64">
        <v>0.12</v>
      </c>
      <c r="K58" s="64">
        <v>234.92</v>
      </c>
      <c r="L58" s="64">
        <v>26.11</v>
      </c>
      <c r="M58" s="64">
        <v>97.36</v>
      </c>
      <c r="N58" s="64">
        <v>225.3</v>
      </c>
      <c r="O58" s="64">
        <v>0</v>
      </c>
      <c r="P58" s="64">
        <v>0.22</v>
      </c>
      <c r="Q58" s="64">
        <v>9.6199999999999992</v>
      </c>
      <c r="R58" s="198"/>
      <c r="S58" s="198"/>
      <c r="T58" s="198"/>
      <c r="U58" s="198"/>
    </row>
    <row r="59" spans="1:21" s="12" customFormat="1" x14ac:dyDescent="0.25">
      <c r="A59" s="212" t="s">
        <v>969</v>
      </c>
      <c r="B59" s="64">
        <v>7.35</v>
      </c>
      <c r="C59" s="64">
        <v>9.7799999999999994</v>
      </c>
      <c r="D59" s="64">
        <v>11</v>
      </c>
      <c r="E59" s="64">
        <v>4.13</v>
      </c>
      <c r="F59" s="64">
        <v>3.76</v>
      </c>
      <c r="G59" s="64">
        <v>18.399999999999999</v>
      </c>
      <c r="H59" s="64">
        <v>2.72</v>
      </c>
      <c r="I59" s="64">
        <v>0.89</v>
      </c>
      <c r="J59" s="64">
        <v>0.18</v>
      </c>
      <c r="K59" s="64">
        <v>189.39</v>
      </c>
      <c r="L59" s="64">
        <v>25.85</v>
      </c>
      <c r="M59" s="64">
        <v>97.52</v>
      </c>
      <c r="N59" s="64">
        <v>204.1</v>
      </c>
      <c r="O59" s="64">
        <v>0</v>
      </c>
      <c r="P59" s="64">
        <v>0.2</v>
      </c>
      <c r="Q59" s="64">
        <v>9.6199999999999992</v>
      </c>
      <c r="R59" s="198"/>
      <c r="S59" s="198"/>
      <c r="T59" s="198"/>
      <c r="U59" s="198"/>
    </row>
    <row r="60" spans="1:21" s="12" customFormat="1" x14ac:dyDescent="0.25">
      <c r="A60" s="212" t="s">
        <v>970</v>
      </c>
      <c r="B60" s="64">
        <v>7.22</v>
      </c>
      <c r="C60" s="64">
        <v>9.9600000000000009</v>
      </c>
      <c r="D60" s="64">
        <v>10.99</v>
      </c>
      <c r="E60" s="64">
        <v>4.07</v>
      </c>
      <c r="F60" s="64">
        <v>5.73</v>
      </c>
      <c r="G60" s="64">
        <v>18.43</v>
      </c>
      <c r="H60" s="64">
        <v>2.68</v>
      </c>
      <c r="I60" s="64">
        <v>0.87</v>
      </c>
      <c r="J60" s="64">
        <v>0.13</v>
      </c>
      <c r="K60" s="64">
        <v>225.79</v>
      </c>
      <c r="L60" s="64">
        <v>25.71</v>
      </c>
      <c r="M60" s="64">
        <v>97.58</v>
      </c>
      <c r="N60" s="64">
        <v>267.8</v>
      </c>
      <c r="O60" s="64">
        <v>0</v>
      </c>
      <c r="P60" s="64">
        <v>0.18</v>
      </c>
      <c r="Q60" s="64">
        <v>9.6199999999999992</v>
      </c>
      <c r="R60" s="198"/>
      <c r="S60" s="198"/>
      <c r="T60" s="198"/>
      <c r="U60" s="198"/>
    </row>
    <row r="61" spans="1:21" s="12" customFormat="1" x14ac:dyDescent="0.25">
      <c r="A61" s="212" t="s">
        <v>971</v>
      </c>
      <c r="B61" s="64">
        <v>7.02</v>
      </c>
      <c r="C61" s="64">
        <v>9.35</v>
      </c>
      <c r="D61" s="64">
        <v>10.52</v>
      </c>
      <c r="E61" s="64">
        <v>4.3899999999999997</v>
      </c>
      <c r="F61" s="64">
        <v>3.29</v>
      </c>
      <c r="G61" s="64">
        <v>18.43</v>
      </c>
      <c r="H61" s="64">
        <v>2.68</v>
      </c>
      <c r="I61" s="64">
        <v>0.87</v>
      </c>
      <c r="J61" s="64">
        <v>0.23</v>
      </c>
      <c r="K61" s="64">
        <v>148.07</v>
      </c>
      <c r="L61" s="64">
        <v>26.14</v>
      </c>
      <c r="M61" s="64">
        <v>97.5</v>
      </c>
      <c r="N61" s="64">
        <v>279.89999999999998</v>
      </c>
      <c r="O61" s="64">
        <v>0</v>
      </c>
      <c r="P61" s="64">
        <v>0.24</v>
      </c>
      <c r="Q61" s="64">
        <v>9.61</v>
      </c>
      <c r="R61" s="198"/>
      <c r="S61" s="198"/>
      <c r="T61" s="198"/>
      <c r="U61" s="198"/>
    </row>
    <row r="62" spans="1:21" s="12" customFormat="1" x14ac:dyDescent="0.25">
      <c r="A62" s="212" t="s">
        <v>972</v>
      </c>
      <c r="B62" s="64">
        <v>7.04</v>
      </c>
      <c r="C62" s="64">
        <v>9.02</v>
      </c>
      <c r="D62" s="64">
        <v>10.36</v>
      </c>
      <c r="E62" s="64">
        <v>4.37</v>
      </c>
      <c r="F62" s="64">
        <v>5.14</v>
      </c>
      <c r="G62" s="64">
        <v>18.43</v>
      </c>
      <c r="H62" s="64">
        <v>2.68</v>
      </c>
      <c r="I62" s="64">
        <v>0.85</v>
      </c>
      <c r="J62" s="64">
        <v>0.12</v>
      </c>
      <c r="K62" s="64">
        <v>145.08000000000001</v>
      </c>
      <c r="L62" s="64">
        <v>26.28</v>
      </c>
      <c r="M62" s="64">
        <v>97.5</v>
      </c>
      <c r="N62" s="64">
        <v>284.5</v>
      </c>
      <c r="O62" s="64">
        <v>0</v>
      </c>
      <c r="P62" s="64">
        <v>0.27</v>
      </c>
      <c r="Q62" s="64">
        <v>9.59</v>
      </c>
      <c r="R62" s="198"/>
      <c r="S62" s="198"/>
      <c r="T62" s="198"/>
      <c r="U62" s="198"/>
    </row>
    <row r="63" spans="1:21" s="12" customFormat="1" x14ac:dyDescent="0.25">
      <c r="A63" s="212" t="s">
        <v>973</v>
      </c>
      <c r="B63" s="64">
        <v>7.34</v>
      </c>
      <c r="C63" s="64">
        <v>10.1</v>
      </c>
      <c r="D63" s="64">
        <v>11.16</v>
      </c>
      <c r="E63" s="64">
        <v>4.0199999999999996</v>
      </c>
      <c r="F63" s="64">
        <v>8.08</v>
      </c>
      <c r="G63" s="64">
        <v>15.18</v>
      </c>
      <c r="H63" s="64">
        <v>3.55</v>
      </c>
      <c r="I63" s="64">
        <v>0.85</v>
      </c>
      <c r="J63" s="64">
        <v>0.33</v>
      </c>
      <c r="K63" s="64">
        <v>163.65</v>
      </c>
      <c r="L63" s="64">
        <v>26.57</v>
      </c>
      <c r="M63" s="64">
        <v>96.72</v>
      </c>
      <c r="N63" s="64">
        <v>332.4</v>
      </c>
      <c r="O63" s="64">
        <v>0</v>
      </c>
      <c r="P63" s="64">
        <v>0.24</v>
      </c>
      <c r="Q63" s="64">
        <v>9.61</v>
      </c>
      <c r="R63" s="198"/>
      <c r="S63" s="198"/>
      <c r="T63" s="198"/>
      <c r="U63" s="198"/>
    </row>
    <row r="64" spans="1:21" s="12" customFormat="1" x14ac:dyDescent="0.25">
      <c r="A64" s="212" t="s">
        <v>974</v>
      </c>
      <c r="B64" s="64">
        <v>7.86</v>
      </c>
      <c r="C64" s="64">
        <v>9.69</v>
      </c>
      <c r="D64" s="64">
        <v>11.36</v>
      </c>
      <c r="E64" s="64">
        <v>4.3600000000000003</v>
      </c>
      <c r="F64" s="64">
        <v>4.1399999999999997</v>
      </c>
      <c r="G64" s="64">
        <v>14.91</v>
      </c>
      <c r="H64" s="64">
        <v>3.62</v>
      </c>
      <c r="I64" s="64">
        <v>0.85</v>
      </c>
      <c r="J64" s="64">
        <v>0.15</v>
      </c>
      <c r="K64" s="64">
        <v>153.91</v>
      </c>
      <c r="L64" s="64">
        <v>26.59</v>
      </c>
      <c r="M64" s="64">
        <v>97.28</v>
      </c>
      <c r="N64" s="64">
        <v>328</v>
      </c>
      <c r="O64" s="64">
        <v>0</v>
      </c>
      <c r="P64" s="64">
        <v>0.26</v>
      </c>
      <c r="Q64" s="64">
        <v>9.6300000000000008</v>
      </c>
      <c r="R64" s="198"/>
      <c r="S64" s="198"/>
      <c r="T64" s="198"/>
      <c r="U64" s="198"/>
    </row>
    <row r="65" spans="1:21" s="12" customFormat="1" x14ac:dyDescent="0.25">
      <c r="A65" s="212" t="s">
        <v>975</v>
      </c>
      <c r="B65" s="64">
        <v>7.33</v>
      </c>
      <c r="C65" s="64">
        <v>10.029999999999999</v>
      </c>
      <c r="D65" s="64">
        <v>11.11</v>
      </c>
      <c r="E65" s="64">
        <v>4.24</v>
      </c>
      <c r="F65" s="64">
        <v>5.85</v>
      </c>
      <c r="G65" s="64">
        <v>14.91</v>
      </c>
      <c r="H65" s="64">
        <v>3.62</v>
      </c>
      <c r="I65" s="64">
        <v>0.85</v>
      </c>
      <c r="J65" s="64">
        <v>0.12</v>
      </c>
      <c r="K65" s="64">
        <v>154.6</v>
      </c>
      <c r="L65" s="64">
        <v>26.94</v>
      </c>
      <c r="M65" s="64">
        <v>96.04</v>
      </c>
      <c r="N65" s="64">
        <v>308.8</v>
      </c>
      <c r="O65" s="64">
        <v>0</v>
      </c>
      <c r="P65" s="64">
        <v>0.23</v>
      </c>
      <c r="Q65" s="64">
        <v>9.6199999999999992</v>
      </c>
      <c r="R65" s="198"/>
      <c r="S65" s="198"/>
      <c r="T65" s="198"/>
      <c r="U65" s="198"/>
    </row>
    <row r="66" spans="1:21" s="12" customFormat="1" x14ac:dyDescent="0.25">
      <c r="A66" s="212" t="s">
        <v>976</v>
      </c>
      <c r="B66" s="64">
        <v>7.23</v>
      </c>
      <c r="C66" s="64">
        <v>9.77</v>
      </c>
      <c r="D66" s="64">
        <v>10.91</v>
      </c>
      <c r="E66" s="64">
        <v>4.53</v>
      </c>
      <c r="F66" s="64">
        <v>7.41</v>
      </c>
      <c r="G66" s="64">
        <v>14.91</v>
      </c>
      <c r="H66" s="64">
        <v>3.62</v>
      </c>
      <c r="I66" s="64">
        <v>0.85</v>
      </c>
      <c r="J66" s="64">
        <v>0.61</v>
      </c>
      <c r="K66" s="64">
        <v>135.99</v>
      </c>
      <c r="L66" s="64">
        <v>26.83</v>
      </c>
      <c r="M66" s="64">
        <v>96.64</v>
      </c>
      <c r="N66" s="64">
        <v>278.89999999999998</v>
      </c>
      <c r="O66" s="64">
        <v>0</v>
      </c>
      <c r="P66" s="64">
        <v>0.23</v>
      </c>
      <c r="Q66" s="64">
        <v>9.6300000000000008</v>
      </c>
      <c r="R66" s="198"/>
      <c r="S66" s="198"/>
      <c r="T66" s="198"/>
      <c r="U66" s="198"/>
    </row>
    <row r="67" spans="1:21" s="12" customFormat="1" x14ac:dyDescent="0.25">
      <c r="A67" s="212" t="s">
        <v>977</v>
      </c>
      <c r="B67" s="64">
        <v>7.1</v>
      </c>
      <c r="C67" s="64">
        <v>9.01</v>
      </c>
      <c r="D67" s="64">
        <v>10.4</v>
      </c>
      <c r="E67" s="64">
        <v>4.0599999999999996</v>
      </c>
      <c r="F67" s="64">
        <v>4.76</v>
      </c>
      <c r="G67" s="64">
        <v>15.51</v>
      </c>
      <c r="H67" s="64">
        <v>3.58</v>
      </c>
      <c r="I67" s="64">
        <v>0.84</v>
      </c>
      <c r="J67" s="64">
        <v>0.45</v>
      </c>
      <c r="K67" s="64">
        <v>141.81</v>
      </c>
      <c r="L67" s="64">
        <v>26.67</v>
      </c>
      <c r="M67" s="64">
        <v>97.51</v>
      </c>
      <c r="N67" s="64">
        <v>221.9</v>
      </c>
      <c r="O67" s="64">
        <v>0</v>
      </c>
      <c r="P67" s="64">
        <v>0.26</v>
      </c>
      <c r="Q67" s="64">
        <v>9.6</v>
      </c>
      <c r="R67" s="198"/>
      <c r="S67" s="198"/>
      <c r="T67" s="198"/>
      <c r="U67" s="198"/>
    </row>
    <row r="68" spans="1:21" s="12" customFormat="1" x14ac:dyDescent="0.25">
      <c r="A68" s="212" t="s">
        <v>978</v>
      </c>
      <c r="B68" s="64">
        <v>6.93</v>
      </c>
      <c r="C68" s="64">
        <v>8.67</v>
      </c>
      <c r="D68" s="64">
        <v>10.09</v>
      </c>
      <c r="E68" s="64">
        <v>4.25</v>
      </c>
      <c r="F68" s="64">
        <v>3.92</v>
      </c>
      <c r="G68" s="64">
        <v>15.55</v>
      </c>
      <c r="H68" s="64">
        <v>3.58</v>
      </c>
      <c r="I68" s="64">
        <v>0.83</v>
      </c>
      <c r="J68" s="64">
        <v>0.08</v>
      </c>
      <c r="K68" s="64">
        <v>157.96</v>
      </c>
      <c r="L68" s="64">
        <v>26.41</v>
      </c>
      <c r="M68" s="64">
        <v>97.6</v>
      </c>
      <c r="N68" s="64">
        <v>234.6</v>
      </c>
      <c r="O68" s="64">
        <v>0</v>
      </c>
      <c r="P68" s="64">
        <v>0.24</v>
      </c>
      <c r="Q68" s="64">
        <v>9.61</v>
      </c>
      <c r="R68" s="198"/>
      <c r="S68" s="198"/>
      <c r="T68" s="198"/>
      <c r="U68" s="198"/>
    </row>
    <row r="69" spans="1:21" s="12" customFormat="1" x14ac:dyDescent="0.25">
      <c r="A69" s="212" t="s">
        <v>979</v>
      </c>
      <c r="B69" s="64">
        <v>7.25</v>
      </c>
      <c r="C69" s="64">
        <v>9.98</v>
      </c>
      <c r="D69" s="64">
        <v>11.02</v>
      </c>
      <c r="E69" s="64">
        <v>4.33</v>
      </c>
      <c r="F69" s="64">
        <v>7.72</v>
      </c>
      <c r="G69" s="64">
        <v>15.55</v>
      </c>
      <c r="H69" s="64">
        <v>3.58</v>
      </c>
      <c r="I69" s="64">
        <v>0.86</v>
      </c>
      <c r="J69" s="64">
        <v>0.97</v>
      </c>
      <c r="K69" s="64">
        <v>136.9</v>
      </c>
      <c r="L69" s="64">
        <v>26.52</v>
      </c>
      <c r="M69" s="64">
        <v>97.6</v>
      </c>
      <c r="N69" s="64">
        <v>216.3</v>
      </c>
      <c r="O69" s="64">
        <v>0</v>
      </c>
      <c r="P69" s="64">
        <v>0.23</v>
      </c>
      <c r="Q69" s="64">
        <v>9.6300000000000008</v>
      </c>
      <c r="R69" s="198"/>
      <c r="S69" s="198"/>
      <c r="T69" s="198"/>
      <c r="U69" s="198"/>
    </row>
    <row r="70" spans="1:21" s="12" customFormat="1" x14ac:dyDescent="0.25">
      <c r="A70" s="212" t="s">
        <v>980</v>
      </c>
      <c r="B70" s="64">
        <v>6.98</v>
      </c>
      <c r="C70" s="64">
        <v>9.6</v>
      </c>
      <c r="D70" s="64">
        <v>10.62</v>
      </c>
      <c r="E70" s="64">
        <v>4.5199999999999996</v>
      </c>
      <c r="F70" s="64">
        <v>8.5299999999999994</v>
      </c>
      <c r="G70" s="64">
        <v>15.55</v>
      </c>
      <c r="H70" s="64">
        <v>3.58</v>
      </c>
      <c r="I70" s="64">
        <v>0.83</v>
      </c>
      <c r="J70" s="64">
        <v>0.62</v>
      </c>
      <c r="K70" s="64">
        <v>148.07</v>
      </c>
      <c r="L70" s="64">
        <v>26.37</v>
      </c>
      <c r="M70" s="64">
        <v>97.6</v>
      </c>
      <c r="N70" s="64">
        <v>174</v>
      </c>
      <c r="O70" s="64">
        <v>0</v>
      </c>
      <c r="P70" s="64">
        <v>0.22</v>
      </c>
      <c r="Q70" s="64">
        <v>9.6300000000000008</v>
      </c>
      <c r="R70" s="198"/>
      <c r="S70" s="198"/>
      <c r="T70" s="198"/>
      <c r="U70" s="198"/>
    </row>
    <row r="71" spans="1:21" s="12" customFormat="1" x14ac:dyDescent="0.25">
      <c r="A71" s="212" t="s">
        <v>981</v>
      </c>
      <c r="B71" s="64">
        <v>7.52</v>
      </c>
      <c r="C71" s="64">
        <v>8.8000000000000007</v>
      </c>
      <c r="D71" s="64">
        <v>10.63</v>
      </c>
      <c r="E71" s="64">
        <v>4.33</v>
      </c>
      <c r="F71" s="64">
        <v>5.97</v>
      </c>
      <c r="G71" s="64">
        <v>14.78</v>
      </c>
      <c r="H71" s="64">
        <v>2.95</v>
      </c>
      <c r="I71" s="64">
        <v>0.84</v>
      </c>
      <c r="J71" s="64">
        <v>1.0900000000000001</v>
      </c>
      <c r="K71" s="64">
        <v>135.86000000000001</v>
      </c>
      <c r="L71" s="64">
        <v>26.11</v>
      </c>
      <c r="M71" s="64">
        <v>97.61</v>
      </c>
      <c r="N71" s="64">
        <v>143.19999999999999</v>
      </c>
      <c r="O71" s="64">
        <v>0</v>
      </c>
      <c r="P71" s="64">
        <v>0.25</v>
      </c>
      <c r="Q71" s="64">
        <v>9.6199999999999992</v>
      </c>
      <c r="R71" s="198"/>
      <c r="S71" s="198"/>
      <c r="T71" s="198"/>
      <c r="U71" s="198"/>
    </row>
    <row r="72" spans="1:21" s="12" customFormat="1" x14ac:dyDescent="0.25">
      <c r="A72" s="212" t="s">
        <v>982</v>
      </c>
      <c r="B72" s="64">
        <v>7.79</v>
      </c>
      <c r="C72" s="64">
        <v>10.01</v>
      </c>
      <c r="D72" s="64">
        <v>11.48</v>
      </c>
      <c r="E72" s="64">
        <v>4.3099999999999996</v>
      </c>
      <c r="F72" s="64">
        <v>8.32</v>
      </c>
      <c r="G72" s="64">
        <v>14.72</v>
      </c>
      <c r="H72" s="64">
        <v>2.89</v>
      </c>
      <c r="I72" s="64">
        <v>0.83</v>
      </c>
      <c r="J72" s="64">
        <v>0.28000000000000003</v>
      </c>
      <c r="K72" s="64">
        <v>146.6</v>
      </c>
      <c r="L72" s="64">
        <v>26.14</v>
      </c>
      <c r="M72" s="64">
        <v>97.63</v>
      </c>
      <c r="N72" s="64">
        <v>124</v>
      </c>
      <c r="O72" s="64">
        <v>0</v>
      </c>
      <c r="P72" s="64">
        <v>0.24</v>
      </c>
      <c r="Q72" s="64">
        <v>9.61</v>
      </c>
      <c r="R72" s="198"/>
      <c r="S72" s="198"/>
      <c r="T72" s="198"/>
      <c r="U72" s="198"/>
    </row>
    <row r="73" spans="1:21" s="12" customFormat="1" x14ac:dyDescent="0.25">
      <c r="A73" s="212" t="s">
        <v>983</v>
      </c>
      <c r="B73" s="64">
        <v>8.14</v>
      </c>
      <c r="C73" s="64">
        <v>11.2</v>
      </c>
      <c r="D73" s="64">
        <v>12.38</v>
      </c>
      <c r="E73" s="64">
        <v>4.1100000000000003</v>
      </c>
      <c r="F73" s="64">
        <v>7.61</v>
      </c>
      <c r="G73" s="64">
        <v>14.72</v>
      </c>
      <c r="H73" s="64">
        <v>2.89</v>
      </c>
      <c r="I73" s="64">
        <v>0.84</v>
      </c>
      <c r="J73" s="64">
        <v>0.62</v>
      </c>
      <c r="K73" s="64">
        <v>143.46</v>
      </c>
      <c r="L73" s="64">
        <v>26.14</v>
      </c>
      <c r="M73" s="64">
        <v>97.64</v>
      </c>
      <c r="N73" s="64">
        <v>151.6</v>
      </c>
      <c r="O73" s="64">
        <v>0</v>
      </c>
      <c r="P73" s="64">
        <v>0.25</v>
      </c>
      <c r="Q73" s="64">
        <v>9.6199999999999992</v>
      </c>
      <c r="R73" s="198"/>
      <c r="S73" s="198"/>
      <c r="T73" s="198"/>
      <c r="U73" s="198"/>
    </row>
    <row r="74" spans="1:21" s="12" customFormat="1" x14ac:dyDescent="0.25">
      <c r="A74" s="212" t="s">
        <v>984</v>
      </c>
      <c r="B74" s="64">
        <v>7.45</v>
      </c>
      <c r="C74" s="64">
        <v>11.32</v>
      </c>
      <c r="D74" s="64">
        <v>11.89</v>
      </c>
      <c r="E74" s="64">
        <v>3.97</v>
      </c>
      <c r="F74" s="64">
        <v>10.31</v>
      </c>
      <c r="G74" s="64">
        <v>14.72</v>
      </c>
      <c r="H74" s="64">
        <v>2.89</v>
      </c>
      <c r="I74" s="64">
        <v>0.85</v>
      </c>
      <c r="J74" s="64">
        <v>1</v>
      </c>
      <c r="K74" s="64">
        <v>139.21</v>
      </c>
      <c r="L74" s="64">
        <v>26.22</v>
      </c>
      <c r="M74" s="64">
        <v>97.61</v>
      </c>
      <c r="N74" s="64">
        <v>158.80000000000001</v>
      </c>
      <c r="O74" s="64">
        <v>0</v>
      </c>
      <c r="P74" s="64">
        <v>0.24</v>
      </c>
      <c r="Q74" s="64">
        <v>9.6199999999999992</v>
      </c>
      <c r="R74" s="198"/>
      <c r="S74" s="198"/>
      <c r="T74" s="198"/>
      <c r="U74" s="198"/>
    </row>
    <row r="75" spans="1:21" s="12" customFormat="1" x14ac:dyDescent="0.25">
      <c r="A75" s="212" t="s">
        <v>985</v>
      </c>
      <c r="B75" s="64">
        <v>7.54</v>
      </c>
      <c r="C75" s="64">
        <v>12.05</v>
      </c>
      <c r="D75" s="64">
        <v>12.34</v>
      </c>
      <c r="E75" s="64">
        <v>4.3499999999999996</v>
      </c>
      <c r="F75" s="64">
        <v>6.39</v>
      </c>
      <c r="G75" s="64">
        <v>15.25</v>
      </c>
      <c r="H75" s="64">
        <v>2.4</v>
      </c>
      <c r="I75" s="64">
        <v>0.83</v>
      </c>
      <c r="J75" s="64">
        <v>0.53</v>
      </c>
      <c r="K75" s="64">
        <v>135.13999999999999</v>
      </c>
      <c r="L75" s="64">
        <v>26.37</v>
      </c>
      <c r="M75" s="64">
        <v>97.61</v>
      </c>
      <c r="N75" s="64">
        <v>162.5</v>
      </c>
      <c r="O75" s="64">
        <v>0</v>
      </c>
      <c r="P75" s="64">
        <v>0.25</v>
      </c>
      <c r="Q75" s="64">
        <v>9.61</v>
      </c>
      <c r="R75" s="198"/>
      <c r="S75" s="198"/>
      <c r="T75" s="198"/>
      <c r="U75" s="198"/>
    </row>
    <row r="76" spans="1:21" s="12" customFormat="1" x14ac:dyDescent="0.25">
      <c r="A76" s="212" t="s">
        <v>986</v>
      </c>
      <c r="B76" s="64">
        <v>7.11</v>
      </c>
      <c r="C76" s="64">
        <v>10.34</v>
      </c>
      <c r="D76" s="64">
        <v>11.1</v>
      </c>
      <c r="E76" s="64">
        <v>4.08</v>
      </c>
      <c r="F76" s="64">
        <v>6</v>
      </c>
      <c r="G76" s="64">
        <v>15.29</v>
      </c>
      <c r="H76" s="64">
        <v>2.36</v>
      </c>
      <c r="I76" s="64">
        <v>0.8</v>
      </c>
      <c r="J76" s="64">
        <v>1.73</v>
      </c>
      <c r="K76" s="64">
        <v>136.13999999999999</v>
      </c>
      <c r="L76" s="64">
        <v>26.2</v>
      </c>
      <c r="M76" s="64">
        <v>97.65</v>
      </c>
      <c r="N76" s="64">
        <v>142.80000000000001</v>
      </c>
      <c r="O76" s="64">
        <v>0</v>
      </c>
      <c r="P76" s="64">
        <v>0.23</v>
      </c>
      <c r="Q76" s="64">
        <v>9.61</v>
      </c>
      <c r="R76" s="198"/>
      <c r="S76" s="198"/>
      <c r="T76" s="198"/>
      <c r="U76" s="198"/>
    </row>
    <row r="77" spans="1:21" s="12" customFormat="1" x14ac:dyDescent="0.25">
      <c r="A77" s="212" t="s">
        <v>987</v>
      </c>
      <c r="B77" s="64">
        <v>7.52</v>
      </c>
      <c r="C77" s="64">
        <v>10.6</v>
      </c>
      <c r="D77" s="64">
        <v>11.57</v>
      </c>
      <c r="E77" s="64">
        <v>4.3</v>
      </c>
      <c r="F77" s="64">
        <v>8.34</v>
      </c>
      <c r="G77" s="64">
        <v>15.29</v>
      </c>
      <c r="H77" s="64">
        <v>2.36</v>
      </c>
      <c r="I77" s="64">
        <v>0.81</v>
      </c>
      <c r="J77" s="64">
        <v>0.64</v>
      </c>
      <c r="K77" s="64">
        <v>137.26</v>
      </c>
      <c r="L77" s="64">
        <v>26.11</v>
      </c>
      <c r="M77" s="64">
        <v>97.65</v>
      </c>
      <c r="N77" s="64">
        <v>109.3</v>
      </c>
      <c r="O77" s="64">
        <v>0</v>
      </c>
      <c r="P77" s="64">
        <v>0.23</v>
      </c>
      <c r="Q77" s="64">
        <v>9.61</v>
      </c>
      <c r="R77" s="198"/>
      <c r="S77" s="198"/>
      <c r="T77" s="198"/>
      <c r="U77" s="198"/>
    </row>
    <row r="78" spans="1:21" s="12" customFormat="1" x14ac:dyDescent="0.25">
      <c r="A78" s="212" t="s">
        <v>988</v>
      </c>
      <c r="B78" s="64">
        <v>7.72</v>
      </c>
      <c r="C78" s="64">
        <v>11.63</v>
      </c>
      <c r="D78" s="64">
        <v>12.26</v>
      </c>
      <c r="E78" s="64">
        <v>4.42</v>
      </c>
      <c r="F78" s="64">
        <v>7.93</v>
      </c>
      <c r="G78" s="64">
        <v>15.29</v>
      </c>
      <c r="H78" s="64">
        <v>2.36</v>
      </c>
      <c r="I78" s="64">
        <v>0.82</v>
      </c>
      <c r="J78" s="64">
        <v>0.16</v>
      </c>
      <c r="K78" s="64">
        <v>126.17</v>
      </c>
      <c r="L78" s="64">
        <v>26.17</v>
      </c>
      <c r="M78" s="64">
        <v>97.66</v>
      </c>
      <c r="N78" s="64">
        <v>82.9</v>
      </c>
      <c r="O78" s="64">
        <v>0</v>
      </c>
      <c r="P78" s="64">
        <v>0.27</v>
      </c>
      <c r="Q78" s="64">
        <v>9.6199999999999992</v>
      </c>
      <c r="R78" s="198"/>
      <c r="S78" s="198"/>
      <c r="T78" s="198"/>
      <c r="U78" s="198"/>
    </row>
    <row r="79" spans="1:21" s="12" customFormat="1" x14ac:dyDescent="0.25">
      <c r="A79" s="212" t="s">
        <v>989</v>
      </c>
      <c r="B79" s="64">
        <v>8.1999999999999993</v>
      </c>
      <c r="C79" s="64">
        <v>10.77</v>
      </c>
      <c r="D79" s="64">
        <v>12.2</v>
      </c>
      <c r="E79" s="64">
        <v>4.2</v>
      </c>
      <c r="F79" s="64">
        <v>2.2999999999999998</v>
      </c>
      <c r="G79" s="64">
        <v>27.09</v>
      </c>
      <c r="H79" s="64">
        <v>4.0199999999999996</v>
      </c>
      <c r="I79" s="64">
        <v>0.82</v>
      </c>
      <c r="J79" s="64">
        <v>0.15</v>
      </c>
      <c r="K79" s="64">
        <v>327.52</v>
      </c>
      <c r="L79" s="64">
        <v>25.6</v>
      </c>
      <c r="M79" s="64">
        <v>95.43</v>
      </c>
      <c r="N79" s="64">
        <v>65.5</v>
      </c>
      <c r="O79" s="64">
        <v>0</v>
      </c>
      <c r="P79" s="64">
        <v>0.26</v>
      </c>
      <c r="Q79" s="64">
        <v>9.6199999999999992</v>
      </c>
      <c r="R79" s="198"/>
      <c r="S79" s="198"/>
      <c r="T79" s="198"/>
      <c r="U79" s="198"/>
    </row>
    <row r="80" spans="1:21" s="12" customFormat="1" x14ac:dyDescent="0.25">
      <c r="A80" s="212" t="s">
        <v>990</v>
      </c>
      <c r="B80" s="64">
        <v>7.4</v>
      </c>
      <c r="C80" s="64">
        <v>10.220000000000001</v>
      </c>
      <c r="D80" s="64">
        <v>11.27</v>
      </c>
      <c r="E80" s="64">
        <v>4.33</v>
      </c>
      <c r="F80" s="64">
        <v>2.62</v>
      </c>
      <c r="G80" s="64">
        <v>28.08</v>
      </c>
      <c r="H80" s="64">
        <v>4.1399999999999997</v>
      </c>
      <c r="I80" s="64">
        <v>0.83</v>
      </c>
      <c r="J80" s="64">
        <v>0.08</v>
      </c>
      <c r="K80" s="64">
        <v>343.63</v>
      </c>
      <c r="L80" s="64">
        <v>24.27</v>
      </c>
      <c r="M80" s="64">
        <v>97.68</v>
      </c>
      <c r="N80" s="64">
        <v>67.2</v>
      </c>
      <c r="O80" s="64">
        <v>0</v>
      </c>
      <c r="P80" s="64">
        <v>0.27</v>
      </c>
      <c r="Q80" s="64">
        <v>9.6199999999999992</v>
      </c>
      <c r="R80" s="198"/>
      <c r="S80" s="198"/>
      <c r="T80" s="198"/>
      <c r="U80" s="198"/>
    </row>
    <row r="81" spans="1:26" s="12" customFormat="1" x14ac:dyDescent="0.25">
      <c r="A81" s="212" t="s">
        <v>991</v>
      </c>
      <c r="B81" s="64">
        <v>7.92</v>
      </c>
      <c r="C81" s="64">
        <v>10.76</v>
      </c>
      <c r="D81" s="64">
        <v>11.97</v>
      </c>
      <c r="E81" s="64">
        <v>4.25</v>
      </c>
      <c r="F81" s="64">
        <v>4.2</v>
      </c>
      <c r="G81" s="64">
        <v>28.08</v>
      </c>
      <c r="H81" s="64">
        <v>4.1399999999999997</v>
      </c>
      <c r="I81" s="64">
        <v>0.83</v>
      </c>
      <c r="J81" s="64">
        <v>0.2</v>
      </c>
      <c r="K81" s="64">
        <v>326.42</v>
      </c>
      <c r="L81" s="64">
        <v>24.19</v>
      </c>
      <c r="M81" s="64">
        <v>97.69</v>
      </c>
      <c r="N81" s="64">
        <v>61.1</v>
      </c>
      <c r="O81" s="64">
        <v>0</v>
      </c>
      <c r="P81" s="64">
        <v>0.34</v>
      </c>
      <c r="Q81" s="64">
        <v>9.64</v>
      </c>
      <c r="R81" s="198"/>
      <c r="S81" s="198"/>
      <c r="T81" s="198"/>
      <c r="U81" s="198"/>
    </row>
    <row r="82" spans="1:26" s="12" customFormat="1" x14ac:dyDescent="0.25">
      <c r="A82" s="212" t="s">
        <v>992</v>
      </c>
      <c r="B82" s="64">
        <v>7.76</v>
      </c>
      <c r="C82" s="64">
        <v>12.07</v>
      </c>
      <c r="D82" s="64">
        <v>12.53</v>
      </c>
      <c r="E82" s="64">
        <v>3.81</v>
      </c>
      <c r="F82" s="64">
        <v>3.56</v>
      </c>
      <c r="G82" s="64">
        <v>28.08</v>
      </c>
      <c r="H82" s="64">
        <v>4.1399999999999997</v>
      </c>
      <c r="I82" s="64">
        <v>0.79</v>
      </c>
      <c r="J82" s="64">
        <v>0.04</v>
      </c>
      <c r="K82" s="64">
        <v>348.31</v>
      </c>
      <c r="L82" s="64">
        <v>24.09</v>
      </c>
      <c r="M82" s="64">
        <v>97.71</v>
      </c>
      <c r="N82" s="64">
        <v>55.2</v>
      </c>
      <c r="O82" s="64">
        <v>0</v>
      </c>
      <c r="P82" s="64">
        <v>0.39</v>
      </c>
      <c r="Q82" s="64">
        <v>9.61</v>
      </c>
      <c r="R82" s="198"/>
      <c r="S82" s="198"/>
      <c r="T82" s="198"/>
      <c r="U82" s="198"/>
    </row>
    <row r="83" spans="1:26" s="12" customFormat="1" x14ac:dyDescent="0.25">
      <c r="A83" s="212" t="s">
        <v>993</v>
      </c>
      <c r="B83" s="64">
        <v>7.73</v>
      </c>
      <c r="C83" s="64">
        <v>16.71</v>
      </c>
      <c r="D83" s="64">
        <v>14.93</v>
      </c>
      <c r="E83" s="64">
        <v>3.97</v>
      </c>
      <c r="F83" s="64">
        <v>5.39</v>
      </c>
      <c r="G83" s="64">
        <v>21.92</v>
      </c>
      <c r="H83" s="64">
        <v>4.2699999999999996</v>
      </c>
      <c r="I83" s="64">
        <v>0.87</v>
      </c>
      <c r="J83" s="64">
        <v>0.02</v>
      </c>
      <c r="K83" s="64">
        <v>109.73</v>
      </c>
      <c r="L83" s="64">
        <v>23.92</v>
      </c>
      <c r="M83" s="64">
        <v>97.73</v>
      </c>
      <c r="N83" s="64">
        <v>52.4</v>
      </c>
      <c r="O83" s="64">
        <v>0</v>
      </c>
      <c r="P83" s="64">
        <v>0.48</v>
      </c>
      <c r="Q83" s="64">
        <v>9.6199999999999992</v>
      </c>
      <c r="R83" s="198"/>
      <c r="S83" s="198"/>
      <c r="T83" s="198"/>
      <c r="U83" s="198"/>
    </row>
    <row r="84" spans="1:26" s="12" customFormat="1" x14ac:dyDescent="0.25">
      <c r="A84" s="212" t="s">
        <v>994</v>
      </c>
      <c r="B84" s="64">
        <v>8.81</v>
      </c>
      <c r="C84" s="64">
        <v>12.84</v>
      </c>
      <c r="D84" s="64">
        <v>13.78</v>
      </c>
      <c r="E84" s="64">
        <v>4.04</v>
      </c>
      <c r="F84" s="64">
        <v>4.2300000000000004</v>
      </c>
      <c r="G84" s="64">
        <v>21.41</v>
      </c>
      <c r="H84" s="64">
        <v>4.28</v>
      </c>
      <c r="I84" s="64">
        <v>0.82</v>
      </c>
      <c r="J84" s="64">
        <v>7.0000000000000007E-2</v>
      </c>
      <c r="K84" s="64">
        <v>152.66999999999999</v>
      </c>
      <c r="L84" s="64">
        <v>23.87</v>
      </c>
      <c r="M84" s="64">
        <v>97.73</v>
      </c>
      <c r="N84" s="64">
        <v>52.5</v>
      </c>
      <c r="O84" s="64">
        <v>0</v>
      </c>
      <c r="P84" s="64">
        <v>0.41</v>
      </c>
      <c r="Q84" s="64">
        <v>9.6199999999999992</v>
      </c>
      <c r="R84" s="198"/>
      <c r="S84" s="198"/>
      <c r="T84" s="198"/>
      <c r="U84" s="198"/>
    </row>
    <row r="85" spans="1:26" s="12" customFormat="1" x14ac:dyDescent="0.25">
      <c r="A85" s="212" t="s">
        <v>995</v>
      </c>
      <c r="B85" s="64">
        <v>7.74</v>
      </c>
      <c r="C85" s="64">
        <v>10.48</v>
      </c>
      <c r="D85" s="64">
        <v>11.68</v>
      </c>
      <c r="E85" s="64">
        <v>4.34</v>
      </c>
      <c r="F85" s="64">
        <v>3.31</v>
      </c>
      <c r="G85" s="64">
        <v>21.41</v>
      </c>
      <c r="H85" s="64">
        <v>4.28</v>
      </c>
      <c r="I85" s="64">
        <v>0.84</v>
      </c>
      <c r="J85" s="64">
        <v>0.06</v>
      </c>
      <c r="K85" s="64">
        <v>332.36</v>
      </c>
      <c r="L85" s="64">
        <v>23.9</v>
      </c>
      <c r="M85" s="64">
        <v>97.72</v>
      </c>
      <c r="N85" s="64">
        <v>52.9</v>
      </c>
      <c r="O85" s="64">
        <v>0</v>
      </c>
      <c r="P85" s="64">
        <v>0.32</v>
      </c>
      <c r="Q85" s="64">
        <v>9.6199999999999992</v>
      </c>
      <c r="R85" s="198"/>
      <c r="S85" s="198"/>
      <c r="T85" s="198"/>
      <c r="U85" s="198"/>
    </row>
    <row r="86" spans="1:26" s="12" customFormat="1" x14ac:dyDescent="0.25">
      <c r="A86" s="212" t="s">
        <v>996</v>
      </c>
      <c r="B86" s="64">
        <v>11.4</v>
      </c>
      <c r="C86" s="64">
        <v>10.84</v>
      </c>
      <c r="D86" s="64">
        <v>14.81</v>
      </c>
      <c r="E86" s="64">
        <v>4.25</v>
      </c>
      <c r="F86" s="64">
        <v>3.17</v>
      </c>
      <c r="G86" s="64">
        <v>21.41</v>
      </c>
      <c r="H86" s="64">
        <v>4.28</v>
      </c>
      <c r="I86" s="64">
        <v>0.87</v>
      </c>
      <c r="J86" s="64">
        <v>0.09</v>
      </c>
      <c r="K86" s="64">
        <v>327.05</v>
      </c>
      <c r="L86" s="64">
        <v>23.98</v>
      </c>
      <c r="M86" s="64">
        <v>97.73</v>
      </c>
      <c r="N86" s="64">
        <v>53.1</v>
      </c>
      <c r="O86" s="64">
        <v>0</v>
      </c>
      <c r="P86" s="64">
        <v>0.57999999999999996</v>
      </c>
      <c r="Q86" s="64">
        <v>9.6199999999999992</v>
      </c>
      <c r="R86" s="198"/>
      <c r="S86" s="198"/>
      <c r="T86" s="198"/>
      <c r="U86" s="198"/>
    </row>
    <row r="87" spans="1:26" s="12" customFormat="1" x14ac:dyDescent="0.25">
      <c r="A87" s="212" t="s">
        <v>997</v>
      </c>
      <c r="B87" s="64">
        <v>11.18</v>
      </c>
      <c r="C87" s="64">
        <v>12.29</v>
      </c>
      <c r="D87" s="64">
        <v>15.39</v>
      </c>
      <c r="E87" s="64">
        <v>4.3899999999999997</v>
      </c>
      <c r="F87" s="64">
        <v>3.32</v>
      </c>
      <c r="G87" s="64">
        <v>24.02</v>
      </c>
      <c r="H87" s="64">
        <v>4.08</v>
      </c>
      <c r="I87" s="64">
        <v>0.89</v>
      </c>
      <c r="J87" s="64">
        <v>0.05</v>
      </c>
      <c r="K87" s="64">
        <v>317.29000000000002</v>
      </c>
      <c r="L87" s="64">
        <v>24.01</v>
      </c>
      <c r="M87" s="64">
        <v>97.69</v>
      </c>
      <c r="N87" s="64">
        <v>53.1</v>
      </c>
      <c r="O87" s="64">
        <v>0</v>
      </c>
      <c r="P87" s="64">
        <v>0.56000000000000005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12" t="s">
        <v>998</v>
      </c>
      <c r="B88" s="64">
        <v>13.08</v>
      </c>
      <c r="C88" s="64">
        <v>12.7</v>
      </c>
      <c r="D88" s="64">
        <v>17.12</v>
      </c>
      <c r="E88" s="64">
        <v>4.34</v>
      </c>
      <c r="F88" s="64">
        <v>4.18</v>
      </c>
      <c r="G88" s="64">
        <v>24.21</v>
      </c>
      <c r="H88" s="64">
        <v>4.07</v>
      </c>
      <c r="I88" s="64">
        <v>0.94</v>
      </c>
      <c r="J88" s="64">
        <v>0.12</v>
      </c>
      <c r="K88" s="64">
        <v>328.73</v>
      </c>
      <c r="L88" s="64">
        <v>24.09</v>
      </c>
      <c r="M88" s="64">
        <v>97.7</v>
      </c>
      <c r="N88" s="64">
        <v>53.1</v>
      </c>
      <c r="O88" s="64">
        <v>0</v>
      </c>
      <c r="P88" s="64">
        <v>0.63</v>
      </c>
      <c r="Q88" s="64">
        <v>9.6300000000000008</v>
      </c>
      <c r="R88" s="198"/>
      <c r="S88" s="198"/>
      <c r="T88" s="198"/>
      <c r="U88" s="198"/>
    </row>
    <row r="89" spans="1:26" s="12" customFormat="1" x14ac:dyDescent="0.25">
      <c r="A89" s="212" t="s">
        <v>999</v>
      </c>
      <c r="B89" s="64">
        <v>9.81</v>
      </c>
      <c r="C89" s="64">
        <v>11.16</v>
      </c>
      <c r="D89" s="64">
        <v>13.69</v>
      </c>
      <c r="E89" s="64">
        <v>3.9</v>
      </c>
      <c r="F89" s="64">
        <v>4.05</v>
      </c>
      <c r="G89" s="64">
        <v>24.21</v>
      </c>
      <c r="H89" s="64">
        <v>4.07</v>
      </c>
      <c r="I89" s="64">
        <v>0.98</v>
      </c>
      <c r="J89" s="64">
        <v>0.16</v>
      </c>
      <c r="K89" s="64">
        <v>321.29000000000002</v>
      </c>
      <c r="L89" s="64">
        <v>24.27</v>
      </c>
      <c r="M89" s="64">
        <v>97.66</v>
      </c>
      <c r="N89" s="64">
        <v>53.1</v>
      </c>
      <c r="O89" s="64">
        <v>0</v>
      </c>
      <c r="P89" s="64">
        <v>0.44</v>
      </c>
      <c r="Q89" s="64">
        <v>9.64</v>
      </c>
      <c r="R89" s="198"/>
      <c r="S89" s="198"/>
      <c r="T89" s="198"/>
      <c r="U89" s="198"/>
    </row>
    <row r="90" spans="1:26" s="12" customFormat="1" x14ac:dyDescent="0.25">
      <c r="A90" s="212" t="s">
        <v>1000</v>
      </c>
      <c r="B90" s="64">
        <v>10.37</v>
      </c>
      <c r="C90" s="64">
        <v>13.89</v>
      </c>
      <c r="D90" s="64">
        <v>15.58</v>
      </c>
      <c r="E90" s="64">
        <v>4.16</v>
      </c>
      <c r="F90" s="64">
        <v>7.57</v>
      </c>
      <c r="G90" s="64">
        <v>24.21</v>
      </c>
      <c r="H90" s="64">
        <v>4.07</v>
      </c>
      <c r="I90" s="64">
        <v>1.03</v>
      </c>
      <c r="J90" s="64">
        <v>0.09</v>
      </c>
      <c r="K90" s="64">
        <v>314.04000000000002</v>
      </c>
      <c r="L90" s="64">
        <v>24.31</v>
      </c>
      <c r="M90" s="64">
        <v>97.65</v>
      </c>
      <c r="N90" s="64">
        <v>53.1</v>
      </c>
      <c r="O90" s="64">
        <v>0</v>
      </c>
      <c r="P90" s="64">
        <v>0.52</v>
      </c>
      <c r="Q90" s="64">
        <v>9.64</v>
      </c>
      <c r="R90" s="198"/>
      <c r="S90" s="198"/>
      <c r="T90" s="198"/>
      <c r="U90" s="198"/>
    </row>
    <row r="91" spans="1:26" s="12" customFormat="1" x14ac:dyDescent="0.25">
      <c r="A91" s="212" t="s">
        <v>1001</v>
      </c>
      <c r="B91" s="64">
        <v>14.26</v>
      </c>
      <c r="C91" s="64">
        <v>14.22</v>
      </c>
      <c r="D91" s="64">
        <v>18.87</v>
      </c>
      <c r="E91" s="64">
        <v>4.1900000000000004</v>
      </c>
      <c r="F91" s="64">
        <v>5.01</v>
      </c>
      <c r="G91" s="64">
        <v>28.53</v>
      </c>
      <c r="H91" s="64">
        <v>4.97</v>
      </c>
      <c r="I91" s="64">
        <v>1.06</v>
      </c>
      <c r="J91" s="64">
        <v>0.12</v>
      </c>
      <c r="K91" s="64">
        <v>341.2</v>
      </c>
      <c r="L91" s="64">
        <v>24.24</v>
      </c>
      <c r="M91" s="64">
        <v>97.67</v>
      </c>
      <c r="N91" s="64">
        <v>53</v>
      </c>
      <c r="O91" s="64">
        <v>0</v>
      </c>
      <c r="P91" s="64">
        <v>0.72</v>
      </c>
      <c r="Q91" s="64">
        <v>9.6</v>
      </c>
      <c r="R91" s="198"/>
      <c r="S91" s="198"/>
      <c r="T91" s="198"/>
      <c r="U91" s="198"/>
    </row>
    <row r="92" spans="1:26" s="12" customFormat="1" x14ac:dyDescent="0.25">
      <c r="A92" s="212" t="s">
        <v>1002</v>
      </c>
      <c r="B92" s="64">
        <v>11.16</v>
      </c>
      <c r="C92" s="64">
        <v>12.77</v>
      </c>
      <c r="D92" s="64">
        <v>15.62</v>
      </c>
      <c r="E92" s="64">
        <v>3.95</v>
      </c>
      <c r="F92" s="64">
        <v>4.57</v>
      </c>
      <c r="G92" s="64">
        <v>28.84</v>
      </c>
      <c r="H92" s="64">
        <v>5.04</v>
      </c>
      <c r="I92" s="64">
        <v>1.07</v>
      </c>
      <c r="J92" s="64">
        <v>0.18</v>
      </c>
      <c r="K92" s="64">
        <v>320.92</v>
      </c>
      <c r="L92" s="64">
        <v>24.26</v>
      </c>
      <c r="M92" s="64">
        <v>97.7</v>
      </c>
      <c r="N92" s="64">
        <v>52.1</v>
      </c>
      <c r="O92" s="64">
        <v>0</v>
      </c>
      <c r="P92" s="64">
        <v>0.57999999999999996</v>
      </c>
      <c r="Q92" s="64">
        <v>9.61</v>
      </c>
      <c r="R92" s="198"/>
      <c r="S92" s="198"/>
      <c r="T92" s="198"/>
      <c r="U92" s="198"/>
    </row>
    <row r="93" spans="1:26" s="12" customFormat="1" x14ac:dyDescent="0.25">
      <c r="A93" s="212" t="s">
        <v>1003</v>
      </c>
      <c r="B93" s="64">
        <v>11.79</v>
      </c>
      <c r="C93" s="64">
        <v>11.14</v>
      </c>
      <c r="D93" s="64">
        <v>15.28</v>
      </c>
      <c r="E93" s="64">
        <v>4.45</v>
      </c>
      <c r="F93" s="64">
        <v>4.82</v>
      </c>
      <c r="G93" s="64">
        <v>28.84</v>
      </c>
      <c r="H93" s="64">
        <v>5.04</v>
      </c>
      <c r="I93" s="64">
        <v>1.1200000000000001</v>
      </c>
      <c r="J93" s="64">
        <v>0.27</v>
      </c>
      <c r="K93" s="64">
        <v>324.39999999999998</v>
      </c>
      <c r="L93" s="64">
        <v>24.16</v>
      </c>
      <c r="M93" s="64">
        <v>97.73</v>
      </c>
      <c r="N93" s="64">
        <v>52.2</v>
      </c>
      <c r="O93" s="64">
        <v>0</v>
      </c>
      <c r="P93" s="64">
        <v>0.61</v>
      </c>
      <c r="Q93" s="64">
        <v>9.6</v>
      </c>
      <c r="R93" s="198"/>
      <c r="S93" s="198"/>
      <c r="T93" s="198"/>
      <c r="U93" s="198"/>
    </row>
    <row r="94" spans="1:26" s="12" customFormat="1" x14ac:dyDescent="0.25">
      <c r="A94" s="212" t="s">
        <v>1004</v>
      </c>
      <c r="B94" s="64">
        <v>13.9</v>
      </c>
      <c r="C94" s="64">
        <v>12.47</v>
      </c>
      <c r="D94" s="64">
        <v>17.66</v>
      </c>
      <c r="E94" s="64">
        <v>4.38</v>
      </c>
      <c r="F94" s="64">
        <v>5.47</v>
      </c>
      <c r="G94" s="64">
        <v>28.84</v>
      </c>
      <c r="H94" s="64">
        <v>5.04</v>
      </c>
      <c r="I94" s="64">
        <v>1.18</v>
      </c>
      <c r="J94" s="64">
        <v>0.2</v>
      </c>
      <c r="K94" s="64">
        <v>324.83</v>
      </c>
      <c r="L94" s="64">
        <v>23.95</v>
      </c>
      <c r="M94" s="64">
        <v>97.74</v>
      </c>
      <c r="N94" s="64">
        <v>52.2</v>
      </c>
      <c r="O94" s="64">
        <v>0</v>
      </c>
      <c r="P94" s="64">
        <v>0.64</v>
      </c>
      <c r="Q94" s="64">
        <v>9.61</v>
      </c>
      <c r="R94" s="198"/>
      <c r="S94" s="198"/>
      <c r="T94" s="198"/>
      <c r="U94" s="198"/>
    </row>
    <row r="95" spans="1:26" s="12" customFormat="1" x14ac:dyDescent="0.25">
      <c r="A95" s="212" t="s">
        <v>1005</v>
      </c>
      <c r="B95" s="64">
        <v>22.74</v>
      </c>
      <c r="C95" s="64">
        <v>12.52</v>
      </c>
      <c r="D95" s="64">
        <v>24.77</v>
      </c>
      <c r="E95" s="64">
        <v>4.41</v>
      </c>
      <c r="F95" s="64">
        <v>5.52</v>
      </c>
      <c r="G95" s="64">
        <v>34.14</v>
      </c>
      <c r="H95" s="64">
        <v>3.78</v>
      </c>
      <c r="I95" s="64">
        <v>1.25</v>
      </c>
      <c r="J95" s="64">
        <v>0.16</v>
      </c>
      <c r="K95" s="64">
        <v>327.16000000000003</v>
      </c>
      <c r="L95" s="64">
        <v>23.8</v>
      </c>
      <c r="M95" s="64">
        <v>97.75</v>
      </c>
      <c r="N95" s="64">
        <v>52.1</v>
      </c>
      <c r="O95" s="64">
        <v>0</v>
      </c>
      <c r="P95" s="64">
        <v>0.73</v>
      </c>
      <c r="Q95" s="64">
        <v>9.61</v>
      </c>
      <c r="R95" s="198"/>
      <c r="S95" s="198"/>
      <c r="T95" s="198"/>
      <c r="U95" s="198"/>
    </row>
    <row r="96" spans="1:26" s="12" customFormat="1" x14ac:dyDescent="0.25">
      <c r="A96" s="212" t="s">
        <v>1006</v>
      </c>
      <c r="B96" s="64">
        <v>11.47</v>
      </c>
      <c r="C96" s="64">
        <v>15.52</v>
      </c>
      <c r="D96" s="64">
        <v>17.309999999999999</v>
      </c>
      <c r="E96" s="64">
        <v>4.3499999999999996</v>
      </c>
      <c r="F96" s="64">
        <v>5.85</v>
      </c>
      <c r="G96" s="64">
        <v>34.590000000000003</v>
      </c>
      <c r="H96" s="64">
        <v>3.68</v>
      </c>
      <c r="I96" s="64">
        <v>1.3</v>
      </c>
      <c r="J96" s="64">
        <v>0.08</v>
      </c>
      <c r="K96" s="64">
        <v>243.94</v>
      </c>
      <c r="L96" s="64">
        <v>23.72</v>
      </c>
      <c r="M96" s="64">
        <v>97.75</v>
      </c>
      <c r="N96" s="64">
        <v>52.2</v>
      </c>
      <c r="O96" s="64">
        <v>0</v>
      </c>
      <c r="P96" s="64">
        <v>0.6</v>
      </c>
      <c r="Q96" s="64">
        <v>9.6300000000000008</v>
      </c>
      <c r="R96" s="198"/>
      <c r="S96" s="198"/>
      <c r="T96" s="198"/>
      <c r="U96" s="198"/>
      <c r="Z96" s="109"/>
    </row>
    <row r="97" spans="1:33" s="12" customFormat="1" x14ac:dyDescent="0.25">
      <c r="A97" s="212" t="s">
        <v>1007</v>
      </c>
      <c r="B97" s="64">
        <v>9.18</v>
      </c>
      <c r="C97" s="64">
        <v>12.89</v>
      </c>
      <c r="D97" s="64">
        <v>14.1</v>
      </c>
      <c r="E97" s="64">
        <v>4.46</v>
      </c>
      <c r="F97" s="64">
        <v>5.31</v>
      </c>
      <c r="G97" s="64">
        <v>34.590000000000003</v>
      </c>
      <c r="H97" s="64">
        <v>3.68</v>
      </c>
      <c r="I97" s="64">
        <v>1.33</v>
      </c>
      <c r="J97" s="64">
        <v>0.02</v>
      </c>
      <c r="K97" s="64">
        <v>219.51</v>
      </c>
      <c r="L97" s="64">
        <v>23.65</v>
      </c>
      <c r="M97" s="64">
        <v>97.75</v>
      </c>
      <c r="N97" s="64">
        <v>52.1</v>
      </c>
      <c r="O97" s="64">
        <v>0</v>
      </c>
      <c r="P97" s="64">
        <v>0.49</v>
      </c>
      <c r="Q97" s="64">
        <v>9.64</v>
      </c>
      <c r="R97" s="198"/>
      <c r="S97" s="198"/>
      <c r="T97" s="198"/>
      <c r="U97" s="198"/>
    </row>
    <row r="98" spans="1:33" s="12" customFormat="1" x14ac:dyDescent="0.25">
      <c r="A98" s="212" t="s">
        <v>1008</v>
      </c>
      <c r="B98" s="64">
        <v>9.92</v>
      </c>
      <c r="C98" s="64">
        <v>11.98</v>
      </c>
      <c r="D98" s="64">
        <v>14.21</v>
      </c>
      <c r="E98" s="64">
        <v>4.6399999999999997</v>
      </c>
      <c r="F98" s="64">
        <v>3.74</v>
      </c>
      <c r="G98" s="64">
        <v>34.590000000000003</v>
      </c>
      <c r="H98" s="64">
        <v>3.68</v>
      </c>
      <c r="I98" s="64">
        <v>1.37</v>
      </c>
      <c r="J98" s="64">
        <v>0.06</v>
      </c>
      <c r="K98" s="64">
        <v>158.01</v>
      </c>
      <c r="L98" s="64">
        <v>23.64</v>
      </c>
      <c r="M98" s="64">
        <v>97.75</v>
      </c>
      <c r="N98" s="64">
        <v>52.4</v>
      </c>
      <c r="O98" s="64">
        <v>0</v>
      </c>
      <c r="P98" s="64">
        <v>0.54</v>
      </c>
      <c r="Q98" s="64">
        <v>9.6300000000000008</v>
      </c>
      <c r="R98" s="198"/>
      <c r="S98" s="198"/>
      <c r="T98" s="198"/>
      <c r="U98" s="198"/>
    </row>
    <row r="99" spans="1:33" s="12" customFormat="1" x14ac:dyDescent="0.25">
      <c r="A99" s="212" t="s">
        <v>1009</v>
      </c>
      <c r="B99" s="64">
        <v>7.63</v>
      </c>
      <c r="C99" s="64">
        <v>14.4</v>
      </c>
      <c r="D99" s="64">
        <v>13.64</v>
      </c>
      <c r="E99" s="64">
        <v>4.75</v>
      </c>
      <c r="F99" s="64">
        <v>4.8899999999999997</v>
      </c>
      <c r="G99" s="64">
        <v>26.43</v>
      </c>
      <c r="H99" s="64">
        <v>5.74</v>
      </c>
      <c r="I99" s="64">
        <v>1.39</v>
      </c>
      <c r="J99" s="64">
        <v>7.0000000000000007E-2</v>
      </c>
      <c r="K99" s="64">
        <v>187.77</v>
      </c>
      <c r="L99" s="64">
        <v>23.6</v>
      </c>
      <c r="M99" s="64">
        <v>97.76</v>
      </c>
      <c r="N99" s="64">
        <v>52.5</v>
      </c>
      <c r="O99" s="64">
        <v>0</v>
      </c>
      <c r="P99" s="64">
        <v>0.48</v>
      </c>
      <c r="Q99" s="64">
        <v>9.64</v>
      </c>
      <c r="R99" s="198"/>
      <c r="S99" s="198"/>
      <c r="T99" s="198"/>
      <c r="U99" s="198"/>
    </row>
    <row r="100" spans="1:33" s="12" customFormat="1" x14ac:dyDescent="0.25">
      <c r="A100" s="212" t="s">
        <v>1010</v>
      </c>
      <c r="B100" s="64">
        <v>10.6</v>
      </c>
      <c r="C100" s="64">
        <v>9.07</v>
      </c>
      <c r="D100" s="64">
        <v>13.24</v>
      </c>
      <c r="E100" s="64">
        <v>4.24</v>
      </c>
      <c r="F100" s="64">
        <v>4.03</v>
      </c>
      <c r="G100" s="64">
        <v>25.85</v>
      </c>
      <c r="H100" s="64">
        <v>5.89</v>
      </c>
      <c r="I100" s="64">
        <v>1.39</v>
      </c>
      <c r="J100" s="64">
        <v>0.19</v>
      </c>
      <c r="K100" s="64">
        <v>135.24</v>
      </c>
      <c r="L100" s="64">
        <v>23.49</v>
      </c>
      <c r="M100" s="64">
        <v>97.78</v>
      </c>
      <c r="N100" s="64">
        <v>52.7</v>
      </c>
      <c r="O100" s="64">
        <v>0</v>
      </c>
      <c r="P100" s="64">
        <v>0.54</v>
      </c>
      <c r="Q100" s="64">
        <v>9.64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2" t="s">
        <v>1011</v>
      </c>
      <c r="B101" s="64">
        <v>9.4</v>
      </c>
      <c r="C101" s="64">
        <v>11.95</v>
      </c>
      <c r="D101" s="64">
        <v>13.78</v>
      </c>
      <c r="E101" s="64">
        <v>4.08</v>
      </c>
      <c r="F101" s="64">
        <v>5.15</v>
      </c>
      <c r="G101" s="64">
        <v>25.85</v>
      </c>
      <c r="H101" s="64">
        <v>5.89</v>
      </c>
      <c r="I101" s="64">
        <v>1.4</v>
      </c>
      <c r="J101" s="64">
        <v>0.06</v>
      </c>
      <c r="K101" s="64">
        <v>81</v>
      </c>
      <c r="L101" s="64">
        <v>23.35</v>
      </c>
      <c r="M101" s="64">
        <v>97.78</v>
      </c>
      <c r="N101" s="64">
        <v>52.7</v>
      </c>
      <c r="O101" s="64">
        <v>0</v>
      </c>
      <c r="P101" s="64">
        <v>0.57999999999999996</v>
      </c>
      <c r="Q101" s="64">
        <v>9.64</v>
      </c>
      <c r="R101" s="198"/>
      <c r="S101" s="198"/>
      <c r="T101" s="198"/>
      <c r="U101" s="198"/>
    </row>
    <row r="102" spans="1:33" s="12" customFormat="1" x14ac:dyDescent="0.25">
      <c r="A102" s="212" t="s">
        <v>1012</v>
      </c>
      <c r="B102" s="64">
        <v>9.8000000000000007</v>
      </c>
      <c r="C102" s="64">
        <v>10.62</v>
      </c>
      <c r="D102" s="64">
        <v>13.41</v>
      </c>
      <c r="E102" s="64">
        <v>4.38</v>
      </c>
      <c r="F102" s="64">
        <v>2.99</v>
      </c>
      <c r="G102" s="64">
        <v>25.85</v>
      </c>
      <c r="H102" s="64">
        <v>5.89</v>
      </c>
      <c r="I102" s="64">
        <v>1.41</v>
      </c>
      <c r="J102" s="64">
        <v>0.05</v>
      </c>
      <c r="K102" s="64">
        <v>211.63</v>
      </c>
      <c r="L102" s="64">
        <v>23.31</v>
      </c>
      <c r="M102" s="64">
        <v>97.78</v>
      </c>
      <c r="N102" s="64">
        <v>52.7</v>
      </c>
      <c r="O102" s="64">
        <v>0</v>
      </c>
      <c r="P102" s="64">
        <v>0.53</v>
      </c>
      <c r="Q102" s="64">
        <v>9.65</v>
      </c>
      <c r="R102" s="198"/>
      <c r="S102" s="198"/>
      <c r="T102" s="198"/>
      <c r="U102" s="198"/>
    </row>
    <row r="103" spans="1:33" s="12" customFormat="1" x14ac:dyDescent="0.25">
      <c r="A103" s="212" t="s">
        <v>1013</v>
      </c>
      <c r="B103" s="64">
        <v>7.75</v>
      </c>
      <c r="C103" s="64">
        <v>7.95</v>
      </c>
      <c r="D103" s="64">
        <v>10.37</v>
      </c>
      <c r="E103" s="64">
        <v>4.53</v>
      </c>
      <c r="F103" s="64">
        <v>7.17</v>
      </c>
      <c r="G103" s="64">
        <v>25.4</v>
      </c>
      <c r="H103" s="64">
        <v>6.46</v>
      </c>
      <c r="I103" s="64">
        <v>1.42</v>
      </c>
      <c r="J103" s="64">
        <v>0.09</v>
      </c>
      <c r="K103" s="64">
        <v>143.63999999999999</v>
      </c>
      <c r="L103" s="64">
        <v>23.27</v>
      </c>
      <c r="M103" s="64">
        <v>97.79</v>
      </c>
      <c r="N103" s="64">
        <v>52.5</v>
      </c>
      <c r="O103" s="64">
        <v>0</v>
      </c>
      <c r="P103" s="64">
        <v>0.36</v>
      </c>
      <c r="Q103" s="64">
        <v>9.6300000000000008</v>
      </c>
      <c r="R103" s="198"/>
      <c r="S103" s="198"/>
      <c r="T103" s="198"/>
      <c r="U103" s="198"/>
    </row>
    <row r="104" spans="1:33" s="12" customFormat="1" x14ac:dyDescent="0.25">
      <c r="A104" s="212" t="s">
        <v>1014</v>
      </c>
      <c r="B104" s="64">
        <v>8.02</v>
      </c>
      <c r="C104" s="64">
        <v>7.85</v>
      </c>
      <c r="D104" s="64">
        <v>10.53</v>
      </c>
      <c r="E104" s="64">
        <v>4.75</v>
      </c>
      <c r="F104" s="64">
        <v>4.7</v>
      </c>
      <c r="G104" s="64">
        <v>25.37</v>
      </c>
      <c r="H104" s="64">
        <v>6.5</v>
      </c>
      <c r="I104" s="64">
        <v>1.42</v>
      </c>
      <c r="J104" s="64">
        <v>0.02</v>
      </c>
      <c r="K104" s="64">
        <v>238.24</v>
      </c>
      <c r="L104" s="64">
        <v>23.26</v>
      </c>
      <c r="M104" s="64">
        <v>97.82</v>
      </c>
      <c r="N104" s="64">
        <v>52.7</v>
      </c>
      <c r="O104" s="64">
        <v>0</v>
      </c>
      <c r="P104" s="64">
        <v>0.41</v>
      </c>
      <c r="Q104" s="64">
        <v>9.64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5.56</v>
      </c>
      <c r="C106" s="67">
        <f>MIN(C9:C104)</f>
        <v>7.44</v>
      </c>
      <c r="D106" s="67">
        <f t="shared" ref="D106:Q106" si="0">MIN(D9:D104)</f>
        <v>8.57</v>
      </c>
      <c r="E106" s="67">
        <f t="shared" si="0"/>
        <v>3.81</v>
      </c>
      <c r="F106" s="67">
        <f t="shared" si="0"/>
        <v>2.1</v>
      </c>
      <c r="G106" s="67">
        <f t="shared" si="0"/>
        <v>12.59</v>
      </c>
      <c r="H106" s="67">
        <f t="shared" si="0"/>
        <v>2.2000000000000002</v>
      </c>
      <c r="I106" s="67">
        <f t="shared" si="0"/>
        <v>0.79</v>
      </c>
      <c r="J106" s="67">
        <f t="shared" si="0"/>
        <v>0.01</v>
      </c>
      <c r="K106" s="67">
        <f t="shared" si="0"/>
        <v>81</v>
      </c>
      <c r="L106" s="67">
        <f t="shared" si="0"/>
        <v>22.77</v>
      </c>
      <c r="M106" s="67">
        <f t="shared" si="0"/>
        <v>93.93</v>
      </c>
      <c r="N106" s="67">
        <f t="shared" si="0"/>
        <v>51.6</v>
      </c>
      <c r="O106" s="67">
        <f t="shared" si="0"/>
        <v>0</v>
      </c>
      <c r="P106" s="67">
        <f t="shared" si="0"/>
        <v>0.16</v>
      </c>
      <c r="Q106" s="67">
        <f t="shared" si="0"/>
        <v>9.59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22.74</v>
      </c>
      <c r="C107" s="66">
        <f t="shared" ref="C107:Q107" si="1">MAX(C9:C104)</f>
        <v>16.71</v>
      </c>
      <c r="D107" s="66">
        <f t="shared" si="1"/>
        <v>24.77</v>
      </c>
      <c r="E107" s="66">
        <f t="shared" si="1"/>
        <v>4.8499999999999996</v>
      </c>
      <c r="F107" s="66">
        <f t="shared" si="1"/>
        <v>10.31</v>
      </c>
      <c r="G107" s="66">
        <f t="shared" si="1"/>
        <v>34.590000000000003</v>
      </c>
      <c r="H107" s="66">
        <f t="shared" si="1"/>
        <v>6.5</v>
      </c>
      <c r="I107" s="66">
        <f t="shared" si="1"/>
        <v>1.42</v>
      </c>
      <c r="J107" s="66">
        <f t="shared" si="1"/>
        <v>1.73</v>
      </c>
      <c r="K107" s="66">
        <f t="shared" si="1"/>
        <v>350.05</v>
      </c>
      <c r="L107" s="66">
        <f t="shared" si="1"/>
        <v>26.94</v>
      </c>
      <c r="M107" s="66">
        <f t="shared" si="1"/>
        <v>98.13</v>
      </c>
      <c r="N107" s="66">
        <f t="shared" si="1"/>
        <v>633.1</v>
      </c>
      <c r="O107" s="66">
        <f t="shared" si="1"/>
        <v>0.2</v>
      </c>
      <c r="P107" s="66">
        <f t="shared" si="1"/>
        <v>0.73</v>
      </c>
      <c r="Q107" s="66">
        <f t="shared" si="1"/>
        <v>9.65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7.8999999999999986</v>
      </c>
      <c r="C108" s="67">
        <f t="shared" ref="C108:Q108" si="2">AVERAGE(C9:C104)</f>
        <v>9.8659375000000029</v>
      </c>
      <c r="D108" s="67">
        <f t="shared" si="2"/>
        <v>11.49</v>
      </c>
      <c r="E108" s="67">
        <f t="shared" si="2"/>
        <v>4.2981249999999998</v>
      </c>
      <c r="F108" s="67">
        <f t="shared" si="2"/>
        <v>4.3197916666666654</v>
      </c>
      <c r="G108" s="67">
        <f t="shared" si="2"/>
        <v>18.896458333333317</v>
      </c>
      <c r="H108" s="67">
        <f t="shared" si="2"/>
        <v>3.6373958333333332</v>
      </c>
      <c r="I108" s="67">
        <f t="shared" si="2"/>
        <v>0.95343750000000027</v>
      </c>
      <c r="J108" s="67">
        <f t="shared" si="2"/>
        <v>0.20104166666666656</v>
      </c>
      <c r="K108" s="67">
        <f t="shared" si="2"/>
        <v>243.23520833333328</v>
      </c>
      <c r="L108" s="67">
        <f t="shared" si="2"/>
        <v>24.380416666666658</v>
      </c>
      <c r="M108" s="67">
        <f t="shared" si="2"/>
        <v>97.578020833333326</v>
      </c>
      <c r="N108" s="67">
        <f t="shared" si="2"/>
        <v>140.43645833333338</v>
      </c>
      <c r="O108" s="67">
        <f t="shared" si="2"/>
        <v>2.0833333333333333E-3</v>
      </c>
      <c r="P108" s="67">
        <f t="shared" si="2"/>
        <v>0.29177083333333331</v>
      </c>
      <c r="Q108" s="67">
        <f t="shared" si="2"/>
        <v>9.6206250000000022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2.277633120495699</v>
      </c>
      <c r="C109" s="67">
        <f t="shared" ref="C109:Q109" si="3">STDEV(C9:C104)</f>
        <v>1.8955052530852208</v>
      </c>
      <c r="D109" s="67">
        <f t="shared" si="3"/>
        <v>2.5376781762697571</v>
      </c>
      <c r="E109" s="67">
        <f t="shared" si="3"/>
        <v>0.25286698188240364</v>
      </c>
      <c r="F109" s="67">
        <f t="shared" si="3"/>
        <v>1.8600503553832686</v>
      </c>
      <c r="G109" s="67">
        <f t="shared" si="3"/>
        <v>5.7664709593096957</v>
      </c>
      <c r="H109" s="67">
        <f t="shared" si="3"/>
        <v>0.95359844223608403</v>
      </c>
      <c r="I109" s="67">
        <f t="shared" si="3"/>
        <v>0.16070127975778201</v>
      </c>
      <c r="J109" s="67">
        <f t="shared" si="3"/>
        <v>0.25983589625464804</v>
      </c>
      <c r="K109" s="67">
        <f t="shared" si="3"/>
        <v>79.916864592349825</v>
      </c>
      <c r="L109" s="67">
        <f t="shared" si="3"/>
        <v>1.3934726909239656</v>
      </c>
      <c r="M109" s="67">
        <f t="shared" si="3"/>
        <v>0.73076113138312859</v>
      </c>
      <c r="N109" s="67">
        <f t="shared" si="3"/>
        <v>120.95607912730492</v>
      </c>
      <c r="O109" s="67">
        <f t="shared" si="3"/>
        <v>2.0412414523193152E-2</v>
      </c>
      <c r="P109" s="67">
        <f t="shared" si="3"/>
        <v>0.14582610257763357</v>
      </c>
      <c r="Q109" s="67">
        <f t="shared" si="3"/>
        <v>1.2295698862867705E-2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216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E11" sqref="E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09/08/2025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2" t="s">
        <v>1015</v>
      </c>
      <c r="B9" s="64">
        <v>8.94</v>
      </c>
      <c r="C9" s="64">
        <v>7.08</v>
      </c>
      <c r="D9" s="64">
        <v>10.87</v>
      </c>
      <c r="E9" s="64">
        <v>4.33</v>
      </c>
      <c r="F9" s="64">
        <v>4.78</v>
      </c>
      <c r="G9" s="64">
        <v>25.37</v>
      </c>
      <c r="H9" s="64">
        <v>6.5</v>
      </c>
      <c r="I9" s="64">
        <v>1.42</v>
      </c>
      <c r="J9" s="64">
        <v>0.11</v>
      </c>
      <c r="K9" s="64">
        <v>147.30000000000001</v>
      </c>
      <c r="L9" s="64">
        <v>23.26</v>
      </c>
      <c r="M9" s="64">
        <v>97.83</v>
      </c>
      <c r="N9" s="64">
        <v>52.8</v>
      </c>
      <c r="O9" s="64">
        <v>0</v>
      </c>
      <c r="P9" s="64">
        <v>0.4</v>
      </c>
      <c r="Q9" s="64">
        <v>9.64</v>
      </c>
      <c r="R9" s="198"/>
      <c r="S9" s="198"/>
      <c r="T9" s="198"/>
      <c r="U9" s="198"/>
    </row>
    <row r="10" spans="1:21" s="12" customFormat="1" x14ac:dyDescent="0.25">
      <c r="A10" s="212" t="s">
        <v>1016</v>
      </c>
      <c r="B10" s="64">
        <v>7.39</v>
      </c>
      <c r="C10" s="64">
        <v>8.3699999999999992</v>
      </c>
      <c r="D10" s="64">
        <v>10.3</v>
      </c>
      <c r="E10" s="64">
        <v>4.21</v>
      </c>
      <c r="F10" s="64">
        <v>6.31</v>
      </c>
      <c r="G10" s="64">
        <v>25.37</v>
      </c>
      <c r="H10" s="64">
        <v>6.5</v>
      </c>
      <c r="I10" s="64">
        <v>1.4</v>
      </c>
      <c r="J10" s="64">
        <v>0.08</v>
      </c>
      <c r="K10" s="64">
        <v>193.88</v>
      </c>
      <c r="L10" s="64">
        <v>23.24</v>
      </c>
      <c r="M10" s="64">
        <v>97.82</v>
      </c>
      <c r="N10" s="64">
        <v>52.8</v>
      </c>
      <c r="O10" s="64">
        <v>0</v>
      </c>
      <c r="P10" s="64">
        <v>0.31</v>
      </c>
      <c r="Q10" s="64">
        <v>9.66</v>
      </c>
      <c r="R10" s="198"/>
      <c r="S10" s="198"/>
      <c r="T10" s="198"/>
      <c r="U10" s="198"/>
    </row>
    <row r="11" spans="1:21" s="12" customFormat="1" x14ac:dyDescent="0.25">
      <c r="A11" s="212" t="s">
        <v>1017</v>
      </c>
      <c r="B11" s="64">
        <v>9.06</v>
      </c>
      <c r="C11" s="64">
        <v>7.56</v>
      </c>
      <c r="D11" s="64">
        <v>11.16</v>
      </c>
      <c r="E11" s="64">
        <v>4.1900000000000004</v>
      </c>
      <c r="F11" s="64">
        <v>3.84</v>
      </c>
      <c r="G11" s="64">
        <v>17.170000000000002</v>
      </c>
      <c r="H11" s="64">
        <v>4.8</v>
      </c>
      <c r="I11" s="64">
        <v>1.37</v>
      </c>
      <c r="J11" s="64">
        <v>0.01</v>
      </c>
      <c r="K11" s="64">
        <v>115.56</v>
      </c>
      <c r="L11" s="64">
        <v>23.26</v>
      </c>
      <c r="M11" s="64">
        <v>97.8</v>
      </c>
      <c r="N11" s="64">
        <v>52.7</v>
      </c>
      <c r="O11" s="64">
        <v>0</v>
      </c>
      <c r="P11" s="64">
        <v>0.39</v>
      </c>
      <c r="Q11" s="64">
        <v>9.66</v>
      </c>
      <c r="R11" s="198"/>
      <c r="S11" s="198"/>
      <c r="T11" s="198"/>
      <c r="U11" s="198"/>
    </row>
    <row r="12" spans="1:21" s="12" customFormat="1" x14ac:dyDescent="0.25">
      <c r="A12" s="212" t="s">
        <v>1018</v>
      </c>
      <c r="B12" s="64">
        <v>7.74</v>
      </c>
      <c r="C12" s="64">
        <v>7.26</v>
      </c>
      <c r="D12" s="64">
        <v>10</v>
      </c>
      <c r="E12" s="64">
        <v>4.45</v>
      </c>
      <c r="F12" s="64">
        <v>7.34</v>
      </c>
      <c r="G12" s="64">
        <v>17.170000000000002</v>
      </c>
      <c r="H12" s="64">
        <v>4.8</v>
      </c>
      <c r="I12" s="64">
        <v>1.36</v>
      </c>
      <c r="J12" s="64">
        <v>0.03</v>
      </c>
      <c r="K12" s="64">
        <v>260.88</v>
      </c>
      <c r="L12" s="64">
        <v>23.25</v>
      </c>
      <c r="M12" s="64">
        <v>97.8</v>
      </c>
      <c r="N12" s="64">
        <v>52.8</v>
      </c>
      <c r="O12" s="64">
        <v>0</v>
      </c>
      <c r="P12" s="64">
        <v>0.35</v>
      </c>
      <c r="Q12" s="64">
        <v>9.65</v>
      </c>
      <c r="R12" s="198"/>
      <c r="S12" s="198"/>
      <c r="T12" s="198"/>
      <c r="U12" s="198"/>
    </row>
    <row r="13" spans="1:21" s="12" customFormat="1" x14ac:dyDescent="0.25">
      <c r="A13" s="212" t="s">
        <v>1019</v>
      </c>
      <c r="B13" s="64">
        <v>8.43</v>
      </c>
      <c r="C13" s="64">
        <v>6.88</v>
      </c>
      <c r="D13" s="64">
        <v>10.36</v>
      </c>
      <c r="E13" s="64">
        <v>4.33</v>
      </c>
      <c r="F13" s="64">
        <v>5.5</v>
      </c>
      <c r="G13" s="64">
        <v>17.170000000000002</v>
      </c>
      <c r="H13" s="64">
        <v>4.8</v>
      </c>
      <c r="I13" s="64">
        <v>1.35</v>
      </c>
      <c r="J13" s="64">
        <v>0.05</v>
      </c>
      <c r="K13" s="64">
        <v>283.2</v>
      </c>
      <c r="L13" s="64">
        <v>23.23</v>
      </c>
      <c r="M13" s="64">
        <v>97.79</v>
      </c>
      <c r="N13" s="64">
        <v>53</v>
      </c>
      <c r="O13" s="64">
        <v>0</v>
      </c>
      <c r="P13" s="64">
        <v>0.33</v>
      </c>
      <c r="Q13" s="64">
        <v>9.66</v>
      </c>
      <c r="R13" s="198"/>
      <c r="S13" s="198"/>
      <c r="T13" s="198"/>
      <c r="U13" s="198"/>
    </row>
    <row r="14" spans="1:21" s="12" customFormat="1" x14ac:dyDescent="0.25">
      <c r="A14" s="212" t="s">
        <v>1020</v>
      </c>
      <c r="B14" s="64">
        <v>8.32</v>
      </c>
      <c r="C14" s="64">
        <v>6.45</v>
      </c>
      <c r="D14" s="64">
        <v>10.039999999999999</v>
      </c>
      <c r="E14" s="64">
        <v>4.7</v>
      </c>
      <c r="F14" s="64">
        <v>7.1</v>
      </c>
      <c r="G14" s="64">
        <v>17.170000000000002</v>
      </c>
      <c r="H14" s="64">
        <v>4.8</v>
      </c>
      <c r="I14" s="64">
        <v>1.32</v>
      </c>
      <c r="J14" s="64">
        <v>0.03</v>
      </c>
      <c r="K14" s="64">
        <v>261.39</v>
      </c>
      <c r="L14" s="64">
        <v>23.25</v>
      </c>
      <c r="M14" s="64">
        <v>97.77</v>
      </c>
      <c r="N14" s="64">
        <v>52.9</v>
      </c>
      <c r="O14" s="64">
        <v>0</v>
      </c>
      <c r="P14" s="64">
        <v>0.3</v>
      </c>
      <c r="Q14" s="64">
        <v>9.65</v>
      </c>
      <c r="R14" s="198"/>
      <c r="S14" s="198"/>
      <c r="T14" s="198"/>
      <c r="U14" s="198"/>
    </row>
    <row r="15" spans="1:21" s="12" customFormat="1" x14ac:dyDescent="0.25">
      <c r="A15" s="212" t="s">
        <v>1021</v>
      </c>
      <c r="B15" s="64">
        <v>7.31</v>
      </c>
      <c r="C15" s="64">
        <v>6.59</v>
      </c>
      <c r="D15" s="64">
        <v>9.31</v>
      </c>
      <c r="E15" s="64">
        <v>4.3899999999999997</v>
      </c>
      <c r="F15" s="64">
        <v>7.31</v>
      </c>
      <c r="G15" s="64">
        <v>15.24</v>
      </c>
      <c r="H15" s="64">
        <v>6.78</v>
      </c>
      <c r="I15" s="64">
        <v>1.31</v>
      </c>
      <c r="J15" s="64">
        <v>0.02</v>
      </c>
      <c r="K15" s="64">
        <v>202.54</v>
      </c>
      <c r="L15" s="64">
        <v>23.22</v>
      </c>
      <c r="M15" s="64">
        <v>97.77</v>
      </c>
      <c r="N15" s="64">
        <v>53.1</v>
      </c>
      <c r="O15" s="64">
        <v>0</v>
      </c>
      <c r="P15" s="64">
        <v>0.26</v>
      </c>
      <c r="Q15" s="64">
        <v>9.65</v>
      </c>
      <c r="R15" s="198"/>
      <c r="S15" s="198"/>
      <c r="T15" s="198"/>
      <c r="U15" s="198"/>
    </row>
    <row r="16" spans="1:21" s="12" customFormat="1" x14ac:dyDescent="0.25">
      <c r="A16" s="212" t="s">
        <v>1022</v>
      </c>
      <c r="B16" s="64">
        <v>7.33</v>
      </c>
      <c r="C16" s="64">
        <v>6.41</v>
      </c>
      <c r="D16" s="64">
        <v>9.2200000000000006</v>
      </c>
      <c r="E16" s="64">
        <v>4.84</v>
      </c>
      <c r="F16" s="64">
        <v>7.68</v>
      </c>
      <c r="G16" s="64">
        <v>15.08</v>
      </c>
      <c r="H16" s="64">
        <v>6.95</v>
      </c>
      <c r="I16" s="64">
        <v>1.29</v>
      </c>
      <c r="J16" s="64">
        <v>0.05</v>
      </c>
      <c r="K16" s="64">
        <v>310.45</v>
      </c>
      <c r="L16" s="64">
        <v>23.21</v>
      </c>
      <c r="M16" s="64">
        <v>97.78</v>
      </c>
      <c r="N16" s="64">
        <v>53</v>
      </c>
      <c r="O16" s="64">
        <v>0</v>
      </c>
      <c r="P16" s="64">
        <v>0.27</v>
      </c>
      <c r="Q16" s="64">
        <v>9.65</v>
      </c>
      <c r="R16" s="198"/>
      <c r="S16" s="198"/>
      <c r="T16" s="198"/>
      <c r="U16" s="198"/>
    </row>
    <row r="17" spans="1:21" s="12" customFormat="1" x14ac:dyDescent="0.25">
      <c r="A17" s="212" t="s">
        <v>1023</v>
      </c>
      <c r="B17" s="64">
        <v>7.75</v>
      </c>
      <c r="C17" s="64">
        <v>6.39</v>
      </c>
      <c r="D17" s="64">
        <v>9.56</v>
      </c>
      <c r="E17" s="64">
        <v>4.59</v>
      </c>
      <c r="F17" s="64">
        <v>6.89</v>
      </c>
      <c r="G17" s="64">
        <v>15.08</v>
      </c>
      <c r="H17" s="64">
        <v>6.95</v>
      </c>
      <c r="I17" s="64">
        <v>1.26</v>
      </c>
      <c r="J17" s="64">
        <v>0</v>
      </c>
      <c r="K17" s="64">
        <v>256.86</v>
      </c>
      <c r="L17" s="64">
        <v>23.16</v>
      </c>
      <c r="M17" s="64">
        <v>97.78</v>
      </c>
      <c r="N17" s="64">
        <v>53.1</v>
      </c>
      <c r="O17" s="64">
        <v>0</v>
      </c>
      <c r="P17" s="64">
        <v>0.28000000000000003</v>
      </c>
      <c r="Q17" s="64">
        <v>9.65</v>
      </c>
      <c r="R17" s="198"/>
      <c r="S17" s="198"/>
      <c r="T17" s="198"/>
      <c r="U17" s="198"/>
    </row>
    <row r="18" spans="1:21" s="12" customFormat="1" x14ac:dyDescent="0.25">
      <c r="A18" s="212" t="s">
        <v>1024</v>
      </c>
      <c r="B18" s="64">
        <v>7.54</v>
      </c>
      <c r="C18" s="64">
        <v>6.45</v>
      </c>
      <c r="D18" s="64">
        <v>9.42</v>
      </c>
      <c r="E18" s="64">
        <v>4.5999999999999996</v>
      </c>
      <c r="F18" s="64">
        <v>7.16</v>
      </c>
      <c r="G18" s="64">
        <v>15.08</v>
      </c>
      <c r="H18" s="64">
        <v>6.95</v>
      </c>
      <c r="I18" s="64">
        <v>1.25</v>
      </c>
      <c r="J18" s="64">
        <v>0.04</v>
      </c>
      <c r="K18" s="64">
        <v>285.23</v>
      </c>
      <c r="L18" s="64">
        <v>23.17</v>
      </c>
      <c r="M18" s="64">
        <v>97.8</v>
      </c>
      <c r="N18" s="64">
        <v>53.1</v>
      </c>
      <c r="O18" s="64">
        <v>0</v>
      </c>
      <c r="P18" s="64">
        <v>0.26</v>
      </c>
      <c r="Q18" s="64">
        <v>9.66</v>
      </c>
      <c r="R18" s="198"/>
      <c r="S18" s="198"/>
      <c r="T18" s="198"/>
      <c r="U18" s="198"/>
    </row>
    <row r="19" spans="1:21" s="12" customFormat="1" x14ac:dyDescent="0.25">
      <c r="A19" s="212" t="s">
        <v>1025</v>
      </c>
      <c r="B19" s="64">
        <v>8.85</v>
      </c>
      <c r="C19" s="64">
        <v>6.08</v>
      </c>
      <c r="D19" s="64">
        <v>10.27</v>
      </c>
      <c r="E19" s="64">
        <v>4.43</v>
      </c>
      <c r="F19" s="64">
        <v>2.86</v>
      </c>
      <c r="G19" s="64">
        <v>14.31</v>
      </c>
      <c r="H19" s="64">
        <v>5.27</v>
      </c>
      <c r="I19" s="64">
        <v>1.23</v>
      </c>
      <c r="J19" s="64">
        <v>0.05</v>
      </c>
      <c r="K19" s="64">
        <v>305.10000000000002</v>
      </c>
      <c r="L19" s="64">
        <v>23.11</v>
      </c>
      <c r="M19" s="64">
        <v>97.8</v>
      </c>
      <c r="N19" s="64">
        <v>53.1</v>
      </c>
      <c r="O19" s="64">
        <v>0</v>
      </c>
      <c r="P19" s="64">
        <v>0.36</v>
      </c>
      <c r="Q19" s="64">
        <v>9.65</v>
      </c>
      <c r="R19" s="198"/>
      <c r="S19" s="198"/>
      <c r="T19" s="198"/>
      <c r="U19" s="198"/>
    </row>
    <row r="20" spans="1:21" s="12" customFormat="1" x14ac:dyDescent="0.25">
      <c r="A20" s="212" t="s">
        <v>1026</v>
      </c>
      <c r="B20" s="64">
        <v>6.78</v>
      </c>
      <c r="C20" s="64">
        <v>6.73</v>
      </c>
      <c r="D20" s="64">
        <v>8.9499999999999993</v>
      </c>
      <c r="E20" s="64">
        <v>4.71</v>
      </c>
      <c r="F20" s="64">
        <v>8.57</v>
      </c>
      <c r="G20" s="64">
        <v>14.25</v>
      </c>
      <c r="H20" s="64">
        <v>5.13</v>
      </c>
      <c r="I20" s="64">
        <v>1.21</v>
      </c>
      <c r="J20" s="64">
        <v>0.03</v>
      </c>
      <c r="K20" s="64">
        <v>95.25</v>
      </c>
      <c r="L20" s="64">
        <v>23.09</v>
      </c>
      <c r="M20" s="64">
        <v>97.8</v>
      </c>
      <c r="N20" s="64">
        <v>53.1</v>
      </c>
      <c r="O20" s="64">
        <v>0</v>
      </c>
      <c r="P20" s="64">
        <v>0.2</v>
      </c>
      <c r="Q20" s="64">
        <v>9.64</v>
      </c>
      <c r="R20" s="198"/>
      <c r="S20" s="198"/>
      <c r="T20" s="198"/>
      <c r="U20" s="198"/>
    </row>
    <row r="21" spans="1:21" s="12" customFormat="1" x14ac:dyDescent="0.25">
      <c r="A21" s="212" t="s">
        <v>1027</v>
      </c>
      <c r="B21" s="64">
        <v>6.51</v>
      </c>
      <c r="C21" s="64">
        <v>6.29</v>
      </c>
      <c r="D21" s="64">
        <v>8.51</v>
      </c>
      <c r="E21" s="64">
        <v>4.7</v>
      </c>
      <c r="F21" s="64">
        <v>7.22</v>
      </c>
      <c r="G21" s="64">
        <v>14.25</v>
      </c>
      <c r="H21" s="64">
        <v>5.13</v>
      </c>
      <c r="I21" s="64">
        <v>1.2</v>
      </c>
      <c r="J21" s="64">
        <v>0.08</v>
      </c>
      <c r="K21" s="64">
        <v>165.57</v>
      </c>
      <c r="L21" s="64">
        <v>23.02</v>
      </c>
      <c r="M21" s="64">
        <v>97.78</v>
      </c>
      <c r="N21" s="64">
        <v>52.9</v>
      </c>
      <c r="O21" s="64">
        <v>0</v>
      </c>
      <c r="P21" s="64">
        <v>0.22</v>
      </c>
      <c r="Q21" s="64">
        <v>9.65</v>
      </c>
      <c r="R21" s="198"/>
      <c r="S21" s="198"/>
      <c r="T21" s="198"/>
      <c r="U21" s="198"/>
    </row>
    <row r="22" spans="1:21" s="12" customFormat="1" x14ac:dyDescent="0.25">
      <c r="A22" s="212" t="s">
        <v>1028</v>
      </c>
      <c r="B22" s="64">
        <v>6.18</v>
      </c>
      <c r="C22" s="64">
        <v>6.26</v>
      </c>
      <c r="D22" s="64">
        <v>8.2200000000000006</v>
      </c>
      <c r="E22" s="64">
        <v>4.4800000000000004</v>
      </c>
      <c r="F22" s="64">
        <v>8.73</v>
      </c>
      <c r="G22" s="64">
        <v>14.25</v>
      </c>
      <c r="H22" s="64">
        <v>5.13</v>
      </c>
      <c r="I22" s="64">
        <v>1.1599999999999999</v>
      </c>
      <c r="J22" s="64">
        <v>0.02</v>
      </c>
      <c r="K22" s="64">
        <v>58.24</v>
      </c>
      <c r="L22" s="64">
        <v>22.94</v>
      </c>
      <c r="M22" s="64">
        <v>97.78</v>
      </c>
      <c r="N22" s="64">
        <v>52.8</v>
      </c>
      <c r="O22" s="64">
        <v>0</v>
      </c>
      <c r="P22" s="64">
        <v>0.19</v>
      </c>
      <c r="Q22" s="64">
        <v>9.66</v>
      </c>
      <c r="R22" s="198"/>
      <c r="S22" s="198"/>
      <c r="T22" s="198"/>
      <c r="U22" s="198"/>
    </row>
    <row r="23" spans="1:21" s="12" customFormat="1" x14ac:dyDescent="0.25">
      <c r="A23" s="212" t="s">
        <v>1029</v>
      </c>
      <c r="B23" s="64">
        <v>7.16</v>
      </c>
      <c r="C23" s="64">
        <v>5.96</v>
      </c>
      <c r="D23" s="64">
        <v>8.85</v>
      </c>
      <c r="E23" s="64">
        <v>4.29</v>
      </c>
      <c r="F23" s="64">
        <v>5.0199999999999996</v>
      </c>
      <c r="G23" s="64">
        <v>12.9</v>
      </c>
      <c r="H23" s="64">
        <v>3.98</v>
      </c>
      <c r="I23" s="64">
        <v>1.1299999999999999</v>
      </c>
      <c r="J23" s="64">
        <v>0.06</v>
      </c>
      <c r="K23" s="64">
        <v>194.24</v>
      </c>
      <c r="L23" s="64">
        <v>22.89</v>
      </c>
      <c r="M23" s="64">
        <v>97.78</v>
      </c>
      <c r="N23" s="64">
        <v>52.8</v>
      </c>
      <c r="O23" s="64">
        <v>0</v>
      </c>
      <c r="P23" s="64">
        <v>0.26</v>
      </c>
      <c r="Q23" s="64">
        <v>9.64</v>
      </c>
      <c r="R23" s="198"/>
      <c r="S23" s="198"/>
      <c r="T23" s="198"/>
      <c r="U23" s="198"/>
    </row>
    <row r="24" spans="1:21" s="12" customFormat="1" x14ac:dyDescent="0.25">
      <c r="A24" s="212" t="s">
        <v>1030</v>
      </c>
      <c r="B24" s="64">
        <v>7.96</v>
      </c>
      <c r="C24" s="64">
        <v>6.55</v>
      </c>
      <c r="D24" s="64">
        <v>9.81</v>
      </c>
      <c r="E24" s="64">
        <v>4.6100000000000003</v>
      </c>
      <c r="F24" s="64">
        <v>6.15</v>
      </c>
      <c r="G24" s="64">
        <v>12.78</v>
      </c>
      <c r="H24" s="64">
        <v>3.88</v>
      </c>
      <c r="I24" s="64">
        <v>1.1499999999999999</v>
      </c>
      <c r="J24" s="64">
        <v>0.04</v>
      </c>
      <c r="K24" s="64">
        <v>179.06</v>
      </c>
      <c r="L24" s="64">
        <v>22.85</v>
      </c>
      <c r="M24" s="64">
        <v>97.79</v>
      </c>
      <c r="N24" s="64">
        <v>52.8</v>
      </c>
      <c r="O24" s="64">
        <v>0.2</v>
      </c>
      <c r="P24" s="64">
        <v>0.24</v>
      </c>
      <c r="Q24" s="64">
        <v>9.6300000000000008</v>
      </c>
      <c r="R24" s="198"/>
      <c r="S24" s="198"/>
      <c r="T24" s="198"/>
      <c r="U24" s="198"/>
    </row>
    <row r="25" spans="1:21" s="12" customFormat="1" x14ac:dyDescent="0.25">
      <c r="A25" s="212" t="s">
        <v>1031</v>
      </c>
      <c r="B25" s="64">
        <v>6.63</v>
      </c>
      <c r="C25" s="64">
        <v>7.07</v>
      </c>
      <c r="D25" s="64">
        <v>9.01</v>
      </c>
      <c r="E25" s="64">
        <v>4.6900000000000004</v>
      </c>
      <c r="F25" s="64">
        <v>6.23</v>
      </c>
      <c r="G25" s="64">
        <v>12.78</v>
      </c>
      <c r="H25" s="64">
        <v>3.88</v>
      </c>
      <c r="I25" s="64">
        <v>1.24</v>
      </c>
      <c r="J25" s="64">
        <v>0.19</v>
      </c>
      <c r="K25" s="64">
        <v>146.22999999999999</v>
      </c>
      <c r="L25" s="64">
        <v>22.79</v>
      </c>
      <c r="M25" s="64">
        <v>97.78</v>
      </c>
      <c r="N25" s="64">
        <v>52.8</v>
      </c>
      <c r="O25" s="64">
        <v>0</v>
      </c>
      <c r="P25" s="64">
        <v>0.23</v>
      </c>
      <c r="Q25" s="64">
        <v>9.65</v>
      </c>
      <c r="R25" s="198"/>
      <c r="S25" s="198"/>
      <c r="T25" s="198"/>
      <c r="U25" s="198"/>
    </row>
    <row r="26" spans="1:21" s="12" customFormat="1" x14ac:dyDescent="0.25">
      <c r="A26" s="212" t="s">
        <v>1032</v>
      </c>
      <c r="B26" s="64">
        <v>8.14</v>
      </c>
      <c r="C26" s="64">
        <v>6.25</v>
      </c>
      <c r="D26" s="64">
        <v>9.7899999999999991</v>
      </c>
      <c r="E26" s="64">
        <v>4.46</v>
      </c>
      <c r="F26" s="64">
        <v>5.98</v>
      </c>
      <c r="G26" s="64">
        <v>12.78</v>
      </c>
      <c r="H26" s="64">
        <v>3.88</v>
      </c>
      <c r="I26" s="64">
        <v>1.22</v>
      </c>
      <c r="J26" s="64">
        <v>0.05</v>
      </c>
      <c r="K26" s="64">
        <v>189.94</v>
      </c>
      <c r="L26" s="64">
        <v>22.78</v>
      </c>
      <c r="M26" s="64">
        <v>97.79</v>
      </c>
      <c r="N26" s="64">
        <v>52.9</v>
      </c>
      <c r="O26" s="64">
        <v>0</v>
      </c>
      <c r="P26" s="64">
        <v>0.25</v>
      </c>
      <c r="Q26" s="64">
        <v>9.65</v>
      </c>
      <c r="R26" s="198"/>
      <c r="S26" s="198"/>
      <c r="T26" s="198"/>
      <c r="U26" s="198"/>
    </row>
    <row r="27" spans="1:21" s="12" customFormat="1" x14ac:dyDescent="0.25">
      <c r="A27" s="212" t="s">
        <v>1033</v>
      </c>
      <c r="B27" s="64">
        <v>10.26</v>
      </c>
      <c r="C27" s="64">
        <v>10.31</v>
      </c>
      <c r="D27" s="64">
        <v>13.61</v>
      </c>
      <c r="E27" s="64">
        <v>4.6100000000000003</v>
      </c>
      <c r="F27" s="64">
        <v>4.24</v>
      </c>
      <c r="G27" s="64">
        <v>12.26</v>
      </c>
      <c r="H27" s="64">
        <v>3.11</v>
      </c>
      <c r="I27" s="64">
        <v>1.21</v>
      </c>
      <c r="J27" s="64">
        <v>7.0000000000000007E-2</v>
      </c>
      <c r="K27" s="64">
        <v>114.02</v>
      </c>
      <c r="L27" s="64">
        <v>22.79</v>
      </c>
      <c r="M27" s="64">
        <v>97.79</v>
      </c>
      <c r="N27" s="64">
        <v>52.7</v>
      </c>
      <c r="O27" s="64">
        <v>0</v>
      </c>
      <c r="P27" s="64">
        <v>0.24</v>
      </c>
      <c r="Q27" s="64">
        <v>9.66</v>
      </c>
      <c r="R27" s="198"/>
      <c r="S27" s="198"/>
      <c r="T27" s="198"/>
      <c r="U27" s="198"/>
    </row>
    <row r="28" spans="1:21" s="12" customFormat="1" x14ac:dyDescent="0.25">
      <c r="A28" s="212" t="s">
        <v>1034</v>
      </c>
      <c r="B28" s="64">
        <v>8.58</v>
      </c>
      <c r="C28" s="64">
        <v>7.66</v>
      </c>
      <c r="D28" s="64">
        <v>10.88</v>
      </c>
      <c r="E28" s="64">
        <v>4.49</v>
      </c>
      <c r="F28" s="64">
        <v>5.32</v>
      </c>
      <c r="G28" s="64">
        <v>12.21</v>
      </c>
      <c r="H28" s="64">
        <v>3.05</v>
      </c>
      <c r="I28" s="64">
        <v>1.2</v>
      </c>
      <c r="J28" s="64">
        <v>0.1</v>
      </c>
      <c r="K28" s="64">
        <v>134.44</v>
      </c>
      <c r="L28" s="64">
        <v>22.77</v>
      </c>
      <c r="M28" s="64">
        <v>97.82</v>
      </c>
      <c r="N28" s="64">
        <v>52.8</v>
      </c>
      <c r="O28" s="64">
        <v>0</v>
      </c>
      <c r="P28" s="64">
        <v>0.26</v>
      </c>
      <c r="Q28" s="64">
        <v>9.64</v>
      </c>
      <c r="R28" s="198"/>
      <c r="S28" s="198"/>
      <c r="T28" s="198"/>
      <c r="U28" s="198"/>
    </row>
    <row r="29" spans="1:21" s="12" customFormat="1" x14ac:dyDescent="0.25">
      <c r="A29" s="212" t="s">
        <v>1035</v>
      </c>
      <c r="B29" s="64">
        <v>7.87</v>
      </c>
      <c r="C29" s="64">
        <v>8.3800000000000008</v>
      </c>
      <c r="D29" s="64">
        <v>10.69</v>
      </c>
      <c r="E29" s="64">
        <v>4.67</v>
      </c>
      <c r="F29" s="64">
        <v>6.89</v>
      </c>
      <c r="G29" s="64">
        <v>12.21</v>
      </c>
      <c r="H29" s="64">
        <v>3.05</v>
      </c>
      <c r="I29" s="64">
        <v>1.18</v>
      </c>
      <c r="J29" s="64">
        <v>0.05</v>
      </c>
      <c r="K29" s="64">
        <v>187.57</v>
      </c>
      <c r="L29" s="64">
        <v>22.78</v>
      </c>
      <c r="M29" s="64">
        <v>97.83</v>
      </c>
      <c r="N29" s="64">
        <v>52.8</v>
      </c>
      <c r="O29" s="64">
        <v>0</v>
      </c>
      <c r="P29" s="64">
        <v>0.26</v>
      </c>
      <c r="Q29" s="64">
        <v>9.65</v>
      </c>
      <c r="R29" s="198"/>
      <c r="S29" s="198"/>
      <c r="T29" s="198"/>
      <c r="U29" s="198"/>
    </row>
    <row r="30" spans="1:21" s="12" customFormat="1" x14ac:dyDescent="0.25">
      <c r="A30" s="212" t="s">
        <v>1036</v>
      </c>
      <c r="B30" s="64">
        <v>7.47</v>
      </c>
      <c r="C30" s="64">
        <v>7.94</v>
      </c>
      <c r="D30" s="64">
        <v>10.14</v>
      </c>
      <c r="E30" s="64">
        <v>4.43</v>
      </c>
      <c r="F30" s="64">
        <v>6.56</v>
      </c>
      <c r="G30" s="64">
        <v>12.21</v>
      </c>
      <c r="H30" s="64">
        <v>3.05</v>
      </c>
      <c r="I30" s="64">
        <v>1.17</v>
      </c>
      <c r="J30" s="64">
        <v>0.03</v>
      </c>
      <c r="K30" s="64">
        <v>203.89</v>
      </c>
      <c r="L30" s="64">
        <v>22.78</v>
      </c>
      <c r="M30" s="64">
        <v>97.82</v>
      </c>
      <c r="N30" s="64">
        <v>53.4</v>
      </c>
      <c r="O30" s="64">
        <v>0</v>
      </c>
      <c r="P30" s="64">
        <v>0.24</v>
      </c>
      <c r="Q30" s="64">
        <v>9.65</v>
      </c>
      <c r="R30" s="198"/>
      <c r="S30" s="198"/>
      <c r="T30" s="198"/>
      <c r="U30" s="198"/>
    </row>
    <row r="31" spans="1:21" s="12" customFormat="1" x14ac:dyDescent="0.25">
      <c r="A31" s="212" t="s">
        <v>1037</v>
      </c>
      <c r="B31" s="64">
        <v>7.24</v>
      </c>
      <c r="C31" s="64">
        <v>8.2799999999999994</v>
      </c>
      <c r="D31" s="64">
        <v>10.130000000000001</v>
      </c>
      <c r="E31" s="64">
        <v>4.62</v>
      </c>
      <c r="F31" s="64">
        <v>6.11</v>
      </c>
      <c r="G31" s="64">
        <v>14.06</v>
      </c>
      <c r="H31" s="64">
        <v>2.5</v>
      </c>
      <c r="I31" s="64">
        <v>1.1499999999999999</v>
      </c>
      <c r="J31" s="64">
        <v>7.0000000000000007E-2</v>
      </c>
      <c r="K31" s="64">
        <v>129.27000000000001</v>
      </c>
      <c r="L31" s="64">
        <v>22.82</v>
      </c>
      <c r="M31" s="64">
        <v>97.81</v>
      </c>
      <c r="N31" s="64">
        <v>55.7</v>
      </c>
      <c r="O31" s="64">
        <v>0</v>
      </c>
      <c r="P31" s="64">
        <v>0.23</v>
      </c>
      <c r="Q31" s="64">
        <v>9.65</v>
      </c>
      <c r="R31" s="198"/>
      <c r="S31" s="198"/>
      <c r="T31" s="198"/>
      <c r="U31" s="198"/>
    </row>
    <row r="32" spans="1:21" s="12" customFormat="1" x14ac:dyDescent="0.25">
      <c r="A32" s="212" t="s">
        <v>1038</v>
      </c>
      <c r="B32" s="64">
        <v>7.65</v>
      </c>
      <c r="C32" s="64">
        <v>8.76</v>
      </c>
      <c r="D32" s="64">
        <v>10.71</v>
      </c>
      <c r="E32" s="64">
        <v>4.67</v>
      </c>
      <c r="F32" s="64">
        <v>5.6</v>
      </c>
      <c r="G32" s="64">
        <v>14.22</v>
      </c>
      <c r="H32" s="64">
        <v>2.46</v>
      </c>
      <c r="I32" s="64">
        <v>1.1299999999999999</v>
      </c>
      <c r="J32" s="64">
        <v>0.11</v>
      </c>
      <c r="K32" s="64">
        <v>162.66999999999999</v>
      </c>
      <c r="L32" s="64">
        <v>22.86</v>
      </c>
      <c r="M32" s="64">
        <v>97.83</v>
      </c>
      <c r="N32" s="64">
        <v>64.8</v>
      </c>
      <c r="O32" s="64">
        <v>0</v>
      </c>
      <c r="P32" s="64">
        <v>0.22</v>
      </c>
      <c r="Q32" s="64">
        <v>9.65</v>
      </c>
      <c r="R32" s="198"/>
      <c r="S32" s="198"/>
      <c r="T32" s="198"/>
      <c r="U32" s="198"/>
    </row>
    <row r="33" spans="1:21" s="12" customFormat="1" x14ac:dyDescent="0.25">
      <c r="A33" s="212" t="s">
        <v>1039</v>
      </c>
      <c r="B33" s="64">
        <v>8.3699999999999992</v>
      </c>
      <c r="C33" s="64">
        <v>9.14</v>
      </c>
      <c r="D33" s="64">
        <v>11.49</v>
      </c>
      <c r="E33" s="64">
        <v>5.03</v>
      </c>
      <c r="F33" s="64">
        <v>4.97</v>
      </c>
      <c r="G33" s="64">
        <v>14.22</v>
      </c>
      <c r="H33" s="64">
        <v>2.46</v>
      </c>
      <c r="I33" s="64">
        <v>1.1299999999999999</v>
      </c>
      <c r="J33" s="64">
        <v>0.01</v>
      </c>
      <c r="K33" s="64">
        <v>110.45</v>
      </c>
      <c r="L33" s="64">
        <v>22.97</v>
      </c>
      <c r="M33" s="64">
        <v>97.83</v>
      </c>
      <c r="N33" s="64">
        <v>79</v>
      </c>
      <c r="O33" s="64">
        <v>0</v>
      </c>
      <c r="P33" s="64">
        <v>0.26</v>
      </c>
      <c r="Q33" s="64">
        <v>9.64</v>
      </c>
      <c r="R33" s="198"/>
      <c r="S33" s="198"/>
      <c r="T33" s="198"/>
      <c r="U33" s="198"/>
    </row>
    <row r="34" spans="1:21" s="12" customFormat="1" x14ac:dyDescent="0.25">
      <c r="A34" s="212" t="s">
        <v>1040</v>
      </c>
      <c r="B34" s="64">
        <v>8.39</v>
      </c>
      <c r="C34" s="64">
        <v>8.74</v>
      </c>
      <c r="D34" s="64">
        <v>11.29</v>
      </c>
      <c r="E34" s="64">
        <v>4.68</v>
      </c>
      <c r="F34" s="64">
        <v>6.32</v>
      </c>
      <c r="G34" s="64">
        <v>14.22</v>
      </c>
      <c r="H34" s="64">
        <v>2.46</v>
      </c>
      <c r="I34" s="64">
        <v>1.1299999999999999</v>
      </c>
      <c r="J34" s="64">
        <v>0.13</v>
      </c>
      <c r="K34" s="64">
        <v>136.51</v>
      </c>
      <c r="L34" s="64">
        <v>23.13</v>
      </c>
      <c r="M34" s="64">
        <v>97.82</v>
      </c>
      <c r="N34" s="64">
        <v>105.9</v>
      </c>
      <c r="O34" s="64">
        <v>0</v>
      </c>
      <c r="P34" s="64">
        <v>0.25</v>
      </c>
      <c r="Q34" s="64">
        <v>9.65</v>
      </c>
      <c r="R34" s="198"/>
      <c r="S34" s="198"/>
      <c r="T34" s="198"/>
      <c r="U34" s="198"/>
    </row>
    <row r="35" spans="1:21" s="12" customFormat="1" x14ac:dyDescent="0.25">
      <c r="A35" s="212" t="s">
        <v>1041</v>
      </c>
      <c r="B35" s="64">
        <v>8.6999999999999993</v>
      </c>
      <c r="C35" s="64">
        <v>9.2899999999999991</v>
      </c>
      <c r="D35" s="64">
        <v>11.83</v>
      </c>
      <c r="E35" s="64">
        <v>4.62</v>
      </c>
      <c r="F35" s="64">
        <v>5.46</v>
      </c>
      <c r="G35" s="64">
        <v>15.05</v>
      </c>
      <c r="H35" s="64">
        <v>2.11</v>
      </c>
      <c r="I35" s="64">
        <v>1.1200000000000001</v>
      </c>
      <c r="J35" s="64">
        <v>0.31</v>
      </c>
      <c r="K35" s="64">
        <v>137.41999999999999</v>
      </c>
      <c r="L35" s="64">
        <v>23.38</v>
      </c>
      <c r="M35" s="64">
        <v>97.78</v>
      </c>
      <c r="N35" s="64">
        <v>139.6</v>
      </c>
      <c r="O35" s="64">
        <v>0</v>
      </c>
      <c r="P35" s="64">
        <v>0.24</v>
      </c>
      <c r="Q35" s="64">
        <v>9.6300000000000008</v>
      </c>
      <c r="R35" s="198"/>
      <c r="S35" s="198"/>
      <c r="T35" s="198"/>
      <c r="U35" s="198"/>
    </row>
    <row r="36" spans="1:21" s="12" customFormat="1" x14ac:dyDescent="0.25">
      <c r="A36" s="212" t="s">
        <v>1042</v>
      </c>
      <c r="B36" s="64">
        <v>10.25</v>
      </c>
      <c r="C36" s="64">
        <v>8.84</v>
      </c>
      <c r="D36" s="64">
        <v>12.84</v>
      </c>
      <c r="E36" s="64">
        <v>4.6399999999999997</v>
      </c>
      <c r="F36" s="64">
        <v>4.2</v>
      </c>
      <c r="G36" s="64">
        <v>15.12</v>
      </c>
      <c r="H36" s="64">
        <v>2.08</v>
      </c>
      <c r="I36" s="64">
        <v>1.1200000000000001</v>
      </c>
      <c r="J36" s="64">
        <v>0.33</v>
      </c>
      <c r="K36" s="64">
        <v>139.49</v>
      </c>
      <c r="L36" s="64">
        <v>23.7</v>
      </c>
      <c r="M36" s="64">
        <v>97.75</v>
      </c>
      <c r="N36" s="64">
        <v>145.6</v>
      </c>
      <c r="O36" s="64">
        <v>0</v>
      </c>
      <c r="P36" s="64">
        <v>0.27</v>
      </c>
      <c r="Q36" s="64">
        <v>9.64</v>
      </c>
      <c r="R36" s="198"/>
      <c r="S36" s="198"/>
      <c r="T36" s="198"/>
      <c r="U36" s="198"/>
    </row>
    <row r="37" spans="1:21" s="12" customFormat="1" x14ac:dyDescent="0.25">
      <c r="A37" s="212" t="s">
        <v>1043</v>
      </c>
      <c r="B37" s="64">
        <v>10.38</v>
      </c>
      <c r="C37" s="64">
        <v>6.94</v>
      </c>
      <c r="D37" s="64">
        <v>11.95</v>
      </c>
      <c r="E37" s="64">
        <v>4.74</v>
      </c>
      <c r="F37" s="64">
        <v>2.36</v>
      </c>
      <c r="G37" s="64">
        <v>15.12</v>
      </c>
      <c r="H37" s="64">
        <v>2.08</v>
      </c>
      <c r="I37" s="64">
        <v>1.1299999999999999</v>
      </c>
      <c r="J37" s="64">
        <v>0.19</v>
      </c>
      <c r="K37" s="64">
        <v>140.34</v>
      </c>
      <c r="L37" s="64">
        <v>23.99</v>
      </c>
      <c r="M37" s="64">
        <v>97.75</v>
      </c>
      <c r="N37" s="64">
        <v>185.8</v>
      </c>
      <c r="O37" s="64">
        <v>0</v>
      </c>
      <c r="P37" s="64">
        <v>0.28999999999999998</v>
      </c>
      <c r="Q37" s="64">
        <v>9.64</v>
      </c>
      <c r="R37" s="198"/>
      <c r="S37" s="198"/>
      <c r="T37" s="198"/>
      <c r="U37" s="198"/>
    </row>
    <row r="38" spans="1:21" s="12" customFormat="1" x14ac:dyDescent="0.25">
      <c r="A38" s="212" t="s">
        <v>1044</v>
      </c>
      <c r="B38" s="64">
        <v>9.2100000000000009</v>
      </c>
      <c r="C38" s="64">
        <v>7.2</v>
      </c>
      <c r="D38" s="64">
        <v>11.15</v>
      </c>
      <c r="E38" s="64">
        <v>4.76</v>
      </c>
      <c r="F38" s="64">
        <v>6.87</v>
      </c>
      <c r="G38" s="64">
        <v>15.12</v>
      </c>
      <c r="H38" s="64">
        <v>2.08</v>
      </c>
      <c r="I38" s="64">
        <v>1.1200000000000001</v>
      </c>
      <c r="J38" s="64">
        <v>0.26</v>
      </c>
      <c r="K38" s="64">
        <v>150.78</v>
      </c>
      <c r="L38" s="64">
        <v>25.08</v>
      </c>
      <c r="M38" s="64">
        <v>97.7</v>
      </c>
      <c r="N38" s="64">
        <v>401.1</v>
      </c>
      <c r="O38" s="64">
        <v>0</v>
      </c>
      <c r="P38" s="64">
        <v>0.24</v>
      </c>
      <c r="Q38" s="64">
        <v>9.6300000000000008</v>
      </c>
      <c r="R38" s="198"/>
      <c r="S38" s="198"/>
      <c r="T38" s="198"/>
      <c r="U38" s="198"/>
    </row>
    <row r="39" spans="1:21" s="12" customFormat="1" x14ac:dyDescent="0.25">
      <c r="A39" s="212" t="s">
        <v>1045</v>
      </c>
      <c r="B39" s="64">
        <v>9.0500000000000007</v>
      </c>
      <c r="C39" s="64">
        <v>7.55</v>
      </c>
      <c r="D39" s="64">
        <v>11.2</v>
      </c>
      <c r="E39" s="64">
        <v>4.96</v>
      </c>
      <c r="F39" s="64">
        <v>6.81</v>
      </c>
      <c r="G39" s="64">
        <v>17</v>
      </c>
      <c r="H39" s="64">
        <v>2.5299999999999998</v>
      </c>
      <c r="I39" s="64">
        <v>1.0900000000000001</v>
      </c>
      <c r="J39" s="64">
        <v>0.2</v>
      </c>
      <c r="K39" s="64">
        <v>145.54</v>
      </c>
      <c r="L39" s="64">
        <v>25.92</v>
      </c>
      <c r="M39" s="64">
        <v>97.63</v>
      </c>
      <c r="N39" s="64">
        <v>212.4</v>
      </c>
      <c r="O39" s="64">
        <v>0</v>
      </c>
      <c r="P39" s="64">
        <v>0.24</v>
      </c>
      <c r="Q39" s="64">
        <v>9.65</v>
      </c>
      <c r="R39" s="198"/>
      <c r="S39" s="198"/>
      <c r="T39" s="198"/>
      <c r="U39" s="198"/>
    </row>
    <row r="40" spans="1:21" s="12" customFormat="1" x14ac:dyDescent="0.25">
      <c r="A40" s="212" t="s">
        <v>1046</v>
      </c>
      <c r="B40" s="64">
        <v>9.9700000000000006</v>
      </c>
      <c r="C40" s="64">
        <v>9.1999999999999993</v>
      </c>
      <c r="D40" s="64">
        <v>12.8</v>
      </c>
      <c r="E40" s="64">
        <v>4.6500000000000004</v>
      </c>
      <c r="F40" s="64">
        <v>6.19</v>
      </c>
      <c r="G40" s="64">
        <v>17.16</v>
      </c>
      <c r="H40" s="64">
        <v>2.57</v>
      </c>
      <c r="I40" s="64">
        <v>1.06</v>
      </c>
      <c r="J40" s="64">
        <v>0.16</v>
      </c>
      <c r="K40" s="64">
        <v>142.5</v>
      </c>
      <c r="L40" s="64">
        <v>25.66</v>
      </c>
      <c r="M40" s="64">
        <v>97.64</v>
      </c>
      <c r="N40" s="64">
        <v>289.8</v>
      </c>
      <c r="O40" s="64">
        <v>0</v>
      </c>
      <c r="P40" s="64">
        <v>0.25</v>
      </c>
      <c r="Q40" s="64">
        <v>9.66</v>
      </c>
      <c r="R40" s="198"/>
      <c r="S40" s="198"/>
      <c r="T40" s="198"/>
      <c r="U40" s="198"/>
    </row>
    <row r="41" spans="1:21" s="12" customFormat="1" x14ac:dyDescent="0.25">
      <c r="A41" s="212" t="s">
        <v>1047</v>
      </c>
      <c r="B41" s="64">
        <v>11.31</v>
      </c>
      <c r="C41" s="64">
        <v>6.74</v>
      </c>
      <c r="D41" s="64">
        <v>12.6</v>
      </c>
      <c r="E41" s="64">
        <v>4.8600000000000003</v>
      </c>
      <c r="F41" s="64">
        <v>2.2000000000000002</v>
      </c>
      <c r="G41" s="64">
        <v>17.16</v>
      </c>
      <c r="H41" s="64">
        <v>2.57</v>
      </c>
      <c r="I41" s="64">
        <v>1.04</v>
      </c>
      <c r="J41" s="64">
        <v>7.0000000000000007E-2</v>
      </c>
      <c r="K41" s="64">
        <v>249.93</v>
      </c>
      <c r="L41" s="64">
        <v>27.44</v>
      </c>
      <c r="M41" s="64">
        <v>89.66</v>
      </c>
      <c r="N41" s="64">
        <v>603.29999999999995</v>
      </c>
      <c r="O41" s="64">
        <v>0</v>
      </c>
      <c r="P41" s="64">
        <v>0.3</v>
      </c>
      <c r="Q41" s="64">
        <v>9.66</v>
      </c>
      <c r="R41" s="198"/>
      <c r="S41" s="198"/>
      <c r="T41" s="198"/>
      <c r="U41" s="198"/>
    </row>
    <row r="42" spans="1:21" s="12" customFormat="1" x14ac:dyDescent="0.25">
      <c r="A42" s="212" t="s">
        <v>1048</v>
      </c>
      <c r="B42" s="64">
        <v>11.32</v>
      </c>
      <c r="C42" s="64">
        <v>7.76</v>
      </c>
      <c r="D42" s="64">
        <v>13.07</v>
      </c>
      <c r="E42" s="64">
        <v>4.88</v>
      </c>
      <c r="F42" s="64">
        <v>6.02</v>
      </c>
      <c r="G42" s="64">
        <v>17.16</v>
      </c>
      <c r="H42" s="64">
        <v>2.57</v>
      </c>
      <c r="I42" s="64">
        <v>1.02</v>
      </c>
      <c r="J42" s="64">
        <v>0.14000000000000001</v>
      </c>
      <c r="K42" s="64">
        <v>291.55</v>
      </c>
      <c r="L42" s="64">
        <v>29.05</v>
      </c>
      <c r="M42" s="64">
        <v>82.61</v>
      </c>
      <c r="N42" s="64">
        <v>685.4</v>
      </c>
      <c r="O42" s="64">
        <v>0</v>
      </c>
      <c r="P42" s="64">
        <v>0.28999999999999998</v>
      </c>
      <c r="Q42" s="64">
        <v>9.64</v>
      </c>
      <c r="R42" s="198"/>
      <c r="S42" s="198"/>
      <c r="T42" s="198"/>
      <c r="U42" s="198"/>
    </row>
    <row r="43" spans="1:21" s="12" customFormat="1" x14ac:dyDescent="0.25">
      <c r="A43" s="212" t="s">
        <v>1049</v>
      </c>
      <c r="B43" s="64">
        <v>10.43</v>
      </c>
      <c r="C43" s="64">
        <v>8.11</v>
      </c>
      <c r="D43" s="64">
        <v>12.6</v>
      </c>
      <c r="E43" s="64">
        <v>4.71</v>
      </c>
      <c r="F43" s="64">
        <v>3.47</v>
      </c>
      <c r="G43" s="64">
        <v>17.59</v>
      </c>
      <c r="H43" s="64">
        <v>2.17</v>
      </c>
      <c r="I43" s="64">
        <v>1.01</v>
      </c>
      <c r="J43" s="64">
        <v>0.18</v>
      </c>
      <c r="K43" s="64">
        <v>292.42</v>
      </c>
      <c r="L43" s="64">
        <v>30.69</v>
      </c>
      <c r="M43" s="64">
        <v>73.349999999999994</v>
      </c>
      <c r="N43" s="64">
        <v>716.4</v>
      </c>
      <c r="O43" s="64">
        <v>0</v>
      </c>
      <c r="P43" s="64">
        <v>0.3</v>
      </c>
      <c r="Q43" s="64">
        <v>9.65</v>
      </c>
      <c r="R43" s="198"/>
      <c r="S43" s="198"/>
      <c r="T43" s="198"/>
      <c r="U43" s="198"/>
    </row>
    <row r="44" spans="1:21" s="12" customFormat="1" x14ac:dyDescent="0.25">
      <c r="A44" s="212" t="s">
        <v>1050</v>
      </c>
      <c r="B44" s="64">
        <v>10.72</v>
      </c>
      <c r="C44" s="64">
        <v>7.94</v>
      </c>
      <c r="D44" s="64">
        <v>12.74</v>
      </c>
      <c r="E44" s="64">
        <v>4.74</v>
      </c>
      <c r="F44" s="64">
        <v>3.05</v>
      </c>
      <c r="G44" s="64">
        <v>17.62</v>
      </c>
      <c r="H44" s="64">
        <v>2.14</v>
      </c>
      <c r="I44" s="64">
        <v>0.94</v>
      </c>
      <c r="J44" s="64">
        <v>0.24</v>
      </c>
      <c r="K44" s="64">
        <v>311.91000000000003</v>
      </c>
      <c r="L44" s="64">
        <v>30.11</v>
      </c>
      <c r="M44" s="64">
        <v>76.27</v>
      </c>
      <c r="N44" s="64">
        <v>796.6</v>
      </c>
      <c r="O44" s="64">
        <v>0</v>
      </c>
      <c r="P44" s="64">
        <v>0.3</v>
      </c>
      <c r="Q44" s="64">
        <v>9.6300000000000008</v>
      </c>
      <c r="R44" s="198"/>
      <c r="S44" s="198"/>
      <c r="T44" s="198"/>
      <c r="U44" s="198"/>
    </row>
    <row r="45" spans="1:21" s="12" customFormat="1" x14ac:dyDescent="0.25">
      <c r="A45" s="212" t="s">
        <v>1051</v>
      </c>
      <c r="B45" s="64">
        <v>10.41</v>
      </c>
      <c r="C45" s="64">
        <v>6.9</v>
      </c>
      <c r="D45" s="64">
        <v>11.95</v>
      </c>
      <c r="E45" s="64">
        <v>4.99</v>
      </c>
      <c r="F45" s="64">
        <v>3.24</v>
      </c>
      <c r="G45" s="64">
        <v>17.62</v>
      </c>
      <c r="H45" s="64">
        <v>2.14</v>
      </c>
      <c r="I45" s="64">
        <v>1.01</v>
      </c>
      <c r="J45" s="64">
        <v>0.32</v>
      </c>
      <c r="K45" s="64">
        <v>309.63</v>
      </c>
      <c r="L45" s="64">
        <v>31.34</v>
      </c>
      <c r="M45" s="64">
        <v>71.39</v>
      </c>
      <c r="N45" s="64">
        <v>753.9</v>
      </c>
      <c r="O45" s="64">
        <v>0</v>
      </c>
      <c r="P45" s="64">
        <v>0.28999999999999998</v>
      </c>
      <c r="Q45" s="64">
        <v>9.64</v>
      </c>
      <c r="R45" s="198"/>
      <c r="S45" s="198"/>
      <c r="T45" s="198"/>
      <c r="U45" s="198"/>
    </row>
    <row r="46" spans="1:21" s="12" customFormat="1" x14ac:dyDescent="0.25">
      <c r="A46" s="212" t="s">
        <v>1052</v>
      </c>
      <c r="B46" s="64">
        <v>9.5399999999999991</v>
      </c>
      <c r="C46" s="64">
        <v>7.9</v>
      </c>
      <c r="D46" s="64">
        <v>11.77</v>
      </c>
      <c r="E46" s="64">
        <v>4.9800000000000004</v>
      </c>
      <c r="F46" s="64">
        <v>4.1399999999999997</v>
      </c>
      <c r="G46" s="64">
        <v>17.62</v>
      </c>
      <c r="H46" s="64">
        <v>2.14</v>
      </c>
      <c r="I46" s="64">
        <v>1.01</v>
      </c>
      <c r="J46" s="64">
        <v>0.22</v>
      </c>
      <c r="K46" s="64">
        <v>311</v>
      </c>
      <c r="L46" s="64">
        <v>31.08</v>
      </c>
      <c r="M46" s="64">
        <v>72.27</v>
      </c>
      <c r="N46" s="64">
        <v>831.8</v>
      </c>
      <c r="O46" s="64">
        <v>0</v>
      </c>
      <c r="P46" s="64">
        <v>0.33</v>
      </c>
      <c r="Q46" s="64">
        <v>9.64</v>
      </c>
      <c r="R46" s="198"/>
      <c r="S46" s="198"/>
      <c r="T46" s="198"/>
      <c r="U46" s="198"/>
    </row>
    <row r="47" spans="1:21" s="12" customFormat="1" x14ac:dyDescent="0.25">
      <c r="A47" s="212" t="s">
        <v>1053</v>
      </c>
      <c r="B47" s="64">
        <v>9.9</v>
      </c>
      <c r="C47" s="64">
        <v>10.86</v>
      </c>
      <c r="D47" s="64">
        <v>13.61</v>
      </c>
      <c r="E47" s="64">
        <v>4.83</v>
      </c>
      <c r="F47" s="64">
        <v>6.59</v>
      </c>
      <c r="G47" s="64">
        <v>19.89</v>
      </c>
      <c r="H47" s="64">
        <v>2.83</v>
      </c>
      <c r="I47" s="64">
        <v>1</v>
      </c>
      <c r="J47" s="64">
        <v>0.17</v>
      </c>
      <c r="K47" s="64">
        <v>302.27</v>
      </c>
      <c r="L47" s="64">
        <v>31.41</v>
      </c>
      <c r="M47" s="64">
        <v>71.680000000000007</v>
      </c>
      <c r="N47" s="64">
        <v>816.3</v>
      </c>
      <c r="O47" s="64">
        <v>0</v>
      </c>
      <c r="P47" s="64">
        <v>0.39</v>
      </c>
      <c r="Q47" s="64">
        <v>9.64</v>
      </c>
      <c r="R47" s="198"/>
      <c r="S47" s="198"/>
      <c r="T47" s="198"/>
      <c r="U47" s="198"/>
    </row>
    <row r="48" spans="1:21" s="12" customFormat="1" x14ac:dyDescent="0.25">
      <c r="A48" s="212" t="s">
        <v>1054</v>
      </c>
      <c r="B48" s="64">
        <v>8.83</v>
      </c>
      <c r="C48" s="64">
        <v>9.85</v>
      </c>
      <c r="D48" s="64">
        <v>12.22</v>
      </c>
      <c r="E48" s="64">
        <v>4.78</v>
      </c>
      <c r="F48" s="64">
        <v>5.42</v>
      </c>
      <c r="G48" s="64">
        <v>20.079999999999998</v>
      </c>
      <c r="H48" s="64">
        <v>2.88</v>
      </c>
      <c r="I48" s="64">
        <v>1.01</v>
      </c>
      <c r="J48" s="64">
        <v>7.0000000000000007E-2</v>
      </c>
      <c r="K48" s="64">
        <v>187.74</v>
      </c>
      <c r="L48" s="64">
        <v>29.81</v>
      </c>
      <c r="M48" s="64">
        <v>77.489999999999995</v>
      </c>
      <c r="N48" s="64">
        <v>887.1</v>
      </c>
      <c r="O48" s="64">
        <v>0</v>
      </c>
      <c r="P48" s="64">
        <v>0.3</v>
      </c>
      <c r="Q48" s="64">
        <v>9.6300000000000008</v>
      </c>
      <c r="R48" s="198"/>
      <c r="S48" s="198"/>
      <c r="T48" s="198"/>
      <c r="U48" s="198"/>
    </row>
    <row r="49" spans="1:21" s="12" customFormat="1" x14ac:dyDescent="0.25">
      <c r="A49" s="212" t="s">
        <v>1055</v>
      </c>
      <c r="B49" s="64">
        <v>8.5500000000000007</v>
      </c>
      <c r="C49" s="64">
        <v>9.58</v>
      </c>
      <c r="D49" s="64">
        <v>11.86</v>
      </c>
      <c r="E49" s="64">
        <v>4.9400000000000004</v>
      </c>
      <c r="F49" s="64">
        <v>5.57</v>
      </c>
      <c r="G49" s="64">
        <v>20.079999999999998</v>
      </c>
      <c r="H49" s="64">
        <v>2.88</v>
      </c>
      <c r="I49" s="64">
        <v>1.02</v>
      </c>
      <c r="J49" s="64">
        <v>0.24</v>
      </c>
      <c r="K49" s="64">
        <v>300.11</v>
      </c>
      <c r="L49" s="64">
        <v>31.12</v>
      </c>
      <c r="M49" s="64">
        <v>72.47</v>
      </c>
      <c r="N49" s="64">
        <v>939.9</v>
      </c>
      <c r="O49" s="64">
        <v>0</v>
      </c>
      <c r="P49" s="64">
        <v>0.31</v>
      </c>
      <c r="Q49" s="64">
        <v>9.61</v>
      </c>
      <c r="R49" s="198"/>
      <c r="S49" s="198"/>
      <c r="T49" s="198"/>
      <c r="U49" s="198"/>
    </row>
    <row r="50" spans="1:21" s="12" customFormat="1" x14ac:dyDescent="0.25">
      <c r="A50" s="212" t="s">
        <v>1056</v>
      </c>
      <c r="B50" s="64">
        <v>8.94</v>
      </c>
      <c r="C50" s="64">
        <v>10.96</v>
      </c>
      <c r="D50" s="64">
        <v>12.89</v>
      </c>
      <c r="E50" s="64">
        <v>5.31</v>
      </c>
      <c r="F50" s="64">
        <v>7.03</v>
      </c>
      <c r="G50" s="64">
        <v>20.079999999999998</v>
      </c>
      <c r="H50" s="64">
        <v>2.88</v>
      </c>
      <c r="I50" s="64">
        <v>1.03</v>
      </c>
      <c r="J50" s="64">
        <v>0.18</v>
      </c>
      <c r="K50" s="64">
        <v>305.27</v>
      </c>
      <c r="L50" s="64">
        <v>32.049999999999997</v>
      </c>
      <c r="M50" s="64">
        <v>68.849999999999994</v>
      </c>
      <c r="N50" s="64">
        <v>873.2</v>
      </c>
      <c r="O50" s="64">
        <v>0</v>
      </c>
      <c r="P50" s="64">
        <v>0.31</v>
      </c>
      <c r="Q50" s="64">
        <v>9.6</v>
      </c>
      <c r="R50" s="198"/>
      <c r="S50" s="198"/>
      <c r="T50" s="198"/>
      <c r="U50" s="198"/>
    </row>
    <row r="51" spans="1:21" s="12" customFormat="1" x14ac:dyDescent="0.25">
      <c r="A51" s="212" t="s">
        <v>1057</v>
      </c>
      <c r="B51" s="64">
        <v>8.83</v>
      </c>
      <c r="C51" s="64">
        <v>12.72</v>
      </c>
      <c r="D51" s="64">
        <v>13.72</v>
      </c>
      <c r="E51" s="64">
        <v>5.22</v>
      </c>
      <c r="F51" s="64">
        <v>6.07</v>
      </c>
      <c r="G51" s="64">
        <v>21.67</v>
      </c>
      <c r="H51" s="64">
        <v>5.39</v>
      </c>
      <c r="I51" s="64">
        <v>1.02</v>
      </c>
      <c r="J51" s="64">
        <v>0.13</v>
      </c>
      <c r="K51" s="64">
        <v>274.51</v>
      </c>
      <c r="L51" s="64">
        <v>30.74</v>
      </c>
      <c r="M51" s="64">
        <v>74.05</v>
      </c>
      <c r="N51" s="64">
        <v>614.20000000000005</v>
      </c>
      <c r="O51" s="64">
        <v>0</v>
      </c>
      <c r="P51" s="64">
        <v>0.31</v>
      </c>
      <c r="Q51" s="64">
        <v>9.61</v>
      </c>
      <c r="R51" s="198"/>
      <c r="S51" s="198"/>
      <c r="T51" s="198"/>
      <c r="U51" s="198"/>
    </row>
    <row r="52" spans="1:21" s="12" customFormat="1" x14ac:dyDescent="0.25">
      <c r="A52" s="212" t="s">
        <v>1058</v>
      </c>
      <c r="B52" s="64">
        <v>10.43</v>
      </c>
      <c r="C52" s="64">
        <v>11.66</v>
      </c>
      <c r="D52" s="64">
        <v>14.45</v>
      </c>
      <c r="E52" s="64">
        <v>5.03</v>
      </c>
      <c r="F52" s="64">
        <v>7.05</v>
      </c>
      <c r="G52" s="64">
        <v>21.8</v>
      </c>
      <c r="H52" s="64">
        <v>5.57</v>
      </c>
      <c r="I52" s="64">
        <v>1.02</v>
      </c>
      <c r="J52" s="64">
        <v>0.16</v>
      </c>
      <c r="K52" s="64">
        <v>308.52</v>
      </c>
      <c r="L52" s="64">
        <v>30.56</v>
      </c>
      <c r="M52" s="64">
        <v>75.180000000000007</v>
      </c>
      <c r="N52" s="64">
        <v>701.7</v>
      </c>
      <c r="O52" s="64">
        <v>0</v>
      </c>
      <c r="P52" s="64">
        <v>0.36</v>
      </c>
      <c r="Q52" s="64">
        <v>9.6</v>
      </c>
      <c r="R52" s="198"/>
      <c r="S52" s="198"/>
      <c r="T52" s="198"/>
      <c r="U52" s="198"/>
    </row>
    <row r="53" spans="1:21" s="12" customFormat="1" x14ac:dyDescent="0.25">
      <c r="A53" s="212" t="s">
        <v>1059</v>
      </c>
      <c r="B53" s="64">
        <v>7.88</v>
      </c>
      <c r="C53" s="64">
        <v>9.8800000000000008</v>
      </c>
      <c r="D53" s="64">
        <v>11.48</v>
      </c>
      <c r="E53" s="64">
        <v>4.8099999999999996</v>
      </c>
      <c r="F53" s="64">
        <v>5.38</v>
      </c>
      <c r="G53" s="64">
        <v>21.8</v>
      </c>
      <c r="H53" s="64">
        <v>5.57</v>
      </c>
      <c r="I53" s="64">
        <v>1.02</v>
      </c>
      <c r="J53" s="64">
        <v>0.09</v>
      </c>
      <c r="K53" s="64">
        <v>236.71</v>
      </c>
      <c r="L53" s="64">
        <v>31</v>
      </c>
      <c r="M53" s="64">
        <v>72.92</v>
      </c>
      <c r="N53" s="64">
        <v>1005.7</v>
      </c>
      <c r="O53" s="64">
        <v>0</v>
      </c>
      <c r="P53" s="64">
        <v>0.33</v>
      </c>
      <c r="Q53" s="64">
        <v>9.6199999999999992</v>
      </c>
      <c r="R53" s="198"/>
      <c r="S53" s="198"/>
      <c r="T53" s="198"/>
      <c r="U53" s="198"/>
    </row>
    <row r="54" spans="1:21" s="12" customFormat="1" x14ac:dyDescent="0.25">
      <c r="A54" s="212" t="s">
        <v>1060</v>
      </c>
      <c r="B54" s="64">
        <v>7.28</v>
      </c>
      <c r="C54" s="64">
        <v>9.6300000000000008</v>
      </c>
      <c r="D54" s="64">
        <v>10.87</v>
      </c>
      <c r="E54" s="64">
        <v>4.9000000000000004</v>
      </c>
      <c r="F54" s="64">
        <v>3.9</v>
      </c>
      <c r="G54" s="64">
        <v>21.8</v>
      </c>
      <c r="H54" s="64">
        <v>5.57</v>
      </c>
      <c r="I54" s="64">
        <v>1.03</v>
      </c>
      <c r="J54" s="64">
        <v>0.15</v>
      </c>
      <c r="K54" s="64">
        <v>290.52</v>
      </c>
      <c r="L54" s="64">
        <v>30.47</v>
      </c>
      <c r="M54" s="64">
        <v>73.33</v>
      </c>
      <c r="N54" s="64">
        <v>959.4</v>
      </c>
      <c r="O54" s="64">
        <v>0</v>
      </c>
      <c r="P54" s="64">
        <v>0.28999999999999998</v>
      </c>
      <c r="Q54" s="64">
        <v>9.6199999999999992</v>
      </c>
      <c r="R54" s="198"/>
      <c r="S54" s="198"/>
      <c r="T54" s="198"/>
      <c r="U54" s="198"/>
    </row>
    <row r="55" spans="1:21" s="12" customFormat="1" x14ac:dyDescent="0.25">
      <c r="A55" s="212" t="s">
        <v>1061</v>
      </c>
      <c r="B55" s="64">
        <v>7.05</v>
      </c>
      <c r="C55" s="64">
        <v>9.6300000000000008</v>
      </c>
      <c r="D55" s="64">
        <v>10.69</v>
      </c>
      <c r="E55" s="64">
        <v>4.88</v>
      </c>
      <c r="F55" s="64">
        <v>3.37</v>
      </c>
      <c r="G55" s="64">
        <v>19.47</v>
      </c>
      <c r="H55" s="64">
        <v>4.3499999999999996</v>
      </c>
      <c r="I55" s="64">
        <v>1.03</v>
      </c>
      <c r="J55" s="64">
        <v>0.05</v>
      </c>
      <c r="K55" s="64">
        <v>208.77</v>
      </c>
      <c r="L55" s="64">
        <v>30.22</v>
      </c>
      <c r="M55" s="64">
        <v>72.87</v>
      </c>
      <c r="N55" s="64">
        <v>1121.2</v>
      </c>
      <c r="O55" s="64">
        <v>0</v>
      </c>
      <c r="P55" s="64">
        <v>0.31</v>
      </c>
      <c r="Q55" s="64">
        <v>9.59</v>
      </c>
      <c r="R55" s="198"/>
      <c r="S55" s="198"/>
      <c r="T55" s="198"/>
      <c r="U55" s="198"/>
    </row>
    <row r="56" spans="1:21" s="12" customFormat="1" x14ac:dyDescent="0.25">
      <c r="A56" s="212" t="s">
        <v>1062</v>
      </c>
      <c r="B56" s="64">
        <v>7.2</v>
      </c>
      <c r="C56" s="64">
        <v>8.92</v>
      </c>
      <c r="D56" s="64">
        <v>10.43</v>
      </c>
      <c r="E56" s="64">
        <v>5.0199999999999996</v>
      </c>
      <c r="F56" s="64">
        <v>2.64</v>
      </c>
      <c r="G56" s="64">
        <v>19.27</v>
      </c>
      <c r="H56" s="64">
        <v>4.25</v>
      </c>
      <c r="I56" s="64">
        <v>1.01</v>
      </c>
      <c r="J56" s="64">
        <v>0.2</v>
      </c>
      <c r="K56" s="64">
        <v>298.05</v>
      </c>
      <c r="L56" s="64">
        <v>31.25</v>
      </c>
      <c r="M56" s="64">
        <v>68.98</v>
      </c>
      <c r="N56" s="64">
        <v>1103.5999999999999</v>
      </c>
      <c r="O56" s="64">
        <v>0</v>
      </c>
      <c r="P56" s="64">
        <v>0.3</v>
      </c>
      <c r="Q56" s="64">
        <v>9.61</v>
      </c>
      <c r="R56" s="198"/>
      <c r="S56" s="198"/>
      <c r="T56" s="198"/>
      <c r="U56" s="198"/>
    </row>
    <row r="57" spans="1:21" s="12" customFormat="1" x14ac:dyDescent="0.25">
      <c r="A57" s="212" t="s">
        <v>1063</v>
      </c>
      <c r="B57" s="64">
        <v>7.18</v>
      </c>
      <c r="C57" s="64">
        <v>9.57</v>
      </c>
      <c r="D57" s="64">
        <v>10.76</v>
      </c>
      <c r="E57" s="64">
        <v>4.8</v>
      </c>
      <c r="F57" s="64">
        <v>2.37</v>
      </c>
      <c r="G57" s="64">
        <v>19.27</v>
      </c>
      <c r="H57" s="64">
        <v>4.25</v>
      </c>
      <c r="I57" s="64">
        <v>0.98</v>
      </c>
      <c r="J57" s="64">
        <v>0.12</v>
      </c>
      <c r="K57" s="64">
        <v>240.91</v>
      </c>
      <c r="L57" s="64">
        <v>31.36</v>
      </c>
      <c r="M57" s="64">
        <v>65.73</v>
      </c>
      <c r="N57" s="64">
        <v>1107.9000000000001</v>
      </c>
      <c r="O57" s="64">
        <v>0</v>
      </c>
      <c r="P57" s="64">
        <v>0.31</v>
      </c>
      <c r="Q57" s="64">
        <v>9.61</v>
      </c>
      <c r="R57" s="198"/>
      <c r="S57" s="198"/>
      <c r="T57" s="198"/>
      <c r="U57" s="198"/>
    </row>
    <row r="58" spans="1:21" s="12" customFormat="1" x14ac:dyDescent="0.25">
      <c r="A58" s="212" t="s">
        <v>1064</v>
      </c>
      <c r="B58" s="64">
        <v>6.89</v>
      </c>
      <c r="C58" s="64">
        <v>9.2200000000000006</v>
      </c>
      <c r="D58" s="64">
        <v>10.34</v>
      </c>
      <c r="E58" s="64">
        <v>4.9800000000000004</v>
      </c>
      <c r="F58" s="64">
        <v>4.84</v>
      </c>
      <c r="G58" s="64">
        <v>19.27</v>
      </c>
      <c r="H58" s="64">
        <v>4.25</v>
      </c>
      <c r="I58" s="64">
        <v>0.92</v>
      </c>
      <c r="J58" s="64">
        <v>0.11</v>
      </c>
      <c r="K58" s="64">
        <v>251.98</v>
      </c>
      <c r="L58" s="64">
        <v>31.16</v>
      </c>
      <c r="M58" s="64">
        <v>67</v>
      </c>
      <c r="N58" s="64">
        <v>978.2</v>
      </c>
      <c r="O58" s="64">
        <v>0</v>
      </c>
      <c r="P58" s="64">
        <v>0.28999999999999998</v>
      </c>
      <c r="Q58" s="64">
        <v>9.61</v>
      </c>
      <c r="R58" s="198"/>
      <c r="S58" s="198"/>
      <c r="T58" s="198"/>
      <c r="U58" s="198"/>
    </row>
    <row r="59" spans="1:21" s="12" customFormat="1" x14ac:dyDescent="0.25">
      <c r="A59" s="212" t="s">
        <v>1065</v>
      </c>
      <c r="B59" s="64">
        <v>6.29</v>
      </c>
      <c r="C59" s="64">
        <v>9.41</v>
      </c>
      <c r="D59" s="64">
        <v>9.9600000000000009</v>
      </c>
      <c r="E59" s="64">
        <v>4.62</v>
      </c>
      <c r="F59" s="64">
        <v>4.1399999999999997</v>
      </c>
      <c r="G59" s="64">
        <v>19.260000000000002</v>
      </c>
      <c r="H59" s="64">
        <v>4.59</v>
      </c>
      <c r="I59" s="64">
        <v>0.83</v>
      </c>
      <c r="J59" s="64">
        <v>0.15</v>
      </c>
      <c r="K59" s="64">
        <v>296.99</v>
      </c>
      <c r="L59" s="64">
        <v>31.09</v>
      </c>
      <c r="M59" s="64">
        <v>65.12</v>
      </c>
      <c r="N59" s="64">
        <v>626.70000000000005</v>
      </c>
      <c r="O59" s="64">
        <v>0</v>
      </c>
      <c r="P59" s="64">
        <v>0.28000000000000003</v>
      </c>
      <c r="Q59" s="64">
        <v>9.6199999999999992</v>
      </c>
      <c r="R59" s="198"/>
      <c r="S59" s="198"/>
      <c r="T59" s="198"/>
      <c r="U59" s="198"/>
    </row>
    <row r="60" spans="1:21" s="12" customFormat="1" x14ac:dyDescent="0.25">
      <c r="A60" s="212" t="s">
        <v>1066</v>
      </c>
      <c r="B60" s="64">
        <v>7.23</v>
      </c>
      <c r="C60" s="64">
        <v>8.83</v>
      </c>
      <c r="D60" s="64">
        <v>10.41</v>
      </c>
      <c r="E60" s="64">
        <v>4.49</v>
      </c>
      <c r="F60" s="64">
        <v>4.12</v>
      </c>
      <c r="G60" s="64">
        <v>19.260000000000002</v>
      </c>
      <c r="H60" s="64">
        <v>4.6100000000000003</v>
      </c>
      <c r="I60" s="64">
        <v>0.84</v>
      </c>
      <c r="J60" s="64">
        <v>0.1</v>
      </c>
      <c r="K60" s="64">
        <v>279.77999999999997</v>
      </c>
      <c r="L60" s="64">
        <v>31.83</v>
      </c>
      <c r="M60" s="64">
        <v>59.96</v>
      </c>
      <c r="N60" s="64">
        <v>853.9</v>
      </c>
      <c r="O60" s="64">
        <v>0</v>
      </c>
      <c r="P60" s="64">
        <v>0.3</v>
      </c>
      <c r="Q60" s="64">
        <v>9.6</v>
      </c>
      <c r="R60" s="198"/>
      <c r="S60" s="198"/>
      <c r="T60" s="198"/>
      <c r="U60" s="198"/>
    </row>
    <row r="61" spans="1:21" s="12" customFormat="1" x14ac:dyDescent="0.25">
      <c r="A61" s="212" t="s">
        <v>1067</v>
      </c>
      <c r="B61" s="64">
        <v>6.78</v>
      </c>
      <c r="C61" s="64">
        <v>10.11</v>
      </c>
      <c r="D61" s="64">
        <v>10.71</v>
      </c>
      <c r="E61" s="64">
        <v>4.6500000000000004</v>
      </c>
      <c r="F61" s="64">
        <v>2.57</v>
      </c>
      <c r="G61" s="64">
        <v>19.260000000000002</v>
      </c>
      <c r="H61" s="64">
        <v>4.6100000000000003</v>
      </c>
      <c r="I61" s="64">
        <v>0.9</v>
      </c>
      <c r="J61" s="64">
        <v>0.33</v>
      </c>
      <c r="K61" s="64">
        <v>312.86</v>
      </c>
      <c r="L61" s="64">
        <v>31.89</v>
      </c>
      <c r="M61" s="64">
        <v>56.16</v>
      </c>
      <c r="N61" s="64">
        <v>304.2</v>
      </c>
      <c r="O61" s="64">
        <v>0</v>
      </c>
      <c r="P61" s="64">
        <v>0.28999999999999998</v>
      </c>
      <c r="Q61" s="64">
        <v>9.6</v>
      </c>
      <c r="R61" s="198"/>
      <c r="S61" s="198"/>
      <c r="T61" s="198"/>
      <c r="U61" s="198"/>
    </row>
    <row r="62" spans="1:21" s="12" customFormat="1" x14ac:dyDescent="0.25">
      <c r="A62" s="212" t="s">
        <v>1068</v>
      </c>
      <c r="B62" s="64">
        <v>6.39</v>
      </c>
      <c r="C62" s="64">
        <v>11.03</v>
      </c>
      <c r="D62" s="64">
        <v>10.89</v>
      </c>
      <c r="E62" s="64">
        <v>4.6100000000000003</v>
      </c>
      <c r="F62" s="64">
        <v>2.79</v>
      </c>
      <c r="G62" s="64">
        <v>19.260000000000002</v>
      </c>
      <c r="H62" s="64">
        <v>4.6100000000000003</v>
      </c>
      <c r="I62" s="64">
        <v>0.91</v>
      </c>
      <c r="J62" s="64">
        <v>0.22</v>
      </c>
      <c r="K62" s="64">
        <v>191.08</v>
      </c>
      <c r="L62" s="64">
        <v>29.69</v>
      </c>
      <c r="M62" s="64">
        <v>68.64</v>
      </c>
      <c r="N62" s="64">
        <v>244.7</v>
      </c>
      <c r="O62" s="64">
        <v>0</v>
      </c>
      <c r="P62" s="64">
        <v>0.32</v>
      </c>
      <c r="Q62" s="64">
        <v>9.57</v>
      </c>
      <c r="R62" s="198"/>
      <c r="S62" s="198"/>
      <c r="T62" s="198"/>
      <c r="U62" s="198"/>
    </row>
    <row r="63" spans="1:21" s="12" customFormat="1" x14ac:dyDescent="0.25">
      <c r="A63" s="212" t="s">
        <v>1069</v>
      </c>
      <c r="B63" s="64">
        <v>6.19</v>
      </c>
      <c r="C63" s="64">
        <v>11.15</v>
      </c>
      <c r="D63" s="64">
        <v>10.79</v>
      </c>
      <c r="E63" s="64">
        <v>4.8899999999999997</v>
      </c>
      <c r="F63" s="64">
        <v>5.38</v>
      </c>
      <c r="G63" s="64">
        <v>19.97</v>
      </c>
      <c r="H63" s="64">
        <v>4.16</v>
      </c>
      <c r="I63" s="64">
        <v>0.95</v>
      </c>
      <c r="J63" s="64">
        <v>0.39</v>
      </c>
      <c r="K63" s="64">
        <v>143.5</v>
      </c>
      <c r="L63" s="64">
        <v>27.34</v>
      </c>
      <c r="M63" s="64">
        <v>92.96</v>
      </c>
      <c r="N63" s="64">
        <v>197.6</v>
      </c>
      <c r="O63" s="64">
        <v>0</v>
      </c>
      <c r="P63" s="64">
        <v>0.28999999999999998</v>
      </c>
      <c r="Q63" s="64">
        <v>9.57</v>
      </c>
      <c r="R63" s="198"/>
      <c r="S63" s="198"/>
      <c r="T63" s="198"/>
      <c r="U63" s="198"/>
    </row>
    <row r="64" spans="1:21" s="12" customFormat="1" x14ac:dyDescent="0.25">
      <c r="A64" s="212" t="s">
        <v>1070</v>
      </c>
      <c r="B64" s="64">
        <v>6.14</v>
      </c>
      <c r="C64" s="64">
        <v>11.03</v>
      </c>
      <c r="D64" s="64">
        <v>10.68</v>
      </c>
      <c r="E64" s="64">
        <v>4.74</v>
      </c>
      <c r="F64" s="64">
        <v>6.89</v>
      </c>
      <c r="G64" s="64">
        <v>20.02</v>
      </c>
      <c r="H64" s="64">
        <v>4.12</v>
      </c>
      <c r="I64" s="64">
        <v>1</v>
      </c>
      <c r="J64" s="64">
        <v>0.62</v>
      </c>
      <c r="K64" s="64">
        <v>141.6</v>
      </c>
      <c r="L64" s="64">
        <v>26.3</v>
      </c>
      <c r="M64" s="64">
        <v>97.63</v>
      </c>
      <c r="N64" s="64">
        <v>149.5</v>
      </c>
      <c r="O64" s="64">
        <v>0</v>
      </c>
      <c r="P64" s="64">
        <v>0.3</v>
      </c>
      <c r="Q64" s="64">
        <v>9.61</v>
      </c>
      <c r="R64" s="198"/>
      <c r="S64" s="198"/>
      <c r="T64" s="198"/>
      <c r="U64" s="198"/>
    </row>
    <row r="65" spans="1:21" s="12" customFormat="1" x14ac:dyDescent="0.25">
      <c r="A65" s="212" t="s">
        <v>1071</v>
      </c>
      <c r="B65" s="64">
        <v>6.51</v>
      </c>
      <c r="C65" s="64">
        <v>10.33</v>
      </c>
      <c r="D65" s="64">
        <v>10.62</v>
      </c>
      <c r="E65" s="64">
        <v>4.7699999999999996</v>
      </c>
      <c r="F65" s="64">
        <v>4.68</v>
      </c>
      <c r="G65" s="64">
        <v>20.02</v>
      </c>
      <c r="H65" s="64">
        <v>4.12</v>
      </c>
      <c r="I65" s="64">
        <v>0.99</v>
      </c>
      <c r="J65" s="64">
        <v>1.3</v>
      </c>
      <c r="K65" s="64">
        <v>136.47</v>
      </c>
      <c r="L65" s="64">
        <v>25.55</v>
      </c>
      <c r="M65" s="64">
        <v>97.5</v>
      </c>
      <c r="N65" s="64">
        <v>156.5</v>
      </c>
      <c r="O65" s="64">
        <v>0</v>
      </c>
      <c r="P65" s="64">
        <v>0.28000000000000003</v>
      </c>
      <c r="Q65" s="64">
        <v>9.61</v>
      </c>
      <c r="R65" s="198"/>
      <c r="S65" s="198"/>
      <c r="T65" s="198"/>
      <c r="U65" s="198"/>
    </row>
    <row r="66" spans="1:21" s="12" customFormat="1" x14ac:dyDescent="0.25">
      <c r="A66" s="212" t="s">
        <v>1072</v>
      </c>
      <c r="B66" s="64">
        <v>7.07</v>
      </c>
      <c r="C66" s="64">
        <v>10.54</v>
      </c>
      <c r="D66" s="64">
        <v>11.18</v>
      </c>
      <c r="E66" s="64">
        <v>4.4800000000000004</v>
      </c>
      <c r="F66" s="64">
        <v>4.6399999999999997</v>
      </c>
      <c r="G66" s="64">
        <v>20.02</v>
      </c>
      <c r="H66" s="64">
        <v>4.12</v>
      </c>
      <c r="I66" s="64">
        <v>0.98</v>
      </c>
      <c r="J66" s="64">
        <v>1.53</v>
      </c>
      <c r="K66" s="64">
        <v>134.24</v>
      </c>
      <c r="L66" s="64">
        <v>25.36</v>
      </c>
      <c r="M66" s="64">
        <v>97.63</v>
      </c>
      <c r="N66" s="64">
        <v>147.1</v>
      </c>
      <c r="O66" s="64">
        <v>0</v>
      </c>
      <c r="P66" s="64">
        <v>0.28999999999999998</v>
      </c>
      <c r="Q66" s="64">
        <v>9.61</v>
      </c>
      <c r="R66" s="198"/>
      <c r="S66" s="198"/>
      <c r="T66" s="198"/>
      <c r="U66" s="198"/>
    </row>
    <row r="67" spans="1:21" s="12" customFormat="1" x14ac:dyDescent="0.25">
      <c r="A67" s="212" t="s">
        <v>1073</v>
      </c>
      <c r="B67" s="64">
        <v>7.14</v>
      </c>
      <c r="C67" s="64">
        <v>11.02</v>
      </c>
      <c r="D67" s="64">
        <v>11.48</v>
      </c>
      <c r="E67" s="64">
        <v>4.99</v>
      </c>
      <c r="F67" s="64">
        <v>8.01</v>
      </c>
      <c r="G67" s="64">
        <v>19.93</v>
      </c>
      <c r="H67" s="64">
        <v>3.3</v>
      </c>
      <c r="I67" s="64">
        <v>0.97</v>
      </c>
      <c r="J67" s="64">
        <v>0.69</v>
      </c>
      <c r="K67" s="64">
        <v>152.47999999999999</v>
      </c>
      <c r="L67" s="64">
        <v>25.74</v>
      </c>
      <c r="M67" s="64">
        <v>97.62</v>
      </c>
      <c r="N67" s="64">
        <v>170.8</v>
      </c>
      <c r="O67" s="64">
        <v>0</v>
      </c>
      <c r="P67" s="64">
        <v>0.28000000000000003</v>
      </c>
      <c r="Q67" s="64">
        <v>9.6</v>
      </c>
      <c r="R67" s="198"/>
      <c r="S67" s="198"/>
      <c r="T67" s="198"/>
      <c r="U67" s="198"/>
    </row>
    <row r="68" spans="1:21" s="12" customFormat="1" x14ac:dyDescent="0.25">
      <c r="A68" s="212" t="s">
        <v>1074</v>
      </c>
      <c r="B68" s="64">
        <v>7.45</v>
      </c>
      <c r="C68" s="64">
        <v>14.85</v>
      </c>
      <c r="D68" s="64">
        <v>13.74</v>
      </c>
      <c r="E68" s="64">
        <v>5.14</v>
      </c>
      <c r="F68" s="64">
        <v>9.16</v>
      </c>
      <c r="G68" s="64">
        <v>19.920000000000002</v>
      </c>
      <c r="H68" s="64">
        <v>3.23</v>
      </c>
      <c r="I68" s="64">
        <v>0.97</v>
      </c>
      <c r="J68" s="64">
        <v>0.19</v>
      </c>
      <c r="K68" s="64">
        <v>149.37</v>
      </c>
      <c r="L68" s="64">
        <v>26.84</v>
      </c>
      <c r="M68" s="64">
        <v>94.63</v>
      </c>
      <c r="N68" s="64">
        <v>211.1</v>
      </c>
      <c r="O68" s="64">
        <v>0</v>
      </c>
      <c r="P68" s="64">
        <v>0.27</v>
      </c>
      <c r="Q68" s="64">
        <v>9.59</v>
      </c>
      <c r="R68" s="198"/>
      <c r="S68" s="198"/>
      <c r="T68" s="198"/>
      <c r="U68" s="198"/>
    </row>
    <row r="69" spans="1:21" s="12" customFormat="1" x14ac:dyDescent="0.25">
      <c r="A69" s="212" t="s">
        <v>1075</v>
      </c>
      <c r="B69" s="64">
        <v>7.3</v>
      </c>
      <c r="C69" s="64">
        <v>15.63</v>
      </c>
      <c r="D69" s="64">
        <v>14.02</v>
      </c>
      <c r="E69" s="64">
        <v>5.05</v>
      </c>
      <c r="F69" s="64">
        <v>9.0500000000000007</v>
      </c>
      <c r="G69" s="64">
        <v>19.920000000000002</v>
      </c>
      <c r="H69" s="64">
        <v>3.23</v>
      </c>
      <c r="I69" s="64">
        <v>0.99</v>
      </c>
      <c r="J69" s="64">
        <v>0.12</v>
      </c>
      <c r="K69" s="64">
        <v>148.41999999999999</v>
      </c>
      <c r="L69" s="64">
        <v>27.79</v>
      </c>
      <c r="M69" s="64">
        <v>89.75</v>
      </c>
      <c r="N69" s="64">
        <v>226.4</v>
      </c>
      <c r="O69" s="64">
        <v>0</v>
      </c>
      <c r="P69" s="64">
        <v>0.32</v>
      </c>
      <c r="Q69" s="64">
        <v>9.59</v>
      </c>
      <c r="R69" s="198"/>
      <c r="S69" s="198"/>
      <c r="T69" s="198"/>
      <c r="U69" s="198"/>
    </row>
    <row r="70" spans="1:21" s="12" customFormat="1" x14ac:dyDescent="0.25">
      <c r="A70" s="212" t="s">
        <v>1076</v>
      </c>
      <c r="B70" s="64">
        <v>9.5399999999999991</v>
      </c>
      <c r="C70" s="64">
        <v>13.13</v>
      </c>
      <c r="D70" s="64">
        <v>14.51</v>
      </c>
      <c r="E70" s="64">
        <v>4.6900000000000004</v>
      </c>
      <c r="F70" s="64">
        <v>9.59</v>
      </c>
      <c r="G70" s="64">
        <v>19.920000000000002</v>
      </c>
      <c r="H70" s="64">
        <v>3.23</v>
      </c>
      <c r="I70" s="64">
        <v>1.01</v>
      </c>
      <c r="J70" s="64">
        <v>0.09</v>
      </c>
      <c r="K70" s="64">
        <v>183.84</v>
      </c>
      <c r="L70" s="64">
        <v>28.14</v>
      </c>
      <c r="M70" s="64">
        <v>85.76</v>
      </c>
      <c r="N70" s="64">
        <v>217.4</v>
      </c>
      <c r="O70" s="64">
        <v>0</v>
      </c>
      <c r="P70" s="64">
        <v>0.3</v>
      </c>
      <c r="Q70" s="64">
        <v>9.61</v>
      </c>
      <c r="R70" s="198"/>
      <c r="S70" s="198"/>
      <c r="T70" s="198"/>
      <c r="U70" s="198"/>
    </row>
    <row r="71" spans="1:21" s="12" customFormat="1" x14ac:dyDescent="0.25">
      <c r="A71" s="212" t="s">
        <v>1077</v>
      </c>
      <c r="B71" s="64">
        <v>12.47</v>
      </c>
      <c r="C71" s="64">
        <v>14.72</v>
      </c>
      <c r="D71" s="64">
        <v>17.54</v>
      </c>
      <c r="E71" s="64">
        <v>5.07</v>
      </c>
      <c r="F71" s="64">
        <v>7.9</v>
      </c>
      <c r="G71" s="64">
        <v>20.2</v>
      </c>
      <c r="H71" s="64">
        <v>4.9800000000000004</v>
      </c>
      <c r="I71" s="64">
        <v>1.03</v>
      </c>
      <c r="J71" s="64">
        <v>7.0000000000000007E-2</v>
      </c>
      <c r="K71" s="64">
        <v>277.52</v>
      </c>
      <c r="L71" s="64">
        <v>28.44</v>
      </c>
      <c r="M71" s="64">
        <v>84.5</v>
      </c>
      <c r="N71" s="64">
        <v>196.8</v>
      </c>
      <c r="O71" s="64">
        <v>0</v>
      </c>
      <c r="P71" s="64">
        <v>0.41</v>
      </c>
      <c r="Q71" s="64">
        <v>9.6199999999999992</v>
      </c>
      <c r="R71" s="198"/>
      <c r="S71" s="198"/>
      <c r="T71" s="198"/>
      <c r="U71" s="198"/>
    </row>
    <row r="72" spans="1:21" s="12" customFormat="1" x14ac:dyDescent="0.25">
      <c r="A72" s="212" t="s">
        <v>1078</v>
      </c>
      <c r="B72" s="64">
        <v>9</v>
      </c>
      <c r="C72" s="64">
        <v>11.37</v>
      </c>
      <c r="D72" s="64">
        <v>13.02</v>
      </c>
      <c r="E72" s="64">
        <v>3.58</v>
      </c>
      <c r="F72" s="64">
        <v>6.81</v>
      </c>
      <c r="G72" s="64">
        <v>20.22</v>
      </c>
      <c r="H72" s="64">
        <v>5.0999999999999996</v>
      </c>
      <c r="I72" s="64">
        <v>1.04</v>
      </c>
      <c r="J72" s="64">
        <v>0.08</v>
      </c>
      <c r="K72" s="64">
        <v>216.14</v>
      </c>
      <c r="L72" s="64">
        <v>28.62</v>
      </c>
      <c r="M72" s="64">
        <v>83.17</v>
      </c>
      <c r="N72" s="64">
        <v>187.2</v>
      </c>
      <c r="O72" s="64">
        <v>0</v>
      </c>
      <c r="P72" s="64">
        <v>0.36</v>
      </c>
      <c r="Q72" s="64">
        <v>9.61</v>
      </c>
      <c r="R72" s="198"/>
      <c r="S72" s="198"/>
      <c r="T72" s="198"/>
      <c r="U72" s="198"/>
    </row>
    <row r="73" spans="1:21" s="12" customFormat="1" x14ac:dyDescent="0.25">
      <c r="A73" s="212" t="s">
        <v>1079</v>
      </c>
      <c r="B73" s="64">
        <v>7.91</v>
      </c>
      <c r="C73" s="64">
        <v>13.02</v>
      </c>
      <c r="D73" s="64">
        <v>13.15</v>
      </c>
      <c r="E73" s="64">
        <v>3.74</v>
      </c>
      <c r="F73" s="64">
        <v>10.130000000000001</v>
      </c>
      <c r="G73" s="64">
        <v>20.22</v>
      </c>
      <c r="H73" s="64">
        <v>5.0999999999999996</v>
      </c>
      <c r="I73" s="64">
        <v>1.05</v>
      </c>
      <c r="J73" s="64">
        <v>0.39</v>
      </c>
      <c r="K73" s="64">
        <v>146.55000000000001</v>
      </c>
      <c r="L73" s="64">
        <v>28.5</v>
      </c>
      <c r="M73" s="64">
        <v>84.65</v>
      </c>
      <c r="N73" s="64">
        <v>179.4</v>
      </c>
      <c r="O73" s="64">
        <v>0</v>
      </c>
      <c r="P73" s="64">
        <v>0.25</v>
      </c>
      <c r="Q73" s="64">
        <v>9.6</v>
      </c>
      <c r="R73" s="198"/>
      <c r="S73" s="198"/>
      <c r="T73" s="198"/>
      <c r="U73" s="198"/>
    </row>
    <row r="74" spans="1:21" s="12" customFormat="1" x14ac:dyDescent="0.25">
      <c r="A74" s="212" t="s">
        <v>1080</v>
      </c>
      <c r="B74" s="64">
        <v>6.62</v>
      </c>
      <c r="C74" s="64">
        <v>12.62</v>
      </c>
      <c r="D74" s="64">
        <v>11.91</v>
      </c>
      <c r="E74" s="64">
        <v>3.91</v>
      </c>
      <c r="F74" s="64">
        <v>9.1999999999999993</v>
      </c>
      <c r="G74" s="64">
        <v>20.22</v>
      </c>
      <c r="H74" s="64">
        <v>5.0999999999999996</v>
      </c>
      <c r="I74" s="64">
        <v>1.01</v>
      </c>
      <c r="J74" s="64">
        <v>0.39</v>
      </c>
      <c r="K74" s="64">
        <v>141.43</v>
      </c>
      <c r="L74" s="64">
        <v>28.22</v>
      </c>
      <c r="M74" s="64">
        <v>87.28</v>
      </c>
      <c r="N74" s="64">
        <v>170.7</v>
      </c>
      <c r="O74" s="64">
        <v>0</v>
      </c>
      <c r="P74" s="64">
        <v>0.2</v>
      </c>
      <c r="Q74" s="64">
        <v>9.6300000000000008</v>
      </c>
      <c r="R74" s="198"/>
      <c r="S74" s="198"/>
      <c r="T74" s="198"/>
      <c r="U74" s="198"/>
    </row>
    <row r="75" spans="1:21" s="12" customFormat="1" x14ac:dyDescent="0.25">
      <c r="A75" s="212" t="s">
        <v>1081</v>
      </c>
      <c r="B75" s="64">
        <v>7.37</v>
      </c>
      <c r="C75" s="64">
        <v>11.82</v>
      </c>
      <c r="D75" s="64">
        <v>12.09</v>
      </c>
      <c r="E75" s="64">
        <v>3.75</v>
      </c>
      <c r="F75" s="64">
        <v>7.13</v>
      </c>
      <c r="G75" s="64">
        <v>19.95</v>
      </c>
      <c r="H75" s="64">
        <v>3.9</v>
      </c>
      <c r="I75" s="64">
        <v>0.9</v>
      </c>
      <c r="J75" s="64">
        <v>0.77</v>
      </c>
      <c r="K75" s="64">
        <v>135.30000000000001</v>
      </c>
      <c r="L75" s="64">
        <v>27.96</v>
      </c>
      <c r="M75" s="64">
        <v>88.05</v>
      </c>
      <c r="N75" s="64">
        <v>159.6</v>
      </c>
      <c r="O75" s="64">
        <v>0</v>
      </c>
      <c r="P75" s="64">
        <v>0.24</v>
      </c>
      <c r="Q75" s="64">
        <v>9.64</v>
      </c>
      <c r="R75" s="198"/>
      <c r="S75" s="198"/>
      <c r="T75" s="198"/>
      <c r="U75" s="198"/>
    </row>
    <row r="76" spans="1:21" s="12" customFormat="1" x14ac:dyDescent="0.25">
      <c r="A76" s="212" t="s">
        <v>1082</v>
      </c>
      <c r="B76" s="64">
        <v>7.05</v>
      </c>
      <c r="C76" s="64">
        <v>10.57</v>
      </c>
      <c r="D76" s="64">
        <v>11.18</v>
      </c>
      <c r="E76" s="64">
        <v>3.62</v>
      </c>
      <c r="F76" s="64">
        <v>10.69</v>
      </c>
      <c r="G76" s="64">
        <v>19.93</v>
      </c>
      <c r="H76" s="64">
        <v>3.81</v>
      </c>
      <c r="I76" s="64">
        <v>0.87</v>
      </c>
      <c r="J76" s="64">
        <v>0.51</v>
      </c>
      <c r="K76" s="64">
        <v>146.66999999999999</v>
      </c>
      <c r="L76" s="64">
        <v>27.85</v>
      </c>
      <c r="M76" s="64">
        <v>91.29</v>
      </c>
      <c r="N76" s="64">
        <v>147</v>
      </c>
      <c r="O76" s="64">
        <v>0</v>
      </c>
      <c r="P76" s="64">
        <v>0.23</v>
      </c>
      <c r="Q76" s="64">
        <v>9.61</v>
      </c>
      <c r="R76" s="198"/>
      <c r="S76" s="198"/>
      <c r="T76" s="198"/>
      <c r="U76" s="198"/>
    </row>
    <row r="77" spans="1:21" s="12" customFormat="1" x14ac:dyDescent="0.25">
      <c r="A77" s="212" t="s">
        <v>1083</v>
      </c>
      <c r="B77" s="64">
        <v>6.36</v>
      </c>
      <c r="C77" s="64">
        <v>11.82</v>
      </c>
      <c r="D77" s="64">
        <v>11.28</v>
      </c>
      <c r="E77" s="64">
        <v>3.59</v>
      </c>
      <c r="F77" s="64">
        <v>10.59</v>
      </c>
      <c r="G77" s="64">
        <v>19.93</v>
      </c>
      <c r="H77" s="64">
        <v>3.81</v>
      </c>
      <c r="I77" s="64">
        <v>0.86</v>
      </c>
      <c r="J77" s="64">
        <v>0.42</v>
      </c>
      <c r="K77" s="64">
        <v>134.16</v>
      </c>
      <c r="L77" s="64">
        <v>28</v>
      </c>
      <c r="M77" s="64">
        <v>87.91</v>
      </c>
      <c r="N77" s="64">
        <v>141.4</v>
      </c>
      <c r="O77" s="64">
        <v>0</v>
      </c>
      <c r="P77" s="64">
        <v>0.18</v>
      </c>
      <c r="Q77" s="64">
        <v>9.64</v>
      </c>
      <c r="R77" s="198"/>
      <c r="S77" s="198"/>
      <c r="T77" s="198"/>
      <c r="U77" s="198"/>
    </row>
    <row r="78" spans="1:21" s="12" customFormat="1" x14ac:dyDescent="0.25">
      <c r="A78" s="212" t="s">
        <v>1084</v>
      </c>
      <c r="B78" s="64">
        <v>6.3</v>
      </c>
      <c r="C78" s="64">
        <v>10.86</v>
      </c>
      <c r="D78" s="64">
        <v>10.73</v>
      </c>
      <c r="E78" s="64">
        <v>3.55</v>
      </c>
      <c r="F78" s="64">
        <v>7.19</v>
      </c>
      <c r="G78" s="64">
        <v>19.93</v>
      </c>
      <c r="H78" s="64">
        <v>3.81</v>
      </c>
      <c r="I78" s="64">
        <v>0.86</v>
      </c>
      <c r="J78" s="64">
        <v>0.04</v>
      </c>
      <c r="K78" s="64">
        <v>218.3</v>
      </c>
      <c r="L78" s="64">
        <v>28.13</v>
      </c>
      <c r="M78" s="64">
        <v>88.3</v>
      </c>
      <c r="N78" s="64">
        <v>130.30000000000001</v>
      </c>
      <c r="O78" s="64">
        <v>0</v>
      </c>
      <c r="P78" s="64">
        <v>0.24</v>
      </c>
      <c r="Q78" s="64">
        <v>9.64</v>
      </c>
      <c r="R78" s="198"/>
      <c r="S78" s="198"/>
      <c r="T78" s="198"/>
      <c r="U78" s="198"/>
    </row>
    <row r="79" spans="1:21" s="12" customFormat="1" x14ac:dyDescent="0.25">
      <c r="A79" s="212" t="s">
        <v>1085</v>
      </c>
      <c r="B79" s="64">
        <v>6.05</v>
      </c>
      <c r="C79" s="64">
        <v>9.6300000000000008</v>
      </c>
      <c r="D79" s="64">
        <v>9.8800000000000008</v>
      </c>
      <c r="E79" s="64">
        <v>3.62</v>
      </c>
      <c r="F79" s="64">
        <v>9.01</v>
      </c>
      <c r="G79" s="64">
        <v>21.7</v>
      </c>
      <c r="H79" s="64">
        <v>3.26</v>
      </c>
      <c r="I79" s="64">
        <v>0.84</v>
      </c>
      <c r="J79" s="64">
        <v>0.18</v>
      </c>
      <c r="K79" s="64">
        <v>152.61000000000001</v>
      </c>
      <c r="L79" s="64">
        <v>28.09</v>
      </c>
      <c r="M79" s="64">
        <v>89.31</v>
      </c>
      <c r="N79" s="64">
        <v>107</v>
      </c>
      <c r="O79" s="64">
        <v>0</v>
      </c>
      <c r="P79" s="64">
        <v>0.21</v>
      </c>
      <c r="Q79" s="64">
        <v>9.6</v>
      </c>
      <c r="R79" s="198"/>
      <c r="S79" s="198"/>
      <c r="T79" s="198"/>
      <c r="U79" s="198"/>
    </row>
    <row r="80" spans="1:21" s="12" customFormat="1" x14ac:dyDescent="0.25">
      <c r="A80" s="212" t="s">
        <v>1086</v>
      </c>
      <c r="B80" s="64">
        <v>5.9</v>
      </c>
      <c r="C80" s="64">
        <v>11.34</v>
      </c>
      <c r="D80" s="64">
        <v>10.66</v>
      </c>
      <c r="E80" s="64">
        <v>3.81</v>
      </c>
      <c r="F80" s="64">
        <v>9.7100000000000009</v>
      </c>
      <c r="G80" s="64">
        <v>21.83</v>
      </c>
      <c r="H80" s="64">
        <v>3.22</v>
      </c>
      <c r="I80" s="64">
        <v>0.83</v>
      </c>
      <c r="J80" s="64">
        <v>0.35</v>
      </c>
      <c r="K80" s="64">
        <v>142.91</v>
      </c>
      <c r="L80" s="64">
        <v>27.87</v>
      </c>
      <c r="M80" s="64">
        <v>92.31</v>
      </c>
      <c r="N80" s="64">
        <v>85.4</v>
      </c>
      <c r="O80" s="64">
        <v>0</v>
      </c>
      <c r="P80" s="64">
        <v>0.22</v>
      </c>
      <c r="Q80" s="64">
        <v>9.6300000000000008</v>
      </c>
      <c r="R80" s="198"/>
      <c r="S80" s="198"/>
      <c r="T80" s="198"/>
      <c r="U80" s="198"/>
    </row>
    <row r="81" spans="1:26" s="12" customFormat="1" x14ac:dyDescent="0.25">
      <c r="A81" s="212" t="s">
        <v>1087</v>
      </c>
      <c r="B81" s="64">
        <v>7</v>
      </c>
      <c r="C81" s="64">
        <v>13.21</v>
      </c>
      <c r="D81" s="64">
        <v>12.52</v>
      </c>
      <c r="E81" s="64">
        <v>4.09</v>
      </c>
      <c r="F81" s="64">
        <v>8.48</v>
      </c>
      <c r="G81" s="64">
        <v>21.83</v>
      </c>
      <c r="H81" s="64">
        <v>3.22</v>
      </c>
      <c r="I81" s="64">
        <v>0.82</v>
      </c>
      <c r="J81" s="64">
        <v>0.66</v>
      </c>
      <c r="K81" s="64">
        <v>130.15</v>
      </c>
      <c r="L81" s="64">
        <v>27.64</v>
      </c>
      <c r="M81" s="64">
        <v>93.44</v>
      </c>
      <c r="N81" s="64">
        <v>70.900000000000006</v>
      </c>
      <c r="O81" s="64">
        <v>0</v>
      </c>
      <c r="P81" s="64">
        <v>0.24</v>
      </c>
      <c r="Q81" s="64">
        <v>9.6300000000000008</v>
      </c>
      <c r="R81" s="198"/>
      <c r="S81" s="198"/>
      <c r="T81" s="198"/>
      <c r="U81" s="198"/>
    </row>
    <row r="82" spans="1:26" s="12" customFormat="1" x14ac:dyDescent="0.25">
      <c r="A82" s="212" t="s">
        <v>1088</v>
      </c>
      <c r="B82" s="64">
        <v>6.42</v>
      </c>
      <c r="C82" s="64">
        <v>12.57</v>
      </c>
      <c r="D82" s="64">
        <v>11.72</v>
      </c>
      <c r="E82" s="64">
        <v>3.89</v>
      </c>
      <c r="F82" s="64">
        <v>9.3800000000000008</v>
      </c>
      <c r="G82" s="64">
        <v>21.83</v>
      </c>
      <c r="H82" s="64">
        <v>3.22</v>
      </c>
      <c r="I82" s="64">
        <v>0.81</v>
      </c>
      <c r="J82" s="64">
        <v>0.23</v>
      </c>
      <c r="K82" s="64">
        <v>131.97999999999999</v>
      </c>
      <c r="L82" s="64">
        <v>27.45</v>
      </c>
      <c r="M82" s="64">
        <v>95.64</v>
      </c>
      <c r="N82" s="64">
        <v>58.7</v>
      </c>
      <c r="O82" s="64">
        <v>0</v>
      </c>
      <c r="P82" s="64">
        <v>0.26</v>
      </c>
      <c r="Q82" s="64">
        <v>9.6199999999999992</v>
      </c>
      <c r="R82" s="198"/>
      <c r="S82" s="198"/>
      <c r="T82" s="198"/>
      <c r="U82" s="198"/>
    </row>
    <row r="83" spans="1:26" s="12" customFormat="1" x14ac:dyDescent="0.25">
      <c r="A83" s="212" t="s">
        <v>1089</v>
      </c>
      <c r="B83" s="64">
        <v>7.86</v>
      </c>
      <c r="C83" s="64">
        <v>14.44</v>
      </c>
      <c r="D83" s="64">
        <v>13.85</v>
      </c>
      <c r="E83" s="64">
        <v>3.94</v>
      </c>
      <c r="F83" s="64">
        <v>7.45</v>
      </c>
      <c r="G83" s="64">
        <v>17.47</v>
      </c>
      <c r="H83" s="64">
        <v>3.42</v>
      </c>
      <c r="I83" s="64">
        <v>0.81</v>
      </c>
      <c r="J83" s="64">
        <v>0.27</v>
      </c>
      <c r="K83" s="64">
        <v>137</v>
      </c>
      <c r="L83" s="64">
        <v>27.28</v>
      </c>
      <c r="M83" s="64">
        <v>97.47</v>
      </c>
      <c r="N83" s="64">
        <v>54.4</v>
      </c>
      <c r="O83" s="64">
        <v>0</v>
      </c>
      <c r="P83" s="64">
        <v>0.28999999999999998</v>
      </c>
      <c r="Q83" s="64">
        <v>9.64</v>
      </c>
      <c r="R83" s="198"/>
      <c r="S83" s="198"/>
      <c r="T83" s="198"/>
      <c r="U83" s="198"/>
    </row>
    <row r="84" spans="1:26" s="12" customFormat="1" x14ac:dyDescent="0.25">
      <c r="A84" s="212" t="s">
        <v>1090</v>
      </c>
      <c r="B84" s="64">
        <v>7.6</v>
      </c>
      <c r="C84" s="64">
        <v>13.95</v>
      </c>
      <c r="D84" s="64">
        <v>13.39</v>
      </c>
      <c r="E84" s="64">
        <v>3.45</v>
      </c>
      <c r="F84" s="64">
        <v>7.14</v>
      </c>
      <c r="G84" s="64">
        <v>17.16</v>
      </c>
      <c r="H84" s="64">
        <v>3.44</v>
      </c>
      <c r="I84" s="64">
        <v>0.81</v>
      </c>
      <c r="J84" s="64">
        <v>0.2</v>
      </c>
      <c r="K84" s="64">
        <v>129.41</v>
      </c>
      <c r="L84" s="64">
        <v>27.09</v>
      </c>
      <c r="M84" s="64">
        <v>97.56</v>
      </c>
      <c r="N84" s="64">
        <v>52.9</v>
      </c>
      <c r="O84" s="64">
        <v>0</v>
      </c>
      <c r="P84" s="64">
        <v>0.32</v>
      </c>
      <c r="Q84" s="64">
        <v>9.6199999999999992</v>
      </c>
      <c r="R84" s="198"/>
      <c r="S84" s="198"/>
      <c r="T84" s="198"/>
      <c r="U84" s="198"/>
    </row>
    <row r="85" spans="1:26" s="12" customFormat="1" x14ac:dyDescent="0.25">
      <c r="A85" s="212" t="s">
        <v>1091</v>
      </c>
      <c r="B85" s="64">
        <v>6.47</v>
      </c>
      <c r="C85" s="64">
        <v>14.18</v>
      </c>
      <c r="D85" s="64">
        <v>12.6</v>
      </c>
      <c r="E85" s="64">
        <v>3.96</v>
      </c>
      <c r="F85" s="64">
        <v>7.65</v>
      </c>
      <c r="G85" s="64">
        <v>17.16</v>
      </c>
      <c r="H85" s="64">
        <v>3.44</v>
      </c>
      <c r="I85" s="64">
        <v>0.86</v>
      </c>
      <c r="J85" s="64">
        <v>0.02</v>
      </c>
      <c r="K85" s="64">
        <v>28.14</v>
      </c>
      <c r="L85" s="64">
        <v>26.93</v>
      </c>
      <c r="M85" s="64">
        <v>97.55</v>
      </c>
      <c r="N85" s="64">
        <v>52.9</v>
      </c>
      <c r="O85" s="64">
        <v>0</v>
      </c>
      <c r="P85" s="64">
        <v>0.31</v>
      </c>
      <c r="Q85" s="64">
        <v>9.6199999999999992</v>
      </c>
      <c r="R85" s="198"/>
      <c r="S85" s="198"/>
      <c r="T85" s="198"/>
      <c r="U85" s="198"/>
    </row>
    <row r="86" spans="1:26" s="12" customFormat="1" x14ac:dyDescent="0.25">
      <c r="A86" s="212" t="s">
        <v>1092</v>
      </c>
      <c r="B86" s="64">
        <v>5.4</v>
      </c>
      <c r="C86" s="64">
        <v>13.44</v>
      </c>
      <c r="D86" s="64">
        <v>11.36</v>
      </c>
      <c r="E86" s="64">
        <v>4.05</v>
      </c>
      <c r="F86" s="64">
        <v>8.1300000000000008</v>
      </c>
      <c r="G86" s="64">
        <v>17.16</v>
      </c>
      <c r="H86" s="64">
        <v>3.44</v>
      </c>
      <c r="I86" s="64">
        <v>0.93</v>
      </c>
      <c r="J86" s="64">
        <v>0.06</v>
      </c>
      <c r="K86" s="64">
        <v>219.84</v>
      </c>
      <c r="L86" s="64">
        <v>26.81</v>
      </c>
      <c r="M86" s="64">
        <v>97.55</v>
      </c>
      <c r="N86" s="64">
        <v>52.8</v>
      </c>
      <c r="O86" s="64">
        <v>0</v>
      </c>
      <c r="P86" s="64">
        <v>0.33</v>
      </c>
      <c r="Q86" s="64">
        <v>9.6300000000000008</v>
      </c>
      <c r="R86" s="198"/>
      <c r="S86" s="198"/>
      <c r="T86" s="198"/>
      <c r="U86" s="198"/>
    </row>
    <row r="87" spans="1:26" s="12" customFormat="1" x14ac:dyDescent="0.25">
      <c r="A87" s="212" t="s">
        <v>1093</v>
      </c>
      <c r="B87" s="64">
        <v>6.43</v>
      </c>
      <c r="C87" s="64">
        <v>17.21</v>
      </c>
      <c r="D87" s="64">
        <v>14.15</v>
      </c>
      <c r="E87" s="64">
        <v>3.76</v>
      </c>
      <c r="F87" s="64">
        <v>6.22</v>
      </c>
      <c r="G87" s="64">
        <v>22.07</v>
      </c>
      <c r="H87" s="64">
        <v>4.78</v>
      </c>
      <c r="I87" s="64">
        <v>0.85</v>
      </c>
      <c r="J87" s="64">
        <v>0.21</v>
      </c>
      <c r="K87" s="64">
        <v>149.99</v>
      </c>
      <c r="L87" s="64">
        <v>26.75</v>
      </c>
      <c r="M87" s="64">
        <v>97.57</v>
      </c>
      <c r="N87" s="64">
        <v>52.6</v>
      </c>
      <c r="O87" s="64">
        <v>0</v>
      </c>
      <c r="P87" s="64">
        <v>0.37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12" t="s">
        <v>1094</v>
      </c>
      <c r="B88" s="64">
        <v>6.14</v>
      </c>
      <c r="C88" s="64">
        <v>15.36</v>
      </c>
      <c r="D88" s="64">
        <v>12.95</v>
      </c>
      <c r="E88" s="64">
        <v>3.9</v>
      </c>
      <c r="F88" s="64">
        <v>8.58</v>
      </c>
      <c r="G88" s="64">
        <v>22.42</v>
      </c>
      <c r="H88" s="64">
        <v>4.8899999999999997</v>
      </c>
      <c r="I88" s="64">
        <v>0.89</v>
      </c>
      <c r="J88" s="64">
        <v>0.52</v>
      </c>
      <c r="K88" s="64">
        <v>143.51</v>
      </c>
      <c r="L88" s="64">
        <v>26.79</v>
      </c>
      <c r="M88" s="64">
        <v>97.42</v>
      </c>
      <c r="N88" s="64">
        <v>52.3</v>
      </c>
      <c r="O88" s="64">
        <v>0</v>
      </c>
      <c r="P88" s="64">
        <v>0.36</v>
      </c>
      <c r="Q88" s="64">
        <v>9.6300000000000008</v>
      </c>
      <c r="R88" s="198"/>
      <c r="S88" s="198"/>
      <c r="T88" s="198"/>
      <c r="U88" s="198"/>
    </row>
    <row r="89" spans="1:26" s="12" customFormat="1" x14ac:dyDescent="0.25">
      <c r="A89" s="212" t="s">
        <v>1095</v>
      </c>
      <c r="B89" s="64">
        <v>5.78</v>
      </c>
      <c r="C89" s="64">
        <v>14.69</v>
      </c>
      <c r="D89" s="64">
        <v>12.31</v>
      </c>
      <c r="E89" s="64">
        <v>3.95</v>
      </c>
      <c r="F89" s="64">
        <v>8.9499999999999993</v>
      </c>
      <c r="G89" s="64">
        <v>22.42</v>
      </c>
      <c r="H89" s="64">
        <v>4.8899999999999997</v>
      </c>
      <c r="I89" s="64">
        <v>1</v>
      </c>
      <c r="J89" s="64">
        <v>0.15</v>
      </c>
      <c r="K89" s="64">
        <v>162.61000000000001</v>
      </c>
      <c r="L89" s="64">
        <v>26.75</v>
      </c>
      <c r="M89" s="64">
        <v>97.55</v>
      </c>
      <c r="N89" s="64">
        <v>52.8</v>
      </c>
      <c r="O89" s="64">
        <v>0</v>
      </c>
      <c r="P89" s="64">
        <v>0.39</v>
      </c>
      <c r="Q89" s="64">
        <v>9.6300000000000008</v>
      </c>
      <c r="R89" s="198"/>
      <c r="S89" s="198"/>
      <c r="T89" s="198"/>
      <c r="U89" s="198"/>
    </row>
    <row r="90" spans="1:26" s="12" customFormat="1" x14ac:dyDescent="0.25">
      <c r="A90" s="212" t="s">
        <v>1096</v>
      </c>
      <c r="B90" s="64">
        <v>10.19</v>
      </c>
      <c r="C90" s="64">
        <v>15.48</v>
      </c>
      <c r="D90" s="64">
        <v>16.260000000000002</v>
      </c>
      <c r="E90" s="64">
        <v>3.93</v>
      </c>
      <c r="F90" s="64">
        <v>6.52</v>
      </c>
      <c r="G90" s="64">
        <v>22.42</v>
      </c>
      <c r="H90" s="64">
        <v>4.8899999999999997</v>
      </c>
      <c r="I90" s="64">
        <v>1.03</v>
      </c>
      <c r="J90" s="64">
        <v>0.09</v>
      </c>
      <c r="K90" s="64">
        <v>355.28</v>
      </c>
      <c r="L90" s="64">
        <v>26.48</v>
      </c>
      <c r="M90" s="64">
        <v>97.61</v>
      </c>
      <c r="N90" s="64">
        <v>53.1</v>
      </c>
      <c r="O90" s="64">
        <v>0</v>
      </c>
      <c r="P90" s="64">
        <v>0.47</v>
      </c>
      <c r="Q90" s="64">
        <v>9.6300000000000008</v>
      </c>
      <c r="R90" s="198"/>
      <c r="S90" s="198"/>
      <c r="T90" s="198"/>
      <c r="U90" s="198"/>
    </row>
    <row r="91" spans="1:26" s="12" customFormat="1" x14ac:dyDescent="0.25">
      <c r="A91" s="212" t="s">
        <v>1097</v>
      </c>
      <c r="B91" s="64">
        <v>6.14</v>
      </c>
      <c r="C91" s="64">
        <v>15.08</v>
      </c>
      <c r="D91" s="64">
        <v>12.8</v>
      </c>
      <c r="E91" s="64">
        <v>4.09</v>
      </c>
      <c r="F91" s="64">
        <v>7.42</v>
      </c>
      <c r="G91" s="64">
        <v>24.13</v>
      </c>
      <c r="H91" s="64">
        <v>4.21</v>
      </c>
      <c r="I91" s="64">
        <v>1.01</v>
      </c>
      <c r="J91" s="64">
        <v>0.03</v>
      </c>
      <c r="K91" s="64">
        <v>37.72</v>
      </c>
      <c r="L91" s="64">
        <v>26.23</v>
      </c>
      <c r="M91" s="64">
        <v>97.63</v>
      </c>
      <c r="N91" s="64">
        <v>52.9</v>
      </c>
      <c r="O91" s="64">
        <v>0</v>
      </c>
      <c r="P91" s="64">
        <v>0.4</v>
      </c>
      <c r="Q91" s="64">
        <v>9.6300000000000008</v>
      </c>
      <c r="R91" s="198"/>
      <c r="S91" s="198"/>
      <c r="T91" s="198"/>
      <c r="U91" s="198"/>
    </row>
    <row r="92" spans="1:26" s="12" customFormat="1" x14ac:dyDescent="0.25">
      <c r="A92" s="212" t="s">
        <v>1098</v>
      </c>
      <c r="B92" s="64">
        <v>18.41</v>
      </c>
      <c r="C92" s="64">
        <v>16.34</v>
      </c>
      <c r="D92" s="64">
        <v>23.3</v>
      </c>
      <c r="E92" s="64">
        <v>3.98</v>
      </c>
      <c r="F92" s="64">
        <v>4.34</v>
      </c>
      <c r="G92" s="64">
        <v>24.25</v>
      </c>
      <c r="H92" s="64">
        <v>4.16</v>
      </c>
      <c r="I92" s="64">
        <v>0.92</v>
      </c>
      <c r="J92" s="64">
        <v>0.05</v>
      </c>
      <c r="K92" s="64">
        <v>180.84</v>
      </c>
      <c r="L92" s="64">
        <v>26.24</v>
      </c>
      <c r="M92" s="64">
        <v>97.63</v>
      </c>
      <c r="N92" s="64">
        <v>52.7</v>
      </c>
      <c r="O92" s="64">
        <v>0</v>
      </c>
      <c r="P92" s="64">
        <v>0.43</v>
      </c>
      <c r="Q92" s="64">
        <v>9.64</v>
      </c>
      <c r="R92" s="198"/>
      <c r="S92" s="198"/>
      <c r="T92" s="198"/>
      <c r="U92" s="198"/>
    </row>
    <row r="93" spans="1:26" s="12" customFormat="1" x14ac:dyDescent="0.25">
      <c r="A93" s="212" t="s">
        <v>1099</v>
      </c>
      <c r="B93" s="64">
        <v>9.2899999999999991</v>
      </c>
      <c r="C93" s="64">
        <v>14.96</v>
      </c>
      <c r="D93" s="64">
        <v>15.27</v>
      </c>
      <c r="E93" s="64">
        <v>3.95</v>
      </c>
      <c r="F93" s="64">
        <v>5.04</v>
      </c>
      <c r="G93" s="64">
        <v>24.25</v>
      </c>
      <c r="H93" s="64">
        <v>4.16</v>
      </c>
      <c r="I93" s="64">
        <v>0.93</v>
      </c>
      <c r="J93" s="64">
        <v>0.32</v>
      </c>
      <c r="K93" s="64">
        <v>141.47</v>
      </c>
      <c r="L93" s="64">
        <v>26.2</v>
      </c>
      <c r="M93" s="64">
        <v>97.66</v>
      </c>
      <c r="N93" s="64">
        <v>52.5</v>
      </c>
      <c r="O93" s="64">
        <v>0</v>
      </c>
      <c r="P93" s="64">
        <v>0.4</v>
      </c>
      <c r="Q93" s="64">
        <v>9.61</v>
      </c>
      <c r="R93" s="198"/>
      <c r="S93" s="198"/>
      <c r="T93" s="198"/>
      <c r="U93" s="198"/>
    </row>
    <row r="94" spans="1:26" s="12" customFormat="1" x14ac:dyDescent="0.25">
      <c r="A94" s="212" t="s">
        <v>1100</v>
      </c>
      <c r="B94" s="64">
        <v>10.62</v>
      </c>
      <c r="C94" s="64">
        <v>14.53</v>
      </c>
      <c r="D94" s="64">
        <v>16.11</v>
      </c>
      <c r="E94" s="64">
        <v>3.9</v>
      </c>
      <c r="F94" s="64">
        <v>4.71</v>
      </c>
      <c r="G94" s="64">
        <v>24.25</v>
      </c>
      <c r="H94" s="64">
        <v>4.16</v>
      </c>
      <c r="I94" s="64">
        <v>0.95</v>
      </c>
      <c r="J94" s="64">
        <v>0.6</v>
      </c>
      <c r="K94" s="64">
        <v>140.31</v>
      </c>
      <c r="L94" s="64">
        <v>26.16</v>
      </c>
      <c r="M94" s="64">
        <v>97.67</v>
      </c>
      <c r="N94" s="64">
        <v>52.5</v>
      </c>
      <c r="O94" s="64">
        <v>0</v>
      </c>
      <c r="P94" s="64">
        <v>0.39</v>
      </c>
      <c r="Q94" s="64">
        <v>9.6300000000000008</v>
      </c>
      <c r="R94" s="198"/>
      <c r="S94" s="198"/>
      <c r="T94" s="198"/>
      <c r="U94" s="198"/>
    </row>
    <row r="95" spans="1:26" s="12" customFormat="1" x14ac:dyDescent="0.25">
      <c r="A95" s="212" t="s">
        <v>1101</v>
      </c>
      <c r="B95" s="64">
        <v>7.98</v>
      </c>
      <c r="C95" s="64">
        <v>10.74</v>
      </c>
      <c r="D95" s="64">
        <v>12.01</v>
      </c>
      <c r="E95" s="64">
        <v>4.08</v>
      </c>
      <c r="F95" s="64">
        <v>5.64</v>
      </c>
      <c r="G95" s="64">
        <v>27.79</v>
      </c>
      <c r="H95" s="64">
        <v>4.6900000000000004</v>
      </c>
      <c r="I95" s="64">
        <v>0.96</v>
      </c>
      <c r="J95" s="64">
        <v>0.64</v>
      </c>
      <c r="K95" s="64">
        <v>140.41</v>
      </c>
      <c r="L95" s="64">
        <v>26.05</v>
      </c>
      <c r="M95" s="64">
        <v>97.67</v>
      </c>
      <c r="N95" s="64">
        <v>52.8</v>
      </c>
      <c r="O95" s="64">
        <v>0</v>
      </c>
      <c r="P95" s="64">
        <v>0.37</v>
      </c>
      <c r="Q95" s="64">
        <v>9.64</v>
      </c>
      <c r="R95" s="198"/>
      <c r="S95" s="198"/>
      <c r="T95" s="198"/>
      <c r="U95" s="198"/>
    </row>
    <row r="96" spans="1:26" s="12" customFormat="1" x14ac:dyDescent="0.25">
      <c r="A96" s="212" t="s">
        <v>1102</v>
      </c>
      <c r="B96" s="64">
        <v>7.55</v>
      </c>
      <c r="C96" s="64">
        <v>9.0500000000000007</v>
      </c>
      <c r="D96" s="64">
        <v>10.78</v>
      </c>
      <c r="E96" s="64">
        <v>3.85</v>
      </c>
      <c r="F96" s="64">
        <v>5.7</v>
      </c>
      <c r="G96" s="64">
        <v>28.05</v>
      </c>
      <c r="H96" s="64">
        <v>4.74</v>
      </c>
      <c r="I96" s="64">
        <v>0.98</v>
      </c>
      <c r="J96" s="64">
        <v>0.95</v>
      </c>
      <c r="K96" s="64">
        <v>137.44999999999999</v>
      </c>
      <c r="L96" s="64">
        <v>25.81</v>
      </c>
      <c r="M96" s="64">
        <v>97.7</v>
      </c>
      <c r="N96" s="64">
        <v>53.1</v>
      </c>
      <c r="O96" s="64">
        <v>0</v>
      </c>
      <c r="P96" s="64">
        <v>0.32</v>
      </c>
      <c r="Q96" s="64">
        <v>9.6199999999999992</v>
      </c>
      <c r="R96" s="198"/>
      <c r="S96" s="198"/>
      <c r="T96" s="198"/>
      <c r="U96" s="198"/>
      <c r="Z96" s="109"/>
    </row>
    <row r="97" spans="1:33" s="12" customFormat="1" x14ac:dyDescent="0.25">
      <c r="A97" s="212" t="s">
        <v>1103</v>
      </c>
      <c r="B97" s="64">
        <v>6.39</v>
      </c>
      <c r="C97" s="64">
        <v>12.74</v>
      </c>
      <c r="D97" s="64">
        <v>11.78</v>
      </c>
      <c r="E97" s="64">
        <v>3.67</v>
      </c>
      <c r="F97" s="64">
        <v>6.8</v>
      </c>
      <c r="G97" s="64">
        <v>28.05</v>
      </c>
      <c r="H97" s="64">
        <v>4.74</v>
      </c>
      <c r="I97" s="64">
        <v>0.99</v>
      </c>
      <c r="J97" s="64">
        <v>0.24</v>
      </c>
      <c r="K97" s="64">
        <v>138.96</v>
      </c>
      <c r="L97" s="64">
        <v>25.61</v>
      </c>
      <c r="M97" s="64">
        <v>97.7</v>
      </c>
      <c r="N97" s="64">
        <v>53.1</v>
      </c>
      <c r="O97" s="64">
        <v>0</v>
      </c>
      <c r="P97" s="64">
        <v>0.26</v>
      </c>
      <c r="Q97" s="64">
        <v>9.64</v>
      </c>
      <c r="R97" s="198"/>
      <c r="S97" s="198"/>
      <c r="T97" s="198"/>
      <c r="U97" s="198"/>
    </row>
    <row r="98" spans="1:33" s="12" customFormat="1" x14ac:dyDescent="0.25">
      <c r="A98" s="212" t="s">
        <v>1104</v>
      </c>
      <c r="B98" s="64">
        <v>7.43</v>
      </c>
      <c r="C98" s="64">
        <v>9.6199999999999992</v>
      </c>
      <c r="D98" s="64">
        <v>10.99</v>
      </c>
      <c r="E98" s="64">
        <v>3.75</v>
      </c>
      <c r="F98" s="64">
        <v>5.66</v>
      </c>
      <c r="G98" s="64">
        <v>28.05</v>
      </c>
      <c r="H98" s="64">
        <v>4.74</v>
      </c>
      <c r="I98" s="64">
        <v>1</v>
      </c>
      <c r="J98" s="64">
        <v>0.21</v>
      </c>
      <c r="K98" s="64">
        <v>137.51</v>
      </c>
      <c r="L98" s="64">
        <v>25.52</v>
      </c>
      <c r="M98" s="64">
        <v>97.7</v>
      </c>
      <c r="N98" s="64">
        <v>53.1</v>
      </c>
      <c r="O98" s="64">
        <v>0</v>
      </c>
      <c r="P98" s="64">
        <v>0.31</v>
      </c>
      <c r="Q98" s="64">
        <v>9.65</v>
      </c>
      <c r="R98" s="198"/>
      <c r="S98" s="198"/>
      <c r="T98" s="198"/>
      <c r="U98" s="198"/>
    </row>
    <row r="99" spans="1:33" s="12" customFormat="1" x14ac:dyDescent="0.25">
      <c r="A99" s="212" t="s">
        <v>1105</v>
      </c>
      <c r="B99" s="64">
        <v>7.75</v>
      </c>
      <c r="C99" s="64">
        <v>9.33</v>
      </c>
      <c r="D99" s="64">
        <v>11.09</v>
      </c>
      <c r="E99" s="64">
        <v>3.7</v>
      </c>
      <c r="F99" s="64">
        <v>6.01</v>
      </c>
      <c r="G99" s="64">
        <v>25.47</v>
      </c>
      <c r="H99" s="64">
        <v>3.58</v>
      </c>
      <c r="I99" s="64">
        <v>1.01</v>
      </c>
      <c r="J99" s="64">
        <v>0.33</v>
      </c>
      <c r="K99" s="64">
        <v>148.6</v>
      </c>
      <c r="L99" s="64">
        <v>25.4</v>
      </c>
      <c r="M99" s="64">
        <v>97.7</v>
      </c>
      <c r="N99" s="64">
        <v>53.1</v>
      </c>
      <c r="O99" s="64">
        <v>0</v>
      </c>
      <c r="P99" s="64">
        <v>0.3</v>
      </c>
      <c r="Q99" s="64">
        <v>9.61</v>
      </c>
      <c r="R99" s="198"/>
      <c r="S99" s="198"/>
      <c r="T99" s="198"/>
      <c r="U99" s="198"/>
    </row>
    <row r="100" spans="1:33" s="12" customFormat="1" x14ac:dyDescent="0.25">
      <c r="A100" s="212" t="s">
        <v>1106</v>
      </c>
      <c r="B100" s="64">
        <v>7.84</v>
      </c>
      <c r="C100" s="64">
        <v>10.07</v>
      </c>
      <c r="D100" s="64">
        <v>11.54</v>
      </c>
      <c r="E100" s="64">
        <v>3.86</v>
      </c>
      <c r="F100" s="64">
        <v>7.87</v>
      </c>
      <c r="G100" s="64">
        <v>25.29</v>
      </c>
      <c r="H100" s="64">
        <v>3.48</v>
      </c>
      <c r="I100" s="64">
        <v>1.01</v>
      </c>
      <c r="J100" s="64">
        <v>0.31</v>
      </c>
      <c r="K100" s="64">
        <v>142.01</v>
      </c>
      <c r="L100" s="64">
        <v>25.28</v>
      </c>
      <c r="M100" s="64">
        <v>97.7</v>
      </c>
      <c r="N100" s="64">
        <v>53.1</v>
      </c>
      <c r="O100" s="64">
        <v>0</v>
      </c>
      <c r="P100" s="64">
        <v>0.27</v>
      </c>
      <c r="Q100" s="64">
        <v>9.64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2" t="s">
        <v>1107</v>
      </c>
      <c r="B101" s="64">
        <v>7.7</v>
      </c>
      <c r="C101" s="64">
        <v>9.73</v>
      </c>
      <c r="D101" s="64">
        <v>11.26</v>
      </c>
      <c r="E101" s="64">
        <v>3.76</v>
      </c>
      <c r="F101" s="64">
        <v>7.34</v>
      </c>
      <c r="G101" s="64">
        <v>25.29</v>
      </c>
      <c r="H101" s="64">
        <v>3.48</v>
      </c>
      <c r="I101" s="64">
        <v>1.01</v>
      </c>
      <c r="J101" s="64">
        <v>0.17</v>
      </c>
      <c r="K101" s="64">
        <v>136.77000000000001</v>
      </c>
      <c r="L101" s="64">
        <v>25.15</v>
      </c>
      <c r="M101" s="64">
        <v>97.71</v>
      </c>
      <c r="N101" s="64">
        <v>53</v>
      </c>
      <c r="O101" s="64">
        <v>0</v>
      </c>
      <c r="P101" s="64">
        <v>0.26</v>
      </c>
      <c r="Q101" s="64">
        <v>9.64</v>
      </c>
      <c r="R101" s="198"/>
      <c r="S101" s="198"/>
      <c r="T101" s="198"/>
      <c r="U101" s="198"/>
    </row>
    <row r="102" spans="1:33" s="12" customFormat="1" x14ac:dyDescent="0.25">
      <c r="A102" s="212" t="s">
        <v>1108</v>
      </c>
      <c r="B102" s="64">
        <v>5.96</v>
      </c>
      <c r="C102" s="64">
        <v>8.11</v>
      </c>
      <c r="D102" s="64">
        <v>9.02</v>
      </c>
      <c r="E102" s="64">
        <v>3.82</v>
      </c>
      <c r="F102" s="64">
        <v>7.65</v>
      </c>
      <c r="G102" s="64">
        <v>25.29</v>
      </c>
      <c r="H102" s="64">
        <v>3.48</v>
      </c>
      <c r="I102" s="64">
        <v>1</v>
      </c>
      <c r="J102" s="64">
        <v>0.04</v>
      </c>
      <c r="K102" s="64">
        <v>157.68</v>
      </c>
      <c r="L102" s="64">
        <v>25.12</v>
      </c>
      <c r="M102" s="64">
        <v>97.73</v>
      </c>
      <c r="N102" s="64">
        <v>52.9</v>
      </c>
      <c r="O102" s="64">
        <v>0</v>
      </c>
      <c r="P102" s="64">
        <v>0.26</v>
      </c>
      <c r="Q102" s="64">
        <v>9.65</v>
      </c>
      <c r="R102" s="198"/>
      <c r="S102" s="198"/>
      <c r="T102" s="198"/>
      <c r="U102" s="198"/>
    </row>
    <row r="103" spans="1:33" s="12" customFormat="1" x14ac:dyDescent="0.25">
      <c r="A103" s="212" t="s">
        <v>1109</v>
      </c>
      <c r="B103" s="64">
        <v>5.96</v>
      </c>
      <c r="C103" s="64">
        <v>7.63</v>
      </c>
      <c r="D103" s="64">
        <v>8.77</v>
      </c>
      <c r="E103" s="64">
        <v>3.98</v>
      </c>
      <c r="F103" s="64">
        <v>6.9</v>
      </c>
      <c r="G103" s="64">
        <v>21</v>
      </c>
      <c r="H103" s="64">
        <v>6.51</v>
      </c>
      <c r="I103" s="64">
        <v>1</v>
      </c>
      <c r="J103" s="64">
        <v>0.17</v>
      </c>
      <c r="K103" s="64">
        <v>148.72</v>
      </c>
      <c r="L103" s="64">
        <v>25.07</v>
      </c>
      <c r="M103" s="64">
        <v>97.73</v>
      </c>
      <c r="N103" s="64">
        <v>52.8</v>
      </c>
      <c r="O103" s="64">
        <v>0</v>
      </c>
      <c r="P103" s="64">
        <v>0.25</v>
      </c>
      <c r="Q103" s="64">
        <v>9.6300000000000008</v>
      </c>
      <c r="R103" s="198"/>
      <c r="S103" s="198"/>
      <c r="T103" s="198"/>
      <c r="U103" s="198"/>
    </row>
    <row r="104" spans="1:33" s="12" customFormat="1" x14ac:dyDescent="0.25">
      <c r="A104" s="212" t="s">
        <v>1110</v>
      </c>
      <c r="B104" s="64">
        <v>6.09</v>
      </c>
      <c r="C104" s="64">
        <v>8.0399999999999991</v>
      </c>
      <c r="D104" s="64">
        <v>9.08</v>
      </c>
      <c r="E104" s="64">
        <v>4.41</v>
      </c>
      <c r="F104" s="64">
        <v>6.91</v>
      </c>
      <c r="G104" s="64">
        <v>20.64</v>
      </c>
      <c r="H104" s="64">
        <v>6.72</v>
      </c>
      <c r="I104" s="64">
        <v>0.98</v>
      </c>
      <c r="J104" s="64">
        <v>0.1</v>
      </c>
      <c r="K104" s="64">
        <v>178.48</v>
      </c>
      <c r="L104" s="64">
        <v>25.03</v>
      </c>
      <c r="M104" s="64">
        <v>97.72</v>
      </c>
      <c r="N104" s="64">
        <v>52.8</v>
      </c>
      <c r="O104" s="64">
        <v>0</v>
      </c>
      <c r="P104" s="64">
        <v>0.25</v>
      </c>
      <c r="Q104" s="64">
        <v>9.6300000000000008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5.4</v>
      </c>
      <c r="C106" s="67">
        <f>MIN(C9:C104)</f>
        <v>5.96</v>
      </c>
      <c r="D106" s="67">
        <f t="shared" ref="D106:Q106" si="0">MIN(D9:D104)</f>
        <v>8.2200000000000006</v>
      </c>
      <c r="E106" s="67">
        <f t="shared" si="0"/>
        <v>3.45</v>
      </c>
      <c r="F106" s="67">
        <f t="shared" si="0"/>
        <v>2.2000000000000002</v>
      </c>
      <c r="G106" s="67">
        <f t="shared" si="0"/>
        <v>12.21</v>
      </c>
      <c r="H106" s="67">
        <f t="shared" si="0"/>
        <v>2.08</v>
      </c>
      <c r="I106" s="67">
        <f t="shared" si="0"/>
        <v>0.81</v>
      </c>
      <c r="J106" s="67">
        <f t="shared" si="0"/>
        <v>0</v>
      </c>
      <c r="K106" s="67">
        <f t="shared" si="0"/>
        <v>28.14</v>
      </c>
      <c r="L106" s="67">
        <f t="shared" si="0"/>
        <v>22.77</v>
      </c>
      <c r="M106" s="67">
        <f t="shared" si="0"/>
        <v>56.16</v>
      </c>
      <c r="N106" s="67">
        <f t="shared" si="0"/>
        <v>52.3</v>
      </c>
      <c r="O106" s="67">
        <f t="shared" si="0"/>
        <v>0</v>
      </c>
      <c r="P106" s="67">
        <f t="shared" si="0"/>
        <v>0.18</v>
      </c>
      <c r="Q106" s="67">
        <f t="shared" si="0"/>
        <v>9.57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18.41</v>
      </c>
      <c r="C107" s="66">
        <f t="shared" ref="C107:Q107" si="1">MAX(C9:C104)</f>
        <v>17.21</v>
      </c>
      <c r="D107" s="66">
        <f t="shared" si="1"/>
        <v>23.3</v>
      </c>
      <c r="E107" s="66">
        <f t="shared" si="1"/>
        <v>5.31</v>
      </c>
      <c r="F107" s="66">
        <f t="shared" si="1"/>
        <v>10.69</v>
      </c>
      <c r="G107" s="66">
        <f t="shared" si="1"/>
        <v>28.05</v>
      </c>
      <c r="H107" s="66">
        <f t="shared" si="1"/>
        <v>6.95</v>
      </c>
      <c r="I107" s="66">
        <f t="shared" si="1"/>
        <v>1.42</v>
      </c>
      <c r="J107" s="66">
        <f t="shared" si="1"/>
        <v>1.53</v>
      </c>
      <c r="K107" s="66">
        <f t="shared" si="1"/>
        <v>355.28</v>
      </c>
      <c r="L107" s="66">
        <f t="shared" si="1"/>
        <v>32.049999999999997</v>
      </c>
      <c r="M107" s="66">
        <f t="shared" si="1"/>
        <v>97.83</v>
      </c>
      <c r="N107" s="66">
        <f t="shared" si="1"/>
        <v>1121.2</v>
      </c>
      <c r="O107" s="66">
        <f t="shared" si="1"/>
        <v>0.2</v>
      </c>
      <c r="P107" s="66">
        <f t="shared" si="1"/>
        <v>0.47</v>
      </c>
      <c r="Q107" s="66">
        <f t="shared" si="1"/>
        <v>9.66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7.9954166666666646</v>
      </c>
      <c r="C108" s="67">
        <f t="shared" ref="C108:Q108" si="2">AVERAGE(C9:C104)</f>
        <v>10.021041666666672</v>
      </c>
      <c r="D108" s="67">
        <f t="shared" si="2"/>
        <v>11.643229166666659</v>
      </c>
      <c r="E108" s="67">
        <f t="shared" si="2"/>
        <v>4.4198958333333334</v>
      </c>
      <c r="F108" s="67">
        <f t="shared" si="2"/>
        <v>6.2582291666666636</v>
      </c>
      <c r="G108" s="67">
        <f t="shared" si="2"/>
        <v>19.086041666666674</v>
      </c>
      <c r="H108" s="67">
        <f t="shared" si="2"/>
        <v>4.0479166666666666</v>
      </c>
      <c r="I108" s="67">
        <f t="shared" si="2"/>
        <v>1.0429166666666672</v>
      </c>
      <c r="J108" s="67">
        <f t="shared" si="2"/>
        <v>0.22187500000000002</v>
      </c>
      <c r="K108" s="67">
        <f t="shared" si="2"/>
        <v>189.52781249999998</v>
      </c>
      <c r="L108" s="67">
        <f t="shared" si="2"/>
        <v>26.513437499999998</v>
      </c>
      <c r="M108" s="67">
        <f t="shared" si="2"/>
        <v>90.336249999999964</v>
      </c>
      <c r="N108" s="67">
        <f t="shared" si="2"/>
        <v>256.71041666666673</v>
      </c>
      <c r="O108" s="67">
        <f t="shared" si="2"/>
        <v>2.0833333333333333E-3</v>
      </c>
      <c r="P108" s="67">
        <f t="shared" si="2"/>
        <v>0.29249999999999998</v>
      </c>
      <c r="Q108" s="67">
        <f t="shared" si="2"/>
        <v>9.6300000000000026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1.8397711051373373</v>
      </c>
      <c r="C109" s="67">
        <f t="shared" ref="C109:Q109" si="3">STDEV(C9:C104)</f>
        <v>2.8431292912329118</v>
      </c>
      <c r="D109" s="67">
        <f t="shared" si="3"/>
        <v>2.1275330387894211</v>
      </c>
      <c r="E109" s="67">
        <f t="shared" si="3"/>
        <v>0.47543330882505552</v>
      </c>
      <c r="F109" s="67">
        <f t="shared" si="3"/>
        <v>1.9834265909447473</v>
      </c>
      <c r="G109" s="67">
        <f t="shared" si="3"/>
        <v>3.9688429917272212</v>
      </c>
      <c r="H109" s="67">
        <f t="shared" si="3"/>
        <v>1.258745337453691</v>
      </c>
      <c r="I109" s="67">
        <f t="shared" si="3"/>
        <v>0.14500756181128813</v>
      </c>
      <c r="J109" s="67">
        <f t="shared" si="3"/>
        <v>0.25569435907574867</v>
      </c>
      <c r="K109" s="67">
        <f t="shared" si="3"/>
        <v>71.573780044799435</v>
      </c>
      <c r="L109" s="67">
        <f t="shared" si="3"/>
        <v>2.912845173808428</v>
      </c>
      <c r="M109" s="67">
        <f t="shared" si="3"/>
        <v>11.290947864737467</v>
      </c>
      <c r="N109" s="67">
        <f t="shared" si="3"/>
        <v>321.00223002313311</v>
      </c>
      <c r="O109" s="67">
        <f t="shared" si="3"/>
        <v>2.0412414523193152E-2</v>
      </c>
      <c r="P109" s="67">
        <f t="shared" si="3"/>
        <v>5.6717211719752199E-2</v>
      </c>
      <c r="Q109" s="67">
        <f t="shared" si="3"/>
        <v>2.072374686707348E-2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216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M114" sqref="M11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10/08/2025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2" t="s">
        <v>1111</v>
      </c>
      <c r="B9" s="64">
        <v>6.02</v>
      </c>
      <c r="C9" s="64">
        <v>7.1</v>
      </c>
      <c r="D9" s="64">
        <v>8.5399999999999991</v>
      </c>
      <c r="E9" s="64">
        <v>4.4000000000000004</v>
      </c>
      <c r="F9" s="64">
        <v>7.41</v>
      </c>
      <c r="G9" s="64">
        <v>20.64</v>
      </c>
      <c r="H9" s="64">
        <v>6.72</v>
      </c>
      <c r="I9" s="64">
        <v>1</v>
      </c>
      <c r="J9" s="64">
        <v>0.04</v>
      </c>
      <c r="K9" s="64">
        <v>166.96</v>
      </c>
      <c r="L9" s="64">
        <v>24.94</v>
      </c>
      <c r="M9" s="64">
        <v>97.73</v>
      </c>
      <c r="N9" s="64">
        <v>52.8</v>
      </c>
      <c r="O9" s="64">
        <v>0</v>
      </c>
      <c r="P9" s="64">
        <v>0.25</v>
      </c>
      <c r="Q9" s="64">
        <v>9.65</v>
      </c>
      <c r="R9" s="198"/>
      <c r="S9" s="198"/>
      <c r="T9" s="198"/>
      <c r="U9" s="198"/>
    </row>
    <row r="10" spans="1:21" s="12" customFormat="1" x14ac:dyDescent="0.25">
      <c r="A10" s="212" t="s">
        <v>1112</v>
      </c>
      <c r="B10" s="64">
        <v>6.59</v>
      </c>
      <c r="C10" s="64">
        <v>6.99</v>
      </c>
      <c r="D10" s="64">
        <v>8.94</v>
      </c>
      <c r="E10" s="64">
        <v>4.5199999999999996</v>
      </c>
      <c r="F10" s="64">
        <v>8.2100000000000009</v>
      </c>
      <c r="G10" s="64">
        <v>20.64</v>
      </c>
      <c r="H10" s="64">
        <v>6.72</v>
      </c>
      <c r="I10" s="64">
        <v>1</v>
      </c>
      <c r="J10" s="64">
        <v>0.09</v>
      </c>
      <c r="K10" s="64">
        <v>316.08999999999997</v>
      </c>
      <c r="L10" s="64">
        <v>24.95</v>
      </c>
      <c r="M10" s="64">
        <v>97.72</v>
      </c>
      <c r="N10" s="64">
        <v>52.7</v>
      </c>
      <c r="O10" s="64">
        <v>0</v>
      </c>
      <c r="P10" s="64">
        <v>0.26</v>
      </c>
      <c r="Q10" s="64">
        <v>9.64</v>
      </c>
      <c r="R10" s="198"/>
      <c r="S10" s="198"/>
      <c r="T10" s="198"/>
      <c r="U10" s="198"/>
    </row>
    <row r="11" spans="1:21" s="12" customFormat="1" x14ac:dyDescent="0.25">
      <c r="A11" s="212" t="s">
        <v>1113</v>
      </c>
      <c r="B11" s="64">
        <v>7.15</v>
      </c>
      <c r="C11" s="64">
        <v>6.73</v>
      </c>
      <c r="D11" s="64">
        <v>9.25</v>
      </c>
      <c r="E11" s="64">
        <v>4.3499999999999996</v>
      </c>
      <c r="F11" s="64">
        <v>6.88</v>
      </c>
      <c r="G11" s="64">
        <v>19.95</v>
      </c>
      <c r="H11" s="64">
        <v>5.77</v>
      </c>
      <c r="I11" s="64">
        <v>1.04</v>
      </c>
      <c r="J11" s="64">
        <v>0.08</v>
      </c>
      <c r="K11" s="64">
        <v>335.64</v>
      </c>
      <c r="L11" s="64">
        <v>24.94</v>
      </c>
      <c r="M11" s="64">
        <v>97.66</v>
      </c>
      <c r="N11" s="64">
        <v>52.8</v>
      </c>
      <c r="O11" s="64">
        <v>0</v>
      </c>
      <c r="P11" s="64">
        <v>0.27</v>
      </c>
      <c r="Q11" s="64">
        <v>9.65</v>
      </c>
      <c r="R11" s="198"/>
      <c r="S11" s="198"/>
      <c r="T11" s="198"/>
      <c r="U11" s="198"/>
    </row>
    <row r="12" spans="1:21" s="12" customFormat="1" x14ac:dyDescent="0.25">
      <c r="A12" s="212" t="s">
        <v>1114</v>
      </c>
      <c r="B12" s="64">
        <v>8.23</v>
      </c>
      <c r="C12" s="64">
        <v>6.63</v>
      </c>
      <c r="D12" s="64">
        <v>10.07</v>
      </c>
      <c r="E12" s="64">
        <v>4.3</v>
      </c>
      <c r="F12" s="64">
        <v>6.31</v>
      </c>
      <c r="G12" s="64">
        <v>19.899999999999999</v>
      </c>
      <c r="H12" s="64">
        <v>5.7</v>
      </c>
      <c r="I12" s="64">
        <v>1.08</v>
      </c>
      <c r="J12" s="64">
        <v>0.09</v>
      </c>
      <c r="K12" s="64">
        <v>326.14</v>
      </c>
      <c r="L12" s="64">
        <v>24.93</v>
      </c>
      <c r="M12" s="64">
        <v>97.1</v>
      </c>
      <c r="N12" s="64">
        <v>52.8</v>
      </c>
      <c r="O12" s="64">
        <v>0</v>
      </c>
      <c r="P12" s="64">
        <v>0.26</v>
      </c>
      <c r="Q12" s="64">
        <v>9.65</v>
      </c>
      <c r="R12" s="198"/>
      <c r="S12" s="198"/>
      <c r="T12" s="198"/>
      <c r="U12" s="198"/>
    </row>
    <row r="13" spans="1:21" s="12" customFormat="1" x14ac:dyDescent="0.25">
      <c r="A13" s="212" t="s">
        <v>1115</v>
      </c>
      <c r="B13" s="64">
        <v>6.64</v>
      </c>
      <c r="C13" s="64">
        <v>7.47</v>
      </c>
      <c r="D13" s="64">
        <v>9.23</v>
      </c>
      <c r="E13" s="64">
        <v>4.6100000000000003</v>
      </c>
      <c r="F13" s="64">
        <v>9.16</v>
      </c>
      <c r="G13" s="64">
        <v>19.899999999999999</v>
      </c>
      <c r="H13" s="64">
        <v>5.7</v>
      </c>
      <c r="I13" s="64">
        <v>0.96</v>
      </c>
      <c r="J13" s="64">
        <v>0.08</v>
      </c>
      <c r="K13" s="64">
        <v>307.62</v>
      </c>
      <c r="L13" s="64">
        <v>24.72</v>
      </c>
      <c r="M13" s="64">
        <v>97.46</v>
      </c>
      <c r="N13" s="64">
        <v>52.8</v>
      </c>
      <c r="O13" s="64">
        <v>0</v>
      </c>
      <c r="P13" s="64">
        <v>0.19</v>
      </c>
      <c r="Q13" s="64">
        <v>9.66</v>
      </c>
      <c r="R13" s="198"/>
      <c r="S13" s="198"/>
      <c r="T13" s="198"/>
      <c r="U13" s="198"/>
    </row>
    <row r="14" spans="1:21" s="12" customFormat="1" x14ac:dyDescent="0.25">
      <c r="A14" s="212" t="s">
        <v>1116</v>
      </c>
      <c r="B14" s="64">
        <v>7.68</v>
      </c>
      <c r="C14" s="64">
        <v>6.62</v>
      </c>
      <c r="D14" s="64">
        <v>9.6199999999999992</v>
      </c>
      <c r="E14" s="64">
        <v>4.1500000000000004</v>
      </c>
      <c r="F14" s="64">
        <v>6.5</v>
      </c>
      <c r="G14" s="64">
        <v>19.899999999999999</v>
      </c>
      <c r="H14" s="64">
        <v>5.7</v>
      </c>
      <c r="I14" s="64">
        <v>0.93</v>
      </c>
      <c r="J14" s="64">
        <v>7.0000000000000007E-2</v>
      </c>
      <c r="K14" s="64">
        <v>334.16</v>
      </c>
      <c r="L14" s="64">
        <v>24.61</v>
      </c>
      <c r="M14" s="64">
        <v>97.28</v>
      </c>
      <c r="N14" s="64">
        <v>52.8</v>
      </c>
      <c r="O14" s="64">
        <v>0</v>
      </c>
      <c r="P14" s="64">
        <v>0.27</v>
      </c>
      <c r="Q14" s="64">
        <v>9.64</v>
      </c>
      <c r="R14" s="198"/>
      <c r="S14" s="198"/>
      <c r="T14" s="198"/>
      <c r="U14" s="198"/>
    </row>
    <row r="15" spans="1:21" s="12" customFormat="1" x14ac:dyDescent="0.25">
      <c r="A15" s="212" t="s">
        <v>1117</v>
      </c>
      <c r="B15" s="64">
        <v>6.49</v>
      </c>
      <c r="C15" s="64">
        <v>6.95</v>
      </c>
      <c r="D15" s="64">
        <v>8.83</v>
      </c>
      <c r="E15" s="64">
        <v>4.33</v>
      </c>
      <c r="F15" s="64">
        <v>9.66</v>
      </c>
      <c r="G15" s="64">
        <v>17.41</v>
      </c>
      <c r="H15" s="64">
        <v>5.39</v>
      </c>
      <c r="I15" s="64">
        <v>0.91</v>
      </c>
      <c r="J15" s="64">
        <v>7.0000000000000007E-2</v>
      </c>
      <c r="K15" s="64">
        <v>331.6</v>
      </c>
      <c r="L15" s="64">
        <v>24.57</v>
      </c>
      <c r="M15" s="64">
        <v>97.13</v>
      </c>
      <c r="N15" s="64">
        <v>52.8</v>
      </c>
      <c r="O15" s="64">
        <v>0</v>
      </c>
      <c r="P15" s="64">
        <v>0.22</v>
      </c>
      <c r="Q15" s="64">
        <v>9.6300000000000008</v>
      </c>
      <c r="R15" s="198"/>
      <c r="S15" s="198"/>
      <c r="T15" s="198"/>
      <c r="U15" s="198"/>
    </row>
    <row r="16" spans="1:21" s="12" customFormat="1" x14ac:dyDescent="0.25">
      <c r="A16" s="212" t="s">
        <v>1118</v>
      </c>
      <c r="B16" s="64">
        <v>6.46</v>
      </c>
      <c r="C16" s="64">
        <v>6.91</v>
      </c>
      <c r="D16" s="64">
        <v>8.7899999999999991</v>
      </c>
      <c r="E16" s="64">
        <v>4.38</v>
      </c>
      <c r="F16" s="64">
        <v>8.2100000000000009</v>
      </c>
      <c r="G16" s="64">
        <v>17.2</v>
      </c>
      <c r="H16" s="64">
        <v>5.36</v>
      </c>
      <c r="I16" s="64">
        <v>0.89</v>
      </c>
      <c r="J16" s="64">
        <v>0.06</v>
      </c>
      <c r="K16" s="64">
        <v>301.24</v>
      </c>
      <c r="L16" s="64">
        <v>24.59</v>
      </c>
      <c r="M16" s="64">
        <v>97.14</v>
      </c>
      <c r="N16" s="64">
        <v>53</v>
      </c>
      <c r="O16" s="64">
        <v>0</v>
      </c>
      <c r="P16" s="64">
        <v>0.23</v>
      </c>
      <c r="Q16" s="64">
        <v>9.64</v>
      </c>
      <c r="R16" s="198"/>
      <c r="S16" s="198"/>
      <c r="T16" s="198"/>
      <c r="U16" s="198"/>
    </row>
    <row r="17" spans="1:21" s="12" customFormat="1" x14ac:dyDescent="0.25">
      <c r="A17" s="212" t="s">
        <v>1119</v>
      </c>
      <c r="B17" s="64">
        <v>6.07</v>
      </c>
      <c r="C17" s="64">
        <v>6.84</v>
      </c>
      <c r="D17" s="64">
        <v>8.44</v>
      </c>
      <c r="E17" s="64">
        <v>4.3099999999999996</v>
      </c>
      <c r="F17" s="64">
        <v>9.42</v>
      </c>
      <c r="G17" s="64">
        <v>17.2</v>
      </c>
      <c r="H17" s="64">
        <v>5.36</v>
      </c>
      <c r="I17" s="64">
        <v>0.87</v>
      </c>
      <c r="J17" s="64">
        <v>0.04</v>
      </c>
      <c r="K17" s="64">
        <v>237.24</v>
      </c>
      <c r="L17" s="64">
        <v>24.36</v>
      </c>
      <c r="M17" s="64">
        <v>97.49</v>
      </c>
      <c r="N17" s="64">
        <v>53.1</v>
      </c>
      <c r="O17" s="64">
        <v>0</v>
      </c>
      <c r="P17" s="64">
        <v>0.21</v>
      </c>
      <c r="Q17" s="64">
        <v>9.6300000000000008</v>
      </c>
      <c r="R17" s="198"/>
      <c r="S17" s="198"/>
      <c r="T17" s="198"/>
      <c r="U17" s="198"/>
    </row>
    <row r="18" spans="1:21" s="12" customFormat="1" x14ac:dyDescent="0.25">
      <c r="A18" s="212" t="s">
        <v>1120</v>
      </c>
      <c r="B18" s="64">
        <v>4.99</v>
      </c>
      <c r="C18" s="64">
        <v>6.91</v>
      </c>
      <c r="D18" s="64">
        <v>7.61</v>
      </c>
      <c r="E18" s="64">
        <v>4.43</v>
      </c>
      <c r="F18" s="64">
        <v>9.58</v>
      </c>
      <c r="G18" s="64">
        <v>17.2</v>
      </c>
      <c r="H18" s="64">
        <v>5.36</v>
      </c>
      <c r="I18" s="64">
        <v>0.86</v>
      </c>
      <c r="J18" s="64">
        <v>0.06</v>
      </c>
      <c r="K18" s="64">
        <v>304.89</v>
      </c>
      <c r="L18" s="64">
        <v>24.32</v>
      </c>
      <c r="M18" s="64">
        <v>97.37</v>
      </c>
      <c r="N18" s="64">
        <v>53</v>
      </c>
      <c r="O18" s="64">
        <v>0</v>
      </c>
      <c r="P18" s="64">
        <v>0.21</v>
      </c>
      <c r="Q18" s="64">
        <v>9.6300000000000008</v>
      </c>
      <c r="R18" s="198"/>
      <c r="S18" s="198"/>
      <c r="T18" s="198"/>
      <c r="U18" s="198"/>
    </row>
    <row r="19" spans="1:21" s="12" customFormat="1" x14ac:dyDescent="0.25">
      <c r="A19" s="212" t="s">
        <v>1121</v>
      </c>
      <c r="B19" s="64">
        <v>6.59</v>
      </c>
      <c r="C19" s="64">
        <v>6.68</v>
      </c>
      <c r="D19" s="64">
        <v>8.7799999999999994</v>
      </c>
      <c r="E19" s="64">
        <v>4.21</v>
      </c>
      <c r="F19" s="64">
        <v>6.43</v>
      </c>
      <c r="G19" s="64">
        <v>18.309999999999999</v>
      </c>
      <c r="H19" s="64">
        <v>6.21</v>
      </c>
      <c r="I19" s="64">
        <v>0.86</v>
      </c>
      <c r="J19" s="64">
        <v>0.04</v>
      </c>
      <c r="K19" s="64">
        <v>234.48</v>
      </c>
      <c r="L19" s="64">
        <v>24.3</v>
      </c>
      <c r="M19" s="64">
        <v>97.16</v>
      </c>
      <c r="N19" s="64">
        <v>53.1</v>
      </c>
      <c r="O19" s="64">
        <v>0</v>
      </c>
      <c r="P19" s="64">
        <v>0.24</v>
      </c>
      <c r="Q19" s="64">
        <v>9.64</v>
      </c>
      <c r="R19" s="198"/>
      <c r="S19" s="198"/>
      <c r="T19" s="198"/>
      <c r="U19" s="198"/>
    </row>
    <row r="20" spans="1:21" s="12" customFormat="1" x14ac:dyDescent="0.25">
      <c r="A20" s="212" t="s">
        <v>1122</v>
      </c>
      <c r="B20" s="64">
        <v>5.65</v>
      </c>
      <c r="C20" s="64">
        <v>6.71</v>
      </c>
      <c r="D20" s="64">
        <v>8.0399999999999991</v>
      </c>
      <c r="E20" s="64">
        <v>4.6500000000000004</v>
      </c>
      <c r="F20" s="64">
        <v>10.02</v>
      </c>
      <c r="G20" s="64">
        <v>18.399999999999999</v>
      </c>
      <c r="H20" s="64">
        <v>6.28</v>
      </c>
      <c r="I20" s="64">
        <v>0.84</v>
      </c>
      <c r="J20" s="64">
        <v>0.05</v>
      </c>
      <c r="K20" s="64">
        <v>305.72000000000003</v>
      </c>
      <c r="L20" s="64">
        <v>24.4</v>
      </c>
      <c r="M20" s="64">
        <v>97.16</v>
      </c>
      <c r="N20" s="64">
        <v>53.1</v>
      </c>
      <c r="O20" s="64">
        <v>0</v>
      </c>
      <c r="P20" s="64">
        <v>0.19</v>
      </c>
      <c r="Q20" s="64">
        <v>9.64</v>
      </c>
      <c r="R20" s="198"/>
      <c r="S20" s="198"/>
      <c r="T20" s="198"/>
      <c r="U20" s="198"/>
    </row>
    <row r="21" spans="1:21" s="12" customFormat="1" x14ac:dyDescent="0.25">
      <c r="A21" s="212" t="s">
        <v>1123</v>
      </c>
      <c r="B21" s="64">
        <v>6.03</v>
      </c>
      <c r="C21" s="64">
        <v>6.57</v>
      </c>
      <c r="D21" s="64">
        <v>8.27</v>
      </c>
      <c r="E21" s="64">
        <v>4.4400000000000004</v>
      </c>
      <c r="F21" s="64">
        <v>9.33</v>
      </c>
      <c r="G21" s="64">
        <v>18.399999999999999</v>
      </c>
      <c r="H21" s="64">
        <v>6.28</v>
      </c>
      <c r="I21" s="64">
        <v>0.85</v>
      </c>
      <c r="J21" s="64">
        <v>0.09</v>
      </c>
      <c r="K21" s="64">
        <v>318.83999999999997</v>
      </c>
      <c r="L21" s="64">
        <v>24.29</v>
      </c>
      <c r="M21" s="64">
        <v>97.46</v>
      </c>
      <c r="N21" s="64">
        <v>53.1</v>
      </c>
      <c r="O21" s="64">
        <v>0</v>
      </c>
      <c r="P21" s="64">
        <v>0.21</v>
      </c>
      <c r="Q21" s="64">
        <v>9.65</v>
      </c>
      <c r="R21" s="198"/>
      <c r="S21" s="198"/>
      <c r="T21" s="198"/>
      <c r="U21" s="198"/>
    </row>
    <row r="22" spans="1:21" s="12" customFormat="1" x14ac:dyDescent="0.25">
      <c r="A22" s="212" t="s">
        <v>1124</v>
      </c>
      <c r="B22" s="64">
        <v>5.88</v>
      </c>
      <c r="C22" s="64">
        <v>6.56</v>
      </c>
      <c r="D22" s="64">
        <v>8.14</v>
      </c>
      <c r="E22" s="64">
        <v>4.41</v>
      </c>
      <c r="F22" s="64">
        <v>12.96</v>
      </c>
      <c r="G22" s="64">
        <v>18.399999999999999</v>
      </c>
      <c r="H22" s="64">
        <v>6.28</v>
      </c>
      <c r="I22" s="64">
        <v>0.86</v>
      </c>
      <c r="J22" s="64">
        <v>0.11</v>
      </c>
      <c r="K22" s="64">
        <v>313.44</v>
      </c>
      <c r="L22" s="64">
        <v>24.23</v>
      </c>
      <c r="M22" s="64">
        <v>97.4</v>
      </c>
      <c r="N22" s="64">
        <v>53.1</v>
      </c>
      <c r="O22" s="64">
        <v>0</v>
      </c>
      <c r="P22" s="64">
        <v>0.22</v>
      </c>
      <c r="Q22" s="64">
        <v>9.64</v>
      </c>
      <c r="R22" s="198"/>
      <c r="S22" s="198"/>
      <c r="T22" s="198"/>
      <c r="U22" s="198"/>
    </row>
    <row r="23" spans="1:21" s="12" customFormat="1" x14ac:dyDescent="0.25">
      <c r="A23" s="212" t="s">
        <v>1125</v>
      </c>
      <c r="B23" s="64">
        <v>4.9800000000000004</v>
      </c>
      <c r="C23" s="64">
        <v>6.93</v>
      </c>
      <c r="D23" s="64">
        <v>7.62</v>
      </c>
      <c r="E23" s="64">
        <v>4.4800000000000004</v>
      </c>
      <c r="F23" s="64">
        <v>10.72</v>
      </c>
      <c r="G23" s="64">
        <v>18.95</v>
      </c>
      <c r="H23" s="64">
        <v>7.26</v>
      </c>
      <c r="I23" s="64">
        <v>0.89</v>
      </c>
      <c r="J23" s="64">
        <v>7.0000000000000007E-2</v>
      </c>
      <c r="K23" s="64">
        <v>328.2</v>
      </c>
      <c r="L23" s="64">
        <v>24.13</v>
      </c>
      <c r="M23" s="64">
        <v>97.17</v>
      </c>
      <c r="N23" s="64">
        <v>53.1</v>
      </c>
      <c r="O23" s="64">
        <v>0</v>
      </c>
      <c r="P23" s="64">
        <v>0.22</v>
      </c>
      <c r="Q23" s="64">
        <v>9.64</v>
      </c>
      <c r="R23" s="198"/>
      <c r="S23" s="198"/>
      <c r="T23" s="198"/>
      <c r="U23" s="198"/>
    </row>
    <row r="24" spans="1:21" s="12" customFormat="1" x14ac:dyDescent="0.25">
      <c r="A24" s="212" t="s">
        <v>1126</v>
      </c>
      <c r="B24" s="64">
        <v>5.27</v>
      </c>
      <c r="C24" s="64">
        <v>8.36</v>
      </c>
      <c r="D24" s="64">
        <v>8.59</v>
      </c>
      <c r="E24" s="64">
        <v>4.6100000000000003</v>
      </c>
      <c r="F24" s="64">
        <v>8.2100000000000009</v>
      </c>
      <c r="G24" s="64">
        <v>19</v>
      </c>
      <c r="H24" s="64">
        <v>7.34</v>
      </c>
      <c r="I24" s="64">
        <v>0.84</v>
      </c>
      <c r="J24" s="64">
        <v>7.0000000000000007E-2</v>
      </c>
      <c r="K24" s="64">
        <v>308.33999999999997</v>
      </c>
      <c r="L24" s="64">
        <v>24.19</v>
      </c>
      <c r="M24" s="64">
        <v>97.17</v>
      </c>
      <c r="N24" s="64">
        <v>53</v>
      </c>
      <c r="O24" s="64">
        <v>0</v>
      </c>
      <c r="P24" s="64">
        <v>0.26</v>
      </c>
      <c r="Q24" s="64">
        <v>9.64</v>
      </c>
      <c r="R24" s="198"/>
      <c r="S24" s="198"/>
      <c r="T24" s="198"/>
      <c r="U24" s="198"/>
    </row>
    <row r="25" spans="1:21" s="12" customFormat="1" x14ac:dyDescent="0.25">
      <c r="A25" s="212" t="s">
        <v>1127</v>
      </c>
      <c r="B25" s="64">
        <v>5.39</v>
      </c>
      <c r="C25" s="64">
        <v>9.08</v>
      </c>
      <c r="D25" s="64">
        <v>9.07</v>
      </c>
      <c r="E25" s="64">
        <v>4.51</v>
      </c>
      <c r="F25" s="64">
        <v>8.83</v>
      </c>
      <c r="G25" s="64">
        <v>19</v>
      </c>
      <c r="H25" s="64">
        <v>7.34</v>
      </c>
      <c r="I25" s="64">
        <v>0.92</v>
      </c>
      <c r="J25" s="64">
        <v>7.0000000000000007E-2</v>
      </c>
      <c r="K25" s="64">
        <v>228.46</v>
      </c>
      <c r="L25" s="64">
        <v>24.12</v>
      </c>
      <c r="M25" s="64">
        <v>97.43</v>
      </c>
      <c r="N25" s="64">
        <v>53</v>
      </c>
      <c r="O25" s="64">
        <v>0</v>
      </c>
      <c r="P25" s="64">
        <v>0.25</v>
      </c>
      <c r="Q25" s="64">
        <v>9.64</v>
      </c>
      <c r="R25" s="198"/>
      <c r="S25" s="198"/>
      <c r="T25" s="198"/>
      <c r="U25" s="198"/>
    </row>
    <row r="26" spans="1:21" s="12" customFormat="1" x14ac:dyDescent="0.25">
      <c r="A26" s="212" t="s">
        <v>1128</v>
      </c>
      <c r="B26" s="64">
        <v>5.45</v>
      </c>
      <c r="C26" s="64">
        <v>9.3000000000000007</v>
      </c>
      <c r="D26" s="64">
        <v>9.23</v>
      </c>
      <c r="E26" s="64">
        <v>4.53</v>
      </c>
      <c r="F26" s="64">
        <v>8.5</v>
      </c>
      <c r="G26" s="64">
        <v>19</v>
      </c>
      <c r="H26" s="64">
        <v>7.34</v>
      </c>
      <c r="I26" s="64">
        <v>0.96</v>
      </c>
      <c r="J26" s="64">
        <v>0.1</v>
      </c>
      <c r="K26" s="64">
        <v>195.83</v>
      </c>
      <c r="L26" s="64">
        <v>24.01</v>
      </c>
      <c r="M26" s="64">
        <v>97.5</v>
      </c>
      <c r="N26" s="64">
        <v>53</v>
      </c>
      <c r="O26" s="64">
        <v>0</v>
      </c>
      <c r="P26" s="64">
        <v>0.23</v>
      </c>
      <c r="Q26" s="64">
        <v>9.6300000000000008</v>
      </c>
      <c r="R26" s="198"/>
      <c r="S26" s="198"/>
      <c r="T26" s="198"/>
      <c r="U26" s="198"/>
    </row>
    <row r="27" spans="1:21" s="12" customFormat="1" x14ac:dyDescent="0.25">
      <c r="A27" s="212" t="s">
        <v>1129</v>
      </c>
      <c r="B27" s="64">
        <v>7.38</v>
      </c>
      <c r="C27" s="64">
        <v>12.6</v>
      </c>
      <c r="D27" s="64">
        <v>12.5</v>
      </c>
      <c r="E27" s="64">
        <v>4.4400000000000004</v>
      </c>
      <c r="F27" s="64">
        <v>6.52</v>
      </c>
      <c r="G27" s="64">
        <v>20.43</v>
      </c>
      <c r="H27" s="64">
        <v>6.75</v>
      </c>
      <c r="I27" s="64">
        <v>1.01</v>
      </c>
      <c r="J27" s="64">
        <v>0.08</v>
      </c>
      <c r="K27" s="64">
        <v>170.97</v>
      </c>
      <c r="L27" s="64">
        <v>23.97</v>
      </c>
      <c r="M27" s="64">
        <v>97.21</v>
      </c>
      <c r="N27" s="64">
        <v>53</v>
      </c>
      <c r="O27" s="64">
        <v>0</v>
      </c>
      <c r="P27" s="64">
        <v>0.21</v>
      </c>
      <c r="Q27" s="64">
        <v>9.6300000000000008</v>
      </c>
      <c r="R27" s="198"/>
      <c r="S27" s="198"/>
      <c r="T27" s="198"/>
      <c r="U27" s="198"/>
    </row>
    <row r="28" spans="1:21" s="12" customFormat="1" x14ac:dyDescent="0.25">
      <c r="A28" s="212" t="s">
        <v>1130</v>
      </c>
      <c r="B28" s="64">
        <v>5.98</v>
      </c>
      <c r="C28" s="64">
        <v>9.7899999999999991</v>
      </c>
      <c r="D28" s="64">
        <v>9.91</v>
      </c>
      <c r="E28" s="64">
        <v>4.5199999999999996</v>
      </c>
      <c r="F28" s="64">
        <v>8.92</v>
      </c>
      <c r="G28" s="64">
        <v>20.55</v>
      </c>
      <c r="H28" s="64">
        <v>6.7</v>
      </c>
      <c r="I28" s="64">
        <v>1.02</v>
      </c>
      <c r="J28" s="64">
        <v>0.2</v>
      </c>
      <c r="K28" s="64">
        <v>138.79</v>
      </c>
      <c r="L28" s="64">
        <v>24</v>
      </c>
      <c r="M28" s="64">
        <v>97.23</v>
      </c>
      <c r="N28" s="64">
        <v>53.1</v>
      </c>
      <c r="O28" s="64">
        <v>0</v>
      </c>
      <c r="P28" s="64">
        <v>0.2</v>
      </c>
      <c r="Q28" s="64">
        <v>9.6300000000000008</v>
      </c>
      <c r="R28" s="198"/>
      <c r="S28" s="198"/>
      <c r="T28" s="198"/>
      <c r="U28" s="198"/>
    </row>
    <row r="29" spans="1:21" s="12" customFormat="1" x14ac:dyDescent="0.25">
      <c r="A29" s="212" t="s">
        <v>1131</v>
      </c>
      <c r="B29" s="64">
        <v>6.73</v>
      </c>
      <c r="C29" s="64">
        <v>8.7100000000000009</v>
      </c>
      <c r="D29" s="64">
        <v>9.9499999999999993</v>
      </c>
      <c r="E29" s="64">
        <v>4.55</v>
      </c>
      <c r="F29" s="64">
        <v>5.56</v>
      </c>
      <c r="G29" s="64">
        <v>20.55</v>
      </c>
      <c r="H29" s="64">
        <v>6.7</v>
      </c>
      <c r="I29" s="64">
        <v>1.02</v>
      </c>
      <c r="J29" s="64">
        <v>0.14000000000000001</v>
      </c>
      <c r="K29" s="64">
        <v>136.65</v>
      </c>
      <c r="L29" s="64">
        <v>23.79</v>
      </c>
      <c r="M29" s="64">
        <v>97.78</v>
      </c>
      <c r="N29" s="64">
        <v>53.1</v>
      </c>
      <c r="O29" s="64">
        <v>0</v>
      </c>
      <c r="P29" s="64">
        <v>0.24</v>
      </c>
      <c r="Q29" s="64">
        <v>9.64</v>
      </c>
      <c r="R29" s="198"/>
      <c r="S29" s="198"/>
      <c r="T29" s="198"/>
      <c r="U29" s="198"/>
    </row>
    <row r="30" spans="1:21" s="12" customFormat="1" x14ac:dyDescent="0.25">
      <c r="A30" s="212" t="s">
        <v>1132</v>
      </c>
      <c r="B30" s="64">
        <v>6.32</v>
      </c>
      <c r="C30" s="64">
        <v>7.71</v>
      </c>
      <c r="D30" s="64">
        <v>9.1</v>
      </c>
      <c r="E30" s="64">
        <v>4.71</v>
      </c>
      <c r="F30" s="64">
        <v>8.58</v>
      </c>
      <c r="G30" s="64">
        <v>20.55</v>
      </c>
      <c r="H30" s="64">
        <v>6.7</v>
      </c>
      <c r="I30" s="64">
        <v>1.01</v>
      </c>
      <c r="J30" s="64">
        <v>0.05</v>
      </c>
      <c r="K30" s="64">
        <v>259.06</v>
      </c>
      <c r="L30" s="64">
        <v>23.75</v>
      </c>
      <c r="M30" s="64">
        <v>97.57</v>
      </c>
      <c r="N30" s="64">
        <v>53.5</v>
      </c>
      <c r="O30" s="64">
        <v>0</v>
      </c>
      <c r="P30" s="64">
        <v>0.21</v>
      </c>
      <c r="Q30" s="64">
        <v>9.64</v>
      </c>
      <c r="R30" s="198"/>
      <c r="S30" s="198"/>
      <c r="T30" s="198"/>
      <c r="U30" s="198"/>
    </row>
    <row r="31" spans="1:21" s="12" customFormat="1" x14ac:dyDescent="0.25">
      <c r="A31" s="212" t="s">
        <v>1133</v>
      </c>
      <c r="B31" s="64">
        <v>6.81</v>
      </c>
      <c r="C31" s="64">
        <v>7.18</v>
      </c>
      <c r="D31" s="64">
        <v>9.2100000000000009</v>
      </c>
      <c r="E31" s="64">
        <v>4.8600000000000003</v>
      </c>
      <c r="F31" s="64">
        <v>3.5</v>
      </c>
      <c r="G31" s="64">
        <v>24.01</v>
      </c>
      <c r="H31" s="64">
        <v>7.37</v>
      </c>
      <c r="I31" s="64">
        <v>0.96</v>
      </c>
      <c r="J31" s="64">
        <v>7.0000000000000007E-2</v>
      </c>
      <c r="K31" s="64">
        <v>217.72</v>
      </c>
      <c r="L31" s="64">
        <v>23.85</v>
      </c>
      <c r="M31" s="64">
        <v>97.78</v>
      </c>
      <c r="N31" s="64">
        <v>56</v>
      </c>
      <c r="O31" s="64">
        <v>0</v>
      </c>
      <c r="P31" s="64">
        <v>0.25</v>
      </c>
      <c r="Q31" s="64">
        <v>9.65</v>
      </c>
      <c r="R31" s="198"/>
      <c r="S31" s="198"/>
      <c r="T31" s="198"/>
      <c r="U31" s="198"/>
    </row>
    <row r="32" spans="1:21" s="12" customFormat="1" x14ac:dyDescent="0.25">
      <c r="A32" s="212" t="s">
        <v>1134</v>
      </c>
      <c r="B32" s="64">
        <v>6.59</v>
      </c>
      <c r="C32" s="64">
        <v>7.11</v>
      </c>
      <c r="D32" s="64">
        <v>9</v>
      </c>
      <c r="E32" s="64">
        <v>4.6500000000000004</v>
      </c>
      <c r="F32" s="64">
        <v>5.7</v>
      </c>
      <c r="G32" s="64">
        <v>24.3</v>
      </c>
      <c r="H32" s="64">
        <v>7.42</v>
      </c>
      <c r="I32" s="64">
        <v>0.88</v>
      </c>
      <c r="J32" s="64">
        <v>0.06</v>
      </c>
      <c r="K32" s="64">
        <v>257.52999999999997</v>
      </c>
      <c r="L32" s="64">
        <v>23.83</v>
      </c>
      <c r="M32" s="64">
        <v>97.78</v>
      </c>
      <c r="N32" s="64">
        <v>64.8</v>
      </c>
      <c r="O32" s="64">
        <v>0</v>
      </c>
      <c r="P32" s="64">
        <v>0.22</v>
      </c>
      <c r="Q32" s="64">
        <v>9.65</v>
      </c>
      <c r="R32" s="198"/>
      <c r="S32" s="198"/>
      <c r="T32" s="198"/>
      <c r="U32" s="198"/>
    </row>
    <row r="33" spans="1:21" s="12" customFormat="1" x14ac:dyDescent="0.25">
      <c r="A33" s="212" t="s">
        <v>1135</v>
      </c>
      <c r="B33" s="64">
        <v>6.72</v>
      </c>
      <c r="C33" s="64">
        <v>7.2</v>
      </c>
      <c r="D33" s="64">
        <v>9.15</v>
      </c>
      <c r="E33" s="64">
        <v>4.3499999999999996</v>
      </c>
      <c r="F33" s="64">
        <v>6.73</v>
      </c>
      <c r="G33" s="64">
        <v>24.3</v>
      </c>
      <c r="H33" s="64">
        <v>7.42</v>
      </c>
      <c r="I33" s="64">
        <v>0.92</v>
      </c>
      <c r="J33" s="64">
        <v>0.06</v>
      </c>
      <c r="K33" s="64">
        <v>213.6</v>
      </c>
      <c r="L33" s="64">
        <v>23.86</v>
      </c>
      <c r="M33" s="64">
        <v>97.78</v>
      </c>
      <c r="N33" s="64">
        <v>80.099999999999994</v>
      </c>
      <c r="O33" s="64">
        <v>0</v>
      </c>
      <c r="P33" s="64">
        <v>0.23</v>
      </c>
      <c r="Q33" s="64">
        <v>9.65</v>
      </c>
      <c r="R33" s="198"/>
      <c r="S33" s="198"/>
      <c r="T33" s="198"/>
      <c r="U33" s="198"/>
    </row>
    <row r="34" spans="1:21" s="12" customFormat="1" x14ac:dyDescent="0.25">
      <c r="A34" s="212" t="s">
        <v>1136</v>
      </c>
      <c r="B34" s="64">
        <v>7.48</v>
      </c>
      <c r="C34" s="64">
        <v>8.2799999999999994</v>
      </c>
      <c r="D34" s="64">
        <v>10.32</v>
      </c>
      <c r="E34" s="64">
        <v>4.2699999999999996</v>
      </c>
      <c r="F34" s="64">
        <v>4.16</v>
      </c>
      <c r="G34" s="64">
        <v>24.3</v>
      </c>
      <c r="H34" s="64">
        <v>7.42</v>
      </c>
      <c r="I34" s="64">
        <v>0.89</v>
      </c>
      <c r="J34" s="64">
        <v>0.16</v>
      </c>
      <c r="K34" s="64">
        <v>132.33000000000001</v>
      </c>
      <c r="L34" s="64">
        <v>23.94</v>
      </c>
      <c r="M34" s="64">
        <v>97.78</v>
      </c>
      <c r="N34" s="64">
        <v>81.099999999999994</v>
      </c>
      <c r="O34" s="64">
        <v>0</v>
      </c>
      <c r="P34" s="64">
        <v>0.25</v>
      </c>
      <c r="Q34" s="64">
        <v>9.65</v>
      </c>
      <c r="R34" s="198"/>
      <c r="S34" s="198"/>
      <c r="T34" s="198"/>
      <c r="U34" s="198"/>
    </row>
    <row r="35" spans="1:21" s="12" customFormat="1" x14ac:dyDescent="0.25">
      <c r="A35" s="212" t="s">
        <v>1137</v>
      </c>
      <c r="B35" s="64">
        <v>7.9</v>
      </c>
      <c r="C35" s="64">
        <v>8.18</v>
      </c>
      <c r="D35" s="64">
        <v>10.61</v>
      </c>
      <c r="E35" s="64">
        <v>4.49</v>
      </c>
      <c r="F35" s="64">
        <v>6.21</v>
      </c>
      <c r="G35" s="64">
        <v>24.37</v>
      </c>
      <c r="H35" s="64">
        <v>7.33</v>
      </c>
      <c r="I35" s="64">
        <v>0.95</v>
      </c>
      <c r="J35" s="64">
        <v>0.26</v>
      </c>
      <c r="K35" s="64">
        <v>150.79</v>
      </c>
      <c r="L35" s="64">
        <v>23.99</v>
      </c>
      <c r="M35" s="64">
        <v>97.78</v>
      </c>
      <c r="N35" s="64">
        <v>108.6</v>
      </c>
      <c r="O35" s="64">
        <v>0</v>
      </c>
      <c r="P35" s="64">
        <v>0.23</v>
      </c>
      <c r="Q35" s="64">
        <v>9.65</v>
      </c>
      <c r="R35" s="198"/>
      <c r="S35" s="198"/>
      <c r="T35" s="198"/>
      <c r="U35" s="198"/>
    </row>
    <row r="36" spans="1:21" s="12" customFormat="1" x14ac:dyDescent="0.25">
      <c r="A36" s="212" t="s">
        <v>1138</v>
      </c>
      <c r="B36" s="64">
        <v>8.19</v>
      </c>
      <c r="C36" s="64">
        <v>8.6999999999999993</v>
      </c>
      <c r="D36" s="64">
        <v>11.12</v>
      </c>
      <c r="E36" s="64">
        <v>4.6100000000000003</v>
      </c>
      <c r="F36" s="64">
        <v>4.92</v>
      </c>
      <c r="G36" s="64">
        <v>24.38</v>
      </c>
      <c r="H36" s="64">
        <v>7.32</v>
      </c>
      <c r="I36" s="64">
        <v>0.94</v>
      </c>
      <c r="J36" s="64">
        <v>0.1</v>
      </c>
      <c r="K36" s="64">
        <v>133.53</v>
      </c>
      <c r="L36" s="64">
        <v>24.22</v>
      </c>
      <c r="M36" s="64">
        <v>97.77</v>
      </c>
      <c r="N36" s="64">
        <v>177.6</v>
      </c>
      <c r="O36" s="64">
        <v>0</v>
      </c>
      <c r="P36" s="64">
        <v>0.24</v>
      </c>
      <c r="Q36" s="64">
        <v>9.65</v>
      </c>
      <c r="R36" s="198"/>
      <c r="S36" s="198"/>
      <c r="T36" s="198"/>
      <c r="U36" s="198"/>
    </row>
    <row r="37" spans="1:21" s="12" customFormat="1" x14ac:dyDescent="0.25">
      <c r="A37" s="212" t="s">
        <v>1139</v>
      </c>
      <c r="B37" s="64">
        <v>8.7899999999999991</v>
      </c>
      <c r="C37" s="64">
        <v>7.06</v>
      </c>
      <c r="D37" s="64">
        <v>10.74</v>
      </c>
      <c r="E37" s="64">
        <v>4.6100000000000003</v>
      </c>
      <c r="F37" s="64">
        <v>4.18</v>
      </c>
      <c r="G37" s="64">
        <v>24.38</v>
      </c>
      <c r="H37" s="64">
        <v>7.32</v>
      </c>
      <c r="I37" s="64">
        <v>0.95</v>
      </c>
      <c r="J37" s="64">
        <v>0.05</v>
      </c>
      <c r="K37" s="64">
        <v>201.33</v>
      </c>
      <c r="L37" s="64">
        <v>25.37</v>
      </c>
      <c r="M37" s="64">
        <v>97.69</v>
      </c>
      <c r="N37" s="64">
        <v>281.7</v>
      </c>
      <c r="O37" s="64">
        <v>0</v>
      </c>
      <c r="P37" s="64">
        <v>0.23</v>
      </c>
      <c r="Q37" s="64">
        <v>9.6300000000000008</v>
      </c>
      <c r="R37" s="198"/>
      <c r="S37" s="198"/>
      <c r="T37" s="198"/>
      <c r="U37" s="198"/>
    </row>
    <row r="38" spans="1:21" s="12" customFormat="1" x14ac:dyDescent="0.25">
      <c r="A38" s="212" t="s">
        <v>1140</v>
      </c>
      <c r="B38" s="64">
        <v>8.33</v>
      </c>
      <c r="C38" s="64">
        <v>6.96</v>
      </c>
      <c r="D38" s="64">
        <v>10.32</v>
      </c>
      <c r="E38" s="64">
        <v>4.51</v>
      </c>
      <c r="F38" s="64">
        <v>4.7</v>
      </c>
      <c r="G38" s="64">
        <v>24.38</v>
      </c>
      <c r="H38" s="64">
        <v>7.32</v>
      </c>
      <c r="I38" s="64">
        <v>0.93</v>
      </c>
      <c r="J38" s="64">
        <v>0.15</v>
      </c>
      <c r="K38" s="64">
        <v>154.97</v>
      </c>
      <c r="L38" s="64">
        <v>25.94</v>
      </c>
      <c r="M38" s="64">
        <v>97.64</v>
      </c>
      <c r="N38" s="64">
        <v>341.9</v>
      </c>
      <c r="O38" s="64">
        <v>0</v>
      </c>
      <c r="P38" s="64">
        <v>0.24</v>
      </c>
      <c r="Q38" s="64">
        <v>9.64</v>
      </c>
      <c r="R38" s="198"/>
      <c r="S38" s="198"/>
      <c r="T38" s="198"/>
      <c r="U38" s="198"/>
    </row>
    <row r="39" spans="1:21" s="12" customFormat="1" x14ac:dyDescent="0.25">
      <c r="A39" s="212" t="s">
        <v>1141</v>
      </c>
      <c r="B39" s="64">
        <v>8.02</v>
      </c>
      <c r="C39" s="64">
        <v>6.86</v>
      </c>
      <c r="D39" s="64">
        <v>10.01</v>
      </c>
      <c r="E39" s="64">
        <v>4.16</v>
      </c>
      <c r="F39" s="64">
        <v>6.42</v>
      </c>
      <c r="G39" s="64">
        <v>21.91</v>
      </c>
      <c r="H39" s="64">
        <v>7.31</v>
      </c>
      <c r="I39" s="64">
        <v>0.92</v>
      </c>
      <c r="J39" s="64">
        <v>0.05</v>
      </c>
      <c r="K39" s="64">
        <v>268.13</v>
      </c>
      <c r="L39" s="64">
        <v>26.64</v>
      </c>
      <c r="M39" s="64">
        <v>97.6</v>
      </c>
      <c r="N39" s="64">
        <v>387.7</v>
      </c>
      <c r="O39" s="64">
        <v>0</v>
      </c>
      <c r="P39" s="64">
        <v>0.24</v>
      </c>
      <c r="Q39" s="64">
        <v>9.6300000000000008</v>
      </c>
      <c r="R39" s="198"/>
      <c r="S39" s="198"/>
      <c r="T39" s="198"/>
      <c r="U39" s="198"/>
    </row>
    <row r="40" spans="1:21" s="12" customFormat="1" x14ac:dyDescent="0.25">
      <c r="A40" s="212" t="s">
        <v>1142</v>
      </c>
      <c r="B40" s="64">
        <v>7.99</v>
      </c>
      <c r="C40" s="64">
        <v>6.96</v>
      </c>
      <c r="D40" s="64">
        <v>10.050000000000001</v>
      </c>
      <c r="E40" s="64">
        <v>4.1500000000000004</v>
      </c>
      <c r="F40" s="64">
        <v>3.86</v>
      </c>
      <c r="G40" s="64">
        <v>21.7</v>
      </c>
      <c r="H40" s="64">
        <v>7.31</v>
      </c>
      <c r="I40" s="64">
        <v>0.91</v>
      </c>
      <c r="J40" s="64">
        <v>0.18</v>
      </c>
      <c r="K40" s="64">
        <v>274.01</v>
      </c>
      <c r="L40" s="64">
        <v>27.52</v>
      </c>
      <c r="M40" s="64">
        <v>95.29</v>
      </c>
      <c r="N40" s="64">
        <v>462.3</v>
      </c>
      <c r="O40" s="64">
        <v>0</v>
      </c>
      <c r="P40" s="64">
        <v>0.24</v>
      </c>
      <c r="Q40" s="64">
        <v>9.64</v>
      </c>
      <c r="R40" s="198"/>
      <c r="S40" s="198"/>
      <c r="T40" s="198"/>
      <c r="U40" s="198"/>
    </row>
    <row r="41" spans="1:21" s="12" customFormat="1" x14ac:dyDescent="0.25">
      <c r="A41" s="212" t="s">
        <v>1143</v>
      </c>
      <c r="B41" s="64">
        <v>8.0399999999999991</v>
      </c>
      <c r="C41" s="64">
        <v>7.36</v>
      </c>
      <c r="D41" s="64">
        <v>10.29</v>
      </c>
      <c r="E41" s="64">
        <v>4.71</v>
      </c>
      <c r="F41" s="64">
        <v>3.16</v>
      </c>
      <c r="G41" s="64">
        <v>21.7</v>
      </c>
      <c r="H41" s="64">
        <v>7.31</v>
      </c>
      <c r="I41" s="64">
        <v>0.91</v>
      </c>
      <c r="J41" s="64">
        <v>0.15</v>
      </c>
      <c r="K41" s="64">
        <v>268.43</v>
      </c>
      <c r="L41" s="64">
        <v>29.17</v>
      </c>
      <c r="M41" s="64">
        <v>86.7</v>
      </c>
      <c r="N41" s="64">
        <v>532.70000000000005</v>
      </c>
      <c r="O41" s="64">
        <v>0</v>
      </c>
      <c r="P41" s="64">
        <v>0.26</v>
      </c>
      <c r="Q41" s="64">
        <v>9.66</v>
      </c>
      <c r="R41" s="198"/>
      <c r="S41" s="198"/>
      <c r="T41" s="198"/>
      <c r="U41" s="198"/>
    </row>
    <row r="42" spans="1:21" s="12" customFormat="1" x14ac:dyDescent="0.25">
      <c r="A42" s="212" t="s">
        <v>1144</v>
      </c>
      <c r="B42" s="64">
        <v>8.3699999999999992</v>
      </c>
      <c r="C42" s="64">
        <v>9.5399999999999991</v>
      </c>
      <c r="D42" s="64">
        <v>11.69</v>
      </c>
      <c r="E42" s="64">
        <v>4.5999999999999996</v>
      </c>
      <c r="F42" s="64">
        <v>4.51</v>
      </c>
      <c r="G42" s="64">
        <v>21.7</v>
      </c>
      <c r="H42" s="64">
        <v>7.31</v>
      </c>
      <c r="I42" s="64">
        <v>0.91</v>
      </c>
      <c r="J42" s="64">
        <v>0.12</v>
      </c>
      <c r="K42" s="64">
        <v>247.65</v>
      </c>
      <c r="L42" s="64">
        <v>28.16</v>
      </c>
      <c r="M42" s="64">
        <v>92.82</v>
      </c>
      <c r="N42" s="64">
        <v>605.29999999999995</v>
      </c>
      <c r="O42" s="64">
        <v>0</v>
      </c>
      <c r="P42" s="64">
        <v>0.26</v>
      </c>
      <c r="Q42" s="64">
        <v>9.64</v>
      </c>
      <c r="R42" s="198"/>
      <c r="S42" s="198"/>
      <c r="T42" s="198"/>
      <c r="U42" s="198"/>
    </row>
    <row r="43" spans="1:21" s="12" customFormat="1" x14ac:dyDescent="0.25">
      <c r="A43" s="212" t="s">
        <v>1145</v>
      </c>
      <c r="B43" s="64">
        <v>8.01</v>
      </c>
      <c r="C43" s="64">
        <v>9.1300000000000008</v>
      </c>
      <c r="D43" s="64">
        <v>11.2</v>
      </c>
      <c r="E43" s="64">
        <v>4.53</v>
      </c>
      <c r="F43" s="64">
        <v>6.31</v>
      </c>
      <c r="G43" s="64">
        <v>23.08</v>
      </c>
      <c r="H43" s="64">
        <v>6.6</v>
      </c>
      <c r="I43" s="64">
        <v>0.91</v>
      </c>
      <c r="J43" s="64">
        <v>0.09</v>
      </c>
      <c r="K43" s="64">
        <v>251.96</v>
      </c>
      <c r="L43" s="64">
        <v>29.08</v>
      </c>
      <c r="M43" s="64">
        <v>88.29</v>
      </c>
      <c r="N43" s="64">
        <v>636.79999999999995</v>
      </c>
      <c r="O43" s="64">
        <v>0</v>
      </c>
      <c r="P43" s="64">
        <v>0.26</v>
      </c>
      <c r="Q43" s="64">
        <v>9.6300000000000008</v>
      </c>
      <c r="R43" s="198"/>
      <c r="S43" s="198"/>
      <c r="T43" s="198"/>
      <c r="U43" s="198"/>
    </row>
    <row r="44" spans="1:21" s="12" customFormat="1" x14ac:dyDescent="0.25">
      <c r="A44" s="212" t="s">
        <v>1146</v>
      </c>
      <c r="B44" s="64">
        <v>7.09</v>
      </c>
      <c r="C44" s="64">
        <v>8.65</v>
      </c>
      <c r="D44" s="64">
        <v>10.210000000000001</v>
      </c>
      <c r="E44" s="64">
        <v>4.6900000000000004</v>
      </c>
      <c r="F44" s="64">
        <v>4.71</v>
      </c>
      <c r="G44" s="64">
        <v>23.2</v>
      </c>
      <c r="H44" s="64">
        <v>6.54</v>
      </c>
      <c r="I44" s="64">
        <v>0.91</v>
      </c>
      <c r="J44" s="64">
        <v>0.12</v>
      </c>
      <c r="K44" s="64">
        <v>260.45</v>
      </c>
      <c r="L44" s="64">
        <v>29.13</v>
      </c>
      <c r="M44" s="64">
        <v>85.4</v>
      </c>
      <c r="N44" s="64">
        <v>703.4</v>
      </c>
      <c r="O44" s="64">
        <v>0</v>
      </c>
      <c r="P44" s="64">
        <v>0.25</v>
      </c>
      <c r="Q44" s="64">
        <v>9.6300000000000008</v>
      </c>
      <c r="R44" s="198"/>
      <c r="S44" s="198"/>
      <c r="T44" s="198"/>
      <c r="U44" s="198"/>
    </row>
    <row r="45" spans="1:21" s="12" customFormat="1" x14ac:dyDescent="0.25">
      <c r="A45" s="212" t="s">
        <v>1147</v>
      </c>
      <c r="B45" s="64">
        <v>6.61</v>
      </c>
      <c r="C45" s="64">
        <v>8.4499999999999993</v>
      </c>
      <c r="D45" s="64">
        <v>9.7100000000000009</v>
      </c>
      <c r="E45" s="64">
        <v>4.63</v>
      </c>
      <c r="F45" s="64">
        <v>4.97</v>
      </c>
      <c r="G45" s="64">
        <v>23.2</v>
      </c>
      <c r="H45" s="64">
        <v>6.54</v>
      </c>
      <c r="I45" s="64">
        <v>0.92</v>
      </c>
      <c r="J45" s="64">
        <v>0.18</v>
      </c>
      <c r="K45" s="64">
        <v>300.42</v>
      </c>
      <c r="L45" s="64">
        <v>29.11</v>
      </c>
      <c r="M45" s="64">
        <v>84.88</v>
      </c>
      <c r="N45" s="64">
        <v>781.1</v>
      </c>
      <c r="O45" s="64">
        <v>0</v>
      </c>
      <c r="P45" s="64">
        <v>0.25</v>
      </c>
      <c r="Q45" s="64">
        <v>9.6199999999999992</v>
      </c>
      <c r="R45" s="198"/>
      <c r="S45" s="198"/>
      <c r="T45" s="198"/>
      <c r="U45" s="198"/>
    </row>
    <row r="46" spans="1:21" s="12" customFormat="1" x14ac:dyDescent="0.25">
      <c r="A46" s="212" t="s">
        <v>1148</v>
      </c>
      <c r="B46" s="64">
        <v>6.28</v>
      </c>
      <c r="C46" s="64">
        <v>8.7200000000000006</v>
      </c>
      <c r="D46" s="64">
        <v>9.6</v>
      </c>
      <c r="E46" s="64">
        <v>4.3899999999999997</v>
      </c>
      <c r="F46" s="64">
        <v>3.83</v>
      </c>
      <c r="G46" s="64">
        <v>23.2</v>
      </c>
      <c r="H46" s="64">
        <v>6.54</v>
      </c>
      <c r="I46" s="64">
        <v>0.91</v>
      </c>
      <c r="J46" s="64">
        <v>0.17</v>
      </c>
      <c r="K46" s="64">
        <v>293.45999999999998</v>
      </c>
      <c r="L46" s="64">
        <v>29.72</v>
      </c>
      <c r="M46" s="64">
        <v>78.44</v>
      </c>
      <c r="N46" s="64">
        <v>853</v>
      </c>
      <c r="O46" s="64">
        <v>0</v>
      </c>
      <c r="P46" s="64">
        <v>0.25</v>
      </c>
      <c r="Q46" s="64">
        <v>9.6199999999999992</v>
      </c>
      <c r="R46" s="198"/>
      <c r="S46" s="198"/>
      <c r="T46" s="198"/>
      <c r="U46" s="198"/>
    </row>
    <row r="47" spans="1:21" s="12" customFormat="1" x14ac:dyDescent="0.25">
      <c r="A47" s="212" t="s">
        <v>1149</v>
      </c>
      <c r="B47" s="64">
        <v>6.61</v>
      </c>
      <c r="C47" s="64">
        <v>10.16</v>
      </c>
      <c r="D47" s="64">
        <v>10.61</v>
      </c>
      <c r="E47" s="64">
        <v>4.6500000000000004</v>
      </c>
      <c r="F47" s="64">
        <v>3.43</v>
      </c>
      <c r="G47" s="64">
        <v>23.11</v>
      </c>
      <c r="H47" s="64">
        <v>8.64</v>
      </c>
      <c r="I47" s="64">
        <v>0.91</v>
      </c>
      <c r="J47" s="64">
        <v>0.22</v>
      </c>
      <c r="K47" s="64">
        <v>293.35000000000002</v>
      </c>
      <c r="L47" s="64">
        <v>31.01</v>
      </c>
      <c r="M47" s="64">
        <v>75.84</v>
      </c>
      <c r="N47" s="64">
        <v>755.4</v>
      </c>
      <c r="O47" s="64">
        <v>0</v>
      </c>
      <c r="P47" s="64">
        <v>0.36</v>
      </c>
      <c r="Q47" s="64">
        <v>9.61</v>
      </c>
      <c r="R47" s="198"/>
      <c r="S47" s="198"/>
      <c r="T47" s="198"/>
      <c r="U47" s="198"/>
    </row>
    <row r="48" spans="1:21" s="12" customFormat="1" x14ac:dyDescent="0.25">
      <c r="A48" s="212" t="s">
        <v>1150</v>
      </c>
      <c r="B48" s="64">
        <v>6.74</v>
      </c>
      <c r="C48" s="64">
        <v>11.14</v>
      </c>
      <c r="D48" s="64">
        <v>11.22</v>
      </c>
      <c r="E48" s="64">
        <v>4.4800000000000004</v>
      </c>
      <c r="F48" s="64">
        <v>6.11</v>
      </c>
      <c r="G48" s="64">
        <v>23.11</v>
      </c>
      <c r="H48" s="64">
        <v>8.81</v>
      </c>
      <c r="I48" s="64">
        <v>0.94</v>
      </c>
      <c r="J48" s="64">
        <v>0.14000000000000001</v>
      </c>
      <c r="K48" s="64">
        <v>263.56</v>
      </c>
      <c r="L48" s="64">
        <v>30.73</v>
      </c>
      <c r="M48" s="64">
        <v>74.19</v>
      </c>
      <c r="N48" s="64">
        <v>812.9</v>
      </c>
      <c r="O48" s="64">
        <v>0</v>
      </c>
      <c r="P48" s="64">
        <v>0.4</v>
      </c>
      <c r="Q48" s="64">
        <v>9.61</v>
      </c>
      <c r="R48" s="198"/>
      <c r="S48" s="198"/>
      <c r="T48" s="198"/>
      <c r="U48" s="198"/>
    </row>
    <row r="49" spans="1:21" s="12" customFormat="1" x14ac:dyDescent="0.25">
      <c r="A49" s="212" t="s">
        <v>1151</v>
      </c>
      <c r="B49" s="64">
        <v>6.75</v>
      </c>
      <c r="C49" s="64">
        <v>9.99</v>
      </c>
      <c r="D49" s="64">
        <v>10.63</v>
      </c>
      <c r="E49" s="64">
        <v>4.59</v>
      </c>
      <c r="F49" s="64">
        <v>4.38</v>
      </c>
      <c r="G49" s="64">
        <v>23.11</v>
      </c>
      <c r="H49" s="64">
        <v>8.81</v>
      </c>
      <c r="I49" s="64">
        <v>1.06</v>
      </c>
      <c r="J49" s="64">
        <v>0.12</v>
      </c>
      <c r="K49" s="64">
        <v>272.95</v>
      </c>
      <c r="L49" s="64">
        <v>30.7</v>
      </c>
      <c r="M49" s="64">
        <v>73.180000000000007</v>
      </c>
      <c r="N49" s="64">
        <v>799.5</v>
      </c>
      <c r="O49" s="64">
        <v>0</v>
      </c>
      <c r="P49" s="64">
        <v>0.4</v>
      </c>
      <c r="Q49" s="64">
        <v>9.61</v>
      </c>
      <c r="R49" s="198"/>
      <c r="S49" s="198"/>
      <c r="T49" s="198"/>
      <c r="U49" s="198"/>
    </row>
    <row r="50" spans="1:21" s="12" customFormat="1" x14ac:dyDescent="0.25">
      <c r="A50" s="212" t="s">
        <v>1152</v>
      </c>
      <c r="B50" s="64">
        <v>6.4</v>
      </c>
      <c r="C50" s="64">
        <v>10.78</v>
      </c>
      <c r="D50" s="64">
        <v>10.77</v>
      </c>
      <c r="E50" s="64">
        <v>4.34</v>
      </c>
      <c r="F50" s="64">
        <v>4.3899999999999997</v>
      </c>
      <c r="G50" s="64">
        <v>23.11</v>
      </c>
      <c r="H50" s="64">
        <v>8.81</v>
      </c>
      <c r="I50" s="64">
        <v>1.32</v>
      </c>
      <c r="J50" s="64">
        <v>0.15</v>
      </c>
      <c r="K50" s="64">
        <v>223.33</v>
      </c>
      <c r="L50" s="64">
        <v>30.45</v>
      </c>
      <c r="M50" s="64">
        <v>71.44</v>
      </c>
      <c r="N50" s="64">
        <v>995.7</v>
      </c>
      <c r="O50" s="64">
        <v>0</v>
      </c>
      <c r="P50" s="64">
        <v>0.42</v>
      </c>
      <c r="Q50" s="64">
        <v>9.59</v>
      </c>
      <c r="R50" s="198"/>
      <c r="S50" s="198"/>
      <c r="T50" s="198"/>
      <c r="U50" s="198"/>
    </row>
    <row r="51" spans="1:21" s="12" customFormat="1" x14ac:dyDescent="0.25">
      <c r="A51" s="212" t="s">
        <v>1153</v>
      </c>
      <c r="B51" s="64">
        <v>6.51</v>
      </c>
      <c r="C51" s="64">
        <v>13.32</v>
      </c>
      <c r="D51" s="64">
        <v>12.18</v>
      </c>
      <c r="E51" s="64">
        <v>4.78</v>
      </c>
      <c r="F51" s="64">
        <v>5.98</v>
      </c>
      <c r="G51" s="64">
        <v>31.77</v>
      </c>
      <c r="H51" s="64">
        <v>11.13</v>
      </c>
      <c r="I51" s="64">
        <v>1.45</v>
      </c>
      <c r="J51" s="64">
        <v>0.11</v>
      </c>
      <c r="K51" s="64">
        <v>220.75</v>
      </c>
      <c r="L51" s="64">
        <v>30.34</v>
      </c>
      <c r="M51" s="64">
        <v>72.930000000000007</v>
      </c>
      <c r="N51" s="64">
        <v>968.4</v>
      </c>
      <c r="O51" s="64">
        <v>0</v>
      </c>
      <c r="P51" s="64">
        <v>0.46</v>
      </c>
      <c r="Q51" s="64">
        <v>9.6</v>
      </c>
      <c r="R51" s="198"/>
      <c r="S51" s="198"/>
      <c r="T51" s="198"/>
      <c r="U51" s="198"/>
    </row>
    <row r="52" spans="1:21" s="12" customFormat="1" x14ac:dyDescent="0.25">
      <c r="A52" s="212" t="s">
        <v>1154</v>
      </c>
      <c r="B52" s="64">
        <v>6.23</v>
      </c>
      <c r="C52" s="64">
        <v>11.99</v>
      </c>
      <c r="D52" s="64">
        <v>11.26</v>
      </c>
      <c r="E52" s="64">
        <v>4.59</v>
      </c>
      <c r="F52" s="64">
        <v>5.59</v>
      </c>
      <c r="G52" s="64">
        <v>32.5</v>
      </c>
      <c r="H52" s="64">
        <v>11.33</v>
      </c>
      <c r="I52" s="64">
        <v>1.49</v>
      </c>
      <c r="J52" s="64">
        <v>0.28999999999999998</v>
      </c>
      <c r="K52" s="64">
        <v>185.74</v>
      </c>
      <c r="L52" s="64">
        <v>30.35</v>
      </c>
      <c r="M52" s="64">
        <v>73.66</v>
      </c>
      <c r="N52" s="64">
        <v>984.9</v>
      </c>
      <c r="O52" s="64">
        <v>0</v>
      </c>
      <c r="P52" s="64">
        <v>0.42</v>
      </c>
      <c r="Q52" s="64">
        <v>9.6</v>
      </c>
      <c r="R52" s="198"/>
      <c r="S52" s="198"/>
      <c r="T52" s="198"/>
      <c r="U52" s="198"/>
    </row>
    <row r="53" spans="1:21" s="12" customFormat="1" x14ac:dyDescent="0.25">
      <c r="A53" s="212" t="s">
        <v>1155</v>
      </c>
      <c r="B53" s="64">
        <v>5.89</v>
      </c>
      <c r="C53" s="64">
        <v>11.19</v>
      </c>
      <c r="D53" s="64">
        <v>10.57</v>
      </c>
      <c r="E53" s="64">
        <v>4.78</v>
      </c>
      <c r="F53" s="64">
        <v>4.16</v>
      </c>
      <c r="G53" s="64">
        <v>32.5</v>
      </c>
      <c r="H53" s="64">
        <v>11.33</v>
      </c>
      <c r="I53" s="64">
        <v>1.56</v>
      </c>
      <c r="J53" s="64">
        <v>0.1</v>
      </c>
      <c r="K53" s="64">
        <v>185.58</v>
      </c>
      <c r="L53" s="64">
        <v>29.97</v>
      </c>
      <c r="M53" s="64">
        <v>75.290000000000006</v>
      </c>
      <c r="N53" s="64">
        <v>976</v>
      </c>
      <c r="O53" s="64">
        <v>0</v>
      </c>
      <c r="P53" s="64">
        <v>0.41</v>
      </c>
      <c r="Q53" s="64">
        <v>9.58</v>
      </c>
      <c r="R53" s="198"/>
      <c r="S53" s="198"/>
      <c r="T53" s="198"/>
      <c r="U53" s="198"/>
    </row>
    <row r="54" spans="1:21" s="12" customFormat="1" x14ac:dyDescent="0.25">
      <c r="A54" s="212" t="s">
        <v>1156</v>
      </c>
      <c r="B54" s="64">
        <v>5.68</v>
      </c>
      <c r="C54" s="64">
        <v>10.73</v>
      </c>
      <c r="D54" s="64">
        <v>10.16</v>
      </c>
      <c r="E54" s="64">
        <v>4.6100000000000003</v>
      </c>
      <c r="F54" s="64">
        <v>5.16</v>
      </c>
      <c r="G54" s="64">
        <v>32.5</v>
      </c>
      <c r="H54" s="64">
        <v>11.33</v>
      </c>
      <c r="I54" s="64">
        <v>1.6</v>
      </c>
      <c r="J54" s="64">
        <v>0.23</v>
      </c>
      <c r="K54" s="64">
        <v>150.63999999999999</v>
      </c>
      <c r="L54" s="64">
        <v>30.34</v>
      </c>
      <c r="M54" s="64">
        <v>73.09</v>
      </c>
      <c r="N54" s="64">
        <v>1024.5999999999999</v>
      </c>
      <c r="O54" s="64">
        <v>0</v>
      </c>
      <c r="P54" s="64">
        <v>0.36</v>
      </c>
      <c r="Q54" s="64">
        <v>9.61</v>
      </c>
      <c r="R54" s="198"/>
      <c r="S54" s="198"/>
      <c r="T54" s="198"/>
      <c r="U54" s="198"/>
    </row>
    <row r="55" spans="1:21" s="12" customFormat="1" x14ac:dyDescent="0.25">
      <c r="A55" s="212" t="s">
        <v>1157</v>
      </c>
      <c r="B55" s="64">
        <v>5.34</v>
      </c>
      <c r="C55" s="64">
        <v>10.52</v>
      </c>
      <c r="D55" s="64">
        <v>9.7799999999999994</v>
      </c>
      <c r="E55" s="64">
        <v>4.99</v>
      </c>
      <c r="F55" s="64">
        <v>6.78</v>
      </c>
      <c r="G55" s="64">
        <v>35.72</v>
      </c>
      <c r="H55" s="64">
        <v>12.01</v>
      </c>
      <c r="I55" s="64">
        <v>1.58</v>
      </c>
      <c r="J55" s="64">
        <v>0.19</v>
      </c>
      <c r="K55" s="64">
        <v>164.67</v>
      </c>
      <c r="L55" s="64">
        <v>30.26</v>
      </c>
      <c r="M55" s="64">
        <v>73.63</v>
      </c>
      <c r="N55" s="64">
        <v>991.4</v>
      </c>
      <c r="O55" s="64">
        <v>0</v>
      </c>
      <c r="P55" s="64">
        <v>0.36</v>
      </c>
      <c r="Q55" s="64">
        <v>9.61</v>
      </c>
      <c r="R55" s="198"/>
      <c r="S55" s="198"/>
      <c r="T55" s="198"/>
      <c r="U55" s="198"/>
    </row>
    <row r="56" spans="1:21" s="12" customFormat="1" x14ac:dyDescent="0.25">
      <c r="A56" s="212" t="s">
        <v>1158</v>
      </c>
      <c r="B56" s="64">
        <v>5.4</v>
      </c>
      <c r="C56" s="64">
        <v>11.67</v>
      </c>
      <c r="D56" s="64">
        <v>10.43</v>
      </c>
      <c r="E56" s="64">
        <v>4.59</v>
      </c>
      <c r="F56" s="64">
        <v>3.24</v>
      </c>
      <c r="G56" s="64">
        <v>35.99</v>
      </c>
      <c r="H56" s="64">
        <v>12.07</v>
      </c>
      <c r="I56" s="64">
        <v>1.53</v>
      </c>
      <c r="J56" s="64">
        <v>0.1</v>
      </c>
      <c r="K56" s="64">
        <v>192.56</v>
      </c>
      <c r="L56" s="64">
        <v>30.1</v>
      </c>
      <c r="M56" s="64">
        <v>76.12</v>
      </c>
      <c r="N56" s="64">
        <v>879.8</v>
      </c>
      <c r="O56" s="64">
        <v>0</v>
      </c>
      <c r="P56" s="64">
        <v>0.38</v>
      </c>
      <c r="Q56" s="64">
        <v>9.58</v>
      </c>
      <c r="R56" s="198"/>
      <c r="S56" s="198"/>
      <c r="T56" s="198"/>
      <c r="U56" s="198"/>
    </row>
    <row r="57" spans="1:21" s="12" customFormat="1" x14ac:dyDescent="0.25">
      <c r="A57" s="212" t="s">
        <v>1159</v>
      </c>
      <c r="B57" s="64">
        <v>5.23</v>
      </c>
      <c r="C57" s="64">
        <v>11.15</v>
      </c>
      <c r="D57" s="64">
        <v>10.02</v>
      </c>
      <c r="E57" s="64">
        <v>4.57</v>
      </c>
      <c r="F57" s="64">
        <v>3.83</v>
      </c>
      <c r="G57" s="64">
        <v>35.99</v>
      </c>
      <c r="H57" s="64">
        <v>12.07</v>
      </c>
      <c r="I57" s="64">
        <v>1.48</v>
      </c>
      <c r="J57" s="64">
        <v>0.12</v>
      </c>
      <c r="K57" s="64">
        <v>245.72</v>
      </c>
      <c r="L57" s="64">
        <v>30.81</v>
      </c>
      <c r="M57" s="64">
        <v>72.59</v>
      </c>
      <c r="N57" s="64">
        <v>898.6</v>
      </c>
      <c r="O57" s="64">
        <v>0</v>
      </c>
      <c r="P57" s="64">
        <v>0.36</v>
      </c>
      <c r="Q57" s="64">
        <v>9.58</v>
      </c>
      <c r="R57" s="198"/>
      <c r="S57" s="198"/>
      <c r="T57" s="198"/>
      <c r="U57" s="198"/>
    </row>
    <row r="58" spans="1:21" s="12" customFormat="1" x14ac:dyDescent="0.25">
      <c r="A58" s="212" t="s">
        <v>1160</v>
      </c>
      <c r="B58" s="64">
        <v>4.82</v>
      </c>
      <c r="C58" s="64">
        <v>10.28</v>
      </c>
      <c r="D58" s="64">
        <v>9.24</v>
      </c>
      <c r="E58" s="64">
        <v>4.7300000000000004</v>
      </c>
      <c r="F58" s="64">
        <v>9.26</v>
      </c>
      <c r="G58" s="64">
        <v>35.99</v>
      </c>
      <c r="H58" s="64">
        <v>12.07</v>
      </c>
      <c r="I58" s="64">
        <v>1.44</v>
      </c>
      <c r="J58" s="64">
        <v>0.7</v>
      </c>
      <c r="K58" s="64">
        <v>147.72999999999999</v>
      </c>
      <c r="L58" s="64">
        <v>29.99</v>
      </c>
      <c r="M58" s="64">
        <v>75.930000000000007</v>
      </c>
      <c r="N58" s="64">
        <v>889.4</v>
      </c>
      <c r="O58" s="64">
        <v>0</v>
      </c>
      <c r="P58" s="64">
        <v>0.34</v>
      </c>
      <c r="Q58" s="64">
        <v>9.6</v>
      </c>
      <c r="R58" s="198"/>
      <c r="S58" s="198"/>
      <c r="T58" s="198"/>
      <c r="U58" s="198"/>
    </row>
    <row r="59" spans="1:21" s="12" customFormat="1" x14ac:dyDescent="0.25">
      <c r="A59" s="212" t="s">
        <v>1161</v>
      </c>
      <c r="B59" s="64">
        <v>4.6399999999999997</v>
      </c>
      <c r="C59" s="64">
        <v>10.039999999999999</v>
      </c>
      <c r="D59" s="64">
        <v>8.9700000000000006</v>
      </c>
      <c r="E59" s="64">
        <v>4.75</v>
      </c>
      <c r="F59" s="64">
        <v>7.25</v>
      </c>
      <c r="G59" s="64">
        <v>37.14</v>
      </c>
      <c r="H59" s="64">
        <v>13.73</v>
      </c>
      <c r="I59" s="64">
        <v>1.37</v>
      </c>
      <c r="J59" s="64">
        <v>0.11</v>
      </c>
      <c r="K59" s="64">
        <v>229.38</v>
      </c>
      <c r="L59" s="64">
        <v>30.04</v>
      </c>
      <c r="M59" s="64">
        <v>74.540000000000006</v>
      </c>
      <c r="N59" s="64">
        <v>888.3</v>
      </c>
      <c r="O59" s="64">
        <v>0</v>
      </c>
      <c r="P59" s="64">
        <v>0.31</v>
      </c>
      <c r="Q59" s="64">
        <v>9.6</v>
      </c>
      <c r="R59" s="198"/>
      <c r="S59" s="198"/>
      <c r="T59" s="198"/>
      <c r="U59" s="198"/>
    </row>
    <row r="60" spans="1:21" s="12" customFormat="1" x14ac:dyDescent="0.25">
      <c r="A60" s="212" t="s">
        <v>1162</v>
      </c>
      <c r="B60" s="64">
        <v>4.4800000000000004</v>
      </c>
      <c r="C60" s="64">
        <v>9.9700000000000006</v>
      </c>
      <c r="D60" s="64">
        <v>8.8000000000000007</v>
      </c>
      <c r="E60" s="64">
        <v>4.93</v>
      </c>
      <c r="F60" s="64">
        <v>8.5299999999999994</v>
      </c>
      <c r="G60" s="64">
        <v>37.24</v>
      </c>
      <c r="H60" s="64">
        <v>13.87</v>
      </c>
      <c r="I60" s="64">
        <v>1.32</v>
      </c>
      <c r="J60" s="64">
        <v>0.13</v>
      </c>
      <c r="K60" s="64">
        <v>191.17</v>
      </c>
      <c r="L60" s="64">
        <v>31.28</v>
      </c>
      <c r="M60" s="64">
        <v>70.33</v>
      </c>
      <c r="N60" s="64">
        <v>760.6</v>
      </c>
      <c r="O60" s="64">
        <v>0</v>
      </c>
      <c r="P60" s="64">
        <v>0.3</v>
      </c>
      <c r="Q60" s="64">
        <v>9.6</v>
      </c>
      <c r="R60" s="198"/>
      <c r="S60" s="198"/>
      <c r="T60" s="198"/>
      <c r="U60" s="198"/>
    </row>
    <row r="61" spans="1:21" s="12" customFormat="1" x14ac:dyDescent="0.25">
      <c r="A61" s="212" t="s">
        <v>1163</v>
      </c>
      <c r="B61" s="64">
        <v>4.68</v>
      </c>
      <c r="C61" s="64">
        <v>10.15</v>
      </c>
      <c r="D61" s="64">
        <v>9.0500000000000007</v>
      </c>
      <c r="E61" s="64">
        <v>4.75</v>
      </c>
      <c r="F61" s="64">
        <v>5.18</v>
      </c>
      <c r="G61" s="64">
        <v>37.24</v>
      </c>
      <c r="H61" s="64">
        <v>13.87</v>
      </c>
      <c r="I61" s="64">
        <v>1.29</v>
      </c>
      <c r="J61" s="64">
        <v>0.22</v>
      </c>
      <c r="K61" s="64">
        <v>294.67</v>
      </c>
      <c r="L61" s="64">
        <v>31.51</v>
      </c>
      <c r="M61" s="64">
        <v>67.040000000000006</v>
      </c>
      <c r="N61" s="64">
        <v>363.7</v>
      </c>
      <c r="O61" s="64">
        <v>0</v>
      </c>
      <c r="P61" s="64">
        <v>0.32</v>
      </c>
      <c r="Q61" s="64">
        <v>9.6</v>
      </c>
      <c r="R61" s="198"/>
      <c r="S61" s="198"/>
      <c r="T61" s="198"/>
      <c r="U61" s="198"/>
    </row>
    <row r="62" spans="1:21" s="12" customFormat="1" x14ac:dyDescent="0.25">
      <c r="A62" s="212" t="s">
        <v>1164</v>
      </c>
      <c r="B62" s="64">
        <v>5.32</v>
      </c>
      <c r="C62" s="64">
        <v>10.65</v>
      </c>
      <c r="D62" s="64">
        <v>9.83</v>
      </c>
      <c r="E62" s="64">
        <v>4.7300000000000004</v>
      </c>
      <c r="F62" s="64">
        <v>8.06</v>
      </c>
      <c r="G62" s="64">
        <v>37.24</v>
      </c>
      <c r="H62" s="64">
        <v>13.87</v>
      </c>
      <c r="I62" s="64">
        <v>1.27</v>
      </c>
      <c r="J62" s="64">
        <v>0.16</v>
      </c>
      <c r="K62" s="64">
        <v>299.67</v>
      </c>
      <c r="L62" s="64">
        <v>30.86</v>
      </c>
      <c r="M62" s="64">
        <v>69.98</v>
      </c>
      <c r="N62" s="64">
        <v>344.9</v>
      </c>
      <c r="O62" s="64">
        <v>0</v>
      </c>
      <c r="P62" s="64">
        <v>0.35</v>
      </c>
      <c r="Q62" s="64">
        <v>9.59</v>
      </c>
      <c r="R62" s="198"/>
      <c r="S62" s="198"/>
      <c r="T62" s="198"/>
      <c r="U62" s="198"/>
    </row>
    <row r="63" spans="1:21" s="12" customFormat="1" x14ac:dyDescent="0.25">
      <c r="A63" s="212" t="s">
        <v>1165</v>
      </c>
      <c r="B63" s="64">
        <v>4.74</v>
      </c>
      <c r="C63" s="64">
        <v>12.07</v>
      </c>
      <c r="D63" s="64">
        <v>10.11</v>
      </c>
      <c r="E63" s="64">
        <v>4.8099999999999996</v>
      </c>
      <c r="F63" s="64">
        <v>6.05</v>
      </c>
      <c r="G63" s="64">
        <v>35.619999999999997</v>
      </c>
      <c r="H63" s="64">
        <v>13.86</v>
      </c>
      <c r="I63" s="64">
        <v>1.25</v>
      </c>
      <c r="J63" s="64">
        <v>0.15</v>
      </c>
      <c r="K63" s="64">
        <v>262.27999999999997</v>
      </c>
      <c r="L63" s="64">
        <v>30.3</v>
      </c>
      <c r="M63" s="64">
        <v>69.650000000000006</v>
      </c>
      <c r="N63" s="64">
        <v>327.8</v>
      </c>
      <c r="O63" s="64">
        <v>0</v>
      </c>
      <c r="P63" s="64">
        <v>0.34</v>
      </c>
      <c r="Q63" s="64">
        <v>9.59</v>
      </c>
      <c r="R63" s="198"/>
      <c r="S63" s="198"/>
      <c r="T63" s="198"/>
      <c r="U63" s="198"/>
    </row>
    <row r="64" spans="1:21" s="12" customFormat="1" x14ac:dyDescent="0.25">
      <c r="A64" s="212" t="s">
        <v>1166</v>
      </c>
      <c r="B64" s="64">
        <v>4.7699999999999996</v>
      </c>
      <c r="C64" s="64">
        <v>11.18</v>
      </c>
      <c r="D64" s="64">
        <v>9.67</v>
      </c>
      <c r="E64" s="64">
        <v>4.5999999999999996</v>
      </c>
      <c r="F64" s="64">
        <v>8.85</v>
      </c>
      <c r="G64" s="64">
        <v>35.479999999999997</v>
      </c>
      <c r="H64" s="64">
        <v>13.86</v>
      </c>
      <c r="I64" s="64">
        <v>1.25</v>
      </c>
      <c r="J64" s="64">
        <v>0.26</v>
      </c>
      <c r="K64" s="64">
        <v>307.08999999999997</v>
      </c>
      <c r="L64" s="64">
        <v>31.08</v>
      </c>
      <c r="M64" s="64">
        <v>67.75</v>
      </c>
      <c r="N64" s="64">
        <v>307</v>
      </c>
      <c r="O64" s="64">
        <v>0</v>
      </c>
      <c r="P64" s="64">
        <v>0.37</v>
      </c>
      <c r="Q64" s="64">
        <v>9.58</v>
      </c>
      <c r="R64" s="198"/>
      <c r="S64" s="198"/>
      <c r="T64" s="198"/>
      <c r="U64" s="198"/>
    </row>
    <row r="65" spans="1:21" s="12" customFormat="1" x14ac:dyDescent="0.25">
      <c r="A65" s="212" t="s">
        <v>1167</v>
      </c>
      <c r="B65" s="64">
        <v>5.39</v>
      </c>
      <c r="C65" s="64">
        <v>11.92</v>
      </c>
      <c r="D65" s="64">
        <v>10.55</v>
      </c>
      <c r="E65" s="64">
        <v>4.74</v>
      </c>
      <c r="F65" s="64">
        <v>6.9</v>
      </c>
      <c r="G65" s="64">
        <v>35.479999999999997</v>
      </c>
      <c r="H65" s="64">
        <v>13.86</v>
      </c>
      <c r="I65" s="64">
        <v>1.27</v>
      </c>
      <c r="J65" s="64">
        <v>0.12</v>
      </c>
      <c r="K65" s="64">
        <v>278.2</v>
      </c>
      <c r="L65" s="64">
        <v>30.3</v>
      </c>
      <c r="M65" s="64">
        <v>68.17</v>
      </c>
      <c r="N65" s="64">
        <v>289.89999999999998</v>
      </c>
      <c r="O65" s="64">
        <v>0</v>
      </c>
      <c r="P65" s="64">
        <v>0.39</v>
      </c>
      <c r="Q65" s="64">
        <v>9.58</v>
      </c>
      <c r="R65" s="198"/>
      <c r="S65" s="198"/>
      <c r="T65" s="198"/>
      <c r="U65" s="198"/>
    </row>
    <row r="66" spans="1:21" s="12" customFormat="1" x14ac:dyDescent="0.25">
      <c r="A66" s="212" t="s">
        <v>1168</v>
      </c>
      <c r="B66" s="64">
        <v>4.74</v>
      </c>
      <c r="C66" s="64">
        <v>11.18</v>
      </c>
      <c r="D66" s="64">
        <v>9.64</v>
      </c>
      <c r="E66" s="64">
        <v>4.5599999999999996</v>
      </c>
      <c r="F66" s="64">
        <v>6.32</v>
      </c>
      <c r="G66" s="64">
        <v>35.479999999999997</v>
      </c>
      <c r="H66" s="64">
        <v>13.86</v>
      </c>
      <c r="I66" s="64">
        <v>1.29</v>
      </c>
      <c r="J66" s="64">
        <v>0.12</v>
      </c>
      <c r="K66" s="64">
        <v>249.06</v>
      </c>
      <c r="L66" s="64">
        <v>30.02</v>
      </c>
      <c r="M66" s="64">
        <v>71.5</v>
      </c>
      <c r="N66" s="64">
        <v>247.6</v>
      </c>
      <c r="O66" s="64">
        <v>0</v>
      </c>
      <c r="P66" s="64">
        <v>0.36</v>
      </c>
      <c r="Q66" s="64">
        <v>9.56</v>
      </c>
      <c r="R66" s="198"/>
      <c r="S66" s="198"/>
      <c r="T66" s="198"/>
      <c r="U66" s="198"/>
    </row>
    <row r="67" spans="1:21" s="12" customFormat="1" x14ac:dyDescent="0.25">
      <c r="A67" s="212" t="s">
        <v>1169</v>
      </c>
      <c r="B67" s="64">
        <v>5.14</v>
      </c>
      <c r="C67" s="64">
        <v>12.48</v>
      </c>
      <c r="D67" s="64">
        <v>10.64</v>
      </c>
      <c r="E67" s="64">
        <v>4.54</v>
      </c>
      <c r="F67" s="64">
        <v>6.86</v>
      </c>
      <c r="G67" s="64">
        <v>38.94</v>
      </c>
      <c r="H67" s="64">
        <v>13.49</v>
      </c>
      <c r="I67" s="64">
        <v>1.29</v>
      </c>
      <c r="J67" s="64">
        <v>0.06</v>
      </c>
      <c r="K67" s="64">
        <v>266.42</v>
      </c>
      <c r="L67" s="64">
        <v>29.99</v>
      </c>
      <c r="M67" s="64">
        <v>72.790000000000006</v>
      </c>
      <c r="N67" s="64">
        <v>201.4</v>
      </c>
      <c r="O67" s="64">
        <v>0</v>
      </c>
      <c r="P67" s="64">
        <v>0.34</v>
      </c>
      <c r="Q67" s="64">
        <v>9.56</v>
      </c>
      <c r="R67" s="198"/>
      <c r="S67" s="198"/>
      <c r="T67" s="198"/>
      <c r="U67" s="198"/>
    </row>
    <row r="68" spans="1:21" s="12" customFormat="1" x14ac:dyDescent="0.25">
      <c r="A68" s="212" t="s">
        <v>1170</v>
      </c>
      <c r="B68" s="64">
        <v>4.82</v>
      </c>
      <c r="C68" s="64">
        <v>11.58</v>
      </c>
      <c r="D68" s="64">
        <v>9.91</v>
      </c>
      <c r="E68" s="64">
        <v>4.5999999999999996</v>
      </c>
      <c r="F68" s="64">
        <v>10.02</v>
      </c>
      <c r="G68" s="64">
        <v>39.229999999999997</v>
      </c>
      <c r="H68" s="64">
        <v>13.46</v>
      </c>
      <c r="I68" s="64">
        <v>1.28</v>
      </c>
      <c r="J68" s="64">
        <v>0.1</v>
      </c>
      <c r="K68" s="64">
        <v>206.37</v>
      </c>
      <c r="L68" s="64">
        <v>29.89</v>
      </c>
      <c r="M68" s="64">
        <v>71.77</v>
      </c>
      <c r="N68" s="64">
        <v>194.5</v>
      </c>
      <c r="O68" s="64">
        <v>0</v>
      </c>
      <c r="P68" s="64">
        <v>0.32</v>
      </c>
      <c r="Q68" s="64">
        <v>9.56</v>
      </c>
      <c r="R68" s="198"/>
      <c r="S68" s="198"/>
      <c r="T68" s="198"/>
      <c r="U68" s="198"/>
    </row>
    <row r="69" spans="1:21" s="12" customFormat="1" x14ac:dyDescent="0.25">
      <c r="A69" s="212" t="s">
        <v>1171</v>
      </c>
      <c r="B69" s="64">
        <v>4.8</v>
      </c>
      <c r="C69" s="64">
        <v>12.02</v>
      </c>
      <c r="D69" s="64">
        <v>10.14</v>
      </c>
      <c r="E69" s="64">
        <v>4.37</v>
      </c>
      <c r="F69" s="64">
        <v>11.33</v>
      </c>
      <c r="G69" s="64">
        <v>39.229999999999997</v>
      </c>
      <c r="H69" s="64">
        <v>13.46</v>
      </c>
      <c r="I69" s="64">
        <v>1.25</v>
      </c>
      <c r="J69" s="64">
        <v>0.13</v>
      </c>
      <c r="K69" s="64">
        <v>292.04000000000002</v>
      </c>
      <c r="L69" s="64">
        <v>30.02</v>
      </c>
      <c r="M69" s="64">
        <v>70.94</v>
      </c>
      <c r="N69" s="64">
        <v>193.2</v>
      </c>
      <c r="O69" s="64">
        <v>0</v>
      </c>
      <c r="P69" s="64">
        <v>0.34</v>
      </c>
      <c r="Q69" s="64">
        <v>9.5399999999999991</v>
      </c>
      <c r="R69" s="198"/>
      <c r="S69" s="198"/>
      <c r="T69" s="198"/>
      <c r="U69" s="198"/>
    </row>
    <row r="70" spans="1:21" s="12" customFormat="1" x14ac:dyDescent="0.25">
      <c r="A70" s="212" t="s">
        <v>1172</v>
      </c>
      <c r="B70" s="64">
        <v>4.71</v>
      </c>
      <c r="C70" s="64">
        <v>12.01</v>
      </c>
      <c r="D70" s="64">
        <v>10.06</v>
      </c>
      <c r="E70" s="64">
        <v>4.6399999999999997</v>
      </c>
      <c r="F70" s="64">
        <v>13.53</v>
      </c>
      <c r="G70" s="64">
        <v>39.229999999999997</v>
      </c>
      <c r="H70" s="64">
        <v>13.46</v>
      </c>
      <c r="I70" s="64">
        <v>1.23</v>
      </c>
      <c r="J70" s="64">
        <v>0.13</v>
      </c>
      <c r="K70" s="64">
        <v>251.81</v>
      </c>
      <c r="L70" s="64">
        <v>29.72</v>
      </c>
      <c r="M70" s="64">
        <v>73.42</v>
      </c>
      <c r="N70" s="64">
        <v>158.4</v>
      </c>
      <c r="O70" s="64">
        <v>0</v>
      </c>
      <c r="P70" s="64">
        <v>0.34</v>
      </c>
      <c r="Q70" s="64">
        <v>9.5299999999999994</v>
      </c>
      <c r="R70" s="198"/>
      <c r="S70" s="198"/>
      <c r="T70" s="198"/>
      <c r="U70" s="198"/>
    </row>
    <row r="71" spans="1:21" s="12" customFormat="1" x14ac:dyDescent="0.25">
      <c r="A71" s="212" t="s">
        <v>1173</v>
      </c>
      <c r="B71" s="64">
        <v>5.58</v>
      </c>
      <c r="C71" s="64">
        <v>14.19</v>
      </c>
      <c r="D71" s="64">
        <v>11.89</v>
      </c>
      <c r="E71" s="64">
        <v>4.6399999999999997</v>
      </c>
      <c r="F71" s="64">
        <v>10.34</v>
      </c>
      <c r="G71" s="64">
        <v>38.5</v>
      </c>
      <c r="H71" s="64">
        <v>13.61</v>
      </c>
      <c r="I71" s="64">
        <v>1.22</v>
      </c>
      <c r="J71" s="64">
        <v>0.03</v>
      </c>
      <c r="K71" s="64">
        <v>143.9</v>
      </c>
      <c r="L71" s="64">
        <v>29.46</v>
      </c>
      <c r="M71" s="64">
        <v>75.84</v>
      </c>
      <c r="N71" s="64">
        <v>138.19999999999999</v>
      </c>
      <c r="O71" s="64">
        <v>0</v>
      </c>
      <c r="P71" s="64">
        <v>0.37</v>
      </c>
      <c r="Q71" s="64">
        <v>9.5399999999999991</v>
      </c>
      <c r="R71" s="198"/>
      <c r="S71" s="198"/>
      <c r="T71" s="198"/>
      <c r="U71" s="198"/>
    </row>
    <row r="72" spans="1:21" s="12" customFormat="1" x14ac:dyDescent="0.25">
      <c r="A72" s="212" t="s">
        <v>1174</v>
      </c>
      <c r="B72" s="64">
        <v>5.22</v>
      </c>
      <c r="C72" s="64">
        <v>13.31</v>
      </c>
      <c r="D72" s="64">
        <v>11.14</v>
      </c>
      <c r="E72" s="64">
        <v>5.39</v>
      </c>
      <c r="F72" s="64">
        <v>15.01</v>
      </c>
      <c r="G72" s="64">
        <v>38.44</v>
      </c>
      <c r="H72" s="64">
        <v>13.63</v>
      </c>
      <c r="I72" s="64">
        <v>1.23</v>
      </c>
      <c r="J72" s="64">
        <v>0.28000000000000003</v>
      </c>
      <c r="K72" s="64">
        <v>144.32</v>
      </c>
      <c r="L72" s="64">
        <v>29.03</v>
      </c>
      <c r="M72" s="64">
        <v>77.86</v>
      </c>
      <c r="N72" s="64">
        <v>146.1</v>
      </c>
      <c r="O72" s="64">
        <v>0</v>
      </c>
      <c r="P72" s="64">
        <v>0.28999999999999998</v>
      </c>
      <c r="Q72" s="64">
        <v>9.5500000000000007</v>
      </c>
      <c r="R72" s="198"/>
      <c r="S72" s="198"/>
      <c r="T72" s="198"/>
      <c r="U72" s="198"/>
    </row>
    <row r="73" spans="1:21" s="12" customFormat="1" x14ac:dyDescent="0.25">
      <c r="A73" s="212" t="s">
        <v>1175</v>
      </c>
      <c r="B73" s="64">
        <v>5.03</v>
      </c>
      <c r="C73" s="64">
        <v>12.75</v>
      </c>
      <c r="D73" s="64">
        <v>10.7</v>
      </c>
      <c r="E73" s="64">
        <v>4.75</v>
      </c>
      <c r="F73" s="64">
        <v>15.86</v>
      </c>
      <c r="G73" s="64">
        <v>38.44</v>
      </c>
      <c r="H73" s="64">
        <v>13.63</v>
      </c>
      <c r="I73" s="64">
        <v>1.25</v>
      </c>
      <c r="J73" s="64">
        <v>0.2</v>
      </c>
      <c r="K73" s="64">
        <v>130.75</v>
      </c>
      <c r="L73" s="64">
        <v>28.99</v>
      </c>
      <c r="M73" s="64">
        <v>78.63</v>
      </c>
      <c r="N73" s="64">
        <v>134.9</v>
      </c>
      <c r="O73" s="64">
        <v>0</v>
      </c>
      <c r="P73" s="64">
        <v>0.25</v>
      </c>
      <c r="Q73" s="64">
        <v>9.57</v>
      </c>
      <c r="R73" s="198"/>
      <c r="S73" s="198"/>
      <c r="T73" s="198"/>
      <c r="U73" s="198"/>
    </row>
    <row r="74" spans="1:21" s="12" customFormat="1" x14ac:dyDescent="0.25">
      <c r="A74" s="212" t="s">
        <v>1176</v>
      </c>
      <c r="B74" s="64">
        <v>4.9400000000000004</v>
      </c>
      <c r="C74" s="64">
        <v>12.64</v>
      </c>
      <c r="D74" s="64">
        <v>10.56</v>
      </c>
      <c r="E74" s="64">
        <v>5.04</v>
      </c>
      <c r="F74" s="64">
        <v>13.81</v>
      </c>
      <c r="G74" s="64">
        <v>38.44</v>
      </c>
      <c r="H74" s="64">
        <v>13.63</v>
      </c>
      <c r="I74" s="64">
        <v>1.25</v>
      </c>
      <c r="J74" s="64">
        <v>0.44</v>
      </c>
      <c r="K74" s="64">
        <v>134.49</v>
      </c>
      <c r="L74" s="64">
        <v>28.93</v>
      </c>
      <c r="M74" s="64">
        <v>79.42</v>
      </c>
      <c r="N74" s="64">
        <v>131.6</v>
      </c>
      <c r="O74" s="64">
        <v>0</v>
      </c>
      <c r="P74" s="64">
        <v>0.24</v>
      </c>
      <c r="Q74" s="64">
        <v>9.57</v>
      </c>
      <c r="R74" s="198"/>
      <c r="S74" s="198"/>
      <c r="T74" s="198"/>
      <c r="U74" s="198"/>
    </row>
    <row r="75" spans="1:21" s="12" customFormat="1" x14ac:dyDescent="0.25">
      <c r="A75" s="212" t="s">
        <v>1177</v>
      </c>
      <c r="B75" s="64">
        <v>4.8</v>
      </c>
      <c r="C75" s="64">
        <v>11.93</v>
      </c>
      <c r="D75" s="64">
        <v>10.08</v>
      </c>
      <c r="E75" s="64">
        <v>5.13</v>
      </c>
      <c r="F75" s="64">
        <v>14.86</v>
      </c>
      <c r="G75" s="64">
        <v>38.33</v>
      </c>
      <c r="H75" s="64">
        <v>11.98</v>
      </c>
      <c r="I75" s="64">
        <v>1.23</v>
      </c>
      <c r="J75" s="64">
        <v>0.52</v>
      </c>
      <c r="K75" s="64">
        <v>137.38999999999999</v>
      </c>
      <c r="L75" s="64">
        <v>29.02</v>
      </c>
      <c r="M75" s="64">
        <v>79.45</v>
      </c>
      <c r="N75" s="64">
        <v>139.9</v>
      </c>
      <c r="O75" s="64">
        <v>0</v>
      </c>
      <c r="P75" s="64">
        <v>0.26</v>
      </c>
      <c r="Q75" s="64">
        <v>9.6</v>
      </c>
      <c r="R75" s="198"/>
      <c r="S75" s="198"/>
      <c r="T75" s="198"/>
      <c r="U75" s="198"/>
    </row>
    <row r="76" spans="1:21" s="12" customFormat="1" x14ac:dyDescent="0.25">
      <c r="A76" s="212" t="s">
        <v>1178</v>
      </c>
      <c r="B76" s="64">
        <v>4.9800000000000004</v>
      </c>
      <c r="C76" s="64">
        <v>10.36</v>
      </c>
      <c r="D76" s="64">
        <v>9.4</v>
      </c>
      <c r="E76" s="64">
        <v>5.43</v>
      </c>
      <c r="F76" s="64">
        <v>12.48</v>
      </c>
      <c r="G76" s="64">
        <v>38.32</v>
      </c>
      <c r="H76" s="64">
        <v>11.84</v>
      </c>
      <c r="I76" s="64">
        <v>1.22</v>
      </c>
      <c r="J76" s="64">
        <v>0.08</v>
      </c>
      <c r="K76" s="64">
        <v>160.81</v>
      </c>
      <c r="L76" s="64">
        <v>29.13</v>
      </c>
      <c r="M76" s="64">
        <v>79.44</v>
      </c>
      <c r="N76" s="64">
        <v>116.5</v>
      </c>
      <c r="O76" s="64">
        <v>0</v>
      </c>
      <c r="P76" s="64">
        <v>0.28999999999999998</v>
      </c>
      <c r="Q76" s="64">
        <v>9.6</v>
      </c>
      <c r="R76" s="198"/>
      <c r="S76" s="198"/>
      <c r="T76" s="198"/>
      <c r="U76" s="198"/>
    </row>
    <row r="77" spans="1:21" s="12" customFormat="1" x14ac:dyDescent="0.25">
      <c r="A77" s="212" t="s">
        <v>1179</v>
      </c>
      <c r="B77" s="64">
        <v>5.38</v>
      </c>
      <c r="C77" s="64">
        <v>9.02</v>
      </c>
      <c r="D77" s="64">
        <v>9.0299999999999994</v>
      </c>
      <c r="E77" s="64">
        <v>5.1100000000000003</v>
      </c>
      <c r="F77" s="64">
        <v>14</v>
      </c>
      <c r="G77" s="64">
        <v>38.32</v>
      </c>
      <c r="H77" s="64">
        <v>11.84</v>
      </c>
      <c r="I77" s="64">
        <v>1.18</v>
      </c>
      <c r="J77" s="64">
        <v>0.11</v>
      </c>
      <c r="K77" s="64">
        <v>170.9</v>
      </c>
      <c r="L77" s="64">
        <v>29.03</v>
      </c>
      <c r="M77" s="64">
        <v>78.31</v>
      </c>
      <c r="N77" s="64">
        <v>109.1</v>
      </c>
      <c r="O77" s="64">
        <v>0</v>
      </c>
      <c r="P77" s="64">
        <v>0.27</v>
      </c>
      <c r="Q77" s="64">
        <v>9.61</v>
      </c>
      <c r="R77" s="198"/>
      <c r="S77" s="198"/>
      <c r="T77" s="198"/>
      <c r="U77" s="198"/>
    </row>
    <row r="78" spans="1:21" s="12" customFormat="1" x14ac:dyDescent="0.25">
      <c r="A78" s="212" t="s">
        <v>1180</v>
      </c>
      <c r="B78" s="64">
        <v>5.16</v>
      </c>
      <c r="C78" s="64">
        <v>9.31</v>
      </c>
      <c r="D78" s="64">
        <v>9.01</v>
      </c>
      <c r="E78" s="64">
        <v>5.32</v>
      </c>
      <c r="F78" s="64">
        <v>13.4</v>
      </c>
      <c r="G78" s="64">
        <v>38.32</v>
      </c>
      <c r="H78" s="64">
        <v>11.84</v>
      </c>
      <c r="I78" s="64">
        <v>1.1599999999999999</v>
      </c>
      <c r="J78" s="64">
        <v>0.14000000000000001</v>
      </c>
      <c r="K78" s="64">
        <v>193.52</v>
      </c>
      <c r="L78" s="64">
        <v>28.92</v>
      </c>
      <c r="M78" s="64">
        <v>79.36</v>
      </c>
      <c r="N78" s="64">
        <v>101.2</v>
      </c>
      <c r="O78" s="64">
        <v>0</v>
      </c>
      <c r="P78" s="64">
        <v>0.26</v>
      </c>
      <c r="Q78" s="64">
        <v>9.61</v>
      </c>
      <c r="R78" s="198"/>
      <c r="S78" s="198"/>
      <c r="T78" s="198"/>
      <c r="U78" s="198"/>
    </row>
    <row r="79" spans="1:21" s="12" customFormat="1" x14ac:dyDescent="0.25">
      <c r="A79" s="212" t="s">
        <v>1181</v>
      </c>
      <c r="B79" s="64">
        <v>5.19</v>
      </c>
      <c r="C79" s="64">
        <v>11.1</v>
      </c>
      <c r="D79" s="64">
        <v>9.9600000000000009</v>
      </c>
      <c r="E79" s="64">
        <v>5.27</v>
      </c>
      <c r="F79" s="64">
        <v>13.72</v>
      </c>
      <c r="G79" s="64">
        <v>41.99</v>
      </c>
      <c r="H79" s="64">
        <v>14.37</v>
      </c>
      <c r="I79" s="64">
        <v>1.1399999999999999</v>
      </c>
      <c r="J79" s="64">
        <v>0.04</v>
      </c>
      <c r="K79" s="64">
        <v>282.62</v>
      </c>
      <c r="L79" s="64">
        <v>28.72</v>
      </c>
      <c r="M79" s="64">
        <v>80.12</v>
      </c>
      <c r="N79" s="64">
        <v>90.1</v>
      </c>
      <c r="O79" s="64">
        <v>0</v>
      </c>
      <c r="P79" s="64">
        <v>0.27</v>
      </c>
      <c r="Q79" s="64">
        <v>9.61</v>
      </c>
      <c r="R79" s="198"/>
      <c r="S79" s="198"/>
      <c r="T79" s="198"/>
      <c r="U79" s="198"/>
    </row>
    <row r="80" spans="1:21" s="12" customFormat="1" x14ac:dyDescent="0.25">
      <c r="A80" s="212" t="s">
        <v>1182</v>
      </c>
      <c r="B80" s="64">
        <v>4.83</v>
      </c>
      <c r="C80" s="64">
        <v>9.61</v>
      </c>
      <c r="D80" s="64">
        <v>8.89</v>
      </c>
      <c r="E80" s="64">
        <v>5.28</v>
      </c>
      <c r="F80" s="64">
        <v>12.7</v>
      </c>
      <c r="G80" s="64">
        <v>42.3</v>
      </c>
      <c r="H80" s="64">
        <v>14.58</v>
      </c>
      <c r="I80" s="64">
        <v>1.1299999999999999</v>
      </c>
      <c r="J80" s="64">
        <v>0.05</v>
      </c>
      <c r="K80" s="64">
        <v>270.3</v>
      </c>
      <c r="L80" s="64">
        <v>28.55</v>
      </c>
      <c r="M80" s="64">
        <v>80.56</v>
      </c>
      <c r="N80" s="64">
        <v>72.3</v>
      </c>
      <c r="O80" s="64">
        <v>0</v>
      </c>
      <c r="P80" s="64">
        <v>0.25</v>
      </c>
      <c r="Q80" s="64">
        <v>9.61</v>
      </c>
      <c r="R80" s="198"/>
      <c r="S80" s="198"/>
      <c r="T80" s="198"/>
      <c r="U80" s="198"/>
    </row>
    <row r="81" spans="1:26" s="12" customFormat="1" x14ac:dyDescent="0.25">
      <c r="A81" s="212" t="s">
        <v>1183</v>
      </c>
      <c r="B81" s="64">
        <v>4.4800000000000004</v>
      </c>
      <c r="C81" s="64">
        <v>9.17</v>
      </c>
      <c r="D81" s="64">
        <v>8.39</v>
      </c>
      <c r="E81" s="64">
        <v>5.3</v>
      </c>
      <c r="F81" s="64">
        <v>15.35</v>
      </c>
      <c r="G81" s="64">
        <v>42.3</v>
      </c>
      <c r="H81" s="64">
        <v>14.58</v>
      </c>
      <c r="I81" s="64">
        <v>1.1200000000000001</v>
      </c>
      <c r="J81" s="64">
        <v>0.02</v>
      </c>
      <c r="K81" s="64">
        <v>5.18</v>
      </c>
      <c r="L81" s="64">
        <v>28.39</v>
      </c>
      <c r="M81" s="64">
        <v>82.31</v>
      </c>
      <c r="N81" s="64">
        <v>59.1</v>
      </c>
      <c r="O81" s="64">
        <v>0</v>
      </c>
      <c r="P81" s="64">
        <v>0.25</v>
      </c>
      <c r="Q81" s="64">
        <v>9.6199999999999992</v>
      </c>
      <c r="R81" s="198"/>
      <c r="S81" s="198"/>
      <c r="T81" s="198"/>
      <c r="U81" s="198"/>
    </row>
    <row r="82" spans="1:26" s="12" customFormat="1" x14ac:dyDescent="0.25">
      <c r="A82" s="212" t="s">
        <v>1184</v>
      </c>
      <c r="B82" s="64">
        <v>4.6100000000000003</v>
      </c>
      <c r="C82" s="64">
        <v>11.1</v>
      </c>
      <c r="D82" s="64">
        <v>9.49</v>
      </c>
      <c r="E82" s="64">
        <v>5.3</v>
      </c>
      <c r="F82" s="64">
        <v>11.83</v>
      </c>
      <c r="G82" s="64">
        <v>42.3</v>
      </c>
      <c r="H82" s="64">
        <v>14.58</v>
      </c>
      <c r="I82" s="64">
        <v>1.1000000000000001</v>
      </c>
      <c r="J82" s="64">
        <v>0.3</v>
      </c>
      <c r="K82" s="64">
        <v>134.25</v>
      </c>
      <c r="L82" s="64">
        <v>28.14</v>
      </c>
      <c r="M82" s="64">
        <v>85.17</v>
      </c>
      <c r="N82" s="64">
        <v>47.1</v>
      </c>
      <c r="O82" s="64">
        <v>0</v>
      </c>
      <c r="P82" s="64">
        <v>0.28000000000000003</v>
      </c>
      <c r="Q82" s="64">
        <v>9.61</v>
      </c>
      <c r="R82" s="198"/>
      <c r="S82" s="198"/>
      <c r="T82" s="198"/>
      <c r="U82" s="198"/>
    </row>
    <row r="83" spans="1:26" s="12" customFormat="1" x14ac:dyDescent="0.25">
      <c r="A83" s="212" t="s">
        <v>1185</v>
      </c>
      <c r="B83" s="64">
        <v>5.95</v>
      </c>
      <c r="C83" s="64">
        <v>18.04</v>
      </c>
      <c r="D83" s="64">
        <v>14.19</v>
      </c>
      <c r="E83" s="64">
        <v>5.34</v>
      </c>
      <c r="F83" s="64">
        <v>11.58</v>
      </c>
      <c r="G83" s="64">
        <v>40.909999999999997</v>
      </c>
      <c r="H83" s="64">
        <v>12.03</v>
      </c>
      <c r="I83" s="64">
        <v>1.08</v>
      </c>
      <c r="J83" s="64">
        <v>0.16</v>
      </c>
      <c r="K83" s="64">
        <v>133.22</v>
      </c>
      <c r="L83" s="64">
        <v>27.92</v>
      </c>
      <c r="M83" s="64">
        <v>87.23</v>
      </c>
      <c r="N83" s="64">
        <v>42.6</v>
      </c>
      <c r="O83" s="64">
        <v>0</v>
      </c>
      <c r="P83" s="64">
        <v>0.27</v>
      </c>
      <c r="Q83" s="64">
        <v>9.61</v>
      </c>
      <c r="R83" s="198"/>
      <c r="S83" s="198"/>
      <c r="T83" s="198"/>
      <c r="U83" s="198"/>
    </row>
    <row r="84" spans="1:26" s="12" customFormat="1" x14ac:dyDescent="0.25">
      <c r="A84" s="212" t="s">
        <v>1186</v>
      </c>
      <c r="B84" s="64">
        <v>6.07</v>
      </c>
      <c r="C84" s="64">
        <v>16.22</v>
      </c>
      <c r="D84" s="64">
        <v>13.34</v>
      </c>
      <c r="E84" s="64">
        <v>5.13</v>
      </c>
      <c r="F84" s="64">
        <v>10.81</v>
      </c>
      <c r="G84" s="64">
        <v>40.79</v>
      </c>
      <c r="H84" s="64">
        <v>11.82</v>
      </c>
      <c r="I84" s="64">
        <v>1.06</v>
      </c>
      <c r="J84" s="64">
        <v>0.31</v>
      </c>
      <c r="K84" s="64">
        <v>132.32</v>
      </c>
      <c r="L84" s="64">
        <v>27.82</v>
      </c>
      <c r="M84" s="64">
        <v>88.38</v>
      </c>
      <c r="N84" s="64">
        <v>42.1</v>
      </c>
      <c r="O84" s="64">
        <v>0</v>
      </c>
      <c r="P84" s="64">
        <v>0.28000000000000003</v>
      </c>
      <c r="Q84" s="64">
        <v>9.61</v>
      </c>
      <c r="R84" s="198"/>
      <c r="S84" s="198"/>
      <c r="T84" s="198"/>
      <c r="U84" s="198"/>
    </row>
    <row r="85" spans="1:26" s="12" customFormat="1" x14ac:dyDescent="0.25">
      <c r="A85" s="212" t="s">
        <v>1187</v>
      </c>
      <c r="B85" s="64">
        <v>6.81</v>
      </c>
      <c r="C85" s="64">
        <v>14.82</v>
      </c>
      <c r="D85" s="64">
        <v>13.2</v>
      </c>
      <c r="E85" s="64">
        <v>5.25</v>
      </c>
      <c r="F85" s="64">
        <v>9.33</v>
      </c>
      <c r="G85" s="64">
        <v>40.79</v>
      </c>
      <c r="H85" s="64">
        <v>11.82</v>
      </c>
      <c r="I85" s="64">
        <v>1.04</v>
      </c>
      <c r="J85" s="64">
        <v>0.91</v>
      </c>
      <c r="K85" s="64">
        <v>138.53</v>
      </c>
      <c r="L85" s="64">
        <v>27.73</v>
      </c>
      <c r="M85" s="64">
        <v>89.85</v>
      </c>
      <c r="N85" s="64">
        <v>41.9</v>
      </c>
      <c r="O85" s="64">
        <v>0</v>
      </c>
      <c r="P85" s="64">
        <v>0.33</v>
      </c>
      <c r="Q85" s="64">
        <v>9.61</v>
      </c>
      <c r="R85" s="198"/>
      <c r="S85" s="198"/>
      <c r="T85" s="198"/>
      <c r="U85" s="198"/>
    </row>
    <row r="86" spans="1:26" s="12" customFormat="1" x14ac:dyDescent="0.25">
      <c r="A86" s="212" t="s">
        <v>1188</v>
      </c>
      <c r="B86" s="64">
        <v>6.13</v>
      </c>
      <c r="C86" s="64">
        <v>13.68</v>
      </c>
      <c r="D86" s="64">
        <v>12.06</v>
      </c>
      <c r="E86" s="64">
        <v>5.36</v>
      </c>
      <c r="F86" s="64">
        <v>12.91</v>
      </c>
      <c r="G86" s="64">
        <v>40.79</v>
      </c>
      <c r="H86" s="64">
        <v>11.82</v>
      </c>
      <c r="I86" s="64">
        <v>1.03</v>
      </c>
      <c r="J86" s="64">
        <v>1.0900000000000001</v>
      </c>
      <c r="K86" s="64">
        <v>131.16999999999999</v>
      </c>
      <c r="L86" s="64">
        <v>27.59</v>
      </c>
      <c r="M86" s="64">
        <v>92.78</v>
      </c>
      <c r="N86" s="64">
        <v>42</v>
      </c>
      <c r="O86" s="64">
        <v>0</v>
      </c>
      <c r="P86" s="64">
        <v>0.34</v>
      </c>
      <c r="Q86" s="64">
        <v>9.6</v>
      </c>
      <c r="R86" s="198"/>
      <c r="S86" s="198"/>
      <c r="T86" s="198"/>
      <c r="U86" s="198"/>
    </row>
    <row r="87" spans="1:26" s="12" customFormat="1" x14ac:dyDescent="0.25">
      <c r="A87" s="212" t="s">
        <v>1189</v>
      </c>
      <c r="B87" s="64">
        <v>5.25</v>
      </c>
      <c r="C87" s="64">
        <v>10.58</v>
      </c>
      <c r="D87" s="64">
        <v>9.74</v>
      </c>
      <c r="E87" s="64">
        <v>5.35</v>
      </c>
      <c r="F87" s="64">
        <v>10.99</v>
      </c>
      <c r="G87" s="64">
        <v>39.72</v>
      </c>
      <c r="H87" s="64">
        <v>13.15</v>
      </c>
      <c r="I87" s="64">
        <v>1.03</v>
      </c>
      <c r="J87" s="64">
        <v>1.0900000000000001</v>
      </c>
      <c r="K87" s="64">
        <v>139.06</v>
      </c>
      <c r="L87" s="64">
        <v>27.4</v>
      </c>
      <c r="M87" s="64">
        <v>96.04</v>
      </c>
      <c r="N87" s="64">
        <v>42.2</v>
      </c>
      <c r="O87" s="64">
        <v>0</v>
      </c>
      <c r="P87" s="64">
        <v>0.33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12" t="s">
        <v>1190</v>
      </c>
      <c r="B88" s="64">
        <v>5.4</v>
      </c>
      <c r="C88" s="64">
        <v>10.4</v>
      </c>
      <c r="D88" s="64">
        <v>9.76</v>
      </c>
      <c r="E88" s="64">
        <v>5.15</v>
      </c>
      <c r="F88" s="64">
        <v>10.33</v>
      </c>
      <c r="G88" s="64">
        <v>39.65</v>
      </c>
      <c r="H88" s="64">
        <v>13.24</v>
      </c>
      <c r="I88" s="64">
        <v>1.03</v>
      </c>
      <c r="J88" s="64">
        <v>0.28999999999999998</v>
      </c>
      <c r="K88" s="64">
        <v>133.97</v>
      </c>
      <c r="L88" s="64">
        <v>27.22</v>
      </c>
      <c r="M88" s="64">
        <v>96.79</v>
      </c>
      <c r="N88" s="64">
        <v>42.2</v>
      </c>
      <c r="O88" s="64">
        <v>0</v>
      </c>
      <c r="P88" s="64">
        <v>0.36</v>
      </c>
      <c r="Q88" s="64">
        <v>9.61</v>
      </c>
      <c r="R88" s="198"/>
      <c r="S88" s="198"/>
      <c r="T88" s="198"/>
      <c r="U88" s="198"/>
    </row>
    <row r="89" spans="1:26" s="12" customFormat="1" x14ac:dyDescent="0.25">
      <c r="A89" s="212" t="s">
        <v>1191</v>
      </c>
      <c r="B89" s="64">
        <v>6.52</v>
      </c>
      <c r="C89" s="64">
        <v>14.49</v>
      </c>
      <c r="D89" s="64">
        <v>12.8</v>
      </c>
      <c r="E89" s="64">
        <v>5.35</v>
      </c>
      <c r="F89" s="64">
        <v>9.31</v>
      </c>
      <c r="G89" s="64">
        <v>39.65</v>
      </c>
      <c r="H89" s="64">
        <v>13.24</v>
      </c>
      <c r="I89" s="64">
        <v>1.03</v>
      </c>
      <c r="J89" s="64">
        <v>0.14000000000000001</v>
      </c>
      <c r="K89" s="64">
        <v>137.69999999999999</v>
      </c>
      <c r="L89" s="64">
        <v>27.11</v>
      </c>
      <c r="M89" s="64">
        <v>97.37</v>
      </c>
      <c r="N89" s="64">
        <v>42.2</v>
      </c>
      <c r="O89" s="64">
        <v>0</v>
      </c>
      <c r="P89" s="64">
        <v>0.33</v>
      </c>
      <c r="Q89" s="64">
        <v>9.6</v>
      </c>
      <c r="R89" s="198"/>
      <c r="S89" s="198"/>
      <c r="T89" s="198"/>
      <c r="U89" s="198"/>
    </row>
    <row r="90" spans="1:26" s="12" customFormat="1" x14ac:dyDescent="0.25">
      <c r="A90" s="212" t="s">
        <v>1192</v>
      </c>
      <c r="B90" s="64">
        <v>5.55</v>
      </c>
      <c r="C90" s="64">
        <v>13.49</v>
      </c>
      <c r="D90" s="64">
        <v>11.5</v>
      </c>
      <c r="E90" s="64">
        <v>5.18</v>
      </c>
      <c r="F90" s="64">
        <v>10.02</v>
      </c>
      <c r="G90" s="64">
        <v>39.65</v>
      </c>
      <c r="H90" s="64">
        <v>13.24</v>
      </c>
      <c r="I90" s="64">
        <v>1.04</v>
      </c>
      <c r="J90" s="64">
        <v>0.13</v>
      </c>
      <c r="K90" s="64">
        <v>150.78</v>
      </c>
      <c r="L90" s="64">
        <v>26.91</v>
      </c>
      <c r="M90" s="64">
        <v>97.63</v>
      </c>
      <c r="N90" s="64">
        <v>42.2</v>
      </c>
      <c r="O90" s="64">
        <v>0</v>
      </c>
      <c r="P90" s="64">
        <v>0.32</v>
      </c>
      <c r="Q90" s="64">
        <v>9.6199999999999992</v>
      </c>
      <c r="R90" s="198"/>
      <c r="S90" s="198"/>
      <c r="T90" s="198"/>
      <c r="U90" s="198"/>
    </row>
    <row r="91" spans="1:26" s="12" customFormat="1" x14ac:dyDescent="0.25">
      <c r="A91" s="212" t="s">
        <v>1193</v>
      </c>
      <c r="B91" s="64">
        <v>7.02</v>
      </c>
      <c r="C91" s="64">
        <v>13.58</v>
      </c>
      <c r="D91" s="64">
        <v>12.72</v>
      </c>
      <c r="E91" s="64">
        <v>5.03</v>
      </c>
      <c r="F91" s="64">
        <v>7.42</v>
      </c>
      <c r="G91" s="64">
        <v>37.75</v>
      </c>
      <c r="H91" s="64">
        <v>10.79</v>
      </c>
      <c r="I91" s="64">
        <v>1.04</v>
      </c>
      <c r="J91" s="64">
        <v>0.03</v>
      </c>
      <c r="K91" s="64">
        <v>104.85</v>
      </c>
      <c r="L91" s="64">
        <v>26.8</v>
      </c>
      <c r="M91" s="64">
        <v>97.65</v>
      </c>
      <c r="N91" s="64">
        <v>42.1</v>
      </c>
      <c r="O91" s="64">
        <v>0</v>
      </c>
      <c r="P91" s="64">
        <v>0.39</v>
      </c>
      <c r="Q91" s="64">
        <v>9.61</v>
      </c>
      <c r="R91" s="198"/>
      <c r="S91" s="198"/>
      <c r="T91" s="198"/>
      <c r="U91" s="198"/>
    </row>
    <row r="92" spans="1:26" s="12" customFormat="1" x14ac:dyDescent="0.25">
      <c r="A92" s="212" t="s">
        <v>1194</v>
      </c>
      <c r="B92" s="64">
        <v>6.86</v>
      </c>
      <c r="C92" s="64">
        <v>14.05</v>
      </c>
      <c r="D92" s="64">
        <v>12.84</v>
      </c>
      <c r="E92" s="64">
        <v>5.17</v>
      </c>
      <c r="F92" s="64">
        <v>7.28</v>
      </c>
      <c r="G92" s="64">
        <v>37.61</v>
      </c>
      <c r="H92" s="64">
        <v>10.62</v>
      </c>
      <c r="I92" s="64">
        <v>1.04</v>
      </c>
      <c r="J92" s="64">
        <v>0.11</v>
      </c>
      <c r="K92" s="64">
        <v>150.72999999999999</v>
      </c>
      <c r="L92" s="64">
        <v>26.75</v>
      </c>
      <c r="M92" s="64">
        <v>97.65</v>
      </c>
      <c r="N92" s="64">
        <v>42</v>
      </c>
      <c r="O92" s="64">
        <v>0</v>
      </c>
      <c r="P92" s="64">
        <v>0.37</v>
      </c>
      <c r="Q92" s="64">
        <v>9.6</v>
      </c>
      <c r="R92" s="198"/>
      <c r="S92" s="198"/>
      <c r="T92" s="198"/>
      <c r="U92" s="198"/>
    </row>
    <row r="93" spans="1:26" s="12" customFormat="1" x14ac:dyDescent="0.25">
      <c r="A93" s="212" t="s">
        <v>1195</v>
      </c>
      <c r="B93" s="64">
        <v>8.51</v>
      </c>
      <c r="C93" s="64">
        <v>16.350000000000001</v>
      </c>
      <c r="D93" s="64">
        <v>15.37</v>
      </c>
      <c r="E93" s="64">
        <v>5.23</v>
      </c>
      <c r="F93" s="64">
        <v>6.48</v>
      </c>
      <c r="G93" s="64">
        <v>37.61</v>
      </c>
      <c r="H93" s="64">
        <v>10.62</v>
      </c>
      <c r="I93" s="64">
        <v>1.04</v>
      </c>
      <c r="J93" s="64">
        <v>0.26</v>
      </c>
      <c r="K93" s="64">
        <v>137.18</v>
      </c>
      <c r="L93" s="64">
        <v>26.69</v>
      </c>
      <c r="M93" s="64">
        <v>97.65</v>
      </c>
      <c r="N93" s="64">
        <v>41.9</v>
      </c>
      <c r="O93" s="64">
        <v>0</v>
      </c>
      <c r="P93" s="64">
        <v>0.38</v>
      </c>
      <c r="Q93" s="64">
        <v>9.6300000000000008</v>
      </c>
      <c r="R93" s="198"/>
      <c r="S93" s="198"/>
      <c r="T93" s="198"/>
      <c r="U93" s="198"/>
    </row>
    <row r="94" spans="1:26" s="12" customFormat="1" x14ac:dyDescent="0.25">
      <c r="A94" s="212" t="s">
        <v>1196</v>
      </c>
      <c r="B94" s="64">
        <v>6.39</v>
      </c>
      <c r="C94" s="64">
        <v>13.96</v>
      </c>
      <c r="D94" s="64">
        <v>12.41</v>
      </c>
      <c r="E94" s="64">
        <v>5.4</v>
      </c>
      <c r="F94" s="64">
        <v>7.71</v>
      </c>
      <c r="G94" s="64">
        <v>37.61</v>
      </c>
      <c r="H94" s="64">
        <v>10.62</v>
      </c>
      <c r="I94" s="64">
        <v>1.05</v>
      </c>
      <c r="J94" s="64">
        <v>0.3</v>
      </c>
      <c r="K94" s="64">
        <v>122.65</v>
      </c>
      <c r="L94" s="64">
        <v>26.61</v>
      </c>
      <c r="M94" s="64">
        <v>97.65</v>
      </c>
      <c r="N94" s="64">
        <v>41.9</v>
      </c>
      <c r="O94" s="64">
        <v>0</v>
      </c>
      <c r="P94" s="64">
        <v>0.38</v>
      </c>
      <c r="Q94" s="64">
        <v>9.64</v>
      </c>
      <c r="R94" s="198"/>
      <c r="S94" s="198"/>
      <c r="T94" s="198"/>
      <c r="U94" s="198"/>
    </row>
    <row r="95" spans="1:26" s="12" customFormat="1" x14ac:dyDescent="0.25">
      <c r="A95" s="212" t="s">
        <v>1197</v>
      </c>
      <c r="B95" s="64">
        <v>5.44</v>
      </c>
      <c r="C95" s="64">
        <v>11.57</v>
      </c>
      <c r="D95" s="64">
        <v>10.41</v>
      </c>
      <c r="E95" s="64">
        <v>5.45</v>
      </c>
      <c r="F95" s="64">
        <v>8.4</v>
      </c>
      <c r="G95" s="64">
        <v>40.08</v>
      </c>
      <c r="H95" s="64">
        <v>10.130000000000001</v>
      </c>
      <c r="I95" s="64">
        <v>1.07</v>
      </c>
      <c r="J95" s="64">
        <v>0.33</v>
      </c>
      <c r="K95" s="64">
        <v>132.94999999999999</v>
      </c>
      <c r="L95" s="64">
        <v>26.47</v>
      </c>
      <c r="M95" s="64">
        <v>97.68</v>
      </c>
      <c r="N95" s="64">
        <v>42.1</v>
      </c>
      <c r="O95" s="64">
        <v>0</v>
      </c>
      <c r="P95" s="64">
        <v>0.37</v>
      </c>
      <c r="Q95" s="64">
        <v>9.6199999999999992</v>
      </c>
      <c r="R95" s="198"/>
      <c r="S95" s="198"/>
      <c r="T95" s="198"/>
      <c r="U95" s="198"/>
    </row>
    <row r="96" spans="1:26" s="12" customFormat="1" x14ac:dyDescent="0.25">
      <c r="A96" s="212" t="s">
        <v>1198</v>
      </c>
      <c r="B96" s="64">
        <v>5.22</v>
      </c>
      <c r="C96" s="64">
        <v>11.17</v>
      </c>
      <c r="D96" s="64">
        <v>10.02</v>
      </c>
      <c r="E96" s="64">
        <v>5.6</v>
      </c>
      <c r="F96" s="64">
        <v>7.36</v>
      </c>
      <c r="G96" s="64">
        <v>40.29</v>
      </c>
      <c r="H96" s="64">
        <v>10.09</v>
      </c>
      <c r="I96" s="64">
        <v>1.08</v>
      </c>
      <c r="J96" s="64">
        <v>0.69</v>
      </c>
      <c r="K96" s="64">
        <v>136.24</v>
      </c>
      <c r="L96" s="64">
        <v>26.31</v>
      </c>
      <c r="M96" s="64">
        <v>97.7</v>
      </c>
      <c r="N96" s="64">
        <v>42.1</v>
      </c>
      <c r="O96" s="64">
        <v>0</v>
      </c>
      <c r="P96" s="64">
        <v>0.37</v>
      </c>
      <c r="Q96" s="64">
        <v>9.6199999999999992</v>
      </c>
      <c r="R96" s="198"/>
      <c r="S96" s="198"/>
      <c r="T96" s="198"/>
      <c r="U96" s="198"/>
      <c r="Z96" s="109"/>
    </row>
    <row r="97" spans="1:33" s="12" customFormat="1" x14ac:dyDescent="0.25">
      <c r="A97" s="212" t="s">
        <v>1199</v>
      </c>
      <c r="B97" s="64">
        <v>6.64</v>
      </c>
      <c r="C97" s="64">
        <v>12.57</v>
      </c>
      <c r="D97" s="64">
        <v>11.89</v>
      </c>
      <c r="E97" s="64">
        <v>5.62</v>
      </c>
      <c r="F97" s="64">
        <v>7.68</v>
      </c>
      <c r="G97" s="64">
        <v>40.29</v>
      </c>
      <c r="H97" s="64">
        <v>10.09</v>
      </c>
      <c r="I97" s="64">
        <v>1.0900000000000001</v>
      </c>
      <c r="J97" s="64">
        <v>0.69</v>
      </c>
      <c r="K97" s="64">
        <v>135.88</v>
      </c>
      <c r="L97" s="64">
        <v>26.12</v>
      </c>
      <c r="M97" s="64">
        <v>97.72</v>
      </c>
      <c r="N97" s="64">
        <v>42.1</v>
      </c>
      <c r="O97" s="64">
        <v>0</v>
      </c>
      <c r="P97" s="64">
        <v>0.35</v>
      </c>
      <c r="Q97" s="64">
        <v>9.6300000000000008</v>
      </c>
      <c r="R97" s="198"/>
      <c r="S97" s="198"/>
      <c r="T97" s="198"/>
      <c r="U97" s="198"/>
    </row>
    <row r="98" spans="1:33" s="12" customFormat="1" x14ac:dyDescent="0.25">
      <c r="A98" s="212" t="s">
        <v>1200</v>
      </c>
      <c r="B98" s="64">
        <v>6.91</v>
      </c>
      <c r="C98" s="64">
        <v>11.87</v>
      </c>
      <c r="D98" s="64">
        <v>11.74</v>
      </c>
      <c r="E98" s="64">
        <v>5.46</v>
      </c>
      <c r="F98" s="64">
        <v>8.99</v>
      </c>
      <c r="G98" s="64">
        <v>40.29</v>
      </c>
      <c r="H98" s="64">
        <v>10.09</v>
      </c>
      <c r="I98" s="64">
        <v>1.1100000000000001</v>
      </c>
      <c r="J98" s="64">
        <v>0.94</v>
      </c>
      <c r="K98" s="64">
        <v>145.44</v>
      </c>
      <c r="L98" s="64">
        <v>26.05</v>
      </c>
      <c r="M98" s="64">
        <v>97.72</v>
      </c>
      <c r="N98" s="64">
        <v>42.2</v>
      </c>
      <c r="O98" s="64">
        <v>0</v>
      </c>
      <c r="P98" s="64">
        <v>0.34</v>
      </c>
      <c r="Q98" s="64">
        <v>9.6300000000000008</v>
      </c>
      <c r="R98" s="198"/>
      <c r="S98" s="198"/>
      <c r="T98" s="198"/>
      <c r="U98" s="198"/>
    </row>
    <row r="99" spans="1:33" s="12" customFormat="1" x14ac:dyDescent="0.25">
      <c r="A99" s="212" t="s">
        <v>1201</v>
      </c>
      <c r="B99" s="64">
        <v>6.35</v>
      </c>
      <c r="C99" s="64">
        <v>9.44</v>
      </c>
      <c r="D99" s="64">
        <v>10.02</v>
      </c>
      <c r="E99" s="64">
        <v>5.45</v>
      </c>
      <c r="F99" s="64">
        <v>8.5500000000000007</v>
      </c>
      <c r="G99" s="64">
        <v>40.909999999999997</v>
      </c>
      <c r="H99" s="64">
        <v>12.31</v>
      </c>
      <c r="I99" s="64">
        <v>1.1100000000000001</v>
      </c>
      <c r="J99" s="64">
        <v>0.73</v>
      </c>
      <c r="K99" s="64">
        <v>134.08000000000001</v>
      </c>
      <c r="L99" s="64">
        <v>25.93</v>
      </c>
      <c r="M99" s="64">
        <v>97.75</v>
      </c>
      <c r="N99" s="64">
        <v>42.3</v>
      </c>
      <c r="O99" s="64">
        <v>0</v>
      </c>
      <c r="P99" s="64">
        <v>0.33</v>
      </c>
      <c r="Q99" s="64">
        <v>9.6300000000000008</v>
      </c>
      <c r="R99" s="198"/>
      <c r="S99" s="198"/>
      <c r="T99" s="198"/>
      <c r="U99" s="198"/>
    </row>
    <row r="100" spans="1:33" s="12" customFormat="1" x14ac:dyDescent="0.25">
      <c r="A100" s="212" t="s">
        <v>1202</v>
      </c>
      <c r="B100" s="64">
        <v>6.15</v>
      </c>
      <c r="C100" s="64">
        <v>8.82</v>
      </c>
      <c r="D100" s="64">
        <v>9.5399999999999991</v>
      </c>
      <c r="E100" s="64">
        <v>5.46</v>
      </c>
      <c r="F100" s="64">
        <v>7.55</v>
      </c>
      <c r="G100" s="64">
        <v>40.96</v>
      </c>
      <c r="H100" s="64">
        <v>12.47</v>
      </c>
      <c r="I100" s="64">
        <v>1.1100000000000001</v>
      </c>
      <c r="J100" s="64">
        <v>0.75</v>
      </c>
      <c r="K100" s="64">
        <v>135.24</v>
      </c>
      <c r="L100" s="64">
        <v>25.85</v>
      </c>
      <c r="M100" s="64">
        <v>97.75</v>
      </c>
      <c r="N100" s="64">
        <v>42.3</v>
      </c>
      <c r="O100" s="64">
        <v>0</v>
      </c>
      <c r="P100" s="64">
        <v>0.33</v>
      </c>
      <c r="Q100" s="64">
        <v>9.6300000000000008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2" t="s">
        <v>1203</v>
      </c>
      <c r="B101" s="64">
        <v>5.8</v>
      </c>
      <c r="C101" s="64">
        <v>8.01</v>
      </c>
      <c r="D101" s="64">
        <v>8.83</v>
      </c>
      <c r="E101" s="64">
        <v>5.31</v>
      </c>
      <c r="F101" s="64">
        <v>7.37</v>
      </c>
      <c r="G101" s="64">
        <v>40.96</v>
      </c>
      <c r="H101" s="64">
        <v>12.47</v>
      </c>
      <c r="I101" s="64">
        <v>1.1100000000000001</v>
      </c>
      <c r="J101" s="64">
        <v>0.55000000000000004</v>
      </c>
      <c r="K101" s="64">
        <v>136.38999999999999</v>
      </c>
      <c r="L101" s="64">
        <v>25.75</v>
      </c>
      <c r="M101" s="64">
        <v>97.75</v>
      </c>
      <c r="N101" s="64">
        <v>42.3</v>
      </c>
      <c r="O101" s="64">
        <v>0</v>
      </c>
      <c r="P101" s="64">
        <v>0.31</v>
      </c>
      <c r="Q101" s="64">
        <v>9.64</v>
      </c>
      <c r="R101" s="198"/>
      <c r="S101" s="198"/>
      <c r="T101" s="198"/>
      <c r="U101" s="198"/>
    </row>
    <row r="102" spans="1:33" s="12" customFormat="1" x14ac:dyDescent="0.25">
      <c r="A102" s="212" t="s">
        <v>1204</v>
      </c>
      <c r="B102" s="64">
        <v>6.82</v>
      </c>
      <c r="C102" s="64">
        <v>9.59</v>
      </c>
      <c r="D102" s="64">
        <v>10.48</v>
      </c>
      <c r="E102" s="64">
        <v>5.16</v>
      </c>
      <c r="F102" s="64">
        <v>5.77</v>
      </c>
      <c r="G102" s="64">
        <v>40.96</v>
      </c>
      <c r="H102" s="64">
        <v>12.47</v>
      </c>
      <c r="I102" s="64">
        <v>1.1100000000000001</v>
      </c>
      <c r="J102" s="64">
        <v>0.06</v>
      </c>
      <c r="K102" s="64">
        <v>121.54</v>
      </c>
      <c r="L102" s="64">
        <v>25.68</v>
      </c>
      <c r="M102" s="64">
        <v>97.78</v>
      </c>
      <c r="N102" s="64">
        <v>42.3</v>
      </c>
      <c r="O102" s="64">
        <v>0</v>
      </c>
      <c r="P102" s="64">
        <v>0.3</v>
      </c>
      <c r="Q102" s="64">
        <v>9.6300000000000008</v>
      </c>
      <c r="R102" s="198"/>
      <c r="S102" s="198"/>
      <c r="T102" s="198"/>
      <c r="U102" s="198"/>
    </row>
    <row r="103" spans="1:33" s="12" customFormat="1" x14ac:dyDescent="0.25">
      <c r="A103" s="212" t="s">
        <v>1205</v>
      </c>
      <c r="B103" s="64">
        <v>6.34</v>
      </c>
      <c r="C103" s="64">
        <v>9.44</v>
      </c>
      <c r="D103" s="64">
        <v>10.01</v>
      </c>
      <c r="E103" s="64">
        <v>5.05</v>
      </c>
      <c r="F103" s="64">
        <v>6.06</v>
      </c>
      <c r="G103" s="64">
        <v>37.83</v>
      </c>
      <c r="H103" s="64">
        <v>11.26</v>
      </c>
      <c r="I103" s="64">
        <v>1.0900000000000001</v>
      </c>
      <c r="J103" s="64">
        <v>7.0000000000000007E-2</v>
      </c>
      <c r="K103" s="64">
        <v>107.69</v>
      </c>
      <c r="L103" s="64">
        <v>25.62</v>
      </c>
      <c r="M103" s="64">
        <v>97.78</v>
      </c>
      <c r="N103" s="64">
        <v>42.3</v>
      </c>
      <c r="O103" s="64">
        <v>0</v>
      </c>
      <c r="P103" s="64">
        <v>0.31</v>
      </c>
      <c r="Q103" s="64">
        <v>9.6300000000000008</v>
      </c>
      <c r="R103" s="198"/>
      <c r="S103" s="198"/>
      <c r="T103" s="198"/>
      <c r="U103" s="198"/>
    </row>
    <row r="104" spans="1:33" s="12" customFormat="1" x14ac:dyDescent="0.25">
      <c r="A104" s="212" t="s">
        <v>1206</v>
      </c>
      <c r="B104" s="64">
        <v>5.35</v>
      </c>
      <c r="C104" s="64">
        <v>7.98</v>
      </c>
      <c r="D104" s="64">
        <v>8.4600000000000009</v>
      </c>
      <c r="E104" s="64">
        <v>4.6399999999999997</v>
      </c>
      <c r="F104" s="64">
        <v>6.2</v>
      </c>
      <c r="G104" s="64">
        <v>37.61</v>
      </c>
      <c r="H104" s="64">
        <v>11.17</v>
      </c>
      <c r="I104" s="64">
        <v>1.08</v>
      </c>
      <c r="J104" s="64">
        <v>0.06</v>
      </c>
      <c r="K104" s="64">
        <v>148.58000000000001</v>
      </c>
      <c r="L104" s="64">
        <v>25.61</v>
      </c>
      <c r="M104" s="64">
        <v>97.79</v>
      </c>
      <c r="N104" s="64">
        <v>42.3</v>
      </c>
      <c r="O104" s="64">
        <v>0</v>
      </c>
      <c r="P104" s="64">
        <v>0.31</v>
      </c>
      <c r="Q104" s="64">
        <v>9.64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4.4800000000000004</v>
      </c>
      <c r="C106" s="67">
        <f>MIN(C9:C104)</f>
        <v>6.56</v>
      </c>
      <c r="D106" s="67">
        <f t="shared" ref="D106:Q106" si="0">MIN(D9:D104)</f>
        <v>7.61</v>
      </c>
      <c r="E106" s="67">
        <f t="shared" si="0"/>
        <v>4.1500000000000004</v>
      </c>
      <c r="F106" s="67">
        <f t="shared" si="0"/>
        <v>3.16</v>
      </c>
      <c r="G106" s="67">
        <f t="shared" si="0"/>
        <v>17.2</v>
      </c>
      <c r="H106" s="67">
        <f t="shared" si="0"/>
        <v>5.36</v>
      </c>
      <c r="I106" s="67">
        <f t="shared" si="0"/>
        <v>0.84</v>
      </c>
      <c r="J106" s="67">
        <f t="shared" si="0"/>
        <v>0.02</v>
      </c>
      <c r="K106" s="67">
        <f t="shared" si="0"/>
        <v>5.18</v>
      </c>
      <c r="L106" s="67">
        <f t="shared" si="0"/>
        <v>23.75</v>
      </c>
      <c r="M106" s="67">
        <f t="shared" si="0"/>
        <v>67.040000000000006</v>
      </c>
      <c r="N106" s="67">
        <f t="shared" si="0"/>
        <v>41.9</v>
      </c>
      <c r="O106" s="67">
        <f t="shared" si="0"/>
        <v>0</v>
      </c>
      <c r="P106" s="67">
        <f t="shared" si="0"/>
        <v>0.19</v>
      </c>
      <c r="Q106" s="67">
        <f t="shared" si="0"/>
        <v>9.5299999999999994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8.7899999999999991</v>
      </c>
      <c r="C107" s="66">
        <f t="shared" ref="C107:Q107" si="1">MAX(C9:C104)</f>
        <v>18.04</v>
      </c>
      <c r="D107" s="66">
        <f t="shared" si="1"/>
        <v>15.37</v>
      </c>
      <c r="E107" s="66">
        <f t="shared" si="1"/>
        <v>5.62</v>
      </c>
      <c r="F107" s="66">
        <f t="shared" si="1"/>
        <v>15.86</v>
      </c>
      <c r="G107" s="66">
        <f t="shared" si="1"/>
        <v>42.3</v>
      </c>
      <c r="H107" s="66">
        <f t="shared" si="1"/>
        <v>14.58</v>
      </c>
      <c r="I107" s="66">
        <f t="shared" si="1"/>
        <v>1.6</v>
      </c>
      <c r="J107" s="66">
        <f t="shared" si="1"/>
        <v>1.0900000000000001</v>
      </c>
      <c r="K107" s="66">
        <f t="shared" si="1"/>
        <v>335.64</v>
      </c>
      <c r="L107" s="66">
        <f t="shared" si="1"/>
        <v>31.51</v>
      </c>
      <c r="M107" s="66">
        <f t="shared" si="1"/>
        <v>97.79</v>
      </c>
      <c r="N107" s="66">
        <f t="shared" si="1"/>
        <v>1024.5999999999999</v>
      </c>
      <c r="O107" s="66">
        <f t="shared" si="1"/>
        <v>0</v>
      </c>
      <c r="P107" s="66">
        <f t="shared" si="1"/>
        <v>0.46</v>
      </c>
      <c r="Q107" s="66">
        <f t="shared" si="1"/>
        <v>9.66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6.1114583333333341</v>
      </c>
      <c r="C108" s="67">
        <f t="shared" ref="C108:Q108" si="2">AVERAGE(C9:C104)</f>
        <v>10.075729166666671</v>
      </c>
      <c r="D108" s="67">
        <f t="shared" si="2"/>
        <v>10.165208333333332</v>
      </c>
      <c r="E108" s="67">
        <f t="shared" si="2"/>
        <v>4.7903124999999998</v>
      </c>
      <c r="F108" s="67">
        <f t="shared" si="2"/>
        <v>8.0879166666666649</v>
      </c>
      <c r="G108" s="67">
        <f t="shared" si="2"/>
        <v>30.804687500000004</v>
      </c>
      <c r="H108" s="67">
        <f t="shared" si="2"/>
        <v>10.021562500000005</v>
      </c>
      <c r="I108" s="67">
        <f t="shared" si="2"/>
        <v>1.0912500000000003</v>
      </c>
      <c r="J108" s="67">
        <f t="shared" si="2"/>
        <v>0.20604166666666668</v>
      </c>
      <c r="K108" s="67">
        <f t="shared" si="2"/>
        <v>208.91697916666669</v>
      </c>
      <c r="L108" s="67">
        <f t="shared" si="2"/>
        <v>27.311979166666664</v>
      </c>
      <c r="M108" s="67">
        <f t="shared" si="2"/>
        <v>87.917395833333345</v>
      </c>
      <c r="N108" s="67">
        <f t="shared" si="2"/>
        <v>258.20312499999994</v>
      </c>
      <c r="O108" s="67">
        <f t="shared" si="2"/>
        <v>0</v>
      </c>
      <c r="P108" s="67">
        <f t="shared" si="2"/>
        <v>0.29562499999999997</v>
      </c>
      <c r="Q108" s="67">
        <f t="shared" si="2"/>
        <v>9.6161458333333343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1.0873715088439644</v>
      </c>
      <c r="C109" s="67">
        <f t="shared" ref="C109:Q109" si="3">STDEV(C9:C104)</f>
        <v>2.5872178696090686</v>
      </c>
      <c r="D109" s="67">
        <f t="shared" si="3"/>
        <v>1.4200666990759823</v>
      </c>
      <c r="E109" s="67">
        <f t="shared" si="3"/>
        <v>0.38930559806431053</v>
      </c>
      <c r="F109" s="67">
        <f t="shared" si="3"/>
        <v>3.1155876075551001</v>
      </c>
      <c r="G109" s="67">
        <f t="shared" si="3"/>
        <v>8.9121846755321261</v>
      </c>
      <c r="H109" s="67">
        <f t="shared" si="3"/>
        <v>3.0247576077309457</v>
      </c>
      <c r="I109" s="67">
        <f t="shared" si="3"/>
        <v>0.18670691921889179</v>
      </c>
      <c r="J109" s="67">
        <f t="shared" si="3"/>
        <v>0.23302802707723541</v>
      </c>
      <c r="K109" s="67">
        <f t="shared" si="3"/>
        <v>73.463042897984664</v>
      </c>
      <c r="L109" s="67">
        <f t="shared" si="3"/>
        <v>2.4634338976279557</v>
      </c>
      <c r="M109" s="67">
        <f t="shared" si="3"/>
        <v>11.039520893950852</v>
      </c>
      <c r="N109" s="67">
        <f t="shared" si="3"/>
        <v>317.84606517625207</v>
      </c>
      <c r="O109" s="67">
        <f t="shared" si="3"/>
        <v>0</v>
      </c>
      <c r="P109" s="67">
        <f t="shared" si="3"/>
        <v>6.3392054956271718E-2</v>
      </c>
      <c r="Q109" s="67">
        <f t="shared" si="3"/>
        <v>2.855722939777609E-2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216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7" sqref="B117:U11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11/08/2025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2" t="s">
        <v>1207</v>
      </c>
      <c r="B9" s="64">
        <v>4.4000000000000004</v>
      </c>
      <c r="C9" s="64">
        <v>7.68</v>
      </c>
      <c r="D9" s="64">
        <v>7.54</v>
      </c>
      <c r="E9" s="64">
        <v>4.62</v>
      </c>
      <c r="F9" s="64">
        <v>7.32</v>
      </c>
      <c r="G9" s="64">
        <v>37.61</v>
      </c>
      <c r="H9" s="64">
        <v>11.17</v>
      </c>
      <c r="I9" s="64">
        <v>1.07</v>
      </c>
      <c r="J9" s="64">
        <v>0.11</v>
      </c>
      <c r="K9" s="64">
        <v>179.37</v>
      </c>
      <c r="L9" s="64">
        <v>25.67</v>
      </c>
      <c r="M9" s="64">
        <v>97.79</v>
      </c>
      <c r="N9" s="64">
        <v>42.3</v>
      </c>
      <c r="O9" s="64">
        <v>0</v>
      </c>
      <c r="P9" s="64">
        <v>0.28000000000000003</v>
      </c>
      <c r="Q9" s="64">
        <v>9.65</v>
      </c>
      <c r="R9" s="198"/>
      <c r="S9" s="198"/>
      <c r="T9" s="198"/>
      <c r="U9" s="198"/>
    </row>
    <row r="10" spans="1:21" s="12" customFormat="1" x14ac:dyDescent="0.25">
      <c r="A10" s="212" t="s">
        <v>1208</v>
      </c>
      <c r="B10" s="64">
        <v>4.04</v>
      </c>
      <c r="C10" s="64">
        <v>7.14</v>
      </c>
      <c r="D10" s="64">
        <v>6.97</v>
      </c>
      <c r="E10" s="64">
        <v>4.66</v>
      </c>
      <c r="F10" s="64">
        <v>7.77</v>
      </c>
      <c r="G10" s="64">
        <v>37.61</v>
      </c>
      <c r="H10" s="64">
        <v>11.17</v>
      </c>
      <c r="I10" s="64">
        <v>1.07</v>
      </c>
      <c r="J10" s="64">
        <v>0.1</v>
      </c>
      <c r="K10" s="64">
        <v>141.59</v>
      </c>
      <c r="L10" s="64">
        <v>25.65</v>
      </c>
      <c r="M10" s="64">
        <v>97.78</v>
      </c>
      <c r="N10" s="64">
        <v>42.3</v>
      </c>
      <c r="O10" s="64">
        <v>0</v>
      </c>
      <c r="P10" s="64">
        <v>0.27</v>
      </c>
      <c r="Q10" s="64">
        <v>9.65</v>
      </c>
      <c r="R10" s="198"/>
      <c r="S10" s="198"/>
      <c r="T10" s="198"/>
      <c r="U10" s="198"/>
    </row>
    <row r="11" spans="1:21" s="12" customFormat="1" x14ac:dyDescent="0.25">
      <c r="A11" s="212" t="s">
        <v>1209</v>
      </c>
      <c r="B11" s="64">
        <v>4.59</v>
      </c>
      <c r="C11" s="64">
        <v>6.63</v>
      </c>
      <c r="D11" s="64">
        <v>7.15</v>
      </c>
      <c r="E11" s="64">
        <v>4.82</v>
      </c>
      <c r="F11" s="64">
        <v>7.28</v>
      </c>
      <c r="G11" s="64">
        <v>37.700000000000003</v>
      </c>
      <c r="H11" s="64">
        <v>10.28</v>
      </c>
      <c r="I11" s="64">
        <v>1.07</v>
      </c>
      <c r="J11" s="64">
        <v>0.11</v>
      </c>
      <c r="K11" s="64">
        <v>152.38</v>
      </c>
      <c r="L11" s="64">
        <v>25.56</v>
      </c>
      <c r="M11" s="64">
        <v>97.78</v>
      </c>
      <c r="N11" s="64">
        <v>42.3</v>
      </c>
      <c r="O11" s="64">
        <v>0</v>
      </c>
      <c r="P11" s="64">
        <v>0.28999999999999998</v>
      </c>
      <c r="Q11" s="64">
        <v>9.64</v>
      </c>
      <c r="R11" s="198"/>
      <c r="S11" s="198"/>
      <c r="T11" s="198"/>
      <c r="U11" s="198"/>
    </row>
    <row r="12" spans="1:21" s="12" customFormat="1" x14ac:dyDescent="0.25">
      <c r="A12" s="212" t="s">
        <v>1210</v>
      </c>
      <c r="B12" s="64">
        <v>5.13</v>
      </c>
      <c r="C12" s="64">
        <v>6.74</v>
      </c>
      <c r="D12" s="64">
        <v>7.64</v>
      </c>
      <c r="E12" s="64">
        <v>4.67</v>
      </c>
      <c r="F12" s="64">
        <v>6.92</v>
      </c>
      <c r="G12" s="64">
        <v>37.71</v>
      </c>
      <c r="H12" s="64">
        <v>10.220000000000001</v>
      </c>
      <c r="I12" s="64">
        <v>1.06</v>
      </c>
      <c r="J12" s="64">
        <v>0.2</v>
      </c>
      <c r="K12" s="64">
        <v>134.88999999999999</v>
      </c>
      <c r="L12" s="64">
        <v>25.5</v>
      </c>
      <c r="M12" s="64">
        <v>97.8</v>
      </c>
      <c r="N12" s="64">
        <v>42.2</v>
      </c>
      <c r="O12" s="64">
        <v>0</v>
      </c>
      <c r="P12" s="64">
        <v>0.28000000000000003</v>
      </c>
      <c r="Q12" s="64">
        <v>9.6300000000000008</v>
      </c>
      <c r="R12" s="198"/>
      <c r="S12" s="198"/>
      <c r="T12" s="198"/>
      <c r="U12" s="198"/>
    </row>
    <row r="13" spans="1:21" s="12" customFormat="1" x14ac:dyDescent="0.25">
      <c r="A13" s="212" t="s">
        <v>1211</v>
      </c>
      <c r="B13" s="64">
        <v>4.92</v>
      </c>
      <c r="C13" s="64">
        <v>7.06</v>
      </c>
      <c r="D13" s="64">
        <v>7.63</v>
      </c>
      <c r="E13" s="64">
        <v>4.51</v>
      </c>
      <c r="F13" s="64">
        <v>7.17</v>
      </c>
      <c r="G13" s="64">
        <v>37.71</v>
      </c>
      <c r="H13" s="64">
        <v>10.220000000000001</v>
      </c>
      <c r="I13" s="64">
        <v>1.05</v>
      </c>
      <c r="J13" s="64">
        <v>0.18</v>
      </c>
      <c r="K13" s="64">
        <v>140.74</v>
      </c>
      <c r="L13" s="64">
        <v>25.41</v>
      </c>
      <c r="M13" s="64">
        <v>97.79</v>
      </c>
      <c r="N13" s="64">
        <v>42.3</v>
      </c>
      <c r="O13" s="64">
        <v>0</v>
      </c>
      <c r="P13" s="64">
        <v>0.26</v>
      </c>
      <c r="Q13" s="64">
        <v>9.64</v>
      </c>
      <c r="R13" s="198"/>
      <c r="S13" s="198"/>
      <c r="T13" s="198"/>
      <c r="U13" s="198"/>
    </row>
    <row r="14" spans="1:21" s="12" customFormat="1" x14ac:dyDescent="0.25">
      <c r="A14" s="212" t="s">
        <v>1212</v>
      </c>
      <c r="B14" s="64">
        <v>5.28</v>
      </c>
      <c r="C14" s="64">
        <v>6.09</v>
      </c>
      <c r="D14" s="64">
        <v>7.41</v>
      </c>
      <c r="E14" s="64">
        <v>4.32</v>
      </c>
      <c r="F14" s="64">
        <v>7.11</v>
      </c>
      <c r="G14" s="64">
        <v>37.71</v>
      </c>
      <c r="H14" s="64">
        <v>10.220000000000001</v>
      </c>
      <c r="I14" s="64">
        <v>1.05</v>
      </c>
      <c r="J14" s="64">
        <v>0.13</v>
      </c>
      <c r="K14" s="64">
        <v>154</v>
      </c>
      <c r="L14" s="64">
        <v>25.31</v>
      </c>
      <c r="M14" s="64">
        <v>97.79</v>
      </c>
      <c r="N14" s="64">
        <v>42.3</v>
      </c>
      <c r="O14" s="64">
        <v>0</v>
      </c>
      <c r="P14" s="64">
        <v>0.28000000000000003</v>
      </c>
      <c r="Q14" s="64">
        <v>9.65</v>
      </c>
      <c r="R14" s="198"/>
      <c r="S14" s="198"/>
      <c r="T14" s="198"/>
      <c r="U14" s="198"/>
    </row>
    <row r="15" spans="1:21" s="12" customFormat="1" x14ac:dyDescent="0.25">
      <c r="A15" s="212" t="s">
        <v>1213</v>
      </c>
      <c r="B15" s="64">
        <v>5.01</v>
      </c>
      <c r="C15" s="64">
        <v>5.45</v>
      </c>
      <c r="D15" s="64">
        <v>6.86</v>
      </c>
      <c r="E15" s="64">
        <v>4.5199999999999996</v>
      </c>
      <c r="F15" s="64">
        <v>6.89</v>
      </c>
      <c r="G15" s="64">
        <v>30.03</v>
      </c>
      <c r="H15" s="64">
        <v>10.49</v>
      </c>
      <c r="I15" s="64">
        <v>1.05</v>
      </c>
      <c r="J15" s="64">
        <v>0.13</v>
      </c>
      <c r="K15" s="64">
        <v>169.38</v>
      </c>
      <c r="L15" s="64">
        <v>25.23</v>
      </c>
      <c r="M15" s="64">
        <v>97.79</v>
      </c>
      <c r="N15" s="64">
        <v>42.3</v>
      </c>
      <c r="O15" s="64">
        <v>0</v>
      </c>
      <c r="P15" s="64">
        <v>0.28000000000000003</v>
      </c>
      <c r="Q15" s="64">
        <v>9.65</v>
      </c>
      <c r="R15" s="198"/>
      <c r="S15" s="198"/>
      <c r="T15" s="198"/>
      <c r="U15" s="198"/>
    </row>
    <row r="16" spans="1:21" s="12" customFormat="1" x14ac:dyDescent="0.25">
      <c r="A16" s="212" t="s">
        <v>1214</v>
      </c>
      <c r="B16" s="64">
        <v>5.22</v>
      </c>
      <c r="C16" s="64">
        <v>5.79</v>
      </c>
      <c r="D16" s="64">
        <v>7.21</v>
      </c>
      <c r="E16" s="64">
        <v>4.47</v>
      </c>
      <c r="F16" s="64">
        <v>6.67</v>
      </c>
      <c r="G16" s="64">
        <v>29.38</v>
      </c>
      <c r="H16" s="64">
        <v>10.51</v>
      </c>
      <c r="I16" s="64">
        <v>1.02</v>
      </c>
      <c r="J16" s="64">
        <v>0.17</v>
      </c>
      <c r="K16" s="64">
        <v>136.91999999999999</v>
      </c>
      <c r="L16" s="64">
        <v>25.13</v>
      </c>
      <c r="M16" s="64">
        <v>97.8</v>
      </c>
      <c r="N16" s="64">
        <v>42.3</v>
      </c>
      <c r="O16" s="64">
        <v>0</v>
      </c>
      <c r="P16" s="64">
        <v>0.27</v>
      </c>
      <c r="Q16" s="64">
        <v>9.6300000000000008</v>
      </c>
      <c r="R16" s="198"/>
      <c r="S16" s="198"/>
      <c r="T16" s="198"/>
      <c r="U16" s="198"/>
    </row>
    <row r="17" spans="1:21" s="12" customFormat="1" x14ac:dyDescent="0.25">
      <c r="A17" s="212" t="s">
        <v>1215</v>
      </c>
      <c r="B17" s="64">
        <v>5.49</v>
      </c>
      <c r="C17" s="64">
        <v>6.65</v>
      </c>
      <c r="D17" s="64">
        <v>7.87</v>
      </c>
      <c r="E17" s="64">
        <v>4.7699999999999996</v>
      </c>
      <c r="F17" s="64">
        <v>6.07</v>
      </c>
      <c r="G17" s="64">
        <v>29.38</v>
      </c>
      <c r="H17" s="64">
        <v>10.51</v>
      </c>
      <c r="I17" s="64">
        <v>1.02</v>
      </c>
      <c r="J17" s="64">
        <v>0.11</v>
      </c>
      <c r="K17" s="64">
        <v>184.65</v>
      </c>
      <c r="L17" s="64">
        <v>25.11</v>
      </c>
      <c r="M17" s="64">
        <v>97.8</v>
      </c>
      <c r="N17" s="64">
        <v>42.3</v>
      </c>
      <c r="O17" s="64">
        <v>0</v>
      </c>
      <c r="P17" s="64">
        <v>0.26</v>
      </c>
      <c r="Q17" s="64">
        <v>9.64</v>
      </c>
      <c r="R17" s="198"/>
      <c r="S17" s="198"/>
      <c r="T17" s="198"/>
      <c r="U17" s="198"/>
    </row>
    <row r="18" spans="1:21" s="12" customFormat="1" x14ac:dyDescent="0.25">
      <c r="A18" s="212" t="s">
        <v>1216</v>
      </c>
      <c r="B18" s="64">
        <v>5.54</v>
      </c>
      <c r="C18" s="64">
        <v>6.81</v>
      </c>
      <c r="D18" s="64">
        <v>8</v>
      </c>
      <c r="E18" s="64">
        <v>4.6900000000000004</v>
      </c>
      <c r="F18" s="64">
        <v>6.03</v>
      </c>
      <c r="G18" s="64">
        <v>29.38</v>
      </c>
      <c r="H18" s="64">
        <v>10.51</v>
      </c>
      <c r="I18" s="64">
        <v>1.02</v>
      </c>
      <c r="J18" s="64">
        <v>0.18</v>
      </c>
      <c r="K18" s="64">
        <v>129.88999999999999</v>
      </c>
      <c r="L18" s="64">
        <v>24.98</v>
      </c>
      <c r="M18" s="64">
        <v>97.8</v>
      </c>
      <c r="N18" s="64">
        <v>42.3</v>
      </c>
      <c r="O18" s="64">
        <v>0</v>
      </c>
      <c r="P18" s="64">
        <v>0.25</v>
      </c>
      <c r="Q18" s="64">
        <v>9.6300000000000008</v>
      </c>
      <c r="R18" s="198"/>
      <c r="S18" s="198"/>
      <c r="T18" s="198"/>
      <c r="U18" s="198"/>
    </row>
    <row r="19" spans="1:21" s="12" customFormat="1" x14ac:dyDescent="0.25">
      <c r="A19" s="212" t="s">
        <v>1217</v>
      </c>
      <c r="B19" s="64">
        <v>5.1100000000000003</v>
      </c>
      <c r="C19" s="64">
        <v>7.03</v>
      </c>
      <c r="D19" s="64">
        <v>7.78</v>
      </c>
      <c r="E19" s="64">
        <v>4.75</v>
      </c>
      <c r="F19" s="64">
        <v>6.62</v>
      </c>
      <c r="G19" s="64">
        <v>30.15</v>
      </c>
      <c r="H19" s="64">
        <v>10.35</v>
      </c>
      <c r="I19" s="64">
        <v>1.01</v>
      </c>
      <c r="J19" s="64">
        <v>0.05</v>
      </c>
      <c r="K19" s="64">
        <v>166.44</v>
      </c>
      <c r="L19" s="64">
        <v>24.9</v>
      </c>
      <c r="M19" s="64">
        <v>97.8</v>
      </c>
      <c r="N19" s="64">
        <v>42.3</v>
      </c>
      <c r="O19" s="64">
        <v>0</v>
      </c>
      <c r="P19" s="64">
        <v>0.24</v>
      </c>
      <c r="Q19" s="64">
        <v>9.6300000000000008</v>
      </c>
      <c r="R19" s="198"/>
      <c r="S19" s="198"/>
      <c r="T19" s="198"/>
      <c r="U19" s="198"/>
    </row>
    <row r="20" spans="1:21" s="12" customFormat="1" x14ac:dyDescent="0.25">
      <c r="A20" s="212" t="s">
        <v>1218</v>
      </c>
      <c r="B20" s="64">
        <v>5.2</v>
      </c>
      <c r="C20" s="64">
        <v>6.28</v>
      </c>
      <c r="D20" s="64">
        <v>7.45</v>
      </c>
      <c r="E20" s="64">
        <v>4.55</v>
      </c>
      <c r="F20" s="64">
        <v>6.33</v>
      </c>
      <c r="G20" s="64">
        <v>30.22</v>
      </c>
      <c r="H20" s="64">
        <v>10.33</v>
      </c>
      <c r="I20" s="64">
        <v>1.01</v>
      </c>
      <c r="J20" s="64">
        <v>0.03</v>
      </c>
      <c r="K20" s="64">
        <v>130.80000000000001</v>
      </c>
      <c r="L20" s="64">
        <v>24.87</v>
      </c>
      <c r="M20" s="64">
        <v>97.8</v>
      </c>
      <c r="N20" s="64">
        <v>42.3</v>
      </c>
      <c r="O20" s="64">
        <v>0</v>
      </c>
      <c r="P20" s="64">
        <v>0.25</v>
      </c>
      <c r="Q20" s="64">
        <v>9.64</v>
      </c>
      <c r="R20" s="198"/>
      <c r="S20" s="198"/>
      <c r="T20" s="198"/>
      <c r="U20" s="198"/>
    </row>
    <row r="21" spans="1:21" s="12" customFormat="1" x14ac:dyDescent="0.25">
      <c r="A21" s="212" t="s">
        <v>1219</v>
      </c>
      <c r="B21" s="64">
        <v>5.74</v>
      </c>
      <c r="C21" s="64">
        <v>5.48</v>
      </c>
      <c r="D21" s="64">
        <v>7.47</v>
      </c>
      <c r="E21" s="64">
        <v>4.8600000000000003</v>
      </c>
      <c r="F21" s="64">
        <v>6.13</v>
      </c>
      <c r="G21" s="64">
        <v>30.22</v>
      </c>
      <c r="H21" s="64">
        <v>10.33</v>
      </c>
      <c r="I21" s="64">
        <v>1.01</v>
      </c>
      <c r="J21" s="64">
        <v>0.11</v>
      </c>
      <c r="K21" s="64">
        <v>146.63999999999999</v>
      </c>
      <c r="L21" s="64">
        <v>24.87</v>
      </c>
      <c r="M21" s="64">
        <v>97.8</v>
      </c>
      <c r="N21" s="64">
        <v>42.3</v>
      </c>
      <c r="O21" s="64">
        <v>0</v>
      </c>
      <c r="P21" s="64">
        <v>0.28000000000000003</v>
      </c>
      <c r="Q21" s="64">
        <v>9.64</v>
      </c>
      <c r="R21" s="198"/>
      <c r="S21" s="198"/>
      <c r="T21" s="198"/>
      <c r="U21" s="198"/>
    </row>
    <row r="22" spans="1:21" s="12" customFormat="1" x14ac:dyDescent="0.25">
      <c r="A22" s="212" t="s">
        <v>1220</v>
      </c>
      <c r="B22" s="64">
        <v>5.87</v>
      </c>
      <c r="C22" s="64">
        <v>5.41</v>
      </c>
      <c r="D22" s="64">
        <v>7.53</v>
      </c>
      <c r="E22" s="64">
        <v>4.82</v>
      </c>
      <c r="F22" s="64">
        <v>5.79</v>
      </c>
      <c r="G22" s="64">
        <v>30.22</v>
      </c>
      <c r="H22" s="64">
        <v>10.33</v>
      </c>
      <c r="I22" s="64">
        <v>1</v>
      </c>
      <c r="J22" s="64">
        <v>0.12</v>
      </c>
      <c r="K22" s="64">
        <v>169.97</v>
      </c>
      <c r="L22" s="64">
        <v>24.77</v>
      </c>
      <c r="M22" s="64">
        <v>97.8</v>
      </c>
      <c r="N22" s="64">
        <v>42.3</v>
      </c>
      <c r="O22" s="64">
        <v>0</v>
      </c>
      <c r="P22" s="64">
        <v>0.25</v>
      </c>
      <c r="Q22" s="64">
        <v>9.6300000000000008</v>
      </c>
      <c r="R22" s="198"/>
      <c r="S22" s="198"/>
      <c r="T22" s="198"/>
      <c r="U22" s="198"/>
    </row>
    <row r="23" spans="1:21" s="12" customFormat="1" x14ac:dyDescent="0.25">
      <c r="A23" s="212" t="s">
        <v>1221</v>
      </c>
      <c r="B23" s="64">
        <v>5.04</v>
      </c>
      <c r="C23" s="64">
        <v>6.28</v>
      </c>
      <c r="D23" s="64">
        <v>7.32</v>
      </c>
      <c r="E23" s="64">
        <v>4.41</v>
      </c>
      <c r="F23" s="64">
        <v>6.54</v>
      </c>
      <c r="G23" s="64">
        <v>22.45</v>
      </c>
      <c r="H23" s="64">
        <v>9.16</v>
      </c>
      <c r="I23" s="64">
        <v>0.98</v>
      </c>
      <c r="J23" s="64">
        <v>0.13</v>
      </c>
      <c r="K23" s="64">
        <v>137.15</v>
      </c>
      <c r="L23" s="64">
        <v>24.64</v>
      </c>
      <c r="M23" s="64">
        <v>97.8</v>
      </c>
      <c r="N23" s="64">
        <v>42.3</v>
      </c>
      <c r="O23" s="64">
        <v>0</v>
      </c>
      <c r="P23" s="64">
        <v>0.24</v>
      </c>
      <c r="Q23" s="64">
        <v>9.64</v>
      </c>
      <c r="R23" s="198"/>
      <c r="S23" s="198"/>
      <c r="T23" s="198"/>
      <c r="U23" s="198"/>
    </row>
    <row r="24" spans="1:21" s="12" customFormat="1" x14ac:dyDescent="0.25">
      <c r="A24" s="212" t="s">
        <v>1222</v>
      </c>
      <c r="B24" s="64">
        <v>6.42</v>
      </c>
      <c r="C24" s="64">
        <v>6.43</v>
      </c>
      <c r="D24" s="64">
        <v>8.51</v>
      </c>
      <c r="E24" s="64">
        <v>4.45</v>
      </c>
      <c r="F24" s="64">
        <v>5</v>
      </c>
      <c r="G24" s="64">
        <v>21.8</v>
      </c>
      <c r="H24" s="64">
        <v>9.07</v>
      </c>
      <c r="I24" s="64">
        <v>0.94</v>
      </c>
      <c r="J24" s="64">
        <v>0.12</v>
      </c>
      <c r="K24" s="64">
        <v>158.78</v>
      </c>
      <c r="L24" s="64">
        <v>24.55</v>
      </c>
      <c r="M24" s="64">
        <v>97.8</v>
      </c>
      <c r="N24" s="64">
        <v>42.3</v>
      </c>
      <c r="O24" s="64">
        <v>0</v>
      </c>
      <c r="P24" s="64">
        <v>0.27</v>
      </c>
      <c r="Q24" s="64">
        <v>9.64</v>
      </c>
      <c r="R24" s="198"/>
      <c r="S24" s="198"/>
      <c r="T24" s="198"/>
      <c r="U24" s="198"/>
    </row>
    <row r="25" spans="1:21" s="12" customFormat="1" x14ac:dyDescent="0.25">
      <c r="A25" s="212" t="s">
        <v>1223</v>
      </c>
      <c r="B25" s="64">
        <v>5.23</v>
      </c>
      <c r="C25" s="64">
        <v>7.55</v>
      </c>
      <c r="D25" s="64">
        <v>8.14</v>
      </c>
      <c r="E25" s="64">
        <v>4.66</v>
      </c>
      <c r="F25" s="64">
        <v>5.59</v>
      </c>
      <c r="G25" s="64">
        <v>21.8</v>
      </c>
      <c r="H25" s="64">
        <v>9.07</v>
      </c>
      <c r="I25" s="64">
        <v>0.93</v>
      </c>
      <c r="J25" s="64">
        <v>0.4</v>
      </c>
      <c r="K25" s="64">
        <v>137.80000000000001</v>
      </c>
      <c r="L25" s="64">
        <v>24.55</v>
      </c>
      <c r="M25" s="64">
        <v>97.8</v>
      </c>
      <c r="N25" s="64">
        <v>42.3</v>
      </c>
      <c r="O25" s="64">
        <v>0</v>
      </c>
      <c r="P25" s="64">
        <v>0.22</v>
      </c>
      <c r="Q25" s="64">
        <v>9.65</v>
      </c>
      <c r="R25" s="198"/>
      <c r="S25" s="198"/>
      <c r="T25" s="198"/>
      <c r="U25" s="198"/>
    </row>
    <row r="26" spans="1:21" s="12" customFormat="1" x14ac:dyDescent="0.25">
      <c r="A26" s="212" t="s">
        <v>1224</v>
      </c>
      <c r="B26" s="64">
        <v>5.54</v>
      </c>
      <c r="C26" s="64">
        <v>8.27</v>
      </c>
      <c r="D26" s="64">
        <v>8.77</v>
      </c>
      <c r="E26" s="64">
        <v>4.54</v>
      </c>
      <c r="F26" s="64">
        <v>5.95</v>
      </c>
      <c r="G26" s="64">
        <v>21.8</v>
      </c>
      <c r="H26" s="64">
        <v>9.07</v>
      </c>
      <c r="I26" s="64">
        <v>0.93</v>
      </c>
      <c r="J26" s="64">
        <v>0.28000000000000003</v>
      </c>
      <c r="K26" s="64">
        <v>124.7</v>
      </c>
      <c r="L26" s="64">
        <v>24.49</v>
      </c>
      <c r="M26" s="64">
        <v>97.8</v>
      </c>
      <c r="N26" s="64">
        <v>42.6</v>
      </c>
      <c r="O26" s="64">
        <v>0</v>
      </c>
      <c r="P26" s="64">
        <v>0.25</v>
      </c>
      <c r="Q26" s="64">
        <v>9.64</v>
      </c>
      <c r="R26" s="198"/>
      <c r="S26" s="198"/>
      <c r="T26" s="198"/>
      <c r="U26" s="198"/>
    </row>
    <row r="27" spans="1:21" s="12" customFormat="1" x14ac:dyDescent="0.25">
      <c r="A27" s="212" t="s">
        <v>1225</v>
      </c>
      <c r="B27" s="64">
        <v>6.54</v>
      </c>
      <c r="C27" s="64">
        <v>6.8</v>
      </c>
      <c r="D27" s="64">
        <v>8.8000000000000007</v>
      </c>
      <c r="E27" s="64">
        <v>4.53</v>
      </c>
      <c r="F27" s="64">
        <v>4.79</v>
      </c>
      <c r="G27" s="64">
        <v>18.670000000000002</v>
      </c>
      <c r="H27" s="64">
        <v>7.26</v>
      </c>
      <c r="I27" s="64">
        <v>0.9</v>
      </c>
      <c r="J27" s="64">
        <v>0.01</v>
      </c>
      <c r="K27" s="64">
        <v>247.64</v>
      </c>
      <c r="L27" s="64">
        <v>24.47</v>
      </c>
      <c r="M27" s="64">
        <v>97.83</v>
      </c>
      <c r="N27" s="64">
        <v>42.3</v>
      </c>
      <c r="O27" s="64">
        <v>0</v>
      </c>
      <c r="P27" s="64">
        <v>0.27</v>
      </c>
      <c r="Q27" s="64">
        <v>9.6199999999999992</v>
      </c>
      <c r="R27" s="198"/>
      <c r="S27" s="198"/>
      <c r="T27" s="198"/>
      <c r="U27" s="198"/>
    </row>
    <row r="28" spans="1:21" s="12" customFormat="1" x14ac:dyDescent="0.25">
      <c r="A28" s="212" t="s">
        <v>1226</v>
      </c>
      <c r="B28" s="64">
        <v>5.29</v>
      </c>
      <c r="C28" s="64">
        <v>7.5</v>
      </c>
      <c r="D28" s="64">
        <v>8.16</v>
      </c>
      <c r="E28" s="64">
        <v>4.46</v>
      </c>
      <c r="F28" s="64">
        <v>5.0599999999999996</v>
      </c>
      <c r="G28" s="64">
        <v>18.399999999999999</v>
      </c>
      <c r="H28" s="64">
        <v>7.11</v>
      </c>
      <c r="I28" s="64">
        <v>0.89</v>
      </c>
      <c r="J28" s="64">
        <v>0.06</v>
      </c>
      <c r="K28" s="64">
        <v>156.21</v>
      </c>
      <c r="L28" s="64">
        <v>24.5</v>
      </c>
      <c r="M28" s="64">
        <v>97.85</v>
      </c>
      <c r="N28" s="64">
        <v>42.2</v>
      </c>
      <c r="O28" s="64">
        <v>0</v>
      </c>
      <c r="P28" s="64">
        <v>0.23</v>
      </c>
      <c r="Q28" s="64">
        <v>9.64</v>
      </c>
      <c r="R28" s="198"/>
      <c r="S28" s="198"/>
      <c r="T28" s="198"/>
      <c r="U28" s="198"/>
    </row>
    <row r="29" spans="1:21" s="12" customFormat="1" x14ac:dyDescent="0.25">
      <c r="A29" s="212" t="s">
        <v>1227</v>
      </c>
      <c r="B29" s="64">
        <v>8.58</v>
      </c>
      <c r="C29" s="64">
        <v>10.35</v>
      </c>
      <c r="D29" s="64">
        <v>12.29</v>
      </c>
      <c r="E29" s="64">
        <v>4.4000000000000004</v>
      </c>
      <c r="F29" s="64">
        <v>4.6399999999999997</v>
      </c>
      <c r="G29" s="64">
        <v>18.399999999999999</v>
      </c>
      <c r="H29" s="64">
        <v>7.11</v>
      </c>
      <c r="I29" s="64">
        <v>0.9</v>
      </c>
      <c r="J29" s="64">
        <v>0.17</v>
      </c>
      <c r="K29" s="64">
        <v>150.33000000000001</v>
      </c>
      <c r="L29" s="64">
        <v>24.53</v>
      </c>
      <c r="M29" s="64">
        <v>97.85</v>
      </c>
      <c r="N29" s="64">
        <v>42.4</v>
      </c>
      <c r="O29" s="64">
        <v>0</v>
      </c>
      <c r="P29" s="64">
        <v>0.28000000000000003</v>
      </c>
      <c r="Q29" s="64">
        <v>9.65</v>
      </c>
      <c r="R29" s="198"/>
      <c r="S29" s="198"/>
      <c r="T29" s="198"/>
      <c r="U29" s="198"/>
    </row>
    <row r="30" spans="1:21" s="12" customFormat="1" x14ac:dyDescent="0.25">
      <c r="A30" s="212" t="s">
        <v>1228</v>
      </c>
      <c r="B30" s="64">
        <v>7.49</v>
      </c>
      <c r="C30" s="64">
        <v>7.42</v>
      </c>
      <c r="D30" s="64">
        <v>9.89</v>
      </c>
      <c r="E30" s="64">
        <v>4.6399999999999997</v>
      </c>
      <c r="F30" s="64">
        <v>4.07</v>
      </c>
      <c r="G30" s="64">
        <v>18.399999999999999</v>
      </c>
      <c r="H30" s="64">
        <v>7.11</v>
      </c>
      <c r="I30" s="64">
        <v>0.89</v>
      </c>
      <c r="J30" s="64">
        <v>0.03</v>
      </c>
      <c r="K30" s="64">
        <v>220.79</v>
      </c>
      <c r="L30" s="64">
        <v>24.5</v>
      </c>
      <c r="M30" s="64">
        <v>97.85</v>
      </c>
      <c r="N30" s="64">
        <v>42.9</v>
      </c>
      <c r="O30" s="64">
        <v>0</v>
      </c>
      <c r="P30" s="64">
        <v>0.28000000000000003</v>
      </c>
      <c r="Q30" s="64">
        <v>9.64</v>
      </c>
      <c r="R30" s="198"/>
      <c r="S30" s="198"/>
      <c r="T30" s="198"/>
      <c r="U30" s="198"/>
    </row>
    <row r="31" spans="1:21" s="12" customFormat="1" x14ac:dyDescent="0.25">
      <c r="A31" s="212" t="s">
        <v>1229</v>
      </c>
      <c r="B31" s="64">
        <v>6.4</v>
      </c>
      <c r="C31" s="64">
        <v>7.01</v>
      </c>
      <c r="D31" s="64">
        <v>8.8000000000000007</v>
      </c>
      <c r="E31" s="64">
        <v>4.3</v>
      </c>
      <c r="F31" s="64">
        <v>4.5</v>
      </c>
      <c r="G31" s="64">
        <v>19.37</v>
      </c>
      <c r="H31" s="64">
        <v>6.32</v>
      </c>
      <c r="I31" s="64">
        <v>0.89</v>
      </c>
      <c r="J31" s="64">
        <v>0.05</v>
      </c>
      <c r="K31" s="64">
        <v>207.2</v>
      </c>
      <c r="L31" s="64">
        <v>24.44</v>
      </c>
      <c r="M31" s="64">
        <v>97.84</v>
      </c>
      <c r="N31" s="64">
        <v>45.9</v>
      </c>
      <c r="O31" s="64">
        <v>0</v>
      </c>
      <c r="P31" s="64">
        <v>0.27</v>
      </c>
      <c r="Q31" s="64">
        <v>9.65</v>
      </c>
      <c r="R31" s="198"/>
      <c r="S31" s="198"/>
      <c r="T31" s="198"/>
      <c r="U31" s="198"/>
    </row>
    <row r="32" spans="1:21" s="12" customFormat="1" x14ac:dyDescent="0.25">
      <c r="A32" s="212" t="s">
        <v>1230</v>
      </c>
      <c r="B32" s="64">
        <v>6.49</v>
      </c>
      <c r="C32" s="64">
        <v>8.77</v>
      </c>
      <c r="D32" s="64">
        <v>9.7899999999999991</v>
      </c>
      <c r="E32" s="64">
        <v>4.43</v>
      </c>
      <c r="F32" s="64">
        <v>4.3899999999999997</v>
      </c>
      <c r="G32" s="64">
        <v>19.45</v>
      </c>
      <c r="H32" s="64">
        <v>6.25</v>
      </c>
      <c r="I32" s="64">
        <v>0.89</v>
      </c>
      <c r="J32" s="64">
        <v>7.0000000000000007E-2</v>
      </c>
      <c r="K32" s="64">
        <v>177.57</v>
      </c>
      <c r="L32" s="64">
        <v>24.41</v>
      </c>
      <c r="M32" s="64">
        <v>97.85</v>
      </c>
      <c r="N32" s="64">
        <v>58.8</v>
      </c>
      <c r="O32" s="64">
        <v>0</v>
      </c>
      <c r="P32" s="64">
        <v>0.27</v>
      </c>
      <c r="Q32" s="64">
        <v>9.65</v>
      </c>
      <c r="R32" s="198"/>
      <c r="S32" s="198"/>
      <c r="T32" s="198"/>
      <c r="U32" s="198"/>
    </row>
    <row r="33" spans="1:21" s="12" customFormat="1" x14ac:dyDescent="0.25">
      <c r="A33" s="212" t="s">
        <v>1231</v>
      </c>
      <c r="B33" s="64">
        <v>8.65</v>
      </c>
      <c r="C33" s="64">
        <v>7.96</v>
      </c>
      <c r="D33" s="64">
        <v>11.1</v>
      </c>
      <c r="E33" s="64">
        <v>4.2699999999999996</v>
      </c>
      <c r="F33" s="64">
        <v>4.49</v>
      </c>
      <c r="G33" s="64">
        <v>19.45</v>
      </c>
      <c r="H33" s="64">
        <v>6.25</v>
      </c>
      <c r="I33" s="64">
        <v>0.89</v>
      </c>
      <c r="J33" s="64">
        <v>0.04</v>
      </c>
      <c r="K33" s="64">
        <v>219.04</v>
      </c>
      <c r="L33" s="64">
        <v>24.57</v>
      </c>
      <c r="M33" s="64">
        <v>97.84</v>
      </c>
      <c r="N33" s="64">
        <v>81.400000000000006</v>
      </c>
      <c r="O33" s="64">
        <v>0</v>
      </c>
      <c r="P33" s="64">
        <v>0.28999999999999998</v>
      </c>
      <c r="Q33" s="64">
        <v>9.65</v>
      </c>
      <c r="R33" s="198"/>
      <c r="S33" s="198"/>
      <c r="T33" s="198"/>
      <c r="U33" s="198"/>
    </row>
    <row r="34" spans="1:21" s="12" customFormat="1" x14ac:dyDescent="0.25">
      <c r="A34" s="212" t="s">
        <v>1232</v>
      </c>
      <c r="B34" s="64">
        <v>7.17</v>
      </c>
      <c r="C34" s="64">
        <v>7.38</v>
      </c>
      <c r="D34" s="64">
        <v>9.61</v>
      </c>
      <c r="E34" s="64">
        <v>4.42</v>
      </c>
      <c r="F34" s="64">
        <v>7.08</v>
      </c>
      <c r="G34" s="64">
        <v>19.45</v>
      </c>
      <c r="H34" s="64">
        <v>6.25</v>
      </c>
      <c r="I34" s="64">
        <v>0.89</v>
      </c>
      <c r="J34" s="64">
        <v>0.04</v>
      </c>
      <c r="K34" s="64">
        <v>266.58999999999997</v>
      </c>
      <c r="L34" s="64">
        <v>24.91</v>
      </c>
      <c r="M34" s="64">
        <v>97.8</v>
      </c>
      <c r="N34" s="64">
        <v>106</v>
      </c>
      <c r="O34" s="64">
        <v>0</v>
      </c>
      <c r="P34" s="64">
        <v>0.3</v>
      </c>
      <c r="Q34" s="64">
        <v>9.64</v>
      </c>
      <c r="R34" s="198"/>
      <c r="S34" s="198"/>
      <c r="T34" s="198"/>
      <c r="U34" s="198"/>
    </row>
    <row r="35" spans="1:21" s="12" customFormat="1" x14ac:dyDescent="0.25">
      <c r="A35" s="212" t="s">
        <v>1233</v>
      </c>
      <c r="B35" s="64">
        <v>8.6</v>
      </c>
      <c r="C35" s="64">
        <v>7.23</v>
      </c>
      <c r="D35" s="64">
        <v>10.68</v>
      </c>
      <c r="E35" s="64">
        <v>4.8499999999999996</v>
      </c>
      <c r="F35" s="64">
        <v>7.2</v>
      </c>
      <c r="G35" s="64">
        <v>18.71</v>
      </c>
      <c r="H35" s="64">
        <v>7.78</v>
      </c>
      <c r="I35" s="64">
        <v>0.9</v>
      </c>
      <c r="J35" s="64">
        <v>7.0000000000000007E-2</v>
      </c>
      <c r="K35" s="64">
        <v>281.11</v>
      </c>
      <c r="L35" s="64">
        <v>25.3</v>
      </c>
      <c r="M35" s="64">
        <v>97.75</v>
      </c>
      <c r="N35" s="64">
        <v>135</v>
      </c>
      <c r="O35" s="64">
        <v>0</v>
      </c>
      <c r="P35" s="64">
        <v>0.3</v>
      </c>
      <c r="Q35" s="64">
        <v>9.64</v>
      </c>
      <c r="R35" s="198"/>
      <c r="S35" s="198"/>
      <c r="T35" s="198"/>
      <c r="U35" s="198"/>
    </row>
    <row r="36" spans="1:21" s="12" customFormat="1" x14ac:dyDescent="0.25">
      <c r="A36" s="212" t="s">
        <v>1234</v>
      </c>
      <c r="B36" s="64">
        <v>8.7100000000000009</v>
      </c>
      <c r="C36" s="64">
        <v>6.36</v>
      </c>
      <c r="D36" s="64">
        <v>10.31</v>
      </c>
      <c r="E36" s="64">
        <v>4.51</v>
      </c>
      <c r="F36" s="64">
        <v>4.16</v>
      </c>
      <c r="G36" s="64">
        <v>18.649999999999999</v>
      </c>
      <c r="H36" s="64">
        <v>7.91</v>
      </c>
      <c r="I36" s="64">
        <v>0.91</v>
      </c>
      <c r="J36" s="64">
        <v>0.03</v>
      </c>
      <c r="K36" s="64">
        <v>252.99</v>
      </c>
      <c r="L36" s="64">
        <v>25.51</v>
      </c>
      <c r="M36" s="64">
        <v>97.72</v>
      </c>
      <c r="N36" s="64">
        <v>170.9</v>
      </c>
      <c r="O36" s="64">
        <v>0</v>
      </c>
      <c r="P36" s="64">
        <v>0.28000000000000003</v>
      </c>
      <c r="Q36" s="64">
        <v>9.6300000000000008</v>
      </c>
      <c r="R36" s="198"/>
      <c r="S36" s="198"/>
      <c r="T36" s="198"/>
      <c r="U36" s="198"/>
    </row>
    <row r="37" spans="1:21" s="12" customFormat="1" x14ac:dyDescent="0.25">
      <c r="A37" s="212" t="s">
        <v>1235</v>
      </c>
      <c r="B37" s="64">
        <v>8.6199999999999992</v>
      </c>
      <c r="C37" s="64">
        <v>6.3</v>
      </c>
      <c r="D37" s="64">
        <v>10.199999999999999</v>
      </c>
      <c r="E37" s="64">
        <v>4.53</v>
      </c>
      <c r="F37" s="64">
        <v>6.06</v>
      </c>
      <c r="G37" s="64">
        <v>18.649999999999999</v>
      </c>
      <c r="H37" s="64">
        <v>7.91</v>
      </c>
      <c r="I37" s="64">
        <v>0.92</v>
      </c>
      <c r="J37" s="64">
        <v>7.0000000000000007E-2</v>
      </c>
      <c r="K37" s="64">
        <v>281.82</v>
      </c>
      <c r="L37" s="64">
        <v>25.77</v>
      </c>
      <c r="M37" s="64">
        <v>97.7</v>
      </c>
      <c r="N37" s="64">
        <v>208.6</v>
      </c>
      <c r="O37" s="64">
        <v>0</v>
      </c>
      <c r="P37" s="64">
        <v>0.24</v>
      </c>
      <c r="Q37" s="64">
        <v>9.64</v>
      </c>
      <c r="R37" s="198"/>
      <c r="S37" s="198"/>
      <c r="T37" s="198"/>
      <c r="U37" s="198"/>
    </row>
    <row r="38" spans="1:21" s="12" customFormat="1" x14ac:dyDescent="0.25">
      <c r="A38" s="212" t="s">
        <v>1236</v>
      </c>
      <c r="B38" s="64">
        <v>8.67</v>
      </c>
      <c r="C38" s="64">
        <v>6.4</v>
      </c>
      <c r="D38" s="64">
        <v>10.3</v>
      </c>
      <c r="E38" s="64">
        <v>4.37</v>
      </c>
      <c r="F38" s="64">
        <v>3.39</v>
      </c>
      <c r="G38" s="64">
        <v>18.649999999999999</v>
      </c>
      <c r="H38" s="64">
        <v>7.91</v>
      </c>
      <c r="I38" s="64">
        <v>0.93</v>
      </c>
      <c r="J38" s="64">
        <v>0.13</v>
      </c>
      <c r="K38" s="64">
        <v>266.18</v>
      </c>
      <c r="L38" s="64">
        <v>26.3</v>
      </c>
      <c r="M38" s="64">
        <v>97.66</v>
      </c>
      <c r="N38" s="64">
        <v>220.5</v>
      </c>
      <c r="O38" s="64">
        <v>0</v>
      </c>
      <c r="P38" s="64">
        <v>0.26</v>
      </c>
      <c r="Q38" s="64">
        <v>9.64</v>
      </c>
      <c r="R38" s="198"/>
      <c r="S38" s="198"/>
      <c r="T38" s="198"/>
      <c r="U38" s="198"/>
    </row>
    <row r="39" spans="1:21" s="12" customFormat="1" x14ac:dyDescent="0.25">
      <c r="A39" s="212" t="s">
        <v>1237</v>
      </c>
      <c r="B39" s="64">
        <v>8.8800000000000008</v>
      </c>
      <c r="C39" s="64">
        <v>6.33</v>
      </c>
      <c r="D39" s="64">
        <v>10.43</v>
      </c>
      <c r="E39" s="64">
        <v>4.3499999999999996</v>
      </c>
      <c r="F39" s="64">
        <v>2.92</v>
      </c>
      <c r="G39" s="64">
        <v>22.26</v>
      </c>
      <c r="H39" s="64">
        <v>8.7200000000000006</v>
      </c>
      <c r="I39" s="64">
        <v>0.94</v>
      </c>
      <c r="J39" s="64">
        <v>0.14000000000000001</v>
      </c>
      <c r="K39" s="64">
        <v>258.81</v>
      </c>
      <c r="L39" s="64">
        <v>26.08</v>
      </c>
      <c r="M39" s="64">
        <v>97.67</v>
      </c>
      <c r="N39" s="64">
        <v>174.8</v>
      </c>
      <c r="O39" s="64">
        <v>0</v>
      </c>
      <c r="P39" s="64">
        <v>0.27</v>
      </c>
      <c r="Q39" s="64">
        <v>9.64</v>
      </c>
      <c r="R39" s="198"/>
      <c r="S39" s="198"/>
      <c r="T39" s="198"/>
      <c r="U39" s="198"/>
    </row>
    <row r="40" spans="1:21" s="12" customFormat="1" x14ac:dyDescent="0.25">
      <c r="A40" s="212" t="s">
        <v>1238</v>
      </c>
      <c r="B40" s="64">
        <v>8.64</v>
      </c>
      <c r="C40" s="64">
        <v>6.68</v>
      </c>
      <c r="D40" s="64">
        <v>10.42</v>
      </c>
      <c r="E40" s="64">
        <v>5.19</v>
      </c>
      <c r="F40" s="64">
        <v>2.33</v>
      </c>
      <c r="G40" s="64">
        <v>22.57</v>
      </c>
      <c r="H40" s="64">
        <v>8.7799999999999994</v>
      </c>
      <c r="I40" s="64">
        <v>0.93</v>
      </c>
      <c r="J40" s="64">
        <v>0.19</v>
      </c>
      <c r="K40" s="64">
        <v>287.52999999999997</v>
      </c>
      <c r="L40" s="64">
        <v>25.99</v>
      </c>
      <c r="M40" s="64">
        <v>97.68</v>
      </c>
      <c r="N40" s="64">
        <v>150.5</v>
      </c>
      <c r="O40" s="64">
        <v>0</v>
      </c>
      <c r="P40" s="64">
        <v>0.27</v>
      </c>
      <c r="Q40" s="64">
        <v>9.64</v>
      </c>
      <c r="R40" s="198"/>
      <c r="S40" s="198"/>
      <c r="T40" s="198"/>
      <c r="U40" s="198"/>
    </row>
    <row r="41" spans="1:21" s="12" customFormat="1" x14ac:dyDescent="0.25">
      <c r="A41" s="212" t="s">
        <v>1239</v>
      </c>
      <c r="B41" s="64">
        <v>8.3000000000000007</v>
      </c>
      <c r="C41" s="64">
        <v>6.93</v>
      </c>
      <c r="D41" s="64">
        <v>10.28</v>
      </c>
      <c r="E41" s="64">
        <v>5.29</v>
      </c>
      <c r="F41" s="64">
        <v>2.39</v>
      </c>
      <c r="G41" s="64">
        <v>22.57</v>
      </c>
      <c r="H41" s="64">
        <v>8.7799999999999994</v>
      </c>
      <c r="I41" s="64">
        <v>0.92</v>
      </c>
      <c r="J41" s="64">
        <v>0.22</v>
      </c>
      <c r="K41" s="64">
        <v>283.2</v>
      </c>
      <c r="L41" s="64">
        <v>25.92</v>
      </c>
      <c r="M41" s="64">
        <v>97.67</v>
      </c>
      <c r="N41" s="64">
        <v>196.5</v>
      </c>
      <c r="O41" s="64">
        <v>0</v>
      </c>
      <c r="P41" s="64">
        <v>0.26</v>
      </c>
      <c r="Q41" s="64">
        <v>9.65</v>
      </c>
      <c r="R41" s="198"/>
      <c r="S41" s="198"/>
      <c r="T41" s="198"/>
      <c r="U41" s="198"/>
    </row>
    <row r="42" spans="1:21" s="12" customFormat="1" x14ac:dyDescent="0.25">
      <c r="A42" s="212" t="s">
        <v>1240</v>
      </c>
      <c r="B42" s="64">
        <v>7.74</v>
      </c>
      <c r="C42" s="64">
        <v>7.47</v>
      </c>
      <c r="D42" s="64">
        <v>10.11</v>
      </c>
      <c r="E42" s="64">
        <v>4.91</v>
      </c>
      <c r="F42" s="64">
        <v>2.38</v>
      </c>
      <c r="G42" s="64">
        <v>22.57</v>
      </c>
      <c r="H42" s="64">
        <v>8.7799999999999994</v>
      </c>
      <c r="I42" s="64">
        <v>0.9</v>
      </c>
      <c r="J42" s="64">
        <v>0.22</v>
      </c>
      <c r="K42" s="64">
        <v>298.16000000000003</v>
      </c>
      <c r="L42" s="64">
        <v>25.97</v>
      </c>
      <c r="M42" s="64">
        <v>97.65</v>
      </c>
      <c r="N42" s="64">
        <v>189.6</v>
      </c>
      <c r="O42" s="64">
        <v>0</v>
      </c>
      <c r="P42" s="64">
        <v>0.28000000000000003</v>
      </c>
      <c r="Q42" s="64">
        <v>9.65</v>
      </c>
      <c r="R42" s="198"/>
      <c r="S42" s="198"/>
      <c r="T42" s="198"/>
      <c r="U42" s="198"/>
    </row>
    <row r="43" spans="1:21" s="12" customFormat="1" x14ac:dyDescent="0.25">
      <c r="A43" s="212" t="s">
        <v>1241</v>
      </c>
      <c r="B43" s="64">
        <v>7.37</v>
      </c>
      <c r="C43" s="64">
        <v>8.11</v>
      </c>
      <c r="D43" s="64">
        <v>10.15</v>
      </c>
      <c r="E43" s="64">
        <v>4.91</v>
      </c>
      <c r="F43" s="64">
        <v>2.61</v>
      </c>
      <c r="G43" s="64">
        <v>27.61</v>
      </c>
      <c r="H43" s="64">
        <v>6.73</v>
      </c>
      <c r="I43" s="64">
        <v>0.89</v>
      </c>
      <c r="J43" s="64">
        <v>0.22</v>
      </c>
      <c r="K43" s="64">
        <v>296.06</v>
      </c>
      <c r="L43" s="64">
        <v>27.09</v>
      </c>
      <c r="M43" s="64">
        <v>97.05</v>
      </c>
      <c r="N43" s="64">
        <v>329.1</v>
      </c>
      <c r="O43" s="64">
        <v>0</v>
      </c>
      <c r="P43" s="64">
        <v>0.28999999999999998</v>
      </c>
      <c r="Q43" s="64">
        <v>9.6300000000000008</v>
      </c>
      <c r="R43" s="198"/>
      <c r="S43" s="198"/>
      <c r="T43" s="198"/>
      <c r="U43" s="198"/>
    </row>
    <row r="44" spans="1:21" s="12" customFormat="1" x14ac:dyDescent="0.25">
      <c r="A44" s="212" t="s">
        <v>1242</v>
      </c>
      <c r="B44" s="64">
        <v>7.41</v>
      </c>
      <c r="C44" s="64">
        <v>8.5</v>
      </c>
      <c r="D44" s="64">
        <v>10.39</v>
      </c>
      <c r="E44" s="64">
        <v>4.9400000000000004</v>
      </c>
      <c r="F44" s="64">
        <v>2.85</v>
      </c>
      <c r="G44" s="64">
        <v>28.03</v>
      </c>
      <c r="H44" s="64">
        <v>6.55</v>
      </c>
      <c r="I44" s="64">
        <v>0.88</v>
      </c>
      <c r="J44" s="64">
        <v>0.17</v>
      </c>
      <c r="K44" s="64">
        <v>295.41000000000003</v>
      </c>
      <c r="L44" s="64">
        <v>27.76</v>
      </c>
      <c r="M44" s="64">
        <v>95.14</v>
      </c>
      <c r="N44" s="64">
        <v>418.4</v>
      </c>
      <c r="O44" s="64">
        <v>0</v>
      </c>
      <c r="P44" s="64">
        <v>0.3</v>
      </c>
      <c r="Q44" s="64">
        <v>9.6300000000000008</v>
      </c>
      <c r="R44" s="198"/>
      <c r="S44" s="198"/>
      <c r="T44" s="198"/>
      <c r="U44" s="198"/>
    </row>
    <row r="45" spans="1:21" s="12" customFormat="1" x14ac:dyDescent="0.25">
      <c r="A45" s="212" t="s">
        <v>1243</v>
      </c>
      <c r="B45" s="64">
        <v>7.86</v>
      </c>
      <c r="C45" s="64">
        <v>8.67</v>
      </c>
      <c r="D45" s="64">
        <v>10.83</v>
      </c>
      <c r="E45" s="64">
        <v>4.9400000000000004</v>
      </c>
      <c r="F45" s="64">
        <v>3.76</v>
      </c>
      <c r="G45" s="64">
        <v>28.03</v>
      </c>
      <c r="H45" s="64">
        <v>6.55</v>
      </c>
      <c r="I45" s="64">
        <v>0.9</v>
      </c>
      <c r="J45" s="64">
        <v>0.18</v>
      </c>
      <c r="K45" s="64">
        <v>289.97000000000003</v>
      </c>
      <c r="L45" s="64">
        <v>28.38</v>
      </c>
      <c r="M45" s="64">
        <v>92.02</v>
      </c>
      <c r="N45" s="64">
        <v>477.7</v>
      </c>
      <c r="O45" s="64">
        <v>0</v>
      </c>
      <c r="P45" s="64">
        <v>0.32</v>
      </c>
      <c r="Q45" s="64">
        <v>9.6300000000000008</v>
      </c>
      <c r="R45" s="198"/>
      <c r="S45" s="198"/>
      <c r="T45" s="198"/>
      <c r="U45" s="198"/>
    </row>
    <row r="46" spans="1:21" s="12" customFormat="1" x14ac:dyDescent="0.25">
      <c r="A46" s="212" t="s">
        <v>1244</v>
      </c>
      <c r="B46" s="64">
        <v>7.24</v>
      </c>
      <c r="C46" s="64">
        <v>9.09</v>
      </c>
      <c r="D46" s="64">
        <v>10.55</v>
      </c>
      <c r="E46" s="64">
        <v>4.8600000000000003</v>
      </c>
      <c r="F46" s="64">
        <v>2.9</v>
      </c>
      <c r="G46" s="64">
        <v>28.03</v>
      </c>
      <c r="H46" s="64">
        <v>6.55</v>
      </c>
      <c r="I46" s="64">
        <v>0.9</v>
      </c>
      <c r="J46" s="64">
        <v>0.15</v>
      </c>
      <c r="K46" s="64">
        <v>278.62</v>
      </c>
      <c r="L46" s="64">
        <v>27.81</v>
      </c>
      <c r="M46" s="64">
        <v>95.95</v>
      </c>
      <c r="N46" s="64">
        <v>480.4</v>
      </c>
      <c r="O46" s="64">
        <v>0</v>
      </c>
      <c r="P46" s="64">
        <v>0.35</v>
      </c>
      <c r="Q46" s="64">
        <v>9.6</v>
      </c>
      <c r="R46" s="198"/>
      <c r="S46" s="198"/>
      <c r="T46" s="198"/>
      <c r="U46" s="198"/>
    </row>
    <row r="47" spans="1:21" s="12" customFormat="1" x14ac:dyDescent="0.25">
      <c r="A47" s="212" t="s">
        <v>1245</v>
      </c>
      <c r="B47" s="64">
        <v>6.98</v>
      </c>
      <c r="C47" s="64">
        <v>8.9499999999999993</v>
      </c>
      <c r="D47" s="64">
        <v>10.27</v>
      </c>
      <c r="E47" s="64">
        <v>4.91</v>
      </c>
      <c r="F47" s="64">
        <v>4.04</v>
      </c>
      <c r="G47" s="64">
        <v>31.42</v>
      </c>
      <c r="H47" s="64">
        <v>5</v>
      </c>
      <c r="I47" s="64">
        <v>0.93</v>
      </c>
      <c r="J47" s="64">
        <v>0.2</v>
      </c>
      <c r="K47" s="64">
        <v>291.55</v>
      </c>
      <c r="L47" s="64">
        <v>28.76</v>
      </c>
      <c r="M47" s="64">
        <v>91.85</v>
      </c>
      <c r="N47" s="64">
        <v>533.4</v>
      </c>
      <c r="O47" s="64">
        <v>0</v>
      </c>
      <c r="P47" s="64">
        <v>0.38</v>
      </c>
      <c r="Q47" s="64">
        <v>9.6</v>
      </c>
      <c r="R47" s="198"/>
      <c r="S47" s="198"/>
      <c r="T47" s="198"/>
      <c r="U47" s="198"/>
    </row>
    <row r="48" spans="1:21" s="12" customFormat="1" x14ac:dyDescent="0.25">
      <c r="A48" s="212" t="s">
        <v>1246</v>
      </c>
      <c r="B48" s="64">
        <v>9.5</v>
      </c>
      <c r="C48" s="64">
        <v>10.19</v>
      </c>
      <c r="D48" s="64">
        <v>12.95</v>
      </c>
      <c r="E48" s="64">
        <v>4.79</v>
      </c>
      <c r="F48" s="64">
        <v>4.9000000000000004</v>
      </c>
      <c r="G48" s="64">
        <v>31.7</v>
      </c>
      <c r="H48" s="64">
        <v>4.8600000000000003</v>
      </c>
      <c r="I48" s="64">
        <v>0.98</v>
      </c>
      <c r="J48" s="64">
        <v>0.11</v>
      </c>
      <c r="K48" s="64">
        <v>284.52999999999997</v>
      </c>
      <c r="L48" s="64">
        <v>29.53</v>
      </c>
      <c r="M48" s="64">
        <v>88.03</v>
      </c>
      <c r="N48" s="64">
        <v>594.20000000000005</v>
      </c>
      <c r="O48" s="64">
        <v>0</v>
      </c>
      <c r="P48" s="64">
        <v>0.46</v>
      </c>
      <c r="Q48" s="64">
        <v>9.6199999999999992</v>
      </c>
      <c r="R48" s="198"/>
      <c r="S48" s="198"/>
      <c r="T48" s="198"/>
      <c r="U48" s="198"/>
    </row>
    <row r="49" spans="1:21" s="12" customFormat="1" x14ac:dyDescent="0.25">
      <c r="A49" s="212" t="s">
        <v>1247</v>
      </c>
      <c r="B49" s="64">
        <v>8.0500000000000007</v>
      </c>
      <c r="C49" s="64">
        <v>10.35</v>
      </c>
      <c r="D49" s="64">
        <v>11.87</v>
      </c>
      <c r="E49" s="64">
        <v>4.71</v>
      </c>
      <c r="F49" s="64">
        <v>6.34</v>
      </c>
      <c r="G49" s="64">
        <v>31.7</v>
      </c>
      <c r="H49" s="64">
        <v>4.8600000000000003</v>
      </c>
      <c r="I49" s="64">
        <v>1.04</v>
      </c>
      <c r="J49" s="64">
        <v>0.23</v>
      </c>
      <c r="K49" s="64">
        <v>304.81</v>
      </c>
      <c r="L49" s="64">
        <v>30.12</v>
      </c>
      <c r="M49" s="64">
        <v>83.05</v>
      </c>
      <c r="N49" s="64">
        <v>580.6</v>
      </c>
      <c r="O49" s="64">
        <v>0</v>
      </c>
      <c r="P49" s="64">
        <v>0.46</v>
      </c>
      <c r="Q49" s="64">
        <v>9.61</v>
      </c>
      <c r="R49" s="198"/>
      <c r="S49" s="198"/>
      <c r="T49" s="198"/>
      <c r="U49" s="198"/>
    </row>
    <row r="50" spans="1:21" s="12" customFormat="1" x14ac:dyDescent="0.25">
      <c r="A50" s="212" t="s">
        <v>1248</v>
      </c>
      <c r="B50" s="64">
        <v>8.2799999999999994</v>
      </c>
      <c r="C50" s="64">
        <v>12.39</v>
      </c>
      <c r="D50" s="64">
        <v>13.12</v>
      </c>
      <c r="E50" s="64">
        <v>5.0599999999999996</v>
      </c>
      <c r="F50" s="64">
        <v>8.2100000000000009</v>
      </c>
      <c r="G50" s="64">
        <v>31.7</v>
      </c>
      <c r="H50" s="64">
        <v>4.8600000000000003</v>
      </c>
      <c r="I50" s="64">
        <v>1.1000000000000001</v>
      </c>
      <c r="J50" s="64">
        <v>0.14000000000000001</v>
      </c>
      <c r="K50" s="64">
        <v>260.88</v>
      </c>
      <c r="L50" s="64">
        <v>30.12</v>
      </c>
      <c r="M50" s="64">
        <v>84.1</v>
      </c>
      <c r="N50" s="64">
        <v>580.5</v>
      </c>
      <c r="O50" s="64">
        <v>0</v>
      </c>
      <c r="P50" s="64">
        <v>0.48</v>
      </c>
      <c r="Q50" s="64">
        <v>9.6</v>
      </c>
      <c r="R50" s="198"/>
      <c r="S50" s="198"/>
      <c r="T50" s="198"/>
      <c r="U50" s="198"/>
    </row>
    <row r="51" spans="1:21" s="12" customFormat="1" x14ac:dyDescent="0.25">
      <c r="A51" s="212" t="s">
        <v>1249</v>
      </c>
      <c r="B51" s="64">
        <v>7.02</v>
      </c>
      <c r="C51" s="64">
        <v>12.7</v>
      </c>
      <c r="D51" s="64">
        <v>12.27</v>
      </c>
      <c r="E51" s="64">
        <v>5.46</v>
      </c>
      <c r="F51" s="64">
        <v>10.82</v>
      </c>
      <c r="G51" s="64">
        <v>41.65</v>
      </c>
      <c r="H51" s="64">
        <v>11.99</v>
      </c>
      <c r="I51" s="64">
        <v>1.18</v>
      </c>
      <c r="J51" s="64">
        <v>0.13</v>
      </c>
      <c r="K51" s="64">
        <v>270.04000000000002</v>
      </c>
      <c r="L51" s="64">
        <v>30.19</v>
      </c>
      <c r="M51" s="64">
        <v>82.75</v>
      </c>
      <c r="N51" s="64">
        <v>344.7</v>
      </c>
      <c r="O51" s="64">
        <v>0</v>
      </c>
      <c r="P51" s="64">
        <v>0.52</v>
      </c>
      <c r="Q51" s="64">
        <v>9.61</v>
      </c>
      <c r="R51" s="198"/>
      <c r="S51" s="198"/>
      <c r="T51" s="198"/>
      <c r="U51" s="198"/>
    </row>
    <row r="52" spans="1:21" s="12" customFormat="1" x14ac:dyDescent="0.25">
      <c r="A52" s="212" t="s">
        <v>1250</v>
      </c>
      <c r="B52" s="64">
        <v>10.37</v>
      </c>
      <c r="C52" s="64">
        <v>13.54</v>
      </c>
      <c r="D52" s="64">
        <v>15.37</v>
      </c>
      <c r="E52" s="64">
        <v>4.87</v>
      </c>
      <c r="F52" s="64">
        <v>9.2799999999999994</v>
      </c>
      <c r="G52" s="64">
        <v>42.49</v>
      </c>
      <c r="H52" s="64">
        <v>12.59</v>
      </c>
      <c r="I52" s="64">
        <v>1.25</v>
      </c>
      <c r="J52" s="64">
        <v>0.25</v>
      </c>
      <c r="K52" s="64">
        <v>315.27</v>
      </c>
      <c r="L52" s="64">
        <v>29.79</v>
      </c>
      <c r="M52" s="64">
        <v>83.26</v>
      </c>
      <c r="N52" s="64">
        <v>399.5</v>
      </c>
      <c r="O52" s="64">
        <v>0</v>
      </c>
      <c r="P52" s="64">
        <v>0.53</v>
      </c>
      <c r="Q52" s="64">
        <v>9.59</v>
      </c>
      <c r="R52" s="198"/>
      <c r="S52" s="198"/>
      <c r="T52" s="198"/>
      <c r="U52" s="198"/>
    </row>
    <row r="53" spans="1:21" s="12" customFormat="1" x14ac:dyDescent="0.25">
      <c r="A53" s="212" t="s">
        <v>1251</v>
      </c>
      <c r="B53" s="64">
        <v>7.55</v>
      </c>
      <c r="C53" s="64">
        <v>12.25</v>
      </c>
      <c r="D53" s="64">
        <v>12.46</v>
      </c>
      <c r="E53" s="64">
        <v>4.92</v>
      </c>
      <c r="F53" s="64">
        <v>6.4</v>
      </c>
      <c r="G53" s="64">
        <v>42.49</v>
      </c>
      <c r="H53" s="64">
        <v>12.59</v>
      </c>
      <c r="I53" s="64">
        <v>1.34</v>
      </c>
      <c r="J53" s="64">
        <v>0.33</v>
      </c>
      <c r="K53" s="64">
        <v>309.41000000000003</v>
      </c>
      <c r="L53" s="64">
        <v>31.01</v>
      </c>
      <c r="M53" s="64">
        <v>76.099999999999994</v>
      </c>
      <c r="N53" s="64">
        <v>513.6</v>
      </c>
      <c r="O53" s="64">
        <v>0</v>
      </c>
      <c r="P53" s="64">
        <v>0.47</v>
      </c>
      <c r="Q53" s="64">
        <v>9.6</v>
      </c>
      <c r="R53" s="198"/>
      <c r="S53" s="198"/>
      <c r="T53" s="198"/>
      <c r="U53" s="198"/>
    </row>
    <row r="54" spans="1:21" s="12" customFormat="1" x14ac:dyDescent="0.25">
      <c r="A54" s="212" t="s">
        <v>1252</v>
      </c>
      <c r="B54" s="64">
        <v>8.3800000000000008</v>
      </c>
      <c r="C54" s="64">
        <v>13.21</v>
      </c>
      <c r="D54" s="64">
        <v>13.62</v>
      </c>
      <c r="E54" s="64">
        <v>5.14</v>
      </c>
      <c r="F54" s="64">
        <v>11.61</v>
      </c>
      <c r="G54" s="64">
        <v>42.49</v>
      </c>
      <c r="H54" s="64">
        <v>12.59</v>
      </c>
      <c r="I54" s="64">
        <v>1.4</v>
      </c>
      <c r="J54" s="64">
        <v>0.52</v>
      </c>
      <c r="K54" s="64">
        <v>324.5</v>
      </c>
      <c r="L54" s="64">
        <v>31.7</v>
      </c>
      <c r="M54" s="64">
        <v>73.599999999999994</v>
      </c>
      <c r="N54" s="64">
        <v>410.4</v>
      </c>
      <c r="O54" s="64">
        <v>0</v>
      </c>
      <c r="P54" s="64">
        <v>0.47</v>
      </c>
      <c r="Q54" s="64">
        <v>9.59</v>
      </c>
      <c r="R54" s="198"/>
      <c r="S54" s="198"/>
      <c r="T54" s="198"/>
      <c r="U54" s="198"/>
    </row>
    <row r="55" spans="1:21" s="12" customFormat="1" x14ac:dyDescent="0.25">
      <c r="A55" s="212" t="s">
        <v>1253</v>
      </c>
      <c r="B55" s="64">
        <v>8.58</v>
      </c>
      <c r="C55" s="64">
        <v>11.88</v>
      </c>
      <c r="D55" s="64">
        <v>13.08</v>
      </c>
      <c r="E55" s="64">
        <v>5.1100000000000003</v>
      </c>
      <c r="F55" s="64">
        <v>10.41</v>
      </c>
      <c r="G55" s="64">
        <v>43.8</v>
      </c>
      <c r="H55" s="64">
        <v>12.43</v>
      </c>
      <c r="I55" s="64">
        <v>1.43</v>
      </c>
      <c r="J55" s="64">
        <v>0.75</v>
      </c>
      <c r="K55" s="64">
        <v>328.5</v>
      </c>
      <c r="L55" s="64">
        <v>32.29</v>
      </c>
      <c r="M55" s="64">
        <v>68.81</v>
      </c>
      <c r="N55" s="64">
        <v>466.4</v>
      </c>
      <c r="O55" s="64">
        <v>0</v>
      </c>
      <c r="P55" s="64">
        <v>0.47</v>
      </c>
      <c r="Q55" s="64">
        <v>9.59</v>
      </c>
      <c r="R55" s="198"/>
      <c r="S55" s="198"/>
      <c r="T55" s="198"/>
      <c r="U55" s="198"/>
    </row>
    <row r="56" spans="1:21" s="12" customFormat="1" x14ac:dyDescent="0.25">
      <c r="A56" s="212" t="s">
        <v>1254</v>
      </c>
      <c r="B56" s="64">
        <v>8.16</v>
      </c>
      <c r="C56" s="64">
        <v>11.09</v>
      </c>
      <c r="D56" s="64">
        <v>12.34</v>
      </c>
      <c r="E56" s="64">
        <v>4.82</v>
      </c>
      <c r="F56" s="64">
        <v>7.84</v>
      </c>
      <c r="G56" s="64">
        <v>43.91</v>
      </c>
      <c r="H56" s="64">
        <v>12.42</v>
      </c>
      <c r="I56" s="64">
        <v>1.46</v>
      </c>
      <c r="J56" s="64">
        <v>0.27</v>
      </c>
      <c r="K56" s="64">
        <v>307.32</v>
      </c>
      <c r="L56" s="64">
        <v>32.47</v>
      </c>
      <c r="M56" s="64">
        <v>67.31</v>
      </c>
      <c r="N56" s="64">
        <v>599.5</v>
      </c>
      <c r="O56" s="64">
        <v>0</v>
      </c>
      <c r="P56" s="64">
        <v>0.49</v>
      </c>
      <c r="Q56" s="64">
        <v>9.59</v>
      </c>
      <c r="R56" s="198"/>
      <c r="S56" s="198"/>
      <c r="T56" s="198"/>
      <c r="U56" s="198"/>
    </row>
    <row r="57" spans="1:21" s="12" customFormat="1" x14ac:dyDescent="0.25">
      <c r="A57" s="212" t="s">
        <v>1255</v>
      </c>
      <c r="B57" s="64">
        <v>10.91</v>
      </c>
      <c r="C57" s="64">
        <v>12.62</v>
      </c>
      <c r="D57" s="64">
        <v>15.34</v>
      </c>
      <c r="E57" s="64">
        <v>5.01</v>
      </c>
      <c r="F57" s="64">
        <v>5.76</v>
      </c>
      <c r="G57" s="64">
        <v>43.91</v>
      </c>
      <c r="H57" s="64">
        <v>12.42</v>
      </c>
      <c r="I57" s="64">
        <v>1.48</v>
      </c>
      <c r="J57" s="64">
        <v>0.27</v>
      </c>
      <c r="K57" s="64">
        <v>311.25</v>
      </c>
      <c r="L57" s="64">
        <v>32.61</v>
      </c>
      <c r="M57" s="64">
        <v>66.67</v>
      </c>
      <c r="N57" s="64">
        <v>474.8</v>
      </c>
      <c r="O57" s="64">
        <v>0</v>
      </c>
      <c r="P57" s="64">
        <v>0.48</v>
      </c>
      <c r="Q57" s="64">
        <v>9.6</v>
      </c>
      <c r="R57" s="198"/>
      <c r="S57" s="198"/>
      <c r="T57" s="198"/>
      <c r="U57" s="198"/>
    </row>
    <row r="58" spans="1:21" s="12" customFormat="1" x14ac:dyDescent="0.25">
      <c r="A58" s="212" t="s">
        <v>1256</v>
      </c>
      <c r="B58" s="64">
        <v>8.91</v>
      </c>
      <c r="C58" s="64">
        <v>12.91</v>
      </c>
      <c r="D58" s="64">
        <v>13.89</v>
      </c>
      <c r="E58" s="64">
        <v>5.36</v>
      </c>
      <c r="F58" s="64">
        <v>13.23</v>
      </c>
      <c r="G58" s="64">
        <v>43.91</v>
      </c>
      <c r="H58" s="64">
        <v>12.42</v>
      </c>
      <c r="I58" s="64">
        <v>1.48</v>
      </c>
      <c r="J58" s="64">
        <v>0.21</v>
      </c>
      <c r="K58" s="64">
        <v>311.82</v>
      </c>
      <c r="L58" s="64">
        <v>32.1</v>
      </c>
      <c r="M58" s="64">
        <v>69.28</v>
      </c>
      <c r="N58" s="64">
        <v>777.4</v>
      </c>
      <c r="O58" s="64">
        <v>0</v>
      </c>
      <c r="P58" s="64">
        <v>0.46</v>
      </c>
      <c r="Q58" s="64">
        <v>9.59</v>
      </c>
      <c r="R58" s="198"/>
      <c r="S58" s="198"/>
      <c r="T58" s="198"/>
      <c r="U58" s="198"/>
    </row>
    <row r="59" spans="1:21" s="12" customFormat="1" x14ac:dyDescent="0.25">
      <c r="A59" s="212" t="s">
        <v>1257</v>
      </c>
      <c r="B59" s="64">
        <v>8.25</v>
      </c>
      <c r="C59" s="64">
        <v>9.51</v>
      </c>
      <c r="D59" s="64">
        <v>11.58</v>
      </c>
      <c r="E59" s="64">
        <v>5.0999999999999996</v>
      </c>
      <c r="F59" s="64">
        <v>9.52</v>
      </c>
      <c r="G59" s="64">
        <v>44.16</v>
      </c>
      <c r="H59" s="64">
        <v>9.86</v>
      </c>
      <c r="I59" s="64">
        <v>1.45</v>
      </c>
      <c r="J59" s="64">
        <v>0.61</v>
      </c>
      <c r="K59" s="64">
        <v>328.77</v>
      </c>
      <c r="L59" s="64">
        <v>33.020000000000003</v>
      </c>
      <c r="M59" s="64">
        <v>63.82</v>
      </c>
      <c r="N59" s="64">
        <v>648.79999999999995</v>
      </c>
      <c r="O59" s="64">
        <v>0</v>
      </c>
      <c r="P59" s="64">
        <v>0.45</v>
      </c>
      <c r="Q59" s="64">
        <v>9.6199999999999992</v>
      </c>
      <c r="R59" s="198"/>
      <c r="S59" s="198"/>
      <c r="T59" s="198"/>
      <c r="U59" s="198"/>
    </row>
    <row r="60" spans="1:21" s="12" customFormat="1" x14ac:dyDescent="0.25">
      <c r="A60" s="212" t="s">
        <v>1258</v>
      </c>
      <c r="B60" s="64">
        <v>7.89</v>
      </c>
      <c r="C60" s="64">
        <v>10.68</v>
      </c>
      <c r="D60" s="64">
        <v>11.9</v>
      </c>
      <c r="E60" s="64">
        <v>5.04</v>
      </c>
      <c r="F60" s="64">
        <v>5.38</v>
      </c>
      <c r="G60" s="64">
        <v>44.18</v>
      </c>
      <c r="H60" s="64">
        <v>9.64</v>
      </c>
      <c r="I60" s="64">
        <v>1.43</v>
      </c>
      <c r="J60" s="64">
        <v>0.17</v>
      </c>
      <c r="K60" s="64">
        <v>275.95999999999998</v>
      </c>
      <c r="L60" s="64">
        <v>31.87</v>
      </c>
      <c r="M60" s="64">
        <v>67.959999999999994</v>
      </c>
      <c r="N60" s="64">
        <v>514</v>
      </c>
      <c r="O60" s="64">
        <v>0</v>
      </c>
      <c r="P60" s="64">
        <v>0.45</v>
      </c>
      <c r="Q60" s="64">
        <v>9.6</v>
      </c>
      <c r="R60" s="198"/>
      <c r="S60" s="198"/>
      <c r="T60" s="198"/>
      <c r="U60" s="198"/>
    </row>
    <row r="61" spans="1:21" s="12" customFormat="1" x14ac:dyDescent="0.25">
      <c r="A61" s="212" t="s">
        <v>1259</v>
      </c>
      <c r="B61" s="64">
        <v>7.37</v>
      </c>
      <c r="C61" s="64">
        <v>11.53</v>
      </c>
      <c r="D61" s="64">
        <v>11.93</v>
      </c>
      <c r="E61" s="64">
        <v>5.03</v>
      </c>
      <c r="F61" s="64">
        <v>12.21</v>
      </c>
      <c r="G61" s="64">
        <v>44.18</v>
      </c>
      <c r="H61" s="64">
        <v>9.64</v>
      </c>
      <c r="I61" s="64">
        <v>1.41</v>
      </c>
      <c r="J61" s="64">
        <v>0.09</v>
      </c>
      <c r="K61" s="64">
        <v>181.72</v>
      </c>
      <c r="L61" s="64">
        <v>31.5</v>
      </c>
      <c r="M61" s="64">
        <v>70.22</v>
      </c>
      <c r="N61" s="64">
        <v>380</v>
      </c>
      <c r="O61" s="64">
        <v>0</v>
      </c>
      <c r="P61" s="64">
        <v>0.44</v>
      </c>
      <c r="Q61" s="64">
        <v>9.61</v>
      </c>
      <c r="R61" s="198"/>
      <c r="S61" s="198"/>
      <c r="T61" s="198"/>
      <c r="U61" s="198"/>
    </row>
    <row r="62" spans="1:21" s="12" customFormat="1" x14ac:dyDescent="0.25">
      <c r="A62" s="212" t="s">
        <v>1260</v>
      </c>
      <c r="B62" s="64">
        <v>8.7899999999999991</v>
      </c>
      <c r="C62" s="64">
        <v>11.6</v>
      </c>
      <c r="D62" s="64">
        <v>13.08</v>
      </c>
      <c r="E62" s="64">
        <v>5.0199999999999996</v>
      </c>
      <c r="F62" s="64">
        <v>11.44</v>
      </c>
      <c r="G62" s="64">
        <v>44.18</v>
      </c>
      <c r="H62" s="64">
        <v>9.64</v>
      </c>
      <c r="I62" s="64">
        <v>1.41</v>
      </c>
      <c r="J62" s="64">
        <v>0.18</v>
      </c>
      <c r="K62" s="64">
        <v>316.38</v>
      </c>
      <c r="L62" s="64">
        <v>31.69</v>
      </c>
      <c r="M62" s="64">
        <v>70.459999999999994</v>
      </c>
      <c r="N62" s="64">
        <v>316.89999999999998</v>
      </c>
      <c r="O62" s="64">
        <v>0</v>
      </c>
      <c r="P62" s="64">
        <v>0.43</v>
      </c>
      <c r="Q62" s="64">
        <v>9.6199999999999992</v>
      </c>
      <c r="R62" s="198"/>
      <c r="S62" s="198"/>
      <c r="T62" s="198"/>
      <c r="U62" s="198"/>
    </row>
    <row r="63" spans="1:21" s="12" customFormat="1" x14ac:dyDescent="0.25">
      <c r="A63" s="212" t="s">
        <v>1261</v>
      </c>
      <c r="B63" s="64">
        <v>7.89</v>
      </c>
      <c r="C63" s="64">
        <v>14.59</v>
      </c>
      <c r="D63" s="64">
        <v>13.95</v>
      </c>
      <c r="E63" s="64">
        <v>4.7300000000000004</v>
      </c>
      <c r="F63" s="64">
        <v>9.98</v>
      </c>
      <c r="G63" s="64">
        <v>44.32</v>
      </c>
      <c r="H63" s="64">
        <v>8.5299999999999994</v>
      </c>
      <c r="I63" s="64">
        <v>1.39</v>
      </c>
      <c r="J63" s="64">
        <v>0.18</v>
      </c>
      <c r="K63" s="64">
        <v>286.68</v>
      </c>
      <c r="L63" s="64">
        <v>31.34</v>
      </c>
      <c r="M63" s="64">
        <v>70.36</v>
      </c>
      <c r="N63" s="64">
        <v>276.2</v>
      </c>
      <c r="O63" s="64">
        <v>0</v>
      </c>
      <c r="P63" s="64">
        <v>0.5</v>
      </c>
      <c r="Q63" s="64">
        <v>9.61</v>
      </c>
      <c r="R63" s="198"/>
      <c r="S63" s="198"/>
      <c r="T63" s="198"/>
      <c r="U63" s="198"/>
    </row>
    <row r="64" spans="1:21" s="12" customFormat="1" x14ac:dyDescent="0.25">
      <c r="A64" s="212" t="s">
        <v>1262</v>
      </c>
      <c r="B64" s="64">
        <v>6.63</v>
      </c>
      <c r="C64" s="64">
        <v>12.38</v>
      </c>
      <c r="D64" s="64">
        <v>11.78</v>
      </c>
      <c r="E64" s="64">
        <v>4.76</v>
      </c>
      <c r="F64" s="64">
        <v>8.8000000000000007</v>
      </c>
      <c r="G64" s="64">
        <v>44.33</v>
      </c>
      <c r="H64" s="64">
        <v>8.43</v>
      </c>
      <c r="I64" s="64">
        <v>1.37</v>
      </c>
      <c r="J64" s="64">
        <v>0.2</v>
      </c>
      <c r="K64" s="64">
        <v>315.8</v>
      </c>
      <c r="L64" s="64">
        <v>31.74</v>
      </c>
      <c r="M64" s="64">
        <v>68.010000000000005</v>
      </c>
      <c r="N64" s="64">
        <v>292.2</v>
      </c>
      <c r="O64" s="64">
        <v>0</v>
      </c>
      <c r="P64" s="64">
        <v>0.43</v>
      </c>
      <c r="Q64" s="64">
        <v>9.58</v>
      </c>
      <c r="R64" s="198"/>
      <c r="S64" s="198"/>
      <c r="T64" s="198"/>
      <c r="U64" s="198"/>
    </row>
    <row r="65" spans="1:21" s="12" customFormat="1" x14ac:dyDescent="0.25">
      <c r="A65" s="212" t="s">
        <v>1263</v>
      </c>
      <c r="B65" s="64">
        <v>5.78</v>
      </c>
      <c r="C65" s="64">
        <v>11.52</v>
      </c>
      <c r="D65" s="64">
        <v>10.66</v>
      </c>
      <c r="E65" s="64">
        <v>5.07</v>
      </c>
      <c r="F65" s="64">
        <v>13.17</v>
      </c>
      <c r="G65" s="64">
        <v>44.33</v>
      </c>
      <c r="H65" s="64">
        <v>8.43</v>
      </c>
      <c r="I65" s="64">
        <v>1.38</v>
      </c>
      <c r="J65" s="64">
        <v>0.08</v>
      </c>
      <c r="K65" s="64">
        <v>272.98</v>
      </c>
      <c r="L65" s="64">
        <v>31.21</v>
      </c>
      <c r="M65" s="64">
        <v>71.23</v>
      </c>
      <c r="N65" s="64">
        <v>259.3</v>
      </c>
      <c r="O65" s="64">
        <v>0</v>
      </c>
      <c r="P65" s="64">
        <v>0.42</v>
      </c>
      <c r="Q65" s="64">
        <v>9.59</v>
      </c>
      <c r="R65" s="198"/>
      <c r="S65" s="198"/>
      <c r="T65" s="198"/>
      <c r="U65" s="198"/>
    </row>
    <row r="66" spans="1:21" s="12" customFormat="1" x14ac:dyDescent="0.25">
      <c r="A66" s="212" t="s">
        <v>1264</v>
      </c>
      <c r="B66" s="64">
        <v>5.46</v>
      </c>
      <c r="C66" s="64">
        <v>13.99</v>
      </c>
      <c r="D66" s="64">
        <v>11.69</v>
      </c>
      <c r="E66" s="64">
        <v>4.97</v>
      </c>
      <c r="F66" s="64">
        <v>20.88</v>
      </c>
      <c r="G66" s="64">
        <v>44.33</v>
      </c>
      <c r="H66" s="64">
        <v>8.43</v>
      </c>
      <c r="I66" s="64">
        <v>1.4</v>
      </c>
      <c r="J66" s="64">
        <v>0.36</v>
      </c>
      <c r="K66" s="64">
        <v>136.84</v>
      </c>
      <c r="L66" s="64">
        <v>30.95</v>
      </c>
      <c r="M66" s="64">
        <v>74.11</v>
      </c>
      <c r="N66" s="64">
        <v>198.4</v>
      </c>
      <c r="O66" s="64">
        <v>0</v>
      </c>
      <c r="P66" s="64">
        <v>0.44</v>
      </c>
      <c r="Q66" s="64">
        <v>9.61</v>
      </c>
      <c r="R66" s="198"/>
      <c r="S66" s="198"/>
      <c r="T66" s="198"/>
      <c r="U66" s="198"/>
    </row>
    <row r="67" spans="1:21" s="12" customFormat="1" x14ac:dyDescent="0.25">
      <c r="A67" s="212" t="s">
        <v>1265</v>
      </c>
      <c r="B67" s="64">
        <v>4.79</v>
      </c>
      <c r="C67" s="64">
        <v>12.75</v>
      </c>
      <c r="D67" s="64">
        <v>10.5</v>
      </c>
      <c r="E67" s="64">
        <v>5.04</v>
      </c>
      <c r="F67" s="64">
        <v>18.52</v>
      </c>
      <c r="G67" s="64">
        <v>42.05</v>
      </c>
      <c r="H67" s="64">
        <v>10.74</v>
      </c>
      <c r="I67" s="64">
        <v>1.41</v>
      </c>
      <c r="J67" s="64">
        <v>0.34</v>
      </c>
      <c r="K67" s="64">
        <v>148.87</v>
      </c>
      <c r="L67" s="64">
        <v>30.18</v>
      </c>
      <c r="M67" s="64">
        <v>76.88</v>
      </c>
      <c r="N67" s="64">
        <v>231.8</v>
      </c>
      <c r="O67" s="64">
        <v>0</v>
      </c>
      <c r="P67" s="64">
        <v>0.37</v>
      </c>
      <c r="Q67" s="64">
        <v>9.6</v>
      </c>
      <c r="R67" s="198"/>
      <c r="S67" s="198"/>
      <c r="T67" s="198"/>
      <c r="U67" s="198"/>
    </row>
    <row r="68" spans="1:21" s="12" customFormat="1" x14ac:dyDescent="0.25">
      <c r="A68" s="212" t="s">
        <v>1266</v>
      </c>
      <c r="B68" s="64">
        <v>5.15</v>
      </c>
      <c r="C68" s="64">
        <v>11.06</v>
      </c>
      <c r="D68" s="64">
        <v>9.91</v>
      </c>
      <c r="E68" s="64">
        <v>5.05</v>
      </c>
      <c r="F68" s="64">
        <v>15.79</v>
      </c>
      <c r="G68" s="64">
        <v>41.86</v>
      </c>
      <c r="H68" s="64">
        <v>10.9</v>
      </c>
      <c r="I68" s="64">
        <v>1.41</v>
      </c>
      <c r="J68" s="64">
        <v>0.25</v>
      </c>
      <c r="K68" s="64">
        <v>136.91999999999999</v>
      </c>
      <c r="L68" s="64">
        <v>30.8</v>
      </c>
      <c r="M68" s="64">
        <v>73.05</v>
      </c>
      <c r="N68" s="64">
        <v>236.3</v>
      </c>
      <c r="O68" s="64">
        <v>0</v>
      </c>
      <c r="P68" s="64">
        <v>0.38</v>
      </c>
      <c r="Q68" s="64">
        <v>9.6</v>
      </c>
      <c r="R68" s="198"/>
      <c r="S68" s="198"/>
      <c r="T68" s="198"/>
      <c r="U68" s="198"/>
    </row>
    <row r="69" spans="1:21" s="12" customFormat="1" x14ac:dyDescent="0.25">
      <c r="A69" s="212" t="s">
        <v>1267</v>
      </c>
      <c r="B69" s="64">
        <v>5.19</v>
      </c>
      <c r="C69" s="64">
        <v>10.53</v>
      </c>
      <c r="D69" s="64">
        <v>9.66</v>
      </c>
      <c r="E69" s="64">
        <v>5.01</v>
      </c>
      <c r="F69" s="64">
        <v>14.68</v>
      </c>
      <c r="G69" s="64">
        <v>41.86</v>
      </c>
      <c r="H69" s="64">
        <v>10.9</v>
      </c>
      <c r="I69" s="64">
        <v>1.42</v>
      </c>
      <c r="J69" s="64">
        <v>0.32</v>
      </c>
      <c r="K69" s="64">
        <v>153.83000000000001</v>
      </c>
      <c r="L69" s="64">
        <v>30.35</v>
      </c>
      <c r="M69" s="64">
        <v>76.22</v>
      </c>
      <c r="N69" s="64">
        <v>199.9</v>
      </c>
      <c r="O69" s="64">
        <v>0</v>
      </c>
      <c r="P69" s="64">
        <v>0.41</v>
      </c>
      <c r="Q69" s="64">
        <v>9.59</v>
      </c>
      <c r="R69" s="198"/>
      <c r="S69" s="198"/>
      <c r="T69" s="198"/>
      <c r="U69" s="198"/>
    </row>
    <row r="70" spans="1:21" s="12" customFormat="1" x14ac:dyDescent="0.25">
      <c r="A70" s="212" t="s">
        <v>1268</v>
      </c>
      <c r="B70" s="64">
        <v>4.88</v>
      </c>
      <c r="C70" s="64">
        <v>10.97</v>
      </c>
      <c r="D70" s="64">
        <v>9.64</v>
      </c>
      <c r="E70" s="64">
        <v>5.14</v>
      </c>
      <c r="F70" s="64">
        <v>14.18</v>
      </c>
      <c r="G70" s="64">
        <v>41.86</v>
      </c>
      <c r="H70" s="64">
        <v>10.9</v>
      </c>
      <c r="I70" s="64">
        <v>1.41</v>
      </c>
      <c r="J70" s="64">
        <v>0.09</v>
      </c>
      <c r="K70" s="64">
        <v>226.33</v>
      </c>
      <c r="L70" s="64">
        <v>30.35</v>
      </c>
      <c r="M70" s="64">
        <v>77.760000000000005</v>
      </c>
      <c r="N70" s="64">
        <v>168.4</v>
      </c>
      <c r="O70" s="64">
        <v>0</v>
      </c>
      <c r="P70" s="64">
        <v>0.4</v>
      </c>
      <c r="Q70" s="64">
        <v>9.6</v>
      </c>
      <c r="R70" s="198"/>
      <c r="S70" s="198"/>
      <c r="T70" s="198"/>
      <c r="U70" s="198"/>
    </row>
    <row r="71" spans="1:21" s="12" customFormat="1" x14ac:dyDescent="0.25">
      <c r="A71" s="212" t="s">
        <v>1269</v>
      </c>
      <c r="B71" s="64">
        <v>4.8499999999999996</v>
      </c>
      <c r="C71" s="64">
        <v>10.98</v>
      </c>
      <c r="D71" s="64">
        <v>9.6300000000000008</v>
      </c>
      <c r="E71" s="64">
        <v>4.84</v>
      </c>
      <c r="F71" s="64">
        <v>6.78</v>
      </c>
      <c r="G71" s="64">
        <v>40.75</v>
      </c>
      <c r="H71" s="64">
        <v>8.82</v>
      </c>
      <c r="I71" s="64">
        <v>1.39</v>
      </c>
      <c r="J71" s="64">
        <v>0.16</v>
      </c>
      <c r="K71" s="64">
        <v>271.48</v>
      </c>
      <c r="L71" s="64">
        <v>29.93</v>
      </c>
      <c r="M71" s="64">
        <v>79.209999999999994</v>
      </c>
      <c r="N71" s="64">
        <v>157.30000000000001</v>
      </c>
      <c r="O71" s="64">
        <v>0</v>
      </c>
      <c r="P71" s="64">
        <v>0.41</v>
      </c>
      <c r="Q71" s="64">
        <v>9.6</v>
      </c>
      <c r="R71" s="198"/>
      <c r="S71" s="198"/>
      <c r="T71" s="198"/>
      <c r="U71" s="198"/>
    </row>
    <row r="72" spans="1:21" s="12" customFormat="1" x14ac:dyDescent="0.25">
      <c r="A72" s="212" t="s">
        <v>1270</v>
      </c>
      <c r="B72" s="64">
        <v>4.72</v>
      </c>
      <c r="C72" s="64">
        <v>10.68</v>
      </c>
      <c r="D72" s="64">
        <v>9.3699999999999992</v>
      </c>
      <c r="E72" s="64">
        <v>4.17</v>
      </c>
      <c r="F72" s="64">
        <v>5.94</v>
      </c>
      <c r="G72" s="64">
        <v>40.659999999999997</v>
      </c>
      <c r="H72" s="64">
        <v>8.67</v>
      </c>
      <c r="I72" s="64">
        <v>1.4</v>
      </c>
      <c r="J72" s="64">
        <v>0.19</v>
      </c>
      <c r="K72" s="64">
        <v>293.42</v>
      </c>
      <c r="L72" s="64">
        <v>29.88</v>
      </c>
      <c r="M72" s="64">
        <v>73.97</v>
      </c>
      <c r="N72" s="64">
        <v>157.1</v>
      </c>
      <c r="O72" s="64">
        <v>0</v>
      </c>
      <c r="P72" s="64">
        <v>0.43</v>
      </c>
      <c r="Q72" s="64">
        <v>9.59</v>
      </c>
      <c r="R72" s="198"/>
      <c r="S72" s="198"/>
      <c r="T72" s="198"/>
      <c r="U72" s="198"/>
    </row>
    <row r="73" spans="1:21" s="12" customFormat="1" x14ac:dyDescent="0.25">
      <c r="A73" s="212" t="s">
        <v>1271</v>
      </c>
      <c r="B73" s="64">
        <v>5.93</v>
      </c>
      <c r="C73" s="64">
        <v>13.83</v>
      </c>
      <c r="D73" s="64">
        <v>11.98</v>
      </c>
      <c r="E73" s="64">
        <v>4.4400000000000004</v>
      </c>
      <c r="F73" s="64">
        <v>11.43</v>
      </c>
      <c r="G73" s="64">
        <v>40.659999999999997</v>
      </c>
      <c r="H73" s="64">
        <v>8.67</v>
      </c>
      <c r="I73" s="64">
        <v>1.38</v>
      </c>
      <c r="J73" s="64">
        <v>0.13</v>
      </c>
      <c r="K73" s="64">
        <v>274.68</v>
      </c>
      <c r="L73" s="64">
        <v>30.22</v>
      </c>
      <c r="M73" s="64">
        <v>72.489999999999995</v>
      </c>
      <c r="N73" s="64">
        <v>149.30000000000001</v>
      </c>
      <c r="O73" s="64">
        <v>0</v>
      </c>
      <c r="P73" s="64">
        <v>0.48</v>
      </c>
      <c r="Q73" s="64">
        <v>9.59</v>
      </c>
      <c r="R73" s="198"/>
      <c r="S73" s="198"/>
      <c r="T73" s="198"/>
      <c r="U73" s="198"/>
    </row>
    <row r="74" spans="1:21" s="12" customFormat="1" x14ac:dyDescent="0.25">
      <c r="A74" s="212" t="s">
        <v>1272</v>
      </c>
      <c r="B74" s="64">
        <v>6.27</v>
      </c>
      <c r="C74" s="64">
        <v>12.23</v>
      </c>
      <c r="D74" s="64">
        <v>11.42</v>
      </c>
      <c r="E74" s="64">
        <v>4.26</v>
      </c>
      <c r="F74" s="64">
        <v>7.04</v>
      </c>
      <c r="G74" s="64">
        <v>40.659999999999997</v>
      </c>
      <c r="H74" s="64">
        <v>8.67</v>
      </c>
      <c r="I74" s="64">
        <v>1.37</v>
      </c>
      <c r="J74" s="64">
        <v>0.1</v>
      </c>
      <c r="K74" s="64">
        <v>267.60000000000002</v>
      </c>
      <c r="L74" s="64">
        <v>30.07</v>
      </c>
      <c r="M74" s="64">
        <v>74.83</v>
      </c>
      <c r="N74" s="64">
        <v>135.9</v>
      </c>
      <c r="O74" s="64">
        <v>0.2</v>
      </c>
      <c r="P74" s="64">
        <v>0.47</v>
      </c>
      <c r="Q74" s="64">
        <v>9.59</v>
      </c>
      <c r="R74" s="198"/>
      <c r="S74" s="198"/>
      <c r="T74" s="198"/>
      <c r="U74" s="198"/>
    </row>
    <row r="75" spans="1:21" s="12" customFormat="1" x14ac:dyDescent="0.25">
      <c r="A75" s="212" t="s">
        <v>1273</v>
      </c>
      <c r="B75" s="64">
        <v>7.12</v>
      </c>
      <c r="C75" s="64">
        <v>12.9</v>
      </c>
      <c r="D75" s="64">
        <v>12.45</v>
      </c>
      <c r="E75" s="64">
        <v>4.55</v>
      </c>
      <c r="F75" s="64">
        <v>9.48</v>
      </c>
      <c r="G75" s="64">
        <v>38.79</v>
      </c>
      <c r="H75" s="64">
        <v>7.82</v>
      </c>
      <c r="I75" s="64">
        <v>1.4</v>
      </c>
      <c r="J75" s="64">
        <v>0.09</v>
      </c>
      <c r="K75" s="64">
        <v>277.61</v>
      </c>
      <c r="L75" s="64">
        <v>30.02</v>
      </c>
      <c r="M75" s="64">
        <v>74.91</v>
      </c>
      <c r="N75" s="64">
        <v>112.9</v>
      </c>
      <c r="O75" s="64">
        <v>0</v>
      </c>
      <c r="P75" s="64">
        <v>0.51</v>
      </c>
      <c r="Q75" s="64">
        <v>9.58</v>
      </c>
      <c r="R75" s="198"/>
      <c r="S75" s="198"/>
      <c r="T75" s="198"/>
      <c r="U75" s="198"/>
    </row>
    <row r="76" spans="1:21" s="12" customFormat="1" x14ac:dyDescent="0.25">
      <c r="A76" s="212" t="s">
        <v>1274</v>
      </c>
      <c r="B76" s="64">
        <v>4.83</v>
      </c>
      <c r="C76" s="64">
        <v>10.83</v>
      </c>
      <c r="D76" s="64">
        <v>9.5399999999999991</v>
      </c>
      <c r="E76" s="64">
        <v>4.79</v>
      </c>
      <c r="F76" s="64">
        <v>15.8</v>
      </c>
      <c r="G76" s="64">
        <v>38.630000000000003</v>
      </c>
      <c r="H76" s="64">
        <v>7.76</v>
      </c>
      <c r="I76" s="64">
        <v>1.41</v>
      </c>
      <c r="J76" s="64">
        <v>0.02</v>
      </c>
      <c r="K76" s="64">
        <v>201.18</v>
      </c>
      <c r="L76" s="64">
        <v>29.92</v>
      </c>
      <c r="M76" s="64">
        <v>74.599999999999994</v>
      </c>
      <c r="N76" s="64">
        <v>103.4</v>
      </c>
      <c r="O76" s="64">
        <v>0</v>
      </c>
      <c r="P76" s="64">
        <v>0.42</v>
      </c>
      <c r="Q76" s="64">
        <v>9.59</v>
      </c>
      <c r="R76" s="198"/>
      <c r="S76" s="198"/>
      <c r="T76" s="198"/>
      <c r="U76" s="198"/>
    </row>
    <row r="77" spans="1:21" s="12" customFormat="1" x14ac:dyDescent="0.25">
      <c r="A77" s="212" t="s">
        <v>1275</v>
      </c>
      <c r="B77" s="64">
        <v>5.65</v>
      </c>
      <c r="C77" s="64">
        <v>13.2</v>
      </c>
      <c r="D77" s="64">
        <v>11.43</v>
      </c>
      <c r="E77" s="64">
        <v>4.67</v>
      </c>
      <c r="F77" s="64">
        <v>9.51</v>
      </c>
      <c r="G77" s="64">
        <v>38.630000000000003</v>
      </c>
      <c r="H77" s="64">
        <v>7.76</v>
      </c>
      <c r="I77" s="64">
        <v>1.41</v>
      </c>
      <c r="J77" s="64">
        <v>0.11</v>
      </c>
      <c r="K77" s="64">
        <v>148.58000000000001</v>
      </c>
      <c r="L77" s="64">
        <v>29.75</v>
      </c>
      <c r="M77" s="64">
        <v>77.819999999999993</v>
      </c>
      <c r="N77" s="64">
        <v>94.8</v>
      </c>
      <c r="O77" s="64">
        <v>0</v>
      </c>
      <c r="P77" s="64">
        <v>0.4</v>
      </c>
      <c r="Q77" s="64">
        <v>9.59</v>
      </c>
      <c r="R77" s="198"/>
      <c r="S77" s="198"/>
      <c r="T77" s="198"/>
      <c r="U77" s="198"/>
    </row>
    <row r="78" spans="1:21" s="12" customFormat="1" x14ac:dyDescent="0.25">
      <c r="A78" s="212" t="s">
        <v>1276</v>
      </c>
      <c r="B78" s="64">
        <v>6.82</v>
      </c>
      <c r="C78" s="64">
        <v>12.36</v>
      </c>
      <c r="D78" s="64">
        <v>11.92</v>
      </c>
      <c r="E78" s="64">
        <v>4.5199999999999996</v>
      </c>
      <c r="F78" s="64">
        <v>10.32</v>
      </c>
      <c r="G78" s="64">
        <v>38.630000000000003</v>
      </c>
      <c r="H78" s="64">
        <v>7.76</v>
      </c>
      <c r="I78" s="64">
        <v>1.4</v>
      </c>
      <c r="J78" s="64">
        <v>0.06</v>
      </c>
      <c r="K78" s="64">
        <v>307.95</v>
      </c>
      <c r="L78" s="64">
        <v>29.56</v>
      </c>
      <c r="M78" s="64">
        <v>80.790000000000006</v>
      </c>
      <c r="N78" s="64">
        <v>87.4</v>
      </c>
      <c r="O78" s="64">
        <v>0</v>
      </c>
      <c r="P78" s="64">
        <v>0.44</v>
      </c>
      <c r="Q78" s="64">
        <v>9.58</v>
      </c>
      <c r="R78" s="198"/>
      <c r="S78" s="198"/>
      <c r="T78" s="198"/>
      <c r="U78" s="198"/>
    </row>
    <row r="79" spans="1:21" s="12" customFormat="1" x14ac:dyDescent="0.25">
      <c r="A79" s="212" t="s">
        <v>1277</v>
      </c>
      <c r="B79" s="64">
        <v>7.16</v>
      </c>
      <c r="C79" s="64">
        <v>11.01</v>
      </c>
      <c r="D79" s="64">
        <v>11.5</v>
      </c>
      <c r="E79" s="64">
        <v>4.59</v>
      </c>
      <c r="F79" s="64">
        <v>7.06</v>
      </c>
      <c r="G79" s="64">
        <v>35.96</v>
      </c>
      <c r="H79" s="64">
        <v>10.51</v>
      </c>
      <c r="I79" s="64">
        <v>1.38</v>
      </c>
      <c r="J79" s="64">
        <v>0.23</v>
      </c>
      <c r="K79" s="64">
        <v>319.76</v>
      </c>
      <c r="L79" s="64">
        <v>29.21</v>
      </c>
      <c r="M79" s="64">
        <v>83.37</v>
      </c>
      <c r="N79" s="64">
        <v>80.2</v>
      </c>
      <c r="O79" s="64">
        <v>0</v>
      </c>
      <c r="P79" s="64">
        <v>0.47</v>
      </c>
      <c r="Q79" s="64">
        <v>9.59</v>
      </c>
      <c r="R79" s="198"/>
      <c r="S79" s="198"/>
      <c r="T79" s="198"/>
      <c r="U79" s="198"/>
    </row>
    <row r="80" spans="1:21" s="12" customFormat="1" x14ac:dyDescent="0.25">
      <c r="A80" s="212" t="s">
        <v>1278</v>
      </c>
      <c r="B80" s="64">
        <v>8.89</v>
      </c>
      <c r="C80" s="64">
        <v>14.01</v>
      </c>
      <c r="D80" s="64">
        <v>14.45</v>
      </c>
      <c r="E80" s="64">
        <v>4.32</v>
      </c>
      <c r="F80" s="64">
        <v>10.58</v>
      </c>
      <c r="G80" s="64">
        <v>35.729999999999997</v>
      </c>
      <c r="H80" s="64">
        <v>10.71</v>
      </c>
      <c r="I80" s="64">
        <v>1.37</v>
      </c>
      <c r="J80" s="64">
        <v>0.2</v>
      </c>
      <c r="K80" s="64">
        <v>323.98</v>
      </c>
      <c r="L80" s="64">
        <v>28.96</v>
      </c>
      <c r="M80" s="64">
        <v>84.33</v>
      </c>
      <c r="N80" s="64">
        <v>67.400000000000006</v>
      </c>
      <c r="O80" s="64">
        <v>0</v>
      </c>
      <c r="P80" s="64">
        <v>0.56000000000000005</v>
      </c>
      <c r="Q80" s="64">
        <v>9.59</v>
      </c>
      <c r="R80" s="198"/>
      <c r="S80" s="198"/>
      <c r="T80" s="198"/>
      <c r="U80" s="198"/>
    </row>
    <row r="81" spans="1:26" s="12" customFormat="1" x14ac:dyDescent="0.25">
      <c r="A81" s="212" t="s">
        <v>1279</v>
      </c>
      <c r="B81" s="64">
        <v>12.07</v>
      </c>
      <c r="C81" s="64">
        <v>15.01</v>
      </c>
      <c r="D81" s="64">
        <v>17.52</v>
      </c>
      <c r="E81" s="64">
        <v>4.3600000000000003</v>
      </c>
      <c r="F81" s="64">
        <v>8.0399999999999991</v>
      </c>
      <c r="G81" s="64">
        <v>35.729999999999997</v>
      </c>
      <c r="H81" s="64">
        <v>10.71</v>
      </c>
      <c r="I81" s="64">
        <v>1.38</v>
      </c>
      <c r="J81" s="64">
        <v>0.08</v>
      </c>
      <c r="K81" s="64">
        <v>326.93</v>
      </c>
      <c r="L81" s="64">
        <v>28.59</v>
      </c>
      <c r="M81" s="64">
        <v>84.34</v>
      </c>
      <c r="N81" s="64">
        <v>58.4</v>
      </c>
      <c r="O81" s="64">
        <v>0</v>
      </c>
      <c r="P81" s="64">
        <v>0.68</v>
      </c>
      <c r="Q81" s="64">
        <v>9.6</v>
      </c>
      <c r="R81" s="198"/>
      <c r="S81" s="198"/>
      <c r="T81" s="198"/>
      <c r="U81" s="198"/>
    </row>
    <row r="82" spans="1:26" s="12" customFormat="1" x14ac:dyDescent="0.25">
      <c r="A82" s="212" t="s">
        <v>1280</v>
      </c>
      <c r="B82" s="64">
        <v>10.67</v>
      </c>
      <c r="C82" s="64">
        <v>14.8</v>
      </c>
      <c r="D82" s="64">
        <v>16.28</v>
      </c>
      <c r="E82" s="64">
        <v>4.54</v>
      </c>
      <c r="F82" s="64">
        <v>5.84</v>
      </c>
      <c r="G82" s="64">
        <v>35.729999999999997</v>
      </c>
      <c r="H82" s="64">
        <v>10.71</v>
      </c>
      <c r="I82" s="64">
        <v>1.4</v>
      </c>
      <c r="J82" s="64">
        <v>0.13</v>
      </c>
      <c r="K82" s="64">
        <v>335.97</v>
      </c>
      <c r="L82" s="64">
        <v>28.29</v>
      </c>
      <c r="M82" s="64">
        <v>84.74</v>
      </c>
      <c r="N82" s="64">
        <v>52.3</v>
      </c>
      <c r="O82" s="64">
        <v>0</v>
      </c>
      <c r="P82" s="64">
        <v>0.61</v>
      </c>
      <c r="Q82" s="64">
        <v>9.58</v>
      </c>
      <c r="R82" s="198"/>
      <c r="S82" s="198"/>
      <c r="T82" s="198"/>
      <c r="U82" s="198"/>
    </row>
    <row r="83" spans="1:26" s="12" customFormat="1" x14ac:dyDescent="0.25">
      <c r="A83" s="212" t="s">
        <v>1281</v>
      </c>
      <c r="B83" s="64">
        <v>14.11</v>
      </c>
      <c r="C83" s="64">
        <v>16.739999999999998</v>
      </c>
      <c r="D83" s="64">
        <v>20.059999999999999</v>
      </c>
      <c r="E83" s="64">
        <v>4.6399999999999997</v>
      </c>
      <c r="F83" s="64">
        <v>8.23</v>
      </c>
      <c r="G83" s="64">
        <v>34.72</v>
      </c>
      <c r="H83" s="64">
        <v>8.48</v>
      </c>
      <c r="I83" s="64">
        <v>1.44</v>
      </c>
      <c r="J83" s="64">
        <v>0.21</v>
      </c>
      <c r="K83" s="64">
        <v>333.25</v>
      </c>
      <c r="L83" s="64">
        <v>28.05</v>
      </c>
      <c r="M83" s="64">
        <v>85.4</v>
      </c>
      <c r="N83" s="64">
        <v>49</v>
      </c>
      <c r="O83" s="64">
        <v>0</v>
      </c>
      <c r="P83" s="64">
        <v>0.84</v>
      </c>
      <c r="Q83" s="64">
        <v>9.59</v>
      </c>
      <c r="R83" s="198"/>
      <c r="S83" s="198"/>
      <c r="T83" s="198"/>
      <c r="U83" s="198"/>
    </row>
    <row r="84" spans="1:26" s="12" customFormat="1" x14ac:dyDescent="0.25">
      <c r="A84" s="212" t="s">
        <v>1282</v>
      </c>
      <c r="B84" s="64">
        <v>17.64</v>
      </c>
      <c r="C84" s="64">
        <v>17.46</v>
      </c>
      <c r="D84" s="64">
        <v>23.27</v>
      </c>
      <c r="E84" s="64">
        <v>5</v>
      </c>
      <c r="F84" s="64">
        <v>9.32</v>
      </c>
      <c r="G84" s="64">
        <v>34.65</v>
      </c>
      <c r="H84" s="64">
        <v>8.2899999999999991</v>
      </c>
      <c r="I84" s="64">
        <v>1.5</v>
      </c>
      <c r="J84" s="64">
        <v>0.3</v>
      </c>
      <c r="K84" s="64">
        <v>327.58999999999997</v>
      </c>
      <c r="L84" s="64">
        <v>27.98</v>
      </c>
      <c r="M84" s="64">
        <v>85.39</v>
      </c>
      <c r="N84" s="64">
        <v>48.6</v>
      </c>
      <c r="O84" s="64">
        <v>0</v>
      </c>
      <c r="P84" s="64">
        <v>0.82</v>
      </c>
      <c r="Q84" s="64">
        <v>9.61</v>
      </c>
      <c r="R84" s="198"/>
      <c r="S84" s="198"/>
      <c r="T84" s="198"/>
      <c r="U84" s="198"/>
    </row>
    <row r="85" spans="1:26" s="12" customFormat="1" x14ac:dyDescent="0.25">
      <c r="A85" s="212" t="s">
        <v>1283</v>
      </c>
      <c r="B85" s="64">
        <v>12.75</v>
      </c>
      <c r="C85" s="64">
        <v>14.81</v>
      </c>
      <c r="D85" s="64">
        <v>17.96</v>
      </c>
      <c r="E85" s="64">
        <v>4.6100000000000003</v>
      </c>
      <c r="F85" s="64">
        <v>7.16</v>
      </c>
      <c r="G85" s="64">
        <v>34.65</v>
      </c>
      <c r="H85" s="64">
        <v>8.2899999999999991</v>
      </c>
      <c r="I85" s="64">
        <v>1.49</v>
      </c>
      <c r="J85" s="64">
        <v>0.33</v>
      </c>
      <c r="K85" s="64">
        <v>322.2</v>
      </c>
      <c r="L85" s="64">
        <v>27.93</v>
      </c>
      <c r="M85" s="64">
        <v>83.8</v>
      </c>
      <c r="N85" s="64">
        <v>48.5</v>
      </c>
      <c r="O85" s="64">
        <v>0</v>
      </c>
      <c r="P85" s="64">
        <v>0.63</v>
      </c>
      <c r="Q85" s="64">
        <v>9.59</v>
      </c>
      <c r="R85" s="198"/>
      <c r="S85" s="198"/>
      <c r="T85" s="198"/>
      <c r="U85" s="198"/>
    </row>
    <row r="86" spans="1:26" s="12" customFormat="1" x14ac:dyDescent="0.25">
      <c r="A86" s="212" t="s">
        <v>1284</v>
      </c>
      <c r="B86" s="64">
        <v>16.670000000000002</v>
      </c>
      <c r="C86" s="64">
        <v>14.94</v>
      </c>
      <c r="D86" s="64">
        <v>21.18</v>
      </c>
      <c r="E86" s="64">
        <v>4.67</v>
      </c>
      <c r="F86" s="64">
        <v>8.52</v>
      </c>
      <c r="G86" s="64">
        <v>34.65</v>
      </c>
      <c r="H86" s="64">
        <v>8.2899999999999991</v>
      </c>
      <c r="I86" s="64">
        <v>1.42</v>
      </c>
      <c r="J86" s="64">
        <v>0.21</v>
      </c>
      <c r="K86" s="64">
        <v>320.27</v>
      </c>
      <c r="L86" s="64">
        <v>27.91</v>
      </c>
      <c r="M86" s="64">
        <v>82.78</v>
      </c>
      <c r="N86" s="64">
        <v>48.7</v>
      </c>
      <c r="O86" s="64">
        <v>0</v>
      </c>
      <c r="P86" s="64">
        <v>0.8</v>
      </c>
      <c r="Q86" s="64">
        <v>9.6</v>
      </c>
      <c r="R86" s="198"/>
      <c r="S86" s="198"/>
      <c r="T86" s="198"/>
      <c r="U86" s="198"/>
    </row>
    <row r="87" spans="1:26" s="12" customFormat="1" x14ac:dyDescent="0.25">
      <c r="A87" s="212" t="s">
        <v>1285</v>
      </c>
      <c r="B87" s="64">
        <v>19.66</v>
      </c>
      <c r="C87" s="64">
        <v>16.09</v>
      </c>
      <c r="D87" s="64">
        <v>24.16</v>
      </c>
      <c r="E87" s="64">
        <v>4.71</v>
      </c>
      <c r="F87" s="64">
        <v>7.83</v>
      </c>
      <c r="G87" s="64">
        <v>40.479999999999997</v>
      </c>
      <c r="H87" s="64">
        <v>8.75</v>
      </c>
      <c r="I87" s="64">
        <v>1.45</v>
      </c>
      <c r="J87" s="64">
        <v>0.37</v>
      </c>
      <c r="K87" s="64">
        <v>329.09</v>
      </c>
      <c r="L87" s="64">
        <v>27.7</v>
      </c>
      <c r="M87" s="64">
        <v>84.68</v>
      </c>
      <c r="N87" s="64">
        <v>48.5</v>
      </c>
      <c r="O87" s="64">
        <v>0</v>
      </c>
      <c r="P87" s="64">
        <v>1</v>
      </c>
      <c r="Q87" s="64">
        <v>9.6</v>
      </c>
      <c r="R87" s="198"/>
      <c r="S87" s="198"/>
      <c r="T87" s="198"/>
      <c r="U87" s="198"/>
    </row>
    <row r="88" spans="1:26" s="12" customFormat="1" x14ac:dyDescent="0.25">
      <c r="A88" s="212" t="s">
        <v>1286</v>
      </c>
      <c r="B88" s="64">
        <v>13.91</v>
      </c>
      <c r="C88" s="64">
        <v>10.81</v>
      </c>
      <c r="D88" s="64">
        <v>16.8</v>
      </c>
      <c r="E88" s="64">
        <v>4.92</v>
      </c>
      <c r="F88" s="64">
        <v>5.27</v>
      </c>
      <c r="G88" s="64">
        <v>40.89</v>
      </c>
      <c r="H88" s="64">
        <v>8.7899999999999991</v>
      </c>
      <c r="I88" s="64">
        <v>1.48</v>
      </c>
      <c r="J88" s="64">
        <v>1.25</v>
      </c>
      <c r="K88" s="64">
        <v>333.13</v>
      </c>
      <c r="L88" s="64">
        <v>27.67</v>
      </c>
      <c r="M88" s="64">
        <v>85.63</v>
      </c>
      <c r="N88" s="64">
        <v>48.2</v>
      </c>
      <c r="O88" s="64">
        <v>0</v>
      </c>
      <c r="P88" s="64">
        <v>0.68</v>
      </c>
      <c r="Q88" s="64">
        <v>9.6199999999999992</v>
      </c>
      <c r="R88" s="198"/>
      <c r="S88" s="198"/>
      <c r="T88" s="198"/>
      <c r="U88" s="198"/>
    </row>
    <row r="89" spans="1:26" s="12" customFormat="1" x14ac:dyDescent="0.25">
      <c r="A89" s="212" t="s">
        <v>1287</v>
      </c>
      <c r="B89" s="64">
        <v>12.23</v>
      </c>
      <c r="C89" s="64">
        <v>8.56</v>
      </c>
      <c r="D89" s="64">
        <v>14.28</v>
      </c>
      <c r="E89" s="64">
        <v>4.66</v>
      </c>
      <c r="F89" s="64">
        <v>5.7</v>
      </c>
      <c r="G89" s="64">
        <v>40.89</v>
      </c>
      <c r="H89" s="64">
        <v>8.7899999999999991</v>
      </c>
      <c r="I89" s="64">
        <v>1.52</v>
      </c>
      <c r="J89" s="64">
        <v>1.49</v>
      </c>
      <c r="K89" s="64">
        <v>334.95</v>
      </c>
      <c r="L89" s="64">
        <v>27.58</v>
      </c>
      <c r="M89" s="64">
        <v>87.26</v>
      </c>
      <c r="N89" s="64">
        <v>49.2</v>
      </c>
      <c r="O89" s="64">
        <v>0</v>
      </c>
      <c r="P89" s="64">
        <v>0.61</v>
      </c>
      <c r="Q89" s="64">
        <v>9.6199999999999992</v>
      </c>
      <c r="R89" s="198"/>
      <c r="S89" s="198"/>
      <c r="T89" s="198"/>
      <c r="U89" s="198"/>
    </row>
    <row r="90" spans="1:26" s="12" customFormat="1" x14ac:dyDescent="0.25">
      <c r="A90" s="212" t="s">
        <v>1288</v>
      </c>
      <c r="B90" s="64">
        <v>12.6</v>
      </c>
      <c r="C90" s="64">
        <v>10.98</v>
      </c>
      <c r="D90" s="64">
        <v>15.84</v>
      </c>
      <c r="E90" s="64">
        <v>4.6399999999999997</v>
      </c>
      <c r="F90" s="64">
        <v>8</v>
      </c>
      <c r="G90" s="64">
        <v>40.89</v>
      </c>
      <c r="H90" s="64">
        <v>8.7899999999999991</v>
      </c>
      <c r="I90" s="64">
        <v>1.55</v>
      </c>
      <c r="J90" s="64">
        <v>1.1599999999999999</v>
      </c>
      <c r="K90" s="64">
        <v>336.97</v>
      </c>
      <c r="L90" s="64">
        <v>27.28</v>
      </c>
      <c r="M90" s="64">
        <v>92.12</v>
      </c>
      <c r="N90" s="64">
        <v>49</v>
      </c>
      <c r="O90" s="64">
        <v>0</v>
      </c>
      <c r="P90" s="64">
        <v>0.63</v>
      </c>
      <c r="Q90" s="64">
        <v>9.6199999999999992</v>
      </c>
      <c r="R90" s="198"/>
      <c r="S90" s="198"/>
      <c r="T90" s="198"/>
      <c r="U90" s="198"/>
    </row>
    <row r="91" spans="1:26" s="12" customFormat="1" x14ac:dyDescent="0.25">
      <c r="A91" s="212" t="s">
        <v>1289</v>
      </c>
      <c r="B91" s="64">
        <v>12.9</v>
      </c>
      <c r="C91" s="64">
        <v>11.52</v>
      </c>
      <c r="D91" s="64">
        <v>16.36</v>
      </c>
      <c r="E91" s="64">
        <v>4.54</v>
      </c>
      <c r="F91" s="64">
        <v>5.44</v>
      </c>
      <c r="G91" s="64">
        <v>42.31</v>
      </c>
      <c r="H91" s="64">
        <v>7.46</v>
      </c>
      <c r="I91" s="64">
        <v>1.56</v>
      </c>
      <c r="J91" s="64">
        <v>1.3</v>
      </c>
      <c r="K91" s="64">
        <v>335.24</v>
      </c>
      <c r="L91" s="64">
        <v>27.06</v>
      </c>
      <c r="M91" s="64">
        <v>95.82</v>
      </c>
      <c r="N91" s="64">
        <v>49.1</v>
      </c>
      <c r="O91" s="64">
        <v>0</v>
      </c>
      <c r="P91" s="64">
        <v>0.64</v>
      </c>
      <c r="Q91" s="64">
        <v>9.6199999999999992</v>
      </c>
      <c r="R91" s="198"/>
      <c r="S91" s="198"/>
      <c r="T91" s="198"/>
      <c r="U91" s="198"/>
    </row>
    <row r="92" spans="1:26" s="12" customFormat="1" x14ac:dyDescent="0.25">
      <c r="A92" s="212" t="s">
        <v>1290</v>
      </c>
      <c r="B92" s="64">
        <v>14.27</v>
      </c>
      <c r="C92" s="64">
        <v>7.43</v>
      </c>
      <c r="D92" s="64">
        <v>15.32</v>
      </c>
      <c r="E92" s="64">
        <v>4.55</v>
      </c>
      <c r="F92" s="64">
        <v>3.72</v>
      </c>
      <c r="G92" s="64">
        <v>42.43</v>
      </c>
      <c r="H92" s="64">
        <v>7.35</v>
      </c>
      <c r="I92" s="64">
        <v>1.57</v>
      </c>
      <c r="J92" s="64">
        <v>1.08</v>
      </c>
      <c r="K92" s="64">
        <v>333.32</v>
      </c>
      <c r="L92" s="64">
        <v>26.81</v>
      </c>
      <c r="M92" s="64">
        <v>97.62</v>
      </c>
      <c r="N92" s="64">
        <v>49</v>
      </c>
      <c r="O92" s="64">
        <v>0</v>
      </c>
      <c r="P92" s="64">
        <v>0.65</v>
      </c>
      <c r="Q92" s="64">
        <v>9.6199999999999992</v>
      </c>
      <c r="R92" s="198"/>
      <c r="S92" s="198"/>
      <c r="T92" s="198"/>
      <c r="U92" s="198"/>
    </row>
    <row r="93" spans="1:26" s="12" customFormat="1" x14ac:dyDescent="0.25">
      <c r="A93" s="212" t="s">
        <v>1291</v>
      </c>
      <c r="B93" s="64">
        <v>15.81</v>
      </c>
      <c r="C93" s="64">
        <v>10.63</v>
      </c>
      <c r="D93" s="64">
        <v>18.22</v>
      </c>
      <c r="E93" s="64">
        <v>4.51</v>
      </c>
      <c r="F93" s="64">
        <v>6.88</v>
      </c>
      <c r="G93" s="64">
        <v>42.43</v>
      </c>
      <c r="H93" s="64">
        <v>7.35</v>
      </c>
      <c r="I93" s="64">
        <v>1.58</v>
      </c>
      <c r="J93" s="64">
        <v>0.82</v>
      </c>
      <c r="K93" s="64">
        <v>338.02</v>
      </c>
      <c r="L93" s="64">
        <v>26.71</v>
      </c>
      <c r="M93" s="64">
        <v>97.62</v>
      </c>
      <c r="N93" s="64">
        <v>48.9</v>
      </c>
      <c r="O93" s="64">
        <v>0</v>
      </c>
      <c r="P93" s="64">
        <v>0.68</v>
      </c>
      <c r="Q93" s="64">
        <v>9.6300000000000008</v>
      </c>
      <c r="R93" s="198"/>
      <c r="S93" s="198"/>
      <c r="T93" s="198"/>
      <c r="U93" s="198"/>
    </row>
    <row r="94" spans="1:26" s="12" customFormat="1" x14ac:dyDescent="0.25">
      <c r="A94" s="212" t="s">
        <v>1292</v>
      </c>
      <c r="B94" s="64">
        <v>14.94</v>
      </c>
      <c r="C94" s="64">
        <v>11.24</v>
      </c>
      <c r="D94" s="64">
        <v>17.8</v>
      </c>
      <c r="E94" s="64">
        <v>4.49</v>
      </c>
      <c r="F94" s="64">
        <v>6.95</v>
      </c>
      <c r="G94" s="64">
        <v>42.43</v>
      </c>
      <c r="H94" s="64">
        <v>7.35</v>
      </c>
      <c r="I94" s="64">
        <v>1.55</v>
      </c>
      <c r="J94" s="64">
        <v>0.79</v>
      </c>
      <c r="K94" s="64">
        <v>332.52</v>
      </c>
      <c r="L94" s="64">
        <v>26.65</v>
      </c>
      <c r="M94" s="64">
        <v>97.63</v>
      </c>
      <c r="N94" s="64">
        <v>48.8</v>
      </c>
      <c r="O94" s="64">
        <v>0</v>
      </c>
      <c r="P94" s="64">
        <v>0.73</v>
      </c>
      <c r="Q94" s="64">
        <v>9.66</v>
      </c>
      <c r="R94" s="198"/>
      <c r="S94" s="198"/>
      <c r="T94" s="198"/>
      <c r="U94" s="198"/>
    </row>
    <row r="95" spans="1:26" s="12" customFormat="1" x14ac:dyDescent="0.25">
      <c r="A95" s="212" t="s">
        <v>1293</v>
      </c>
      <c r="B95" s="64">
        <v>15.05</v>
      </c>
      <c r="C95" s="64">
        <v>9.2100000000000009</v>
      </c>
      <c r="D95" s="64">
        <v>16.71</v>
      </c>
      <c r="E95" s="64">
        <v>4.6399999999999997</v>
      </c>
      <c r="F95" s="64">
        <v>5.97</v>
      </c>
      <c r="G95" s="64">
        <v>46</v>
      </c>
      <c r="H95" s="64">
        <v>7.2</v>
      </c>
      <c r="I95" s="64">
        <v>1.55</v>
      </c>
      <c r="J95" s="64">
        <v>0.94</v>
      </c>
      <c r="K95" s="64">
        <v>332.99</v>
      </c>
      <c r="L95" s="64">
        <v>26.54</v>
      </c>
      <c r="M95" s="64">
        <v>97.62</v>
      </c>
      <c r="N95" s="64">
        <v>48.8</v>
      </c>
      <c r="O95" s="64">
        <v>0</v>
      </c>
      <c r="P95" s="64">
        <v>0.65</v>
      </c>
      <c r="Q95" s="64">
        <v>9.67</v>
      </c>
      <c r="R95" s="198"/>
      <c r="S95" s="198"/>
      <c r="T95" s="198"/>
      <c r="U95" s="198"/>
    </row>
    <row r="96" spans="1:26" s="12" customFormat="1" x14ac:dyDescent="0.25">
      <c r="A96" s="212" t="s">
        <v>1294</v>
      </c>
      <c r="B96" s="64">
        <v>19.440000000000001</v>
      </c>
      <c r="C96" s="64">
        <v>10.56</v>
      </c>
      <c r="D96" s="64">
        <v>20.97</v>
      </c>
      <c r="E96" s="64">
        <v>4.51</v>
      </c>
      <c r="F96" s="64">
        <v>5.24</v>
      </c>
      <c r="G96" s="64">
        <v>46.26</v>
      </c>
      <c r="H96" s="64">
        <v>7.18</v>
      </c>
      <c r="I96" s="64">
        <v>1.55</v>
      </c>
      <c r="J96" s="64">
        <v>0.59</v>
      </c>
      <c r="K96" s="64">
        <v>335.03</v>
      </c>
      <c r="L96" s="64">
        <v>26.36</v>
      </c>
      <c r="M96" s="64">
        <v>97.66</v>
      </c>
      <c r="N96" s="64">
        <v>48.9</v>
      </c>
      <c r="O96" s="64">
        <v>0</v>
      </c>
      <c r="P96" s="64">
        <v>0.71</v>
      </c>
      <c r="Q96" s="64">
        <v>9.6300000000000008</v>
      </c>
      <c r="R96" s="198"/>
      <c r="S96" s="198"/>
      <c r="T96" s="198"/>
      <c r="U96" s="198"/>
      <c r="Z96" s="109"/>
    </row>
    <row r="97" spans="1:33" s="12" customFormat="1" x14ac:dyDescent="0.25">
      <c r="A97" s="212" t="s">
        <v>1295</v>
      </c>
      <c r="B97" s="64">
        <v>17.41</v>
      </c>
      <c r="C97" s="64">
        <v>15.39</v>
      </c>
      <c r="D97" s="64">
        <v>22</v>
      </c>
      <c r="E97" s="64">
        <v>4.42</v>
      </c>
      <c r="F97" s="64">
        <v>6.99</v>
      </c>
      <c r="G97" s="64">
        <v>46.26</v>
      </c>
      <c r="H97" s="64">
        <v>7.18</v>
      </c>
      <c r="I97" s="64">
        <v>1.55</v>
      </c>
      <c r="J97" s="64">
        <v>0.42</v>
      </c>
      <c r="K97" s="64">
        <v>340.19</v>
      </c>
      <c r="L97" s="64">
        <v>26.33</v>
      </c>
      <c r="M97" s="64">
        <v>97.64</v>
      </c>
      <c r="N97" s="64">
        <v>49</v>
      </c>
      <c r="O97" s="64">
        <v>0</v>
      </c>
      <c r="P97" s="64">
        <v>0.68</v>
      </c>
      <c r="Q97" s="64">
        <v>9.65</v>
      </c>
      <c r="R97" s="198"/>
      <c r="S97" s="198"/>
      <c r="T97" s="198"/>
      <c r="U97" s="198"/>
    </row>
    <row r="98" spans="1:33" s="12" customFormat="1" x14ac:dyDescent="0.25">
      <c r="A98" s="212" t="s">
        <v>1296</v>
      </c>
      <c r="B98" s="64">
        <v>18.05</v>
      </c>
      <c r="C98" s="64">
        <v>18.88</v>
      </c>
      <c r="D98" s="64">
        <v>24.34</v>
      </c>
      <c r="E98" s="64">
        <v>4.51</v>
      </c>
      <c r="F98" s="64">
        <v>4.42</v>
      </c>
      <c r="G98" s="64">
        <v>46.26</v>
      </c>
      <c r="H98" s="64">
        <v>7.18</v>
      </c>
      <c r="I98" s="64">
        <v>1.57</v>
      </c>
      <c r="J98" s="64">
        <v>0.03</v>
      </c>
      <c r="K98" s="64">
        <v>349.92</v>
      </c>
      <c r="L98" s="64">
        <v>26.12</v>
      </c>
      <c r="M98" s="64">
        <v>97.65</v>
      </c>
      <c r="N98" s="64">
        <v>49</v>
      </c>
      <c r="O98" s="64">
        <v>0</v>
      </c>
      <c r="P98" s="64">
        <v>0.7</v>
      </c>
      <c r="Q98" s="64">
        <v>9.68</v>
      </c>
      <c r="R98" s="198"/>
      <c r="S98" s="198"/>
      <c r="T98" s="198"/>
      <c r="U98" s="198"/>
    </row>
    <row r="99" spans="1:33" s="12" customFormat="1" x14ac:dyDescent="0.25">
      <c r="A99" s="212" t="s">
        <v>1297</v>
      </c>
      <c r="B99" s="64">
        <v>20.170000000000002</v>
      </c>
      <c r="C99" s="64">
        <v>12.28</v>
      </c>
      <c r="D99" s="64">
        <v>22.59</v>
      </c>
      <c r="E99" s="64">
        <v>4.8600000000000003</v>
      </c>
      <c r="F99" s="64">
        <v>5.43</v>
      </c>
      <c r="G99" s="64">
        <v>50.45</v>
      </c>
      <c r="H99" s="64">
        <v>7.95</v>
      </c>
      <c r="I99" s="64">
        <v>1.58</v>
      </c>
      <c r="J99" s="64">
        <v>0.22</v>
      </c>
      <c r="K99" s="64">
        <v>333.26</v>
      </c>
      <c r="L99" s="64">
        <v>26.1</v>
      </c>
      <c r="M99" s="64">
        <v>97.65</v>
      </c>
      <c r="N99" s="64">
        <v>48.9</v>
      </c>
      <c r="O99" s="64">
        <v>0</v>
      </c>
      <c r="P99" s="64">
        <v>0.71</v>
      </c>
      <c r="Q99" s="64">
        <v>9.64</v>
      </c>
      <c r="R99" s="198"/>
      <c r="S99" s="198"/>
      <c r="T99" s="198"/>
      <c r="U99" s="198"/>
    </row>
    <row r="100" spans="1:33" s="12" customFormat="1" x14ac:dyDescent="0.25">
      <c r="A100" s="212" t="s">
        <v>1298</v>
      </c>
      <c r="B100" s="64">
        <v>12.74</v>
      </c>
      <c r="C100" s="64">
        <v>15.02</v>
      </c>
      <c r="D100" s="64">
        <v>18.059999999999999</v>
      </c>
      <c r="E100" s="64">
        <v>4.5599999999999996</v>
      </c>
      <c r="F100" s="64">
        <v>4.8899999999999997</v>
      </c>
      <c r="G100" s="64">
        <v>50.81</v>
      </c>
      <c r="H100" s="64">
        <v>8</v>
      </c>
      <c r="I100" s="64">
        <v>1.57</v>
      </c>
      <c r="J100" s="64">
        <v>0.39</v>
      </c>
      <c r="K100" s="64">
        <v>323.89</v>
      </c>
      <c r="L100" s="64">
        <v>26.06</v>
      </c>
      <c r="M100" s="64">
        <v>97.65</v>
      </c>
      <c r="N100" s="64">
        <v>48.6</v>
      </c>
      <c r="O100" s="64">
        <v>0</v>
      </c>
      <c r="P100" s="64">
        <v>0.6</v>
      </c>
      <c r="Q100" s="64">
        <v>9.6300000000000008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2" t="s">
        <v>1299</v>
      </c>
      <c r="B101" s="64">
        <v>11.69</v>
      </c>
      <c r="C101" s="64">
        <v>12.86</v>
      </c>
      <c r="D101" s="64">
        <v>16.09</v>
      </c>
      <c r="E101" s="64">
        <v>4.42</v>
      </c>
      <c r="F101" s="64">
        <v>8.44</v>
      </c>
      <c r="G101" s="64">
        <v>50.81</v>
      </c>
      <c r="H101" s="64">
        <v>8</v>
      </c>
      <c r="I101" s="64">
        <v>1.56</v>
      </c>
      <c r="J101" s="64">
        <v>0.37</v>
      </c>
      <c r="K101" s="64">
        <v>327.5</v>
      </c>
      <c r="L101" s="64">
        <v>26.2</v>
      </c>
      <c r="M101" s="64">
        <v>97.63</v>
      </c>
      <c r="N101" s="64">
        <v>48.6</v>
      </c>
      <c r="O101" s="64">
        <v>0</v>
      </c>
      <c r="P101" s="64">
        <v>0.45</v>
      </c>
      <c r="Q101" s="64">
        <v>9.66</v>
      </c>
      <c r="R101" s="198"/>
      <c r="S101" s="198"/>
      <c r="T101" s="198"/>
      <c r="U101" s="198"/>
    </row>
    <row r="102" spans="1:33" s="12" customFormat="1" x14ac:dyDescent="0.25">
      <c r="A102" s="212" t="s">
        <v>1300</v>
      </c>
      <c r="B102" s="64">
        <v>16.02</v>
      </c>
      <c r="C102" s="64">
        <v>12.31</v>
      </c>
      <c r="D102" s="64">
        <v>19.22</v>
      </c>
      <c r="E102" s="64">
        <v>4.51</v>
      </c>
      <c r="F102" s="64">
        <v>8.8000000000000007</v>
      </c>
      <c r="G102" s="64">
        <v>50.81</v>
      </c>
      <c r="H102" s="64">
        <v>8</v>
      </c>
      <c r="I102" s="64">
        <v>1.56</v>
      </c>
      <c r="J102" s="64">
        <v>0.14000000000000001</v>
      </c>
      <c r="K102" s="64">
        <v>309.81</v>
      </c>
      <c r="L102" s="64">
        <v>26.28</v>
      </c>
      <c r="M102" s="64">
        <v>97.63</v>
      </c>
      <c r="N102" s="64">
        <v>49</v>
      </c>
      <c r="O102" s="64">
        <v>0</v>
      </c>
      <c r="P102" s="64">
        <v>0.43</v>
      </c>
      <c r="Q102" s="64">
        <v>9.66</v>
      </c>
      <c r="R102" s="198"/>
      <c r="S102" s="198"/>
      <c r="T102" s="198"/>
      <c r="U102" s="198"/>
    </row>
    <row r="103" spans="1:33" s="12" customFormat="1" x14ac:dyDescent="0.25">
      <c r="A103" s="212" t="s">
        <v>1301</v>
      </c>
      <c r="B103" s="64">
        <v>11.13</v>
      </c>
      <c r="C103" s="64">
        <v>11.72</v>
      </c>
      <c r="D103" s="64">
        <v>15.05</v>
      </c>
      <c r="E103" s="64">
        <v>4.5199999999999996</v>
      </c>
      <c r="F103" s="64">
        <v>7.19</v>
      </c>
      <c r="G103" s="64">
        <v>47.38</v>
      </c>
      <c r="H103" s="64">
        <v>8.76</v>
      </c>
      <c r="I103" s="64">
        <v>1.53</v>
      </c>
      <c r="J103" s="64">
        <v>0.1</v>
      </c>
      <c r="K103" s="64">
        <v>319.19</v>
      </c>
      <c r="L103" s="64">
        <v>26.2</v>
      </c>
      <c r="M103" s="64">
        <v>97.65</v>
      </c>
      <c r="N103" s="64">
        <v>49</v>
      </c>
      <c r="O103" s="64">
        <v>0</v>
      </c>
      <c r="P103" s="64">
        <v>0.44</v>
      </c>
      <c r="Q103" s="64">
        <v>9.64</v>
      </c>
      <c r="R103" s="198"/>
      <c r="S103" s="198"/>
      <c r="T103" s="198"/>
      <c r="U103" s="198"/>
    </row>
    <row r="104" spans="1:33" s="12" customFormat="1" x14ac:dyDescent="0.25">
      <c r="A104" s="212" t="s">
        <v>1302</v>
      </c>
      <c r="B104" s="64">
        <v>12.27</v>
      </c>
      <c r="C104" s="64">
        <v>8.51</v>
      </c>
      <c r="D104" s="64">
        <v>14.28</v>
      </c>
      <c r="E104" s="64">
        <v>4.91</v>
      </c>
      <c r="F104" s="64">
        <v>6.28</v>
      </c>
      <c r="G104" s="64">
        <v>47.09</v>
      </c>
      <c r="H104" s="64">
        <v>8.82</v>
      </c>
      <c r="I104" s="64">
        <v>1.51</v>
      </c>
      <c r="J104" s="64">
        <v>0.13</v>
      </c>
      <c r="K104" s="64">
        <v>328.79</v>
      </c>
      <c r="L104" s="64">
        <v>25.84</v>
      </c>
      <c r="M104" s="64">
        <v>97.67</v>
      </c>
      <c r="N104" s="64">
        <v>49</v>
      </c>
      <c r="O104" s="64">
        <v>0</v>
      </c>
      <c r="P104" s="64">
        <v>0.49</v>
      </c>
      <c r="Q104" s="64">
        <v>9.64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4.04</v>
      </c>
      <c r="C106" s="67">
        <f>MIN(C9:C104)</f>
        <v>5.41</v>
      </c>
      <c r="D106" s="67">
        <f t="shared" ref="D106:Q106" si="0">MIN(D9:D104)</f>
        <v>6.86</v>
      </c>
      <c r="E106" s="67">
        <f t="shared" si="0"/>
        <v>4.17</v>
      </c>
      <c r="F106" s="67">
        <f t="shared" si="0"/>
        <v>2.33</v>
      </c>
      <c r="G106" s="67">
        <f t="shared" si="0"/>
        <v>18.399999999999999</v>
      </c>
      <c r="H106" s="67">
        <f t="shared" si="0"/>
        <v>4.8600000000000003</v>
      </c>
      <c r="I106" s="67">
        <f t="shared" si="0"/>
        <v>0.88</v>
      </c>
      <c r="J106" s="67">
        <f t="shared" si="0"/>
        <v>0.01</v>
      </c>
      <c r="K106" s="67">
        <f t="shared" si="0"/>
        <v>124.7</v>
      </c>
      <c r="L106" s="67">
        <f t="shared" si="0"/>
        <v>24.41</v>
      </c>
      <c r="M106" s="67">
        <f t="shared" si="0"/>
        <v>63.82</v>
      </c>
      <c r="N106" s="67">
        <f t="shared" si="0"/>
        <v>42.2</v>
      </c>
      <c r="O106" s="67">
        <f t="shared" si="0"/>
        <v>0</v>
      </c>
      <c r="P106" s="67">
        <f t="shared" si="0"/>
        <v>0.22</v>
      </c>
      <c r="Q106" s="67">
        <f t="shared" si="0"/>
        <v>9.58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20.170000000000002</v>
      </c>
      <c r="C107" s="66">
        <f t="shared" ref="C107:Q107" si="1">MAX(C9:C104)</f>
        <v>18.88</v>
      </c>
      <c r="D107" s="66">
        <f t="shared" si="1"/>
        <v>24.34</v>
      </c>
      <c r="E107" s="66">
        <f t="shared" si="1"/>
        <v>5.46</v>
      </c>
      <c r="F107" s="66">
        <f t="shared" si="1"/>
        <v>20.88</v>
      </c>
      <c r="G107" s="66">
        <f t="shared" si="1"/>
        <v>50.81</v>
      </c>
      <c r="H107" s="66">
        <f t="shared" si="1"/>
        <v>12.59</v>
      </c>
      <c r="I107" s="66">
        <f t="shared" si="1"/>
        <v>1.58</v>
      </c>
      <c r="J107" s="66">
        <f t="shared" si="1"/>
        <v>1.49</v>
      </c>
      <c r="K107" s="66">
        <f t="shared" si="1"/>
        <v>349.92</v>
      </c>
      <c r="L107" s="66">
        <f t="shared" si="1"/>
        <v>33.020000000000003</v>
      </c>
      <c r="M107" s="66">
        <f t="shared" si="1"/>
        <v>97.85</v>
      </c>
      <c r="N107" s="66">
        <f t="shared" si="1"/>
        <v>777.4</v>
      </c>
      <c r="O107" s="66">
        <f t="shared" si="1"/>
        <v>0.2</v>
      </c>
      <c r="P107" s="66">
        <f t="shared" si="1"/>
        <v>1</v>
      </c>
      <c r="Q107" s="66">
        <f t="shared" si="1"/>
        <v>9.68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8.8085416666666649</v>
      </c>
      <c r="C108" s="67">
        <f t="shared" ref="C108:Q108" si="2">AVERAGE(C9:C104)</f>
        <v>10.239687499999997</v>
      </c>
      <c r="D108" s="67">
        <f t="shared" si="2"/>
        <v>12.408854166666659</v>
      </c>
      <c r="E108" s="67">
        <f t="shared" si="2"/>
        <v>4.7100000000000009</v>
      </c>
      <c r="F108" s="67">
        <f t="shared" si="2"/>
        <v>7.3648958333333363</v>
      </c>
      <c r="G108" s="67">
        <f t="shared" si="2"/>
        <v>35.28875</v>
      </c>
      <c r="H108" s="67">
        <f t="shared" si="2"/>
        <v>8.8490624999999987</v>
      </c>
      <c r="I108" s="67">
        <f t="shared" si="2"/>
        <v>1.2358333333333331</v>
      </c>
      <c r="J108" s="67">
        <f t="shared" si="2"/>
        <v>0.26395833333333335</v>
      </c>
      <c r="K108" s="67">
        <f t="shared" si="2"/>
        <v>257.69312500000001</v>
      </c>
      <c r="L108" s="67">
        <f t="shared" si="2"/>
        <v>27.675520833333323</v>
      </c>
      <c r="M108" s="67">
        <f t="shared" si="2"/>
        <v>88.512291666666655</v>
      </c>
      <c r="N108" s="67">
        <f t="shared" si="2"/>
        <v>173.99374999999989</v>
      </c>
      <c r="O108" s="67">
        <f t="shared" si="2"/>
        <v>2.0833333333333333E-3</v>
      </c>
      <c r="P108" s="67">
        <f t="shared" si="2"/>
        <v>0.43302083333333341</v>
      </c>
      <c r="Q108" s="67">
        <f t="shared" si="2"/>
        <v>9.6213541666666718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3.9752155795011679</v>
      </c>
      <c r="C109" s="67">
        <f t="shared" ref="C109:Q109" si="3">STDEV(C9:C104)</f>
        <v>3.1567296378655869</v>
      </c>
      <c r="D109" s="67">
        <f t="shared" si="3"/>
        <v>4.2826430279471994</v>
      </c>
      <c r="E109" s="67">
        <f t="shared" si="3"/>
        <v>0.2696508463687225</v>
      </c>
      <c r="F109" s="67">
        <f t="shared" si="3"/>
        <v>3.4440533019873167</v>
      </c>
      <c r="G109" s="67">
        <f t="shared" si="3"/>
        <v>9.5482317183533176</v>
      </c>
      <c r="H109" s="67">
        <f t="shared" si="3"/>
        <v>1.8576063138096184</v>
      </c>
      <c r="I109" s="67">
        <f t="shared" si="3"/>
        <v>0.25501565139446164</v>
      </c>
      <c r="J109" s="67">
        <f t="shared" si="3"/>
        <v>0.29347815902475843</v>
      </c>
      <c r="K109" s="67">
        <f t="shared" si="3"/>
        <v>73.668329699117635</v>
      </c>
      <c r="L109" s="67">
        <f t="shared" si="3"/>
        <v>2.5271193793440276</v>
      </c>
      <c r="M109" s="67">
        <f t="shared" si="3"/>
        <v>11.000420994735022</v>
      </c>
      <c r="N109" s="67">
        <f t="shared" si="3"/>
        <v>182.70505239607542</v>
      </c>
      <c r="O109" s="67">
        <f t="shared" si="3"/>
        <v>2.0412414523193152E-2</v>
      </c>
      <c r="P109" s="67">
        <f t="shared" si="3"/>
        <v>0.16930271730754723</v>
      </c>
      <c r="Q109" s="67">
        <f t="shared" si="3"/>
        <v>2.4478553090481504E-2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216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7" sqref="B117:U11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12/08/2025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2" t="s">
        <v>1303</v>
      </c>
      <c r="B9" s="64">
        <v>10.89</v>
      </c>
      <c r="C9" s="64">
        <v>7.83</v>
      </c>
      <c r="D9" s="64">
        <v>12.82</v>
      </c>
      <c r="E9" s="64">
        <v>4.68</v>
      </c>
      <c r="F9" s="64">
        <v>6.09</v>
      </c>
      <c r="G9" s="64">
        <v>47.09</v>
      </c>
      <c r="H9" s="64">
        <v>8.82</v>
      </c>
      <c r="I9" s="64">
        <v>1.49</v>
      </c>
      <c r="J9" s="64">
        <v>0.15</v>
      </c>
      <c r="K9" s="64">
        <v>314.55</v>
      </c>
      <c r="L9" s="64">
        <v>25.7</v>
      </c>
      <c r="M9" s="64">
        <v>97.68</v>
      </c>
      <c r="N9" s="64">
        <v>49</v>
      </c>
      <c r="O9" s="64">
        <v>0</v>
      </c>
      <c r="P9" s="64">
        <v>0.48</v>
      </c>
      <c r="Q9" s="64">
        <v>9.64</v>
      </c>
      <c r="R9" s="198"/>
      <c r="S9" s="198"/>
      <c r="T9" s="198"/>
      <c r="U9" s="198"/>
    </row>
    <row r="10" spans="1:21" s="12" customFormat="1" x14ac:dyDescent="0.25">
      <c r="A10" s="212" t="s">
        <v>1304</v>
      </c>
      <c r="B10" s="64">
        <v>10.59</v>
      </c>
      <c r="C10" s="64">
        <v>7.55</v>
      </c>
      <c r="D10" s="64">
        <v>12.44</v>
      </c>
      <c r="E10" s="64">
        <v>4.78</v>
      </c>
      <c r="F10" s="64">
        <v>6.36</v>
      </c>
      <c r="G10" s="64">
        <v>47.09</v>
      </c>
      <c r="H10" s="64">
        <v>8.82</v>
      </c>
      <c r="I10" s="64">
        <v>1.46</v>
      </c>
      <c r="J10" s="64">
        <v>0.15</v>
      </c>
      <c r="K10" s="64">
        <v>321.22000000000003</v>
      </c>
      <c r="L10" s="64">
        <v>25.59</v>
      </c>
      <c r="M10" s="64">
        <v>97.68</v>
      </c>
      <c r="N10" s="64">
        <v>49</v>
      </c>
      <c r="O10" s="64">
        <v>0</v>
      </c>
      <c r="P10" s="64">
        <v>0.52</v>
      </c>
      <c r="Q10" s="64">
        <v>9.64</v>
      </c>
      <c r="R10" s="198"/>
      <c r="S10" s="198"/>
      <c r="T10" s="198"/>
      <c r="U10" s="198"/>
    </row>
    <row r="11" spans="1:21" s="12" customFormat="1" x14ac:dyDescent="0.25">
      <c r="A11" s="212" t="s">
        <v>1305</v>
      </c>
      <c r="B11" s="64">
        <v>9.5500000000000007</v>
      </c>
      <c r="C11" s="64">
        <v>8.89</v>
      </c>
      <c r="D11" s="64">
        <v>12.3</v>
      </c>
      <c r="E11" s="64">
        <v>4.93</v>
      </c>
      <c r="F11" s="64">
        <v>8.33</v>
      </c>
      <c r="G11" s="64">
        <v>42.41</v>
      </c>
      <c r="H11" s="64">
        <v>6.48</v>
      </c>
      <c r="I11" s="64">
        <v>1.45</v>
      </c>
      <c r="J11" s="64">
        <v>0.13</v>
      </c>
      <c r="K11" s="64">
        <v>307.35000000000002</v>
      </c>
      <c r="L11" s="64">
        <v>25.51</v>
      </c>
      <c r="M11" s="64">
        <v>97.68</v>
      </c>
      <c r="N11" s="64">
        <v>49</v>
      </c>
      <c r="O11" s="64">
        <v>0</v>
      </c>
      <c r="P11" s="64">
        <v>0.53</v>
      </c>
      <c r="Q11" s="64">
        <v>9.64</v>
      </c>
      <c r="R11" s="198"/>
      <c r="S11" s="198"/>
      <c r="T11" s="198"/>
      <c r="U11" s="198"/>
    </row>
    <row r="12" spans="1:21" s="12" customFormat="1" x14ac:dyDescent="0.25">
      <c r="A12" s="212" t="s">
        <v>1306</v>
      </c>
      <c r="B12" s="64">
        <v>9.02</v>
      </c>
      <c r="C12" s="64">
        <v>9.85</v>
      </c>
      <c r="D12" s="64">
        <v>12.38</v>
      </c>
      <c r="E12" s="64">
        <v>4.8600000000000003</v>
      </c>
      <c r="F12" s="64">
        <v>6.88</v>
      </c>
      <c r="G12" s="64">
        <v>42.07</v>
      </c>
      <c r="H12" s="64">
        <v>6.31</v>
      </c>
      <c r="I12" s="64">
        <v>1.49</v>
      </c>
      <c r="J12" s="64">
        <v>0.1</v>
      </c>
      <c r="K12" s="64">
        <v>307.18</v>
      </c>
      <c r="L12" s="64">
        <v>25.41</v>
      </c>
      <c r="M12" s="64">
        <v>97.68</v>
      </c>
      <c r="N12" s="64">
        <v>49</v>
      </c>
      <c r="O12" s="64">
        <v>0</v>
      </c>
      <c r="P12" s="64">
        <v>0.56999999999999995</v>
      </c>
      <c r="Q12" s="64">
        <v>9.65</v>
      </c>
      <c r="R12" s="198"/>
      <c r="S12" s="198"/>
      <c r="T12" s="198"/>
      <c r="U12" s="198"/>
    </row>
    <row r="13" spans="1:21" s="12" customFormat="1" x14ac:dyDescent="0.25">
      <c r="A13" s="212" t="s">
        <v>1307</v>
      </c>
      <c r="B13" s="64">
        <v>10.66</v>
      </c>
      <c r="C13" s="64">
        <v>7.94</v>
      </c>
      <c r="D13" s="64">
        <v>12.7</v>
      </c>
      <c r="E13" s="64">
        <v>4.99</v>
      </c>
      <c r="F13" s="64">
        <v>3.79</v>
      </c>
      <c r="G13" s="64">
        <v>42.07</v>
      </c>
      <c r="H13" s="64">
        <v>6.31</v>
      </c>
      <c r="I13" s="64">
        <v>1.64</v>
      </c>
      <c r="J13" s="64">
        <v>0.08</v>
      </c>
      <c r="K13" s="64">
        <v>315.97000000000003</v>
      </c>
      <c r="L13" s="64">
        <v>25.21</v>
      </c>
      <c r="M13" s="64">
        <v>97.7</v>
      </c>
      <c r="N13" s="64">
        <v>49</v>
      </c>
      <c r="O13" s="64">
        <v>0</v>
      </c>
      <c r="P13" s="64">
        <v>0.45</v>
      </c>
      <c r="Q13" s="64">
        <v>9.65</v>
      </c>
      <c r="R13" s="198"/>
      <c r="S13" s="198"/>
      <c r="T13" s="198"/>
      <c r="U13" s="198"/>
    </row>
    <row r="14" spans="1:21" s="12" customFormat="1" x14ac:dyDescent="0.25">
      <c r="A14" s="212" t="s">
        <v>1308</v>
      </c>
      <c r="B14" s="64">
        <v>10.78</v>
      </c>
      <c r="C14" s="64">
        <v>6.93</v>
      </c>
      <c r="D14" s="64">
        <v>12.26</v>
      </c>
      <c r="E14" s="64">
        <v>4.8099999999999996</v>
      </c>
      <c r="F14" s="64">
        <v>4.9000000000000004</v>
      </c>
      <c r="G14" s="64">
        <v>42.07</v>
      </c>
      <c r="H14" s="64">
        <v>6.31</v>
      </c>
      <c r="I14" s="64">
        <v>1.67</v>
      </c>
      <c r="J14" s="64">
        <v>0.09</v>
      </c>
      <c r="K14" s="64">
        <v>337.04</v>
      </c>
      <c r="L14" s="64">
        <v>25.12</v>
      </c>
      <c r="M14" s="64">
        <v>97.71</v>
      </c>
      <c r="N14" s="64">
        <v>49</v>
      </c>
      <c r="O14" s="64">
        <v>0</v>
      </c>
      <c r="P14" s="64">
        <v>0.43</v>
      </c>
      <c r="Q14" s="64">
        <v>9.64</v>
      </c>
      <c r="R14" s="198"/>
      <c r="S14" s="198"/>
      <c r="T14" s="198"/>
      <c r="U14" s="198"/>
    </row>
    <row r="15" spans="1:21" s="12" customFormat="1" x14ac:dyDescent="0.25">
      <c r="A15" s="212" t="s">
        <v>1309</v>
      </c>
      <c r="B15" s="64">
        <v>7.41</v>
      </c>
      <c r="C15" s="64">
        <v>8.4700000000000006</v>
      </c>
      <c r="D15" s="64">
        <v>10.37</v>
      </c>
      <c r="E15" s="64">
        <v>4.83</v>
      </c>
      <c r="F15" s="64">
        <v>7.37</v>
      </c>
      <c r="G15" s="64">
        <v>39.49</v>
      </c>
      <c r="H15" s="64">
        <v>8.56</v>
      </c>
      <c r="I15" s="64">
        <v>1.64</v>
      </c>
      <c r="J15" s="64">
        <v>0.05</v>
      </c>
      <c r="K15" s="64">
        <v>302.45</v>
      </c>
      <c r="L15" s="64">
        <v>24.97</v>
      </c>
      <c r="M15" s="64">
        <v>97.72</v>
      </c>
      <c r="N15" s="64">
        <v>49</v>
      </c>
      <c r="O15" s="64">
        <v>0</v>
      </c>
      <c r="P15" s="64">
        <v>0.34</v>
      </c>
      <c r="Q15" s="64">
        <v>9.65</v>
      </c>
      <c r="R15" s="198"/>
      <c r="S15" s="198"/>
      <c r="T15" s="198"/>
      <c r="U15" s="198"/>
    </row>
    <row r="16" spans="1:21" s="12" customFormat="1" x14ac:dyDescent="0.25">
      <c r="A16" s="212" t="s">
        <v>1310</v>
      </c>
      <c r="B16" s="64">
        <v>9.1999999999999993</v>
      </c>
      <c r="C16" s="64">
        <v>7.5</v>
      </c>
      <c r="D16" s="64">
        <v>11.3</v>
      </c>
      <c r="E16" s="64">
        <v>4.8</v>
      </c>
      <c r="F16" s="64">
        <v>4.2699999999999996</v>
      </c>
      <c r="G16" s="64">
        <v>39.28</v>
      </c>
      <c r="H16" s="64">
        <v>8.75</v>
      </c>
      <c r="I16" s="64">
        <v>1.49</v>
      </c>
      <c r="J16" s="64">
        <v>0.04</v>
      </c>
      <c r="K16" s="64">
        <v>312.92</v>
      </c>
      <c r="L16" s="64">
        <v>24.83</v>
      </c>
      <c r="M16" s="64">
        <v>97.73</v>
      </c>
      <c r="N16" s="64">
        <v>49</v>
      </c>
      <c r="O16" s="64">
        <v>0</v>
      </c>
      <c r="P16" s="64">
        <v>0.42</v>
      </c>
      <c r="Q16" s="64">
        <v>9.67</v>
      </c>
      <c r="R16" s="198"/>
      <c r="S16" s="198"/>
      <c r="T16" s="198"/>
      <c r="U16" s="198"/>
    </row>
    <row r="17" spans="1:21" s="12" customFormat="1" x14ac:dyDescent="0.25">
      <c r="A17" s="212" t="s">
        <v>1311</v>
      </c>
      <c r="B17" s="64">
        <v>7.92</v>
      </c>
      <c r="C17" s="64">
        <v>7.58</v>
      </c>
      <c r="D17" s="64">
        <v>10.31</v>
      </c>
      <c r="E17" s="64">
        <v>4.6100000000000003</v>
      </c>
      <c r="F17" s="64">
        <v>8</v>
      </c>
      <c r="G17" s="64">
        <v>39.28</v>
      </c>
      <c r="H17" s="64">
        <v>8.75</v>
      </c>
      <c r="I17" s="64">
        <v>1.52</v>
      </c>
      <c r="J17" s="64">
        <v>0.05</v>
      </c>
      <c r="K17" s="64">
        <v>235.17</v>
      </c>
      <c r="L17" s="64">
        <v>24.7</v>
      </c>
      <c r="M17" s="64">
        <v>97.73</v>
      </c>
      <c r="N17" s="64">
        <v>49</v>
      </c>
      <c r="O17" s="64">
        <v>0</v>
      </c>
      <c r="P17" s="64">
        <v>0.33</v>
      </c>
      <c r="Q17" s="64">
        <v>9.64</v>
      </c>
      <c r="R17" s="198"/>
      <c r="S17" s="198"/>
      <c r="T17" s="198"/>
      <c r="U17" s="198"/>
    </row>
    <row r="18" spans="1:21" s="12" customFormat="1" x14ac:dyDescent="0.25">
      <c r="A18" s="212" t="s">
        <v>1312</v>
      </c>
      <c r="B18" s="64">
        <v>6.03</v>
      </c>
      <c r="C18" s="64">
        <v>7.75</v>
      </c>
      <c r="D18" s="64">
        <v>8.8800000000000008</v>
      </c>
      <c r="E18" s="64">
        <v>4.66</v>
      </c>
      <c r="F18" s="64">
        <v>8.85</v>
      </c>
      <c r="G18" s="64">
        <v>39.28</v>
      </c>
      <c r="H18" s="64">
        <v>8.75</v>
      </c>
      <c r="I18" s="64">
        <v>1.56</v>
      </c>
      <c r="J18" s="64">
        <v>0.06</v>
      </c>
      <c r="K18" s="64">
        <v>292.5</v>
      </c>
      <c r="L18" s="64">
        <v>24.56</v>
      </c>
      <c r="M18" s="64">
        <v>97.73</v>
      </c>
      <c r="N18" s="64">
        <v>49</v>
      </c>
      <c r="O18" s="64">
        <v>0</v>
      </c>
      <c r="P18" s="64">
        <v>0.24</v>
      </c>
      <c r="Q18" s="64">
        <v>9.66</v>
      </c>
      <c r="R18" s="198"/>
      <c r="S18" s="198"/>
      <c r="T18" s="198"/>
      <c r="U18" s="198"/>
    </row>
    <row r="19" spans="1:21" s="12" customFormat="1" x14ac:dyDescent="0.25">
      <c r="A19" s="212" t="s">
        <v>1313</v>
      </c>
      <c r="B19" s="64">
        <v>7.3</v>
      </c>
      <c r="C19" s="64">
        <v>7.21</v>
      </c>
      <c r="D19" s="64">
        <v>9.6199999999999992</v>
      </c>
      <c r="E19" s="64">
        <v>4.42</v>
      </c>
      <c r="F19" s="64">
        <v>5.1100000000000003</v>
      </c>
      <c r="G19" s="64">
        <v>33.549999999999997</v>
      </c>
      <c r="H19" s="64">
        <v>7.5</v>
      </c>
      <c r="I19" s="64">
        <v>1.49</v>
      </c>
      <c r="J19" s="64">
        <v>0.04</v>
      </c>
      <c r="K19" s="64">
        <v>263.23</v>
      </c>
      <c r="L19" s="64">
        <v>24.46</v>
      </c>
      <c r="M19" s="64">
        <v>97.72</v>
      </c>
      <c r="N19" s="64">
        <v>49</v>
      </c>
      <c r="O19" s="64">
        <v>0</v>
      </c>
      <c r="P19" s="64">
        <v>0.33</v>
      </c>
      <c r="Q19" s="64">
        <v>9.66</v>
      </c>
      <c r="R19" s="198"/>
      <c r="S19" s="198"/>
      <c r="T19" s="198"/>
      <c r="U19" s="198"/>
    </row>
    <row r="20" spans="1:21" s="12" customFormat="1" x14ac:dyDescent="0.25">
      <c r="A20" s="212" t="s">
        <v>1314</v>
      </c>
      <c r="B20" s="64">
        <v>8.6199999999999992</v>
      </c>
      <c r="C20" s="64">
        <v>6.7</v>
      </c>
      <c r="D20" s="64">
        <v>10.41</v>
      </c>
      <c r="E20" s="64">
        <v>4.7</v>
      </c>
      <c r="F20" s="64">
        <v>6.23</v>
      </c>
      <c r="G20" s="64">
        <v>33.06</v>
      </c>
      <c r="H20" s="64">
        <v>7.4</v>
      </c>
      <c r="I20" s="64">
        <v>1.58</v>
      </c>
      <c r="J20" s="64">
        <v>0.05</v>
      </c>
      <c r="K20" s="64">
        <v>298.32</v>
      </c>
      <c r="L20" s="64">
        <v>24.4</v>
      </c>
      <c r="M20" s="64">
        <v>97.73</v>
      </c>
      <c r="N20" s="64">
        <v>49</v>
      </c>
      <c r="O20" s="64">
        <v>0</v>
      </c>
      <c r="P20" s="64">
        <v>0.35</v>
      </c>
      <c r="Q20" s="64">
        <v>9.64</v>
      </c>
      <c r="R20" s="198"/>
      <c r="S20" s="198"/>
      <c r="T20" s="198"/>
      <c r="U20" s="198"/>
    </row>
    <row r="21" spans="1:21" s="12" customFormat="1" x14ac:dyDescent="0.25">
      <c r="A21" s="212" t="s">
        <v>1315</v>
      </c>
      <c r="B21" s="64">
        <v>6.97</v>
      </c>
      <c r="C21" s="64">
        <v>7.56</v>
      </c>
      <c r="D21" s="64">
        <v>9.5299999999999994</v>
      </c>
      <c r="E21" s="64">
        <v>4.5999999999999996</v>
      </c>
      <c r="F21" s="64">
        <v>8.1300000000000008</v>
      </c>
      <c r="G21" s="64">
        <v>33.06</v>
      </c>
      <c r="H21" s="64">
        <v>7.4</v>
      </c>
      <c r="I21" s="64">
        <v>1.57</v>
      </c>
      <c r="J21" s="64">
        <v>0.03</v>
      </c>
      <c r="K21" s="64">
        <v>244.6</v>
      </c>
      <c r="L21" s="64">
        <v>24.31</v>
      </c>
      <c r="M21" s="64">
        <v>97.73</v>
      </c>
      <c r="N21" s="64">
        <v>49</v>
      </c>
      <c r="O21" s="64">
        <v>0</v>
      </c>
      <c r="P21" s="64">
        <v>0.32</v>
      </c>
      <c r="Q21" s="64">
        <v>9.65</v>
      </c>
      <c r="R21" s="198"/>
      <c r="S21" s="198"/>
      <c r="T21" s="198"/>
      <c r="U21" s="198"/>
    </row>
    <row r="22" spans="1:21" s="12" customFormat="1" x14ac:dyDescent="0.25">
      <c r="A22" s="212" t="s">
        <v>1316</v>
      </c>
      <c r="B22" s="64">
        <v>5.5</v>
      </c>
      <c r="C22" s="64">
        <v>8.17</v>
      </c>
      <c r="D22" s="64">
        <v>8.68</v>
      </c>
      <c r="E22" s="64">
        <v>4.54</v>
      </c>
      <c r="F22" s="64">
        <v>7.64</v>
      </c>
      <c r="G22" s="64">
        <v>33.06</v>
      </c>
      <c r="H22" s="64">
        <v>7.4</v>
      </c>
      <c r="I22" s="64">
        <v>1.57</v>
      </c>
      <c r="J22" s="64">
        <v>0.09</v>
      </c>
      <c r="K22" s="64">
        <v>156.69</v>
      </c>
      <c r="L22" s="64">
        <v>24.21</v>
      </c>
      <c r="M22" s="64">
        <v>97.73</v>
      </c>
      <c r="N22" s="64">
        <v>49</v>
      </c>
      <c r="O22" s="64">
        <v>0</v>
      </c>
      <c r="P22" s="64">
        <v>0.22</v>
      </c>
      <c r="Q22" s="64">
        <v>9.65</v>
      </c>
      <c r="R22" s="198"/>
      <c r="S22" s="198"/>
      <c r="T22" s="198"/>
      <c r="U22" s="198"/>
    </row>
    <row r="23" spans="1:21" s="12" customFormat="1" x14ac:dyDescent="0.25">
      <c r="A23" s="212" t="s">
        <v>1317</v>
      </c>
      <c r="B23" s="64">
        <v>5.41</v>
      </c>
      <c r="C23" s="64">
        <v>7.72</v>
      </c>
      <c r="D23" s="64">
        <v>8.3699999999999992</v>
      </c>
      <c r="E23" s="64">
        <v>4.13</v>
      </c>
      <c r="F23" s="64">
        <v>9</v>
      </c>
      <c r="G23" s="64">
        <v>24.93</v>
      </c>
      <c r="H23" s="64">
        <v>5.95</v>
      </c>
      <c r="I23" s="64">
        <v>1.59</v>
      </c>
      <c r="J23" s="64">
        <v>0.35</v>
      </c>
      <c r="K23" s="64">
        <v>143.66999999999999</v>
      </c>
      <c r="L23" s="64">
        <v>23.99</v>
      </c>
      <c r="M23" s="64">
        <v>97.73</v>
      </c>
      <c r="N23" s="64">
        <v>49</v>
      </c>
      <c r="O23" s="64">
        <v>0</v>
      </c>
      <c r="P23" s="64">
        <v>0.2</v>
      </c>
      <c r="Q23" s="64">
        <v>9.65</v>
      </c>
      <c r="R23" s="198"/>
      <c r="S23" s="198"/>
      <c r="T23" s="198"/>
      <c r="U23" s="198"/>
    </row>
    <row r="24" spans="1:21" s="12" customFormat="1" x14ac:dyDescent="0.25">
      <c r="A24" s="212" t="s">
        <v>1318</v>
      </c>
      <c r="B24" s="64">
        <v>6.96</v>
      </c>
      <c r="C24" s="64">
        <v>6.99</v>
      </c>
      <c r="D24" s="64">
        <v>9.23</v>
      </c>
      <c r="E24" s="64">
        <v>4.7699999999999996</v>
      </c>
      <c r="F24" s="64">
        <v>8.1999999999999993</v>
      </c>
      <c r="G24" s="64">
        <v>24.24</v>
      </c>
      <c r="H24" s="64">
        <v>5.83</v>
      </c>
      <c r="I24" s="64">
        <v>1.59</v>
      </c>
      <c r="J24" s="64">
        <v>0.06</v>
      </c>
      <c r="K24" s="64">
        <v>231.08</v>
      </c>
      <c r="L24" s="64">
        <v>23.94</v>
      </c>
      <c r="M24" s="64">
        <v>97.72</v>
      </c>
      <c r="N24" s="64">
        <v>49</v>
      </c>
      <c r="O24" s="64">
        <v>0</v>
      </c>
      <c r="P24" s="64">
        <v>0.24</v>
      </c>
      <c r="Q24" s="64">
        <v>9.65</v>
      </c>
      <c r="R24" s="198"/>
      <c r="S24" s="198"/>
      <c r="T24" s="198"/>
      <c r="U24" s="198"/>
    </row>
    <row r="25" spans="1:21" s="12" customFormat="1" x14ac:dyDescent="0.25">
      <c r="A25" s="212" t="s">
        <v>1319</v>
      </c>
      <c r="B25" s="64">
        <v>6.53</v>
      </c>
      <c r="C25" s="64">
        <v>7.22</v>
      </c>
      <c r="D25" s="64">
        <v>9.01</v>
      </c>
      <c r="E25" s="64">
        <v>4.6900000000000004</v>
      </c>
      <c r="F25" s="64">
        <v>8.39</v>
      </c>
      <c r="G25" s="64">
        <v>24.24</v>
      </c>
      <c r="H25" s="64">
        <v>5.83</v>
      </c>
      <c r="I25" s="64">
        <v>1.59</v>
      </c>
      <c r="J25" s="64">
        <v>0.12</v>
      </c>
      <c r="K25" s="64">
        <v>151.4</v>
      </c>
      <c r="L25" s="64">
        <v>23.95</v>
      </c>
      <c r="M25" s="64">
        <v>97.72</v>
      </c>
      <c r="N25" s="64">
        <v>49</v>
      </c>
      <c r="O25" s="64">
        <v>0</v>
      </c>
      <c r="P25" s="64">
        <v>0.22</v>
      </c>
      <c r="Q25" s="64">
        <v>9.65</v>
      </c>
      <c r="R25" s="198"/>
      <c r="S25" s="198"/>
      <c r="T25" s="198"/>
      <c r="U25" s="198"/>
    </row>
    <row r="26" spans="1:21" s="12" customFormat="1" x14ac:dyDescent="0.25">
      <c r="A26" s="212" t="s">
        <v>1320</v>
      </c>
      <c r="B26" s="64">
        <v>6.5</v>
      </c>
      <c r="C26" s="64">
        <v>7.82</v>
      </c>
      <c r="D26" s="64">
        <v>9.3000000000000007</v>
      </c>
      <c r="E26" s="64">
        <v>4.78</v>
      </c>
      <c r="F26" s="64">
        <v>7.97</v>
      </c>
      <c r="G26" s="64">
        <v>24.24</v>
      </c>
      <c r="H26" s="64">
        <v>5.83</v>
      </c>
      <c r="I26" s="64">
        <v>1.58</v>
      </c>
      <c r="J26" s="64">
        <v>0.03</v>
      </c>
      <c r="K26" s="64">
        <v>138.12</v>
      </c>
      <c r="L26" s="64">
        <v>23.78</v>
      </c>
      <c r="M26" s="64">
        <v>97.74</v>
      </c>
      <c r="N26" s="64">
        <v>49</v>
      </c>
      <c r="O26" s="64">
        <v>0</v>
      </c>
      <c r="P26" s="64">
        <v>0.22</v>
      </c>
      <c r="Q26" s="64">
        <v>9.64</v>
      </c>
      <c r="R26" s="198"/>
      <c r="S26" s="198"/>
      <c r="T26" s="198"/>
      <c r="U26" s="198"/>
    </row>
    <row r="27" spans="1:21" s="12" customFormat="1" x14ac:dyDescent="0.25">
      <c r="A27" s="212" t="s">
        <v>1321</v>
      </c>
      <c r="B27" s="64">
        <v>7.84</v>
      </c>
      <c r="C27" s="64">
        <v>7.93</v>
      </c>
      <c r="D27" s="64">
        <v>10.43</v>
      </c>
      <c r="E27" s="64">
        <v>4.66</v>
      </c>
      <c r="F27" s="64">
        <v>7.38</v>
      </c>
      <c r="G27" s="64">
        <v>22.22</v>
      </c>
      <c r="H27" s="64">
        <v>8.35</v>
      </c>
      <c r="I27" s="64">
        <v>1.58</v>
      </c>
      <c r="J27" s="64">
        <v>0.09</v>
      </c>
      <c r="K27" s="64">
        <v>321.56</v>
      </c>
      <c r="L27" s="64">
        <v>23.82</v>
      </c>
      <c r="M27" s="64">
        <v>97.75</v>
      </c>
      <c r="N27" s="64">
        <v>49</v>
      </c>
      <c r="O27" s="64">
        <v>0</v>
      </c>
      <c r="P27" s="64">
        <v>0.27</v>
      </c>
      <c r="Q27" s="64">
        <v>9.64</v>
      </c>
      <c r="R27" s="198"/>
      <c r="S27" s="198"/>
      <c r="T27" s="198"/>
      <c r="U27" s="198"/>
    </row>
    <row r="28" spans="1:21" s="12" customFormat="1" x14ac:dyDescent="0.25">
      <c r="A28" s="212" t="s">
        <v>1322</v>
      </c>
      <c r="B28" s="64">
        <v>8.0299999999999994</v>
      </c>
      <c r="C28" s="64">
        <v>8.8800000000000008</v>
      </c>
      <c r="D28" s="64">
        <v>11.08</v>
      </c>
      <c r="E28" s="64">
        <v>4.5999999999999996</v>
      </c>
      <c r="F28" s="64">
        <v>6.48</v>
      </c>
      <c r="G28" s="64">
        <v>22.05</v>
      </c>
      <c r="H28" s="64">
        <v>8.57</v>
      </c>
      <c r="I28" s="64">
        <v>1.57</v>
      </c>
      <c r="J28" s="64">
        <v>0.06</v>
      </c>
      <c r="K28" s="64">
        <v>266.5</v>
      </c>
      <c r="L28" s="64">
        <v>23.85</v>
      </c>
      <c r="M28" s="64">
        <v>97.75</v>
      </c>
      <c r="N28" s="64">
        <v>49</v>
      </c>
      <c r="O28" s="64">
        <v>0</v>
      </c>
      <c r="P28" s="64">
        <v>0.28000000000000003</v>
      </c>
      <c r="Q28" s="64">
        <v>9.6300000000000008</v>
      </c>
      <c r="R28" s="198"/>
      <c r="S28" s="198"/>
      <c r="T28" s="198"/>
      <c r="U28" s="198"/>
    </row>
    <row r="29" spans="1:21" s="12" customFormat="1" x14ac:dyDescent="0.25">
      <c r="A29" s="212" t="s">
        <v>1323</v>
      </c>
      <c r="B29" s="64">
        <v>8.91</v>
      </c>
      <c r="C29" s="64">
        <v>8.85</v>
      </c>
      <c r="D29" s="64">
        <v>11.77</v>
      </c>
      <c r="E29" s="64">
        <v>4.45</v>
      </c>
      <c r="F29" s="64">
        <v>5.63</v>
      </c>
      <c r="G29" s="64">
        <v>22.05</v>
      </c>
      <c r="H29" s="64">
        <v>8.57</v>
      </c>
      <c r="I29" s="64">
        <v>1.58</v>
      </c>
      <c r="J29" s="64">
        <v>7.0000000000000007E-2</v>
      </c>
      <c r="K29" s="64">
        <v>305.94</v>
      </c>
      <c r="L29" s="64">
        <v>23.86</v>
      </c>
      <c r="M29" s="64">
        <v>97.75</v>
      </c>
      <c r="N29" s="64">
        <v>49</v>
      </c>
      <c r="O29" s="64">
        <v>0</v>
      </c>
      <c r="P29" s="64">
        <v>0.28000000000000003</v>
      </c>
      <c r="Q29" s="64">
        <v>9.6300000000000008</v>
      </c>
      <c r="R29" s="198"/>
      <c r="S29" s="198"/>
      <c r="T29" s="198"/>
      <c r="U29" s="198"/>
    </row>
    <row r="30" spans="1:21" s="12" customFormat="1" x14ac:dyDescent="0.25">
      <c r="A30" s="212" t="s">
        <v>1324</v>
      </c>
      <c r="B30" s="64">
        <v>7.68</v>
      </c>
      <c r="C30" s="64">
        <v>9.6</v>
      </c>
      <c r="D30" s="64">
        <v>11.18</v>
      </c>
      <c r="E30" s="64">
        <v>4.88</v>
      </c>
      <c r="F30" s="64">
        <v>6.29</v>
      </c>
      <c r="G30" s="64">
        <v>22.05</v>
      </c>
      <c r="H30" s="64">
        <v>8.57</v>
      </c>
      <c r="I30" s="64">
        <v>1.57</v>
      </c>
      <c r="J30" s="64">
        <v>0.06</v>
      </c>
      <c r="K30" s="64">
        <v>244.92</v>
      </c>
      <c r="L30" s="64">
        <v>23.83</v>
      </c>
      <c r="M30" s="64">
        <v>97.75</v>
      </c>
      <c r="N30" s="64">
        <v>49.3</v>
      </c>
      <c r="O30" s="64">
        <v>0</v>
      </c>
      <c r="P30" s="64">
        <v>0.27</v>
      </c>
      <c r="Q30" s="64">
        <v>9.64</v>
      </c>
      <c r="R30" s="198"/>
      <c r="S30" s="198"/>
      <c r="T30" s="198"/>
      <c r="U30" s="198"/>
    </row>
    <row r="31" spans="1:21" s="12" customFormat="1" x14ac:dyDescent="0.25">
      <c r="A31" s="212" t="s">
        <v>1325</v>
      </c>
      <c r="B31" s="64">
        <v>10.72</v>
      </c>
      <c r="C31" s="64">
        <v>7.92</v>
      </c>
      <c r="D31" s="64">
        <v>12.74</v>
      </c>
      <c r="E31" s="64">
        <v>4.59</v>
      </c>
      <c r="F31" s="64">
        <v>2.75</v>
      </c>
      <c r="G31" s="64">
        <v>27.72</v>
      </c>
      <c r="H31" s="64">
        <v>8.43</v>
      </c>
      <c r="I31" s="64">
        <v>1.56</v>
      </c>
      <c r="J31" s="64">
        <v>0.1</v>
      </c>
      <c r="K31" s="64">
        <v>318.77999999999997</v>
      </c>
      <c r="L31" s="64">
        <v>23.85</v>
      </c>
      <c r="M31" s="64">
        <v>97.75</v>
      </c>
      <c r="N31" s="64">
        <v>53.1</v>
      </c>
      <c r="O31" s="64">
        <v>0</v>
      </c>
      <c r="P31" s="64">
        <v>0.36</v>
      </c>
      <c r="Q31" s="64">
        <v>9.64</v>
      </c>
      <c r="R31" s="198"/>
      <c r="S31" s="198"/>
      <c r="T31" s="198"/>
      <c r="U31" s="198"/>
    </row>
    <row r="32" spans="1:21" s="12" customFormat="1" x14ac:dyDescent="0.25">
      <c r="A32" s="212" t="s">
        <v>1326</v>
      </c>
      <c r="B32" s="64">
        <v>9.4499999999999993</v>
      </c>
      <c r="C32" s="64">
        <v>8.67</v>
      </c>
      <c r="D32" s="64">
        <v>12.11</v>
      </c>
      <c r="E32" s="64">
        <v>4.59</v>
      </c>
      <c r="F32" s="64">
        <v>5.69</v>
      </c>
      <c r="G32" s="64">
        <v>28.2</v>
      </c>
      <c r="H32" s="64">
        <v>8.42</v>
      </c>
      <c r="I32" s="64">
        <v>1.55</v>
      </c>
      <c r="J32" s="64">
        <v>0.06</v>
      </c>
      <c r="K32" s="64">
        <v>312.31</v>
      </c>
      <c r="L32" s="64">
        <v>23.97</v>
      </c>
      <c r="M32" s="64">
        <v>97.75</v>
      </c>
      <c r="N32" s="64">
        <v>68.2</v>
      </c>
      <c r="O32" s="64">
        <v>0</v>
      </c>
      <c r="P32" s="64">
        <v>0.39</v>
      </c>
      <c r="Q32" s="64">
        <v>9.64</v>
      </c>
      <c r="R32" s="198"/>
      <c r="S32" s="198"/>
      <c r="T32" s="198"/>
      <c r="U32" s="198"/>
    </row>
    <row r="33" spans="1:21" s="12" customFormat="1" x14ac:dyDescent="0.25">
      <c r="A33" s="212" t="s">
        <v>1327</v>
      </c>
      <c r="B33" s="64">
        <v>11.35</v>
      </c>
      <c r="C33" s="64">
        <v>10.18</v>
      </c>
      <c r="D33" s="64">
        <v>14.42</v>
      </c>
      <c r="E33" s="64">
        <v>4.5</v>
      </c>
      <c r="F33" s="64">
        <v>5.73</v>
      </c>
      <c r="G33" s="64">
        <v>28.2</v>
      </c>
      <c r="H33" s="64">
        <v>8.42</v>
      </c>
      <c r="I33" s="64">
        <v>1.53</v>
      </c>
      <c r="J33" s="64">
        <v>0.08</v>
      </c>
      <c r="K33" s="64">
        <v>295.16000000000003</v>
      </c>
      <c r="L33" s="64">
        <v>24.33</v>
      </c>
      <c r="M33" s="64">
        <v>97.75</v>
      </c>
      <c r="N33" s="64">
        <v>84.3</v>
      </c>
      <c r="O33" s="64">
        <v>0</v>
      </c>
      <c r="P33" s="64">
        <v>0.37</v>
      </c>
      <c r="Q33" s="64">
        <v>9.65</v>
      </c>
      <c r="R33" s="198"/>
      <c r="S33" s="198"/>
      <c r="T33" s="198"/>
      <c r="U33" s="198"/>
    </row>
    <row r="34" spans="1:21" s="12" customFormat="1" x14ac:dyDescent="0.25">
      <c r="A34" s="212" t="s">
        <v>1328</v>
      </c>
      <c r="B34" s="64">
        <v>15.87</v>
      </c>
      <c r="C34" s="64">
        <v>10.61</v>
      </c>
      <c r="D34" s="64">
        <v>18.27</v>
      </c>
      <c r="E34" s="64">
        <v>4.4000000000000004</v>
      </c>
      <c r="F34" s="64">
        <v>5.65</v>
      </c>
      <c r="G34" s="64">
        <v>28.2</v>
      </c>
      <c r="H34" s="64">
        <v>8.42</v>
      </c>
      <c r="I34" s="64">
        <v>1.53</v>
      </c>
      <c r="J34" s="64">
        <v>0.12</v>
      </c>
      <c r="K34" s="64">
        <v>317.75</v>
      </c>
      <c r="L34" s="64">
        <v>24.86</v>
      </c>
      <c r="M34" s="64">
        <v>97.73</v>
      </c>
      <c r="N34" s="64">
        <v>108</v>
      </c>
      <c r="O34" s="64">
        <v>0</v>
      </c>
      <c r="P34" s="64">
        <v>0.5</v>
      </c>
      <c r="Q34" s="64">
        <v>9.67</v>
      </c>
      <c r="R34" s="198"/>
      <c r="S34" s="198"/>
      <c r="T34" s="198"/>
      <c r="U34" s="198"/>
    </row>
    <row r="35" spans="1:21" s="12" customFormat="1" x14ac:dyDescent="0.25">
      <c r="A35" s="212" t="s">
        <v>1329</v>
      </c>
      <c r="B35" s="64">
        <v>14.9</v>
      </c>
      <c r="C35" s="64">
        <v>10.28</v>
      </c>
      <c r="D35" s="64">
        <v>17.32</v>
      </c>
      <c r="E35" s="64">
        <v>4.93</v>
      </c>
      <c r="F35" s="64">
        <v>5.13</v>
      </c>
      <c r="G35" s="64">
        <v>32.869999999999997</v>
      </c>
      <c r="H35" s="64">
        <v>8</v>
      </c>
      <c r="I35" s="64">
        <v>1.55</v>
      </c>
      <c r="J35" s="64">
        <v>0.13</v>
      </c>
      <c r="K35" s="64">
        <v>305.66000000000003</v>
      </c>
      <c r="L35" s="64">
        <v>25.62</v>
      </c>
      <c r="M35" s="64">
        <v>97.69</v>
      </c>
      <c r="N35" s="64">
        <v>125.1</v>
      </c>
      <c r="O35" s="64">
        <v>0</v>
      </c>
      <c r="P35" s="64">
        <v>0.39</v>
      </c>
      <c r="Q35" s="64">
        <v>9.66</v>
      </c>
      <c r="R35" s="198"/>
      <c r="S35" s="198"/>
      <c r="T35" s="198"/>
      <c r="U35" s="198"/>
    </row>
    <row r="36" spans="1:21" s="12" customFormat="1" x14ac:dyDescent="0.25">
      <c r="A36" s="212" t="s">
        <v>1330</v>
      </c>
      <c r="B36" s="64">
        <v>16.010000000000002</v>
      </c>
      <c r="C36" s="64">
        <v>8</v>
      </c>
      <c r="D36" s="64">
        <v>17.02</v>
      </c>
      <c r="E36" s="64">
        <v>4.88</v>
      </c>
      <c r="F36" s="64">
        <v>4.07</v>
      </c>
      <c r="G36" s="64">
        <v>33.26</v>
      </c>
      <c r="H36" s="64">
        <v>7.97</v>
      </c>
      <c r="I36" s="64">
        <v>1.58</v>
      </c>
      <c r="J36" s="64">
        <v>0.12</v>
      </c>
      <c r="K36" s="64">
        <v>311.24</v>
      </c>
      <c r="L36" s="64">
        <v>25.95</v>
      </c>
      <c r="M36" s="64">
        <v>97.66</v>
      </c>
      <c r="N36" s="64">
        <v>125.5</v>
      </c>
      <c r="O36" s="64">
        <v>0</v>
      </c>
      <c r="P36" s="64">
        <v>0.4</v>
      </c>
      <c r="Q36" s="64">
        <v>9.65</v>
      </c>
      <c r="R36" s="198"/>
      <c r="S36" s="198"/>
      <c r="T36" s="198"/>
      <c r="U36" s="198"/>
    </row>
    <row r="37" spans="1:21" s="12" customFormat="1" x14ac:dyDescent="0.25">
      <c r="A37" s="212" t="s">
        <v>1331</v>
      </c>
      <c r="B37" s="64">
        <v>14.7</v>
      </c>
      <c r="C37" s="64">
        <v>6.24</v>
      </c>
      <c r="D37" s="64">
        <v>15.05</v>
      </c>
      <c r="E37" s="64">
        <v>4.68</v>
      </c>
      <c r="F37" s="64">
        <v>2.63</v>
      </c>
      <c r="G37" s="64">
        <v>33.26</v>
      </c>
      <c r="H37" s="64">
        <v>7.97</v>
      </c>
      <c r="I37" s="64">
        <v>1.62</v>
      </c>
      <c r="J37" s="64">
        <v>0.31</v>
      </c>
      <c r="K37" s="64">
        <v>317.32</v>
      </c>
      <c r="L37" s="64">
        <v>26.81</v>
      </c>
      <c r="M37" s="64">
        <v>97.55</v>
      </c>
      <c r="N37" s="64">
        <v>239.3</v>
      </c>
      <c r="O37" s="64">
        <v>0</v>
      </c>
      <c r="P37" s="64">
        <v>0.43</v>
      </c>
      <c r="Q37" s="64">
        <v>9.6300000000000008</v>
      </c>
      <c r="R37" s="198"/>
      <c r="S37" s="198"/>
      <c r="T37" s="198"/>
      <c r="U37" s="198"/>
    </row>
    <row r="38" spans="1:21" s="12" customFormat="1" x14ac:dyDescent="0.25">
      <c r="A38" s="212" t="s">
        <v>1332</v>
      </c>
      <c r="B38" s="64">
        <v>16.27</v>
      </c>
      <c r="C38" s="64">
        <v>7.38</v>
      </c>
      <c r="D38" s="64">
        <v>16.899999999999999</v>
      </c>
      <c r="E38" s="64">
        <v>4.4000000000000004</v>
      </c>
      <c r="F38" s="64">
        <v>6.9</v>
      </c>
      <c r="G38" s="64">
        <v>33.26</v>
      </c>
      <c r="H38" s="64">
        <v>7.97</v>
      </c>
      <c r="I38" s="64">
        <v>1.66</v>
      </c>
      <c r="J38" s="64">
        <v>0.66</v>
      </c>
      <c r="K38" s="64">
        <v>331.66</v>
      </c>
      <c r="L38" s="64">
        <v>27.9</v>
      </c>
      <c r="M38" s="64">
        <v>95.82</v>
      </c>
      <c r="N38" s="64">
        <v>178.3</v>
      </c>
      <c r="O38" s="64">
        <v>0</v>
      </c>
      <c r="P38" s="64">
        <v>0.48</v>
      </c>
      <c r="Q38" s="64">
        <v>9.64</v>
      </c>
      <c r="R38" s="198"/>
      <c r="S38" s="198"/>
      <c r="T38" s="198"/>
      <c r="U38" s="198"/>
    </row>
    <row r="39" spans="1:21" s="12" customFormat="1" x14ac:dyDescent="0.25">
      <c r="A39" s="212" t="s">
        <v>1333</v>
      </c>
      <c r="B39" s="64">
        <v>15.19</v>
      </c>
      <c r="C39" s="64">
        <v>6.88</v>
      </c>
      <c r="D39" s="64">
        <v>15.78</v>
      </c>
      <c r="E39" s="64">
        <v>4.68</v>
      </c>
      <c r="F39" s="64">
        <v>4.82</v>
      </c>
      <c r="G39" s="64">
        <v>44.03</v>
      </c>
      <c r="H39" s="64">
        <v>9.31</v>
      </c>
      <c r="I39" s="64">
        <v>1.68</v>
      </c>
      <c r="J39" s="64">
        <v>0.59</v>
      </c>
      <c r="K39" s="64">
        <v>333.44</v>
      </c>
      <c r="L39" s="64">
        <v>28.3</v>
      </c>
      <c r="M39" s="64">
        <v>94.57</v>
      </c>
      <c r="N39" s="64">
        <v>253</v>
      </c>
      <c r="O39" s="64">
        <v>0</v>
      </c>
      <c r="P39" s="64">
        <v>0.48</v>
      </c>
      <c r="Q39" s="64">
        <v>9.65</v>
      </c>
      <c r="R39" s="198"/>
      <c r="S39" s="198"/>
      <c r="T39" s="198"/>
      <c r="U39" s="198"/>
    </row>
    <row r="40" spans="1:21" s="12" customFormat="1" x14ac:dyDescent="0.25">
      <c r="A40" s="212" t="s">
        <v>1334</v>
      </c>
      <c r="B40" s="64">
        <v>14.65</v>
      </c>
      <c r="C40" s="64">
        <v>5.45</v>
      </c>
      <c r="D40" s="64">
        <v>14.6</v>
      </c>
      <c r="E40" s="64">
        <v>5.0599999999999996</v>
      </c>
      <c r="F40" s="64">
        <v>3.26</v>
      </c>
      <c r="G40" s="64">
        <v>44.94</v>
      </c>
      <c r="H40" s="64">
        <v>9.43</v>
      </c>
      <c r="I40" s="64">
        <v>1.67</v>
      </c>
      <c r="J40" s="64">
        <v>0.63</v>
      </c>
      <c r="K40" s="64">
        <v>330.4</v>
      </c>
      <c r="L40" s="64">
        <v>29.26</v>
      </c>
      <c r="M40" s="64">
        <v>88.49</v>
      </c>
      <c r="N40" s="64">
        <v>363</v>
      </c>
      <c r="O40" s="64">
        <v>0</v>
      </c>
      <c r="P40" s="64">
        <v>0.47</v>
      </c>
      <c r="Q40" s="64">
        <v>9.64</v>
      </c>
      <c r="R40" s="198"/>
      <c r="S40" s="198"/>
      <c r="T40" s="198"/>
      <c r="U40" s="198"/>
    </row>
    <row r="41" spans="1:21" s="12" customFormat="1" x14ac:dyDescent="0.25">
      <c r="A41" s="212" t="s">
        <v>1335</v>
      </c>
      <c r="B41" s="64">
        <v>13.5</v>
      </c>
      <c r="C41" s="64">
        <v>8.0299999999999994</v>
      </c>
      <c r="D41" s="64">
        <v>15.02</v>
      </c>
      <c r="E41" s="64">
        <v>4.63</v>
      </c>
      <c r="F41" s="64">
        <v>7.36</v>
      </c>
      <c r="G41" s="64">
        <v>44.94</v>
      </c>
      <c r="H41" s="64">
        <v>9.43</v>
      </c>
      <c r="I41" s="64">
        <v>1.67</v>
      </c>
      <c r="J41" s="64">
        <v>0.87</v>
      </c>
      <c r="K41" s="64">
        <v>333.89</v>
      </c>
      <c r="L41" s="64">
        <v>29.77</v>
      </c>
      <c r="M41" s="64">
        <v>82.92</v>
      </c>
      <c r="N41" s="64">
        <v>232.9</v>
      </c>
      <c r="O41" s="64">
        <v>0</v>
      </c>
      <c r="P41" s="64">
        <v>0.47</v>
      </c>
      <c r="Q41" s="64">
        <v>9.65</v>
      </c>
      <c r="R41" s="198"/>
      <c r="S41" s="198"/>
      <c r="T41" s="198"/>
      <c r="U41" s="198"/>
    </row>
    <row r="42" spans="1:21" s="12" customFormat="1" x14ac:dyDescent="0.25">
      <c r="A42" s="212" t="s">
        <v>1336</v>
      </c>
      <c r="B42" s="64">
        <v>15.8</v>
      </c>
      <c r="C42" s="64">
        <v>8.68</v>
      </c>
      <c r="D42" s="64">
        <v>17.190000000000001</v>
      </c>
      <c r="E42" s="64">
        <v>4.62</v>
      </c>
      <c r="F42" s="64">
        <v>7.22</v>
      </c>
      <c r="G42" s="64">
        <v>44.94</v>
      </c>
      <c r="H42" s="64">
        <v>9.43</v>
      </c>
      <c r="I42" s="64">
        <v>1.67</v>
      </c>
      <c r="J42" s="64">
        <v>0.46</v>
      </c>
      <c r="K42" s="64">
        <v>329.55</v>
      </c>
      <c r="L42" s="64">
        <v>29.16</v>
      </c>
      <c r="M42" s="64">
        <v>85.12</v>
      </c>
      <c r="N42" s="64">
        <v>260.8</v>
      </c>
      <c r="O42" s="64">
        <v>0</v>
      </c>
      <c r="P42" s="64">
        <v>0.44</v>
      </c>
      <c r="Q42" s="64">
        <v>9.66</v>
      </c>
      <c r="R42" s="198"/>
      <c r="S42" s="198"/>
      <c r="T42" s="198"/>
      <c r="U42" s="198"/>
    </row>
    <row r="43" spans="1:21" s="12" customFormat="1" x14ac:dyDescent="0.25">
      <c r="A43" s="212" t="s">
        <v>1337</v>
      </c>
      <c r="B43" s="64">
        <v>12.55</v>
      </c>
      <c r="C43" s="64">
        <v>8.8800000000000008</v>
      </c>
      <c r="D43" s="64">
        <v>14.7</v>
      </c>
      <c r="E43" s="64">
        <v>4.5599999999999996</v>
      </c>
      <c r="F43" s="64">
        <v>7.82</v>
      </c>
      <c r="G43" s="64">
        <v>49.86</v>
      </c>
      <c r="H43" s="64">
        <v>7.16</v>
      </c>
      <c r="I43" s="64">
        <v>1.65</v>
      </c>
      <c r="J43" s="64">
        <v>0.38</v>
      </c>
      <c r="K43" s="64">
        <v>323.12</v>
      </c>
      <c r="L43" s="64">
        <v>29.78</v>
      </c>
      <c r="M43" s="64">
        <v>82.03</v>
      </c>
      <c r="N43" s="64">
        <v>337.2</v>
      </c>
      <c r="O43" s="64">
        <v>0</v>
      </c>
      <c r="P43" s="64">
        <v>0.46</v>
      </c>
      <c r="Q43" s="64">
        <v>9.65</v>
      </c>
      <c r="R43" s="198"/>
      <c r="S43" s="198"/>
      <c r="T43" s="198"/>
      <c r="U43" s="198"/>
    </row>
    <row r="44" spans="1:21" s="12" customFormat="1" x14ac:dyDescent="0.25">
      <c r="A44" s="212" t="s">
        <v>1338</v>
      </c>
      <c r="B44" s="64">
        <v>13.57</v>
      </c>
      <c r="C44" s="64">
        <v>7.79</v>
      </c>
      <c r="D44" s="64">
        <v>14.94</v>
      </c>
      <c r="E44" s="64">
        <v>5.24</v>
      </c>
      <c r="F44" s="64">
        <v>6.03</v>
      </c>
      <c r="G44" s="64">
        <v>50.27</v>
      </c>
      <c r="H44" s="64">
        <v>7</v>
      </c>
      <c r="I44" s="64">
        <v>1.64</v>
      </c>
      <c r="J44" s="64">
        <v>0.83</v>
      </c>
      <c r="K44" s="64">
        <v>332.08</v>
      </c>
      <c r="L44" s="64">
        <v>31.22</v>
      </c>
      <c r="M44" s="64">
        <v>74.89</v>
      </c>
      <c r="N44" s="64">
        <v>625.20000000000005</v>
      </c>
      <c r="O44" s="64">
        <v>0</v>
      </c>
      <c r="P44" s="64">
        <v>0.47</v>
      </c>
      <c r="Q44" s="64">
        <v>9.65</v>
      </c>
      <c r="R44" s="198"/>
      <c r="S44" s="198"/>
      <c r="T44" s="198"/>
      <c r="U44" s="198"/>
    </row>
    <row r="45" spans="1:21" s="12" customFormat="1" x14ac:dyDescent="0.25">
      <c r="A45" s="212" t="s">
        <v>1339</v>
      </c>
      <c r="B45" s="64">
        <v>14</v>
      </c>
      <c r="C45" s="64">
        <v>9.17</v>
      </c>
      <c r="D45" s="64">
        <v>16.02</v>
      </c>
      <c r="E45" s="64">
        <v>5.15</v>
      </c>
      <c r="F45" s="64">
        <v>8.7100000000000009</v>
      </c>
      <c r="G45" s="64">
        <v>50.27</v>
      </c>
      <c r="H45" s="64">
        <v>7</v>
      </c>
      <c r="I45" s="64">
        <v>1.63</v>
      </c>
      <c r="J45" s="64">
        <v>0.4</v>
      </c>
      <c r="K45" s="64">
        <v>323.57</v>
      </c>
      <c r="L45" s="64">
        <v>33.200000000000003</v>
      </c>
      <c r="M45" s="64">
        <v>65.180000000000007</v>
      </c>
      <c r="N45" s="64">
        <v>679.5</v>
      </c>
      <c r="O45" s="64">
        <v>0</v>
      </c>
      <c r="P45" s="64">
        <v>0.46</v>
      </c>
      <c r="Q45" s="64">
        <v>9.65</v>
      </c>
      <c r="R45" s="198"/>
      <c r="S45" s="198"/>
      <c r="T45" s="198"/>
      <c r="U45" s="198"/>
    </row>
    <row r="46" spans="1:21" s="12" customFormat="1" x14ac:dyDescent="0.25">
      <c r="A46" s="212" t="s">
        <v>1340</v>
      </c>
      <c r="B46" s="64">
        <v>13.05</v>
      </c>
      <c r="C46" s="64">
        <v>8.35</v>
      </c>
      <c r="D46" s="64">
        <v>14.83</v>
      </c>
      <c r="E46" s="64">
        <v>4.92</v>
      </c>
      <c r="F46" s="64">
        <v>6.35</v>
      </c>
      <c r="G46" s="64">
        <v>50.27</v>
      </c>
      <c r="H46" s="64">
        <v>7</v>
      </c>
      <c r="I46" s="64">
        <v>1.62</v>
      </c>
      <c r="J46" s="64">
        <v>0.28000000000000003</v>
      </c>
      <c r="K46" s="64">
        <v>312.64999999999998</v>
      </c>
      <c r="L46" s="64">
        <v>32.53</v>
      </c>
      <c r="M46" s="64">
        <v>68.099999999999994</v>
      </c>
      <c r="N46" s="64">
        <v>754.4</v>
      </c>
      <c r="O46" s="64">
        <v>0</v>
      </c>
      <c r="P46" s="64">
        <v>0.48</v>
      </c>
      <c r="Q46" s="64">
        <v>9.65</v>
      </c>
      <c r="R46" s="198"/>
      <c r="S46" s="198"/>
      <c r="T46" s="198"/>
      <c r="U46" s="198"/>
    </row>
    <row r="47" spans="1:21" s="12" customFormat="1" x14ac:dyDescent="0.25">
      <c r="A47" s="212" t="s">
        <v>1341</v>
      </c>
      <c r="B47" s="64">
        <v>14.23</v>
      </c>
      <c r="C47" s="64">
        <v>10.23</v>
      </c>
      <c r="D47" s="64">
        <v>16.760000000000002</v>
      </c>
      <c r="E47" s="64">
        <v>4.97</v>
      </c>
      <c r="F47" s="64">
        <v>8.69</v>
      </c>
      <c r="G47" s="64">
        <v>47.84</v>
      </c>
      <c r="H47" s="64">
        <v>6.64</v>
      </c>
      <c r="I47" s="64">
        <v>1.6</v>
      </c>
      <c r="J47" s="64">
        <v>0.3</v>
      </c>
      <c r="K47" s="64">
        <v>301.13</v>
      </c>
      <c r="L47" s="64">
        <v>33.270000000000003</v>
      </c>
      <c r="M47" s="64">
        <v>64.69</v>
      </c>
      <c r="N47" s="64">
        <v>750.7</v>
      </c>
      <c r="O47" s="64">
        <v>0</v>
      </c>
      <c r="P47" s="64">
        <v>0.48</v>
      </c>
      <c r="Q47" s="64">
        <v>9.65</v>
      </c>
      <c r="R47" s="198"/>
      <c r="S47" s="198"/>
      <c r="T47" s="198"/>
      <c r="U47" s="198"/>
    </row>
    <row r="48" spans="1:21" s="12" customFormat="1" x14ac:dyDescent="0.25">
      <c r="A48" s="212" t="s">
        <v>1342</v>
      </c>
      <c r="B48" s="64">
        <v>13.73</v>
      </c>
      <c r="C48" s="64">
        <v>11.08</v>
      </c>
      <c r="D48" s="64">
        <v>16.8</v>
      </c>
      <c r="E48" s="64">
        <v>5.38</v>
      </c>
      <c r="F48" s="64">
        <v>9.1999999999999993</v>
      </c>
      <c r="G48" s="64">
        <v>47.64</v>
      </c>
      <c r="H48" s="64">
        <v>6.61</v>
      </c>
      <c r="I48" s="64">
        <v>1.59</v>
      </c>
      <c r="J48" s="64">
        <v>0.19</v>
      </c>
      <c r="K48" s="64">
        <v>334.57</v>
      </c>
      <c r="L48" s="64">
        <v>34</v>
      </c>
      <c r="M48" s="64">
        <v>60.42</v>
      </c>
      <c r="N48" s="64">
        <v>828.1</v>
      </c>
      <c r="O48" s="64">
        <v>0</v>
      </c>
      <c r="P48" s="64">
        <v>0.49</v>
      </c>
      <c r="Q48" s="64">
        <v>9.65</v>
      </c>
      <c r="R48" s="198"/>
      <c r="S48" s="198"/>
      <c r="T48" s="198"/>
      <c r="U48" s="198"/>
    </row>
    <row r="49" spans="1:21" s="12" customFormat="1" x14ac:dyDescent="0.25">
      <c r="A49" s="212" t="s">
        <v>1343</v>
      </c>
      <c r="B49" s="64">
        <v>11.63</v>
      </c>
      <c r="C49" s="64">
        <v>8.49</v>
      </c>
      <c r="D49" s="64">
        <v>13.76</v>
      </c>
      <c r="E49" s="64">
        <v>5.0199999999999996</v>
      </c>
      <c r="F49" s="64">
        <v>9.61</v>
      </c>
      <c r="G49" s="64">
        <v>47.64</v>
      </c>
      <c r="H49" s="64">
        <v>6.61</v>
      </c>
      <c r="I49" s="64">
        <v>1.58</v>
      </c>
      <c r="J49" s="64">
        <v>0.49</v>
      </c>
      <c r="K49" s="64">
        <v>335.45</v>
      </c>
      <c r="L49" s="64">
        <v>33.83</v>
      </c>
      <c r="M49" s="64">
        <v>59.88</v>
      </c>
      <c r="N49" s="64">
        <v>859.6</v>
      </c>
      <c r="O49" s="64">
        <v>0</v>
      </c>
      <c r="P49" s="64">
        <v>0.44</v>
      </c>
      <c r="Q49" s="64">
        <v>9.64</v>
      </c>
      <c r="R49" s="198"/>
      <c r="S49" s="198"/>
      <c r="T49" s="198"/>
      <c r="U49" s="198"/>
    </row>
    <row r="50" spans="1:21" s="12" customFormat="1" x14ac:dyDescent="0.25">
      <c r="A50" s="212" t="s">
        <v>1344</v>
      </c>
      <c r="B50" s="64">
        <v>12.84</v>
      </c>
      <c r="C50" s="64">
        <v>12.41</v>
      </c>
      <c r="D50" s="64">
        <v>16.78</v>
      </c>
      <c r="E50" s="64">
        <v>4.92</v>
      </c>
      <c r="F50" s="64">
        <v>13.45</v>
      </c>
      <c r="G50" s="64">
        <v>47.64</v>
      </c>
      <c r="H50" s="64">
        <v>6.61</v>
      </c>
      <c r="I50" s="64">
        <v>1.57</v>
      </c>
      <c r="J50" s="64">
        <v>0.61</v>
      </c>
      <c r="K50" s="64">
        <v>340.86</v>
      </c>
      <c r="L50" s="64">
        <v>34.19</v>
      </c>
      <c r="M50" s="64">
        <v>60.65</v>
      </c>
      <c r="N50" s="64">
        <v>730</v>
      </c>
      <c r="O50" s="64">
        <v>0</v>
      </c>
      <c r="P50" s="64">
        <v>0.52</v>
      </c>
      <c r="Q50" s="64">
        <v>9.64</v>
      </c>
      <c r="R50" s="198"/>
      <c r="S50" s="198"/>
      <c r="T50" s="198"/>
      <c r="U50" s="198"/>
    </row>
    <row r="51" spans="1:21" s="12" customFormat="1" x14ac:dyDescent="0.25">
      <c r="A51" s="212" t="s">
        <v>1345</v>
      </c>
      <c r="B51" s="64">
        <v>10.84</v>
      </c>
      <c r="C51" s="64">
        <v>10.82</v>
      </c>
      <c r="D51" s="64">
        <v>14.35</v>
      </c>
      <c r="E51" s="64">
        <v>5.25</v>
      </c>
      <c r="F51" s="64">
        <v>7.94</v>
      </c>
      <c r="G51" s="64">
        <v>43.12</v>
      </c>
      <c r="H51" s="64">
        <v>5.88</v>
      </c>
      <c r="I51" s="64">
        <v>1.52</v>
      </c>
      <c r="J51" s="64">
        <v>0.19</v>
      </c>
      <c r="K51" s="64">
        <v>287.07</v>
      </c>
      <c r="L51" s="64">
        <v>32.97</v>
      </c>
      <c r="M51" s="64">
        <v>64.92</v>
      </c>
      <c r="N51" s="64">
        <v>711.3</v>
      </c>
      <c r="O51" s="64">
        <v>0</v>
      </c>
      <c r="P51" s="64">
        <v>0.51</v>
      </c>
      <c r="Q51" s="64">
        <v>9.66</v>
      </c>
      <c r="R51" s="198"/>
      <c r="S51" s="198"/>
      <c r="T51" s="198"/>
      <c r="U51" s="198"/>
    </row>
    <row r="52" spans="1:21" s="12" customFormat="1" x14ac:dyDescent="0.25">
      <c r="A52" s="212" t="s">
        <v>1346</v>
      </c>
      <c r="B52" s="64">
        <v>7.89</v>
      </c>
      <c r="C52" s="64">
        <v>14.11</v>
      </c>
      <c r="D52" s="64">
        <v>13.7</v>
      </c>
      <c r="E52" s="64">
        <v>5.18</v>
      </c>
      <c r="F52" s="64">
        <v>4.6500000000000004</v>
      </c>
      <c r="G52" s="64">
        <v>42.73</v>
      </c>
      <c r="H52" s="64">
        <v>5.82</v>
      </c>
      <c r="I52" s="64">
        <v>1.48</v>
      </c>
      <c r="J52" s="64">
        <v>0.33</v>
      </c>
      <c r="K52" s="64">
        <v>317.33999999999997</v>
      </c>
      <c r="L52" s="64">
        <v>33.72</v>
      </c>
      <c r="M52" s="64">
        <v>62.48</v>
      </c>
      <c r="N52" s="64">
        <v>653.29999999999995</v>
      </c>
      <c r="O52" s="64">
        <v>0</v>
      </c>
      <c r="P52" s="64">
        <v>0.5</v>
      </c>
      <c r="Q52" s="64">
        <v>9.6300000000000008</v>
      </c>
      <c r="R52" s="198"/>
      <c r="S52" s="198"/>
      <c r="T52" s="198"/>
      <c r="U52" s="198"/>
    </row>
    <row r="53" spans="1:21" s="12" customFormat="1" x14ac:dyDescent="0.25">
      <c r="A53" s="212" t="s">
        <v>1347</v>
      </c>
      <c r="B53" s="64">
        <v>6.64</v>
      </c>
      <c r="C53" s="64">
        <v>15.82</v>
      </c>
      <c r="D53" s="64">
        <v>13.59</v>
      </c>
      <c r="E53" s="64">
        <v>4.66</v>
      </c>
      <c r="F53" s="64">
        <v>4.91</v>
      </c>
      <c r="G53" s="64">
        <v>42.73</v>
      </c>
      <c r="H53" s="64">
        <v>5.82</v>
      </c>
      <c r="I53" s="64">
        <v>1.42</v>
      </c>
      <c r="J53" s="64">
        <v>0.43</v>
      </c>
      <c r="K53" s="64">
        <v>316.92</v>
      </c>
      <c r="L53" s="64">
        <v>32.979999999999997</v>
      </c>
      <c r="M53" s="64">
        <v>65.58</v>
      </c>
      <c r="N53" s="64">
        <v>384.1</v>
      </c>
      <c r="O53" s="64">
        <v>0</v>
      </c>
      <c r="P53" s="64">
        <v>0.48</v>
      </c>
      <c r="Q53" s="64">
        <v>9.61</v>
      </c>
      <c r="R53" s="198"/>
      <c r="S53" s="198"/>
      <c r="T53" s="198"/>
      <c r="U53" s="198"/>
    </row>
    <row r="54" spans="1:21" s="12" customFormat="1" x14ac:dyDescent="0.25">
      <c r="A54" s="212" t="s">
        <v>1348</v>
      </c>
      <c r="B54" s="64">
        <v>7.06</v>
      </c>
      <c r="C54" s="64">
        <v>16.13</v>
      </c>
      <c r="D54" s="64">
        <v>14.08</v>
      </c>
      <c r="E54" s="64">
        <v>4.68</v>
      </c>
      <c r="F54" s="64">
        <v>7.04</v>
      </c>
      <c r="G54" s="64">
        <v>42.73</v>
      </c>
      <c r="H54" s="64">
        <v>5.82</v>
      </c>
      <c r="I54" s="64">
        <v>1.28</v>
      </c>
      <c r="J54" s="64">
        <v>0.22</v>
      </c>
      <c r="K54" s="64">
        <v>294.18</v>
      </c>
      <c r="L54" s="64">
        <v>32.44</v>
      </c>
      <c r="M54" s="64">
        <v>67.37</v>
      </c>
      <c r="N54" s="64">
        <v>305.10000000000002</v>
      </c>
      <c r="O54" s="64">
        <v>0</v>
      </c>
      <c r="P54" s="64">
        <v>0.49</v>
      </c>
      <c r="Q54" s="64">
        <v>9.58</v>
      </c>
      <c r="R54" s="198"/>
      <c r="S54" s="198"/>
      <c r="T54" s="198"/>
      <c r="U54" s="198"/>
    </row>
    <row r="55" spans="1:21" s="12" customFormat="1" x14ac:dyDescent="0.25">
      <c r="A55" s="212" t="s">
        <v>1349</v>
      </c>
      <c r="B55" s="64">
        <v>8.6300000000000008</v>
      </c>
      <c r="C55" s="64">
        <v>16.309999999999999</v>
      </c>
      <c r="D55" s="64">
        <v>15.44</v>
      </c>
      <c r="E55" s="64">
        <v>4.78</v>
      </c>
      <c r="F55" s="64">
        <v>10.73</v>
      </c>
      <c r="G55" s="64">
        <v>29.74</v>
      </c>
      <c r="H55" s="64">
        <v>5.9</v>
      </c>
      <c r="I55" s="64">
        <v>1.22</v>
      </c>
      <c r="J55" s="64">
        <v>0.43</v>
      </c>
      <c r="K55" s="64">
        <v>323.08999999999997</v>
      </c>
      <c r="L55" s="64">
        <v>31.83</v>
      </c>
      <c r="M55" s="64">
        <v>68.75</v>
      </c>
      <c r="N55" s="64">
        <v>201.1</v>
      </c>
      <c r="O55" s="64">
        <v>0</v>
      </c>
      <c r="P55" s="64">
        <v>0.48</v>
      </c>
      <c r="Q55" s="64">
        <v>9.58</v>
      </c>
      <c r="R55" s="198"/>
      <c r="S55" s="198"/>
      <c r="T55" s="198"/>
      <c r="U55" s="198"/>
    </row>
    <row r="56" spans="1:21" s="12" customFormat="1" x14ac:dyDescent="0.25">
      <c r="A56" s="212" t="s">
        <v>1350</v>
      </c>
      <c r="B56" s="64">
        <v>7.08</v>
      </c>
      <c r="C56" s="64">
        <v>15.27</v>
      </c>
      <c r="D56" s="64">
        <v>13.65</v>
      </c>
      <c r="E56" s="64">
        <v>4.8</v>
      </c>
      <c r="F56" s="64">
        <v>7.88</v>
      </c>
      <c r="G56" s="64">
        <v>28.64</v>
      </c>
      <c r="H56" s="64">
        <v>5.9</v>
      </c>
      <c r="I56" s="64">
        <v>1.18</v>
      </c>
      <c r="J56" s="64">
        <v>0.22</v>
      </c>
      <c r="K56" s="64">
        <v>304.04000000000002</v>
      </c>
      <c r="L56" s="64">
        <v>31.11</v>
      </c>
      <c r="M56" s="64">
        <v>74.56</v>
      </c>
      <c r="N56" s="64">
        <v>308.2</v>
      </c>
      <c r="O56" s="64">
        <v>0</v>
      </c>
      <c r="P56" s="64">
        <v>0.48</v>
      </c>
      <c r="Q56" s="64">
        <v>9.5500000000000007</v>
      </c>
      <c r="R56" s="198"/>
      <c r="S56" s="198"/>
      <c r="T56" s="198"/>
      <c r="U56" s="198"/>
    </row>
    <row r="57" spans="1:21" s="12" customFormat="1" x14ac:dyDescent="0.25">
      <c r="A57" s="212" t="s">
        <v>1351</v>
      </c>
      <c r="B57" s="64">
        <v>6.95</v>
      </c>
      <c r="C57" s="64">
        <v>14.58</v>
      </c>
      <c r="D57" s="64">
        <v>13.19</v>
      </c>
      <c r="E57" s="64">
        <v>4.83</v>
      </c>
      <c r="F57" s="64">
        <v>3.97</v>
      </c>
      <c r="G57" s="64">
        <v>28.64</v>
      </c>
      <c r="H57" s="64">
        <v>5.9</v>
      </c>
      <c r="I57" s="64">
        <v>1.17</v>
      </c>
      <c r="J57" s="64">
        <v>0.25</v>
      </c>
      <c r="K57" s="64">
        <v>308.69</v>
      </c>
      <c r="L57" s="64">
        <v>30.23</v>
      </c>
      <c r="M57" s="64">
        <v>78.44</v>
      </c>
      <c r="N57" s="64">
        <v>203.2</v>
      </c>
      <c r="O57" s="64">
        <v>0</v>
      </c>
      <c r="P57" s="64">
        <v>0.46</v>
      </c>
      <c r="Q57" s="64">
        <v>9.5500000000000007</v>
      </c>
      <c r="R57" s="198"/>
      <c r="S57" s="198"/>
      <c r="T57" s="198"/>
      <c r="U57" s="198"/>
    </row>
    <row r="58" spans="1:21" s="12" customFormat="1" x14ac:dyDescent="0.25">
      <c r="A58" s="212" t="s">
        <v>1352</v>
      </c>
      <c r="B58" s="64">
        <v>6.35</v>
      </c>
      <c r="C58" s="64">
        <v>14.91</v>
      </c>
      <c r="D58" s="64">
        <v>12.88</v>
      </c>
      <c r="E58" s="64">
        <v>4.78</v>
      </c>
      <c r="F58" s="64">
        <v>11.65</v>
      </c>
      <c r="G58" s="64">
        <v>28.64</v>
      </c>
      <c r="H58" s="64">
        <v>5.9</v>
      </c>
      <c r="I58" s="64">
        <v>1.1599999999999999</v>
      </c>
      <c r="J58" s="64">
        <v>0.25</v>
      </c>
      <c r="K58" s="64">
        <v>318.95999999999998</v>
      </c>
      <c r="L58" s="64">
        <v>30.57</v>
      </c>
      <c r="M58" s="64">
        <v>76.3</v>
      </c>
      <c r="N58" s="64">
        <v>284.39999999999998</v>
      </c>
      <c r="O58" s="64">
        <v>0</v>
      </c>
      <c r="P58" s="64">
        <v>0.45</v>
      </c>
      <c r="Q58" s="64">
        <v>9.58</v>
      </c>
      <c r="R58" s="198"/>
      <c r="S58" s="198"/>
      <c r="T58" s="198"/>
      <c r="U58" s="198"/>
    </row>
    <row r="59" spans="1:21" s="12" customFormat="1" x14ac:dyDescent="0.25">
      <c r="A59" s="212" t="s">
        <v>1353</v>
      </c>
      <c r="B59" s="64">
        <v>9.24</v>
      </c>
      <c r="C59" s="64">
        <v>14.99</v>
      </c>
      <c r="D59" s="64">
        <v>15.24</v>
      </c>
      <c r="E59" s="64">
        <v>4.9800000000000004</v>
      </c>
      <c r="F59" s="64">
        <v>13.42</v>
      </c>
      <c r="G59" s="64">
        <v>47.93</v>
      </c>
      <c r="H59" s="64">
        <v>17.05</v>
      </c>
      <c r="I59" s="64">
        <v>1.1000000000000001</v>
      </c>
      <c r="J59" s="64">
        <v>0.24</v>
      </c>
      <c r="K59" s="64">
        <v>319.95999999999998</v>
      </c>
      <c r="L59" s="64">
        <v>30.77</v>
      </c>
      <c r="M59" s="64">
        <v>73.959999999999994</v>
      </c>
      <c r="N59" s="64">
        <v>236.8</v>
      </c>
      <c r="O59" s="64">
        <v>0</v>
      </c>
      <c r="P59" s="64">
        <v>0.5</v>
      </c>
      <c r="Q59" s="64">
        <v>9.57</v>
      </c>
      <c r="R59" s="198"/>
      <c r="S59" s="198"/>
      <c r="T59" s="198"/>
      <c r="U59" s="198"/>
    </row>
    <row r="60" spans="1:21" s="12" customFormat="1" x14ac:dyDescent="0.25">
      <c r="A60" s="212" t="s">
        <v>1354</v>
      </c>
      <c r="B60" s="64">
        <v>9.64</v>
      </c>
      <c r="C60" s="64">
        <v>16.05</v>
      </c>
      <c r="D60" s="64">
        <v>16.12</v>
      </c>
      <c r="E60" s="64">
        <v>4.7300000000000004</v>
      </c>
      <c r="F60" s="64">
        <v>10.82</v>
      </c>
      <c r="G60" s="64">
        <v>49.31</v>
      </c>
      <c r="H60" s="64">
        <v>17.989999999999998</v>
      </c>
      <c r="I60" s="64">
        <v>1.04</v>
      </c>
      <c r="J60" s="64">
        <v>0.53</v>
      </c>
      <c r="K60" s="64">
        <v>335.25</v>
      </c>
      <c r="L60" s="64">
        <v>31.17</v>
      </c>
      <c r="M60" s="64">
        <v>73.37</v>
      </c>
      <c r="N60" s="64">
        <v>226.5</v>
      </c>
      <c r="O60" s="64">
        <v>0</v>
      </c>
      <c r="P60" s="64">
        <v>0.45</v>
      </c>
      <c r="Q60" s="64">
        <v>9.56</v>
      </c>
      <c r="R60" s="198"/>
      <c r="S60" s="198"/>
      <c r="T60" s="198"/>
      <c r="U60" s="198"/>
    </row>
    <row r="61" spans="1:21" s="12" customFormat="1" x14ac:dyDescent="0.25">
      <c r="A61" s="212" t="s">
        <v>1355</v>
      </c>
      <c r="B61" s="64">
        <v>12.9</v>
      </c>
      <c r="C61" s="64">
        <v>18.5</v>
      </c>
      <c r="D61" s="64">
        <v>20.010000000000002</v>
      </c>
      <c r="E61" s="64">
        <v>4.9800000000000004</v>
      </c>
      <c r="F61" s="64">
        <v>11.25</v>
      </c>
      <c r="G61" s="64">
        <v>49.31</v>
      </c>
      <c r="H61" s="64">
        <v>17.989999999999998</v>
      </c>
      <c r="I61" s="64">
        <v>1.03</v>
      </c>
      <c r="J61" s="64">
        <v>0.54</v>
      </c>
      <c r="K61" s="64">
        <v>332.49</v>
      </c>
      <c r="L61" s="64">
        <v>30.81</v>
      </c>
      <c r="M61" s="64">
        <v>78.17</v>
      </c>
      <c r="N61" s="64">
        <v>184.1</v>
      </c>
      <c r="O61" s="64">
        <v>0</v>
      </c>
      <c r="P61" s="64">
        <v>0.52</v>
      </c>
      <c r="Q61" s="64">
        <v>9.56</v>
      </c>
      <c r="R61" s="198"/>
      <c r="S61" s="198"/>
      <c r="T61" s="198"/>
      <c r="U61" s="198"/>
    </row>
    <row r="62" spans="1:21" s="12" customFormat="1" x14ac:dyDescent="0.25">
      <c r="A62" s="212" t="s">
        <v>1356</v>
      </c>
      <c r="B62" s="64">
        <v>18.21</v>
      </c>
      <c r="C62" s="64">
        <v>21.05</v>
      </c>
      <c r="D62" s="64">
        <v>25.6</v>
      </c>
      <c r="E62" s="64">
        <v>5.16</v>
      </c>
      <c r="F62" s="64">
        <v>13.52</v>
      </c>
      <c r="G62" s="64">
        <v>49.31</v>
      </c>
      <c r="H62" s="64">
        <v>17.989999999999998</v>
      </c>
      <c r="I62" s="64">
        <v>1.06</v>
      </c>
      <c r="J62" s="64">
        <v>0.35</v>
      </c>
      <c r="K62" s="64">
        <v>342.53</v>
      </c>
      <c r="L62" s="64">
        <v>30.32</v>
      </c>
      <c r="M62" s="64">
        <v>84.57</v>
      </c>
      <c r="N62" s="64">
        <v>202.8</v>
      </c>
      <c r="O62" s="64">
        <v>0</v>
      </c>
      <c r="P62" s="64">
        <v>0.76</v>
      </c>
      <c r="Q62" s="64">
        <v>9.56</v>
      </c>
      <c r="R62" s="198"/>
      <c r="S62" s="198"/>
      <c r="T62" s="198"/>
      <c r="U62" s="198"/>
    </row>
    <row r="63" spans="1:21" s="12" customFormat="1" x14ac:dyDescent="0.25">
      <c r="A63" s="212" t="s">
        <v>1357</v>
      </c>
      <c r="B63" s="64">
        <v>7.78</v>
      </c>
      <c r="C63" s="64">
        <v>17.739999999999998</v>
      </c>
      <c r="D63" s="64">
        <v>15.51</v>
      </c>
      <c r="E63" s="64">
        <v>5.21</v>
      </c>
      <c r="F63" s="64">
        <v>12.57</v>
      </c>
      <c r="G63" s="64">
        <v>49.46</v>
      </c>
      <c r="H63" s="64">
        <v>18.59</v>
      </c>
      <c r="I63" s="64">
        <v>1.1399999999999999</v>
      </c>
      <c r="J63" s="64">
        <v>0.04</v>
      </c>
      <c r="K63" s="64">
        <v>69.650000000000006</v>
      </c>
      <c r="L63" s="64">
        <v>30.43</v>
      </c>
      <c r="M63" s="64">
        <v>79.790000000000006</v>
      </c>
      <c r="N63" s="64">
        <v>268.7</v>
      </c>
      <c r="O63" s="64">
        <v>0</v>
      </c>
      <c r="P63" s="64">
        <v>0.48</v>
      </c>
      <c r="Q63" s="64">
        <v>9.5399999999999991</v>
      </c>
      <c r="R63" s="198"/>
      <c r="S63" s="198"/>
      <c r="T63" s="198"/>
      <c r="U63" s="198"/>
    </row>
    <row r="64" spans="1:21" s="12" customFormat="1" x14ac:dyDescent="0.25">
      <c r="A64" s="212" t="s">
        <v>1358</v>
      </c>
      <c r="B64" s="64">
        <v>8.6</v>
      </c>
      <c r="C64" s="64">
        <v>15.69</v>
      </c>
      <c r="D64" s="64">
        <v>15.09</v>
      </c>
      <c r="E64" s="64">
        <v>5.01</v>
      </c>
      <c r="F64" s="64">
        <v>10.1</v>
      </c>
      <c r="G64" s="64">
        <v>49.47</v>
      </c>
      <c r="H64" s="64">
        <v>18.64</v>
      </c>
      <c r="I64" s="64">
        <v>1.17</v>
      </c>
      <c r="J64" s="64">
        <v>0.35</v>
      </c>
      <c r="K64" s="64">
        <v>320.12</v>
      </c>
      <c r="L64" s="64">
        <v>31.79</v>
      </c>
      <c r="M64" s="64">
        <v>69.88</v>
      </c>
      <c r="N64" s="64">
        <v>315.89999999999998</v>
      </c>
      <c r="O64" s="64">
        <v>0</v>
      </c>
      <c r="P64" s="64">
        <v>0.41</v>
      </c>
      <c r="Q64" s="64">
        <v>9.5500000000000007</v>
      </c>
      <c r="R64" s="198"/>
      <c r="S64" s="198"/>
      <c r="T64" s="198"/>
      <c r="U64" s="198"/>
    </row>
    <row r="65" spans="1:21" s="12" customFormat="1" x14ac:dyDescent="0.25">
      <c r="A65" s="212" t="s">
        <v>1359</v>
      </c>
      <c r="B65" s="64">
        <v>7.78</v>
      </c>
      <c r="C65" s="64">
        <v>15.66</v>
      </c>
      <c r="D65" s="64">
        <v>14.42</v>
      </c>
      <c r="E65" s="64">
        <v>4.7699999999999996</v>
      </c>
      <c r="F65" s="64">
        <v>6.8</v>
      </c>
      <c r="G65" s="64">
        <v>49.47</v>
      </c>
      <c r="H65" s="64">
        <v>18.64</v>
      </c>
      <c r="I65" s="64">
        <v>1.26</v>
      </c>
      <c r="J65" s="64">
        <v>0.81</v>
      </c>
      <c r="K65" s="64">
        <v>326.45999999999998</v>
      </c>
      <c r="L65" s="64">
        <v>32.57</v>
      </c>
      <c r="M65" s="64">
        <v>67.319999999999993</v>
      </c>
      <c r="N65" s="64">
        <v>293.10000000000002</v>
      </c>
      <c r="O65" s="64">
        <v>0.2</v>
      </c>
      <c r="P65" s="64">
        <v>0.39</v>
      </c>
      <c r="Q65" s="64">
        <v>9.56</v>
      </c>
      <c r="R65" s="198"/>
      <c r="S65" s="198"/>
      <c r="T65" s="198"/>
      <c r="U65" s="198"/>
    </row>
    <row r="66" spans="1:21" s="12" customFormat="1" x14ac:dyDescent="0.25">
      <c r="A66" s="212" t="s">
        <v>1360</v>
      </c>
      <c r="B66" s="64">
        <v>9.5</v>
      </c>
      <c r="C66" s="64">
        <v>13.37</v>
      </c>
      <c r="D66" s="64">
        <v>14.61</v>
      </c>
      <c r="E66" s="64">
        <v>4.78</v>
      </c>
      <c r="F66" s="64">
        <v>8.7799999999999994</v>
      </c>
      <c r="G66" s="64">
        <v>49.47</v>
      </c>
      <c r="H66" s="64">
        <v>18.64</v>
      </c>
      <c r="I66" s="64">
        <v>1.22</v>
      </c>
      <c r="J66" s="64">
        <v>0.68</v>
      </c>
      <c r="K66" s="64">
        <v>329.85</v>
      </c>
      <c r="L66" s="64">
        <v>32.81</v>
      </c>
      <c r="M66" s="64">
        <v>65.569999999999993</v>
      </c>
      <c r="N66" s="64">
        <v>227.1</v>
      </c>
      <c r="O66" s="64">
        <v>0</v>
      </c>
      <c r="P66" s="64">
        <v>0.38</v>
      </c>
      <c r="Q66" s="64">
        <v>9.57</v>
      </c>
      <c r="R66" s="198"/>
      <c r="S66" s="198"/>
      <c r="T66" s="198"/>
      <c r="U66" s="198"/>
    </row>
    <row r="67" spans="1:21" s="12" customFormat="1" x14ac:dyDescent="0.25">
      <c r="A67" s="212" t="s">
        <v>1361</v>
      </c>
      <c r="B67" s="64">
        <v>10.71</v>
      </c>
      <c r="C67" s="64">
        <v>13.48</v>
      </c>
      <c r="D67" s="64">
        <v>15.63</v>
      </c>
      <c r="E67" s="64">
        <v>4.8899999999999997</v>
      </c>
      <c r="F67" s="64">
        <v>10.46</v>
      </c>
      <c r="G67" s="64">
        <v>41.69</v>
      </c>
      <c r="H67" s="64">
        <v>14.26</v>
      </c>
      <c r="I67" s="64">
        <v>1.1599999999999999</v>
      </c>
      <c r="J67" s="64">
        <v>0.59</v>
      </c>
      <c r="K67" s="64">
        <v>331.49</v>
      </c>
      <c r="L67" s="64">
        <v>32.590000000000003</v>
      </c>
      <c r="M67" s="64">
        <v>64.87</v>
      </c>
      <c r="N67" s="64">
        <v>232</v>
      </c>
      <c r="O67" s="64">
        <v>0</v>
      </c>
      <c r="P67" s="64">
        <v>0.38</v>
      </c>
      <c r="Q67" s="64">
        <v>9.56</v>
      </c>
      <c r="R67" s="198"/>
      <c r="S67" s="198"/>
      <c r="T67" s="198"/>
      <c r="U67" s="198"/>
    </row>
    <row r="68" spans="1:21" s="12" customFormat="1" x14ac:dyDescent="0.25">
      <c r="A68" s="212" t="s">
        <v>1362</v>
      </c>
      <c r="B68" s="64">
        <v>9.4700000000000006</v>
      </c>
      <c r="C68" s="64">
        <v>11.44</v>
      </c>
      <c r="D68" s="64">
        <v>13.56</v>
      </c>
      <c r="E68" s="64">
        <v>4.84</v>
      </c>
      <c r="F68" s="64">
        <v>10.9</v>
      </c>
      <c r="G68" s="64">
        <v>41.04</v>
      </c>
      <c r="H68" s="64">
        <v>13.89</v>
      </c>
      <c r="I68" s="64">
        <v>1.1299999999999999</v>
      </c>
      <c r="J68" s="64">
        <v>1.02</v>
      </c>
      <c r="K68" s="64">
        <v>330.38</v>
      </c>
      <c r="L68" s="64">
        <v>32.619999999999997</v>
      </c>
      <c r="M68" s="64">
        <v>65.760000000000005</v>
      </c>
      <c r="N68" s="64">
        <v>235</v>
      </c>
      <c r="O68" s="64">
        <v>0</v>
      </c>
      <c r="P68" s="64">
        <v>0.39</v>
      </c>
      <c r="Q68" s="64">
        <v>9.6</v>
      </c>
      <c r="R68" s="198"/>
      <c r="S68" s="198"/>
      <c r="T68" s="198"/>
      <c r="U68" s="198"/>
    </row>
    <row r="69" spans="1:21" s="12" customFormat="1" x14ac:dyDescent="0.25">
      <c r="A69" s="212" t="s">
        <v>1363</v>
      </c>
      <c r="B69" s="64">
        <v>10.27</v>
      </c>
      <c r="C69" s="64">
        <v>11.88</v>
      </c>
      <c r="D69" s="64">
        <v>14.44</v>
      </c>
      <c r="E69" s="64">
        <v>4.7</v>
      </c>
      <c r="F69" s="64">
        <v>12.96</v>
      </c>
      <c r="G69" s="64">
        <v>41.04</v>
      </c>
      <c r="H69" s="64">
        <v>13.89</v>
      </c>
      <c r="I69" s="64">
        <v>1.1000000000000001</v>
      </c>
      <c r="J69" s="64">
        <v>0.7</v>
      </c>
      <c r="K69" s="64">
        <v>329.71</v>
      </c>
      <c r="L69" s="64">
        <v>32.69</v>
      </c>
      <c r="M69" s="64">
        <v>65.31</v>
      </c>
      <c r="N69" s="64">
        <v>216.3</v>
      </c>
      <c r="O69" s="64">
        <v>0</v>
      </c>
      <c r="P69" s="64">
        <v>0.34</v>
      </c>
      <c r="Q69" s="64">
        <v>9.61</v>
      </c>
      <c r="R69" s="198"/>
      <c r="S69" s="198"/>
      <c r="T69" s="198"/>
      <c r="U69" s="198"/>
    </row>
    <row r="70" spans="1:21" s="12" customFormat="1" x14ac:dyDescent="0.25">
      <c r="A70" s="212" t="s">
        <v>1364</v>
      </c>
      <c r="B70" s="64">
        <v>9.1</v>
      </c>
      <c r="C70" s="64">
        <v>11.05</v>
      </c>
      <c r="D70" s="64">
        <v>13.07</v>
      </c>
      <c r="E70" s="64">
        <v>4.79</v>
      </c>
      <c r="F70" s="64">
        <v>11.6</v>
      </c>
      <c r="G70" s="64">
        <v>41.04</v>
      </c>
      <c r="H70" s="64">
        <v>13.89</v>
      </c>
      <c r="I70" s="64">
        <v>1.0900000000000001</v>
      </c>
      <c r="J70" s="64">
        <v>0.88</v>
      </c>
      <c r="K70" s="64">
        <v>331.06</v>
      </c>
      <c r="L70" s="64">
        <v>32.51</v>
      </c>
      <c r="M70" s="64">
        <v>66.55</v>
      </c>
      <c r="N70" s="64">
        <v>241.8</v>
      </c>
      <c r="O70" s="64">
        <v>0</v>
      </c>
      <c r="P70" s="64">
        <v>0.37</v>
      </c>
      <c r="Q70" s="64">
        <v>9.59</v>
      </c>
      <c r="R70" s="198"/>
      <c r="S70" s="198"/>
      <c r="T70" s="198"/>
      <c r="U70" s="198"/>
    </row>
    <row r="71" spans="1:21" s="12" customFormat="1" x14ac:dyDescent="0.25">
      <c r="A71" s="212" t="s">
        <v>1365</v>
      </c>
      <c r="B71" s="64">
        <v>8.4499999999999993</v>
      </c>
      <c r="C71" s="64">
        <v>10.31</v>
      </c>
      <c r="D71" s="64">
        <v>12.16</v>
      </c>
      <c r="E71" s="64">
        <v>4.8899999999999997</v>
      </c>
      <c r="F71" s="64">
        <v>10.26</v>
      </c>
      <c r="G71" s="64">
        <v>42.85</v>
      </c>
      <c r="H71" s="64">
        <v>13.26</v>
      </c>
      <c r="I71" s="64">
        <v>1.07</v>
      </c>
      <c r="J71" s="64">
        <v>1</v>
      </c>
      <c r="K71" s="64">
        <v>333.01</v>
      </c>
      <c r="L71" s="64">
        <v>32.49</v>
      </c>
      <c r="M71" s="64">
        <v>65.37</v>
      </c>
      <c r="N71" s="64">
        <v>189</v>
      </c>
      <c r="O71" s="64">
        <v>0</v>
      </c>
      <c r="P71" s="64">
        <v>0.37</v>
      </c>
      <c r="Q71" s="64">
        <v>9.58</v>
      </c>
      <c r="R71" s="198"/>
      <c r="S71" s="198"/>
      <c r="T71" s="198"/>
      <c r="U71" s="198"/>
    </row>
    <row r="72" spans="1:21" s="12" customFormat="1" x14ac:dyDescent="0.25">
      <c r="A72" s="212" t="s">
        <v>1366</v>
      </c>
      <c r="B72" s="64">
        <v>9.61</v>
      </c>
      <c r="C72" s="64">
        <v>10.3</v>
      </c>
      <c r="D72" s="64">
        <v>13.09</v>
      </c>
      <c r="E72" s="64">
        <v>4.32</v>
      </c>
      <c r="F72" s="64">
        <v>6.57</v>
      </c>
      <c r="G72" s="64">
        <v>43.01</v>
      </c>
      <c r="H72" s="64">
        <v>13.21</v>
      </c>
      <c r="I72" s="64">
        <v>1.05</v>
      </c>
      <c r="J72" s="64">
        <v>1.54</v>
      </c>
      <c r="K72" s="64">
        <v>336.18</v>
      </c>
      <c r="L72" s="64">
        <v>31.72</v>
      </c>
      <c r="M72" s="64">
        <v>72.33</v>
      </c>
      <c r="N72" s="64">
        <v>140.4</v>
      </c>
      <c r="O72" s="64">
        <v>0</v>
      </c>
      <c r="P72" s="64">
        <v>0.38</v>
      </c>
      <c r="Q72" s="64">
        <v>9.56</v>
      </c>
      <c r="R72" s="198"/>
      <c r="S72" s="198"/>
      <c r="T72" s="198"/>
      <c r="U72" s="198"/>
    </row>
    <row r="73" spans="1:21" s="12" customFormat="1" x14ac:dyDescent="0.25">
      <c r="A73" s="212" t="s">
        <v>1367</v>
      </c>
      <c r="B73" s="64">
        <v>9.67</v>
      </c>
      <c r="C73" s="64">
        <v>9.14</v>
      </c>
      <c r="D73" s="64">
        <v>12.53</v>
      </c>
      <c r="E73" s="64">
        <v>4.24</v>
      </c>
      <c r="F73" s="64">
        <v>8.99</v>
      </c>
      <c r="G73" s="64">
        <v>43.01</v>
      </c>
      <c r="H73" s="64">
        <v>13.21</v>
      </c>
      <c r="I73" s="64">
        <v>1.05</v>
      </c>
      <c r="J73" s="64">
        <v>1.33</v>
      </c>
      <c r="K73" s="64">
        <v>329.92</v>
      </c>
      <c r="L73" s="64">
        <v>31.02</v>
      </c>
      <c r="M73" s="64">
        <v>74.930000000000007</v>
      </c>
      <c r="N73" s="64">
        <v>151.30000000000001</v>
      </c>
      <c r="O73" s="64">
        <v>0</v>
      </c>
      <c r="P73" s="64">
        <v>0.37</v>
      </c>
      <c r="Q73" s="64">
        <v>9.59</v>
      </c>
      <c r="R73" s="198"/>
      <c r="S73" s="198"/>
      <c r="T73" s="198"/>
      <c r="U73" s="198"/>
    </row>
    <row r="74" spans="1:21" s="12" customFormat="1" x14ac:dyDescent="0.25">
      <c r="A74" s="212" t="s">
        <v>1368</v>
      </c>
      <c r="B74" s="64">
        <v>9.89</v>
      </c>
      <c r="C74" s="64">
        <v>9.3000000000000007</v>
      </c>
      <c r="D74" s="64">
        <v>12.79</v>
      </c>
      <c r="E74" s="64">
        <v>4.2699999999999996</v>
      </c>
      <c r="F74" s="64">
        <v>10.52</v>
      </c>
      <c r="G74" s="64">
        <v>43.01</v>
      </c>
      <c r="H74" s="64">
        <v>13.21</v>
      </c>
      <c r="I74" s="64">
        <v>1.04</v>
      </c>
      <c r="J74" s="64">
        <v>1.26</v>
      </c>
      <c r="K74" s="64">
        <v>332.47</v>
      </c>
      <c r="L74" s="64">
        <v>30.99</v>
      </c>
      <c r="M74" s="64">
        <v>72.38</v>
      </c>
      <c r="N74" s="64">
        <v>135.1</v>
      </c>
      <c r="O74" s="64">
        <v>0</v>
      </c>
      <c r="P74" s="64">
        <v>0.38</v>
      </c>
      <c r="Q74" s="64">
        <v>9.61</v>
      </c>
      <c r="R74" s="198"/>
      <c r="S74" s="198"/>
      <c r="T74" s="198"/>
      <c r="U74" s="198"/>
    </row>
    <row r="75" spans="1:21" s="12" customFormat="1" x14ac:dyDescent="0.25">
      <c r="A75" s="212" t="s">
        <v>1369</v>
      </c>
      <c r="B75" s="64">
        <v>9.7899999999999991</v>
      </c>
      <c r="C75" s="64">
        <v>9.7100000000000009</v>
      </c>
      <c r="D75" s="64">
        <v>12.92</v>
      </c>
      <c r="E75" s="64">
        <v>4.1900000000000004</v>
      </c>
      <c r="F75" s="64">
        <v>8.5500000000000007</v>
      </c>
      <c r="G75" s="64">
        <v>39.229999999999997</v>
      </c>
      <c r="H75" s="64">
        <v>9.98</v>
      </c>
      <c r="I75" s="64">
        <v>1.01</v>
      </c>
      <c r="J75" s="64">
        <v>1.35</v>
      </c>
      <c r="K75" s="64">
        <v>334.28</v>
      </c>
      <c r="L75" s="64">
        <v>30.7</v>
      </c>
      <c r="M75" s="64">
        <v>72.38</v>
      </c>
      <c r="N75" s="64">
        <v>129.19999999999999</v>
      </c>
      <c r="O75" s="64">
        <v>0</v>
      </c>
      <c r="P75" s="64">
        <v>0.39</v>
      </c>
      <c r="Q75" s="64">
        <v>9.61</v>
      </c>
      <c r="R75" s="198"/>
      <c r="S75" s="198"/>
      <c r="T75" s="198"/>
      <c r="U75" s="198"/>
    </row>
    <row r="76" spans="1:21" s="12" customFormat="1" x14ac:dyDescent="0.25">
      <c r="A76" s="212" t="s">
        <v>1370</v>
      </c>
      <c r="B76" s="64">
        <v>11.37</v>
      </c>
      <c r="C76" s="64">
        <v>8.99</v>
      </c>
      <c r="D76" s="64">
        <v>13.81</v>
      </c>
      <c r="E76" s="64">
        <v>4.16</v>
      </c>
      <c r="F76" s="64">
        <v>6.33</v>
      </c>
      <c r="G76" s="64">
        <v>38.909999999999997</v>
      </c>
      <c r="H76" s="64">
        <v>9.7100000000000009</v>
      </c>
      <c r="I76" s="64">
        <v>1</v>
      </c>
      <c r="J76" s="64">
        <v>1.24</v>
      </c>
      <c r="K76" s="64">
        <v>338.71</v>
      </c>
      <c r="L76" s="64">
        <v>30.82</v>
      </c>
      <c r="M76" s="64">
        <v>73.72</v>
      </c>
      <c r="N76" s="64">
        <v>136.6</v>
      </c>
      <c r="O76" s="64">
        <v>0</v>
      </c>
      <c r="P76" s="64">
        <v>0.45</v>
      </c>
      <c r="Q76" s="64">
        <v>9.57</v>
      </c>
      <c r="R76" s="198"/>
      <c r="S76" s="198"/>
      <c r="T76" s="198"/>
      <c r="U76" s="198"/>
    </row>
    <row r="77" spans="1:21" s="12" customFormat="1" x14ac:dyDescent="0.25">
      <c r="A77" s="212" t="s">
        <v>1371</v>
      </c>
      <c r="B77" s="64">
        <v>11.06</v>
      </c>
      <c r="C77" s="64">
        <v>8.4700000000000006</v>
      </c>
      <c r="D77" s="64">
        <v>13.28</v>
      </c>
      <c r="E77" s="64">
        <v>4.42</v>
      </c>
      <c r="F77" s="64">
        <v>9.52</v>
      </c>
      <c r="G77" s="64">
        <v>38.909999999999997</v>
      </c>
      <c r="H77" s="64">
        <v>9.7100000000000009</v>
      </c>
      <c r="I77" s="64">
        <v>1.01</v>
      </c>
      <c r="J77" s="64">
        <v>1.57</v>
      </c>
      <c r="K77" s="64">
        <v>335.03</v>
      </c>
      <c r="L77" s="64">
        <v>30.62</v>
      </c>
      <c r="M77" s="64">
        <v>74.400000000000006</v>
      </c>
      <c r="N77" s="64">
        <v>116.7</v>
      </c>
      <c r="O77" s="64">
        <v>0</v>
      </c>
      <c r="P77" s="64">
        <v>0.39</v>
      </c>
      <c r="Q77" s="64">
        <v>9.6</v>
      </c>
      <c r="R77" s="198"/>
      <c r="S77" s="198"/>
      <c r="T77" s="198"/>
      <c r="U77" s="198"/>
    </row>
    <row r="78" spans="1:21" s="12" customFormat="1" x14ac:dyDescent="0.25">
      <c r="A78" s="212" t="s">
        <v>1372</v>
      </c>
      <c r="B78" s="64">
        <v>11.17</v>
      </c>
      <c r="C78" s="64">
        <v>9.44</v>
      </c>
      <c r="D78" s="64">
        <v>13.89</v>
      </c>
      <c r="E78" s="64">
        <v>3.94</v>
      </c>
      <c r="F78" s="64">
        <v>10.62</v>
      </c>
      <c r="G78" s="64">
        <v>38.909999999999997</v>
      </c>
      <c r="H78" s="64">
        <v>9.7100000000000009</v>
      </c>
      <c r="I78" s="64">
        <v>1.02</v>
      </c>
      <c r="J78" s="64">
        <v>1.52</v>
      </c>
      <c r="K78" s="64">
        <v>337.19</v>
      </c>
      <c r="L78" s="64">
        <v>30.25</v>
      </c>
      <c r="M78" s="64">
        <v>76.22</v>
      </c>
      <c r="N78" s="64">
        <v>98.4</v>
      </c>
      <c r="O78" s="64">
        <v>0</v>
      </c>
      <c r="P78" s="64">
        <v>0.4</v>
      </c>
      <c r="Q78" s="64">
        <v>9.64</v>
      </c>
      <c r="R78" s="198"/>
      <c r="S78" s="198"/>
      <c r="T78" s="198"/>
      <c r="U78" s="198"/>
    </row>
    <row r="79" spans="1:21" s="12" customFormat="1" x14ac:dyDescent="0.25">
      <c r="A79" s="212" t="s">
        <v>1373</v>
      </c>
      <c r="B79" s="64">
        <v>12.73</v>
      </c>
      <c r="C79" s="64">
        <v>9.6300000000000008</v>
      </c>
      <c r="D79" s="64">
        <v>15.24</v>
      </c>
      <c r="E79" s="64">
        <v>4.53</v>
      </c>
      <c r="F79" s="64">
        <v>10.8</v>
      </c>
      <c r="G79" s="64">
        <v>36.99</v>
      </c>
      <c r="H79" s="64">
        <v>10.7</v>
      </c>
      <c r="I79" s="64">
        <v>1.03</v>
      </c>
      <c r="J79" s="64">
        <v>1.45</v>
      </c>
      <c r="K79" s="64">
        <v>335.39</v>
      </c>
      <c r="L79" s="64">
        <v>29.93</v>
      </c>
      <c r="M79" s="64">
        <v>79.14</v>
      </c>
      <c r="N79" s="64">
        <v>78.2</v>
      </c>
      <c r="O79" s="64">
        <v>0</v>
      </c>
      <c r="P79" s="64">
        <v>0.43</v>
      </c>
      <c r="Q79" s="64">
        <v>9.6199999999999992</v>
      </c>
      <c r="R79" s="198"/>
      <c r="S79" s="198"/>
      <c r="T79" s="198"/>
      <c r="U79" s="198"/>
    </row>
    <row r="80" spans="1:21" s="12" customFormat="1" x14ac:dyDescent="0.25">
      <c r="A80" s="212" t="s">
        <v>1374</v>
      </c>
      <c r="B80" s="64">
        <v>12.5</v>
      </c>
      <c r="C80" s="64">
        <v>9.65</v>
      </c>
      <c r="D80" s="64">
        <v>15.07</v>
      </c>
      <c r="E80" s="64">
        <v>4.26</v>
      </c>
      <c r="F80" s="64">
        <v>8.3000000000000007</v>
      </c>
      <c r="G80" s="64">
        <v>36.85</v>
      </c>
      <c r="H80" s="64">
        <v>10.77</v>
      </c>
      <c r="I80" s="64">
        <v>1.04</v>
      </c>
      <c r="J80" s="64">
        <v>1.5</v>
      </c>
      <c r="K80" s="64">
        <v>333.39</v>
      </c>
      <c r="L80" s="64">
        <v>29.5</v>
      </c>
      <c r="M80" s="64">
        <v>84.6</v>
      </c>
      <c r="N80" s="64">
        <v>62.4</v>
      </c>
      <c r="O80" s="64">
        <v>0</v>
      </c>
      <c r="P80" s="64">
        <v>0.43</v>
      </c>
      <c r="Q80" s="64">
        <v>9.6199999999999992</v>
      </c>
      <c r="R80" s="198"/>
      <c r="S80" s="198"/>
      <c r="T80" s="198"/>
      <c r="U80" s="198"/>
    </row>
    <row r="81" spans="1:26" s="12" customFormat="1" x14ac:dyDescent="0.25">
      <c r="A81" s="212" t="s">
        <v>1375</v>
      </c>
      <c r="B81" s="64">
        <v>11.41</v>
      </c>
      <c r="C81" s="64">
        <v>9.5500000000000007</v>
      </c>
      <c r="D81" s="64">
        <v>14.14</v>
      </c>
      <c r="E81" s="64">
        <v>4.3499999999999996</v>
      </c>
      <c r="F81" s="64">
        <v>9.2799999999999994</v>
      </c>
      <c r="G81" s="64">
        <v>36.85</v>
      </c>
      <c r="H81" s="64">
        <v>10.77</v>
      </c>
      <c r="I81" s="64">
        <v>1.05</v>
      </c>
      <c r="J81" s="64">
        <v>1.38</v>
      </c>
      <c r="K81" s="64">
        <v>335.65</v>
      </c>
      <c r="L81" s="64">
        <v>27.99</v>
      </c>
      <c r="M81" s="64">
        <v>97.04</v>
      </c>
      <c r="N81" s="64">
        <v>50.7</v>
      </c>
      <c r="O81" s="64">
        <v>0</v>
      </c>
      <c r="P81" s="64">
        <v>0.47</v>
      </c>
      <c r="Q81" s="64">
        <v>9.6199999999999992</v>
      </c>
      <c r="R81" s="198"/>
      <c r="S81" s="198"/>
      <c r="T81" s="198"/>
      <c r="U81" s="198"/>
    </row>
    <row r="82" spans="1:26" s="12" customFormat="1" x14ac:dyDescent="0.25">
      <c r="A82" s="212" t="s">
        <v>1376</v>
      </c>
      <c r="B82" s="64">
        <v>11.6</v>
      </c>
      <c r="C82" s="64">
        <v>8.41</v>
      </c>
      <c r="D82" s="64">
        <v>13.7</v>
      </c>
      <c r="E82" s="64">
        <v>4.1900000000000004</v>
      </c>
      <c r="F82" s="64">
        <v>4.66</v>
      </c>
      <c r="G82" s="64">
        <v>36.85</v>
      </c>
      <c r="H82" s="64">
        <v>10.77</v>
      </c>
      <c r="I82" s="64">
        <v>1.07</v>
      </c>
      <c r="J82" s="64">
        <v>1.18</v>
      </c>
      <c r="K82" s="64">
        <v>325.95</v>
      </c>
      <c r="L82" s="64">
        <v>26.75</v>
      </c>
      <c r="M82" s="64">
        <v>97.62</v>
      </c>
      <c r="N82" s="64">
        <v>48.2</v>
      </c>
      <c r="O82" s="64">
        <v>0</v>
      </c>
      <c r="P82" s="64">
        <v>0.43</v>
      </c>
      <c r="Q82" s="64">
        <v>9.6300000000000008</v>
      </c>
      <c r="R82" s="198"/>
      <c r="S82" s="198"/>
      <c r="T82" s="198"/>
      <c r="U82" s="198"/>
    </row>
    <row r="83" spans="1:26" s="12" customFormat="1" x14ac:dyDescent="0.25">
      <c r="A83" s="212" t="s">
        <v>1377</v>
      </c>
      <c r="B83" s="64">
        <v>10.81</v>
      </c>
      <c r="C83" s="64">
        <v>10.69</v>
      </c>
      <c r="D83" s="64">
        <v>14.25</v>
      </c>
      <c r="E83" s="64">
        <v>4.1100000000000003</v>
      </c>
      <c r="F83" s="64">
        <v>8.25</v>
      </c>
      <c r="G83" s="64">
        <v>40.36</v>
      </c>
      <c r="H83" s="64">
        <v>7.98</v>
      </c>
      <c r="I83" s="64">
        <v>1.1299999999999999</v>
      </c>
      <c r="J83" s="64">
        <v>0.43</v>
      </c>
      <c r="K83" s="64">
        <v>327.12</v>
      </c>
      <c r="L83" s="64">
        <v>25.91</v>
      </c>
      <c r="M83" s="64">
        <v>97.68</v>
      </c>
      <c r="N83" s="64">
        <v>44.9</v>
      </c>
      <c r="O83" s="64">
        <v>0</v>
      </c>
      <c r="P83" s="64">
        <v>0.51</v>
      </c>
      <c r="Q83" s="64">
        <v>9.6300000000000008</v>
      </c>
      <c r="R83" s="198"/>
      <c r="S83" s="198"/>
      <c r="T83" s="198"/>
      <c r="U83" s="198"/>
    </row>
    <row r="84" spans="1:26" s="12" customFormat="1" x14ac:dyDescent="0.25">
      <c r="A84" s="212" t="s">
        <v>1378</v>
      </c>
      <c r="B84" s="64">
        <v>10.58</v>
      </c>
      <c r="C84" s="64">
        <v>15.09</v>
      </c>
      <c r="D84" s="64">
        <v>16.37</v>
      </c>
      <c r="E84" s="64">
        <v>4.45</v>
      </c>
      <c r="F84" s="64">
        <v>6.94</v>
      </c>
      <c r="G84" s="64">
        <v>40.61</v>
      </c>
      <c r="H84" s="64">
        <v>7.75</v>
      </c>
      <c r="I84" s="64">
        <v>1.27</v>
      </c>
      <c r="J84" s="64">
        <v>0.02</v>
      </c>
      <c r="K84" s="64">
        <v>200.34</v>
      </c>
      <c r="L84" s="64">
        <v>25.76</v>
      </c>
      <c r="M84" s="64">
        <v>97.72</v>
      </c>
      <c r="N84" s="64">
        <v>44.9</v>
      </c>
      <c r="O84" s="64">
        <v>0</v>
      </c>
      <c r="P84" s="64">
        <v>0.56000000000000005</v>
      </c>
      <c r="Q84" s="64">
        <v>9.6199999999999992</v>
      </c>
      <c r="R84" s="198"/>
      <c r="S84" s="198"/>
      <c r="T84" s="198"/>
      <c r="U84" s="198"/>
    </row>
    <row r="85" spans="1:26" s="12" customFormat="1" x14ac:dyDescent="0.25">
      <c r="A85" s="212" t="s">
        <v>1379</v>
      </c>
      <c r="B85" s="64">
        <v>15.86</v>
      </c>
      <c r="C85" s="64">
        <v>14.67</v>
      </c>
      <c r="D85" s="64">
        <v>20.37</v>
      </c>
      <c r="E85" s="64">
        <v>4.47</v>
      </c>
      <c r="F85" s="64">
        <v>6.53</v>
      </c>
      <c r="G85" s="64">
        <v>40.61</v>
      </c>
      <c r="H85" s="64">
        <v>7.75</v>
      </c>
      <c r="I85" s="64">
        <v>1.24</v>
      </c>
      <c r="J85" s="64">
        <v>0.05</v>
      </c>
      <c r="K85" s="64">
        <v>325.36</v>
      </c>
      <c r="L85" s="64">
        <v>25.85</v>
      </c>
      <c r="M85" s="64">
        <v>97.72</v>
      </c>
      <c r="N85" s="64">
        <v>45</v>
      </c>
      <c r="O85" s="64">
        <v>0</v>
      </c>
      <c r="P85" s="64">
        <v>0.76</v>
      </c>
      <c r="Q85" s="64">
        <v>9.6199999999999992</v>
      </c>
      <c r="R85" s="198"/>
      <c r="S85" s="198"/>
      <c r="T85" s="198"/>
      <c r="U85" s="198"/>
    </row>
    <row r="86" spans="1:26" s="12" customFormat="1" x14ac:dyDescent="0.25">
      <c r="A86" s="212" t="s">
        <v>1380</v>
      </c>
      <c r="B86" s="64">
        <v>18.71</v>
      </c>
      <c r="C86" s="64">
        <v>12.99</v>
      </c>
      <c r="D86" s="64">
        <v>21.79</v>
      </c>
      <c r="E86" s="64">
        <v>4.4800000000000004</v>
      </c>
      <c r="F86" s="64">
        <v>5.82</v>
      </c>
      <c r="G86" s="64">
        <v>40.61</v>
      </c>
      <c r="H86" s="64">
        <v>7.75</v>
      </c>
      <c r="I86" s="64">
        <v>1.1499999999999999</v>
      </c>
      <c r="J86" s="64">
        <v>0.39</v>
      </c>
      <c r="K86" s="64">
        <v>345.06</v>
      </c>
      <c r="L86" s="64">
        <v>25.91</v>
      </c>
      <c r="M86" s="64">
        <v>97.71</v>
      </c>
      <c r="N86" s="64">
        <v>45.5</v>
      </c>
      <c r="O86" s="64">
        <v>0</v>
      </c>
      <c r="P86" s="64">
        <v>0.93</v>
      </c>
      <c r="Q86" s="64">
        <v>9.64</v>
      </c>
      <c r="R86" s="198"/>
      <c r="S86" s="198"/>
      <c r="T86" s="198"/>
      <c r="U86" s="198"/>
    </row>
    <row r="87" spans="1:26" s="12" customFormat="1" x14ac:dyDescent="0.25">
      <c r="A87" s="212" t="s">
        <v>1381</v>
      </c>
      <c r="B87" s="64">
        <v>15.45</v>
      </c>
      <c r="C87" s="64">
        <v>10.74</v>
      </c>
      <c r="D87" s="64">
        <v>18</v>
      </c>
      <c r="E87" s="64">
        <v>4.57</v>
      </c>
      <c r="F87" s="64">
        <v>6.22</v>
      </c>
      <c r="G87" s="64">
        <v>38.29</v>
      </c>
      <c r="H87" s="64">
        <v>8.6300000000000008</v>
      </c>
      <c r="I87" s="64">
        <v>1.17</v>
      </c>
      <c r="J87" s="64">
        <v>0.8</v>
      </c>
      <c r="K87" s="64">
        <v>337.84</v>
      </c>
      <c r="L87" s="64">
        <v>26.17</v>
      </c>
      <c r="M87" s="64">
        <v>97.68</v>
      </c>
      <c r="N87" s="64">
        <v>46.4</v>
      </c>
      <c r="O87" s="64">
        <v>0</v>
      </c>
      <c r="P87" s="64">
        <v>0.8</v>
      </c>
      <c r="Q87" s="64">
        <v>9.61</v>
      </c>
      <c r="R87" s="198"/>
      <c r="S87" s="198"/>
      <c r="T87" s="198"/>
      <c r="U87" s="198"/>
    </row>
    <row r="88" spans="1:26" s="12" customFormat="1" x14ac:dyDescent="0.25">
      <c r="A88" s="212" t="s">
        <v>1382</v>
      </c>
      <c r="B88" s="64">
        <v>17.739999999999998</v>
      </c>
      <c r="C88" s="64">
        <v>10.97</v>
      </c>
      <c r="D88" s="64">
        <v>19.96</v>
      </c>
      <c r="E88" s="64">
        <v>4.1900000000000004</v>
      </c>
      <c r="F88" s="64">
        <v>6.53</v>
      </c>
      <c r="G88" s="64">
        <v>38.090000000000003</v>
      </c>
      <c r="H88" s="64">
        <v>8.7100000000000009</v>
      </c>
      <c r="I88" s="64">
        <v>1.21</v>
      </c>
      <c r="J88" s="64">
        <v>0.75</v>
      </c>
      <c r="K88" s="64">
        <v>340.2</v>
      </c>
      <c r="L88" s="64">
        <v>26.51</v>
      </c>
      <c r="M88" s="64">
        <v>97.65</v>
      </c>
      <c r="N88" s="64">
        <v>46</v>
      </c>
      <c r="O88" s="64">
        <v>0</v>
      </c>
      <c r="P88" s="64">
        <v>0.73</v>
      </c>
      <c r="Q88" s="64">
        <v>9.6300000000000008</v>
      </c>
      <c r="R88" s="198"/>
      <c r="S88" s="198"/>
      <c r="T88" s="198"/>
      <c r="U88" s="198"/>
    </row>
    <row r="89" spans="1:26" s="12" customFormat="1" x14ac:dyDescent="0.25">
      <c r="A89" s="212" t="s">
        <v>1383</v>
      </c>
      <c r="B89" s="64">
        <v>14.83</v>
      </c>
      <c r="C89" s="64">
        <v>10.44</v>
      </c>
      <c r="D89" s="64">
        <v>17.350000000000001</v>
      </c>
      <c r="E89" s="64">
        <v>4.4800000000000004</v>
      </c>
      <c r="F89" s="64">
        <v>5.69</v>
      </c>
      <c r="G89" s="64">
        <v>38.090000000000003</v>
      </c>
      <c r="H89" s="64">
        <v>8.7100000000000009</v>
      </c>
      <c r="I89" s="64">
        <v>1.26</v>
      </c>
      <c r="J89" s="64">
        <v>0.65</v>
      </c>
      <c r="K89" s="64">
        <v>331.37</v>
      </c>
      <c r="L89" s="64">
        <v>26.56</v>
      </c>
      <c r="M89" s="64">
        <v>97.65</v>
      </c>
      <c r="N89" s="64">
        <v>44.9</v>
      </c>
      <c r="O89" s="64">
        <v>0</v>
      </c>
      <c r="P89" s="64">
        <v>0.7</v>
      </c>
      <c r="Q89" s="64">
        <v>9.6300000000000008</v>
      </c>
      <c r="R89" s="198"/>
      <c r="S89" s="198"/>
      <c r="T89" s="198"/>
      <c r="U89" s="198"/>
    </row>
    <row r="90" spans="1:26" s="12" customFormat="1" x14ac:dyDescent="0.25">
      <c r="A90" s="212" t="s">
        <v>1384</v>
      </c>
      <c r="B90" s="64">
        <v>15.03</v>
      </c>
      <c r="C90" s="64">
        <v>8.61</v>
      </c>
      <c r="D90" s="64">
        <v>16.55</v>
      </c>
      <c r="E90" s="64">
        <v>4.75</v>
      </c>
      <c r="F90" s="64">
        <v>5.42</v>
      </c>
      <c r="G90" s="64">
        <v>38.090000000000003</v>
      </c>
      <c r="H90" s="64">
        <v>8.7100000000000009</v>
      </c>
      <c r="I90" s="64">
        <v>1.31</v>
      </c>
      <c r="J90" s="64">
        <v>1.1200000000000001</v>
      </c>
      <c r="K90" s="64">
        <v>335.49</v>
      </c>
      <c r="L90" s="64">
        <v>26.65</v>
      </c>
      <c r="M90" s="64">
        <v>97.63</v>
      </c>
      <c r="N90" s="64">
        <v>44.5</v>
      </c>
      <c r="O90" s="64">
        <v>0</v>
      </c>
      <c r="P90" s="64">
        <v>0.65</v>
      </c>
      <c r="Q90" s="64">
        <v>9.65</v>
      </c>
      <c r="R90" s="198"/>
      <c r="S90" s="198"/>
      <c r="T90" s="198"/>
      <c r="U90" s="198"/>
    </row>
    <row r="91" spans="1:26" s="12" customFormat="1" x14ac:dyDescent="0.25">
      <c r="A91" s="212" t="s">
        <v>1385</v>
      </c>
      <c r="B91" s="64">
        <v>14.38</v>
      </c>
      <c r="C91" s="64">
        <v>13.8</v>
      </c>
      <c r="D91" s="64">
        <v>18.75</v>
      </c>
      <c r="E91" s="64">
        <v>4.53</v>
      </c>
      <c r="F91" s="64">
        <v>3.66</v>
      </c>
      <c r="G91" s="64">
        <v>39.92</v>
      </c>
      <c r="H91" s="64">
        <v>6.71</v>
      </c>
      <c r="I91" s="64">
        <v>1.35</v>
      </c>
      <c r="J91" s="64">
        <v>1.52</v>
      </c>
      <c r="K91" s="64">
        <v>334.73</v>
      </c>
      <c r="L91" s="64">
        <v>26.73</v>
      </c>
      <c r="M91" s="64">
        <v>97.54</v>
      </c>
      <c r="N91" s="64">
        <v>44.2</v>
      </c>
      <c r="O91" s="64">
        <v>0</v>
      </c>
      <c r="P91" s="64">
        <v>0.59</v>
      </c>
      <c r="Q91" s="64">
        <v>9.65</v>
      </c>
      <c r="R91" s="198"/>
      <c r="S91" s="198"/>
      <c r="T91" s="198"/>
      <c r="U91" s="198"/>
    </row>
    <row r="92" spans="1:26" s="12" customFormat="1" x14ac:dyDescent="0.25">
      <c r="A92" s="212" t="s">
        <v>1386</v>
      </c>
      <c r="B92" s="64">
        <v>13.78</v>
      </c>
      <c r="C92" s="64">
        <v>8.2799999999999994</v>
      </c>
      <c r="D92" s="64">
        <v>15.38</v>
      </c>
      <c r="E92" s="64">
        <v>4.63</v>
      </c>
      <c r="F92" s="64">
        <v>5.17</v>
      </c>
      <c r="G92" s="64">
        <v>40.049999999999997</v>
      </c>
      <c r="H92" s="64">
        <v>6.57</v>
      </c>
      <c r="I92" s="64">
        <v>1.39</v>
      </c>
      <c r="J92" s="64">
        <v>1.1200000000000001</v>
      </c>
      <c r="K92" s="64">
        <v>332.46</v>
      </c>
      <c r="L92" s="64">
        <v>26.72</v>
      </c>
      <c r="M92" s="64">
        <v>97.43</v>
      </c>
      <c r="N92" s="64">
        <v>44.7</v>
      </c>
      <c r="O92" s="64">
        <v>0</v>
      </c>
      <c r="P92" s="64">
        <v>0.57999999999999996</v>
      </c>
      <c r="Q92" s="64">
        <v>9.6300000000000008</v>
      </c>
      <c r="R92" s="198"/>
      <c r="S92" s="198"/>
      <c r="T92" s="198"/>
      <c r="U92" s="198"/>
    </row>
    <row r="93" spans="1:26" s="12" customFormat="1" x14ac:dyDescent="0.25">
      <c r="A93" s="212" t="s">
        <v>1387</v>
      </c>
      <c r="B93" s="64">
        <v>15.14</v>
      </c>
      <c r="C93" s="64">
        <v>10.7</v>
      </c>
      <c r="D93" s="64">
        <v>17.73</v>
      </c>
      <c r="E93" s="64">
        <v>4.49</v>
      </c>
      <c r="F93" s="64">
        <v>8.14</v>
      </c>
      <c r="G93" s="64">
        <v>40.049999999999997</v>
      </c>
      <c r="H93" s="64">
        <v>6.57</v>
      </c>
      <c r="I93" s="64">
        <v>1.41</v>
      </c>
      <c r="J93" s="64">
        <v>0.53</v>
      </c>
      <c r="K93" s="64">
        <v>324.20999999999998</v>
      </c>
      <c r="L93" s="64">
        <v>26.69</v>
      </c>
      <c r="M93" s="64">
        <v>97.6</v>
      </c>
      <c r="N93" s="64">
        <v>44.8</v>
      </c>
      <c r="O93" s="64">
        <v>0</v>
      </c>
      <c r="P93" s="64">
        <v>0.61</v>
      </c>
      <c r="Q93" s="64">
        <v>9.64</v>
      </c>
      <c r="R93" s="198"/>
      <c r="S93" s="198"/>
      <c r="T93" s="198"/>
      <c r="U93" s="198"/>
    </row>
    <row r="94" spans="1:26" s="12" customFormat="1" x14ac:dyDescent="0.25">
      <c r="A94" s="212" t="s">
        <v>1388</v>
      </c>
      <c r="B94" s="64">
        <v>15.16</v>
      </c>
      <c r="C94" s="64">
        <v>13.79</v>
      </c>
      <c r="D94" s="64">
        <v>19.36</v>
      </c>
      <c r="E94" s="64">
        <v>4.5599999999999996</v>
      </c>
      <c r="F94" s="64">
        <v>7.65</v>
      </c>
      <c r="G94" s="64">
        <v>40.049999999999997</v>
      </c>
      <c r="H94" s="64">
        <v>6.57</v>
      </c>
      <c r="I94" s="64">
        <v>1.41</v>
      </c>
      <c r="J94" s="64">
        <v>0.39</v>
      </c>
      <c r="K94" s="64">
        <v>324.77999999999997</v>
      </c>
      <c r="L94" s="64">
        <v>26.58</v>
      </c>
      <c r="M94" s="64">
        <v>97.65</v>
      </c>
      <c r="N94" s="64">
        <v>44.9</v>
      </c>
      <c r="O94" s="64">
        <v>0</v>
      </c>
      <c r="P94" s="64">
        <v>0.62</v>
      </c>
      <c r="Q94" s="64">
        <v>9.65</v>
      </c>
      <c r="R94" s="198"/>
      <c r="S94" s="198"/>
      <c r="T94" s="198"/>
      <c r="U94" s="198"/>
    </row>
    <row r="95" spans="1:26" s="12" customFormat="1" x14ac:dyDescent="0.25">
      <c r="A95" s="212" t="s">
        <v>1389</v>
      </c>
      <c r="B95" s="64">
        <v>14.8</v>
      </c>
      <c r="C95" s="64">
        <v>14.2</v>
      </c>
      <c r="D95" s="64">
        <v>19.29</v>
      </c>
      <c r="E95" s="64">
        <v>4.53</v>
      </c>
      <c r="F95" s="64">
        <v>6.09</v>
      </c>
      <c r="G95" s="64">
        <v>45.95</v>
      </c>
      <c r="H95" s="64">
        <v>5.43</v>
      </c>
      <c r="I95" s="64">
        <v>1.41</v>
      </c>
      <c r="J95" s="64">
        <v>0.28000000000000003</v>
      </c>
      <c r="K95" s="64">
        <v>323.42</v>
      </c>
      <c r="L95" s="64">
        <v>26.54</v>
      </c>
      <c r="M95" s="64">
        <v>97.65</v>
      </c>
      <c r="N95" s="64">
        <v>44.8</v>
      </c>
      <c r="O95" s="64">
        <v>0</v>
      </c>
      <c r="P95" s="64">
        <v>0.7</v>
      </c>
      <c r="Q95" s="64">
        <v>9.6300000000000008</v>
      </c>
      <c r="R95" s="198"/>
      <c r="S95" s="198"/>
      <c r="T95" s="198"/>
      <c r="U95" s="198"/>
    </row>
    <row r="96" spans="1:26" s="12" customFormat="1" x14ac:dyDescent="0.25">
      <c r="A96" s="212" t="s">
        <v>1390</v>
      </c>
      <c r="B96" s="64">
        <v>14.49</v>
      </c>
      <c r="C96" s="64">
        <v>11.74</v>
      </c>
      <c r="D96" s="64">
        <v>17.75</v>
      </c>
      <c r="E96" s="64">
        <v>4.6399999999999997</v>
      </c>
      <c r="F96" s="64">
        <v>5.66</v>
      </c>
      <c r="G96" s="64">
        <v>46.37</v>
      </c>
      <c r="H96" s="64">
        <v>5.35</v>
      </c>
      <c r="I96" s="64">
        <v>1.42</v>
      </c>
      <c r="J96" s="64">
        <v>0.75</v>
      </c>
      <c r="K96" s="64">
        <v>328.06</v>
      </c>
      <c r="L96" s="64">
        <v>26.47</v>
      </c>
      <c r="M96" s="64">
        <v>97.65</v>
      </c>
      <c r="N96" s="64">
        <v>44.6</v>
      </c>
      <c r="O96" s="64">
        <v>0</v>
      </c>
      <c r="P96" s="64">
        <v>0.62</v>
      </c>
      <c r="Q96" s="64">
        <v>9.6300000000000008</v>
      </c>
      <c r="R96" s="198"/>
      <c r="S96" s="198"/>
      <c r="T96" s="198"/>
      <c r="U96" s="198"/>
      <c r="Z96" s="109"/>
    </row>
    <row r="97" spans="1:33" s="12" customFormat="1" x14ac:dyDescent="0.25">
      <c r="A97" s="212" t="s">
        <v>1391</v>
      </c>
      <c r="B97" s="64">
        <v>14.98</v>
      </c>
      <c r="C97" s="64">
        <v>10.28</v>
      </c>
      <c r="D97" s="64">
        <v>17.38</v>
      </c>
      <c r="E97" s="64">
        <v>4.3099999999999996</v>
      </c>
      <c r="F97" s="64">
        <v>6.25</v>
      </c>
      <c r="G97" s="64">
        <v>46.37</v>
      </c>
      <c r="H97" s="64">
        <v>5.35</v>
      </c>
      <c r="I97" s="64">
        <v>1.44</v>
      </c>
      <c r="J97" s="64">
        <v>0.63</v>
      </c>
      <c r="K97" s="64">
        <v>330.92</v>
      </c>
      <c r="L97" s="64">
        <v>26.43</v>
      </c>
      <c r="M97" s="64">
        <v>97.65</v>
      </c>
      <c r="N97" s="64">
        <v>44.8</v>
      </c>
      <c r="O97" s="64">
        <v>0</v>
      </c>
      <c r="P97" s="64">
        <v>0.53</v>
      </c>
      <c r="Q97" s="64">
        <v>9.6300000000000008</v>
      </c>
      <c r="R97" s="198"/>
      <c r="S97" s="198"/>
      <c r="T97" s="198"/>
      <c r="U97" s="198"/>
    </row>
    <row r="98" spans="1:33" s="12" customFormat="1" x14ac:dyDescent="0.25">
      <c r="A98" s="212" t="s">
        <v>1392</v>
      </c>
      <c r="B98" s="64">
        <v>13.56</v>
      </c>
      <c r="C98" s="64">
        <v>8.15</v>
      </c>
      <c r="D98" s="64">
        <v>15.13</v>
      </c>
      <c r="E98" s="64">
        <v>4.28</v>
      </c>
      <c r="F98" s="64">
        <v>5.68</v>
      </c>
      <c r="G98" s="64">
        <v>46.37</v>
      </c>
      <c r="H98" s="64">
        <v>5.35</v>
      </c>
      <c r="I98" s="64">
        <v>1.44</v>
      </c>
      <c r="J98" s="64">
        <v>1.31</v>
      </c>
      <c r="K98" s="64">
        <v>333.72</v>
      </c>
      <c r="L98" s="64">
        <v>26.33</v>
      </c>
      <c r="M98" s="64">
        <v>97.61</v>
      </c>
      <c r="N98" s="64">
        <v>44.7</v>
      </c>
      <c r="O98" s="64">
        <v>0</v>
      </c>
      <c r="P98" s="64">
        <v>0.54</v>
      </c>
      <c r="Q98" s="64">
        <v>9.65</v>
      </c>
      <c r="R98" s="198"/>
      <c r="S98" s="198"/>
      <c r="T98" s="198"/>
      <c r="U98" s="198"/>
    </row>
    <row r="99" spans="1:33" s="12" customFormat="1" x14ac:dyDescent="0.25">
      <c r="A99" s="212" t="s">
        <v>1393</v>
      </c>
      <c r="B99" s="64">
        <v>13.83</v>
      </c>
      <c r="C99" s="64">
        <v>9.8800000000000008</v>
      </c>
      <c r="D99" s="64">
        <v>16.25</v>
      </c>
      <c r="E99" s="64">
        <v>4.46</v>
      </c>
      <c r="F99" s="64">
        <v>5.36</v>
      </c>
      <c r="G99" s="64">
        <v>48.56</v>
      </c>
      <c r="H99" s="64">
        <v>8.5500000000000007</v>
      </c>
      <c r="I99" s="64">
        <v>1.44</v>
      </c>
      <c r="J99" s="64">
        <v>0.9</v>
      </c>
      <c r="K99" s="64">
        <v>328.14</v>
      </c>
      <c r="L99" s="64">
        <v>26.22</v>
      </c>
      <c r="M99" s="64">
        <v>97.6</v>
      </c>
      <c r="N99" s="64">
        <v>44.9</v>
      </c>
      <c r="O99" s="64">
        <v>0</v>
      </c>
      <c r="P99" s="64">
        <v>0.52</v>
      </c>
      <c r="Q99" s="64">
        <v>9.66</v>
      </c>
      <c r="R99" s="198"/>
      <c r="S99" s="198"/>
      <c r="T99" s="198"/>
      <c r="U99" s="198"/>
    </row>
    <row r="100" spans="1:33" s="12" customFormat="1" x14ac:dyDescent="0.25">
      <c r="A100" s="212" t="s">
        <v>1394</v>
      </c>
      <c r="B100" s="64">
        <v>13.35</v>
      </c>
      <c r="C100" s="64">
        <v>7.19</v>
      </c>
      <c r="D100" s="64">
        <v>14.46</v>
      </c>
      <c r="E100" s="64">
        <v>4.33</v>
      </c>
      <c r="F100" s="64">
        <v>5.13</v>
      </c>
      <c r="G100" s="64">
        <v>48.74</v>
      </c>
      <c r="H100" s="64">
        <v>8.7799999999999994</v>
      </c>
      <c r="I100" s="64">
        <v>1.43</v>
      </c>
      <c r="J100" s="64">
        <v>1.04</v>
      </c>
      <c r="K100" s="64">
        <v>329.19</v>
      </c>
      <c r="L100" s="64">
        <v>26.12</v>
      </c>
      <c r="M100" s="64">
        <v>97.6</v>
      </c>
      <c r="N100" s="64">
        <v>44.8</v>
      </c>
      <c r="O100" s="64">
        <v>0</v>
      </c>
      <c r="P100" s="64">
        <v>0.5</v>
      </c>
      <c r="Q100" s="64">
        <v>9.66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2" t="s">
        <v>1395</v>
      </c>
      <c r="B101" s="64">
        <v>14.87</v>
      </c>
      <c r="C101" s="64">
        <v>8.06</v>
      </c>
      <c r="D101" s="64">
        <v>15.88</v>
      </c>
      <c r="E101" s="64">
        <v>4.3600000000000003</v>
      </c>
      <c r="F101" s="64">
        <v>5.49</v>
      </c>
      <c r="G101" s="64">
        <v>48.74</v>
      </c>
      <c r="H101" s="64">
        <v>8.7799999999999994</v>
      </c>
      <c r="I101" s="64">
        <v>1.42</v>
      </c>
      <c r="J101" s="64">
        <v>0.89</v>
      </c>
      <c r="K101" s="64">
        <v>333.11</v>
      </c>
      <c r="L101" s="64">
        <v>26.06</v>
      </c>
      <c r="M101" s="64">
        <v>97.6</v>
      </c>
      <c r="N101" s="64">
        <v>44.8</v>
      </c>
      <c r="O101" s="64">
        <v>0</v>
      </c>
      <c r="P101" s="64">
        <v>0.47</v>
      </c>
      <c r="Q101" s="64">
        <v>9.66</v>
      </c>
      <c r="R101" s="198"/>
      <c r="S101" s="198"/>
      <c r="T101" s="198"/>
      <c r="U101" s="198"/>
    </row>
    <row r="102" spans="1:33" s="12" customFormat="1" x14ac:dyDescent="0.25">
      <c r="A102" s="212" t="s">
        <v>1396</v>
      </c>
      <c r="B102" s="64">
        <v>13.43</v>
      </c>
      <c r="C102" s="64">
        <v>7.58</v>
      </c>
      <c r="D102" s="64">
        <v>14.72</v>
      </c>
      <c r="E102" s="64">
        <v>4.32</v>
      </c>
      <c r="F102" s="64">
        <v>6.47</v>
      </c>
      <c r="G102" s="64">
        <v>48.74</v>
      </c>
      <c r="H102" s="64">
        <v>8.7799999999999994</v>
      </c>
      <c r="I102" s="64">
        <v>1.39</v>
      </c>
      <c r="J102" s="64">
        <v>0.67</v>
      </c>
      <c r="K102" s="64">
        <v>336.27</v>
      </c>
      <c r="L102" s="64">
        <v>25.94</v>
      </c>
      <c r="M102" s="64">
        <v>97.62</v>
      </c>
      <c r="N102" s="64">
        <v>44.8</v>
      </c>
      <c r="O102" s="64">
        <v>0</v>
      </c>
      <c r="P102" s="64">
        <v>0.45</v>
      </c>
      <c r="Q102" s="64">
        <v>9.64</v>
      </c>
      <c r="R102" s="198"/>
      <c r="S102" s="198"/>
      <c r="T102" s="198"/>
      <c r="U102" s="198"/>
    </row>
    <row r="103" spans="1:33" s="12" customFormat="1" x14ac:dyDescent="0.25">
      <c r="A103" s="212" t="s">
        <v>1397</v>
      </c>
      <c r="B103" s="64">
        <v>10.63</v>
      </c>
      <c r="C103" s="64">
        <v>9.77</v>
      </c>
      <c r="D103" s="64">
        <v>13.63</v>
      </c>
      <c r="E103" s="64">
        <v>4.58</v>
      </c>
      <c r="F103" s="64">
        <v>9.33</v>
      </c>
      <c r="G103" s="64">
        <v>40.950000000000003</v>
      </c>
      <c r="H103" s="64">
        <v>9.32</v>
      </c>
      <c r="I103" s="64">
        <v>1.36</v>
      </c>
      <c r="J103" s="64">
        <v>0.34</v>
      </c>
      <c r="K103" s="64">
        <v>329.25</v>
      </c>
      <c r="L103" s="64">
        <v>25.87</v>
      </c>
      <c r="M103" s="64">
        <v>97.6</v>
      </c>
      <c r="N103" s="64">
        <v>44.7</v>
      </c>
      <c r="O103" s="64">
        <v>0</v>
      </c>
      <c r="P103" s="64">
        <v>0.35</v>
      </c>
      <c r="Q103" s="64">
        <v>9.65</v>
      </c>
      <c r="R103" s="198"/>
      <c r="S103" s="198"/>
      <c r="T103" s="198"/>
      <c r="U103" s="198"/>
    </row>
    <row r="104" spans="1:33" s="12" customFormat="1" x14ac:dyDescent="0.25">
      <c r="A104" s="212" t="s">
        <v>1398</v>
      </c>
      <c r="B104" s="64">
        <v>11</v>
      </c>
      <c r="C104" s="64">
        <v>7.9</v>
      </c>
      <c r="D104" s="64">
        <v>12.95</v>
      </c>
      <c r="E104" s="64">
        <v>5.28</v>
      </c>
      <c r="F104" s="64">
        <v>7.84</v>
      </c>
      <c r="G104" s="64">
        <v>40.39</v>
      </c>
      <c r="H104" s="64">
        <v>9.35</v>
      </c>
      <c r="I104" s="64">
        <v>1.32</v>
      </c>
      <c r="J104" s="64">
        <v>0.64</v>
      </c>
      <c r="K104" s="64">
        <v>337.05</v>
      </c>
      <c r="L104" s="64">
        <v>25.82</v>
      </c>
      <c r="M104" s="64">
        <v>97.6</v>
      </c>
      <c r="N104" s="64">
        <v>44.7</v>
      </c>
      <c r="O104" s="64">
        <v>0</v>
      </c>
      <c r="P104" s="64">
        <v>0.37</v>
      </c>
      <c r="Q104" s="64">
        <v>9.65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5.41</v>
      </c>
      <c r="C106" s="67">
        <f>MIN(C9:C104)</f>
        <v>5.45</v>
      </c>
      <c r="D106" s="67">
        <f t="shared" ref="D106:Q106" si="0">MIN(D9:D104)</f>
        <v>8.3699999999999992</v>
      </c>
      <c r="E106" s="67">
        <f t="shared" si="0"/>
        <v>3.94</v>
      </c>
      <c r="F106" s="67">
        <f t="shared" si="0"/>
        <v>2.63</v>
      </c>
      <c r="G106" s="67">
        <f t="shared" si="0"/>
        <v>22.05</v>
      </c>
      <c r="H106" s="67">
        <f t="shared" si="0"/>
        <v>5.35</v>
      </c>
      <c r="I106" s="67">
        <f t="shared" si="0"/>
        <v>1</v>
      </c>
      <c r="J106" s="67">
        <f t="shared" si="0"/>
        <v>0.02</v>
      </c>
      <c r="K106" s="67">
        <f t="shared" si="0"/>
        <v>69.650000000000006</v>
      </c>
      <c r="L106" s="67">
        <f t="shared" si="0"/>
        <v>23.78</v>
      </c>
      <c r="M106" s="67">
        <f t="shared" si="0"/>
        <v>59.88</v>
      </c>
      <c r="N106" s="67">
        <f t="shared" si="0"/>
        <v>44.2</v>
      </c>
      <c r="O106" s="67">
        <f t="shared" si="0"/>
        <v>0</v>
      </c>
      <c r="P106" s="67">
        <f t="shared" si="0"/>
        <v>0.2</v>
      </c>
      <c r="Q106" s="67">
        <f t="shared" si="0"/>
        <v>9.5399999999999991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18.71</v>
      </c>
      <c r="C107" s="66">
        <f t="shared" ref="C107:Q107" si="1">MAX(C9:C104)</f>
        <v>21.05</v>
      </c>
      <c r="D107" s="66">
        <f t="shared" si="1"/>
        <v>25.6</v>
      </c>
      <c r="E107" s="66">
        <f t="shared" si="1"/>
        <v>5.38</v>
      </c>
      <c r="F107" s="66">
        <f t="shared" si="1"/>
        <v>13.52</v>
      </c>
      <c r="G107" s="66">
        <f t="shared" si="1"/>
        <v>50.27</v>
      </c>
      <c r="H107" s="66">
        <f t="shared" si="1"/>
        <v>18.64</v>
      </c>
      <c r="I107" s="66">
        <f t="shared" si="1"/>
        <v>1.68</v>
      </c>
      <c r="J107" s="66">
        <f t="shared" si="1"/>
        <v>1.57</v>
      </c>
      <c r="K107" s="66">
        <f t="shared" si="1"/>
        <v>345.06</v>
      </c>
      <c r="L107" s="66">
        <f t="shared" si="1"/>
        <v>34.19</v>
      </c>
      <c r="M107" s="66">
        <f t="shared" si="1"/>
        <v>97.75</v>
      </c>
      <c r="N107" s="66">
        <f t="shared" si="1"/>
        <v>859.6</v>
      </c>
      <c r="O107" s="66">
        <f t="shared" si="1"/>
        <v>0.2</v>
      </c>
      <c r="P107" s="66">
        <f t="shared" si="1"/>
        <v>0.93</v>
      </c>
      <c r="Q107" s="66">
        <f t="shared" si="1"/>
        <v>9.67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11.235520833333332</v>
      </c>
      <c r="C108" s="67">
        <f t="shared" ref="C108:Q108" si="2">AVERAGE(C9:C104)</f>
        <v>10.3846875</v>
      </c>
      <c r="D108" s="67">
        <f t="shared" si="2"/>
        <v>14.432083333333336</v>
      </c>
      <c r="E108" s="67">
        <f t="shared" si="2"/>
        <v>4.6630208333333316</v>
      </c>
      <c r="F108" s="67">
        <f t="shared" si="2"/>
        <v>7.4794791666666649</v>
      </c>
      <c r="G108" s="67">
        <f t="shared" si="2"/>
        <v>39.69812499999999</v>
      </c>
      <c r="H108" s="67">
        <f t="shared" si="2"/>
        <v>9.1015625000000036</v>
      </c>
      <c r="I108" s="67">
        <f t="shared" si="2"/>
        <v>1.3766666666666663</v>
      </c>
      <c r="J108" s="67">
        <f t="shared" si="2"/>
        <v>0.52239583333333339</v>
      </c>
      <c r="K108" s="67">
        <f t="shared" si="2"/>
        <v>308.30697916666657</v>
      </c>
      <c r="L108" s="67">
        <f t="shared" si="2"/>
        <v>28.118229166666652</v>
      </c>
      <c r="M108" s="67">
        <f t="shared" si="2"/>
        <v>86.645729166666683</v>
      </c>
      <c r="N108" s="67">
        <f t="shared" si="2"/>
        <v>176.97708333333333</v>
      </c>
      <c r="O108" s="67">
        <f t="shared" si="2"/>
        <v>2.0833333333333333E-3</v>
      </c>
      <c r="P108" s="67">
        <f t="shared" si="2"/>
        <v>0.4551041666666667</v>
      </c>
      <c r="Q108" s="67">
        <f t="shared" si="2"/>
        <v>9.6255208333333275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3.2213988036554966</v>
      </c>
      <c r="C109" s="67">
        <f t="shared" ref="C109:Q109" si="3">STDEV(C9:C104)</f>
        <v>3.1431445712936235</v>
      </c>
      <c r="D109" s="67">
        <f t="shared" si="3"/>
        <v>3.0433471589393899</v>
      </c>
      <c r="E109" s="67">
        <f t="shared" si="3"/>
        <v>0.29436146698508958</v>
      </c>
      <c r="F109" s="67">
        <f t="shared" si="3"/>
        <v>2.4707017412666921</v>
      </c>
      <c r="G109" s="67">
        <f t="shared" si="3"/>
        <v>7.8235361923258315</v>
      </c>
      <c r="H109" s="67">
        <f t="shared" si="3"/>
        <v>3.4739743137931667</v>
      </c>
      <c r="I109" s="67">
        <f t="shared" si="3"/>
        <v>0.21925071765671289</v>
      </c>
      <c r="J109" s="67">
        <f t="shared" si="3"/>
        <v>0.45561235783726822</v>
      </c>
      <c r="K109" s="67">
        <f t="shared" si="3"/>
        <v>49.301613619793315</v>
      </c>
      <c r="L109" s="67">
        <f t="shared" si="3"/>
        <v>3.2683335508424509</v>
      </c>
      <c r="M109" s="67">
        <f t="shared" si="3"/>
        <v>13.633348258071926</v>
      </c>
      <c r="N109" s="67">
        <f t="shared" si="3"/>
        <v>203.10715889799161</v>
      </c>
      <c r="O109" s="67">
        <f t="shared" si="3"/>
        <v>2.0412414523193152E-2</v>
      </c>
      <c r="P109" s="67">
        <f t="shared" si="3"/>
        <v>0.13044857661297363</v>
      </c>
      <c r="Q109" s="67">
        <f t="shared" si="3"/>
        <v>3.3241375348919057E-2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216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6" sqref="J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13/08/2025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2" t="s">
        <v>1399</v>
      </c>
      <c r="B9" s="64">
        <v>9.1300000000000008</v>
      </c>
      <c r="C9" s="64">
        <v>9.64</v>
      </c>
      <c r="D9" s="64">
        <v>12.36</v>
      </c>
      <c r="E9" s="64">
        <v>4.4800000000000004</v>
      </c>
      <c r="F9" s="64">
        <v>8.66</v>
      </c>
      <c r="G9" s="64">
        <v>40.39</v>
      </c>
      <c r="H9" s="64">
        <v>9.35</v>
      </c>
      <c r="I9" s="64">
        <v>1.29</v>
      </c>
      <c r="J9" s="64">
        <v>0.67</v>
      </c>
      <c r="K9" s="64">
        <v>333.36</v>
      </c>
      <c r="L9" s="64">
        <v>25.84</v>
      </c>
      <c r="M9" s="64">
        <v>97.62</v>
      </c>
      <c r="N9" s="64">
        <v>44.6</v>
      </c>
      <c r="O9" s="64">
        <v>0</v>
      </c>
      <c r="P9" s="64">
        <v>0.34</v>
      </c>
      <c r="Q9" s="64">
        <v>9.66</v>
      </c>
      <c r="R9" s="198"/>
      <c r="S9" s="198"/>
      <c r="T9" s="198"/>
      <c r="U9" s="198"/>
    </row>
    <row r="10" spans="1:21" s="12" customFormat="1" x14ac:dyDescent="0.25">
      <c r="A10" s="212" t="s">
        <v>1400</v>
      </c>
      <c r="B10" s="64">
        <v>9.01</v>
      </c>
      <c r="C10" s="64">
        <v>9.07</v>
      </c>
      <c r="D10" s="64">
        <v>11.97</v>
      </c>
      <c r="E10" s="64">
        <v>4.38</v>
      </c>
      <c r="F10" s="64">
        <v>8.51</v>
      </c>
      <c r="G10" s="64">
        <v>40.39</v>
      </c>
      <c r="H10" s="64">
        <v>9.35</v>
      </c>
      <c r="I10" s="64">
        <v>1.28</v>
      </c>
      <c r="J10" s="64">
        <v>0.55000000000000004</v>
      </c>
      <c r="K10" s="64">
        <v>334.08</v>
      </c>
      <c r="L10" s="64">
        <v>25.78</v>
      </c>
      <c r="M10" s="64">
        <v>97.62</v>
      </c>
      <c r="N10" s="64">
        <v>44.7</v>
      </c>
      <c r="O10" s="64">
        <v>0</v>
      </c>
      <c r="P10" s="64">
        <v>0.32</v>
      </c>
      <c r="Q10" s="64">
        <v>9.67</v>
      </c>
      <c r="R10" s="198"/>
      <c r="S10" s="198"/>
      <c r="T10" s="198"/>
      <c r="U10" s="198"/>
    </row>
    <row r="11" spans="1:21" s="12" customFormat="1" x14ac:dyDescent="0.25">
      <c r="A11" s="212" t="s">
        <v>1401</v>
      </c>
      <c r="B11" s="64">
        <v>8.14</v>
      </c>
      <c r="C11" s="64">
        <v>9.42</v>
      </c>
      <c r="D11" s="64">
        <v>11.45</v>
      </c>
      <c r="E11" s="64">
        <v>4.1900000000000004</v>
      </c>
      <c r="F11" s="64">
        <v>8.2200000000000006</v>
      </c>
      <c r="G11" s="64">
        <v>33.53</v>
      </c>
      <c r="H11" s="64">
        <v>7.1</v>
      </c>
      <c r="I11" s="64">
        <v>1.26</v>
      </c>
      <c r="J11" s="64">
        <v>0.65</v>
      </c>
      <c r="K11" s="64">
        <v>337.56</v>
      </c>
      <c r="L11" s="64">
        <v>25.75</v>
      </c>
      <c r="M11" s="64">
        <v>97.6</v>
      </c>
      <c r="N11" s="64">
        <v>44.8</v>
      </c>
      <c r="O11" s="64">
        <v>0</v>
      </c>
      <c r="P11" s="64">
        <v>0.3</v>
      </c>
      <c r="Q11" s="64">
        <v>9.67</v>
      </c>
      <c r="R11" s="198"/>
      <c r="S11" s="198"/>
      <c r="T11" s="198"/>
      <c r="U11" s="198"/>
    </row>
    <row r="12" spans="1:21" s="12" customFormat="1" x14ac:dyDescent="0.25">
      <c r="A12" s="212" t="s">
        <v>1402</v>
      </c>
      <c r="B12" s="64">
        <v>9.36</v>
      </c>
      <c r="C12" s="64">
        <v>7.6</v>
      </c>
      <c r="D12" s="64">
        <v>11.47</v>
      </c>
      <c r="E12" s="64">
        <v>4.28</v>
      </c>
      <c r="F12" s="64">
        <v>6.59</v>
      </c>
      <c r="G12" s="64">
        <v>33.04</v>
      </c>
      <c r="H12" s="64">
        <v>6.94</v>
      </c>
      <c r="I12" s="64">
        <v>1.24</v>
      </c>
      <c r="J12" s="64">
        <v>0.5</v>
      </c>
      <c r="K12" s="64">
        <v>330.41</v>
      </c>
      <c r="L12" s="64">
        <v>25.7</v>
      </c>
      <c r="M12" s="64">
        <v>97.64</v>
      </c>
      <c r="N12" s="64">
        <v>44.8</v>
      </c>
      <c r="O12" s="64">
        <v>0</v>
      </c>
      <c r="P12" s="64">
        <v>0.38</v>
      </c>
      <c r="Q12" s="64">
        <v>9.66</v>
      </c>
      <c r="R12" s="198"/>
      <c r="S12" s="198"/>
      <c r="T12" s="198"/>
      <c r="U12" s="198"/>
    </row>
    <row r="13" spans="1:21" s="12" customFormat="1" x14ac:dyDescent="0.25">
      <c r="A13" s="212" t="s">
        <v>1403</v>
      </c>
      <c r="B13" s="64">
        <v>9.7100000000000009</v>
      </c>
      <c r="C13" s="64">
        <v>7.37</v>
      </c>
      <c r="D13" s="64">
        <v>11.63</v>
      </c>
      <c r="E13" s="64">
        <v>4.22</v>
      </c>
      <c r="F13" s="64">
        <v>4.97</v>
      </c>
      <c r="G13" s="64">
        <v>33.04</v>
      </c>
      <c r="H13" s="64">
        <v>6.94</v>
      </c>
      <c r="I13" s="64">
        <v>1.23</v>
      </c>
      <c r="J13" s="64">
        <v>0.33</v>
      </c>
      <c r="K13" s="64">
        <v>318.01</v>
      </c>
      <c r="L13" s="64">
        <v>25.6</v>
      </c>
      <c r="M13" s="64">
        <v>97.64</v>
      </c>
      <c r="N13" s="64">
        <v>44.8</v>
      </c>
      <c r="O13" s="64">
        <v>0</v>
      </c>
      <c r="P13" s="64">
        <v>0.36</v>
      </c>
      <c r="Q13" s="64">
        <v>9.66</v>
      </c>
      <c r="R13" s="198"/>
      <c r="S13" s="198"/>
      <c r="T13" s="198"/>
      <c r="U13" s="198"/>
    </row>
    <row r="14" spans="1:21" s="12" customFormat="1" x14ac:dyDescent="0.25">
      <c r="A14" s="212" t="s">
        <v>1404</v>
      </c>
      <c r="B14" s="64">
        <v>10.56</v>
      </c>
      <c r="C14" s="64">
        <v>7.44</v>
      </c>
      <c r="D14" s="64">
        <v>12.36</v>
      </c>
      <c r="E14" s="64">
        <v>4.41</v>
      </c>
      <c r="F14" s="64">
        <v>4.4000000000000004</v>
      </c>
      <c r="G14" s="64">
        <v>33.04</v>
      </c>
      <c r="H14" s="64">
        <v>6.94</v>
      </c>
      <c r="I14" s="64">
        <v>1.22</v>
      </c>
      <c r="J14" s="64">
        <v>0.76</v>
      </c>
      <c r="K14" s="64">
        <v>330.12</v>
      </c>
      <c r="L14" s="64">
        <v>25.57</v>
      </c>
      <c r="M14" s="64">
        <v>97.65</v>
      </c>
      <c r="N14" s="64">
        <v>44.8</v>
      </c>
      <c r="O14" s="64">
        <v>0</v>
      </c>
      <c r="P14" s="64">
        <v>0.4</v>
      </c>
      <c r="Q14" s="64">
        <v>9.66</v>
      </c>
      <c r="R14" s="198"/>
      <c r="S14" s="198"/>
      <c r="T14" s="198"/>
      <c r="U14" s="198"/>
    </row>
    <row r="15" spans="1:21" s="12" customFormat="1" x14ac:dyDescent="0.25">
      <c r="A15" s="212" t="s">
        <v>1405</v>
      </c>
      <c r="B15" s="64">
        <v>8.69</v>
      </c>
      <c r="C15" s="64">
        <v>8.0399999999999991</v>
      </c>
      <c r="D15" s="64">
        <v>11.17</v>
      </c>
      <c r="E15" s="64">
        <v>4.53</v>
      </c>
      <c r="F15" s="64">
        <v>7.81</v>
      </c>
      <c r="G15" s="64">
        <v>30.52</v>
      </c>
      <c r="H15" s="64">
        <v>5.36</v>
      </c>
      <c r="I15" s="64">
        <v>1.21</v>
      </c>
      <c r="J15" s="64">
        <v>0.64</v>
      </c>
      <c r="K15" s="64">
        <v>337.52</v>
      </c>
      <c r="L15" s="64">
        <v>25.58</v>
      </c>
      <c r="M15" s="64">
        <v>97.65</v>
      </c>
      <c r="N15" s="64">
        <v>44.9</v>
      </c>
      <c r="O15" s="64">
        <v>0</v>
      </c>
      <c r="P15" s="64">
        <v>0.28000000000000003</v>
      </c>
      <c r="Q15" s="64">
        <v>9.66</v>
      </c>
      <c r="R15" s="198"/>
      <c r="S15" s="198"/>
      <c r="T15" s="198"/>
      <c r="U15" s="198"/>
    </row>
    <row r="16" spans="1:21" s="12" customFormat="1" x14ac:dyDescent="0.25">
      <c r="A16" s="212" t="s">
        <v>1406</v>
      </c>
      <c r="B16" s="64">
        <v>7.53</v>
      </c>
      <c r="C16" s="64">
        <v>8.31</v>
      </c>
      <c r="D16" s="64">
        <v>10.38</v>
      </c>
      <c r="E16" s="64">
        <v>4.43</v>
      </c>
      <c r="F16" s="64">
        <v>10.15</v>
      </c>
      <c r="G16" s="64">
        <v>30.3</v>
      </c>
      <c r="H16" s="64">
        <v>5.23</v>
      </c>
      <c r="I16" s="64">
        <v>1.18</v>
      </c>
      <c r="J16" s="64">
        <v>0.35</v>
      </c>
      <c r="K16" s="64">
        <v>339.21</v>
      </c>
      <c r="L16" s="64">
        <v>25.5</v>
      </c>
      <c r="M16" s="64">
        <v>97.65</v>
      </c>
      <c r="N16" s="64">
        <v>44.9</v>
      </c>
      <c r="O16" s="64">
        <v>0</v>
      </c>
      <c r="P16" s="64">
        <v>0.21</v>
      </c>
      <c r="Q16" s="64">
        <v>9.66</v>
      </c>
      <c r="R16" s="198"/>
      <c r="S16" s="198"/>
      <c r="T16" s="198"/>
      <c r="U16" s="198"/>
    </row>
    <row r="17" spans="1:21" s="12" customFormat="1" x14ac:dyDescent="0.25">
      <c r="A17" s="212" t="s">
        <v>1407</v>
      </c>
      <c r="B17" s="64">
        <v>7.38</v>
      </c>
      <c r="C17" s="64">
        <v>8.68</v>
      </c>
      <c r="D17" s="64">
        <v>10.48</v>
      </c>
      <c r="E17" s="64">
        <v>4.6100000000000003</v>
      </c>
      <c r="F17" s="64">
        <v>9.19</v>
      </c>
      <c r="G17" s="64">
        <v>30.3</v>
      </c>
      <c r="H17" s="64">
        <v>5.23</v>
      </c>
      <c r="I17" s="64">
        <v>1.1499999999999999</v>
      </c>
      <c r="J17" s="64">
        <v>0.11</v>
      </c>
      <c r="K17" s="64">
        <v>318.26</v>
      </c>
      <c r="L17" s="64">
        <v>25.43</v>
      </c>
      <c r="M17" s="64">
        <v>97.65</v>
      </c>
      <c r="N17" s="64">
        <v>44.9</v>
      </c>
      <c r="O17" s="64">
        <v>0</v>
      </c>
      <c r="P17" s="64">
        <v>0.23</v>
      </c>
      <c r="Q17" s="64">
        <v>9.66</v>
      </c>
      <c r="R17" s="198"/>
      <c r="S17" s="198"/>
      <c r="T17" s="198"/>
      <c r="U17" s="198"/>
    </row>
    <row r="18" spans="1:21" s="12" customFormat="1" x14ac:dyDescent="0.25">
      <c r="A18" s="212" t="s">
        <v>1408</v>
      </c>
      <c r="B18" s="64">
        <v>8.18</v>
      </c>
      <c r="C18" s="64">
        <v>10.06</v>
      </c>
      <c r="D18" s="64">
        <v>11.82</v>
      </c>
      <c r="E18" s="64">
        <v>4.6399999999999997</v>
      </c>
      <c r="F18" s="64">
        <v>7.41</v>
      </c>
      <c r="G18" s="64">
        <v>30.3</v>
      </c>
      <c r="H18" s="64">
        <v>5.23</v>
      </c>
      <c r="I18" s="64">
        <v>1.1299999999999999</v>
      </c>
      <c r="J18" s="64">
        <v>0.06</v>
      </c>
      <c r="K18" s="64">
        <v>226.97</v>
      </c>
      <c r="L18" s="64">
        <v>25.39</v>
      </c>
      <c r="M18" s="64">
        <v>97.66</v>
      </c>
      <c r="N18" s="64">
        <v>44.9</v>
      </c>
      <c r="O18" s="64">
        <v>0</v>
      </c>
      <c r="P18" s="64">
        <v>0.24</v>
      </c>
      <c r="Q18" s="64">
        <v>9.65</v>
      </c>
      <c r="R18" s="198"/>
      <c r="S18" s="198"/>
      <c r="T18" s="198"/>
      <c r="U18" s="198"/>
    </row>
    <row r="19" spans="1:21" s="12" customFormat="1" x14ac:dyDescent="0.25">
      <c r="A19" s="212" t="s">
        <v>1409</v>
      </c>
      <c r="B19" s="64">
        <v>8.36</v>
      </c>
      <c r="C19" s="64">
        <v>7.44</v>
      </c>
      <c r="D19" s="64">
        <v>10.59</v>
      </c>
      <c r="E19" s="64">
        <v>4.6900000000000004</v>
      </c>
      <c r="F19" s="64">
        <v>6.13</v>
      </c>
      <c r="G19" s="64">
        <v>31.15</v>
      </c>
      <c r="H19" s="64">
        <v>4.2300000000000004</v>
      </c>
      <c r="I19" s="64">
        <v>1.1200000000000001</v>
      </c>
      <c r="J19" s="64">
        <v>0.08</v>
      </c>
      <c r="K19" s="64">
        <v>301.38</v>
      </c>
      <c r="L19" s="64">
        <v>25.17</v>
      </c>
      <c r="M19" s="64">
        <v>97.68</v>
      </c>
      <c r="N19" s="64">
        <v>44.9</v>
      </c>
      <c r="O19" s="64">
        <v>0</v>
      </c>
      <c r="P19" s="64">
        <v>0.31</v>
      </c>
      <c r="Q19" s="64">
        <v>9.65</v>
      </c>
      <c r="R19" s="198"/>
      <c r="S19" s="198"/>
      <c r="T19" s="198"/>
      <c r="U19" s="198"/>
    </row>
    <row r="20" spans="1:21" s="12" customFormat="1" x14ac:dyDescent="0.25">
      <c r="A20" s="212" t="s">
        <v>1410</v>
      </c>
      <c r="B20" s="64">
        <v>7.71</v>
      </c>
      <c r="C20" s="64">
        <v>6.88</v>
      </c>
      <c r="D20" s="64">
        <v>9.7799999999999994</v>
      </c>
      <c r="E20" s="64">
        <v>4.3099999999999996</v>
      </c>
      <c r="F20" s="64">
        <v>8.08</v>
      </c>
      <c r="G20" s="64">
        <v>31.23</v>
      </c>
      <c r="H20" s="64">
        <v>4.1399999999999997</v>
      </c>
      <c r="I20" s="64">
        <v>1.1499999999999999</v>
      </c>
      <c r="J20" s="64">
        <v>0.1</v>
      </c>
      <c r="K20" s="64">
        <v>313.14</v>
      </c>
      <c r="L20" s="64">
        <v>25.11</v>
      </c>
      <c r="M20" s="64">
        <v>97.69</v>
      </c>
      <c r="N20" s="64">
        <v>44.9</v>
      </c>
      <c r="O20" s="64">
        <v>0</v>
      </c>
      <c r="P20" s="64">
        <v>0.23</v>
      </c>
      <c r="Q20" s="64">
        <v>9.64</v>
      </c>
      <c r="R20" s="198"/>
      <c r="S20" s="198"/>
      <c r="T20" s="198"/>
      <c r="U20" s="198"/>
    </row>
    <row r="21" spans="1:21" s="12" customFormat="1" x14ac:dyDescent="0.25">
      <c r="A21" s="212" t="s">
        <v>1411</v>
      </c>
      <c r="B21" s="64">
        <v>8.1199999999999992</v>
      </c>
      <c r="C21" s="64">
        <v>6.57</v>
      </c>
      <c r="D21" s="64">
        <v>9.9499999999999993</v>
      </c>
      <c r="E21" s="64">
        <v>4.45</v>
      </c>
      <c r="F21" s="64">
        <v>6.55</v>
      </c>
      <c r="G21" s="64">
        <v>31.23</v>
      </c>
      <c r="H21" s="64">
        <v>4.1399999999999997</v>
      </c>
      <c r="I21" s="64">
        <v>1.25</v>
      </c>
      <c r="J21" s="64">
        <v>0.62</v>
      </c>
      <c r="K21" s="64">
        <v>331.23</v>
      </c>
      <c r="L21" s="64">
        <v>25.15</v>
      </c>
      <c r="M21" s="64">
        <v>97.7</v>
      </c>
      <c r="N21" s="64">
        <v>44.8</v>
      </c>
      <c r="O21" s="64">
        <v>0</v>
      </c>
      <c r="P21" s="64">
        <v>0.27</v>
      </c>
      <c r="Q21" s="64">
        <v>9.66</v>
      </c>
      <c r="R21" s="198"/>
      <c r="S21" s="198"/>
      <c r="T21" s="198"/>
      <c r="U21" s="198"/>
    </row>
    <row r="22" spans="1:21" s="12" customFormat="1" x14ac:dyDescent="0.25">
      <c r="A22" s="212" t="s">
        <v>1412</v>
      </c>
      <c r="B22" s="64">
        <v>8.34</v>
      </c>
      <c r="C22" s="64">
        <v>6.32</v>
      </c>
      <c r="D22" s="64">
        <v>9.99</v>
      </c>
      <c r="E22" s="64">
        <v>4.5999999999999996</v>
      </c>
      <c r="F22" s="64">
        <v>9.19</v>
      </c>
      <c r="G22" s="64">
        <v>31.23</v>
      </c>
      <c r="H22" s="64">
        <v>4.1399999999999997</v>
      </c>
      <c r="I22" s="64">
        <v>1.22</v>
      </c>
      <c r="J22" s="64">
        <v>0.54</v>
      </c>
      <c r="K22" s="64">
        <v>327.54000000000002</v>
      </c>
      <c r="L22" s="64">
        <v>25.17</v>
      </c>
      <c r="M22" s="64">
        <v>97.68</v>
      </c>
      <c r="N22" s="64">
        <v>44.8</v>
      </c>
      <c r="O22" s="64">
        <v>0</v>
      </c>
      <c r="P22" s="64">
        <v>0.26</v>
      </c>
      <c r="Q22" s="64">
        <v>9.65</v>
      </c>
      <c r="R22" s="198"/>
      <c r="S22" s="198"/>
      <c r="T22" s="198"/>
      <c r="U22" s="198"/>
    </row>
    <row r="23" spans="1:21" s="12" customFormat="1" x14ac:dyDescent="0.25">
      <c r="A23" s="212" t="s">
        <v>1413</v>
      </c>
      <c r="B23" s="64">
        <v>7.12</v>
      </c>
      <c r="C23" s="64">
        <v>7.04</v>
      </c>
      <c r="D23" s="64">
        <v>9.39</v>
      </c>
      <c r="E23" s="64">
        <v>4.6100000000000003</v>
      </c>
      <c r="F23" s="64">
        <v>6.68</v>
      </c>
      <c r="G23" s="64">
        <v>26.9</v>
      </c>
      <c r="H23" s="64">
        <v>6.86</v>
      </c>
      <c r="I23" s="64">
        <v>1.19</v>
      </c>
      <c r="J23" s="64">
        <v>0.18</v>
      </c>
      <c r="K23" s="64">
        <v>330.42</v>
      </c>
      <c r="L23" s="64">
        <v>25.16</v>
      </c>
      <c r="M23" s="64">
        <v>97.68</v>
      </c>
      <c r="N23" s="64">
        <v>44.8</v>
      </c>
      <c r="O23" s="64">
        <v>0</v>
      </c>
      <c r="P23" s="64">
        <v>0.22</v>
      </c>
      <c r="Q23" s="64">
        <v>9.65</v>
      </c>
      <c r="R23" s="198"/>
      <c r="S23" s="198"/>
      <c r="T23" s="198"/>
      <c r="U23" s="198"/>
    </row>
    <row r="24" spans="1:21" s="12" customFormat="1" x14ac:dyDescent="0.25">
      <c r="A24" s="212" t="s">
        <v>1414</v>
      </c>
      <c r="B24" s="64">
        <v>6.06</v>
      </c>
      <c r="C24" s="64">
        <v>8.26</v>
      </c>
      <c r="D24" s="64">
        <v>9.17</v>
      </c>
      <c r="E24" s="64">
        <v>4.45</v>
      </c>
      <c r="F24" s="64">
        <v>7.88</v>
      </c>
      <c r="G24" s="64">
        <v>26.54</v>
      </c>
      <c r="H24" s="64">
        <v>7.08</v>
      </c>
      <c r="I24" s="64">
        <v>1.18</v>
      </c>
      <c r="J24" s="64">
        <v>0.04</v>
      </c>
      <c r="K24" s="64">
        <v>206.36</v>
      </c>
      <c r="L24" s="64">
        <v>25.14</v>
      </c>
      <c r="M24" s="64">
        <v>97.68</v>
      </c>
      <c r="N24" s="64">
        <v>44.9</v>
      </c>
      <c r="O24" s="64">
        <v>0</v>
      </c>
      <c r="P24" s="64">
        <v>0.15</v>
      </c>
      <c r="Q24" s="64">
        <v>9.64</v>
      </c>
      <c r="R24" s="198"/>
      <c r="S24" s="198"/>
      <c r="T24" s="198"/>
      <c r="U24" s="198"/>
    </row>
    <row r="25" spans="1:21" s="12" customFormat="1" x14ac:dyDescent="0.25">
      <c r="A25" s="212" t="s">
        <v>1415</v>
      </c>
      <c r="B25" s="64">
        <v>5.61</v>
      </c>
      <c r="C25" s="64">
        <v>9.5299999999999994</v>
      </c>
      <c r="D25" s="64">
        <v>9.4700000000000006</v>
      </c>
      <c r="E25" s="64">
        <v>4.6399999999999997</v>
      </c>
      <c r="F25" s="64">
        <v>7.01</v>
      </c>
      <c r="G25" s="64">
        <v>26.54</v>
      </c>
      <c r="H25" s="64">
        <v>7.08</v>
      </c>
      <c r="I25" s="64">
        <v>1.1299999999999999</v>
      </c>
      <c r="J25" s="64">
        <v>7.0000000000000007E-2</v>
      </c>
      <c r="K25" s="64">
        <v>292.2</v>
      </c>
      <c r="L25" s="64">
        <v>25.17</v>
      </c>
      <c r="M25" s="64">
        <v>97.68</v>
      </c>
      <c r="N25" s="64">
        <v>44.9</v>
      </c>
      <c r="O25" s="64">
        <v>0</v>
      </c>
      <c r="P25" s="64">
        <v>0.2</v>
      </c>
      <c r="Q25" s="64">
        <v>9.65</v>
      </c>
      <c r="R25" s="198"/>
      <c r="S25" s="198"/>
      <c r="T25" s="198"/>
      <c r="U25" s="198"/>
    </row>
    <row r="26" spans="1:21" s="12" customFormat="1" x14ac:dyDescent="0.25">
      <c r="A26" s="212" t="s">
        <v>1416</v>
      </c>
      <c r="B26" s="64">
        <v>7.39</v>
      </c>
      <c r="C26" s="64">
        <v>9.56</v>
      </c>
      <c r="D26" s="64">
        <v>10.93</v>
      </c>
      <c r="E26" s="64">
        <v>4.3899999999999997</v>
      </c>
      <c r="F26" s="64">
        <v>6.33</v>
      </c>
      <c r="G26" s="64">
        <v>26.54</v>
      </c>
      <c r="H26" s="64">
        <v>7.08</v>
      </c>
      <c r="I26" s="64">
        <v>1.05</v>
      </c>
      <c r="J26" s="64">
        <v>0.04</v>
      </c>
      <c r="K26" s="64">
        <v>305.19</v>
      </c>
      <c r="L26" s="64">
        <v>25.13</v>
      </c>
      <c r="M26" s="64">
        <v>97.68</v>
      </c>
      <c r="N26" s="64">
        <v>44.9</v>
      </c>
      <c r="O26" s="64">
        <v>0</v>
      </c>
      <c r="P26" s="64">
        <v>0.22</v>
      </c>
      <c r="Q26" s="64">
        <v>9.66</v>
      </c>
      <c r="R26" s="198"/>
      <c r="S26" s="198"/>
      <c r="T26" s="198"/>
      <c r="U26" s="198"/>
    </row>
    <row r="27" spans="1:21" s="12" customFormat="1" x14ac:dyDescent="0.25">
      <c r="A27" s="212" t="s">
        <v>1417</v>
      </c>
      <c r="B27" s="64">
        <v>7.79</v>
      </c>
      <c r="C27" s="64">
        <v>10.82</v>
      </c>
      <c r="D27" s="64">
        <v>11.9</v>
      </c>
      <c r="E27" s="64">
        <v>4.63</v>
      </c>
      <c r="F27" s="64">
        <v>5.78</v>
      </c>
      <c r="G27" s="64">
        <v>21.66</v>
      </c>
      <c r="H27" s="64">
        <v>6.02</v>
      </c>
      <c r="I27" s="64">
        <v>1.1200000000000001</v>
      </c>
      <c r="J27" s="64">
        <v>0.04</v>
      </c>
      <c r="K27" s="64">
        <v>326.88</v>
      </c>
      <c r="L27" s="64">
        <v>25.14</v>
      </c>
      <c r="M27" s="64">
        <v>97.68</v>
      </c>
      <c r="N27" s="64">
        <v>44.9</v>
      </c>
      <c r="O27" s="64">
        <v>0</v>
      </c>
      <c r="P27" s="64">
        <v>0.2</v>
      </c>
      <c r="Q27" s="64">
        <v>9.64</v>
      </c>
      <c r="R27" s="198"/>
      <c r="S27" s="198"/>
      <c r="T27" s="198"/>
      <c r="U27" s="198"/>
    </row>
    <row r="28" spans="1:21" s="12" customFormat="1" x14ac:dyDescent="0.25">
      <c r="A28" s="212" t="s">
        <v>1418</v>
      </c>
      <c r="B28" s="64">
        <v>4.9800000000000004</v>
      </c>
      <c r="C28" s="64">
        <v>10.89</v>
      </c>
      <c r="D28" s="64">
        <v>9.68</v>
      </c>
      <c r="E28" s="64">
        <v>4.49</v>
      </c>
      <c r="F28" s="64">
        <v>6.42</v>
      </c>
      <c r="G28" s="64">
        <v>21.25</v>
      </c>
      <c r="H28" s="64">
        <v>5.93</v>
      </c>
      <c r="I28" s="64">
        <v>1.1100000000000001</v>
      </c>
      <c r="J28" s="64">
        <v>0.15</v>
      </c>
      <c r="K28" s="64">
        <v>190.2</v>
      </c>
      <c r="L28" s="64">
        <v>25.13</v>
      </c>
      <c r="M28" s="64">
        <v>97.69</v>
      </c>
      <c r="N28" s="64">
        <v>44.9</v>
      </c>
      <c r="O28" s="64">
        <v>0</v>
      </c>
      <c r="P28" s="64">
        <v>0.19</v>
      </c>
      <c r="Q28" s="64">
        <v>9.65</v>
      </c>
      <c r="R28" s="198"/>
      <c r="S28" s="198"/>
      <c r="T28" s="198"/>
      <c r="U28" s="198"/>
    </row>
    <row r="29" spans="1:21" s="12" customFormat="1" x14ac:dyDescent="0.25">
      <c r="A29" s="212" t="s">
        <v>1419</v>
      </c>
      <c r="B29" s="64">
        <v>8.09</v>
      </c>
      <c r="C29" s="64">
        <v>8.73</v>
      </c>
      <c r="D29" s="64">
        <v>11.05</v>
      </c>
      <c r="E29" s="64">
        <v>4.7</v>
      </c>
      <c r="F29" s="64">
        <v>4.7300000000000004</v>
      </c>
      <c r="G29" s="64">
        <v>21.25</v>
      </c>
      <c r="H29" s="64">
        <v>5.93</v>
      </c>
      <c r="I29" s="64">
        <v>1.1100000000000001</v>
      </c>
      <c r="J29" s="64">
        <v>0.27</v>
      </c>
      <c r="K29" s="64">
        <v>143.87</v>
      </c>
      <c r="L29" s="64">
        <v>24.99</v>
      </c>
      <c r="M29" s="64">
        <v>97.73</v>
      </c>
      <c r="N29" s="64">
        <v>44.9</v>
      </c>
      <c r="O29" s="64">
        <v>0</v>
      </c>
      <c r="P29" s="64">
        <v>0.32</v>
      </c>
      <c r="Q29" s="64">
        <v>9.64</v>
      </c>
      <c r="R29" s="198"/>
      <c r="S29" s="198"/>
      <c r="T29" s="198"/>
      <c r="U29" s="198"/>
    </row>
    <row r="30" spans="1:21" s="12" customFormat="1" x14ac:dyDescent="0.25">
      <c r="A30" s="212" t="s">
        <v>1420</v>
      </c>
      <c r="B30" s="64">
        <v>6.65</v>
      </c>
      <c r="C30" s="64">
        <v>8.65</v>
      </c>
      <c r="D30" s="64">
        <v>9.85</v>
      </c>
      <c r="E30" s="64">
        <v>4.53</v>
      </c>
      <c r="F30" s="64">
        <v>4.9400000000000004</v>
      </c>
      <c r="G30" s="64">
        <v>21.25</v>
      </c>
      <c r="H30" s="64">
        <v>5.93</v>
      </c>
      <c r="I30" s="64">
        <v>1.1100000000000001</v>
      </c>
      <c r="J30" s="64">
        <v>0.06</v>
      </c>
      <c r="K30" s="64">
        <v>163.55000000000001</v>
      </c>
      <c r="L30" s="64">
        <v>24.82</v>
      </c>
      <c r="M30" s="64">
        <v>97.74</v>
      </c>
      <c r="N30" s="64">
        <v>44.9</v>
      </c>
      <c r="O30" s="64">
        <v>0</v>
      </c>
      <c r="P30" s="64">
        <v>0.27</v>
      </c>
      <c r="Q30" s="64">
        <v>9.64</v>
      </c>
      <c r="R30" s="198"/>
      <c r="S30" s="198"/>
      <c r="T30" s="198"/>
      <c r="U30" s="198"/>
    </row>
    <row r="31" spans="1:21" s="12" customFormat="1" x14ac:dyDescent="0.25">
      <c r="A31" s="212" t="s">
        <v>1421</v>
      </c>
      <c r="B31" s="64">
        <v>6.89</v>
      </c>
      <c r="C31" s="64">
        <v>7.48</v>
      </c>
      <c r="D31" s="64">
        <v>9.43</v>
      </c>
      <c r="E31" s="64">
        <v>4.54</v>
      </c>
      <c r="F31" s="64">
        <v>3.91</v>
      </c>
      <c r="G31" s="64">
        <v>25.82</v>
      </c>
      <c r="H31" s="64">
        <v>6.18</v>
      </c>
      <c r="I31" s="64">
        <v>1.1499999999999999</v>
      </c>
      <c r="J31" s="64">
        <v>0.42</v>
      </c>
      <c r="K31" s="64">
        <v>131.41999999999999</v>
      </c>
      <c r="L31" s="64">
        <v>24.67</v>
      </c>
      <c r="M31" s="64">
        <v>97.75</v>
      </c>
      <c r="N31" s="64">
        <v>45.3</v>
      </c>
      <c r="O31" s="64">
        <v>0</v>
      </c>
      <c r="P31" s="64">
        <v>0.28000000000000003</v>
      </c>
      <c r="Q31" s="64">
        <v>9.64</v>
      </c>
      <c r="R31" s="198"/>
      <c r="S31" s="198"/>
      <c r="T31" s="198"/>
      <c r="U31" s="198"/>
    </row>
    <row r="32" spans="1:21" s="12" customFormat="1" x14ac:dyDescent="0.25">
      <c r="A32" s="212" t="s">
        <v>1422</v>
      </c>
      <c r="B32" s="64">
        <v>7.24</v>
      </c>
      <c r="C32" s="64">
        <v>7.66</v>
      </c>
      <c r="D32" s="64">
        <v>9.81</v>
      </c>
      <c r="E32" s="64">
        <v>4.3499999999999996</v>
      </c>
      <c r="F32" s="64">
        <v>6.71</v>
      </c>
      <c r="G32" s="64">
        <v>26.21</v>
      </c>
      <c r="H32" s="64">
        <v>6.21</v>
      </c>
      <c r="I32" s="64">
        <v>1.1599999999999999</v>
      </c>
      <c r="J32" s="64">
        <v>0.4</v>
      </c>
      <c r="K32" s="64">
        <v>127.81</v>
      </c>
      <c r="L32" s="64">
        <v>24.69</v>
      </c>
      <c r="M32" s="64">
        <v>97.76</v>
      </c>
      <c r="N32" s="64">
        <v>46.6</v>
      </c>
      <c r="O32" s="64">
        <v>0</v>
      </c>
      <c r="P32" s="64">
        <v>0.23</v>
      </c>
      <c r="Q32" s="64">
        <v>9.6300000000000008</v>
      </c>
      <c r="R32" s="198"/>
      <c r="S32" s="198"/>
      <c r="T32" s="198"/>
      <c r="U32" s="198"/>
    </row>
    <row r="33" spans="1:21" s="12" customFormat="1" x14ac:dyDescent="0.25">
      <c r="A33" s="212" t="s">
        <v>1423</v>
      </c>
      <c r="B33" s="64">
        <v>8.02</v>
      </c>
      <c r="C33" s="64">
        <v>8.52</v>
      </c>
      <c r="D33" s="64">
        <v>10.89</v>
      </c>
      <c r="E33" s="64">
        <v>4.47</v>
      </c>
      <c r="F33" s="64">
        <v>5.65</v>
      </c>
      <c r="G33" s="64">
        <v>26.21</v>
      </c>
      <c r="H33" s="64">
        <v>6.21</v>
      </c>
      <c r="I33" s="64">
        <v>1.1599999999999999</v>
      </c>
      <c r="J33" s="64">
        <v>0.56999999999999995</v>
      </c>
      <c r="K33" s="64">
        <v>131.79</v>
      </c>
      <c r="L33" s="64">
        <v>24.7</v>
      </c>
      <c r="M33" s="64">
        <v>97.76</v>
      </c>
      <c r="N33" s="64">
        <v>48.1</v>
      </c>
      <c r="O33" s="64">
        <v>0</v>
      </c>
      <c r="P33" s="64">
        <v>0.26</v>
      </c>
      <c r="Q33" s="64">
        <v>9.64</v>
      </c>
      <c r="R33" s="198"/>
      <c r="S33" s="198"/>
      <c r="T33" s="198"/>
      <c r="U33" s="198"/>
    </row>
    <row r="34" spans="1:21" s="12" customFormat="1" x14ac:dyDescent="0.25">
      <c r="A34" s="212" t="s">
        <v>1424</v>
      </c>
      <c r="B34" s="64">
        <v>8.94</v>
      </c>
      <c r="C34" s="64">
        <v>7.52</v>
      </c>
      <c r="D34" s="64">
        <v>11.1</v>
      </c>
      <c r="E34" s="64">
        <v>4.3600000000000003</v>
      </c>
      <c r="F34" s="64">
        <v>6.71</v>
      </c>
      <c r="G34" s="64">
        <v>26.21</v>
      </c>
      <c r="H34" s="64">
        <v>6.21</v>
      </c>
      <c r="I34" s="64">
        <v>1.1599999999999999</v>
      </c>
      <c r="J34" s="64">
        <v>0.48</v>
      </c>
      <c r="K34" s="64">
        <v>147.04</v>
      </c>
      <c r="L34" s="64">
        <v>24.62</v>
      </c>
      <c r="M34" s="64">
        <v>97.75</v>
      </c>
      <c r="N34" s="64">
        <v>46.2</v>
      </c>
      <c r="O34" s="64">
        <v>0</v>
      </c>
      <c r="P34" s="64">
        <v>0.28000000000000003</v>
      </c>
      <c r="Q34" s="64">
        <v>9.66</v>
      </c>
      <c r="R34" s="198"/>
      <c r="S34" s="198"/>
      <c r="T34" s="198"/>
      <c r="U34" s="198"/>
    </row>
    <row r="35" spans="1:21" s="12" customFormat="1" x14ac:dyDescent="0.25">
      <c r="A35" s="212" t="s">
        <v>1425</v>
      </c>
      <c r="B35" s="64">
        <v>8.42</v>
      </c>
      <c r="C35" s="64">
        <v>7.56</v>
      </c>
      <c r="D35" s="64">
        <v>10.7</v>
      </c>
      <c r="E35" s="64">
        <v>4.72</v>
      </c>
      <c r="F35" s="64">
        <v>6.08</v>
      </c>
      <c r="G35" s="64">
        <v>25.87</v>
      </c>
      <c r="H35" s="64">
        <v>4.84</v>
      </c>
      <c r="I35" s="64">
        <v>1.1499999999999999</v>
      </c>
      <c r="J35" s="64">
        <v>0.38</v>
      </c>
      <c r="K35" s="64">
        <v>136.03</v>
      </c>
      <c r="L35" s="64">
        <v>24.26</v>
      </c>
      <c r="M35" s="64">
        <v>97.75</v>
      </c>
      <c r="N35" s="64">
        <v>47.7</v>
      </c>
      <c r="O35" s="64">
        <v>0</v>
      </c>
      <c r="P35" s="64">
        <v>0.33</v>
      </c>
      <c r="Q35" s="64">
        <v>9.66</v>
      </c>
      <c r="R35" s="198"/>
      <c r="S35" s="198"/>
      <c r="T35" s="198"/>
      <c r="U35" s="198"/>
    </row>
    <row r="36" spans="1:21" s="12" customFormat="1" x14ac:dyDescent="0.25">
      <c r="A36" s="212" t="s">
        <v>1426</v>
      </c>
      <c r="B36" s="64">
        <v>7.8</v>
      </c>
      <c r="C36" s="64">
        <v>8.74</v>
      </c>
      <c r="D36" s="64">
        <v>10.83</v>
      </c>
      <c r="E36" s="64">
        <v>4.6500000000000004</v>
      </c>
      <c r="F36" s="64">
        <v>6.37</v>
      </c>
      <c r="G36" s="64">
        <v>25.84</v>
      </c>
      <c r="H36" s="64">
        <v>4.72</v>
      </c>
      <c r="I36" s="64">
        <v>1.1399999999999999</v>
      </c>
      <c r="J36" s="64">
        <v>0.14000000000000001</v>
      </c>
      <c r="K36" s="64">
        <v>134.84</v>
      </c>
      <c r="L36" s="64">
        <v>24.02</v>
      </c>
      <c r="M36" s="64">
        <v>97.75</v>
      </c>
      <c r="N36" s="64">
        <v>51.2</v>
      </c>
      <c r="O36" s="64">
        <v>0</v>
      </c>
      <c r="P36" s="64">
        <v>0.35</v>
      </c>
      <c r="Q36" s="64">
        <v>9.66</v>
      </c>
      <c r="R36" s="198"/>
      <c r="S36" s="198"/>
      <c r="T36" s="198"/>
      <c r="U36" s="198"/>
    </row>
    <row r="37" spans="1:21" s="12" customFormat="1" x14ac:dyDescent="0.25">
      <c r="A37" s="212" t="s">
        <v>1427</v>
      </c>
      <c r="B37" s="64">
        <v>7.51</v>
      </c>
      <c r="C37" s="64">
        <v>9.4</v>
      </c>
      <c r="D37" s="64">
        <v>10.93</v>
      </c>
      <c r="E37" s="64">
        <v>4.78</v>
      </c>
      <c r="F37" s="64">
        <v>6.34</v>
      </c>
      <c r="G37" s="64">
        <v>25.84</v>
      </c>
      <c r="H37" s="64">
        <v>4.72</v>
      </c>
      <c r="I37" s="64">
        <v>1.18</v>
      </c>
      <c r="J37" s="64">
        <v>0.09</v>
      </c>
      <c r="K37" s="64">
        <v>157.02000000000001</v>
      </c>
      <c r="L37" s="64">
        <v>23.96</v>
      </c>
      <c r="M37" s="64">
        <v>97.78</v>
      </c>
      <c r="N37" s="64">
        <v>68.099999999999994</v>
      </c>
      <c r="O37" s="64">
        <v>0</v>
      </c>
      <c r="P37" s="64">
        <v>0.34</v>
      </c>
      <c r="Q37" s="64">
        <v>9.65</v>
      </c>
      <c r="R37" s="198"/>
      <c r="S37" s="198"/>
      <c r="T37" s="198"/>
      <c r="U37" s="198"/>
    </row>
    <row r="38" spans="1:21" s="12" customFormat="1" x14ac:dyDescent="0.25">
      <c r="A38" s="212" t="s">
        <v>1428</v>
      </c>
      <c r="B38" s="64">
        <v>12.9</v>
      </c>
      <c r="C38" s="64">
        <v>8.5299999999999994</v>
      </c>
      <c r="D38" s="64">
        <v>14.79</v>
      </c>
      <c r="E38" s="64">
        <v>5.07</v>
      </c>
      <c r="F38" s="64">
        <v>6.98</v>
      </c>
      <c r="G38" s="64">
        <v>25.84</v>
      </c>
      <c r="H38" s="64">
        <v>4.72</v>
      </c>
      <c r="I38" s="64">
        <v>1.23</v>
      </c>
      <c r="J38" s="64">
        <v>0.08</v>
      </c>
      <c r="K38" s="64">
        <v>340.97</v>
      </c>
      <c r="L38" s="64">
        <v>24.05</v>
      </c>
      <c r="M38" s="64">
        <v>97.8</v>
      </c>
      <c r="N38" s="64">
        <v>104.7</v>
      </c>
      <c r="O38" s="64">
        <v>0</v>
      </c>
      <c r="P38" s="64">
        <v>0.38</v>
      </c>
      <c r="Q38" s="64">
        <v>9.65</v>
      </c>
      <c r="R38" s="198"/>
      <c r="S38" s="198"/>
      <c r="T38" s="198"/>
      <c r="U38" s="198"/>
    </row>
    <row r="39" spans="1:21" s="12" customFormat="1" x14ac:dyDescent="0.25">
      <c r="A39" s="212" t="s">
        <v>1429</v>
      </c>
      <c r="B39" s="64">
        <v>15.66</v>
      </c>
      <c r="C39" s="64">
        <v>10.06</v>
      </c>
      <c r="D39" s="64">
        <v>17.82</v>
      </c>
      <c r="E39" s="64">
        <v>4.5599999999999996</v>
      </c>
      <c r="F39" s="64">
        <v>5.76</v>
      </c>
      <c r="G39" s="64">
        <v>17.86</v>
      </c>
      <c r="H39" s="64">
        <v>7.43</v>
      </c>
      <c r="I39" s="64">
        <v>1.28</v>
      </c>
      <c r="J39" s="64">
        <v>0.23</v>
      </c>
      <c r="K39" s="64">
        <v>334.56</v>
      </c>
      <c r="L39" s="64">
        <v>24.62</v>
      </c>
      <c r="M39" s="64">
        <v>97.81</v>
      </c>
      <c r="N39" s="64">
        <v>209.3</v>
      </c>
      <c r="O39" s="64">
        <v>0</v>
      </c>
      <c r="P39" s="64">
        <v>0.6</v>
      </c>
      <c r="Q39" s="64">
        <v>9.65</v>
      </c>
      <c r="R39" s="198"/>
      <c r="S39" s="198"/>
      <c r="T39" s="198"/>
      <c r="U39" s="198"/>
    </row>
    <row r="40" spans="1:21" s="12" customFormat="1" x14ac:dyDescent="0.25">
      <c r="A40" s="212" t="s">
        <v>1430</v>
      </c>
      <c r="B40" s="64">
        <v>8.36</v>
      </c>
      <c r="C40" s="64">
        <v>8.3000000000000007</v>
      </c>
      <c r="D40" s="64">
        <v>11.04</v>
      </c>
      <c r="E40" s="64">
        <v>3.58</v>
      </c>
      <c r="F40" s="64">
        <v>7.74</v>
      </c>
      <c r="G40" s="64">
        <v>17.190000000000001</v>
      </c>
      <c r="H40" s="64">
        <v>7.62</v>
      </c>
      <c r="I40" s="64">
        <v>1.31</v>
      </c>
      <c r="J40" s="64">
        <v>0.38</v>
      </c>
      <c r="K40" s="64">
        <v>137.02000000000001</v>
      </c>
      <c r="L40" s="64">
        <v>25.7</v>
      </c>
      <c r="M40" s="64">
        <v>97.72</v>
      </c>
      <c r="N40" s="64">
        <v>462.7</v>
      </c>
      <c r="O40" s="64">
        <v>0</v>
      </c>
      <c r="P40" s="64">
        <v>0.38</v>
      </c>
      <c r="Q40" s="64">
        <v>9.65</v>
      </c>
      <c r="R40" s="198"/>
      <c r="S40" s="198"/>
      <c r="T40" s="198"/>
      <c r="U40" s="198"/>
    </row>
    <row r="41" spans="1:21" s="12" customFormat="1" x14ac:dyDescent="0.25">
      <c r="A41" s="212" t="s">
        <v>1431</v>
      </c>
      <c r="B41" s="64">
        <v>14.29</v>
      </c>
      <c r="C41" s="64">
        <v>9.1199999999999992</v>
      </c>
      <c r="D41" s="64">
        <v>16.22</v>
      </c>
      <c r="E41" s="64">
        <v>3.97</v>
      </c>
      <c r="F41" s="64">
        <v>7.18</v>
      </c>
      <c r="G41" s="64">
        <v>17.190000000000001</v>
      </c>
      <c r="H41" s="64">
        <v>7.62</v>
      </c>
      <c r="I41" s="64">
        <v>1.34</v>
      </c>
      <c r="J41" s="64">
        <v>0.52</v>
      </c>
      <c r="K41" s="64">
        <v>346.69</v>
      </c>
      <c r="L41" s="64">
        <v>27.35</v>
      </c>
      <c r="M41" s="64">
        <v>97.66</v>
      </c>
      <c r="N41" s="64">
        <v>371.5</v>
      </c>
      <c r="O41" s="64">
        <v>0</v>
      </c>
      <c r="P41" s="64">
        <v>0.48</v>
      </c>
      <c r="Q41" s="64">
        <v>9.65</v>
      </c>
      <c r="R41" s="198"/>
      <c r="S41" s="198"/>
      <c r="T41" s="198"/>
      <c r="U41" s="198"/>
    </row>
    <row r="42" spans="1:21" s="12" customFormat="1" x14ac:dyDescent="0.25">
      <c r="A42" s="212" t="s">
        <v>1432</v>
      </c>
      <c r="B42" s="64">
        <v>11.19</v>
      </c>
      <c r="C42" s="64">
        <v>12.23</v>
      </c>
      <c r="D42" s="64">
        <v>15.36</v>
      </c>
      <c r="E42" s="64">
        <v>4.08</v>
      </c>
      <c r="F42" s="64">
        <v>8.09</v>
      </c>
      <c r="G42" s="64">
        <v>17.190000000000001</v>
      </c>
      <c r="H42" s="64">
        <v>7.62</v>
      </c>
      <c r="I42" s="64">
        <v>1.39</v>
      </c>
      <c r="J42" s="64">
        <v>0.11</v>
      </c>
      <c r="K42" s="64">
        <v>42.76</v>
      </c>
      <c r="L42" s="64">
        <v>28.67</v>
      </c>
      <c r="M42" s="64">
        <v>97.23</v>
      </c>
      <c r="N42" s="64">
        <v>382.6</v>
      </c>
      <c r="O42" s="64">
        <v>0</v>
      </c>
      <c r="P42" s="64">
        <v>0.59</v>
      </c>
      <c r="Q42" s="64">
        <v>9.6300000000000008</v>
      </c>
      <c r="R42" s="198"/>
      <c r="S42" s="198"/>
      <c r="T42" s="198"/>
      <c r="U42" s="198"/>
    </row>
    <row r="43" spans="1:21" s="12" customFormat="1" x14ac:dyDescent="0.25">
      <c r="A43" s="212" t="s">
        <v>1433</v>
      </c>
      <c r="B43" s="64">
        <v>10.01</v>
      </c>
      <c r="C43" s="64">
        <v>10.24</v>
      </c>
      <c r="D43" s="64">
        <v>13.38</v>
      </c>
      <c r="E43" s="64">
        <v>3.57</v>
      </c>
      <c r="F43" s="64">
        <v>6.45</v>
      </c>
      <c r="G43" s="64">
        <v>12.23</v>
      </c>
      <c r="H43" s="64">
        <v>5.94</v>
      </c>
      <c r="I43" s="64">
        <v>1.44</v>
      </c>
      <c r="J43" s="64">
        <v>0.24</v>
      </c>
      <c r="K43" s="64">
        <v>133.65</v>
      </c>
      <c r="L43" s="64">
        <v>27.52</v>
      </c>
      <c r="M43" s="64">
        <v>97.46</v>
      </c>
      <c r="N43" s="64">
        <v>214.1</v>
      </c>
      <c r="O43" s="64">
        <v>0</v>
      </c>
      <c r="P43" s="64">
        <v>0.54</v>
      </c>
      <c r="Q43" s="64">
        <v>9.65</v>
      </c>
      <c r="R43" s="198"/>
      <c r="S43" s="198"/>
      <c r="T43" s="198"/>
      <c r="U43" s="198"/>
    </row>
    <row r="44" spans="1:21" s="12" customFormat="1" x14ac:dyDescent="0.25">
      <c r="A44" s="212" t="s">
        <v>1434</v>
      </c>
      <c r="B44" s="64">
        <v>11.45</v>
      </c>
      <c r="C44" s="64">
        <v>11.57</v>
      </c>
      <c r="D44" s="64">
        <v>15.23</v>
      </c>
      <c r="E44" s="64">
        <v>3.73</v>
      </c>
      <c r="F44" s="64">
        <v>9.31</v>
      </c>
      <c r="G44" s="64">
        <v>11.81</v>
      </c>
      <c r="H44" s="64">
        <v>5.8</v>
      </c>
      <c r="I44" s="64">
        <v>1.47</v>
      </c>
      <c r="J44" s="64">
        <v>0.43</v>
      </c>
      <c r="K44" s="64">
        <v>131.53</v>
      </c>
      <c r="L44" s="64">
        <v>27.21</v>
      </c>
      <c r="M44" s="64">
        <v>97.65</v>
      </c>
      <c r="N44" s="64">
        <v>285.39999999999998</v>
      </c>
      <c r="O44" s="64">
        <v>0</v>
      </c>
      <c r="P44" s="64">
        <v>0.5</v>
      </c>
      <c r="Q44" s="64">
        <v>9.64</v>
      </c>
      <c r="R44" s="198"/>
      <c r="S44" s="198"/>
      <c r="T44" s="198"/>
      <c r="U44" s="198"/>
    </row>
    <row r="45" spans="1:21" s="12" customFormat="1" x14ac:dyDescent="0.25">
      <c r="A45" s="212" t="s">
        <v>1435</v>
      </c>
      <c r="B45" s="64">
        <v>21.12</v>
      </c>
      <c r="C45" s="64">
        <v>15.26</v>
      </c>
      <c r="D45" s="64">
        <v>24.91</v>
      </c>
      <c r="E45" s="64">
        <v>4.17</v>
      </c>
      <c r="F45" s="64">
        <v>9.15</v>
      </c>
      <c r="G45" s="64">
        <v>11.81</v>
      </c>
      <c r="H45" s="64">
        <v>5.8</v>
      </c>
      <c r="I45" s="64">
        <v>1.52</v>
      </c>
      <c r="J45" s="64">
        <v>0.17</v>
      </c>
      <c r="K45" s="64">
        <v>98.43</v>
      </c>
      <c r="L45" s="64">
        <v>27.69</v>
      </c>
      <c r="M45" s="64">
        <v>97.63</v>
      </c>
      <c r="N45" s="64">
        <v>322.8</v>
      </c>
      <c r="O45" s="64">
        <v>0</v>
      </c>
      <c r="P45" s="64">
        <v>0.7</v>
      </c>
      <c r="Q45" s="64">
        <v>9.65</v>
      </c>
      <c r="R45" s="198"/>
      <c r="S45" s="198"/>
      <c r="T45" s="198"/>
      <c r="U45" s="198"/>
    </row>
    <row r="46" spans="1:21" s="12" customFormat="1" x14ac:dyDescent="0.25">
      <c r="A46" s="212" t="s">
        <v>1436</v>
      </c>
      <c r="B46" s="64">
        <v>10.46</v>
      </c>
      <c r="C46" s="64">
        <v>13.64</v>
      </c>
      <c r="D46" s="64">
        <v>15.51</v>
      </c>
      <c r="E46" s="64">
        <v>3.9</v>
      </c>
      <c r="F46" s="64">
        <v>9.0399999999999991</v>
      </c>
      <c r="G46" s="64">
        <v>11.81</v>
      </c>
      <c r="H46" s="64">
        <v>5.8</v>
      </c>
      <c r="I46" s="64">
        <v>1.58</v>
      </c>
      <c r="J46" s="64">
        <v>0.08</v>
      </c>
      <c r="K46" s="64">
        <v>65.19</v>
      </c>
      <c r="L46" s="64">
        <v>28.83</v>
      </c>
      <c r="M46" s="64">
        <v>95.77</v>
      </c>
      <c r="N46" s="64">
        <v>597.70000000000005</v>
      </c>
      <c r="O46" s="64">
        <v>0</v>
      </c>
      <c r="P46" s="64">
        <v>0.6</v>
      </c>
      <c r="Q46" s="64">
        <v>9.64</v>
      </c>
      <c r="R46" s="198"/>
      <c r="S46" s="198"/>
      <c r="T46" s="198"/>
      <c r="U46" s="198"/>
    </row>
    <row r="47" spans="1:21" s="12" customFormat="1" x14ac:dyDescent="0.25">
      <c r="A47" s="212" t="s">
        <v>1437</v>
      </c>
      <c r="B47" s="64">
        <v>8.68</v>
      </c>
      <c r="C47" s="64">
        <v>10.27</v>
      </c>
      <c r="D47" s="64">
        <v>12.27</v>
      </c>
      <c r="E47" s="64">
        <v>4.01</v>
      </c>
      <c r="F47" s="64">
        <v>10.94</v>
      </c>
      <c r="G47" s="64">
        <v>26.82</v>
      </c>
      <c r="H47" s="64">
        <v>8.14</v>
      </c>
      <c r="I47" s="64">
        <v>1.66</v>
      </c>
      <c r="J47" s="64">
        <v>0.39</v>
      </c>
      <c r="K47" s="64">
        <v>123.23</v>
      </c>
      <c r="L47" s="64">
        <v>29.61</v>
      </c>
      <c r="M47" s="64">
        <v>89.01</v>
      </c>
      <c r="N47" s="64">
        <v>427.9</v>
      </c>
      <c r="O47" s="64">
        <v>0</v>
      </c>
      <c r="P47" s="64">
        <v>0.5</v>
      </c>
      <c r="Q47" s="64">
        <v>9.6</v>
      </c>
      <c r="R47" s="198"/>
      <c r="S47" s="198"/>
      <c r="T47" s="198"/>
      <c r="U47" s="198"/>
    </row>
    <row r="48" spans="1:21" s="12" customFormat="1" x14ac:dyDescent="0.25">
      <c r="A48" s="212" t="s">
        <v>1438</v>
      </c>
      <c r="B48" s="64">
        <v>11.14</v>
      </c>
      <c r="C48" s="64">
        <v>12.5</v>
      </c>
      <c r="D48" s="64">
        <v>15.46</v>
      </c>
      <c r="E48" s="64">
        <v>4.38</v>
      </c>
      <c r="F48" s="64">
        <v>13.9</v>
      </c>
      <c r="G48" s="64">
        <v>28.09</v>
      </c>
      <c r="H48" s="64">
        <v>8.34</v>
      </c>
      <c r="I48" s="64">
        <v>1.75</v>
      </c>
      <c r="J48" s="64">
        <v>0.15</v>
      </c>
      <c r="K48" s="64">
        <v>58.94</v>
      </c>
      <c r="L48" s="64">
        <v>29.14</v>
      </c>
      <c r="M48" s="64">
        <v>92.14</v>
      </c>
      <c r="N48" s="64">
        <v>631.20000000000005</v>
      </c>
      <c r="O48" s="64">
        <v>0</v>
      </c>
      <c r="P48" s="64">
        <v>0.54</v>
      </c>
      <c r="Q48" s="64">
        <v>9.6199999999999992</v>
      </c>
      <c r="R48" s="198"/>
      <c r="S48" s="198"/>
      <c r="T48" s="198"/>
      <c r="U48" s="198"/>
    </row>
    <row r="49" spans="1:21" s="12" customFormat="1" x14ac:dyDescent="0.25">
      <c r="A49" s="212" t="s">
        <v>1439</v>
      </c>
      <c r="B49" s="64">
        <v>10.14</v>
      </c>
      <c r="C49" s="64">
        <v>10.73</v>
      </c>
      <c r="D49" s="64">
        <v>13.74</v>
      </c>
      <c r="E49" s="64">
        <v>4.16</v>
      </c>
      <c r="F49" s="64">
        <v>10.76</v>
      </c>
      <c r="G49" s="64">
        <v>28.09</v>
      </c>
      <c r="H49" s="64">
        <v>8.34</v>
      </c>
      <c r="I49" s="64">
        <v>1.78</v>
      </c>
      <c r="J49" s="64">
        <v>0.12</v>
      </c>
      <c r="K49" s="64">
        <v>317.27</v>
      </c>
      <c r="L49" s="64">
        <v>30.45</v>
      </c>
      <c r="M49" s="64">
        <v>85.2</v>
      </c>
      <c r="N49" s="64">
        <v>495.2</v>
      </c>
      <c r="O49" s="64">
        <v>0</v>
      </c>
      <c r="P49" s="64">
        <v>0.48</v>
      </c>
      <c r="Q49" s="64">
        <v>9.6199999999999992</v>
      </c>
      <c r="R49" s="198"/>
      <c r="S49" s="198"/>
      <c r="T49" s="198"/>
      <c r="U49" s="198"/>
    </row>
    <row r="50" spans="1:21" s="12" customFormat="1" x14ac:dyDescent="0.25">
      <c r="A50" s="212" t="s">
        <v>1440</v>
      </c>
      <c r="B50" s="64">
        <v>11.24</v>
      </c>
      <c r="C50" s="64">
        <v>9.2899999999999991</v>
      </c>
      <c r="D50" s="64">
        <v>13.87</v>
      </c>
      <c r="E50" s="64">
        <v>4.3099999999999996</v>
      </c>
      <c r="F50" s="64">
        <v>9.51</v>
      </c>
      <c r="G50" s="64">
        <v>28.09</v>
      </c>
      <c r="H50" s="64">
        <v>8.34</v>
      </c>
      <c r="I50" s="64">
        <v>1.8</v>
      </c>
      <c r="J50" s="64">
        <v>0.09</v>
      </c>
      <c r="K50" s="64">
        <v>25.8</v>
      </c>
      <c r="L50" s="64">
        <v>31.59</v>
      </c>
      <c r="M50" s="64">
        <v>79.680000000000007</v>
      </c>
      <c r="N50" s="64">
        <v>651.5</v>
      </c>
      <c r="O50" s="64">
        <v>0</v>
      </c>
      <c r="P50" s="64">
        <v>0.57999999999999996</v>
      </c>
      <c r="Q50" s="64">
        <v>9.61</v>
      </c>
      <c r="R50" s="198"/>
      <c r="S50" s="198"/>
      <c r="T50" s="198"/>
      <c r="U50" s="198"/>
    </row>
    <row r="51" spans="1:21" s="12" customFormat="1" x14ac:dyDescent="0.25">
      <c r="A51" s="212" t="s">
        <v>1441</v>
      </c>
      <c r="B51" s="64">
        <v>7.27</v>
      </c>
      <c r="C51" s="64">
        <v>9.7100000000000009</v>
      </c>
      <c r="D51" s="64">
        <v>10.9</v>
      </c>
      <c r="E51" s="64">
        <v>4.0999999999999996</v>
      </c>
      <c r="F51" s="64">
        <v>13.91</v>
      </c>
      <c r="G51" s="64">
        <v>45.34</v>
      </c>
      <c r="H51" s="64">
        <v>9.66</v>
      </c>
      <c r="I51" s="64">
        <v>1.83</v>
      </c>
      <c r="J51" s="64">
        <v>0.5</v>
      </c>
      <c r="K51" s="64">
        <v>142.78</v>
      </c>
      <c r="L51" s="64">
        <v>29.28</v>
      </c>
      <c r="M51" s="64">
        <v>91.12</v>
      </c>
      <c r="N51" s="64">
        <v>160.9</v>
      </c>
      <c r="O51" s="64">
        <v>0</v>
      </c>
      <c r="P51" s="64">
        <v>0.45</v>
      </c>
      <c r="Q51" s="64">
        <v>9.6199999999999992</v>
      </c>
      <c r="R51" s="198"/>
      <c r="S51" s="198"/>
      <c r="T51" s="198"/>
      <c r="U51" s="198"/>
    </row>
    <row r="52" spans="1:21" s="12" customFormat="1" x14ac:dyDescent="0.25">
      <c r="A52" s="212" t="s">
        <v>1442</v>
      </c>
      <c r="B52" s="64">
        <v>7.96</v>
      </c>
      <c r="C52" s="64">
        <v>12.79</v>
      </c>
      <c r="D52" s="64">
        <v>13.06</v>
      </c>
      <c r="E52" s="64">
        <v>4.37</v>
      </c>
      <c r="F52" s="64">
        <v>11.01</v>
      </c>
      <c r="G52" s="64">
        <v>46.8</v>
      </c>
      <c r="H52" s="64">
        <v>9.77</v>
      </c>
      <c r="I52" s="64">
        <v>1.85</v>
      </c>
      <c r="J52" s="64">
        <v>0.28000000000000003</v>
      </c>
      <c r="K52" s="64">
        <v>148.02000000000001</v>
      </c>
      <c r="L52" s="64">
        <v>27.97</v>
      </c>
      <c r="M52" s="64">
        <v>97.6</v>
      </c>
      <c r="N52" s="64">
        <v>269.89999999999998</v>
      </c>
      <c r="O52" s="64">
        <v>0</v>
      </c>
      <c r="P52" s="64">
        <v>0.52</v>
      </c>
      <c r="Q52" s="64">
        <v>9.6300000000000008</v>
      </c>
      <c r="R52" s="198"/>
      <c r="S52" s="198"/>
      <c r="T52" s="198"/>
      <c r="U52" s="198"/>
    </row>
    <row r="53" spans="1:21" s="12" customFormat="1" x14ac:dyDescent="0.25">
      <c r="A53" s="212" t="s">
        <v>1443</v>
      </c>
      <c r="B53" s="64">
        <v>8.1999999999999993</v>
      </c>
      <c r="C53" s="64">
        <v>14.46</v>
      </c>
      <c r="D53" s="64">
        <v>14.13</v>
      </c>
      <c r="E53" s="64">
        <v>3.99</v>
      </c>
      <c r="F53" s="64">
        <v>15.11</v>
      </c>
      <c r="G53" s="64">
        <v>46.8</v>
      </c>
      <c r="H53" s="64">
        <v>9.77</v>
      </c>
      <c r="I53" s="64">
        <v>1.85</v>
      </c>
      <c r="J53" s="64">
        <v>0.35</v>
      </c>
      <c r="K53" s="64">
        <v>119.07</v>
      </c>
      <c r="L53" s="64">
        <v>28.9</v>
      </c>
      <c r="M53" s="64">
        <v>92.7</v>
      </c>
      <c r="N53" s="64">
        <v>589.20000000000005</v>
      </c>
      <c r="O53" s="64">
        <v>0</v>
      </c>
      <c r="P53" s="64">
        <v>0.48</v>
      </c>
      <c r="Q53" s="64">
        <v>9.65</v>
      </c>
      <c r="R53" s="198"/>
      <c r="S53" s="198"/>
      <c r="T53" s="198"/>
      <c r="U53" s="198"/>
    </row>
    <row r="54" spans="1:21" s="12" customFormat="1" x14ac:dyDescent="0.25">
      <c r="A54" s="212" t="s">
        <v>1444</v>
      </c>
      <c r="B54" s="64">
        <v>5.84</v>
      </c>
      <c r="C54" s="64">
        <v>13.08</v>
      </c>
      <c r="D54" s="64">
        <v>11.52</v>
      </c>
      <c r="E54" s="64">
        <v>4.2</v>
      </c>
      <c r="F54" s="64">
        <v>12.29</v>
      </c>
      <c r="G54" s="64">
        <v>46.8</v>
      </c>
      <c r="H54" s="64">
        <v>9.77</v>
      </c>
      <c r="I54" s="64">
        <v>1.89</v>
      </c>
      <c r="J54" s="64">
        <v>0.48</v>
      </c>
      <c r="K54" s="64">
        <v>146.41999999999999</v>
      </c>
      <c r="L54" s="64">
        <v>29.43</v>
      </c>
      <c r="M54" s="64">
        <v>88.74</v>
      </c>
      <c r="N54" s="64">
        <v>471.7</v>
      </c>
      <c r="O54" s="64">
        <v>0</v>
      </c>
      <c r="P54" s="64">
        <v>0.37</v>
      </c>
      <c r="Q54" s="64">
        <v>9.6199999999999992</v>
      </c>
      <c r="R54" s="198"/>
      <c r="S54" s="198"/>
      <c r="T54" s="198"/>
      <c r="U54" s="198"/>
    </row>
    <row r="55" spans="1:21" s="12" customFormat="1" x14ac:dyDescent="0.25">
      <c r="A55" s="212" t="s">
        <v>1445</v>
      </c>
      <c r="B55" s="64">
        <v>5.03</v>
      </c>
      <c r="C55" s="64">
        <v>12.94</v>
      </c>
      <c r="D55" s="64">
        <v>10.79</v>
      </c>
      <c r="E55" s="64">
        <v>4.1900000000000004</v>
      </c>
      <c r="F55" s="64">
        <v>18.21</v>
      </c>
      <c r="G55" s="64">
        <v>42.38</v>
      </c>
      <c r="H55" s="64">
        <v>10.76</v>
      </c>
      <c r="I55" s="64">
        <v>1.92</v>
      </c>
      <c r="J55" s="64">
        <v>0.41</v>
      </c>
      <c r="K55" s="64">
        <v>110.41</v>
      </c>
      <c r="L55" s="64">
        <v>29.34</v>
      </c>
      <c r="M55" s="64">
        <v>88.05</v>
      </c>
      <c r="N55" s="64">
        <v>509.4</v>
      </c>
      <c r="O55" s="64">
        <v>0</v>
      </c>
      <c r="P55" s="64">
        <v>0.32</v>
      </c>
      <c r="Q55" s="64">
        <v>9.59</v>
      </c>
      <c r="R55" s="198"/>
      <c r="S55" s="198"/>
      <c r="T55" s="198"/>
      <c r="U55" s="198"/>
    </row>
    <row r="56" spans="1:21" s="12" customFormat="1" x14ac:dyDescent="0.25">
      <c r="A56" s="212" t="s">
        <v>1446</v>
      </c>
      <c r="B56" s="64">
        <v>4.76</v>
      </c>
      <c r="C56" s="64">
        <v>14.26</v>
      </c>
      <c r="D56" s="64">
        <v>11.27</v>
      </c>
      <c r="E56" s="64">
        <v>4.2300000000000004</v>
      </c>
      <c r="F56" s="64">
        <v>15.12</v>
      </c>
      <c r="G56" s="64">
        <v>42</v>
      </c>
      <c r="H56" s="64">
        <v>10.84</v>
      </c>
      <c r="I56" s="64">
        <v>1.93</v>
      </c>
      <c r="J56" s="64">
        <v>0.33</v>
      </c>
      <c r="K56" s="64">
        <v>118.2</v>
      </c>
      <c r="L56" s="64">
        <v>29.33</v>
      </c>
      <c r="M56" s="64">
        <v>88.21</v>
      </c>
      <c r="N56" s="64">
        <v>411.4</v>
      </c>
      <c r="O56" s="64">
        <v>0</v>
      </c>
      <c r="P56" s="64">
        <v>0.33</v>
      </c>
      <c r="Q56" s="64">
        <v>9.6</v>
      </c>
      <c r="R56" s="198"/>
      <c r="S56" s="198"/>
      <c r="T56" s="198"/>
      <c r="U56" s="198"/>
    </row>
    <row r="57" spans="1:21" s="12" customFormat="1" x14ac:dyDescent="0.25">
      <c r="A57" s="212" t="s">
        <v>1447</v>
      </c>
      <c r="B57" s="64">
        <v>4.8099999999999996</v>
      </c>
      <c r="C57" s="64">
        <v>14.08</v>
      </c>
      <c r="D57" s="64">
        <v>11.22</v>
      </c>
      <c r="E57" s="64">
        <v>4.1500000000000004</v>
      </c>
      <c r="F57" s="64">
        <v>16.05</v>
      </c>
      <c r="G57" s="64">
        <v>42</v>
      </c>
      <c r="H57" s="64">
        <v>10.84</v>
      </c>
      <c r="I57" s="64">
        <v>1.91</v>
      </c>
      <c r="J57" s="64">
        <v>0.42</v>
      </c>
      <c r="K57" s="64">
        <v>117.74</v>
      </c>
      <c r="L57" s="64">
        <v>29.38</v>
      </c>
      <c r="M57" s="64">
        <v>88.09</v>
      </c>
      <c r="N57" s="64">
        <v>462.7</v>
      </c>
      <c r="O57" s="64">
        <v>0</v>
      </c>
      <c r="P57" s="64">
        <v>0.33</v>
      </c>
      <c r="Q57" s="64">
        <v>9.6</v>
      </c>
      <c r="R57" s="198"/>
      <c r="S57" s="198"/>
      <c r="T57" s="198"/>
      <c r="U57" s="198"/>
    </row>
    <row r="58" spans="1:21" s="12" customFormat="1" x14ac:dyDescent="0.25">
      <c r="A58" s="212" t="s">
        <v>1448</v>
      </c>
      <c r="B58" s="64">
        <v>4.5999999999999996</v>
      </c>
      <c r="C58" s="64">
        <v>15.53</v>
      </c>
      <c r="D58" s="64">
        <v>11.8</v>
      </c>
      <c r="E58" s="64">
        <v>4.07</v>
      </c>
      <c r="F58" s="64">
        <v>12.51</v>
      </c>
      <c r="G58" s="64">
        <v>42</v>
      </c>
      <c r="H58" s="64">
        <v>10.84</v>
      </c>
      <c r="I58" s="64">
        <v>1.86</v>
      </c>
      <c r="J58" s="64">
        <v>0.5</v>
      </c>
      <c r="K58" s="64">
        <v>139.05000000000001</v>
      </c>
      <c r="L58" s="64">
        <v>29.76</v>
      </c>
      <c r="M58" s="64">
        <v>82.69</v>
      </c>
      <c r="N58" s="64">
        <v>599.5</v>
      </c>
      <c r="O58" s="64">
        <v>0</v>
      </c>
      <c r="P58" s="64">
        <v>0.35</v>
      </c>
      <c r="Q58" s="64">
        <v>9.6</v>
      </c>
      <c r="R58" s="198"/>
      <c r="S58" s="198"/>
      <c r="T58" s="198"/>
      <c r="U58" s="198"/>
    </row>
    <row r="59" spans="1:21" s="12" customFormat="1" x14ac:dyDescent="0.25">
      <c r="A59" s="212" t="s">
        <v>1449</v>
      </c>
      <c r="B59" s="64">
        <v>4.67</v>
      </c>
      <c r="C59" s="64">
        <v>13.48</v>
      </c>
      <c r="D59" s="64">
        <v>10.78</v>
      </c>
      <c r="E59" s="64">
        <v>4.1399999999999997</v>
      </c>
      <c r="F59" s="64">
        <v>12.42</v>
      </c>
      <c r="G59" s="64">
        <v>43.9</v>
      </c>
      <c r="H59" s="64">
        <v>10.220000000000001</v>
      </c>
      <c r="I59" s="64">
        <v>1.77</v>
      </c>
      <c r="J59" s="64">
        <v>0.52</v>
      </c>
      <c r="K59" s="64">
        <v>151.86000000000001</v>
      </c>
      <c r="L59" s="64">
        <v>29.87</v>
      </c>
      <c r="M59" s="64">
        <v>79.89</v>
      </c>
      <c r="N59" s="64">
        <v>556.70000000000005</v>
      </c>
      <c r="O59" s="64">
        <v>0</v>
      </c>
      <c r="P59" s="64">
        <v>0.3</v>
      </c>
      <c r="Q59" s="64">
        <v>9.58</v>
      </c>
      <c r="R59" s="198"/>
      <c r="S59" s="198"/>
      <c r="T59" s="198"/>
      <c r="U59" s="198"/>
    </row>
    <row r="60" spans="1:21" s="12" customFormat="1" x14ac:dyDescent="0.25">
      <c r="A60" s="212" t="s">
        <v>1450</v>
      </c>
      <c r="B60" s="64">
        <v>4.28</v>
      </c>
      <c r="C60" s="64">
        <v>11.89</v>
      </c>
      <c r="D60" s="64">
        <v>9.64</v>
      </c>
      <c r="E60" s="64">
        <v>4.1500000000000004</v>
      </c>
      <c r="F60" s="64">
        <v>10.5</v>
      </c>
      <c r="G60" s="64">
        <v>44.06</v>
      </c>
      <c r="H60" s="64">
        <v>10.17</v>
      </c>
      <c r="I60" s="64">
        <v>1.71</v>
      </c>
      <c r="J60" s="64">
        <v>0.87</v>
      </c>
      <c r="K60" s="64">
        <v>158.77000000000001</v>
      </c>
      <c r="L60" s="64">
        <v>29.92</v>
      </c>
      <c r="M60" s="64">
        <v>78.84</v>
      </c>
      <c r="N60" s="64">
        <v>625.6</v>
      </c>
      <c r="O60" s="64">
        <v>0</v>
      </c>
      <c r="P60" s="64">
        <v>0.3</v>
      </c>
      <c r="Q60" s="64">
        <v>9.58</v>
      </c>
      <c r="R60" s="198"/>
      <c r="S60" s="198"/>
      <c r="T60" s="198"/>
      <c r="U60" s="198"/>
    </row>
    <row r="61" spans="1:21" s="12" customFormat="1" x14ac:dyDescent="0.25">
      <c r="A61" s="212" t="s">
        <v>1451</v>
      </c>
      <c r="B61" s="64">
        <v>4</v>
      </c>
      <c r="C61" s="64">
        <v>10.53</v>
      </c>
      <c r="D61" s="64">
        <v>8.6999999999999993</v>
      </c>
      <c r="E61" s="64">
        <v>4.07</v>
      </c>
      <c r="F61" s="64">
        <v>15.4</v>
      </c>
      <c r="G61" s="64">
        <v>44.06</v>
      </c>
      <c r="H61" s="64">
        <v>10.17</v>
      </c>
      <c r="I61" s="64">
        <v>1.52</v>
      </c>
      <c r="J61" s="64">
        <v>0.68</v>
      </c>
      <c r="K61" s="64">
        <v>143.02000000000001</v>
      </c>
      <c r="L61" s="64">
        <v>29.95</v>
      </c>
      <c r="M61" s="64">
        <v>78.989999999999995</v>
      </c>
      <c r="N61" s="64">
        <v>467.2</v>
      </c>
      <c r="O61" s="64">
        <v>0</v>
      </c>
      <c r="P61" s="64">
        <v>0.28000000000000003</v>
      </c>
      <c r="Q61" s="64">
        <v>9.56</v>
      </c>
      <c r="R61" s="198"/>
      <c r="S61" s="198"/>
      <c r="T61" s="198"/>
      <c r="U61" s="198"/>
    </row>
    <row r="62" spans="1:21" s="12" customFormat="1" x14ac:dyDescent="0.25">
      <c r="A62" s="212" t="s">
        <v>1452</v>
      </c>
      <c r="B62" s="64">
        <v>4.29</v>
      </c>
      <c r="C62" s="64">
        <v>10.33</v>
      </c>
      <c r="D62" s="64">
        <v>8.84</v>
      </c>
      <c r="E62" s="64">
        <v>3.71</v>
      </c>
      <c r="F62" s="64">
        <v>15.22</v>
      </c>
      <c r="G62" s="64">
        <v>44.06</v>
      </c>
      <c r="H62" s="64">
        <v>10.17</v>
      </c>
      <c r="I62" s="64">
        <v>1.38</v>
      </c>
      <c r="J62" s="64">
        <v>0.28999999999999998</v>
      </c>
      <c r="K62" s="64">
        <v>129.05000000000001</v>
      </c>
      <c r="L62" s="64">
        <v>30.03</v>
      </c>
      <c r="M62" s="64">
        <v>79.349999999999994</v>
      </c>
      <c r="N62" s="64">
        <v>383.5</v>
      </c>
      <c r="O62" s="64">
        <v>0</v>
      </c>
      <c r="P62" s="64">
        <v>0.28000000000000003</v>
      </c>
      <c r="Q62" s="64">
        <v>9.56</v>
      </c>
      <c r="R62" s="198"/>
      <c r="S62" s="198"/>
      <c r="T62" s="198"/>
      <c r="U62" s="198"/>
    </row>
    <row r="63" spans="1:21" s="12" customFormat="1" x14ac:dyDescent="0.25">
      <c r="A63" s="212" t="s">
        <v>1453</v>
      </c>
      <c r="B63" s="64">
        <v>4.57</v>
      </c>
      <c r="C63" s="64">
        <v>10.64</v>
      </c>
      <c r="D63" s="64">
        <v>9.2200000000000006</v>
      </c>
      <c r="E63" s="64">
        <v>3.65</v>
      </c>
      <c r="F63" s="64">
        <v>12.31</v>
      </c>
      <c r="G63" s="64">
        <v>39.770000000000003</v>
      </c>
      <c r="H63" s="64">
        <v>8.65</v>
      </c>
      <c r="I63" s="64">
        <v>1.29</v>
      </c>
      <c r="J63" s="64">
        <v>0.6</v>
      </c>
      <c r="K63" s="64">
        <v>137.44999999999999</v>
      </c>
      <c r="L63" s="64">
        <v>30.04</v>
      </c>
      <c r="M63" s="64">
        <v>77.33</v>
      </c>
      <c r="N63" s="64">
        <v>349.7</v>
      </c>
      <c r="O63" s="64">
        <v>0</v>
      </c>
      <c r="P63" s="64">
        <v>0.27</v>
      </c>
      <c r="Q63" s="64">
        <v>9.5500000000000007</v>
      </c>
      <c r="R63" s="198"/>
      <c r="S63" s="198"/>
      <c r="T63" s="198"/>
      <c r="U63" s="198"/>
    </row>
    <row r="64" spans="1:21" s="12" customFormat="1" x14ac:dyDescent="0.25">
      <c r="A64" s="212" t="s">
        <v>1454</v>
      </c>
      <c r="B64" s="64">
        <v>4.49</v>
      </c>
      <c r="C64" s="64">
        <v>10.95</v>
      </c>
      <c r="D64" s="64">
        <v>9.32</v>
      </c>
      <c r="E64" s="64">
        <v>3.66</v>
      </c>
      <c r="F64" s="64">
        <v>12.28</v>
      </c>
      <c r="G64" s="64">
        <v>39.409999999999997</v>
      </c>
      <c r="H64" s="64">
        <v>8.52</v>
      </c>
      <c r="I64" s="64">
        <v>1.25</v>
      </c>
      <c r="J64" s="64">
        <v>0.44</v>
      </c>
      <c r="K64" s="64">
        <v>151.99</v>
      </c>
      <c r="L64" s="64">
        <v>30.1</v>
      </c>
      <c r="M64" s="64">
        <v>76.31</v>
      </c>
      <c r="N64" s="64">
        <v>391.2</v>
      </c>
      <c r="O64" s="64">
        <v>0</v>
      </c>
      <c r="P64" s="64">
        <v>0.25</v>
      </c>
      <c r="Q64" s="64">
        <v>9.5500000000000007</v>
      </c>
      <c r="R64" s="198"/>
      <c r="S64" s="198"/>
      <c r="T64" s="198"/>
      <c r="U64" s="198"/>
    </row>
    <row r="65" spans="1:21" s="12" customFormat="1" x14ac:dyDescent="0.25">
      <c r="A65" s="212" t="s">
        <v>1455</v>
      </c>
      <c r="B65" s="64">
        <v>4.24</v>
      </c>
      <c r="C65" s="64">
        <v>10.58</v>
      </c>
      <c r="D65" s="64">
        <v>8.93</v>
      </c>
      <c r="E65" s="64">
        <v>4.08</v>
      </c>
      <c r="F65" s="64">
        <v>17.39</v>
      </c>
      <c r="G65" s="64">
        <v>39.409999999999997</v>
      </c>
      <c r="H65" s="64">
        <v>8.52</v>
      </c>
      <c r="I65" s="64">
        <v>1.17</v>
      </c>
      <c r="J65" s="64">
        <v>0.32</v>
      </c>
      <c r="K65" s="64">
        <v>139.59</v>
      </c>
      <c r="L65" s="64">
        <v>30.38</v>
      </c>
      <c r="M65" s="64">
        <v>75.37</v>
      </c>
      <c r="N65" s="64">
        <v>310.2</v>
      </c>
      <c r="O65" s="64">
        <v>0</v>
      </c>
      <c r="P65" s="64">
        <v>0.23</v>
      </c>
      <c r="Q65" s="64">
        <v>9.5399999999999991</v>
      </c>
      <c r="R65" s="198"/>
      <c r="S65" s="198"/>
      <c r="T65" s="198"/>
      <c r="U65" s="198"/>
    </row>
    <row r="66" spans="1:21" s="12" customFormat="1" x14ac:dyDescent="0.25">
      <c r="A66" s="212" t="s">
        <v>1456</v>
      </c>
      <c r="B66" s="64">
        <v>4.17</v>
      </c>
      <c r="C66" s="64">
        <v>9.8000000000000007</v>
      </c>
      <c r="D66" s="64">
        <v>8.4700000000000006</v>
      </c>
      <c r="E66" s="64">
        <v>3.78</v>
      </c>
      <c r="F66" s="64">
        <v>15.08</v>
      </c>
      <c r="G66" s="64">
        <v>39.409999999999997</v>
      </c>
      <c r="H66" s="64">
        <v>8.52</v>
      </c>
      <c r="I66" s="64">
        <v>1.06</v>
      </c>
      <c r="J66" s="64">
        <v>0.56000000000000005</v>
      </c>
      <c r="K66" s="64">
        <v>153.6</v>
      </c>
      <c r="L66" s="64">
        <v>30.04</v>
      </c>
      <c r="M66" s="64">
        <v>74.61</v>
      </c>
      <c r="N66" s="64">
        <v>317.7</v>
      </c>
      <c r="O66" s="64">
        <v>0</v>
      </c>
      <c r="P66" s="64">
        <v>0.23</v>
      </c>
      <c r="Q66" s="64">
        <v>9.5399999999999991</v>
      </c>
      <c r="R66" s="198"/>
      <c r="S66" s="198"/>
      <c r="T66" s="198"/>
      <c r="U66" s="198"/>
    </row>
    <row r="67" spans="1:21" s="12" customFormat="1" x14ac:dyDescent="0.25">
      <c r="A67" s="212" t="s">
        <v>1457</v>
      </c>
      <c r="B67" s="64">
        <v>4.18</v>
      </c>
      <c r="C67" s="64">
        <v>9.52</v>
      </c>
      <c r="D67" s="64">
        <v>8.32</v>
      </c>
      <c r="E67" s="64">
        <v>3.76</v>
      </c>
      <c r="F67" s="64">
        <v>11.6</v>
      </c>
      <c r="G67" s="64">
        <v>30.91</v>
      </c>
      <c r="H67" s="64">
        <v>9.11</v>
      </c>
      <c r="I67" s="64">
        <v>1</v>
      </c>
      <c r="J67" s="64">
        <v>0.55000000000000004</v>
      </c>
      <c r="K67" s="64">
        <v>147.49</v>
      </c>
      <c r="L67" s="64">
        <v>29.81</v>
      </c>
      <c r="M67" s="64">
        <v>76.88</v>
      </c>
      <c r="N67" s="64">
        <v>249.1</v>
      </c>
      <c r="O67" s="64">
        <v>0</v>
      </c>
      <c r="P67" s="64">
        <v>0.23</v>
      </c>
      <c r="Q67" s="64">
        <v>9.5399999999999991</v>
      </c>
      <c r="R67" s="198"/>
      <c r="S67" s="198"/>
      <c r="T67" s="198"/>
      <c r="U67" s="198"/>
    </row>
    <row r="68" spans="1:21" s="12" customFormat="1" x14ac:dyDescent="0.25">
      <c r="A68" s="212" t="s">
        <v>1458</v>
      </c>
      <c r="B68" s="64">
        <v>4.8099999999999996</v>
      </c>
      <c r="C68" s="64">
        <v>11.34</v>
      </c>
      <c r="D68" s="64">
        <v>9.7799999999999994</v>
      </c>
      <c r="E68" s="64">
        <v>3.9</v>
      </c>
      <c r="F68" s="64">
        <v>11.39</v>
      </c>
      <c r="G68" s="64">
        <v>30.19</v>
      </c>
      <c r="H68" s="64">
        <v>9.16</v>
      </c>
      <c r="I68" s="64">
        <v>0.99</v>
      </c>
      <c r="J68" s="64">
        <v>0.64</v>
      </c>
      <c r="K68" s="64">
        <v>155.9</v>
      </c>
      <c r="L68" s="64">
        <v>29.61</v>
      </c>
      <c r="M68" s="64">
        <v>78.7</v>
      </c>
      <c r="N68" s="64">
        <v>210.4</v>
      </c>
      <c r="O68" s="64">
        <v>0</v>
      </c>
      <c r="P68" s="64">
        <v>0.25</v>
      </c>
      <c r="Q68" s="64">
        <v>9.5500000000000007</v>
      </c>
      <c r="R68" s="198"/>
      <c r="S68" s="198"/>
      <c r="T68" s="198"/>
      <c r="U68" s="198"/>
    </row>
    <row r="69" spans="1:21" s="12" customFormat="1" x14ac:dyDescent="0.25">
      <c r="A69" s="212" t="s">
        <v>1459</v>
      </c>
      <c r="B69" s="64">
        <v>4.66</v>
      </c>
      <c r="C69" s="64">
        <v>10.46</v>
      </c>
      <c r="D69" s="64">
        <v>9.1999999999999993</v>
      </c>
      <c r="E69" s="64">
        <v>3.7</v>
      </c>
      <c r="F69" s="64">
        <v>16.23</v>
      </c>
      <c r="G69" s="64">
        <v>30.19</v>
      </c>
      <c r="H69" s="64">
        <v>9.16</v>
      </c>
      <c r="I69" s="64">
        <v>1</v>
      </c>
      <c r="J69" s="64">
        <v>0.28999999999999998</v>
      </c>
      <c r="K69" s="64">
        <v>174.4</v>
      </c>
      <c r="L69" s="64">
        <v>29.42</v>
      </c>
      <c r="M69" s="64">
        <v>80.72</v>
      </c>
      <c r="N69" s="64">
        <v>187.6</v>
      </c>
      <c r="O69" s="64">
        <v>0</v>
      </c>
      <c r="P69" s="64">
        <v>0.24</v>
      </c>
      <c r="Q69" s="64">
        <v>9.58</v>
      </c>
      <c r="R69" s="198"/>
      <c r="S69" s="198"/>
      <c r="T69" s="198"/>
      <c r="U69" s="198"/>
    </row>
    <row r="70" spans="1:21" s="12" customFormat="1" x14ac:dyDescent="0.25">
      <c r="A70" s="212" t="s">
        <v>1460</v>
      </c>
      <c r="B70" s="64">
        <v>4.5</v>
      </c>
      <c r="C70" s="64">
        <v>9.61</v>
      </c>
      <c r="D70" s="64">
        <v>8.6300000000000008</v>
      </c>
      <c r="E70" s="64">
        <v>3.71</v>
      </c>
      <c r="F70" s="64">
        <v>12.34</v>
      </c>
      <c r="G70" s="64">
        <v>30.19</v>
      </c>
      <c r="H70" s="64">
        <v>9.16</v>
      </c>
      <c r="I70" s="64">
        <v>1.01</v>
      </c>
      <c r="J70" s="64">
        <v>0.54</v>
      </c>
      <c r="K70" s="64">
        <v>148.96</v>
      </c>
      <c r="L70" s="64">
        <v>29.36</v>
      </c>
      <c r="M70" s="64">
        <v>82.4</v>
      </c>
      <c r="N70" s="64">
        <v>173.9</v>
      </c>
      <c r="O70" s="64">
        <v>0</v>
      </c>
      <c r="P70" s="64">
        <v>0.24</v>
      </c>
      <c r="Q70" s="64">
        <v>9.6</v>
      </c>
      <c r="R70" s="198"/>
      <c r="S70" s="198"/>
      <c r="T70" s="198"/>
      <c r="U70" s="198"/>
    </row>
    <row r="71" spans="1:21" s="12" customFormat="1" x14ac:dyDescent="0.25">
      <c r="A71" s="212" t="s">
        <v>1461</v>
      </c>
      <c r="B71" s="64">
        <v>4.91</v>
      </c>
      <c r="C71" s="64">
        <v>10.25</v>
      </c>
      <c r="D71" s="64">
        <v>9.2899999999999991</v>
      </c>
      <c r="E71" s="64">
        <v>3.55</v>
      </c>
      <c r="F71" s="64">
        <v>14.58</v>
      </c>
      <c r="G71" s="64">
        <v>28.14</v>
      </c>
      <c r="H71" s="64">
        <v>8.34</v>
      </c>
      <c r="I71" s="64">
        <v>1</v>
      </c>
      <c r="J71" s="64">
        <v>0.38</v>
      </c>
      <c r="K71" s="64">
        <v>140.69</v>
      </c>
      <c r="L71" s="64">
        <v>29.32</v>
      </c>
      <c r="M71" s="64">
        <v>85.1</v>
      </c>
      <c r="N71" s="64">
        <v>217.3</v>
      </c>
      <c r="O71" s="64">
        <v>0</v>
      </c>
      <c r="P71" s="64">
        <v>0.25</v>
      </c>
      <c r="Q71" s="64">
        <v>9.6</v>
      </c>
      <c r="R71" s="198"/>
      <c r="S71" s="198"/>
      <c r="T71" s="198"/>
      <c r="U71" s="198"/>
    </row>
    <row r="72" spans="1:21" s="12" customFormat="1" x14ac:dyDescent="0.25">
      <c r="A72" s="212" t="s">
        <v>1462</v>
      </c>
      <c r="B72" s="64">
        <v>4.97</v>
      </c>
      <c r="C72" s="64">
        <v>9.98</v>
      </c>
      <c r="D72" s="64">
        <v>9.1999999999999993</v>
      </c>
      <c r="E72" s="64">
        <v>6.24</v>
      </c>
      <c r="F72" s="64">
        <v>15.59</v>
      </c>
      <c r="G72" s="64">
        <v>27.97</v>
      </c>
      <c r="H72" s="64">
        <v>8.27</v>
      </c>
      <c r="I72" s="64">
        <v>1.02</v>
      </c>
      <c r="J72" s="64">
        <v>0.42</v>
      </c>
      <c r="K72" s="64">
        <v>117.36</v>
      </c>
      <c r="L72" s="64">
        <v>29.11</v>
      </c>
      <c r="M72" s="64">
        <v>86.34</v>
      </c>
      <c r="N72" s="64">
        <v>152.1</v>
      </c>
      <c r="O72" s="64">
        <v>0</v>
      </c>
      <c r="P72" s="64">
        <v>0.23</v>
      </c>
      <c r="Q72" s="64">
        <v>9.61</v>
      </c>
      <c r="R72" s="198"/>
      <c r="S72" s="198"/>
      <c r="T72" s="198"/>
      <c r="U72" s="198"/>
    </row>
    <row r="73" spans="1:21" s="12" customFormat="1" x14ac:dyDescent="0.25">
      <c r="A73" s="212" t="s">
        <v>1463</v>
      </c>
      <c r="B73" s="64">
        <v>4.6399999999999997</v>
      </c>
      <c r="C73" s="64">
        <v>9.86</v>
      </c>
      <c r="D73" s="64">
        <v>8.8699999999999992</v>
      </c>
      <c r="E73" s="64">
        <v>5.98</v>
      </c>
      <c r="F73" s="64">
        <v>13.37</v>
      </c>
      <c r="G73" s="64">
        <v>27.97</v>
      </c>
      <c r="H73" s="64">
        <v>8.27</v>
      </c>
      <c r="I73" s="64">
        <v>1.02</v>
      </c>
      <c r="J73" s="64">
        <v>0.61</v>
      </c>
      <c r="K73" s="64">
        <v>120.65</v>
      </c>
      <c r="L73" s="64">
        <v>28.74</v>
      </c>
      <c r="M73" s="64">
        <v>88.32</v>
      </c>
      <c r="N73" s="64">
        <v>133</v>
      </c>
      <c r="O73" s="64">
        <v>0</v>
      </c>
      <c r="P73" s="64">
        <v>0.23</v>
      </c>
      <c r="Q73" s="64">
        <v>9.61</v>
      </c>
      <c r="R73" s="198"/>
      <c r="S73" s="198"/>
      <c r="T73" s="198"/>
      <c r="U73" s="198"/>
    </row>
    <row r="74" spans="1:21" s="12" customFormat="1" x14ac:dyDescent="0.25">
      <c r="A74" s="212" t="s">
        <v>1464</v>
      </c>
      <c r="B74" s="64">
        <v>5.84</v>
      </c>
      <c r="C74" s="64">
        <v>9.7200000000000006</v>
      </c>
      <c r="D74" s="64">
        <v>9.76</v>
      </c>
      <c r="E74" s="64">
        <v>6.25</v>
      </c>
      <c r="F74" s="64">
        <v>15.54</v>
      </c>
      <c r="G74" s="64">
        <v>27.97</v>
      </c>
      <c r="H74" s="64">
        <v>8.27</v>
      </c>
      <c r="I74" s="64">
        <v>1.02</v>
      </c>
      <c r="J74" s="64">
        <v>0.66</v>
      </c>
      <c r="K74" s="64">
        <v>122.14</v>
      </c>
      <c r="L74" s="64">
        <v>28.65</v>
      </c>
      <c r="M74" s="64">
        <v>87.44</v>
      </c>
      <c r="N74" s="64">
        <v>128.1</v>
      </c>
      <c r="O74" s="64">
        <v>0</v>
      </c>
      <c r="P74" s="64">
        <v>0.26</v>
      </c>
      <c r="Q74" s="64">
        <v>9.61</v>
      </c>
      <c r="R74" s="198"/>
      <c r="S74" s="198"/>
      <c r="T74" s="198"/>
      <c r="U74" s="198"/>
    </row>
    <row r="75" spans="1:21" s="12" customFormat="1" x14ac:dyDescent="0.25">
      <c r="A75" s="212" t="s">
        <v>1465</v>
      </c>
      <c r="B75" s="64">
        <v>4.7300000000000004</v>
      </c>
      <c r="C75" s="64">
        <v>9.59</v>
      </c>
      <c r="D75" s="64">
        <v>8.81</v>
      </c>
      <c r="E75" s="64">
        <v>6.11</v>
      </c>
      <c r="F75" s="64">
        <v>14.23</v>
      </c>
      <c r="G75" s="64">
        <v>20.73</v>
      </c>
      <c r="H75" s="64">
        <v>6.3</v>
      </c>
      <c r="I75" s="64">
        <v>1</v>
      </c>
      <c r="J75" s="64">
        <v>0.66</v>
      </c>
      <c r="K75" s="64">
        <v>122.89</v>
      </c>
      <c r="L75" s="64">
        <v>28.58</v>
      </c>
      <c r="M75" s="64">
        <v>88.11</v>
      </c>
      <c r="N75" s="64">
        <v>131.30000000000001</v>
      </c>
      <c r="O75" s="64">
        <v>0</v>
      </c>
      <c r="P75" s="64">
        <v>0.28000000000000003</v>
      </c>
      <c r="Q75" s="64">
        <v>9.6199999999999992</v>
      </c>
      <c r="R75" s="198"/>
      <c r="S75" s="198"/>
      <c r="T75" s="198"/>
      <c r="U75" s="198"/>
    </row>
    <row r="76" spans="1:21" s="12" customFormat="1" x14ac:dyDescent="0.25">
      <c r="A76" s="212" t="s">
        <v>1466</v>
      </c>
      <c r="B76" s="64">
        <v>4.38</v>
      </c>
      <c r="C76" s="64">
        <v>7.97</v>
      </c>
      <c r="D76" s="64">
        <v>7.68</v>
      </c>
      <c r="E76" s="64">
        <v>6.24</v>
      </c>
      <c r="F76" s="64">
        <v>13.88</v>
      </c>
      <c r="G76" s="64">
        <v>20.12</v>
      </c>
      <c r="H76" s="64">
        <v>6.16</v>
      </c>
      <c r="I76" s="64">
        <v>1.01</v>
      </c>
      <c r="J76" s="64">
        <v>0.51</v>
      </c>
      <c r="K76" s="64">
        <v>129.66</v>
      </c>
      <c r="L76" s="64">
        <v>28.56</v>
      </c>
      <c r="M76" s="64">
        <v>88.61</v>
      </c>
      <c r="N76" s="64">
        <v>126.6</v>
      </c>
      <c r="O76" s="64">
        <v>0</v>
      </c>
      <c r="P76" s="64">
        <v>0.24</v>
      </c>
      <c r="Q76" s="64">
        <v>9.61</v>
      </c>
      <c r="R76" s="198"/>
      <c r="S76" s="198"/>
      <c r="T76" s="198"/>
      <c r="U76" s="198"/>
    </row>
    <row r="77" spans="1:21" s="12" customFormat="1" x14ac:dyDescent="0.25">
      <c r="A77" s="212" t="s">
        <v>1467</v>
      </c>
      <c r="B77" s="64">
        <v>4.21</v>
      </c>
      <c r="C77" s="64">
        <v>9.16</v>
      </c>
      <c r="D77" s="64">
        <v>8.16</v>
      </c>
      <c r="E77" s="64">
        <v>6.25</v>
      </c>
      <c r="F77" s="64">
        <v>13.5</v>
      </c>
      <c r="G77" s="64">
        <v>20.12</v>
      </c>
      <c r="H77" s="64">
        <v>6.16</v>
      </c>
      <c r="I77" s="64">
        <v>0.99</v>
      </c>
      <c r="J77" s="64">
        <v>0.86</v>
      </c>
      <c r="K77" s="64">
        <v>126.21</v>
      </c>
      <c r="L77" s="64">
        <v>28.54</v>
      </c>
      <c r="M77" s="64">
        <v>88.55</v>
      </c>
      <c r="N77" s="64">
        <v>125.2</v>
      </c>
      <c r="O77" s="64">
        <v>0</v>
      </c>
      <c r="P77" s="64">
        <v>0.24</v>
      </c>
      <c r="Q77" s="64">
        <v>9.6</v>
      </c>
      <c r="R77" s="198"/>
      <c r="S77" s="198"/>
      <c r="T77" s="198"/>
      <c r="U77" s="198"/>
    </row>
    <row r="78" spans="1:21" s="12" customFormat="1" x14ac:dyDescent="0.25">
      <c r="A78" s="212" t="s">
        <v>1468</v>
      </c>
      <c r="B78" s="64">
        <v>4.38</v>
      </c>
      <c r="C78" s="64">
        <v>9.73</v>
      </c>
      <c r="D78" s="64">
        <v>8.6</v>
      </c>
      <c r="E78" s="64">
        <v>6.16</v>
      </c>
      <c r="F78" s="64">
        <v>13.74</v>
      </c>
      <c r="G78" s="64">
        <v>20.12</v>
      </c>
      <c r="H78" s="64">
        <v>6.16</v>
      </c>
      <c r="I78" s="64">
        <v>0.98</v>
      </c>
      <c r="J78" s="64">
        <v>0.79</v>
      </c>
      <c r="K78" s="64">
        <v>118.44</v>
      </c>
      <c r="L78" s="64">
        <v>28.45</v>
      </c>
      <c r="M78" s="64">
        <v>87.98</v>
      </c>
      <c r="N78" s="64">
        <v>109.3</v>
      </c>
      <c r="O78" s="64">
        <v>0</v>
      </c>
      <c r="P78" s="64">
        <v>0.22</v>
      </c>
      <c r="Q78" s="64">
        <v>9.6199999999999992</v>
      </c>
      <c r="R78" s="198"/>
      <c r="S78" s="198"/>
      <c r="T78" s="198"/>
      <c r="U78" s="198"/>
    </row>
    <row r="79" spans="1:21" s="12" customFormat="1" x14ac:dyDescent="0.25">
      <c r="A79" s="212" t="s">
        <v>1469</v>
      </c>
      <c r="B79" s="64">
        <v>9.67</v>
      </c>
      <c r="C79" s="64">
        <v>16.170000000000002</v>
      </c>
      <c r="D79" s="64">
        <v>16.2</v>
      </c>
      <c r="E79" s="64">
        <v>6.12</v>
      </c>
      <c r="F79" s="64">
        <v>12.57</v>
      </c>
      <c r="G79" s="64">
        <v>16.66</v>
      </c>
      <c r="H79" s="64">
        <v>5.84</v>
      </c>
      <c r="I79" s="64">
        <v>0.96</v>
      </c>
      <c r="J79" s="64">
        <v>0.42</v>
      </c>
      <c r="K79" s="64">
        <v>125.37</v>
      </c>
      <c r="L79" s="64">
        <v>28.36</v>
      </c>
      <c r="M79" s="64">
        <v>91.43</v>
      </c>
      <c r="N79" s="64">
        <v>89.4</v>
      </c>
      <c r="O79" s="64">
        <v>0</v>
      </c>
      <c r="P79" s="64">
        <v>0.54</v>
      </c>
      <c r="Q79" s="64">
        <v>9.6199999999999992</v>
      </c>
      <c r="R79" s="198"/>
      <c r="S79" s="198"/>
      <c r="T79" s="198"/>
      <c r="U79" s="198"/>
    </row>
    <row r="80" spans="1:21" s="12" customFormat="1" x14ac:dyDescent="0.25">
      <c r="A80" s="212" t="s">
        <v>1470</v>
      </c>
      <c r="B80" s="64">
        <v>7.64</v>
      </c>
      <c r="C80" s="64">
        <v>14.73</v>
      </c>
      <c r="D80" s="64">
        <v>13.82</v>
      </c>
      <c r="E80" s="64">
        <v>6.41</v>
      </c>
      <c r="F80" s="64">
        <v>11.89</v>
      </c>
      <c r="G80" s="64">
        <v>16.37</v>
      </c>
      <c r="H80" s="64">
        <v>5.81</v>
      </c>
      <c r="I80" s="64">
        <v>0.94</v>
      </c>
      <c r="J80" s="64">
        <v>0.28999999999999998</v>
      </c>
      <c r="K80" s="64">
        <v>130.24</v>
      </c>
      <c r="L80" s="64">
        <v>28.04</v>
      </c>
      <c r="M80" s="64">
        <v>95.52</v>
      </c>
      <c r="N80" s="64">
        <v>76.2</v>
      </c>
      <c r="O80" s="64">
        <v>0</v>
      </c>
      <c r="P80" s="64">
        <v>0.49</v>
      </c>
      <c r="Q80" s="64">
        <v>9.6199999999999992</v>
      </c>
      <c r="R80" s="198"/>
      <c r="S80" s="198"/>
      <c r="T80" s="198"/>
      <c r="U80" s="198"/>
    </row>
    <row r="81" spans="1:26" s="12" customFormat="1" x14ac:dyDescent="0.25">
      <c r="A81" s="212" t="s">
        <v>1471</v>
      </c>
      <c r="B81" s="64">
        <v>21.32</v>
      </c>
      <c r="C81" s="64">
        <v>14.87</v>
      </c>
      <c r="D81" s="64">
        <v>24.63</v>
      </c>
      <c r="E81" s="64">
        <v>6.23</v>
      </c>
      <c r="F81" s="64">
        <v>10.53</v>
      </c>
      <c r="G81" s="64">
        <v>16.37</v>
      </c>
      <c r="H81" s="64">
        <v>5.81</v>
      </c>
      <c r="I81" s="64">
        <v>0.96</v>
      </c>
      <c r="J81" s="64">
        <v>0.16</v>
      </c>
      <c r="K81" s="64">
        <v>133.13999999999999</v>
      </c>
      <c r="L81" s="64">
        <v>27.81</v>
      </c>
      <c r="M81" s="64">
        <v>96.94</v>
      </c>
      <c r="N81" s="64">
        <v>63.9</v>
      </c>
      <c r="O81" s="64">
        <v>0</v>
      </c>
      <c r="P81" s="64">
        <v>0.62</v>
      </c>
      <c r="Q81" s="64">
        <v>9.6199999999999992</v>
      </c>
      <c r="R81" s="198"/>
      <c r="S81" s="198"/>
      <c r="T81" s="198"/>
      <c r="U81" s="198"/>
    </row>
    <row r="82" spans="1:26" s="12" customFormat="1" x14ac:dyDescent="0.25">
      <c r="A82" s="212" t="s">
        <v>1472</v>
      </c>
      <c r="B82" s="64">
        <v>20.77</v>
      </c>
      <c r="C82" s="64">
        <v>17.8</v>
      </c>
      <c r="D82" s="64">
        <v>25.96</v>
      </c>
      <c r="E82" s="64">
        <v>6.22</v>
      </c>
      <c r="F82" s="64">
        <v>7.32</v>
      </c>
      <c r="G82" s="64">
        <v>16.37</v>
      </c>
      <c r="H82" s="64">
        <v>5.81</v>
      </c>
      <c r="I82" s="64">
        <v>0.99</v>
      </c>
      <c r="J82" s="64">
        <v>0.04</v>
      </c>
      <c r="K82" s="64">
        <v>236.57</v>
      </c>
      <c r="L82" s="64">
        <v>27.5</v>
      </c>
      <c r="M82" s="64">
        <v>97.6</v>
      </c>
      <c r="N82" s="64">
        <v>55.7</v>
      </c>
      <c r="O82" s="64">
        <v>0</v>
      </c>
      <c r="P82" s="64">
        <v>1</v>
      </c>
      <c r="Q82" s="64">
        <v>9.6</v>
      </c>
      <c r="R82" s="198"/>
      <c r="S82" s="198"/>
      <c r="T82" s="198"/>
      <c r="U82" s="198"/>
    </row>
    <row r="83" spans="1:26" s="12" customFormat="1" x14ac:dyDescent="0.25">
      <c r="A83" s="212" t="s">
        <v>1473</v>
      </c>
      <c r="B83" s="64">
        <v>13.38</v>
      </c>
      <c r="C83" s="64">
        <v>13.65</v>
      </c>
      <c r="D83" s="64">
        <v>17.86</v>
      </c>
      <c r="E83" s="64">
        <v>5.77</v>
      </c>
      <c r="F83" s="64">
        <v>7.11</v>
      </c>
      <c r="G83" s="64">
        <v>26.87</v>
      </c>
      <c r="H83" s="64">
        <v>5.39</v>
      </c>
      <c r="I83" s="64">
        <v>1.08</v>
      </c>
      <c r="J83" s="64">
        <v>0.34</v>
      </c>
      <c r="K83" s="64">
        <v>327.67</v>
      </c>
      <c r="L83" s="64">
        <v>27.33</v>
      </c>
      <c r="M83" s="64">
        <v>97.6</v>
      </c>
      <c r="N83" s="64">
        <v>53.3</v>
      </c>
      <c r="O83" s="64">
        <v>0</v>
      </c>
      <c r="P83" s="64">
        <v>0.77</v>
      </c>
      <c r="Q83" s="64">
        <v>9.6</v>
      </c>
      <c r="R83" s="198"/>
      <c r="S83" s="198"/>
      <c r="T83" s="198"/>
      <c r="U83" s="198"/>
    </row>
    <row r="84" spans="1:26" s="12" customFormat="1" x14ac:dyDescent="0.25">
      <c r="A84" s="212" t="s">
        <v>1474</v>
      </c>
      <c r="B84" s="64">
        <v>21.55</v>
      </c>
      <c r="C84" s="64">
        <v>15.95</v>
      </c>
      <c r="D84" s="64">
        <v>25.62</v>
      </c>
      <c r="E84" s="64">
        <v>6.12</v>
      </c>
      <c r="F84" s="64">
        <v>7.69</v>
      </c>
      <c r="G84" s="64">
        <v>27.75</v>
      </c>
      <c r="H84" s="64">
        <v>5.36</v>
      </c>
      <c r="I84" s="64">
        <v>1.28</v>
      </c>
      <c r="J84" s="64">
        <v>0.28999999999999998</v>
      </c>
      <c r="K84" s="64">
        <v>327.22000000000003</v>
      </c>
      <c r="L84" s="64">
        <v>27.21</v>
      </c>
      <c r="M84" s="64">
        <v>96.94</v>
      </c>
      <c r="N84" s="64">
        <v>53.1</v>
      </c>
      <c r="O84" s="64">
        <v>0</v>
      </c>
      <c r="P84" s="64">
        <v>1.0900000000000001</v>
      </c>
      <c r="Q84" s="64">
        <v>9.6</v>
      </c>
      <c r="R84" s="198"/>
      <c r="S84" s="198"/>
      <c r="T84" s="198"/>
      <c r="U84" s="198"/>
    </row>
    <row r="85" spans="1:26" s="12" customFormat="1" x14ac:dyDescent="0.25">
      <c r="A85" s="212" t="s">
        <v>1475</v>
      </c>
      <c r="B85" s="64">
        <v>23.73</v>
      </c>
      <c r="C85" s="64">
        <v>14.3</v>
      </c>
      <c r="D85" s="64">
        <v>26.51</v>
      </c>
      <c r="E85" s="64">
        <v>6.51</v>
      </c>
      <c r="F85" s="64">
        <v>6.85</v>
      </c>
      <c r="G85" s="64">
        <v>27.75</v>
      </c>
      <c r="H85" s="64">
        <v>5.36</v>
      </c>
      <c r="I85" s="64">
        <v>1.55</v>
      </c>
      <c r="J85" s="64">
        <v>0.21</v>
      </c>
      <c r="K85" s="64">
        <v>330.61</v>
      </c>
      <c r="L85" s="64">
        <v>27.14</v>
      </c>
      <c r="M85" s="64">
        <v>97.44</v>
      </c>
      <c r="N85" s="64">
        <v>53.1</v>
      </c>
      <c r="O85" s="64">
        <v>0</v>
      </c>
      <c r="P85" s="64">
        <v>0.88</v>
      </c>
      <c r="Q85" s="64">
        <v>9.6300000000000008</v>
      </c>
      <c r="R85" s="198"/>
      <c r="S85" s="198"/>
      <c r="T85" s="198"/>
      <c r="U85" s="198"/>
    </row>
    <row r="86" spans="1:26" s="12" customFormat="1" x14ac:dyDescent="0.25">
      <c r="A86" s="212" t="s">
        <v>1476</v>
      </c>
      <c r="B86" s="64">
        <v>16.600000000000001</v>
      </c>
      <c r="C86" s="64">
        <v>15.67</v>
      </c>
      <c r="D86" s="64">
        <v>21.5</v>
      </c>
      <c r="E86" s="64">
        <v>6.48</v>
      </c>
      <c r="F86" s="64">
        <v>6.75</v>
      </c>
      <c r="G86" s="64">
        <v>27.75</v>
      </c>
      <c r="H86" s="64">
        <v>5.36</v>
      </c>
      <c r="I86" s="64">
        <v>1.86</v>
      </c>
      <c r="J86" s="64">
        <v>0.1</v>
      </c>
      <c r="K86" s="64">
        <v>127.93</v>
      </c>
      <c r="L86" s="64">
        <v>26.82</v>
      </c>
      <c r="M86" s="64">
        <v>97.63</v>
      </c>
      <c r="N86" s="64">
        <v>53.1</v>
      </c>
      <c r="O86" s="64">
        <v>0</v>
      </c>
      <c r="P86" s="64">
        <v>0.87</v>
      </c>
      <c r="Q86" s="64">
        <v>9.61</v>
      </c>
      <c r="R86" s="198"/>
      <c r="S86" s="198"/>
      <c r="T86" s="198"/>
      <c r="U86" s="198"/>
    </row>
    <row r="87" spans="1:26" s="12" customFormat="1" x14ac:dyDescent="0.25">
      <c r="A87" s="212" t="s">
        <v>1477</v>
      </c>
      <c r="B87" s="64">
        <v>18.09</v>
      </c>
      <c r="C87" s="64">
        <v>17.100000000000001</v>
      </c>
      <c r="D87" s="64">
        <v>23.44</v>
      </c>
      <c r="E87" s="64">
        <v>6.34</v>
      </c>
      <c r="F87" s="64">
        <v>6.26</v>
      </c>
      <c r="G87" s="64">
        <v>33.909999999999997</v>
      </c>
      <c r="H87" s="64">
        <v>7.59</v>
      </c>
      <c r="I87" s="64">
        <v>2.06</v>
      </c>
      <c r="J87" s="64">
        <v>0.21</v>
      </c>
      <c r="K87" s="64">
        <v>324.79000000000002</v>
      </c>
      <c r="L87" s="64">
        <v>26.8</v>
      </c>
      <c r="M87" s="64">
        <v>97.62</v>
      </c>
      <c r="N87" s="64">
        <v>53.1</v>
      </c>
      <c r="O87" s="64">
        <v>0</v>
      </c>
      <c r="P87" s="64">
        <v>1.1200000000000001</v>
      </c>
      <c r="Q87" s="64">
        <v>9.64</v>
      </c>
      <c r="R87" s="198"/>
      <c r="S87" s="198"/>
      <c r="T87" s="198"/>
      <c r="U87" s="198"/>
    </row>
    <row r="88" spans="1:26" s="12" customFormat="1" x14ac:dyDescent="0.25">
      <c r="A88" s="212" t="s">
        <v>1478</v>
      </c>
      <c r="B88" s="64">
        <v>28.21</v>
      </c>
      <c r="C88" s="64">
        <v>15.61</v>
      </c>
      <c r="D88" s="64">
        <v>30.78</v>
      </c>
      <c r="E88" s="64">
        <v>6.61</v>
      </c>
      <c r="F88" s="64">
        <v>5.34</v>
      </c>
      <c r="G88" s="64">
        <v>34.42</v>
      </c>
      <c r="H88" s="64">
        <v>7.78</v>
      </c>
      <c r="I88" s="64">
        <v>2.13</v>
      </c>
      <c r="J88" s="64">
        <v>0.3</v>
      </c>
      <c r="K88" s="64">
        <v>327.75</v>
      </c>
      <c r="L88" s="64">
        <v>26.87</v>
      </c>
      <c r="M88" s="64">
        <v>97.63</v>
      </c>
      <c r="N88" s="64">
        <v>53.1</v>
      </c>
      <c r="O88" s="64">
        <v>0</v>
      </c>
      <c r="P88" s="64">
        <v>1.55</v>
      </c>
      <c r="Q88" s="64">
        <v>9.64</v>
      </c>
      <c r="R88" s="198"/>
      <c r="S88" s="198"/>
      <c r="T88" s="198"/>
      <c r="U88" s="198"/>
    </row>
    <row r="89" spans="1:26" s="12" customFormat="1" x14ac:dyDescent="0.25">
      <c r="A89" s="212" t="s">
        <v>1479</v>
      </c>
      <c r="B89" s="64">
        <v>15.49</v>
      </c>
      <c r="C89" s="64">
        <v>20.55</v>
      </c>
      <c r="D89" s="64">
        <v>23.16</v>
      </c>
      <c r="E89" s="64">
        <v>6.61</v>
      </c>
      <c r="F89" s="64">
        <v>4.05</v>
      </c>
      <c r="G89" s="64">
        <v>34.42</v>
      </c>
      <c r="H89" s="64">
        <v>7.78</v>
      </c>
      <c r="I89" s="64">
        <v>2.15</v>
      </c>
      <c r="J89" s="64">
        <v>0.23</v>
      </c>
      <c r="K89" s="64">
        <v>144.19999999999999</v>
      </c>
      <c r="L89" s="64">
        <v>26.8</v>
      </c>
      <c r="M89" s="64">
        <v>97.63</v>
      </c>
      <c r="N89" s="64">
        <v>53.3</v>
      </c>
      <c r="O89" s="64">
        <v>0</v>
      </c>
      <c r="P89" s="64">
        <v>1.1100000000000001</v>
      </c>
      <c r="Q89" s="64">
        <v>9.64</v>
      </c>
      <c r="R89" s="198"/>
      <c r="S89" s="198"/>
      <c r="T89" s="198"/>
      <c r="U89" s="198"/>
    </row>
    <row r="90" spans="1:26" s="12" customFormat="1" x14ac:dyDescent="0.25">
      <c r="A90" s="212" t="s">
        <v>1480</v>
      </c>
      <c r="B90" s="64">
        <v>11.19</v>
      </c>
      <c r="C90" s="64">
        <v>23.31</v>
      </c>
      <c r="D90" s="64">
        <v>21.15</v>
      </c>
      <c r="E90" s="64">
        <v>6.36</v>
      </c>
      <c r="F90" s="64">
        <v>3.98</v>
      </c>
      <c r="G90" s="64">
        <v>34.42</v>
      </c>
      <c r="H90" s="64">
        <v>7.78</v>
      </c>
      <c r="I90" s="64">
        <v>2.14</v>
      </c>
      <c r="J90" s="64">
        <v>0.1</v>
      </c>
      <c r="K90" s="64">
        <v>297.05</v>
      </c>
      <c r="L90" s="64">
        <v>26.46</v>
      </c>
      <c r="M90" s="64">
        <v>97.67</v>
      </c>
      <c r="N90" s="64">
        <v>53.9</v>
      </c>
      <c r="O90" s="64">
        <v>0</v>
      </c>
      <c r="P90" s="64">
        <v>0.6</v>
      </c>
      <c r="Q90" s="64">
        <v>9.65</v>
      </c>
      <c r="R90" s="198"/>
      <c r="S90" s="198"/>
      <c r="T90" s="198"/>
      <c r="U90" s="198"/>
    </row>
    <row r="91" spans="1:26" s="12" customFormat="1" x14ac:dyDescent="0.25">
      <c r="A91" s="212" t="s">
        <v>1481</v>
      </c>
      <c r="B91" s="64">
        <v>12.89</v>
      </c>
      <c r="C91" s="64">
        <v>13.85</v>
      </c>
      <c r="D91" s="64">
        <v>17.57</v>
      </c>
      <c r="E91" s="64">
        <v>6.13</v>
      </c>
      <c r="F91" s="64">
        <v>9.77</v>
      </c>
      <c r="G91" s="64">
        <v>44.38</v>
      </c>
      <c r="H91" s="64">
        <v>7.92</v>
      </c>
      <c r="I91" s="64">
        <v>2.23</v>
      </c>
      <c r="J91" s="64">
        <v>0.08</v>
      </c>
      <c r="K91" s="64">
        <v>322.01</v>
      </c>
      <c r="L91" s="64">
        <v>26.27</v>
      </c>
      <c r="M91" s="64">
        <v>97.65</v>
      </c>
      <c r="N91" s="64">
        <v>53.6</v>
      </c>
      <c r="O91" s="64">
        <v>0</v>
      </c>
      <c r="P91" s="64">
        <v>0.67</v>
      </c>
      <c r="Q91" s="64">
        <v>9.65</v>
      </c>
      <c r="R91" s="198"/>
      <c r="S91" s="198"/>
      <c r="T91" s="198"/>
      <c r="U91" s="198"/>
    </row>
    <row r="92" spans="1:26" s="12" customFormat="1" x14ac:dyDescent="0.25">
      <c r="A92" s="212" t="s">
        <v>1482</v>
      </c>
      <c r="B92" s="64">
        <v>14.75</v>
      </c>
      <c r="C92" s="64">
        <v>13.7</v>
      </c>
      <c r="D92" s="64">
        <v>18.989999999999998</v>
      </c>
      <c r="E92" s="64">
        <v>6.27</v>
      </c>
      <c r="F92" s="64">
        <v>8.5500000000000007</v>
      </c>
      <c r="G92" s="64">
        <v>45.22</v>
      </c>
      <c r="H92" s="64">
        <v>7.93</v>
      </c>
      <c r="I92" s="64">
        <v>2.2400000000000002</v>
      </c>
      <c r="J92" s="64">
        <v>0.28999999999999998</v>
      </c>
      <c r="K92" s="64">
        <v>332.65</v>
      </c>
      <c r="L92" s="64">
        <v>26.01</v>
      </c>
      <c r="M92" s="64">
        <v>97.68</v>
      </c>
      <c r="N92" s="64">
        <v>53.7</v>
      </c>
      <c r="O92" s="64">
        <v>0</v>
      </c>
      <c r="P92" s="64">
        <v>0.74</v>
      </c>
      <c r="Q92" s="64">
        <v>9.64</v>
      </c>
      <c r="R92" s="198"/>
      <c r="S92" s="198"/>
      <c r="T92" s="198"/>
      <c r="U92" s="198"/>
    </row>
    <row r="93" spans="1:26" s="12" customFormat="1" x14ac:dyDescent="0.25">
      <c r="A93" s="212" t="s">
        <v>1483</v>
      </c>
      <c r="B93" s="64">
        <v>17.47</v>
      </c>
      <c r="C93" s="64">
        <v>10.14</v>
      </c>
      <c r="D93" s="64">
        <v>19.23</v>
      </c>
      <c r="E93" s="64">
        <v>6.37</v>
      </c>
      <c r="F93" s="64">
        <v>5.55</v>
      </c>
      <c r="G93" s="64">
        <v>45.22</v>
      </c>
      <c r="H93" s="64">
        <v>7.93</v>
      </c>
      <c r="I93" s="64">
        <v>2.23</v>
      </c>
      <c r="J93" s="64">
        <v>0.98</v>
      </c>
      <c r="K93" s="64">
        <v>334.85</v>
      </c>
      <c r="L93" s="64">
        <v>25.96</v>
      </c>
      <c r="M93" s="64">
        <v>97.68</v>
      </c>
      <c r="N93" s="64">
        <v>53.5</v>
      </c>
      <c r="O93" s="64">
        <v>0</v>
      </c>
      <c r="P93" s="64">
        <v>0.7</v>
      </c>
      <c r="Q93" s="64">
        <v>9.65</v>
      </c>
      <c r="R93" s="198"/>
      <c r="S93" s="198"/>
      <c r="T93" s="198"/>
      <c r="U93" s="198"/>
    </row>
    <row r="94" spans="1:26" s="12" customFormat="1" x14ac:dyDescent="0.25">
      <c r="A94" s="212" t="s">
        <v>1484</v>
      </c>
      <c r="B94" s="64">
        <v>16.850000000000001</v>
      </c>
      <c r="C94" s="64">
        <v>13.12</v>
      </c>
      <c r="D94" s="64">
        <v>20.37</v>
      </c>
      <c r="E94" s="64">
        <v>6.15</v>
      </c>
      <c r="F94" s="64">
        <v>6.58</v>
      </c>
      <c r="G94" s="64">
        <v>45.22</v>
      </c>
      <c r="H94" s="64">
        <v>7.93</v>
      </c>
      <c r="I94" s="64">
        <v>2.2400000000000002</v>
      </c>
      <c r="J94" s="64">
        <v>0.33</v>
      </c>
      <c r="K94" s="64">
        <v>332.37</v>
      </c>
      <c r="L94" s="64">
        <v>25.78</v>
      </c>
      <c r="M94" s="64">
        <v>97.68</v>
      </c>
      <c r="N94" s="64">
        <v>53.4</v>
      </c>
      <c r="O94" s="64">
        <v>0</v>
      </c>
      <c r="P94" s="64">
        <v>0.74</v>
      </c>
      <c r="Q94" s="64">
        <v>9.64</v>
      </c>
      <c r="R94" s="198"/>
      <c r="S94" s="198"/>
      <c r="T94" s="198"/>
      <c r="U94" s="198"/>
    </row>
    <row r="95" spans="1:26" s="12" customFormat="1" x14ac:dyDescent="0.25">
      <c r="A95" s="212" t="s">
        <v>1485</v>
      </c>
      <c r="B95" s="64">
        <v>22.08</v>
      </c>
      <c r="C95" s="64">
        <v>17.82</v>
      </c>
      <c r="D95" s="64">
        <v>27.02</v>
      </c>
      <c r="E95" s="64">
        <v>6.14</v>
      </c>
      <c r="F95" s="64">
        <v>6.2</v>
      </c>
      <c r="G95" s="64">
        <v>48.09</v>
      </c>
      <c r="H95" s="64">
        <v>9.51</v>
      </c>
      <c r="I95" s="64">
        <v>2.25</v>
      </c>
      <c r="J95" s="64">
        <v>0.34</v>
      </c>
      <c r="K95" s="64">
        <v>343.82</v>
      </c>
      <c r="L95" s="64">
        <v>25.69</v>
      </c>
      <c r="M95" s="64">
        <v>97.7</v>
      </c>
      <c r="N95" s="64">
        <v>53.2</v>
      </c>
      <c r="O95" s="64">
        <v>0</v>
      </c>
      <c r="P95" s="64">
        <v>1.08</v>
      </c>
      <c r="Q95" s="64">
        <v>9.64</v>
      </c>
      <c r="R95" s="198"/>
      <c r="S95" s="198"/>
      <c r="T95" s="198"/>
      <c r="U95" s="198"/>
    </row>
    <row r="96" spans="1:26" s="12" customFormat="1" x14ac:dyDescent="0.25">
      <c r="A96" s="212" t="s">
        <v>1486</v>
      </c>
      <c r="B96" s="64">
        <v>25.38</v>
      </c>
      <c r="C96" s="64">
        <v>17.309999999999999</v>
      </c>
      <c r="D96" s="64">
        <v>29.39</v>
      </c>
      <c r="E96" s="64">
        <v>6.32</v>
      </c>
      <c r="F96" s="64">
        <v>6.42</v>
      </c>
      <c r="G96" s="64">
        <v>48.33</v>
      </c>
      <c r="H96" s="64">
        <v>9.65</v>
      </c>
      <c r="I96" s="64">
        <v>2.2400000000000002</v>
      </c>
      <c r="J96" s="64">
        <v>0.46</v>
      </c>
      <c r="K96" s="64">
        <v>340.69</v>
      </c>
      <c r="L96" s="64">
        <v>25.72</v>
      </c>
      <c r="M96" s="64">
        <v>97.7</v>
      </c>
      <c r="N96" s="64">
        <v>53.2</v>
      </c>
      <c r="O96" s="64">
        <v>0</v>
      </c>
      <c r="P96" s="64">
        <v>1.1100000000000001</v>
      </c>
      <c r="Q96" s="64">
        <v>9.65</v>
      </c>
      <c r="R96" s="198"/>
      <c r="S96" s="198"/>
      <c r="T96" s="198"/>
      <c r="U96" s="198"/>
      <c r="Z96" s="109"/>
    </row>
    <row r="97" spans="1:33" s="12" customFormat="1" x14ac:dyDescent="0.25">
      <c r="A97" s="212" t="s">
        <v>1487</v>
      </c>
      <c r="B97" s="64">
        <v>15.11</v>
      </c>
      <c r="C97" s="64">
        <v>13.68</v>
      </c>
      <c r="D97" s="64">
        <v>19.260000000000002</v>
      </c>
      <c r="E97" s="64">
        <v>6.18</v>
      </c>
      <c r="F97" s="64">
        <v>5.87</v>
      </c>
      <c r="G97" s="64">
        <v>48.33</v>
      </c>
      <c r="H97" s="64">
        <v>9.65</v>
      </c>
      <c r="I97" s="64">
        <v>2.25</v>
      </c>
      <c r="J97" s="64">
        <v>0.36</v>
      </c>
      <c r="K97" s="64">
        <v>332.98</v>
      </c>
      <c r="L97" s="64">
        <v>25.76</v>
      </c>
      <c r="M97" s="64">
        <v>97.72</v>
      </c>
      <c r="N97" s="64">
        <v>53.3</v>
      </c>
      <c r="O97" s="64">
        <v>0</v>
      </c>
      <c r="P97" s="64">
        <v>0.93</v>
      </c>
      <c r="Q97" s="64">
        <v>9.65</v>
      </c>
      <c r="R97" s="198"/>
      <c r="S97" s="198"/>
      <c r="T97" s="198"/>
      <c r="U97" s="198"/>
    </row>
    <row r="98" spans="1:33" s="12" customFormat="1" x14ac:dyDescent="0.25">
      <c r="A98" s="212" t="s">
        <v>1488</v>
      </c>
      <c r="B98" s="64">
        <v>21.15</v>
      </c>
      <c r="C98" s="64">
        <v>12.28</v>
      </c>
      <c r="D98" s="64">
        <v>23.1</v>
      </c>
      <c r="E98" s="64">
        <v>6.3</v>
      </c>
      <c r="F98" s="64">
        <v>5.83</v>
      </c>
      <c r="G98" s="64">
        <v>48.33</v>
      </c>
      <c r="H98" s="64">
        <v>9.65</v>
      </c>
      <c r="I98" s="64">
        <v>2.27</v>
      </c>
      <c r="J98" s="64">
        <v>0.72</v>
      </c>
      <c r="K98" s="64">
        <v>334.18</v>
      </c>
      <c r="L98" s="64">
        <v>25.84</v>
      </c>
      <c r="M98" s="64">
        <v>97.71</v>
      </c>
      <c r="N98" s="64">
        <v>53.2</v>
      </c>
      <c r="O98" s="64">
        <v>0</v>
      </c>
      <c r="P98" s="64">
        <v>0.9</v>
      </c>
      <c r="Q98" s="64">
        <v>9.66</v>
      </c>
      <c r="R98" s="198"/>
      <c r="S98" s="198"/>
      <c r="T98" s="198"/>
      <c r="U98" s="198"/>
    </row>
    <row r="99" spans="1:33" s="12" customFormat="1" x14ac:dyDescent="0.25">
      <c r="A99" s="212" t="s">
        <v>1489</v>
      </c>
      <c r="B99" s="64">
        <v>17.739999999999998</v>
      </c>
      <c r="C99" s="64">
        <v>9.82</v>
      </c>
      <c r="D99" s="64">
        <v>19.36</v>
      </c>
      <c r="E99" s="64">
        <v>5.81</v>
      </c>
      <c r="F99" s="64">
        <v>5.65</v>
      </c>
      <c r="G99" s="64">
        <v>55.69</v>
      </c>
      <c r="H99" s="64">
        <v>11.38</v>
      </c>
      <c r="I99" s="64">
        <v>2.2999999999999998</v>
      </c>
      <c r="J99" s="64">
        <v>1.0900000000000001</v>
      </c>
      <c r="K99" s="64">
        <v>336.35</v>
      </c>
      <c r="L99" s="64">
        <v>25.83</v>
      </c>
      <c r="M99" s="64">
        <v>97.7</v>
      </c>
      <c r="N99" s="64">
        <v>53.6</v>
      </c>
      <c r="O99" s="64">
        <v>0</v>
      </c>
      <c r="P99" s="64">
        <v>0.76</v>
      </c>
      <c r="Q99" s="64">
        <v>9.68</v>
      </c>
      <c r="R99" s="198"/>
      <c r="S99" s="198"/>
      <c r="T99" s="198"/>
      <c r="U99" s="198"/>
    </row>
    <row r="100" spans="1:33" s="12" customFormat="1" x14ac:dyDescent="0.25">
      <c r="A100" s="212" t="s">
        <v>1490</v>
      </c>
      <c r="B100" s="64">
        <v>20.58</v>
      </c>
      <c r="C100" s="64">
        <v>12.13</v>
      </c>
      <c r="D100" s="64">
        <v>22.84</v>
      </c>
      <c r="E100" s="64">
        <v>5.9</v>
      </c>
      <c r="F100" s="64">
        <v>5.37</v>
      </c>
      <c r="G100" s="64">
        <v>56.31</v>
      </c>
      <c r="H100" s="64">
        <v>11.5</v>
      </c>
      <c r="I100" s="64">
        <v>2.2999999999999998</v>
      </c>
      <c r="J100" s="64">
        <v>0.47</v>
      </c>
      <c r="K100" s="64">
        <v>338.14</v>
      </c>
      <c r="L100" s="64">
        <v>25.48</v>
      </c>
      <c r="M100" s="64">
        <v>97.77</v>
      </c>
      <c r="N100" s="64">
        <v>56.2</v>
      </c>
      <c r="O100" s="64">
        <v>0</v>
      </c>
      <c r="P100" s="64">
        <v>0.81</v>
      </c>
      <c r="Q100" s="64">
        <v>9.66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2" t="s">
        <v>1491</v>
      </c>
      <c r="B101" s="64">
        <v>14.41</v>
      </c>
      <c r="C101" s="64">
        <v>7.19</v>
      </c>
      <c r="D101" s="64">
        <v>15.31</v>
      </c>
      <c r="E101" s="64">
        <v>6.09</v>
      </c>
      <c r="F101" s="64">
        <v>8.06</v>
      </c>
      <c r="G101" s="64">
        <v>56.31</v>
      </c>
      <c r="H101" s="64">
        <v>11.5</v>
      </c>
      <c r="I101" s="64">
        <v>2.29</v>
      </c>
      <c r="J101" s="64">
        <v>0.26</v>
      </c>
      <c r="K101" s="64">
        <v>148.97999999999999</v>
      </c>
      <c r="L101" s="64">
        <v>24.4</v>
      </c>
      <c r="M101" s="64">
        <v>97.84</v>
      </c>
      <c r="N101" s="64">
        <v>55.2</v>
      </c>
      <c r="O101" s="64">
        <v>0</v>
      </c>
      <c r="P101" s="64">
        <v>0.67</v>
      </c>
      <c r="Q101" s="64">
        <v>9.67</v>
      </c>
      <c r="R101" s="198"/>
      <c r="S101" s="198"/>
      <c r="T101" s="198"/>
      <c r="U101" s="198"/>
    </row>
    <row r="102" spans="1:33" s="12" customFormat="1" x14ac:dyDescent="0.25">
      <c r="A102" s="212" t="s">
        <v>1492</v>
      </c>
      <c r="B102" s="64">
        <v>8.85</v>
      </c>
      <c r="C102" s="64">
        <v>9.9</v>
      </c>
      <c r="D102" s="64">
        <v>12.27</v>
      </c>
      <c r="E102" s="64">
        <v>5.77</v>
      </c>
      <c r="F102" s="64">
        <v>7.1</v>
      </c>
      <c r="G102" s="64">
        <v>56.31</v>
      </c>
      <c r="H102" s="64">
        <v>11.5</v>
      </c>
      <c r="I102" s="64">
        <v>2.2999999999999998</v>
      </c>
      <c r="J102" s="64">
        <v>0.21</v>
      </c>
      <c r="K102" s="64">
        <v>110.37</v>
      </c>
      <c r="L102" s="64">
        <v>24.44</v>
      </c>
      <c r="M102" s="64">
        <v>97.83</v>
      </c>
      <c r="N102" s="64">
        <v>54.5</v>
      </c>
      <c r="O102" s="64">
        <v>0</v>
      </c>
      <c r="P102" s="64">
        <v>0.39</v>
      </c>
      <c r="Q102" s="64">
        <v>9.68</v>
      </c>
      <c r="R102" s="198"/>
      <c r="S102" s="198"/>
      <c r="T102" s="198"/>
      <c r="U102" s="198"/>
    </row>
    <row r="103" spans="1:33" s="12" customFormat="1" x14ac:dyDescent="0.25">
      <c r="A103" s="212" t="s">
        <v>1493</v>
      </c>
      <c r="B103" s="64">
        <v>8.1300000000000008</v>
      </c>
      <c r="C103" s="64">
        <v>8.59</v>
      </c>
      <c r="D103" s="64">
        <v>11.01</v>
      </c>
      <c r="E103" s="64">
        <v>5.76</v>
      </c>
      <c r="F103" s="64">
        <v>6.03</v>
      </c>
      <c r="G103" s="64">
        <v>54.35</v>
      </c>
      <c r="H103" s="64">
        <v>9.99</v>
      </c>
      <c r="I103" s="64">
        <v>2.2799999999999998</v>
      </c>
      <c r="J103" s="64">
        <v>0.14000000000000001</v>
      </c>
      <c r="K103" s="64">
        <v>140.86000000000001</v>
      </c>
      <c r="L103" s="64">
        <v>24.38</v>
      </c>
      <c r="M103" s="64">
        <v>97.79</v>
      </c>
      <c r="N103" s="64">
        <v>55.9</v>
      </c>
      <c r="O103" s="64">
        <v>0</v>
      </c>
      <c r="P103" s="64">
        <v>0.39</v>
      </c>
      <c r="Q103" s="64">
        <v>9.68</v>
      </c>
      <c r="R103" s="198"/>
      <c r="S103" s="198"/>
      <c r="T103" s="198"/>
      <c r="U103" s="198"/>
    </row>
    <row r="104" spans="1:33" s="12" customFormat="1" x14ac:dyDescent="0.25">
      <c r="A104" s="212" t="s">
        <v>1494</v>
      </c>
      <c r="B104" s="64">
        <v>9.8699999999999992</v>
      </c>
      <c r="C104" s="64">
        <v>6.26</v>
      </c>
      <c r="D104" s="64">
        <v>11.18</v>
      </c>
      <c r="E104" s="64">
        <v>4.79</v>
      </c>
      <c r="F104" s="64">
        <v>7.68</v>
      </c>
      <c r="G104" s="64">
        <v>54.21</v>
      </c>
      <c r="H104" s="64">
        <v>9.8800000000000008</v>
      </c>
      <c r="I104" s="64">
        <v>2.23</v>
      </c>
      <c r="J104" s="64">
        <v>0.06</v>
      </c>
      <c r="K104" s="64">
        <v>219.95</v>
      </c>
      <c r="L104" s="64">
        <v>24.32</v>
      </c>
      <c r="M104" s="64">
        <v>97.76</v>
      </c>
      <c r="N104" s="64">
        <v>56.1</v>
      </c>
      <c r="O104" s="64">
        <v>0</v>
      </c>
      <c r="P104" s="64">
        <v>0.37</v>
      </c>
      <c r="Q104" s="64">
        <v>9.68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</v>
      </c>
      <c r="C106" s="67">
        <f>MIN(C9:C104)</f>
        <v>6.26</v>
      </c>
      <c r="D106" s="67">
        <f t="shared" ref="D106:Q106" si="0">MIN(D9:D104)</f>
        <v>7.68</v>
      </c>
      <c r="E106" s="67">
        <f t="shared" si="0"/>
        <v>3.55</v>
      </c>
      <c r="F106" s="67">
        <f t="shared" si="0"/>
        <v>3.91</v>
      </c>
      <c r="G106" s="67">
        <f t="shared" si="0"/>
        <v>11.81</v>
      </c>
      <c r="H106" s="67">
        <f t="shared" si="0"/>
        <v>4.1399999999999997</v>
      </c>
      <c r="I106" s="67">
        <f t="shared" si="0"/>
        <v>0.94</v>
      </c>
      <c r="J106" s="67">
        <f t="shared" si="0"/>
        <v>0.04</v>
      </c>
      <c r="K106" s="67">
        <f t="shared" si="0"/>
        <v>25.8</v>
      </c>
      <c r="L106" s="67">
        <f t="shared" si="0"/>
        <v>23.96</v>
      </c>
      <c r="M106" s="67">
        <f t="shared" si="0"/>
        <v>74.61</v>
      </c>
      <c r="N106" s="67">
        <f t="shared" si="0"/>
        <v>44.6</v>
      </c>
      <c r="O106" s="67">
        <f t="shared" si="0"/>
        <v>0</v>
      </c>
      <c r="P106" s="67">
        <f t="shared" si="0"/>
        <v>0.15</v>
      </c>
      <c r="Q106" s="67">
        <f t="shared" si="0"/>
        <v>9.5399999999999991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28.21</v>
      </c>
      <c r="C107" s="66">
        <f t="shared" ref="C107:Q107" si="1">MAX(C9:C104)</f>
        <v>23.31</v>
      </c>
      <c r="D107" s="66">
        <f t="shared" si="1"/>
        <v>30.78</v>
      </c>
      <c r="E107" s="66">
        <f t="shared" si="1"/>
        <v>6.61</v>
      </c>
      <c r="F107" s="66">
        <f t="shared" si="1"/>
        <v>18.21</v>
      </c>
      <c r="G107" s="66">
        <f t="shared" si="1"/>
        <v>56.31</v>
      </c>
      <c r="H107" s="66">
        <f t="shared" si="1"/>
        <v>11.5</v>
      </c>
      <c r="I107" s="66">
        <f t="shared" si="1"/>
        <v>2.2999999999999998</v>
      </c>
      <c r="J107" s="66">
        <f t="shared" si="1"/>
        <v>1.0900000000000001</v>
      </c>
      <c r="K107" s="66">
        <f t="shared" si="1"/>
        <v>346.69</v>
      </c>
      <c r="L107" s="66">
        <f t="shared" si="1"/>
        <v>31.59</v>
      </c>
      <c r="M107" s="66">
        <f t="shared" si="1"/>
        <v>97.84</v>
      </c>
      <c r="N107" s="66">
        <f t="shared" si="1"/>
        <v>651.5</v>
      </c>
      <c r="O107" s="66">
        <f t="shared" si="1"/>
        <v>0</v>
      </c>
      <c r="P107" s="66">
        <f t="shared" si="1"/>
        <v>1.55</v>
      </c>
      <c r="Q107" s="66">
        <f t="shared" si="1"/>
        <v>9.68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9.9756250000000026</v>
      </c>
      <c r="C108" s="67">
        <f t="shared" ref="C108:Q108" si="2">AVERAGE(C9:C104)</f>
        <v>11.069583333333334</v>
      </c>
      <c r="D108" s="67">
        <f t="shared" si="2"/>
        <v>13.776562499999999</v>
      </c>
      <c r="E108" s="67">
        <f t="shared" si="2"/>
        <v>4.8976041666666665</v>
      </c>
      <c r="F108" s="67">
        <f t="shared" si="2"/>
        <v>9.2501041666666683</v>
      </c>
      <c r="G108" s="67">
        <f t="shared" si="2"/>
        <v>32.393958333333323</v>
      </c>
      <c r="H108" s="67">
        <f t="shared" si="2"/>
        <v>7.6055208333333288</v>
      </c>
      <c r="I108" s="67">
        <f t="shared" si="2"/>
        <v>1.4745833333333331</v>
      </c>
      <c r="J108" s="67">
        <f t="shared" si="2"/>
        <v>0.36687500000000006</v>
      </c>
      <c r="K108" s="67">
        <f t="shared" si="2"/>
        <v>210.33333333333329</v>
      </c>
      <c r="L108" s="67">
        <f t="shared" si="2"/>
        <v>27.038125000000012</v>
      </c>
      <c r="M108" s="67">
        <f t="shared" si="2"/>
        <v>93.152604166666677</v>
      </c>
      <c r="N108" s="67">
        <f t="shared" si="2"/>
        <v>174.86041666666674</v>
      </c>
      <c r="O108" s="67">
        <f t="shared" si="2"/>
        <v>0</v>
      </c>
      <c r="P108" s="67">
        <f t="shared" si="2"/>
        <v>0.45770833333333338</v>
      </c>
      <c r="Q108" s="67">
        <f t="shared" si="2"/>
        <v>9.6291666666666593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5.637142391505221</v>
      </c>
      <c r="C109" s="67">
        <f t="shared" ref="C109:Q109" si="3">STDEV(C9:C104)</f>
        <v>3.2750128699358685</v>
      </c>
      <c r="D109" s="67">
        <f t="shared" si="3"/>
        <v>5.5506359670003471</v>
      </c>
      <c r="E109" s="67">
        <f t="shared" si="3"/>
        <v>0.97423626745495262</v>
      </c>
      <c r="F109" s="67">
        <f t="shared" si="3"/>
        <v>3.6272969477187567</v>
      </c>
      <c r="G109" s="67">
        <f t="shared" si="3"/>
        <v>11.403009896206482</v>
      </c>
      <c r="H109" s="67">
        <f t="shared" si="3"/>
        <v>1.9831064784384687</v>
      </c>
      <c r="I109" s="67">
        <f t="shared" si="3"/>
        <v>0.45215487953545208</v>
      </c>
      <c r="J109" s="67">
        <f t="shared" si="3"/>
        <v>0.23432910954242808</v>
      </c>
      <c r="K109" s="67">
        <f t="shared" si="3"/>
        <v>98.028620253331852</v>
      </c>
      <c r="L109" s="67">
        <f t="shared" si="3"/>
        <v>2.021322814656934</v>
      </c>
      <c r="M109" s="67">
        <f t="shared" si="3"/>
        <v>7.0455809584211488</v>
      </c>
      <c r="N109" s="67">
        <f t="shared" si="3"/>
        <v>182.14946753128277</v>
      </c>
      <c r="O109" s="67">
        <f t="shared" si="3"/>
        <v>0</v>
      </c>
      <c r="P109" s="67">
        <f t="shared" si="3"/>
        <v>0.27516685528168905</v>
      </c>
      <c r="Q109" s="67">
        <f t="shared" si="3"/>
        <v>3.4202698159699604E-2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 t="shared" ref="I110:J110" si="5">COUNT(I9:I104)</f>
        <v>96</v>
      </c>
      <c r="J110" s="66">
        <f t="shared" si="5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215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7" sqref="B117:U11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14/08/2025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2" t="s">
        <v>1495</v>
      </c>
      <c r="B9" s="64">
        <v>10.11</v>
      </c>
      <c r="C9" s="64">
        <v>5.29</v>
      </c>
      <c r="D9" s="64">
        <v>10.87</v>
      </c>
      <c r="E9" s="64">
        <v>5.05</v>
      </c>
      <c r="F9" s="64">
        <v>6.97</v>
      </c>
      <c r="G9" s="64">
        <v>54.21</v>
      </c>
      <c r="H9" s="64">
        <v>9.8800000000000008</v>
      </c>
      <c r="I9" s="64">
        <v>2.2000000000000002</v>
      </c>
      <c r="J9" s="64">
        <v>0.25</v>
      </c>
      <c r="K9" s="64">
        <v>187.6</v>
      </c>
      <c r="L9" s="64">
        <v>24.17</v>
      </c>
      <c r="M9" s="64">
        <v>97.77</v>
      </c>
      <c r="N9" s="64">
        <v>55.5</v>
      </c>
      <c r="O9" s="64">
        <v>0</v>
      </c>
      <c r="P9" s="64">
        <v>0.39</v>
      </c>
      <c r="Q9" s="64">
        <v>9.68</v>
      </c>
      <c r="R9" s="198"/>
      <c r="S9" s="198"/>
      <c r="T9" s="198"/>
      <c r="U9" s="198"/>
    </row>
    <row r="10" spans="1:21" s="12" customFormat="1" x14ac:dyDescent="0.25">
      <c r="A10" s="212" t="s">
        <v>1496</v>
      </c>
      <c r="B10" s="64">
        <v>9.52</v>
      </c>
      <c r="C10" s="64">
        <v>5.91</v>
      </c>
      <c r="D10" s="64">
        <v>10.72</v>
      </c>
      <c r="E10" s="64">
        <v>5.23</v>
      </c>
      <c r="F10" s="64">
        <v>6.15</v>
      </c>
      <c r="G10" s="64">
        <v>54.21</v>
      </c>
      <c r="H10" s="64">
        <v>9.8800000000000008</v>
      </c>
      <c r="I10" s="64">
        <v>2.14</v>
      </c>
      <c r="J10" s="64">
        <v>0.05</v>
      </c>
      <c r="K10" s="64">
        <v>144.49</v>
      </c>
      <c r="L10" s="64">
        <v>24.22</v>
      </c>
      <c r="M10" s="64">
        <v>97.78</v>
      </c>
      <c r="N10" s="64">
        <v>55</v>
      </c>
      <c r="O10" s="64">
        <v>0</v>
      </c>
      <c r="P10" s="64">
        <v>0.33</v>
      </c>
      <c r="Q10" s="64">
        <v>9.66</v>
      </c>
      <c r="R10" s="198"/>
      <c r="S10" s="198"/>
      <c r="T10" s="198"/>
      <c r="U10" s="198"/>
    </row>
    <row r="11" spans="1:21" s="12" customFormat="1" x14ac:dyDescent="0.25">
      <c r="A11" s="212" t="s">
        <v>1497</v>
      </c>
      <c r="B11" s="64">
        <v>9.7200000000000006</v>
      </c>
      <c r="C11" s="64">
        <v>5.32</v>
      </c>
      <c r="D11" s="64">
        <v>10.58</v>
      </c>
      <c r="E11" s="64">
        <v>5.33</v>
      </c>
      <c r="F11" s="64">
        <v>8</v>
      </c>
      <c r="G11" s="64">
        <v>40.4</v>
      </c>
      <c r="H11" s="64">
        <v>7.29</v>
      </c>
      <c r="I11" s="64">
        <v>2.09</v>
      </c>
      <c r="J11" s="64">
        <v>0.1</v>
      </c>
      <c r="K11" s="64">
        <v>157.55000000000001</v>
      </c>
      <c r="L11" s="64">
        <v>24.25</v>
      </c>
      <c r="M11" s="64">
        <v>97.76</v>
      </c>
      <c r="N11" s="64">
        <v>55.6</v>
      </c>
      <c r="O11" s="64">
        <v>0</v>
      </c>
      <c r="P11" s="64">
        <v>0.36</v>
      </c>
      <c r="Q11" s="64">
        <v>9.66</v>
      </c>
      <c r="R11" s="198"/>
      <c r="S11" s="198"/>
      <c r="T11" s="198"/>
      <c r="U11" s="198"/>
    </row>
    <row r="12" spans="1:21" s="12" customFormat="1" x14ac:dyDescent="0.25">
      <c r="A12" s="212" t="s">
        <v>1498</v>
      </c>
      <c r="B12" s="64">
        <v>9.49</v>
      </c>
      <c r="C12" s="64">
        <v>5.18</v>
      </c>
      <c r="D12" s="64">
        <v>10.32</v>
      </c>
      <c r="E12" s="64">
        <v>5.22</v>
      </c>
      <c r="F12" s="64">
        <v>7.71</v>
      </c>
      <c r="G12" s="64">
        <v>39.24</v>
      </c>
      <c r="H12" s="64">
        <v>7.11</v>
      </c>
      <c r="I12" s="64">
        <v>2.0299999999999998</v>
      </c>
      <c r="J12" s="64">
        <v>0.1</v>
      </c>
      <c r="K12" s="64">
        <v>107.67</v>
      </c>
      <c r="L12" s="64">
        <v>24.23</v>
      </c>
      <c r="M12" s="64">
        <v>97.75</v>
      </c>
      <c r="N12" s="64">
        <v>55.5</v>
      </c>
      <c r="O12" s="64">
        <v>0</v>
      </c>
      <c r="P12" s="64">
        <v>0.31</v>
      </c>
      <c r="Q12" s="64">
        <v>9.67</v>
      </c>
      <c r="R12" s="198"/>
      <c r="S12" s="198"/>
      <c r="T12" s="198"/>
      <c r="U12" s="198"/>
    </row>
    <row r="13" spans="1:21" s="12" customFormat="1" x14ac:dyDescent="0.25">
      <c r="A13" s="212" t="s">
        <v>1499</v>
      </c>
      <c r="B13" s="64">
        <v>9.0399999999999991</v>
      </c>
      <c r="C13" s="64">
        <v>4.8600000000000003</v>
      </c>
      <c r="D13" s="64">
        <v>9.7899999999999991</v>
      </c>
      <c r="E13" s="64">
        <v>5.15</v>
      </c>
      <c r="F13" s="64">
        <v>8.16</v>
      </c>
      <c r="G13" s="64">
        <v>39.24</v>
      </c>
      <c r="H13" s="64">
        <v>7.11</v>
      </c>
      <c r="I13" s="64">
        <v>2</v>
      </c>
      <c r="J13" s="64">
        <v>0.12</v>
      </c>
      <c r="K13" s="64">
        <v>119.57</v>
      </c>
      <c r="L13" s="64">
        <v>24.28</v>
      </c>
      <c r="M13" s="64">
        <v>97.75</v>
      </c>
      <c r="N13" s="64">
        <v>55.5</v>
      </c>
      <c r="O13" s="64">
        <v>0</v>
      </c>
      <c r="P13" s="64">
        <v>0.31</v>
      </c>
      <c r="Q13" s="64">
        <v>9.67</v>
      </c>
      <c r="R13" s="198"/>
      <c r="S13" s="198"/>
      <c r="T13" s="198"/>
      <c r="U13" s="198"/>
    </row>
    <row r="14" spans="1:21" s="12" customFormat="1" x14ac:dyDescent="0.25">
      <c r="A14" s="212" t="s">
        <v>1500</v>
      </c>
      <c r="B14" s="64">
        <v>8.67</v>
      </c>
      <c r="C14" s="64">
        <v>5.25</v>
      </c>
      <c r="D14" s="64">
        <v>9.69</v>
      </c>
      <c r="E14" s="64">
        <v>5.18</v>
      </c>
      <c r="F14" s="64">
        <v>8.19</v>
      </c>
      <c r="G14" s="64">
        <v>39.24</v>
      </c>
      <c r="H14" s="64">
        <v>7.11</v>
      </c>
      <c r="I14" s="64">
        <v>1.96</v>
      </c>
      <c r="J14" s="64">
        <v>0.08</v>
      </c>
      <c r="K14" s="64">
        <v>97.96</v>
      </c>
      <c r="L14" s="64">
        <v>24.24</v>
      </c>
      <c r="M14" s="64">
        <v>97.77</v>
      </c>
      <c r="N14" s="64">
        <v>55.1</v>
      </c>
      <c r="O14" s="64">
        <v>0</v>
      </c>
      <c r="P14" s="64">
        <v>0.25</v>
      </c>
      <c r="Q14" s="64">
        <v>9.68</v>
      </c>
      <c r="R14" s="198"/>
      <c r="S14" s="198"/>
      <c r="T14" s="198"/>
      <c r="U14" s="198"/>
    </row>
    <row r="15" spans="1:21" s="12" customFormat="1" x14ac:dyDescent="0.25">
      <c r="A15" s="212" t="s">
        <v>1501</v>
      </c>
      <c r="B15" s="64">
        <v>10.3</v>
      </c>
      <c r="C15" s="64">
        <v>4.28</v>
      </c>
      <c r="D15" s="64">
        <v>10.49</v>
      </c>
      <c r="E15" s="64">
        <v>5.22</v>
      </c>
      <c r="F15" s="64">
        <v>6.42</v>
      </c>
      <c r="G15" s="64">
        <v>27.26</v>
      </c>
      <c r="H15" s="64">
        <v>5.72</v>
      </c>
      <c r="I15" s="64">
        <v>1.94</v>
      </c>
      <c r="J15" s="64">
        <v>0.35</v>
      </c>
      <c r="K15" s="64">
        <v>107.26</v>
      </c>
      <c r="L15" s="64">
        <v>24.11</v>
      </c>
      <c r="M15" s="64">
        <v>97.71</v>
      </c>
      <c r="N15" s="64">
        <v>55.3</v>
      </c>
      <c r="O15" s="64">
        <v>0</v>
      </c>
      <c r="P15" s="64">
        <v>0.36</v>
      </c>
      <c r="Q15" s="64">
        <v>9.69</v>
      </c>
      <c r="R15" s="198"/>
      <c r="S15" s="198"/>
      <c r="T15" s="198"/>
      <c r="U15" s="198"/>
    </row>
    <row r="16" spans="1:21" s="12" customFormat="1" x14ac:dyDescent="0.25">
      <c r="A16" s="212" t="s">
        <v>1502</v>
      </c>
      <c r="B16" s="64">
        <v>9.3699999999999992</v>
      </c>
      <c r="C16" s="64">
        <v>4.09</v>
      </c>
      <c r="D16" s="64">
        <v>9.65</v>
      </c>
      <c r="E16" s="64">
        <v>5.45</v>
      </c>
      <c r="F16" s="64">
        <v>6.68</v>
      </c>
      <c r="G16" s="64">
        <v>26.25</v>
      </c>
      <c r="H16" s="64">
        <v>5.6</v>
      </c>
      <c r="I16" s="64">
        <v>1.89</v>
      </c>
      <c r="J16" s="64">
        <v>0.35</v>
      </c>
      <c r="K16" s="64">
        <v>111.71</v>
      </c>
      <c r="L16" s="64">
        <v>23.99</v>
      </c>
      <c r="M16" s="64">
        <v>97.3</v>
      </c>
      <c r="N16" s="64">
        <v>55.2</v>
      </c>
      <c r="O16" s="64">
        <v>0</v>
      </c>
      <c r="P16" s="64">
        <v>0.32</v>
      </c>
      <c r="Q16" s="64">
        <v>9.68</v>
      </c>
      <c r="R16" s="198"/>
      <c r="S16" s="198"/>
      <c r="T16" s="198"/>
      <c r="U16" s="198"/>
    </row>
    <row r="17" spans="1:21" s="12" customFormat="1" x14ac:dyDescent="0.25">
      <c r="A17" s="212" t="s">
        <v>1503</v>
      </c>
      <c r="B17" s="64">
        <v>7.07</v>
      </c>
      <c r="C17" s="64">
        <v>4.7</v>
      </c>
      <c r="D17" s="64">
        <v>8.1300000000000008</v>
      </c>
      <c r="E17" s="64">
        <v>5.28</v>
      </c>
      <c r="F17" s="64">
        <v>7.56</v>
      </c>
      <c r="G17" s="64">
        <v>26.25</v>
      </c>
      <c r="H17" s="64">
        <v>5.6</v>
      </c>
      <c r="I17" s="64">
        <v>1.84</v>
      </c>
      <c r="J17" s="64">
        <v>0.12</v>
      </c>
      <c r="K17" s="64">
        <v>121.34</v>
      </c>
      <c r="L17" s="64">
        <v>23.92</v>
      </c>
      <c r="M17" s="64">
        <v>97.23</v>
      </c>
      <c r="N17" s="64">
        <v>54.9</v>
      </c>
      <c r="O17" s="64">
        <v>0</v>
      </c>
      <c r="P17" s="64">
        <v>0.21</v>
      </c>
      <c r="Q17" s="64">
        <v>9.67</v>
      </c>
      <c r="R17" s="198"/>
      <c r="S17" s="198"/>
      <c r="T17" s="198"/>
      <c r="U17" s="198"/>
    </row>
    <row r="18" spans="1:21" s="12" customFormat="1" x14ac:dyDescent="0.25">
      <c r="A18" s="212" t="s">
        <v>1504</v>
      </c>
      <c r="B18" s="64">
        <v>9</v>
      </c>
      <c r="C18" s="64">
        <v>5.12</v>
      </c>
      <c r="D18" s="64">
        <v>9.9</v>
      </c>
      <c r="E18" s="64">
        <v>4.96</v>
      </c>
      <c r="F18" s="64">
        <v>6.16</v>
      </c>
      <c r="G18" s="64">
        <v>26.25</v>
      </c>
      <c r="H18" s="64">
        <v>5.6</v>
      </c>
      <c r="I18" s="64">
        <v>1.79</v>
      </c>
      <c r="J18" s="64">
        <v>0.21</v>
      </c>
      <c r="K18" s="64">
        <v>100.49</v>
      </c>
      <c r="L18" s="64">
        <v>24</v>
      </c>
      <c r="M18" s="64">
        <v>97.24</v>
      </c>
      <c r="N18" s="64">
        <v>54.8</v>
      </c>
      <c r="O18" s="64">
        <v>0</v>
      </c>
      <c r="P18" s="64">
        <v>0.3</v>
      </c>
      <c r="Q18" s="64">
        <v>9.67</v>
      </c>
      <c r="R18" s="198"/>
      <c r="S18" s="198"/>
      <c r="T18" s="198"/>
      <c r="U18" s="198"/>
    </row>
    <row r="19" spans="1:21" s="12" customFormat="1" x14ac:dyDescent="0.25">
      <c r="A19" s="212" t="s">
        <v>1505</v>
      </c>
      <c r="B19" s="64">
        <v>8.4600000000000009</v>
      </c>
      <c r="C19" s="64">
        <v>6.28</v>
      </c>
      <c r="D19" s="64">
        <v>10.06</v>
      </c>
      <c r="E19" s="64">
        <v>5.13</v>
      </c>
      <c r="F19" s="64">
        <v>7.05</v>
      </c>
      <c r="G19" s="64">
        <v>16.07</v>
      </c>
      <c r="H19" s="64">
        <v>4.2</v>
      </c>
      <c r="I19" s="64">
        <v>1.73</v>
      </c>
      <c r="J19" s="64">
        <v>0.11</v>
      </c>
      <c r="K19" s="64">
        <v>111.32</v>
      </c>
      <c r="L19" s="64">
        <v>23.92</v>
      </c>
      <c r="M19" s="64">
        <v>97.7</v>
      </c>
      <c r="N19" s="64">
        <v>55</v>
      </c>
      <c r="O19" s="64">
        <v>0</v>
      </c>
      <c r="P19" s="64">
        <v>0.22</v>
      </c>
      <c r="Q19" s="64">
        <v>9.67</v>
      </c>
      <c r="R19" s="198"/>
      <c r="S19" s="198"/>
      <c r="T19" s="198"/>
      <c r="U19" s="198"/>
    </row>
    <row r="20" spans="1:21" s="12" customFormat="1" x14ac:dyDescent="0.25">
      <c r="A20" s="212" t="s">
        <v>1506</v>
      </c>
      <c r="B20" s="64">
        <v>9.3000000000000007</v>
      </c>
      <c r="C20" s="64">
        <v>5.69</v>
      </c>
      <c r="D20" s="64">
        <v>10.43</v>
      </c>
      <c r="E20" s="64">
        <v>4.91</v>
      </c>
      <c r="F20" s="64">
        <v>5.29</v>
      </c>
      <c r="G20" s="64">
        <v>15.21</v>
      </c>
      <c r="H20" s="64">
        <v>4.08</v>
      </c>
      <c r="I20" s="64">
        <v>1.69</v>
      </c>
      <c r="J20" s="64">
        <v>0.02</v>
      </c>
      <c r="K20" s="64">
        <v>191.19</v>
      </c>
      <c r="L20" s="64">
        <v>23.73</v>
      </c>
      <c r="M20" s="64">
        <v>97.33</v>
      </c>
      <c r="N20" s="64">
        <v>54.8</v>
      </c>
      <c r="O20" s="64">
        <v>0</v>
      </c>
      <c r="P20" s="64">
        <v>0.28000000000000003</v>
      </c>
      <c r="Q20" s="64">
        <v>9.69</v>
      </c>
      <c r="R20" s="198"/>
      <c r="S20" s="198"/>
      <c r="T20" s="198"/>
      <c r="U20" s="198"/>
    </row>
    <row r="21" spans="1:21" s="12" customFormat="1" x14ac:dyDescent="0.25">
      <c r="A21" s="212" t="s">
        <v>1507</v>
      </c>
      <c r="B21" s="64">
        <v>5.9</v>
      </c>
      <c r="C21" s="64">
        <v>5.32</v>
      </c>
      <c r="D21" s="64">
        <v>7.51</v>
      </c>
      <c r="E21" s="64">
        <v>4.8099999999999996</v>
      </c>
      <c r="F21" s="64">
        <v>7.16</v>
      </c>
      <c r="G21" s="64">
        <v>15.21</v>
      </c>
      <c r="H21" s="64">
        <v>4.08</v>
      </c>
      <c r="I21" s="64">
        <v>1.65</v>
      </c>
      <c r="J21" s="64">
        <v>0.06</v>
      </c>
      <c r="K21" s="64">
        <v>153.63</v>
      </c>
      <c r="L21" s="64">
        <v>23.69</v>
      </c>
      <c r="M21" s="64">
        <v>97.27</v>
      </c>
      <c r="N21" s="64">
        <v>54.8</v>
      </c>
      <c r="O21" s="64">
        <v>0</v>
      </c>
      <c r="P21" s="64">
        <v>0.17</v>
      </c>
      <c r="Q21" s="64">
        <v>9.68</v>
      </c>
      <c r="R21" s="198"/>
      <c r="S21" s="198"/>
      <c r="T21" s="198"/>
      <c r="U21" s="198"/>
    </row>
    <row r="22" spans="1:21" s="12" customFormat="1" x14ac:dyDescent="0.25">
      <c r="A22" s="212" t="s">
        <v>1508</v>
      </c>
      <c r="B22" s="64">
        <v>8.4499999999999993</v>
      </c>
      <c r="C22" s="64">
        <v>5.17</v>
      </c>
      <c r="D22" s="64">
        <v>9.48</v>
      </c>
      <c r="E22" s="64">
        <v>5</v>
      </c>
      <c r="F22" s="64">
        <v>6.09</v>
      </c>
      <c r="G22" s="64">
        <v>15.21</v>
      </c>
      <c r="H22" s="64">
        <v>4.08</v>
      </c>
      <c r="I22" s="64">
        <v>1.66</v>
      </c>
      <c r="J22" s="64">
        <v>0.15</v>
      </c>
      <c r="K22" s="64">
        <v>124.65</v>
      </c>
      <c r="L22" s="64">
        <v>23.87</v>
      </c>
      <c r="M22" s="64">
        <v>97.28</v>
      </c>
      <c r="N22" s="64">
        <v>54.9</v>
      </c>
      <c r="O22" s="64">
        <v>0</v>
      </c>
      <c r="P22" s="64">
        <v>0.27</v>
      </c>
      <c r="Q22" s="64">
        <v>9.67</v>
      </c>
      <c r="R22" s="198"/>
      <c r="S22" s="198"/>
      <c r="T22" s="198"/>
      <c r="U22" s="198"/>
    </row>
    <row r="23" spans="1:21" s="12" customFormat="1" x14ac:dyDescent="0.25">
      <c r="A23" s="212" t="s">
        <v>1509</v>
      </c>
      <c r="B23" s="64">
        <v>6.9</v>
      </c>
      <c r="C23" s="64">
        <v>5.77</v>
      </c>
      <c r="D23" s="64">
        <v>8.5399999999999991</v>
      </c>
      <c r="E23" s="64">
        <v>5.0999999999999996</v>
      </c>
      <c r="F23" s="64">
        <v>6.87</v>
      </c>
      <c r="G23" s="64">
        <v>15.5</v>
      </c>
      <c r="H23" s="64">
        <v>3.27</v>
      </c>
      <c r="I23" s="64">
        <v>1.68</v>
      </c>
      <c r="J23" s="64">
        <v>0.08</v>
      </c>
      <c r="K23" s="64">
        <v>127.04</v>
      </c>
      <c r="L23" s="64">
        <v>23.84</v>
      </c>
      <c r="M23" s="64">
        <v>97.7</v>
      </c>
      <c r="N23" s="64">
        <v>55</v>
      </c>
      <c r="O23" s="64">
        <v>0</v>
      </c>
      <c r="P23" s="64">
        <v>0.19</v>
      </c>
      <c r="Q23" s="64">
        <v>9.68</v>
      </c>
      <c r="R23" s="198"/>
      <c r="S23" s="198"/>
      <c r="T23" s="198"/>
      <c r="U23" s="198"/>
    </row>
    <row r="24" spans="1:21" s="12" customFormat="1" x14ac:dyDescent="0.25">
      <c r="A24" s="212" t="s">
        <v>1510</v>
      </c>
      <c r="B24" s="64">
        <v>8.19</v>
      </c>
      <c r="C24" s="64">
        <v>6.02</v>
      </c>
      <c r="D24" s="64">
        <v>9.7200000000000006</v>
      </c>
      <c r="E24" s="64">
        <v>5.01</v>
      </c>
      <c r="F24" s="64">
        <v>6</v>
      </c>
      <c r="G24" s="64">
        <v>15.53</v>
      </c>
      <c r="H24" s="64">
        <v>3.2</v>
      </c>
      <c r="I24" s="64">
        <v>1.53</v>
      </c>
      <c r="J24" s="64">
        <v>0.06</v>
      </c>
      <c r="K24" s="64">
        <v>112.37</v>
      </c>
      <c r="L24" s="64">
        <v>23.9</v>
      </c>
      <c r="M24" s="64">
        <v>97.38</v>
      </c>
      <c r="N24" s="64">
        <v>55</v>
      </c>
      <c r="O24" s="64">
        <v>0</v>
      </c>
      <c r="P24" s="64">
        <v>0.26</v>
      </c>
      <c r="Q24" s="64">
        <v>9.67</v>
      </c>
      <c r="R24" s="198"/>
      <c r="S24" s="198"/>
      <c r="T24" s="198"/>
      <c r="U24" s="198"/>
    </row>
    <row r="25" spans="1:21" s="12" customFormat="1" x14ac:dyDescent="0.25">
      <c r="A25" s="212" t="s">
        <v>1511</v>
      </c>
      <c r="B25" s="64">
        <v>7.83</v>
      </c>
      <c r="C25" s="64">
        <v>7.25</v>
      </c>
      <c r="D25" s="64">
        <v>10.07</v>
      </c>
      <c r="E25" s="64">
        <v>5.05</v>
      </c>
      <c r="F25" s="64">
        <v>5.89</v>
      </c>
      <c r="G25" s="64">
        <v>15.53</v>
      </c>
      <c r="H25" s="64">
        <v>3.2</v>
      </c>
      <c r="I25" s="64">
        <v>1.5</v>
      </c>
      <c r="J25" s="64">
        <v>0.13</v>
      </c>
      <c r="K25" s="64">
        <v>134.63</v>
      </c>
      <c r="L25" s="64">
        <v>23.91</v>
      </c>
      <c r="M25" s="64">
        <v>97.28</v>
      </c>
      <c r="N25" s="64">
        <v>55.2</v>
      </c>
      <c r="O25" s="64">
        <v>0</v>
      </c>
      <c r="P25" s="64">
        <v>0.23</v>
      </c>
      <c r="Q25" s="64">
        <v>9.67</v>
      </c>
      <c r="R25" s="198"/>
      <c r="S25" s="198"/>
      <c r="T25" s="198"/>
      <c r="U25" s="198"/>
    </row>
    <row r="26" spans="1:21" s="12" customFormat="1" x14ac:dyDescent="0.25">
      <c r="A26" s="212" t="s">
        <v>1512</v>
      </c>
      <c r="B26" s="64">
        <v>8.23</v>
      </c>
      <c r="C26" s="64">
        <v>6.09</v>
      </c>
      <c r="D26" s="64">
        <v>9.7899999999999991</v>
      </c>
      <c r="E26" s="64">
        <v>4.8499999999999996</v>
      </c>
      <c r="F26" s="64">
        <v>7.43</v>
      </c>
      <c r="G26" s="64">
        <v>15.53</v>
      </c>
      <c r="H26" s="64">
        <v>3.2</v>
      </c>
      <c r="I26" s="64">
        <v>1.47</v>
      </c>
      <c r="J26" s="64">
        <v>0.05</v>
      </c>
      <c r="K26" s="64">
        <v>142.72</v>
      </c>
      <c r="L26" s="64">
        <v>24.02</v>
      </c>
      <c r="M26" s="64">
        <v>97.26</v>
      </c>
      <c r="N26" s="64">
        <v>55.3</v>
      </c>
      <c r="O26" s="64">
        <v>0</v>
      </c>
      <c r="P26" s="64">
        <v>0.25</v>
      </c>
      <c r="Q26" s="64">
        <v>9.67</v>
      </c>
      <c r="R26" s="198"/>
      <c r="S26" s="198"/>
      <c r="T26" s="198"/>
      <c r="U26" s="198"/>
    </row>
    <row r="27" spans="1:21" s="12" customFormat="1" x14ac:dyDescent="0.25">
      <c r="A27" s="212" t="s">
        <v>1513</v>
      </c>
      <c r="B27" s="64">
        <v>8.83</v>
      </c>
      <c r="C27" s="64">
        <v>5.43</v>
      </c>
      <c r="D27" s="64">
        <v>9.92</v>
      </c>
      <c r="E27" s="64">
        <v>5.13</v>
      </c>
      <c r="F27" s="64">
        <v>6.41</v>
      </c>
      <c r="G27" s="64">
        <v>15.72</v>
      </c>
      <c r="H27" s="64">
        <v>4.37</v>
      </c>
      <c r="I27" s="64">
        <v>1.49</v>
      </c>
      <c r="J27" s="64">
        <v>0.03</v>
      </c>
      <c r="K27" s="64">
        <v>243.82</v>
      </c>
      <c r="L27" s="64">
        <v>23.86</v>
      </c>
      <c r="M27" s="64">
        <v>97.65</v>
      </c>
      <c r="N27" s="64">
        <v>55.4</v>
      </c>
      <c r="O27" s="64">
        <v>0</v>
      </c>
      <c r="P27" s="64">
        <v>0.25</v>
      </c>
      <c r="Q27" s="64">
        <v>9.66</v>
      </c>
      <c r="R27" s="198"/>
      <c r="S27" s="198"/>
      <c r="T27" s="198"/>
      <c r="U27" s="198"/>
    </row>
    <row r="28" spans="1:21" s="12" customFormat="1" x14ac:dyDescent="0.25">
      <c r="A28" s="212" t="s">
        <v>1514</v>
      </c>
      <c r="B28" s="64">
        <v>9.8800000000000008</v>
      </c>
      <c r="C28" s="64">
        <v>6.09</v>
      </c>
      <c r="D28" s="64">
        <v>11.1</v>
      </c>
      <c r="E28" s="64">
        <v>5.15</v>
      </c>
      <c r="F28" s="64">
        <v>6.47</v>
      </c>
      <c r="G28" s="64">
        <v>15.74</v>
      </c>
      <c r="H28" s="64">
        <v>4.47</v>
      </c>
      <c r="I28" s="64">
        <v>1.56</v>
      </c>
      <c r="J28" s="64">
        <v>0.01</v>
      </c>
      <c r="K28" s="64">
        <v>175.86</v>
      </c>
      <c r="L28" s="64">
        <v>23.75</v>
      </c>
      <c r="M28" s="64">
        <v>97.41</v>
      </c>
      <c r="N28" s="64">
        <v>55.1</v>
      </c>
      <c r="O28" s="64">
        <v>0</v>
      </c>
      <c r="P28" s="64">
        <v>0.27</v>
      </c>
      <c r="Q28" s="64">
        <v>9.66</v>
      </c>
      <c r="R28" s="198"/>
      <c r="S28" s="198"/>
      <c r="T28" s="198"/>
      <c r="U28" s="198"/>
    </row>
    <row r="29" spans="1:21" s="12" customFormat="1" x14ac:dyDescent="0.25">
      <c r="A29" s="212" t="s">
        <v>1515</v>
      </c>
      <c r="B29" s="64">
        <v>8.92</v>
      </c>
      <c r="C29" s="64">
        <v>5.65</v>
      </c>
      <c r="D29" s="64">
        <v>10.1</v>
      </c>
      <c r="E29" s="64">
        <v>5.3</v>
      </c>
      <c r="F29" s="64">
        <v>6.42</v>
      </c>
      <c r="G29" s="64">
        <v>15.74</v>
      </c>
      <c r="H29" s="64">
        <v>4.47</v>
      </c>
      <c r="I29" s="64">
        <v>1.53</v>
      </c>
      <c r="J29" s="64">
        <v>0.24</v>
      </c>
      <c r="K29" s="64">
        <v>132.6</v>
      </c>
      <c r="L29" s="64">
        <v>23.75</v>
      </c>
      <c r="M29" s="64">
        <v>97.26</v>
      </c>
      <c r="N29" s="64">
        <v>55.4</v>
      </c>
      <c r="O29" s="64">
        <v>0</v>
      </c>
      <c r="P29" s="64">
        <v>0.27</v>
      </c>
      <c r="Q29" s="64">
        <v>9.65</v>
      </c>
      <c r="R29" s="198"/>
      <c r="S29" s="198"/>
      <c r="T29" s="198"/>
      <c r="U29" s="198"/>
    </row>
    <row r="30" spans="1:21" s="12" customFormat="1" x14ac:dyDescent="0.25">
      <c r="A30" s="212" t="s">
        <v>1516</v>
      </c>
      <c r="B30" s="64">
        <v>9</v>
      </c>
      <c r="C30" s="64">
        <v>5.9</v>
      </c>
      <c r="D30" s="64">
        <v>10.3</v>
      </c>
      <c r="E30" s="64">
        <v>5.28</v>
      </c>
      <c r="F30" s="64">
        <v>7.25</v>
      </c>
      <c r="G30" s="64">
        <v>15.74</v>
      </c>
      <c r="H30" s="64">
        <v>4.47</v>
      </c>
      <c r="I30" s="64">
        <v>1.52</v>
      </c>
      <c r="J30" s="64">
        <v>0.68</v>
      </c>
      <c r="K30" s="64">
        <v>126</v>
      </c>
      <c r="L30" s="64">
        <v>23.83</v>
      </c>
      <c r="M30" s="64">
        <v>97.26</v>
      </c>
      <c r="N30" s="64">
        <v>55.6</v>
      </c>
      <c r="O30" s="64">
        <v>0</v>
      </c>
      <c r="P30" s="64">
        <v>0.25</v>
      </c>
      <c r="Q30" s="64">
        <v>9.65</v>
      </c>
      <c r="R30" s="198"/>
      <c r="S30" s="198"/>
      <c r="T30" s="198"/>
      <c r="U30" s="198"/>
    </row>
    <row r="31" spans="1:21" s="12" customFormat="1" x14ac:dyDescent="0.25">
      <c r="A31" s="212" t="s">
        <v>1517</v>
      </c>
      <c r="B31" s="64">
        <v>8.23</v>
      </c>
      <c r="C31" s="64">
        <v>5.27</v>
      </c>
      <c r="D31" s="64">
        <v>9.35</v>
      </c>
      <c r="E31" s="64">
        <v>5.09</v>
      </c>
      <c r="F31" s="64">
        <v>5.34</v>
      </c>
      <c r="G31" s="64">
        <v>12.86</v>
      </c>
      <c r="H31" s="64">
        <v>4.62</v>
      </c>
      <c r="I31" s="64">
        <v>1.49</v>
      </c>
      <c r="J31" s="64">
        <v>0.54</v>
      </c>
      <c r="K31" s="64">
        <v>123.65</v>
      </c>
      <c r="L31" s="64">
        <v>23.73</v>
      </c>
      <c r="M31" s="64">
        <v>97.59</v>
      </c>
      <c r="N31" s="64">
        <v>57</v>
      </c>
      <c r="O31" s="64">
        <v>0</v>
      </c>
      <c r="P31" s="64">
        <v>0.24</v>
      </c>
      <c r="Q31" s="64">
        <v>9.65</v>
      </c>
      <c r="R31" s="198"/>
      <c r="S31" s="198"/>
      <c r="T31" s="198"/>
      <c r="U31" s="198"/>
    </row>
    <row r="32" spans="1:21" s="12" customFormat="1" x14ac:dyDescent="0.25">
      <c r="A32" s="212" t="s">
        <v>1518</v>
      </c>
      <c r="B32" s="64">
        <v>8.09</v>
      </c>
      <c r="C32" s="64">
        <v>5.33</v>
      </c>
      <c r="D32" s="64">
        <v>9.27</v>
      </c>
      <c r="E32" s="64">
        <v>5.09</v>
      </c>
      <c r="F32" s="64">
        <v>7.09</v>
      </c>
      <c r="G32" s="64">
        <v>12.61</v>
      </c>
      <c r="H32" s="64">
        <v>4.63</v>
      </c>
      <c r="I32" s="64">
        <v>1.47</v>
      </c>
      <c r="J32" s="64">
        <v>0.55000000000000004</v>
      </c>
      <c r="K32" s="64">
        <v>133.88</v>
      </c>
      <c r="L32" s="64">
        <v>23.79</v>
      </c>
      <c r="M32" s="64">
        <v>97.47</v>
      </c>
      <c r="N32" s="64">
        <v>62.7</v>
      </c>
      <c r="O32" s="64">
        <v>0</v>
      </c>
      <c r="P32" s="64">
        <v>0.23</v>
      </c>
      <c r="Q32" s="64">
        <v>9.65</v>
      </c>
      <c r="R32" s="198"/>
      <c r="S32" s="198"/>
      <c r="T32" s="198"/>
      <c r="U32" s="198"/>
    </row>
    <row r="33" spans="1:21" s="12" customFormat="1" x14ac:dyDescent="0.25">
      <c r="A33" s="212" t="s">
        <v>1519</v>
      </c>
      <c r="B33" s="64">
        <v>9.4499999999999993</v>
      </c>
      <c r="C33" s="64">
        <v>5.0199999999999996</v>
      </c>
      <c r="D33" s="64">
        <v>10.199999999999999</v>
      </c>
      <c r="E33" s="64">
        <v>5.43</v>
      </c>
      <c r="F33" s="64">
        <v>4.2</v>
      </c>
      <c r="G33" s="64">
        <v>12.61</v>
      </c>
      <c r="H33" s="64">
        <v>4.63</v>
      </c>
      <c r="I33" s="64">
        <v>1.46</v>
      </c>
      <c r="J33" s="64">
        <v>0.86</v>
      </c>
      <c r="K33" s="64">
        <v>127.99</v>
      </c>
      <c r="L33" s="64">
        <v>23.92</v>
      </c>
      <c r="M33" s="64">
        <v>97.8</v>
      </c>
      <c r="N33" s="64">
        <v>72</v>
      </c>
      <c r="O33" s="64">
        <v>0</v>
      </c>
      <c r="P33" s="64">
        <v>0.3</v>
      </c>
      <c r="Q33" s="64">
        <v>9.65</v>
      </c>
      <c r="R33" s="198"/>
      <c r="S33" s="198"/>
      <c r="T33" s="198"/>
      <c r="U33" s="198"/>
    </row>
    <row r="34" spans="1:21" s="12" customFormat="1" x14ac:dyDescent="0.25">
      <c r="A34" s="212" t="s">
        <v>1520</v>
      </c>
      <c r="B34" s="64">
        <v>9.1199999999999992</v>
      </c>
      <c r="C34" s="64">
        <v>5.64</v>
      </c>
      <c r="D34" s="64">
        <v>10.26</v>
      </c>
      <c r="E34" s="64">
        <v>5.21</v>
      </c>
      <c r="F34" s="64">
        <v>5.03</v>
      </c>
      <c r="G34" s="64">
        <v>12.61</v>
      </c>
      <c r="H34" s="64">
        <v>4.63</v>
      </c>
      <c r="I34" s="64">
        <v>1.43</v>
      </c>
      <c r="J34" s="64">
        <v>0.43</v>
      </c>
      <c r="K34" s="64">
        <v>135.03</v>
      </c>
      <c r="L34" s="64">
        <v>24.04</v>
      </c>
      <c r="M34" s="64">
        <v>97.82</v>
      </c>
      <c r="N34" s="64">
        <v>78.400000000000006</v>
      </c>
      <c r="O34" s="64">
        <v>0</v>
      </c>
      <c r="P34" s="64">
        <v>0.27</v>
      </c>
      <c r="Q34" s="64">
        <v>9.64</v>
      </c>
      <c r="R34" s="198"/>
      <c r="S34" s="198"/>
      <c r="T34" s="198"/>
      <c r="U34" s="198"/>
    </row>
    <row r="35" spans="1:21" s="12" customFormat="1" x14ac:dyDescent="0.25">
      <c r="A35" s="212" t="s">
        <v>1521</v>
      </c>
      <c r="B35" s="64">
        <v>12.02</v>
      </c>
      <c r="C35" s="64">
        <v>6.01</v>
      </c>
      <c r="D35" s="64">
        <v>12.78</v>
      </c>
      <c r="E35" s="64">
        <v>5.24</v>
      </c>
      <c r="F35" s="64">
        <v>4.0999999999999996</v>
      </c>
      <c r="G35" s="64">
        <v>13.45</v>
      </c>
      <c r="H35" s="64">
        <v>3.5</v>
      </c>
      <c r="I35" s="64">
        <v>1.38</v>
      </c>
      <c r="J35" s="64">
        <v>0.7</v>
      </c>
      <c r="K35" s="64">
        <v>133.6</v>
      </c>
      <c r="L35" s="64">
        <v>24.16</v>
      </c>
      <c r="M35" s="64">
        <v>97.78</v>
      </c>
      <c r="N35" s="64">
        <v>113.7</v>
      </c>
      <c r="O35" s="64">
        <v>0</v>
      </c>
      <c r="P35" s="64">
        <v>0.31</v>
      </c>
      <c r="Q35" s="64">
        <v>9.66</v>
      </c>
      <c r="R35" s="198"/>
      <c r="S35" s="198"/>
      <c r="T35" s="198"/>
      <c r="U35" s="198"/>
    </row>
    <row r="36" spans="1:21" s="12" customFormat="1" x14ac:dyDescent="0.25">
      <c r="A36" s="212" t="s">
        <v>1522</v>
      </c>
      <c r="B36" s="64">
        <v>10.02</v>
      </c>
      <c r="C36" s="64">
        <v>5.57</v>
      </c>
      <c r="D36" s="64">
        <v>10.94</v>
      </c>
      <c r="E36" s="64">
        <v>5.37</v>
      </c>
      <c r="F36" s="64">
        <v>5.27</v>
      </c>
      <c r="G36" s="64">
        <v>13.52</v>
      </c>
      <c r="H36" s="64">
        <v>3.41</v>
      </c>
      <c r="I36" s="64">
        <v>1.34</v>
      </c>
      <c r="J36" s="64">
        <v>0.95</v>
      </c>
      <c r="K36" s="64">
        <v>127.64</v>
      </c>
      <c r="L36" s="64">
        <v>24.31</v>
      </c>
      <c r="M36" s="64">
        <v>97.78</v>
      </c>
      <c r="N36" s="64">
        <v>136.1</v>
      </c>
      <c r="O36" s="64">
        <v>0</v>
      </c>
      <c r="P36" s="64">
        <v>0.25</v>
      </c>
      <c r="Q36" s="64">
        <v>9.66</v>
      </c>
      <c r="R36" s="198"/>
      <c r="S36" s="198"/>
      <c r="T36" s="198"/>
      <c r="U36" s="198"/>
    </row>
    <row r="37" spans="1:21" s="12" customFormat="1" x14ac:dyDescent="0.25">
      <c r="A37" s="212" t="s">
        <v>1523</v>
      </c>
      <c r="B37" s="64">
        <v>8.93</v>
      </c>
      <c r="C37" s="64">
        <v>5.86</v>
      </c>
      <c r="D37" s="64">
        <v>10.220000000000001</v>
      </c>
      <c r="E37" s="64">
        <v>5.24</v>
      </c>
      <c r="F37" s="64">
        <v>4.25</v>
      </c>
      <c r="G37" s="64">
        <v>13.52</v>
      </c>
      <c r="H37" s="64">
        <v>3.41</v>
      </c>
      <c r="I37" s="64">
        <v>1.31</v>
      </c>
      <c r="J37" s="64">
        <v>1.32</v>
      </c>
      <c r="K37" s="64">
        <v>122.27</v>
      </c>
      <c r="L37" s="64">
        <v>24.52</v>
      </c>
      <c r="M37" s="64">
        <v>97.76</v>
      </c>
      <c r="N37" s="64">
        <v>179.8</v>
      </c>
      <c r="O37" s="64">
        <v>0</v>
      </c>
      <c r="P37" s="64">
        <v>0.27</v>
      </c>
      <c r="Q37" s="64">
        <v>9.69</v>
      </c>
      <c r="R37" s="198"/>
      <c r="S37" s="198"/>
      <c r="T37" s="198"/>
      <c r="U37" s="198"/>
    </row>
    <row r="38" spans="1:21" s="12" customFormat="1" x14ac:dyDescent="0.25">
      <c r="A38" s="212" t="s">
        <v>1524</v>
      </c>
      <c r="B38" s="64">
        <v>9.2899999999999991</v>
      </c>
      <c r="C38" s="64">
        <v>5.29</v>
      </c>
      <c r="D38" s="64">
        <v>10.210000000000001</v>
      </c>
      <c r="E38" s="64">
        <v>5.3</v>
      </c>
      <c r="F38" s="64">
        <v>5.91</v>
      </c>
      <c r="G38" s="64">
        <v>13.52</v>
      </c>
      <c r="H38" s="64">
        <v>3.41</v>
      </c>
      <c r="I38" s="64">
        <v>1.31</v>
      </c>
      <c r="J38" s="64">
        <v>1.36</v>
      </c>
      <c r="K38" s="64">
        <v>125.78</v>
      </c>
      <c r="L38" s="64">
        <v>24.69</v>
      </c>
      <c r="M38" s="64">
        <v>97.75</v>
      </c>
      <c r="N38" s="64">
        <v>165.7</v>
      </c>
      <c r="O38" s="64">
        <v>0</v>
      </c>
      <c r="P38" s="64">
        <v>0.28999999999999998</v>
      </c>
      <c r="Q38" s="64">
        <v>9.66</v>
      </c>
      <c r="R38" s="198"/>
      <c r="S38" s="198"/>
      <c r="T38" s="198"/>
      <c r="U38" s="198"/>
    </row>
    <row r="39" spans="1:21" s="12" customFormat="1" x14ac:dyDescent="0.25">
      <c r="A39" s="212" t="s">
        <v>1525</v>
      </c>
      <c r="B39" s="64">
        <v>8.8699999999999992</v>
      </c>
      <c r="C39" s="64">
        <v>5.03</v>
      </c>
      <c r="D39" s="64">
        <v>9.75</v>
      </c>
      <c r="E39" s="64">
        <v>5.15</v>
      </c>
      <c r="F39" s="64">
        <v>5.94</v>
      </c>
      <c r="G39" s="64">
        <v>13.87</v>
      </c>
      <c r="H39" s="64">
        <v>3.97</v>
      </c>
      <c r="I39" s="64">
        <v>1.28</v>
      </c>
      <c r="J39" s="64">
        <v>1.35</v>
      </c>
      <c r="K39" s="64">
        <v>124.33</v>
      </c>
      <c r="L39" s="64">
        <v>24.69</v>
      </c>
      <c r="M39" s="64">
        <v>97.73</v>
      </c>
      <c r="N39" s="64">
        <v>193.8</v>
      </c>
      <c r="O39" s="64">
        <v>0</v>
      </c>
      <c r="P39" s="64">
        <v>0.28000000000000003</v>
      </c>
      <c r="Q39" s="64">
        <v>9.66</v>
      </c>
      <c r="R39" s="198"/>
      <c r="S39" s="198"/>
      <c r="T39" s="198"/>
      <c r="U39" s="198"/>
    </row>
    <row r="40" spans="1:21" s="12" customFormat="1" x14ac:dyDescent="0.25">
      <c r="A40" s="212" t="s">
        <v>1526</v>
      </c>
      <c r="B40" s="64">
        <v>8.91</v>
      </c>
      <c r="C40" s="64">
        <v>5.3</v>
      </c>
      <c r="D40" s="64">
        <v>9.92</v>
      </c>
      <c r="E40" s="64">
        <v>4.76</v>
      </c>
      <c r="F40" s="64">
        <v>5.47</v>
      </c>
      <c r="G40" s="64">
        <v>13.9</v>
      </c>
      <c r="H40" s="64">
        <v>4.0199999999999996</v>
      </c>
      <c r="I40" s="64">
        <v>1.25</v>
      </c>
      <c r="J40" s="64">
        <v>0.99</v>
      </c>
      <c r="K40" s="64">
        <v>123.97</v>
      </c>
      <c r="L40" s="64">
        <v>24.95</v>
      </c>
      <c r="M40" s="64">
        <v>97.73</v>
      </c>
      <c r="N40" s="64">
        <v>168.5</v>
      </c>
      <c r="O40" s="64">
        <v>0</v>
      </c>
      <c r="P40" s="64">
        <v>0.28000000000000003</v>
      </c>
      <c r="Q40" s="64">
        <v>9.66</v>
      </c>
      <c r="R40" s="198"/>
      <c r="S40" s="198"/>
      <c r="T40" s="198"/>
      <c r="U40" s="198"/>
    </row>
    <row r="41" spans="1:21" s="12" customFormat="1" x14ac:dyDescent="0.25">
      <c r="A41" s="212" t="s">
        <v>1527</v>
      </c>
      <c r="B41" s="64">
        <v>8.5</v>
      </c>
      <c r="C41" s="64">
        <v>5.69</v>
      </c>
      <c r="D41" s="64">
        <v>9.7899999999999991</v>
      </c>
      <c r="E41" s="64">
        <v>5.3</v>
      </c>
      <c r="F41" s="64">
        <v>5.24</v>
      </c>
      <c r="G41" s="64">
        <v>13.9</v>
      </c>
      <c r="H41" s="64">
        <v>4.0199999999999996</v>
      </c>
      <c r="I41" s="64">
        <v>1.22</v>
      </c>
      <c r="J41" s="64">
        <v>0.75</v>
      </c>
      <c r="K41" s="64">
        <v>129.32</v>
      </c>
      <c r="L41" s="64">
        <v>25.24</v>
      </c>
      <c r="M41" s="64">
        <v>97.7</v>
      </c>
      <c r="N41" s="64">
        <v>249.1</v>
      </c>
      <c r="O41" s="64">
        <v>0</v>
      </c>
      <c r="P41" s="64">
        <v>0.26</v>
      </c>
      <c r="Q41" s="64">
        <v>9.68</v>
      </c>
      <c r="R41" s="198"/>
      <c r="S41" s="198"/>
      <c r="T41" s="198"/>
      <c r="U41" s="198"/>
    </row>
    <row r="42" spans="1:21" s="12" customFormat="1" x14ac:dyDescent="0.25">
      <c r="A42" s="212" t="s">
        <v>1528</v>
      </c>
      <c r="B42" s="64">
        <v>8.83</v>
      </c>
      <c r="C42" s="64">
        <v>5.28</v>
      </c>
      <c r="D42" s="64">
        <v>9.84</v>
      </c>
      <c r="E42" s="64">
        <v>5.15</v>
      </c>
      <c r="F42" s="64">
        <v>6.46</v>
      </c>
      <c r="G42" s="64">
        <v>13.9</v>
      </c>
      <c r="H42" s="64">
        <v>4.0199999999999996</v>
      </c>
      <c r="I42" s="64">
        <v>1.2</v>
      </c>
      <c r="J42" s="64">
        <v>0.96</v>
      </c>
      <c r="K42" s="64">
        <v>120.79</v>
      </c>
      <c r="L42" s="64">
        <v>26.44</v>
      </c>
      <c r="M42" s="64">
        <v>97.62</v>
      </c>
      <c r="N42" s="64">
        <v>595.9</v>
      </c>
      <c r="O42" s="64">
        <v>0</v>
      </c>
      <c r="P42" s="64">
        <v>0.26</v>
      </c>
      <c r="Q42" s="64">
        <v>9.66</v>
      </c>
      <c r="R42" s="198"/>
      <c r="S42" s="198"/>
      <c r="T42" s="198"/>
      <c r="U42" s="198"/>
    </row>
    <row r="43" spans="1:21" s="12" customFormat="1" x14ac:dyDescent="0.25">
      <c r="A43" s="212" t="s">
        <v>1529</v>
      </c>
      <c r="B43" s="64">
        <v>7.78</v>
      </c>
      <c r="C43" s="64">
        <v>4.88</v>
      </c>
      <c r="D43" s="64">
        <v>8.7899999999999991</v>
      </c>
      <c r="E43" s="64">
        <v>5.13</v>
      </c>
      <c r="F43" s="64">
        <v>9.07</v>
      </c>
      <c r="G43" s="64">
        <v>12.07</v>
      </c>
      <c r="H43" s="64">
        <v>3.12</v>
      </c>
      <c r="I43" s="64">
        <v>1.18</v>
      </c>
      <c r="J43" s="64">
        <v>1.27</v>
      </c>
      <c r="K43" s="64">
        <v>123.78</v>
      </c>
      <c r="L43" s="64">
        <v>26.73</v>
      </c>
      <c r="M43" s="64">
        <v>97.45</v>
      </c>
      <c r="N43" s="64">
        <v>480</v>
      </c>
      <c r="O43" s="64">
        <v>0</v>
      </c>
      <c r="P43" s="64">
        <v>0.23</v>
      </c>
      <c r="Q43" s="64">
        <v>9.66</v>
      </c>
      <c r="R43" s="198"/>
      <c r="S43" s="198"/>
      <c r="T43" s="198"/>
      <c r="U43" s="198"/>
    </row>
    <row r="44" spans="1:21" s="12" customFormat="1" x14ac:dyDescent="0.25">
      <c r="A44" s="212" t="s">
        <v>1530</v>
      </c>
      <c r="B44" s="64">
        <v>9.01</v>
      </c>
      <c r="C44" s="64">
        <v>5.85</v>
      </c>
      <c r="D44" s="64">
        <v>10.28</v>
      </c>
      <c r="E44" s="64">
        <v>5.1100000000000003</v>
      </c>
      <c r="F44" s="64">
        <v>9.1300000000000008</v>
      </c>
      <c r="G44" s="64">
        <v>11.92</v>
      </c>
      <c r="H44" s="64">
        <v>3.05</v>
      </c>
      <c r="I44" s="64">
        <v>1.1599999999999999</v>
      </c>
      <c r="J44" s="64">
        <v>0.78</v>
      </c>
      <c r="K44" s="64">
        <v>122.5</v>
      </c>
      <c r="L44" s="64">
        <v>27.65</v>
      </c>
      <c r="M44" s="64">
        <v>94.36</v>
      </c>
      <c r="N44" s="64">
        <v>770.1</v>
      </c>
      <c r="O44" s="64">
        <v>0</v>
      </c>
      <c r="P44" s="64">
        <v>0.25</v>
      </c>
      <c r="Q44" s="64">
        <v>9.66</v>
      </c>
      <c r="R44" s="198"/>
      <c r="S44" s="198"/>
      <c r="T44" s="198"/>
      <c r="U44" s="198"/>
    </row>
    <row r="45" spans="1:21" s="12" customFormat="1" x14ac:dyDescent="0.25">
      <c r="A45" s="212" t="s">
        <v>1531</v>
      </c>
      <c r="B45" s="64">
        <v>7.69</v>
      </c>
      <c r="C45" s="64">
        <v>5.51</v>
      </c>
      <c r="D45" s="64">
        <v>9.0399999999999991</v>
      </c>
      <c r="E45" s="64">
        <v>5.15</v>
      </c>
      <c r="F45" s="64">
        <v>8.9499999999999993</v>
      </c>
      <c r="G45" s="64">
        <v>11.92</v>
      </c>
      <c r="H45" s="64">
        <v>3.05</v>
      </c>
      <c r="I45" s="64">
        <v>1.1399999999999999</v>
      </c>
      <c r="J45" s="64">
        <v>1.26</v>
      </c>
      <c r="K45" s="64">
        <v>119.86</v>
      </c>
      <c r="L45" s="64">
        <v>27.95</v>
      </c>
      <c r="M45" s="64">
        <v>91.37</v>
      </c>
      <c r="N45" s="64">
        <v>558.5</v>
      </c>
      <c r="O45" s="64">
        <v>0</v>
      </c>
      <c r="P45" s="64">
        <v>0.24</v>
      </c>
      <c r="Q45" s="64">
        <v>9.66</v>
      </c>
      <c r="R45" s="198"/>
      <c r="S45" s="198"/>
      <c r="T45" s="198"/>
      <c r="U45" s="198"/>
    </row>
    <row r="46" spans="1:21" s="12" customFormat="1" x14ac:dyDescent="0.25">
      <c r="A46" s="212" t="s">
        <v>1532</v>
      </c>
      <c r="B46" s="64">
        <v>7.51</v>
      </c>
      <c r="C46" s="64">
        <v>5.92</v>
      </c>
      <c r="D46" s="64">
        <v>9.1199999999999992</v>
      </c>
      <c r="E46" s="64">
        <v>5.44</v>
      </c>
      <c r="F46" s="64">
        <v>8.99</v>
      </c>
      <c r="G46" s="64">
        <v>11.92</v>
      </c>
      <c r="H46" s="64">
        <v>3.05</v>
      </c>
      <c r="I46" s="64">
        <v>1.1100000000000001</v>
      </c>
      <c r="J46" s="64">
        <v>1.23</v>
      </c>
      <c r="K46" s="64">
        <v>124.9</v>
      </c>
      <c r="L46" s="64">
        <v>26.52</v>
      </c>
      <c r="M46" s="64">
        <v>97.62</v>
      </c>
      <c r="N46" s="64">
        <v>311.5</v>
      </c>
      <c r="O46" s="64">
        <v>0</v>
      </c>
      <c r="P46" s="64">
        <v>0.22</v>
      </c>
      <c r="Q46" s="64">
        <v>9.66</v>
      </c>
      <c r="R46" s="198"/>
      <c r="S46" s="198"/>
      <c r="T46" s="198"/>
      <c r="U46" s="198"/>
    </row>
    <row r="47" spans="1:21" s="12" customFormat="1" x14ac:dyDescent="0.25">
      <c r="A47" s="212" t="s">
        <v>1533</v>
      </c>
      <c r="B47" s="64">
        <v>7.15</v>
      </c>
      <c r="C47" s="64">
        <v>5.94</v>
      </c>
      <c r="D47" s="64">
        <v>8.84</v>
      </c>
      <c r="E47" s="64">
        <v>5.3</v>
      </c>
      <c r="F47" s="64">
        <v>10.050000000000001</v>
      </c>
      <c r="G47" s="64">
        <v>14.57</v>
      </c>
      <c r="H47" s="64">
        <v>2.99</v>
      </c>
      <c r="I47" s="64">
        <v>1.0900000000000001</v>
      </c>
      <c r="J47" s="64">
        <v>1.04</v>
      </c>
      <c r="K47" s="64">
        <v>117.66</v>
      </c>
      <c r="L47" s="64">
        <v>27.39</v>
      </c>
      <c r="M47" s="64">
        <v>94.6</v>
      </c>
      <c r="N47" s="64">
        <v>791.7</v>
      </c>
      <c r="O47" s="64">
        <v>0</v>
      </c>
      <c r="P47" s="64">
        <v>0.23</v>
      </c>
      <c r="Q47" s="64">
        <v>9.66</v>
      </c>
      <c r="R47" s="198"/>
      <c r="S47" s="198"/>
      <c r="T47" s="198"/>
      <c r="U47" s="198"/>
    </row>
    <row r="48" spans="1:21" s="12" customFormat="1" x14ac:dyDescent="0.25">
      <c r="A48" s="212" t="s">
        <v>1534</v>
      </c>
      <c r="B48" s="64">
        <v>6.86</v>
      </c>
      <c r="C48" s="64">
        <v>5.79</v>
      </c>
      <c r="D48" s="64">
        <v>8.5299999999999994</v>
      </c>
      <c r="E48" s="64">
        <v>5.18</v>
      </c>
      <c r="F48" s="64">
        <v>9.7100000000000009</v>
      </c>
      <c r="G48" s="64">
        <v>14.79</v>
      </c>
      <c r="H48" s="64">
        <v>2.98</v>
      </c>
      <c r="I48" s="64">
        <v>1.07</v>
      </c>
      <c r="J48" s="64">
        <v>0.84</v>
      </c>
      <c r="K48" s="64">
        <v>122.84</v>
      </c>
      <c r="L48" s="64">
        <v>27.62</v>
      </c>
      <c r="M48" s="64">
        <v>94.12</v>
      </c>
      <c r="N48" s="64">
        <v>514.5</v>
      </c>
      <c r="O48" s="64">
        <v>0</v>
      </c>
      <c r="P48" s="64">
        <v>0.21</v>
      </c>
      <c r="Q48" s="64">
        <v>9.65</v>
      </c>
      <c r="R48" s="198"/>
      <c r="S48" s="198"/>
      <c r="T48" s="198"/>
      <c r="U48" s="198"/>
    </row>
    <row r="49" spans="1:21" s="12" customFormat="1" x14ac:dyDescent="0.25">
      <c r="A49" s="212" t="s">
        <v>1535</v>
      </c>
      <c r="B49" s="64">
        <v>9.66</v>
      </c>
      <c r="C49" s="64">
        <v>6.21</v>
      </c>
      <c r="D49" s="64">
        <v>10.92</v>
      </c>
      <c r="E49" s="64">
        <v>5.09</v>
      </c>
      <c r="F49" s="64">
        <v>8.91</v>
      </c>
      <c r="G49" s="64">
        <v>14.79</v>
      </c>
      <c r="H49" s="64">
        <v>2.98</v>
      </c>
      <c r="I49" s="64">
        <v>1.07</v>
      </c>
      <c r="J49" s="64">
        <v>0.73</v>
      </c>
      <c r="K49" s="64">
        <v>125</v>
      </c>
      <c r="L49" s="64">
        <v>28.3</v>
      </c>
      <c r="M49" s="64">
        <v>91.54</v>
      </c>
      <c r="N49" s="64">
        <v>682.1</v>
      </c>
      <c r="O49" s="64">
        <v>0</v>
      </c>
      <c r="P49" s="64">
        <v>0.28000000000000003</v>
      </c>
      <c r="Q49" s="64">
        <v>9.65</v>
      </c>
      <c r="R49" s="198"/>
      <c r="S49" s="198"/>
      <c r="T49" s="198"/>
      <c r="U49" s="198"/>
    </row>
    <row r="50" spans="1:21" s="12" customFormat="1" x14ac:dyDescent="0.25">
      <c r="A50" s="212" t="s">
        <v>1536</v>
      </c>
      <c r="B50" s="64">
        <v>6.82</v>
      </c>
      <c r="C50" s="64">
        <v>6.28</v>
      </c>
      <c r="D50" s="64">
        <v>8.75</v>
      </c>
      <c r="E50" s="64">
        <v>5.16</v>
      </c>
      <c r="F50" s="64">
        <v>11.18</v>
      </c>
      <c r="G50" s="64">
        <v>14.79</v>
      </c>
      <c r="H50" s="64">
        <v>2.98</v>
      </c>
      <c r="I50" s="64">
        <v>1.06</v>
      </c>
      <c r="J50" s="64">
        <v>0.92</v>
      </c>
      <c r="K50" s="64">
        <v>118.19</v>
      </c>
      <c r="L50" s="64">
        <v>28.11</v>
      </c>
      <c r="M50" s="64">
        <v>90.02</v>
      </c>
      <c r="N50" s="64">
        <v>619.1</v>
      </c>
      <c r="O50" s="64">
        <v>0</v>
      </c>
      <c r="P50" s="64">
        <v>0.21</v>
      </c>
      <c r="Q50" s="64">
        <v>9.66</v>
      </c>
      <c r="R50" s="198"/>
      <c r="S50" s="198"/>
      <c r="T50" s="198"/>
      <c r="U50" s="198"/>
    </row>
    <row r="51" spans="1:21" s="12" customFormat="1" x14ac:dyDescent="0.25">
      <c r="A51" s="212" t="s">
        <v>1537</v>
      </c>
      <c r="B51" s="64">
        <v>7.7</v>
      </c>
      <c r="C51" s="64">
        <v>6.07</v>
      </c>
      <c r="D51" s="64">
        <v>9.35</v>
      </c>
      <c r="E51" s="64">
        <v>5.3</v>
      </c>
      <c r="F51" s="64">
        <v>6.98</v>
      </c>
      <c r="G51" s="64">
        <v>14.11</v>
      </c>
      <c r="H51" s="64">
        <v>4.3</v>
      </c>
      <c r="I51" s="64">
        <v>1.06</v>
      </c>
      <c r="J51" s="64">
        <v>0.69</v>
      </c>
      <c r="K51" s="64">
        <v>122.64</v>
      </c>
      <c r="L51" s="64">
        <v>28.03</v>
      </c>
      <c r="M51" s="64">
        <v>89.48</v>
      </c>
      <c r="N51" s="64">
        <v>353.8</v>
      </c>
      <c r="O51" s="64">
        <v>0</v>
      </c>
      <c r="P51" s="64">
        <v>0.26</v>
      </c>
      <c r="Q51" s="64">
        <v>9.6300000000000008</v>
      </c>
      <c r="R51" s="198"/>
      <c r="S51" s="198"/>
      <c r="T51" s="198"/>
      <c r="U51" s="198"/>
    </row>
    <row r="52" spans="1:21" s="12" customFormat="1" x14ac:dyDescent="0.25">
      <c r="A52" s="212" t="s">
        <v>1538</v>
      </c>
      <c r="B52" s="64">
        <v>7.01</v>
      </c>
      <c r="C52" s="64">
        <v>5.99</v>
      </c>
      <c r="D52" s="64">
        <v>8.75</v>
      </c>
      <c r="E52" s="64">
        <v>5.42</v>
      </c>
      <c r="F52" s="64">
        <v>9.65</v>
      </c>
      <c r="G52" s="64">
        <v>14.05</v>
      </c>
      <c r="H52" s="64">
        <v>4.41</v>
      </c>
      <c r="I52" s="64">
        <v>1.05</v>
      </c>
      <c r="J52" s="64">
        <v>1.3</v>
      </c>
      <c r="K52" s="64">
        <v>120.78</v>
      </c>
      <c r="L52" s="64">
        <v>27.21</v>
      </c>
      <c r="M52" s="64">
        <v>90.31</v>
      </c>
      <c r="N52" s="64">
        <v>254.5</v>
      </c>
      <c r="O52" s="64">
        <v>0</v>
      </c>
      <c r="P52" s="64">
        <v>0.21</v>
      </c>
      <c r="Q52" s="64">
        <v>9.6300000000000008</v>
      </c>
      <c r="R52" s="198"/>
      <c r="S52" s="198"/>
      <c r="T52" s="198"/>
      <c r="U52" s="198"/>
    </row>
    <row r="53" spans="1:21" s="12" customFormat="1" x14ac:dyDescent="0.25">
      <c r="A53" s="212" t="s">
        <v>1539</v>
      </c>
      <c r="B53" s="64">
        <v>7.37</v>
      </c>
      <c r="C53" s="64">
        <v>6.25</v>
      </c>
      <c r="D53" s="64">
        <v>9.17</v>
      </c>
      <c r="E53" s="64">
        <v>5.17</v>
      </c>
      <c r="F53" s="64">
        <v>10.85</v>
      </c>
      <c r="G53" s="64">
        <v>14.05</v>
      </c>
      <c r="H53" s="64">
        <v>4.41</v>
      </c>
      <c r="I53" s="64">
        <v>0.99</v>
      </c>
      <c r="J53" s="64">
        <v>1.42</v>
      </c>
      <c r="K53" s="64">
        <v>123.34</v>
      </c>
      <c r="L53" s="64">
        <v>27.42</v>
      </c>
      <c r="M53" s="64">
        <v>90.12</v>
      </c>
      <c r="N53" s="64">
        <v>468.4</v>
      </c>
      <c r="O53" s="64">
        <v>0</v>
      </c>
      <c r="P53" s="64">
        <v>0.21</v>
      </c>
      <c r="Q53" s="64">
        <v>9.64</v>
      </c>
      <c r="R53" s="198"/>
      <c r="S53" s="198"/>
      <c r="T53" s="198"/>
      <c r="U53" s="198"/>
    </row>
    <row r="54" spans="1:21" s="12" customFormat="1" x14ac:dyDescent="0.25">
      <c r="A54" s="212" t="s">
        <v>1540</v>
      </c>
      <c r="B54" s="64">
        <v>6.82</v>
      </c>
      <c r="C54" s="64">
        <v>6.46</v>
      </c>
      <c r="D54" s="64">
        <v>8.85</v>
      </c>
      <c r="E54" s="64">
        <v>5.0599999999999996</v>
      </c>
      <c r="F54" s="64">
        <v>9.7899999999999991</v>
      </c>
      <c r="G54" s="64">
        <v>14.05</v>
      </c>
      <c r="H54" s="64">
        <v>4.41</v>
      </c>
      <c r="I54" s="64">
        <v>0.95</v>
      </c>
      <c r="J54" s="64">
        <v>1.08</v>
      </c>
      <c r="K54" s="64">
        <v>120.57</v>
      </c>
      <c r="L54" s="64">
        <v>27.5</v>
      </c>
      <c r="M54" s="64">
        <v>89.38</v>
      </c>
      <c r="N54" s="64">
        <v>414.8</v>
      </c>
      <c r="O54" s="64">
        <v>0</v>
      </c>
      <c r="P54" s="64">
        <v>0.22</v>
      </c>
      <c r="Q54" s="64">
        <v>9.64</v>
      </c>
      <c r="R54" s="198"/>
      <c r="S54" s="198"/>
      <c r="T54" s="198"/>
      <c r="U54" s="198"/>
    </row>
    <row r="55" spans="1:21" s="12" customFormat="1" x14ac:dyDescent="0.25">
      <c r="A55" s="212" t="s">
        <v>1541</v>
      </c>
      <c r="B55" s="64">
        <v>8.7200000000000006</v>
      </c>
      <c r="C55" s="64">
        <v>7.68</v>
      </c>
      <c r="D55" s="64">
        <v>11</v>
      </c>
      <c r="E55" s="64">
        <v>5.24</v>
      </c>
      <c r="F55" s="64">
        <v>8.81</v>
      </c>
      <c r="G55" s="64">
        <v>13.42</v>
      </c>
      <c r="H55" s="64">
        <v>4.79</v>
      </c>
      <c r="I55" s="64">
        <v>0.94</v>
      </c>
      <c r="J55" s="64">
        <v>0.74</v>
      </c>
      <c r="K55" s="64">
        <v>122.94</v>
      </c>
      <c r="L55" s="64">
        <v>28.35</v>
      </c>
      <c r="M55" s="64">
        <v>85.16</v>
      </c>
      <c r="N55" s="64">
        <v>579.4</v>
      </c>
      <c r="O55" s="64">
        <v>0</v>
      </c>
      <c r="P55" s="64">
        <v>0.27</v>
      </c>
      <c r="Q55" s="64">
        <v>9.64</v>
      </c>
      <c r="R55" s="198"/>
      <c r="S55" s="198"/>
      <c r="T55" s="198"/>
      <c r="U55" s="198"/>
    </row>
    <row r="56" spans="1:21" s="12" customFormat="1" x14ac:dyDescent="0.25">
      <c r="A56" s="212" t="s">
        <v>1542</v>
      </c>
      <c r="B56" s="64">
        <v>8.85</v>
      </c>
      <c r="C56" s="64">
        <v>7.75</v>
      </c>
      <c r="D56" s="64">
        <v>11.15</v>
      </c>
      <c r="E56" s="64">
        <v>5.32</v>
      </c>
      <c r="F56" s="64">
        <v>11.59</v>
      </c>
      <c r="G56" s="64">
        <v>13.37</v>
      </c>
      <c r="H56" s="64">
        <v>4.82</v>
      </c>
      <c r="I56" s="64">
        <v>0.92</v>
      </c>
      <c r="J56" s="64">
        <v>0.43</v>
      </c>
      <c r="K56" s="64">
        <v>121.68</v>
      </c>
      <c r="L56" s="64">
        <v>28.99</v>
      </c>
      <c r="M56" s="64">
        <v>82.55</v>
      </c>
      <c r="N56" s="64">
        <v>719.6</v>
      </c>
      <c r="O56" s="64">
        <v>0</v>
      </c>
      <c r="P56" s="64">
        <v>0.3</v>
      </c>
      <c r="Q56" s="64">
        <v>9.64</v>
      </c>
      <c r="R56" s="198"/>
      <c r="S56" s="198"/>
      <c r="T56" s="198"/>
      <c r="U56" s="198"/>
    </row>
    <row r="57" spans="1:21" s="12" customFormat="1" x14ac:dyDescent="0.25">
      <c r="A57" s="212" t="s">
        <v>1543</v>
      </c>
      <c r="B57" s="64">
        <v>9.1300000000000008</v>
      </c>
      <c r="C57" s="64">
        <v>8.06</v>
      </c>
      <c r="D57" s="64">
        <v>11.53</v>
      </c>
      <c r="E57" s="64">
        <v>5.2</v>
      </c>
      <c r="F57" s="64">
        <v>10.26</v>
      </c>
      <c r="G57" s="64">
        <v>13.37</v>
      </c>
      <c r="H57" s="64">
        <v>4.82</v>
      </c>
      <c r="I57" s="64">
        <v>0.93</v>
      </c>
      <c r="J57" s="64">
        <v>0.37</v>
      </c>
      <c r="K57" s="64">
        <v>108.81</v>
      </c>
      <c r="L57" s="64">
        <v>29.48</v>
      </c>
      <c r="M57" s="64">
        <v>78.290000000000006</v>
      </c>
      <c r="N57" s="64">
        <v>557.9</v>
      </c>
      <c r="O57" s="64">
        <v>0</v>
      </c>
      <c r="P57" s="64">
        <v>0.27</v>
      </c>
      <c r="Q57" s="64">
        <v>9.6300000000000008</v>
      </c>
      <c r="R57" s="198"/>
      <c r="S57" s="198"/>
      <c r="T57" s="198"/>
      <c r="U57" s="198"/>
    </row>
    <row r="58" spans="1:21" s="12" customFormat="1" x14ac:dyDescent="0.25">
      <c r="A58" s="212" t="s">
        <v>1544</v>
      </c>
      <c r="B58" s="64">
        <v>8.16</v>
      </c>
      <c r="C58" s="64">
        <v>7.91</v>
      </c>
      <c r="D58" s="64">
        <v>10.68</v>
      </c>
      <c r="E58" s="64">
        <v>5.3</v>
      </c>
      <c r="F58" s="64">
        <v>10.51</v>
      </c>
      <c r="G58" s="64">
        <v>13.37</v>
      </c>
      <c r="H58" s="64">
        <v>4.82</v>
      </c>
      <c r="I58" s="64">
        <v>0.94</v>
      </c>
      <c r="J58" s="64">
        <v>0.94</v>
      </c>
      <c r="K58" s="64">
        <v>125.6</v>
      </c>
      <c r="L58" s="64">
        <v>29.28</v>
      </c>
      <c r="M58" s="64">
        <v>77.5</v>
      </c>
      <c r="N58" s="64">
        <v>586.1</v>
      </c>
      <c r="O58" s="64">
        <v>0</v>
      </c>
      <c r="P58" s="64">
        <v>0.25</v>
      </c>
      <c r="Q58" s="64">
        <v>9.6300000000000008</v>
      </c>
      <c r="R58" s="198"/>
      <c r="S58" s="198"/>
      <c r="T58" s="198"/>
      <c r="U58" s="198"/>
    </row>
    <row r="59" spans="1:21" s="12" customFormat="1" x14ac:dyDescent="0.25">
      <c r="A59" s="212" t="s">
        <v>1545</v>
      </c>
      <c r="B59" s="64">
        <v>11.31</v>
      </c>
      <c r="C59" s="64">
        <v>8.2899999999999991</v>
      </c>
      <c r="D59" s="64">
        <v>13.1</v>
      </c>
      <c r="E59" s="64">
        <v>5.19</v>
      </c>
      <c r="F59" s="64">
        <v>9.92</v>
      </c>
      <c r="G59" s="64">
        <v>12.94</v>
      </c>
      <c r="H59" s="64">
        <v>3.72</v>
      </c>
      <c r="I59" s="64">
        <v>0.94</v>
      </c>
      <c r="J59" s="64">
        <v>0.15</v>
      </c>
      <c r="K59" s="64">
        <v>358.35</v>
      </c>
      <c r="L59" s="64">
        <v>30.35</v>
      </c>
      <c r="M59" s="64">
        <v>75.959999999999994</v>
      </c>
      <c r="N59" s="64">
        <v>562.9</v>
      </c>
      <c r="O59" s="64">
        <v>0</v>
      </c>
      <c r="P59" s="64">
        <v>0.34</v>
      </c>
      <c r="Q59" s="64">
        <v>9.6300000000000008</v>
      </c>
      <c r="R59" s="198"/>
      <c r="S59" s="198"/>
      <c r="T59" s="198"/>
      <c r="U59" s="198"/>
    </row>
    <row r="60" spans="1:21" s="12" customFormat="1" x14ac:dyDescent="0.25">
      <c r="A60" s="212" t="s">
        <v>1546</v>
      </c>
      <c r="B60" s="64">
        <v>11.82</v>
      </c>
      <c r="C60" s="64">
        <v>8.0299999999999994</v>
      </c>
      <c r="D60" s="64">
        <v>13.67</v>
      </c>
      <c r="E60" s="64">
        <v>4.78</v>
      </c>
      <c r="F60" s="64">
        <v>10.67</v>
      </c>
      <c r="G60" s="64">
        <v>12.91</v>
      </c>
      <c r="H60" s="64">
        <v>3.62</v>
      </c>
      <c r="I60" s="64">
        <v>0.95</v>
      </c>
      <c r="J60" s="64">
        <v>0.3</v>
      </c>
      <c r="K60" s="64">
        <v>351.45</v>
      </c>
      <c r="L60" s="64">
        <v>30.5</v>
      </c>
      <c r="M60" s="64">
        <v>76.12</v>
      </c>
      <c r="N60" s="64">
        <v>379.2</v>
      </c>
      <c r="O60" s="64">
        <v>0</v>
      </c>
      <c r="P60" s="64">
        <v>0.33</v>
      </c>
      <c r="Q60" s="64">
        <v>9.6300000000000008</v>
      </c>
      <c r="R60" s="198"/>
      <c r="S60" s="198"/>
      <c r="T60" s="198"/>
      <c r="U60" s="198"/>
    </row>
    <row r="61" spans="1:21" s="12" customFormat="1" x14ac:dyDescent="0.25">
      <c r="A61" s="212" t="s">
        <v>1547</v>
      </c>
      <c r="B61" s="64">
        <v>10.93</v>
      </c>
      <c r="C61" s="64">
        <v>10.68</v>
      </c>
      <c r="D61" s="64">
        <v>14.35</v>
      </c>
      <c r="E61" s="64">
        <v>5.27</v>
      </c>
      <c r="F61" s="64">
        <v>10.8</v>
      </c>
      <c r="G61" s="64">
        <v>12.91</v>
      </c>
      <c r="H61" s="64">
        <v>3.62</v>
      </c>
      <c r="I61" s="64">
        <v>0.95</v>
      </c>
      <c r="J61" s="64">
        <v>0.21</v>
      </c>
      <c r="K61" s="64">
        <v>107.61</v>
      </c>
      <c r="L61" s="64">
        <v>29.58</v>
      </c>
      <c r="M61" s="64">
        <v>81.040000000000006</v>
      </c>
      <c r="N61" s="64">
        <v>248</v>
      </c>
      <c r="O61" s="64">
        <v>0</v>
      </c>
      <c r="P61" s="64">
        <v>0.27</v>
      </c>
      <c r="Q61" s="64">
        <v>9.64</v>
      </c>
      <c r="R61" s="198"/>
      <c r="S61" s="198"/>
      <c r="T61" s="198"/>
      <c r="U61" s="198"/>
    </row>
    <row r="62" spans="1:21" s="12" customFormat="1" x14ac:dyDescent="0.25">
      <c r="A62" s="212" t="s">
        <v>1548</v>
      </c>
      <c r="B62" s="64">
        <v>15.97</v>
      </c>
      <c r="C62" s="64">
        <v>9.93</v>
      </c>
      <c r="D62" s="64">
        <v>17.989999999999998</v>
      </c>
      <c r="E62" s="64">
        <v>5.64</v>
      </c>
      <c r="F62" s="64">
        <v>9.9600000000000009</v>
      </c>
      <c r="G62" s="64">
        <v>12.91</v>
      </c>
      <c r="H62" s="64">
        <v>3.62</v>
      </c>
      <c r="I62" s="64">
        <v>0.97</v>
      </c>
      <c r="J62" s="64">
        <v>0.18</v>
      </c>
      <c r="K62" s="64">
        <v>345.86</v>
      </c>
      <c r="L62" s="64">
        <v>29.18</v>
      </c>
      <c r="M62" s="64">
        <v>84.05</v>
      </c>
      <c r="N62" s="64">
        <v>236.6</v>
      </c>
      <c r="O62" s="64">
        <v>0</v>
      </c>
      <c r="P62" s="64">
        <v>0.4</v>
      </c>
      <c r="Q62" s="64">
        <v>9.6300000000000008</v>
      </c>
      <c r="R62" s="198"/>
      <c r="S62" s="198"/>
      <c r="T62" s="198"/>
      <c r="U62" s="198"/>
    </row>
    <row r="63" spans="1:21" s="12" customFormat="1" x14ac:dyDescent="0.25">
      <c r="A63" s="212" t="s">
        <v>1549</v>
      </c>
      <c r="B63" s="64">
        <v>12.96</v>
      </c>
      <c r="C63" s="64">
        <v>8.5500000000000007</v>
      </c>
      <c r="D63" s="64">
        <v>14.86</v>
      </c>
      <c r="E63" s="64">
        <v>5.29</v>
      </c>
      <c r="F63" s="64">
        <v>10.199999999999999</v>
      </c>
      <c r="G63" s="64">
        <v>13.94</v>
      </c>
      <c r="H63" s="64">
        <v>3.34</v>
      </c>
      <c r="I63" s="64">
        <v>0.97</v>
      </c>
      <c r="J63" s="64">
        <v>0.38</v>
      </c>
      <c r="K63" s="64">
        <v>347.86</v>
      </c>
      <c r="L63" s="64">
        <v>28.4</v>
      </c>
      <c r="M63" s="64">
        <v>87.96</v>
      </c>
      <c r="N63" s="64">
        <v>188.8</v>
      </c>
      <c r="O63" s="64">
        <v>0</v>
      </c>
      <c r="P63" s="64">
        <v>0.35</v>
      </c>
      <c r="Q63" s="64">
        <v>9.6199999999999992</v>
      </c>
      <c r="R63" s="198"/>
      <c r="S63" s="198"/>
      <c r="T63" s="198"/>
      <c r="U63" s="198"/>
    </row>
    <row r="64" spans="1:21" s="12" customFormat="1" x14ac:dyDescent="0.25">
      <c r="A64" s="212" t="s">
        <v>1550</v>
      </c>
      <c r="B64" s="64">
        <v>12.68</v>
      </c>
      <c r="C64" s="64">
        <v>10.24</v>
      </c>
      <c r="D64" s="64">
        <v>15.52</v>
      </c>
      <c r="E64" s="64">
        <v>5.33</v>
      </c>
      <c r="F64" s="64">
        <v>10.050000000000001</v>
      </c>
      <c r="G64" s="64">
        <v>14.03</v>
      </c>
      <c r="H64" s="64">
        <v>3.31</v>
      </c>
      <c r="I64" s="64">
        <v>0.99</v>
      </c>
      <c r="J64" s="64">
        <v>0.17</v>
      </c>
      <c r="K64" s="64">
        <v>342.62</v>
      </c>
      <c r="L64" s="64">
        <v>28.82</v>
      </c>
      <c r="M64" s="64">
        <v>87.01</v>
      </c>
      <c r="N64" s="64">
        <v>284.60000000000002</v>
      </c>
      <c r="O64" s="64">
        <v>0</v>
      </c>
      <c r="P64" s="64">
        <v>0.4</v>
      </c>
      <c r="Q64" s="64">
        <v>9.6300000000000008</v>
      </c>
      <c r="R64" s="198"/>
      <c r="S64" s="198"/>
      <c r="T64" s="198"/>
      <c r="U64" s="198"/>
    </row>
    <row r="65" spans="1:21" s="12" customFormat="1" x14ac:dyDescent="0.25">
      <c r="A65" s="212" t="s">
        <v>1551</v>
      </c>
      <c r="B65" s="64">
        <v>10.38</v>
      </c>
      <c r="C65" s="64">
        <v>9.3800000000000008</v>
      </c>
      <c r="D65" s="64">
        <v>13.23</v>
      </c>
      <c r="E65" s="64">
        <v>5.39</v>
      </c>
      <c r="F65" s="64">
        <v>11.76</v>
      </c>
      <c r="G65" s="64">
        <v>14.03</v>
      </c>
      <c r="H65" s="64">
        <v>3.31</v>
      </c>
      <c r="I65" s="64">
        <v>1.03</v>
      </c>
      <c r="J65" s="64">
        <v>0.14000000000000001</v>
      </c>
      <c r="K65" s="64">
        <v>356.5</v>
      </c>
      <c r="L65" s="64">
        <v>28.88</v>
      </c>
      <c r="M65" s="64">
        <v>83.87</v>
      </c>
      <c r="N65" s="64">
        <v>192.8</v>
      </c>
      <c r="O65" s="64">
        <v>0</v>
      </c>
      <c r="P65" s="64">
        <v>0.35</v>
      </c>
      <c r="Q65" s="64">
        <v>9.6300000000000008</v>
      </c>
      <c r="R65" s="198"/>
      <c r="S65" s="198"/>
      <c r="T65" s="198"/>
      <c r="U65" s="198"/>
    </row>
    <row r="66" spans="1:21" s="12" customFormat="1" x14ac:dyDescent="0.25">
      <c r="A66" s="212" t="s">
        <v>1552</v>
      </c>
      <c r="B66" s="64">
        <v>12.3</v>
      </c>
      <c r="C66" s="64">
        <v>7.73</v>
      </c>
      <c r="D66" s="64">
        <v>13.91</v>
      </c>
      <c r="E66" s="64">
        <v>5.31</v>
      </c>
      <c r="F66" s="64">
        <v>12.88</v>
      </c>
      <c r="G66" s="64">
        <v>14.03</v>
      </c>
      <c r="H66" s="64">
        <v>3.31</v>
      </c>
      <c r="I66" s="64">
        <v>1.05</v>
      </c>
      <c r="J66" s="64">
        <v>0.89</v>
      </c>
      <c r="K66" s="64">
        <v>336</v>
      </c>
      <c r="L66" s="64">
        <v>29.78</v>
      </c>
      <c r="M66" s="64">
        <v>78.8</v>
      </c>
      <c r="N66" s="64">
        <v>240.5</v>
      </c>
      <c r="O66" s="64">
        <v>0</v>
      </c>
      <c r="P66" s="64">
        <v>0.35</v>
      </c>
      <c r="Q66" s="64">
        <v>9.6300000000000008</v>
      </c>
      <c r="R66" s="198"/>
      <c r="S66" s="198"/>
      <c r="T66" s="198"/>
      <c r="U66" s="198"/>
    </row>
    <row r="67" spans="1:21" s="12" customFormat="1" x14ac:dyDescent="0.25">
      <c r="A67" s="212" t="s">
        <v>1553</v>
      </c>
      <c r="B67" s="64">
        <v>12.34</v>
      </c>
      <c r="C67" s="64">
        <v>9.5399999999999991</v>
      </c>
      <c r="D67" s="64">
        <v>14.88</v>
      </c>
      <c r="E67" s="64">
        <v>5.27</v>
      </c>
      <c r="F67" s="64">
        <v>10.89</v>
      </c>
      <c r="G67" s="64">
        <v>20.36</v>
      </c>
      <c r="H67" s="64">
        <v>4.4400000000000004</v>
      </c>
      <c r="I67" s="64">
        <v>1.07</v>
      </c>
      <c r="J67" s="64">
        <v>0.3</v>
      </c>
      <c r="K67" s="64">
        <v>340.77</v>
      </c>
      <c r="L67" s="64">
        <v>30.14</v>
      </c>
      <c r="M67" s="64">
        <v>76.72</v>
      </c>
      <c r="N67" s="64">
        <v>244</v>
      </c>
      <c r="O67" s="64">
        <v>0</v>
      </c>
      <c r="P67" s="64">
        <v>0.39</v>
      </c>
      <c r="Q67" s="64">
        <v>9.64</v>
      </c>
      <c r="R67" s="198"/>
      <c r="S67" s="198"/>
      <c r="T67" s="198"/>
      <c r="U67" s="198"/>
    </row>
    <row r="68" spans="1:21" s="12" customFormat="1" x14ac:dyDescent="0.25">
      <c r="A68" s="212" t="s">
        <v>1554</v>
      </c>
      <c r="B68" s="64">
        <v>12.75</v>
      </c>
      <c r="C68" s="64">
        <v>8.76</v>
      </c>
      <c r="D68" s="64">
        <v>14.8</v>
      </c>
      <c r="E68" s="64">
        <v>5.28</v>
      </c>
      <c r="F68" s="64">
        <v>10.36</v>
      </c>
      <c r="G68" s="64">
        <v>20.9</v>
      </c>
      <c r="H68" s="64">
        <v>4.54</v>
      </c>
      <c r="I68" s="64">
        <v>1.08</v>
      </c>
      <c r="J68" s="64">
        <v>0.33</v>
      </c>
      <c r="K68" s="64">
        <v>342.64</v>
      </c>
      <c r="L68" s="64">
        <v>30.04</v>
      </c>
      <c r="M68" s="64">
        <v>75.83</v>
      </c>
      <c r="N68" s="64">
        <v>218.5</v>
      </c>
      <c r="O68" s="64">
        <v>0</v>
      </c>
      <c r="P68" s="64">
        <v>0.4</v>
      </c>
      <c r="Q68" s="64">
        <v>9.6300000000000008</v>
      </c>
      <c r="R68" s="198"/>
      <c r="S68" s="198"/>
      <c r="T68" s="198"/>
      <c r="U68" s="198"/>
    </row>
    <row r="69" spans="1:21" s="12" customFormat="1" x14ac:dyDescent="0.25">
      <c r="A69" s="212" t="s">
        <v>1555</v>
      </c>
      <c r="B69" s="64">
        <v>8.9499999999999993</v>
      </c>
      <c r="C69" s="64">
        <v>9.59</v>
      </c>
      <c r="D69" s="64">
        <v>12.19</v>
      </c>
      <c r="E69" s="64">
        <v>5.41</v>
      </c>
      <c r="F69" s="64">
        <v>14.68</v>
      </c>
      <c r="G69" s="64">
        <v>20.9</v>
      </c>
      <c r="H69" s="64">
        <v>4.54</v>
      </c>
      <c r="I69" s="64">
        <v>1.1200000000000001</v>
      </c>
      <c r="J69" s="64">
        <v>0.28999999999999998</v>
      </c>
      <c r="K69" s="64">
        <v>359.09</v>
      </c>
      <c r="L69" s="64">
        <v>30.27</v>
      </c>
      <c r="M69" s="64">
        <v>74.89</v>
      </c>
      <c r="N69" s="64">
        <v>276.2</v>
      </c>
      <c r="O69" s="64">
        <v>0</v>
      </c>
      <c r="P69" s="64">
        <v>0.35</v>
      </c>
      <c r="Q69" s="64">
        <v>9.6300000000000008</v>
      </c>
      <c r="R69" s="198"/>
      <c r="S69" s="198"/>
      <c r="T69" s="198"/>
      <c r="U69" s="198"/>
    </row>
    <row r="70" spans="1:21" s="12" customFormat="1" x14ac:dyDescent="0.25">
      <c r="A70" s="212" t="s">
        <v>1556</v>
      </c>
      <c r="B70" s="64">
        <v>12.02</v>
      </c>
      <c r="C70" s="64">
        <v>10.55</v>
      </c>
      <c r="D70" s="64">
        <v>15.15</v>
      </c>
      <c r="E70" s="64">
        <v>5.65</v>
      </c>
      <c r="F70" s="64">
        <v>13.47</v>
      </c>
      <c r="G70" s="64">
        <v>20.9</v>
      </c>
      <c r="H70" s="64">
        <v>4.54</v>
      </c>
      <c r="I70" s="64">
        <v>1.1299999999999999</v>
      </c>
      <c r="J70" s="64">
        <v>0.73</v>
      </c>
      <c r="K70" s="64">
        <v>337.03</v>
      </c>
      <c r="L70" s="64">
        <v>29.91</v>
      </c>
      <c r="M70" s="64">
        <v>76.849999999999994</v>
      </c>
      <c r="N70" s="64">
        <v>189.2</v>
      </c>
      <c r="O70" s="64">
        <v>0</v>
      </c>
      <c r="P70" s="64">
        <v>0.42</v>
      </c>
      <c r="Q70" s="64">
        <v>9.64</v>
      </c>
      <c r="R70" s="198"/>
      <c r="S70" s="198"/>
      <c r="T70" s="198"/>
      <c r="U70" s="198"/>
    </row>
    <row r="71" spans="1:21" s="12" customFormat="1" x14ac:dyDescent="0.25">
      <c r="A71" s="212" t="s">
        <v>1557</v>
      </c>
      <c r="B71" s="64">
        <v>13.48</v>
      </c>
      <c r="C71" s="64">
        <v>12.58</v>
      </c>
      <c r="D71" s="64">
        <v>17.38</v>
      </c>
      <c r="E71" s="64">
        <v>5.31</v>
      </c>
      <c r="F71" s="64">
        <v>9.9499999999999993</v>
      </c>
      <c r="G71" s="64">
        <v>25.09</v>
      </c>
      <c r="H71" s="64">
        <v>6.73</v>
      </c>
      <c r="I71" s="64">
        <v>1.1200000000000001</v>
      </c>
      <c r="J71" s="64">
        <v>0.17</v>
      </c>
      <c r="K71" s="64">
        <v>13.16</v>
      </c>
      <c r="L71" s="64">
        <v>29.39</v>
      </c>
      <c r="M71" s="64">
        <v>78.8</v>
      </c>
      <c r="N71" s="64">
        <v>199.2</v>
      </c>
      <c r="O71" s="64">
        <v>0</v>
      </c>
      <c r="P71" s="64">
        <v>0.41</v>
      </c>
      <c r="Q71" s="64">
        <v>9.64</v>
      </c>
      <c r="R71" s="198"/>
      <c r="S71" s="198"/>
      <c r="T71" s="198"/>
      <c r="U71" s="198"/>
    </row>
    <row r="72" spans="1:21" s="12" customFormat="1" x14ac:dyDescent="0.25">
      <c r="A72" s="212" t="s">
        <v>1558</v>
      </c>
      <c r="B72" s="64">
        <v>11.45</v>
      </c>
      <c r="C72" s="64">
        <v>13.78</v>
      </c>
      <c r="D72" s="64">
        <v>16.38</v>
      </c>
      <c r="E72" s="64">
        <v>5.66</v>
      </c>
      <c r="F72" s="64">
        <v>9.82</v>
      </c>
      <c r="G72" s="64">
        <v>25.44</v>
      </c>
      <c r="H72" s="64">
        <v>6.89</v>
      </c>
      <c r="I72" s="64">
        <v>1.1100000000000001</v>
      </c>
      <c r="J72" s="64">
        <v>0.15</v>
      </c>
      <c r="K72" s="64">
        <v>319.27999999999997</v>
      </c>
      <c r="L72" s="64">
        <v>29.31</v>
      </c>
      <c r="M72" s="64">
        <v>78.87</v>
      </c>
      <c r="N72" s="64">
        <v>197.6</v>
      </c>
      <c r="O72" s="64">
        <v>0</v>
      </c>
      <c r="P72" s="64">
        <v>0.42</v>
      </c>
      <c r="Q72" s="64">
        <v>9.6199999999999992</v>
      </c>
      <c r="R72" s="198"/>
      <c r="S72" s="198"/>
      <c r="T72" s="198"/>
      <c r="U72" s="198"/>
    </row>
    <row r="73" spans="1:21" s="12" customFormat="1" x14ac:dyDescent="0.25">
      <c r="A73" s="212" t="s">
        <v>1559</v>
      </c>
      <c r="B73" s="64">
        <v>15.59</v>
      </c>
      <c r="C73" s="64">
        <v>15.68</v>
      </c>
      <c r="D73" s="64">
        <v>20.69</v>
      </c>
      <c r="E73" s="64">
        <v>5.24</v>
      </c>
      <c r="F73" s="64">
        <v>9.89</v>
      </c>
      <c r="G73" s="64">
        <v>25.44</v>
      </c>
      <c r="H73" s="64">
        <v>6.89</v>
      </c>
      <c r="I73" s="64">
        <v>1.1299999999999999</v>
      </c>
      <c r="J73" s="64">
        <v>0.46</v>
      </c>
      <c r="K73" s="64">
        <v>120.95</v>
      </c>
      <c r="L73" s="64">
        <v>28.95</v>
      </c>
      <c r="M73" s="64">
        <v>79.81</v>
      </c>
      <c r="N73" s="64">
        <v>183.1</v>
      </c>
      <c r="O73" s="64">
        <v>0</v>
      </c>
      <c r="P73" s="64">
        <v>0.35</v>
      </c>
      <c r="Q73" s="64">
        <v>9.64</v>
      </c>
      <c r="R73" s="198"/>
      <c r="S73" s="198"/>
      <c r="T73" s="198"/>
      <c r="U73" s="198"/>
    </row>
    <row r="74" spans="1:21" s="12" customFormat="1" x14ac:dyDescent="0.25">
      <c r="A74" s="212" t="s">
        <v>1560</v>
      </c>
      <c r="B74" s="64">
        <v>20.95</v>
      </c>
      <c r="C74" s="64">
        <v>11.19</v>
      </c>
      <c r="D74" s="64">
        <v>21.87</v>
      </c>
      <c r="E74" s="64">
        <v>5.55</v>
      </c>
      <c r="F74" s="64">
        <v>11.07</v>
      </c>
      <c r="G74" s="64">
        <v>25.44</v>
      </c>
      <c r="H74" s="64">
        <v>6.89</v>
      </c>
      <c r="I74" s="64">
        <v>1.1399999999999999</v>
      </c>
      <c r="J74" s="64">
        <v>0.53</v>
      </c>
      <c r="K74" s="64">
        <v>342.9</v>
      </c>
      <c r="L74" s="64">
        <v>28.97</v>
      </c>
      <c r="M74" s="64">
        <v>80.77</v>
      </c>
      <c r="N74" s="64">
        <v>163.4</v>
      </c>
      <c r="O74" s="64">
        <v>0</v>
      </c>
      <c r="P74" s="64">
        <v>0.51</v>
      </c>
      <c r="Q74" s="64">
        <v>9.6300000000000008</v>
      </c>
      <c r="R74" s="198"/>
      <c r="S74" s="198"/>
      <c r="T74" s="198"/>
      <c r="U74" s="198"/>
    </row>
    <row r="75" spans="1:21" s="12" customFormat="1" x14ac:dyDescent="0.25">
      <c r="A75" s="212" t="s">
        <v>1561</v>
      </c>
      <c r="B75" s="64">
        <v>17.5</v>
      </c>
      <c r="C75" s="64">
        <v>15.01</v>
      </c>
      <c r="D75" s="64">
        <v>21.88</v>
      </c>
      <c r="E75" s="64">
        <v>4.97</v>
      </c>
      <c r="F75" s="64">
        <v>10.56</v>
      </c>
      <c r="G75" s="64">
        <v>27.57</v>
      </c>
      <c r="H75" s="64">
        <v>6.57</v>
      </c>
      <c r="I75" s="64">
        <v>1.1499999999999999</v>
      </c>
      <c r="J75" s="64">
        <v>0.42</v>
      </c>
      <c r="K75" s="64">
        <v>349.47</v>
      </c>
      <c r="L75" s="64">
        <v>29.3</v>
      </c>
      <c r="M75" s="64">
        <v>79.209999999999994</v>
      </c>
      <c r="N75" s="64">
        <v>145.30000000000001</v>
      </c>
      <c r="O75" s="64">
        <v>0</v>
      </c>
      <c r="P75" s="64">
        <v>0.53</v>
      </c>
      <c r="Q75" s="64">
        <v>9.6300000000000008</v>
      </c>
      <c r="R75" s="198"/>
      <c r="S75" s="198"/>
      <c r="T75" s="198"/>
      <c r="U75" s="198"/>
    </row>
    <row r="76" spans="1:21" s="12" customFormat="1" x14ac:dyDescent="0.25">
      <c r="A76" s="212" t="s">
        <v>1562</v>
      </c>
      <c r="B76" s="64">
        <v>11.83</v>
      </c>
      <c r="C76" s="64">
        <v>12.57</v>
      </c>
      <c r="D76" s="64">
        <v>16.05</v>
      </c>
      <c r="E76" s="64">
        <v>5.21</v>
      </c>
      <c r="F76" s="64">
        <v>12.66</v>
      </c>
      <c r="G76" s="64">
        <v>27.75</v>
      </c>
      <c r="H76" s="64">
        <v>6.55</v>
      </c>
      <c r="I76" s="64">
        <v>1.1499999999999999</v>
      </c>
      <c r="J76" s="64">
        <v>0.28000000000000003</v>
      </c>
      <c r="K76" s="64">
        <v>128.63999999999999</v>
      </c>
      <c r="L76" s="64">
        <v>28.57</v>
      </c>
      <c r="M76" s="64">
        <v>82.91</v>
      </c>
      <c r="N76" s="64">
        <v>119.3</v>
      </c>
      <c r="O76" s="64">
        <v>0</v>
      </c>
      <c r="P76" s="64">
        <v>0.34</v>
      </c>
      <c r="Q76" s="64">
        <v>9.6300000000000008</v>
      </c>
      <c r="R76" s="198"/>
      <c r="S76" s="198"/>
      <c r="T76" s="198"/>
      <c r="U76" s="198"/>
    </row>
    <row r="77" spans="1:21" s="12" customFormat="1" x14ac:dyDescent="0.25">
      <c r="A77" s="212" t="s">
        <v>1563</v>
      </c>
      <c r="B77" s="64">
        <v>13.93</v>
      </c>
      <c r="C77" s="64">
        <v>15.03</v>
      </c>
      <c r="D77" s="64">
        <v>19.02</v>
      </c>
      <c r="E77" s="64">
        <v>5.32</v>
      </c>
      <c r="F77" s="64">
        <v>10.59</v>
      </c>
      <c r="G77" s="64">
        <v>27.75</v>
      </c>
      <c r="H77" s="64">
        <v>6.55</v>
      </c>
      <c r="I77" s="64">
        <v>1.1599999999999999</v>
      </c>
      <c r="J77" s="64">
        <v>0.48</v>
      </c>
      <c r="K77" s="64">
        <v>335.34</v>
      </c>
      <c r="L77" s="64">
        <v>28.66</v>
      </c>
      <c r="M77" s="64">
        <v>82.49</v>
      </c>
      <c r="N77" s="64">
        <v>106.2</v>
      </c>
      <c r="O77" s="64">
        <v>0</v>
      </c>
      <c r="P77" s="64">
        <v>0.53</v>
      </c>
      <c r="Q77" s="64">
        <v>9.64</v>
      </c>
      <c r="R77" s="198"/>
      <c r="S77" s="198"/>
      <c r="T77" s="198"/>
      <c r="U77" s="198"/>
    </row>
    <row r="78" spans="1:21" s="12" customFormat="1" x14ac:dyDescent="0.25">
      <c r="A78" s="212" t="s">
        <v>1564</v>
      </c>
      <c r="B78" s="64">
        <v>18.53</v>
      </c>
      <c r="C78" s="64">
        <v>16.39</v>
      </c>
      <c r="D78" s="64">
        <v>23.42</v>
      </c>
      <c r="E78" s="64">
        <v>5.32</v>
      </c>
      <c r="F78" s="64">
        <v>12.57</v>
      </c>
      <c r="G78" s="64">
        <v>27.75</v>
      </c>
      <c r="H78" s="64">
        <v>6.55</v>
      </c>
      <c r="I78" s="64">
        <v>1.1399999999999999</v>
      </c>
      <c r="J78" s="64">
        <v>0.14000000000000001</v>
      </c>
      <c r="K78" s="64">
        <v>338.3</v>
      </c>
      <c r="L78" s="64">
        <v>28.4</v>
      </c>
      <c r="M78" s="64">
        <v>81.739999999999995</v>
      </c>
      <c r="N78" s="64">
        <v>97.1</v>
      </c>
      <c r="O78" s="64">
        <v>0</v>
      </c>
      <c r="P78" s="64">
        <v>0.49</v>
      </c>
      <c r="Q78" s="64">
        <v>9.64</v>
      </c>
      <c r="R78" s="198"/>
      <c r="S78" s="198"/>
      <c r="T78" s="198"/>
      <c r="U78" s="198"/>
    </row>
    <row r="79" spans="1:21" s="12" customFormat="1" x14ac:dyDescent="0.25">
      <c r="A79" s="212" t="s">
        <v>1565</v>
      </c>
      <c r="B79" s="64">
        <v>15.94</v>
      </c>
      <c r="C79" s="64">
        <v>19.809999999999999</v>
      </c>
      <c r="D79" s="64">
        <v>23.13</v>
      </c>
      <c r="E79" s="64">
        <v>5.36</v>
      </c>
      <c r="F79" s="64">
        <v>10.19</v>
      </c>
      <c r="G79" s="64">
        <v>28.56</v>
      </c>
      <c r="H79" s="64">
        <v>6.81</v>
      </c>
      <c r="I79" s="64">
        <v>1.07</v>
      </c>
      <c r="J79" s="64">
        <v>0.09</v>
      </c>
      <c r="K79" s="64">
        <v>334.82</v>
      </c>
      <c r="L79" s="64">
        <v>28.28</v>
      </c>
      <c r="M79" s="64">
        <v>82.73</v>
      </c>
      <c r="N79" s="64">
        <v>80.3</v>
      </c>
      <c r="O79" s="64">
        <v>0</v>
      </c>
      <c r="P79" s="64">
        <v>0.59</v>
      </c>
      <c r="Q79" s="64">
        <v>9.64</v>
      </c>
      <c r="R79" s="198"/>
      <c r="S79" s="198"/>
      <c r="T79" s="198"/>
      <c r="U79" s="198"/>
    </row>
    <row r="80" spans="1:21" s="12" customFormat="1" x14ac:dyDescent="0.25">
      <c r="A80" s="212" t="s">
        <v>1566</v>
      </c>
      <c r="B80" s="64">
        <v>9.91</v>
      </c>
      <c r="C80" s="64">
        <v>16.71</v>
      </c>
      <c r="D80" s="64">
        <v>16.68</v>
      </c>
      <c r="E80" s="64">
        <v>5.25</v>
      </c>
      <c r="F80" s="64">
        <v>12.33</v>
      </c>
      <c r="G80" s="64">
        <v>28.63</v>
      </c>
      <c r="H80" s="64">
        <v>6.83</v>
      </c>
      <c r="I80" s="64">
        <v>1.07</v>
      </c>
      <c r="J80" s="64">
        <v>0.22</v>
      </c>
      <c r="K80" s="64">
        <v>132.19</v>
      </c>
      <c r="L80" s="64">
        <v>28.07</v>
      </c>
      <c r="M80" s="64">
        <v>84.07</v>
      </c>
      <c r="N80" s="64">
        <v>76.8</v>
      </c>
      <c r="O80" s="64">
        <v>0</v>
      </c>
      <c r="P80" s="64">
        <v>0.46</v>
      </c>
      <c r="Q80" s="64">
        <v>9.64</v>
      </c>
      <c r="R80" s="198"/>
      <c r="S80" s="198"/>
      <c r="T80" s="198"/>
      <c r="U80" s="198"/>
    </row>
    <row r="81" spans="1:26" s="12" customFormat="1" x14ac:dyDescent="0.25">
      <c r="A81" s="212" t="s">
        <v>1567</v>
      </c>
      <c r="B81" s="64">
        <v>11.96</v>
      </c>
      <c r="C81" s="64">
        <v>16.059999999999999</v>
      </c>
      <c r="D81" s="64">
        <v>17.989999999999998</v>
      </c>
      <c r="E81" s="64">
        <v>5.1100000000000003</v>
      </c>
      <c r="F81" s="64">
        <v>11.02</v>
      </c>
      <c r="G81" s="64">
        <v>28.63</v>
      </c>
      <c r="H81" s="64">
        <v>6.83</v>
      </c>
      <c r="I81" s="64">
        <v>1.1100000000000001</v>
      </c>
      <c r="J81" s="64">
        <v>0.17</v>
      </c>
      <c r="K81" s="64">
        <v>354.43</v>
      </c>
      <c r="L81" s="64">
        <v>27.86</v>
      </c>
      <c r="M81" s="64">
        <v>86.77</v>
      </c>
      <c r="N81" s="64">
        <v>62.1</v>
      </c>
      <c r="O81" s="64">
        <v>0</v>
      </c>
      <c r="P81" s="64">
        <v>0.55000000000000004</v>
      </c>
      <c r="Q81" s="64">
        <v>9.6300000000000008</v>
      </c>
      <c r="R81" s="198"/>
      <c r="S81" s="198"/>
      <c r="T81" s="198"/>
      <c r="U81" s="198"/>
    </row>
    <row r="82" spans="1:26" s="12" customFormat="1" x14ac:dyDescent="0.25">
      <c r="A82" s="212" t="s">
        <v>1568</v>
      </c>
      <c r="B82" s="64">
        <v>11.06</v>
      </c>
      <c r="C82" s="64">
        <v>19.350000000000001</v>
      </c>
      <c r="D82" s="64">
        <v>18.98</v>
      </c>
      <c r="E82" s="64">
        <v>5.42</v>
      </c>
      <c r="F82" s="64">
        <v>11.78</v>
      </c>
      <c r="G82" s="64">
        <v>28.63</v>
      </c>
      <c r="H82" s="64">
        <v>6.83</v>
      </c>
      <c r="I82" s="64">
        <v>1.18</v>
      </c>
      <c r="J82" s="64">
        <v>0.17</v>
      </c>
      <c r="K82" s="64">
        <v>122.78</v>
      </c>
      <c r="L82" s="64">
        <v>27.75</v>
      </c>
      <c r="M82" s="64">
        <v>88.41</v>
      </c>
      <c r="N82" s="64">
        <v>47.7</v>
      </c>
      <c r="O82" s="64">
        <v>0</v>
      </c>
      <c r="P82" s="64">
        <v>0.59</v>
      </c>
      <c r="Q82" s="64">
        <v>9.6300000000000008</v>
      </c>
      <c r="R82" s="198"/>
      <c r="S82" s="198"/>
      <c r="T82" s="198"/>
      <c r="U82" s="198"/>
    </row>
    <row r="83" spans="1:26" s="12" customFormat="1" x14ac:dyDescent="0.25">
      <c r="A83" s="212" t="s">
        <v>1569</v>
      </c>
      <c r="B83" s="64">
        <v>14.02</v>
      </c>
      <c r="C83" s="64">
        <v>21.7</v>
      </c>
      <c r="D83" s="64">
        <v>22.58</v>
      </c>
      <c r="E83" s="64">
        <v>5.55</v>
      </c>
      <c r="F83" s="64">
        <v>9.8800000000000008</v>
      </c>
      <c r="G83" s="64">
        <v>30.02</v>
      </c>
      <c r="H83" s="64">
        <v>5.26</v>
      </c>
      <c r="I83" s="64">
        <v>1.26</v>
      </c>
      <c r="J83" s="64">
        <v>0.26</v>
      </c>
      <c r="K83" s="64">
        <v>126.48</v>
      </c>
      <c r="L83" s="64">
        <v>27.59</v>
      </c>
      <c r="M83" s="64">
        <v>91.08</v>
      </c>
      <c r="N83" s="64">
        <v>44.2</v>
      </c>
      <c r="O83" s="64">
        <v>0</v>
      </c>
      <c r="P83" s="64">
        <v>0.68</v>
      </c>
      <c r="Q83" s="64">
        <v>9.6300000000000008</v>
      </c>
      <c r="R83" s="198"/>
      <c r="S83" s="198"/>
      <c r="T83" s="198"/>
      <c r="U83" s="198"/>
    </row>
    <row r="84" spans="1:26" s="12" customFormat="1" x14ac:dyDescent="0.25">
      <c r="A84" s="212" t="s">
        <v>1570</v>
      </c>
      <c r="B84" s="64">
        <v>8.77</v>
      </c>
      <c r="C84" s="64">
        <v>17.77</v>
      </c>
      <c r="D84" s="64">
        <v>16.32</v>
      </c>
      <c r="E84" s="64">
        <v>5.66</v>
      </c>
      <c r="F84" s="64">
        <v>11.57</v>
      </c>
      <c r="G84" s="64">
        <v>30.14</v>
      </c>
      <c r="H84" s="64">
        <v>5.15</v>
      </c>
      <c r="I84" s="64">
        <v>1.24</v>
      </c>
      <c r="J84" s="64">
        <v>0.26</v>
      </c>
      <c r="K84" s="64">
        <v>117.19</v>
      </c>
      <c r="L84" s="64">
        <v>27.52</v>
      </c>
      <c r="M84" s="64">
        <v>91.74</v>
      </c>
      <c r="N84" s="64">
        <v>44.1</v>
      </c>
      <c r="O84" s="64">
        <v>0</v>
      </c>
      <c r="P84" s="64">
        <v>0.59</v>
      </c>
      <c r="Q84" s="64">
        <v>9.6199999999999992</v>
      </c>
      <c r="R84" s="198"/>
      <c r="S84" s="198"/>
      <c r="T84" s="198"/>
      <c r="U84" s="198"/>
    </row>
    <row r="85" spans="1:26" s="12" customFormat="1" x14ac:dyDescent="0.25">
      <c r="A85" s="212" t="s">
        <v>1571</v>
      </c>
      <c r="B85" s="64">
        <v>7.48</v>
      </c>
      <c r="C85" s="64">
        <v>12.67</v>
      </c>
      <c r="D85" s="64">
        <v>12.62</v>
      </c>
      <c r="E85" s="64">
        <v>5.48</v>
      </c>
      <c r="F85" s="64">
        <v>14.22</v>
      </c>
      <c r="G85" s="64">
        <v>30.14</v>
      </c>
      <c r="H85" s="64">
        <v>5.15</v>
      </c>
      <c r="I85" s="64">
        <v>1.4</v>
      </c>
      <c r="J85" s="64">
        <v>0.4</v>
      </c>
      <c r="K85" s="64">
        <v>127.83</v>
      </c>
      <c r="L85" s="64">
        <v>27.41</v>
      </c>
      <c r="M85" s="64">
        <v>89.69</v>
      </c>
      <c r="N85" s="64">
        <v>44.1</v>
      </c>
      <c r="O85" s="64">
        <v>0</v>
      </c>
      <c r="P85" s="64">
        <v>0.39</v>
      </c>
      <c r="Q85" s="64">
        <v>9.64</v>
      </c>
      <c r="R85" s="198"/>
      <c r="S85" s="198"/>
      <c r="T85" s="198"/>
      <c r="U85" s="198"/>
    </row>
    <row r="86" spans="1:26" s="12" customFormat="1" x14ac:dyDescent="0.25">
      <c r="A86" s="212" t="s">
        <v>1572</v>
      </c>
      <c r="B86" s="64">
        <v>7.97</v>
      </c>
      <c r="C86" s="64">
        <v>14.28</v>
      </c>
      <c r="D86" s="64">
        <v>13.86</v>
      </c>
      <c r="E86" s="64">
        <v>5.39</v>
      </c>
      <c r="F86" s="64">
        <v>12.65</v>
      </c>
      <c r="G86" s="64">
        <v>30.14</v>
      </c>
      <c r="H86" s="64">
        <v>5.15</v>
      </c>
      <c r="I86" s="64">
        <v>1.38</v>
      </c>
      <c r="J86" s="64">
        <v>0.18</v>
      </c>
      <c r="K86" s="64">
        <v>121.05</v>
      </c>
      <c r="L86" s="64">
        <v>27.24</v>
      </c>
      <c r="M86" s="64">
        <v>90.36</v>
      </c>
      <c r="N86" s="64">
        <v>44.1</v>
      </c>
      <c r="O86" s="64">
        <v>0</v>
      </c>
      <c r="P86" s="64">
        <v>0.47</v>
      </c>
      <c r="Q86" s="64">
        <v>9.64</v>
      </c>
      <c r="R86" s="198"/>
      <c r="S86" s="198"/>
      <c r="T86" s="198"/>
      <c r="U86" s="198"/>
    </row>
    <row r="87" spans="1:26" s="12" customFormat="1" x14ac:dyDescent="0.25">
      <c r="A87" s="212" t="s">
        <v>1573</v>
      </c>
      <c r="B87" s="64">
        <v>9.48</v>
      </c>
      <c r="C87" s="64">
        <v>21.47</v>
      </c>
      <c r="D87" s="64">
        <v>18.82</v>
      </c>
      <c r="E87" s="64">
        <v>5.51</v>
      </c>
      <c r="F87" s="64">
        <v>10.92</v>
      </c>
      <c r="G87" s="64">
        <v>34.33</v>
      </c>
      <c r="H87" s="64">
        <v>4.88</v>
      </c>
      <c r="I87" s="64">
        <v>1.27</v>
      </c>
      <c r="J87" s="64">
        <v>0.14000000000000001</v>
      </c>
      <c r="K87" s="64">
        <v>135.36000000000001</v>
      </c>
      <c r="L87" s="64">
        <v>27.07</v>
      </c>
      <c r="M87" s="64">
        <v>92.16</v>
      </c>
      <c r="N87" s="64">
        <v>44</v>
      </c>
      <c r="O87" s="64">
        <v>0</v>
      </c>
      <c r="P87" s="64">
        <v>0.87</v>
      </c>
      <c r="Q87" s="64">
        <v>9.64</v>
      </c>
      <c r="R87" s="198"/>
      <c r="S87" s="198"/>
      <c r="T87" s="198"/>
      <c r="U87" s="198"/>
    </row>
    <row r="88" spans="1:26" s="12" customFormat="1" x14ac:dyDescent="0.25">
      <c r="A88" s="212" t="s">
        <v>1574</v>
      </c>
      <c r="B88" s="64">
        <v>5.58</v>
      </c>
      <c r="C88" s="64">
        <v>15.49</v>
      </c>
      <c r="D88" s="64">
        <v>12.57</v>
      </c>
      <c r="E88" s="64">
        <v>5.37</v>
      </c>
      <c r="F88" s="64">
        <v>11.96</v>
      </c>
      <c r="G88" s="64">
        <v>34.69</v>
      </c>
      <c r="H88" s="64">
        <v>4.8600000000000003</v>
      </c>
      <c r="I88" s="64">
        <v>1.27</v>
      </c>
      <c r="J88" s="64">
        <v>0.36</v>
      </c>
      <c r="K88" s="64">
        <v>131.35</v>
      </c>
      <c r="L88" s="64">
        <v>27.08</v>
      </c>
      <c r="M88" s="64">
        <v>92.36</v>
      </c>
      <c r="N88" s="64">
        <v>43.8</v>
      </c>
      <c r="O88" s="64">
        <v>0</v>
      </c>
      <c r="P88" s="64">
        <v>0.49</v>
      </c>
      <c r="Q88" s="64">
        <v>9.65</v>
      </c>
      <c r="R88" s="198"/>
      <c r="S88" s="198"/>
      <c r="T88" s="198"/>
      <c r="U88" s="198"/>
    </row>
    <row r="89" spans="1:26" s="12" customFormat="1" x14ac:dyDescent="0.25">
      <c r="A89" s="212" t="s">
        <v>1575</v>
      </c>
      <c r="B89" s="64">
        <v>7.79</v>
      </c>
      <c r="C89" s="64">
        <v>17.77</v>
      </c>
      <c r="D89" s="64">
        <v>15.53</v>
      </c>
      <c r="E89" s="64">
        <v>5.61</v>
      </c>
      <c r="F89" s="64">
        <v>11.61</v>
      </c>
      <c r="G89" s="64">
        <v>34.69</v>
      </c>
      <c r="H89" s="64">
        <v>4.8600000000000003</v>
      </c>
      <c r="I89" s="64">
        <v>1.28</v>
      </c>
      <c r="J89" s="64">
        <v>0.22</v>
      </c>
      <c r="K89" s="64">
        <v>119.71</v>
      </c>
      <c r="L89" s="64">
        <v>27.04</v>
      </c>
      <c r="M89" s="64">
        <v>92.44</v>
      </c>
      <c r="N89" s="64">
        <v>44</v>
      </c>
      <c r="O89" s="64">
        <v>0</v>
      </c>
      <c r="P89" s="64">
        <v>0.75</v>
      </c>
      <c r="Q89" s="64">
        <v>9.65</v>
      </c>
      <c r="R89" s="198"/>
      <c r="S89" s="198"/>
      <c r="T89" s="198"/>
      <c r="U89" s="198"/>
    </row>
    <row r="90" spans="1:26" s="12" customFormat="1" x14ac:dyDescent="0.25">
      <c r="A90" s="212" t="s">
        <v>1576</v>
      </c>
      <c r="B90" s="64">
        <v>4.82</v>
      </c>
      <c r="C90" s="64">
        <v>17.29</v>
      </c>
      <c r="D90" s="64">
        <v>12.9</v>
      </c>
      <c r="E90" s="64">
        <v>5.31</v>
      </c>
      <c r="F90" s="64">
        <v>12.37</v>
      </c>
      <c r="G90" s="64">
        <v>34.69</v>
      </c>
      <c r="H90" s="64">
        <v>4.8600000000000003</v>
      </c>
      <c r="I90" s="64">
        <v>1.29</v>
      </c>
      <c r="J90" s="64">
        <v>0.44</v>
      </c>
      <c r="K90" s="64">
        <v>127.52</v>
      </c>
      <c r="L90" s="64">
        <v>27.02</v>
      </c>
      <c r="M90" s="64">
        <v>93.74</v>
      </c>
      <c r="N90" s="64">
        <v>43.8</v>
      </c>
      <c r="O90" s="64">
        <v>0</v>
      </c>
      <c r="P90" s="64">
        <v>0.47</v>
      </c>
      <c r="Q90" s="64">
        <v>9.66</v>
      </c>
      <c r="R90" s="198"/>
      <c r="S90" s="198"/>
      <c r="T90" s="198"/>
      <c r="U90" s="198"/>
    </row>
    <row r="91" spans="1:26" s="12" customFormat="1" x14ac:dyDescent="0.25">
      <c r="A91" s="212" t="s">
        <v>1577</v>
      </c>
      <c r="B91" s="64">
        <v>5.5</v>
      </c>
      <c r="C91" s="64">
        <v>14.41</v>
      </c>
      <c r="D91" s="64">
        <v>11.94</v>
      </c>
      <c r="E91" s="64">
        <v>5.38</v>
      </c>
      <c r="F91" s="64">
        <v>12.96</v>
      </c>
      <c r="G91" s="64">
        <v>34.08</v>
      </c>
      <c r="H91" s="64">
        <v>90.77</v>
      </c>
      <c r="I91" s="64">
        <v>1.31</v>
      </c>
      <c r="J91" s="64">
        <v>0.44</v>
      </c>
      <c r="K91" s="64">
        <v>127.62</v>
      </c>
      <c r="L91" s="64">
        <v>27.01</v>
      </c>
      <c r="M91" s="64">
        <v>94.5</v>
      </c>
      <c r="N91" s="64">
        <v>44</v>
      </c>
      <c r="O91" s="64">
        <v>0</v>
      </c>
      <c r="P91" s="64">
        <v>0.44</v>
      </c>
      <c r="Q91" s="64">
        <v>9.64</v>
      </c>
      <c r="R91" s="198"/>
      <c r="S91" s="198"/>
      <c r="T91" s="198"/>
      <c r="U91" s="198"/>
    </row>
    <row r="92" spans="1:26" s="12" customFormat="1" x14ac:dyDescent="0.25">
      <c r="A92" s="212" t="s">
        <v>1578</v>
      </c>
      <c r="B92" s="64">
        <v>11.48</v>
      </c>
      <c r="C92" s="64">
        <v>20.13</v>
      </c>
      <c r="D92" s="64">
        <v>14.09</v>
      </c>
      <c r="E92" s="64">
        <v>5.65</v>
      </c>
      <c r="F92" s="64">
        <v>9.4499999999999993</v>
      </c>
      <c r="G92" s="64">
        <v>34.04</v>
      </c>
      <c r="H92" s="64">
        <v>96.9</v>
      </c>
      <c r="I92" s="64">
        <v>1.31</v>
      </c>
      <c r="J92" s="64">
        <v>0.11</v>
      </c>
      <c r="K92" s="64">
        <v>132.80000000000001</v>
      </c>
      <c r="L92" s="64">
        <v>26.82</v>
      </c>
      <c r="M92" s="64">
        <v>96.11</v>
      </c>
      <c r="N92" s="64">
        <v>44.1</v>
      </c>
      <c r="O92" s="64">
        <v>0</v>
      </c>
      <c r="P92" s="64">
        <v>0.89</v>
      </c>
      <c r="Q92" s="64">
        <v>9.6300000000000008</v>
      </c>
      <c r="R92" s="198"/>
      <c r="S92" s="198"/>
      <c r="T92" s="198"/>
      <c r="U92" s="198"/>
    </row>
    <row r="93" spans="1:26" s="12" customFormat="1" x14ac:dyDescent="0.25">
      <c r="A93" s="212" t="s">
        <v>1579</v>
      </c>
      <c r="B93" s="64">
        <v>8.27</v>
      </c>
      <c r="C93" s="64">
        <v>18.09</v>
      </c>
      <c r="D93" s="64">
        <v>16.079999999999998</v>
      </c>
      <c r="E93" s="64">
        <v>5.4</v>
      </c>
      <c r="F93" s="64">
        <v>11.41</v>
      </c>
      <c r="G93" s="64">
        <v>34.04</v>
      </c>
      <c r="H93" s="64">
        <v>96.9</v>
      </c>
      <c r="I93" s="64">
        <v>1.32</v>
      </c>
      <c r="J93" s="64">
        <v>0.14000000000000001</v>
      </c>
      <c r="K93" s="64">
        <v>134.68</v>
      </c>
      <c r="L93" s="64">
        <v>26.77</v>
      </c>
      <c r="M93" s="64">
        <v>97.08</v>
      </c>
      <c r="N93" s="64">
        <v>44.1</v>
      </c>
      <c r="O93" s="64">
        <v>0</v>
      </c>
      <c r="P93" s="64">
        <v>0.62</v>
      </c>
      <c r="Q93" s="64">
        <v>9.64</v>
      </c>
      <c r="R93" s="198"/>
      <c r="S93" s="198"/>
      <c r="T93" s="198"/>
      <c r="U93" s="198"/>
    </row>
    <row r="94" spans="1:26" s="12" customFormat="1" x14ac:dyDescent="0.25">
      <c r="A94" s="212" t="s">
        <v>1580</v>
      </c>
      <c r="B94" s="64">
        <v>19.02</v>
      </c>
      <c r="C94" s="64">
        <v>18.989999999999998</v>
      </c>
      <c r="D94" s="64">
        <v>25.17</v>
      </c>
      <c r="E94" s="64">
        <v>5.49</v>
      </c>
      <c r="F94" s="64">
        <v>7.4</v>
      </c>
      <c r="G94" s="64">
        <v>34.04</v>
      </c>
      <c r="H94" s="64">
        <v>96.9</v>
      </c>
      <c r="I94" s="64">
        <v>1.34</v>
      </c>
      <c r="J94" s="64">
        <v>0.12</v>
      </c>
      <c r="K94" s="64">
        <v>327.31</v>
      </c>
      <c r="L94" s="64">
        <v>26.72</v>
      </c>
      <c r="M94" s="64">
        <v>97.58</v>
      </c>
      <c r="N94" s="64">
        <v>44.1</v>
      </c>
      <c r="O94" s="64">
        <v>0</v>
      </c>
      <c r="P94" s="64">
        <v>1.17</v>
      </c>
      <c r="Q94" s="64">
        <v>9.6300000000000008</v>
      </c>
      <c r="R94" s="198"/>
      <c r="S94" s="198"/>
      <c r="T94" s="198"/>
      <c r="U94" s="198"/>
    </row>
    <row r="95" spans="1:26" s="12" customFormat="1" x14ac:dyDescent="0.25">
      <c r="A95" s="212" t="s">
        <v>1581</v>
      </c>
      <c r="B95" s="64">
        <v>13.67</v>
      </c>
      <c r="C95" s="64">
        <v>21.14</v>
      </c>
      <c r="D95" s="64">
        <v>22.01</v>
      </c>
      <c r="E95" s="64">
        <v>5.51</v>
      </c>
      <c r="F95" s="64">
        <v>8.7100000000000009</v>
      </c>
      <c r="G95" s="64">
        <v>34.47</v>
      </c>
      <c r="H95" s="64">
        <v>25.58</v>
      </c>
      <c r="I95" s="64">
        <v>1.37</v>
      </c>
      <c r="J95" s="64">
        <v>7.0000000000000007E-2</v>
      </c>
      <c r="K95" s="64">
        <v>354.93</v>
      </c>
      <c r="L95" s="64">
        <v>26.68</v>
      </c>
      <c r="M95" s="64">
        <v>97.61</v>
      </c>
      <c r="N95" s="64">
        <v>44.1</v>
      </c>
      <c r="O95" s="64">
        <v>0</v>
      </c>
      <c r="P95" s="64">
        <v>0.84</v>
      </c>
      <c r="Q95" s="64">
        <v>9.6300000000000008</v>
      </c>
      <c r="R95" s="198"/>
      <c r="S95" s="198"/>
      <c r="T95" s="198"/>
      <c r="U95" s="198"/>
    </row>
    <row r="96" spans="1:26" s="12" customFormat="1" x14ac:dyDescent="0.25">
      <c r="A96" s="212" t="s">
        <v>1582</v>
      </c>
      <c r="B96" s="64">
        <v>15.59</v>
      </c>
      <c r="C96" s="64">
        <v>22.28</v>
      </c>
      <c r="D96" s="64">
        <v>24.14</v>
      </c>
      <c r="E96" s="64">
        <v>5.76</v>
      </c>
      <c r="F96" s="64">
        <v>6.61</v>
      </c>
      <c r="G96" s="64">
        <v>34.5</v>
      </c>
      <c r="H96" s="64">
        <v>19.57</v>
      </c>
      <c r="I96" s="64">
        <v>1.42</v>
      </c>
      <c r="J96" s="64">
        <v>0.15</v>
      </c>
      <c r="K96" s="64">
        <v>134.86000000000001</v>
      </c>
      <c r="L96" s="64">
        <v>26.66</v>
      </c>
      <c r="M96" s="64">
        <v>97.63</v>
      </c>
      <c r="N96" s="64">
        <v>44.3</v>
      </c>
      <c r="O96" s="64">
        <v>0</v>
      </c>
      <c r="P96" s="64">
        <v>1.01</v>
      </c>
      <c r="Q96" s="64">
        <v>9.65</v>
      </c>
      <c r="R96" s="198"/>
      <c r="S96" s="198"/>
      <c r="T96" s="198"/>
      <c r="U96" s="198"/>
      <c r="Z96" s="109"/>
    </row>
    <row r="97" spans="1:33" s="12" customFormat="1" x14ac:dyDescent="0.25">
      <c r="A97" s="212" t="s">
        <v>1583</v>
      </c>
      <c r="B97" s="64">
        <v>6.57</v>
      </c>
      <c r="C97" s="64">
        <v>15.97</v>
      </c>
      <c r="D97" s="64">
        <v>13.61</v>
      </c>
      <c r="E97" s="64">
        <v>5.4</v>
      </c>
      <c r="F97" s="64">
        <v>10.18</v>
      </c>
      <c r="G97" s="64">
        <v>34.5</v>
      </c>
      <c r="H97" s="64">
        <v>19.57</v>
      </c>
      <c r="I97" s="64">
        <v>1.47</v>
      </c>
      <c r="J97" s="64">
        <v>0.43</v>
      </c>
      <c r="K97" s="64">
        <v>127.42</v>
      </c>
      <c r="L97" s="64">
        <v>26.71</v>
      </c>
      <c r="M97" s="64">
        <v>97.63</v>
      </c>
      <c r="N97" s="64">
        <v>44.2</v>
      </c>
      <c r="O97" s="64">
        <v>0</v>
      </c>
      <c r="P97" s="64">
        <v>0.44</v>
      </c>
      <c r="Q97" s="64">
        <v>9.64</v>
      </c>
      <c r="R97" s="198"/>
      <c r="S97" s="198"/>
      <c r="T97" s="198"/>
      <c r="U97" s="198"/>
    </row>
    <row r="98" spans="1:33" s="12" customFormat="1" x14ac:dyDescent="0.25">
      <c r="A98" s="212" t="s">
        <v>1584</v>
      </c>
      <c r="B98" s="64">
        <v>6.51</v>
      </c>
      <c r="C98" s="64">
        <v>13.23</v>
      </c>
      <c r="D98" s="64">
        <v>12.13</v>
      </c>
      <c r="E98" s="64">
        <v>5.16</v>
      </c>
      <c r="F98" s="64">
        <v>10.96</v>
      </c>
      <c r="G98" s="64">
        <v>34.5</v>
      </c>
      <c r="H98" s="64">
        <v>19.57</v>
      </c>
      <c r="I98" s="64">
        <v>1.51</v>
      </c>
      <c r="J98" s="64">
        <v>0.38</v>
      </c>
      <c r="K98" s="64">
        <v>130.4</v>
      </c>
      <c r="L98" s="64">
        <v>26.79</v>
      </c>
      <c r="M98" s="64">
        <v>97.62</v>
      </c>
      <c r="N98" s="64">
        <v>44.4</v>
      </c>
      <c r="O98" s="64">
        <v>0</v>
      </c>
      <c r="P98" s="64">
        <v>0.37</v>
      </c>
      <c r="Q98" s="64">
        <v>9.64</v>
      </c>
      <c r="R98" s="198"/>
      <c r="S98" s="198"/>
      <c r="T98" s="198"/>
      <c r="U98" s="198"/>
    </row>
    <row r="99" spans="1:33" s="12" customFormat="1" x14ac:dyDescent="0.25">
      <c r="A99" s="212" t="s">
        <v>1585</v>
      </c>
      <c r="B99" s="64">
        <v>18.57</v>
      </c>
      <c r="C99" s="64">
        <v>15.09</v>
      </c>
      <c r="D99" s="64">
        <v>22.74</v>
      </c>
      <c r="E99" s="64">
        <v>5.38</v>
      </c>
      <c r="F99" s="64">
        <v>8.6300000000000008</v>
      </c>
      <c r="G99" s="64">
        <v>36.78</v>
      </c>
      <c r="H99" s="64">
        <v>2.2000000000000002</v>
      </c>
      <c r="I99" s="64">
        <v>1.53</v>
      </c>
      <c r="J99" s="64">
        <v>0.35</v>
      </c>
      <c r="K99" s="64">
        <v>332.42</v>
      </c>
      <c r="L99" s="64">
        <v>26.72</v>
      </c>
      <c r="M99" s="64">
        <v>97.63</v>
      </c>
      <c r="N99" s="64">
        <v>44.5</v>
      </c>
      <c r="O99" s="64">
        <v>0</v>
      </c>
      <c r="P99" s="64">
        <v>0.69</v>
      </c>
      <c r="Q99" s="64">
        <v>9.65</v>
      </c>
      <c r="R99" s="198"/>
      <c r="S99" s="198"/>
      <c r="T99" s="198"/>
      <c r="U99" s="198"/>
    </row>
    <row r="100" spans="1:33" s="12" customFormat="1" x14ac:dyDescent="0.25">
      <c r="A100" s="212" t="s">
        <v>1586</v>
      </c>
      <c r="B100" s="64">
        <v>10.14</v>
      </c>
      <c r="C100" s="64">
        <v>16.25</v>
      </c>
      <c r="D100" s="64">
        <v>16.62</v>
      </c>
      <c r="E100" s="64">
        <v>5.47</v>
      </c>
      <c r="F100" s="64">
        <v>8.89</v>
      </c>
      <c r="G100" s="64">
        <v>36.979999999999997</v>
      </c>
      <c r="H100" s="64">
        <v>0.73</v>
      </c>
      <c r="I100" s="64">
        <v>1.53</v>
      </c>
      <c r="J100" s="64">
        <v>7.0000000000000007E-2</v>
      </c>
      <c r="K100" s="64">
        <v>344.46</v>
      </c>
      <c r="L100" s="64">
        <v>26.62</v>
      </c>
      <c r="M100" s="64">
        <v>97.63</v>
      </c>
      <c r="N100" s="64">
        <v>44.6</v>
      </c>
      <c r="O100" s="64">
        <v>0</v>
      </c>
      <c r="P100" s="64">
        <v>0.54</v>
      </c>
      <c r="Q100" s="64">
        <v>9.64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2" t="s">
        <v>1587</v>
      </c>
      <c r="B101" s="64">
        <v>8.82</v>
      </c>
      <c r="C101" s="64">
        <v>17.62</v>
      </c>
      <c r="D101" s="64">
        <v>16.28</v>
      </c>
      <c r="E101" s="64">
        <v>5.68</v>
      </c>
      <c r="F101" s="64">
        <v>7.7</v>
      </c>
      <c r="G101" s="64">
        <v>36.979999999999997</v>
      </c>
      <c r="H101" s="64">
        <v>0.73</v>
      </c>
      <c r="I101" s="64">
        <v>1.6</v>
      </c>
      <c r="J101" s="64">
        <v>0.04</v>
      </c>
      <c r="K101" s="64">
        <v>51.52</v>
      </c>
      <c r="L101" s="64">
        <v>26.51</v>
      </c>
      <c r="M101" s="64">
        <v>97.65</v>
      </c>
      <c r="N101" s="64">
        <v>44.5</v>
      </c>
      <c r="O101" s="64">
        <v>0</v>
      </c>
      <c r="P101" s="64">
        <v>0.6</v>
      </c>
      <c r="Q101" s="64">
        <v>9.6300000000000008</v>
      </c>
      <c r="R101" s="198"/>
      <c r="S101" s="198"/>
      <c r="T101" s="198"/>
      <c r="U101" s="198"/>
    </row>
    <row r="102" spans="1:33" s="12" customFormat="1" x14ac:dyDescent="0.25">
      <c r="A102" s="212" t="s">
        <v>1588</v>
      </c>
      <c r="B102" s="64">
        <v>10.09</v>
      </c>
      <c r="C102" s="64">
        <v>15.68</v>
      </c>
      <c r="D102" s="64">
        <v>16.29</v>
      </c>
      <c r="E102" s="64">
        <v>5.65</v>
      </c>
      <c r="F102" s="64">
        <v>9.39</v>
      </c>
      <c r="G102" s="64">
        <v>36.979999999999997</v>
      </c>
      <c r="H102" s="64">
        <v>0.73</v>
      </c>
      <c r="I102" s="64">
        <v>1.68</v>
      </c>
      <c r="J102" s="64">
        <v>0.13</v>
      </c>
      <c r="K102" s="64">
        <v>335.46</v>
      </c>
      <c r="L102" s="64">
        <v>26.46</v>
      </c>
      <c r="M102" s="64">
        <v>97.68</v>
      </c>
      <c r="N102" s="64">
        <v>44.5</v>
      </c>
      <c r="O102" s="64">
        <v>0</v>
      </c>
      <c r="P102" s="64">
        <v>0.75</v>
      </c>
      <c r="Q102" s="64">
        <v>9.64</v>
      </c>
      <c r="R102" s="198"/>
      <c r="S102" s="198"/>
      <c r="T102" s="198"/>
      <c r="U102" s="198"/>
    </row>
    <row r="103" spans="1:33" s="12" customFormat="1" x14ac:dyDescent="0.25">
      <c r="A103" s="212" t="s">
        <v>1589</v>
      </c>
      <c r="B103" s="64">
        <v>5.47</v>
      </c>
      <c r="C103" s="64">
        <v>13.82</v>
      </c>
      <c r="D103" s="64">
        <v>11.6</v>
      </c>
      <c r="E103" s="64">
        <v>5.51</v>
      </c>
      <c r="F103" s="64">
        <v>10.49</v>
      </c>
      <c r="G103" s="64">
        <v>41.37</v>
      </c>
      <c r="H103" s="64">
        <v>10.7</v>
      </c>
      <c r="I103" s="64">
        <v>1.6</v>
      </c>
      <c r="J103" s="64">
        <v>0.05</v>
      </c>
      <c r="K103" s="64">
        <v>134.32</v>
      </c>
      <c r="L103" s="64">
        <v>26.49</v>
      </c>
      <c r="M103" s="64">
        <v>97.67</v>
      </c>
      <c r="N103" s="64">
        <v>44.7</v>
      </c>
      <c r="O103" s="64">
        <v>0</v>
      </c>
      <c r="P103" s="64">
        <v>0.44</v>
      </c>
      <c r="Q103" s="64">
        <v>9.64</v>
      </c>
      <c r="R103" s="198"/>
      <c r="S103" s="198"/>
      <c r="T103" s="198"/>
      <c r="U103" s="198"/>
    </row>
    <row r="104" spans="1:33" s="12" customFormat="1" x14ac:dyDescent="0.25">
      <c r="A104" s="212" t="s">
        <v>1590</v>
      </c>
      <c r="B104" s="64">
        <v>7.43</v>
      </c>
      <c r="C104" s="64">
        <v>12.7</v>
      </c>
      <c r="D104" s="64">
        <v>12.59</v>
      </c>
      <c r="E104" s="64">
        <v>4.0999999999999996</v>
      </c>
      <c r="F104" s="64">
        <v>9.82</v>
      </c>
      <c r="G104" s="64">
        <v>41.74</v>
      </c>
      <c r="H104" s="64">
        <v>11.54</v>
      </c>
      <c r="I104" s="64">
        <v>1.68</v>
      </c>
      <c r="J104" s="64">
        <v>0.05</v>
      </c>
      <c r="K104" s="64">
        <v>17.62</v>
      </c>
      <c r="L104" s="64">
        <v>26.54</v>
      </c>
      <c r="M104" s="64">
        <v>97.65</v>
      </c>
      <c r="N104" s="64">
        <v>44.8</v>
      </c>
      <c r="O104" s="64">
        <v>0</v>
      </c>
      <c r="P104" s="64">
        <v>0.51</v>
      </c>
      <c r="Q104" s="64">
        <v>9.6300000000000008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4.82</v>
      </c>
      <c r="C106" s="67">
        <f>MIN(C9:C104)</f>
        <v>4.09</v>
      </c>
      <c r="D106" s="67">
        <f t="shared" ref="D106:Q106" si="0">MIN(D9:D104)</f>
        <v>7.51</v>
      </c>
      <c r="E106" s="67">
        <f t="shared" si="0"/>
        <v>4.0999999999999996</v>
      </c>
      <c r="F106" s="67">
        <f t="shared" si="0"/>
        <v>4.0999999999999996</v>
      </c>
      <c r="G106" s="67">
        <f t="shared" si="0"/>
        <v>11.92</v>
      </c>
      <c r="H106" s="67">
        <f t="shared" si="0"/>
        <v>0.73</v>
      </c>
      <c r="I106" s="67">
        <f t="shared" si="0"/>
        <v>0.92</v>
      </c>
      <c r="J106" s="67">
        <f t="shared" si="0"/>
        <v>0.01</v>
      </c>
      <c r="K106" s="67">
        <f t="shared" si="0"/>
        <v>13.16</v>
      </c>
      <c r="L106" s="67">
        <f t="shared" si="0"/>
        <v>23.69</v>
      </c>
      <c r="M106" s="67">
        <f t="shared" si="0"/>
        <v>74.89</v>
      </c>
      <c r="N106" s="67">
        <f t="shared" si="0"/>
        <v>43.8</v>
      </c>
      <c r="O106" s="67">
        <f t="shared" si="0"/>
        <v>0</v>
      </c>
      <c r="P106" s="67">
        <f t="shared" si="0"/>
        <v>0.17</v>
      </c>
      <c r="Q106" s="67">
        <f t="shared" si="0"/>
        <v>9.6199999999999992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20.95</v>
      </c>
      <c r="C107" s="66">
        <f t="shared" ref="C107:Q107" si="1">MAX(C9:C104)</f>
        <v>22.28</v>
      </c>
      <c r="D107" s="66">
        <f t="shared" si="1"/>
        <v>25.17</v>
      </c>
      <c r="E107" s="66">
        <f t="shared" si="1"/>
        <v>5.76</v>
      </c>
      <c r="F107" s="66">
        <f t="shared" si="1"/>
        <v>14.68</v>
      </c>
      <c r="G107" s="66">
        <f t="shared" si="1"/>
        <v>54.21</v>
      </c>
      <c r="H107" s="66">
        <f t="shared" si="1"/>
        <v>96.9</v>
      </c>
      <c r="I107" s="66">
        <f t="shared" si="1"/>
        <v>2.2000000000000002</v>
      </c>
      <c r="J107" s="66">
        <f t="shared" si="1"/>
        <v>1.42</v>
      </c>
      <c r="K107" s="66">
        <f t="shared" si="1"/>
        <v>359.09</v>
      </c>
      <c r="L107" s="66">
        <f t="shared" si="1"/>
        <v>30.5</v>
      </c>
      <c r="M107" s="66">
        <f t="shared" si="1"/>
        <v>97.82</v>
      </c>
      <c r="N107" s="66">
        <f t="shared" si="1"/>
        <v>791.7</v>
      </c>
      <c r="O107" s="66">
        <f t="shared" si="1"/>
        <v>0</v>
      </c>
      <c r="P107" s="66">
        <f t="shared" si="1"/>
        <v>1.17</v>
      </c>
      <c r="Q107" s="66">
        <f t="shared" si="1"/>
        <v>9.69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9.9818750000000041</v>
      </c>
      <c r="C108" s="67">
        <f t="shared" ref="C108:Q108" si="2">AVERAGE(C9:C104)</f>
        <v>9.9767708333333331</v>
      </c>
      <c r="D108" s="67">
        <f t="shared" si="2"/>
        <v>13.146354166666663</v>
      </c>
      <c r="E108" s="67">
        <f t="shared" si="2"/>
        <v>5.2670833333333338</v>
      </c>
      <c r="F108" s="67">
        <f t="shared" si="2"/>
        <v>9.0094791666666705</v>
      </c>
      <c r="G108" s="67">
        <f t="shared" si="2"/>
        <v>23.0978125</v>
      </c>
      <c r="H108" s="67">
        <f t="shared" si="2"/>
        <v>9.235729166666669</v>
      </c>
      <c r="I108" s="67">
        <f t="shared" si="2"/>
        <v>1.3388541666666669</v>
      </c>
      <c r="J108" s="67">
        <f t="shared" si="2"/>
        <v>0.43010416666666657</v>
      </c>
      <c r="K108" s="67">
        <f t="shared" si="2"/>
        <v>177.19958333333332</v>
      </c>
      <c r="L108" s="67">
        <f t="shared" si="2"/>
        <v>26.659583333333327</v>
      </c>
      <c r="M108" s="67">
        <f t="shared" si="2"/>
        <v>91.58499999999998</v>
      </c>
      <c r="N108" s="67">
        <f t="shared" si="2"/>
        <v>183.96874999999986</v>
      </c>
      <c r="O108" s="67">
        <f t="shared" si="2"/>
        <v>0</v>
      </c>
      <c r="P108" s="67">
        <f t="shared" si="2"/>
        <v>0.38843749999999999</v>
      </c>
      <c r="Q108" s="67">
        <f t="shared" si="2"/>
        <v>9.6485416666666648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3.1706314537942384</v>
      </c>
      <c r="C109" s="67">
        <f t="shared" ref="C109:Q109" si="3">STDEV(C9:C104)</f>
        <v>5.2595664209517814</v>
      </c>
      <c r="D109" s="67">
        <f t="shared" si="3"/>
        <v>4.3476965758147061</v>
      </c>
      <c r="E109" s="67">
        <f t="shared" si="3"/>
        <v>0.23826529515897402</v>
      </c>
      <c r="F109" s="67">
        <f t="shared" si="3"/>
        <v>2.4744651180838981</v>
      </c>
      <c r="G109" s="67">
        <f t="shared" si="3"/>
        <v>10.530529671601213</v>
      </c>
      <c r="H109" s="67">
        <f t="shared" si="3"/>
        <v>18.455598479924539</v>
      </c>
      <c r="I109" s="67">
        <f t="shared" si="3"/>
        <v>0.31067623964055069</v>
      </c>
      <c r="J109" s="67">
        <f t="shared" si="3"/>
        <v>0.38713929165140415</v>
      </c>
      <c r="K109" s="67">
        <f t="shared" si="3"/>
        <v>97.037184288093371</v>
      </c>
      <c r="L109" s="67">
        <f t="shared" si="3"/>
        <v>2.1052440371938714</v>
      </c>
      <c r="M109" s="67">
        <f t="shared" si="3"/>
        <v>7.4908622228756334</v>
      </c>
      <c r="N109" s="67">
        <f t="shared" si="3"/>
        <v>198.37676504040181</v>
      </c>
      <c r="O109" s="67">
        <f t="shared" si="3"/>
        <v>0</v>
      </c>
      <c r="P109" s="67">
        <f t="shared" si="3"/>
        <v>0.18982722407494662</v>
      </c>
      <c r="Q109" s="67">
        <f t="shared" si="3"/>
        <v>1.7650356589012234E-2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216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7" sqref="G1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15/08/2025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2" t="s">
        <v>1591</v>
      </c>
      <c r="B9" s="64">
        <v>6.32</v>
      </c>
      <c r="C9" s="64">
        <v>12.97</v>
      </c>
      <c r="D9" s="64">
        <v>11.85</v>
      </c>
      <c r="E9" s="64">
        <v>3.76</v>
      </c>
      <c r="F9" s="64">
        <v>11</v>
      </c>
      <c r="G9" s="64">
        <v>41.74</v>
      </c>
      <c r="H9" s="64">
        <v>11.54</v>
      </c>
      <c r="I9" s="64">
        <v>1.73</v>
      </c>
      <c r="J9" s="64">
        <v>0.1</v>
      </c>
      <c r="K9" s="64">
        <v>156.57</v>
      </c>
      <c r="L9" s="64">
        <v>26.53</v>
      </c>
      <c r="M9" s="64">
        <v>97.65</v>
      </c>
      <c r="N9" s="64">
        <v>44.9</v>
      </c>
      <c r="O9" s="64">
        <v>0</v>
      </c>
      <c r="P9" s="64">
        <v>0.41</v>
      </c>
      <c r="Q9" s="64">
        <v>9.6300000000000008</v>
      </c>
      <c r="R9" s="198"/>
      <c r="S9" s="198"/>
      <c r="T9" s="198"/>
      <c r="U9" s="198"/>
    </row>
    <row r="10" spans="1:21" s="12" customFormat="1" x14ac:dyDescent="0.25">
      <c r="A10" s="212" t="s">
        <v>1592</v>
      </c>
      <c r="B10" s="64">
        <v>6.25</v>
      </c>
      <c r="C10" s="64">
        <v>9.44</v>
      </c>
      <c r="D10" s="64">
        <v>9.9499999999999993</v>
      </c>
      <c r="E10" s="64">
        <v>3.64</v>
      </c>
      <c r="F10" s="64">
        <v>10.32</v>
      </c>
      <c r="G10" s="64">
        <v>41.74</v>
      </c>
      <c r="H10" s="64">
        <v>11.54</v>
      </c>
      <c r="I10" s="64">
        <v>1.7</v>
      </c>
      <c r="J10" s="64">
        <v>0.18</v>
      </c>
      <c r="K10" s="64">
        <v>131.66999999999999</v>
      </c>
      <c r="L10" s="64">
        <v>26.45</v>
      </c>
      <c r="M10" s="64">
        <v>97.66</v>
      </c>
      <c r="N10" s="64">
        <v>44.9</v>
      </c>
      <c r="O10" s="64">
        <v>0</v>
      </c>
      <c r="P10" s="64">
        <v>0.39</v>
      </c>
      <c r="Q10" s="64">
        <v>9.66</v>
      </c>
      <c r="R10" s="198"/>
      <c r="S10" s="198"/>
      <c r="T10" s="198"/>
      <c r="U10" s="198"/>
    </row>
    <row r="11" spans="1:21" s="12" customFormat="1" x14ac:dyDescent="0.25">
      <c r="A11" s="212" t="s">
        <v>1593</v>
      </c>
      <c r="B11" s="64">
        <v>6.03</v>
      </c>
      <c r="C11" s="64">
        <v>9.89</v>
      </c>
      <c r="D11" s="64">
        <v>10</v>
      </c>
      <c r="E11" s="64">
        <v>3.62</v>
      </c>
      <c r="F11" s="64">
        <v>10.8</v>
      </c>
      <c r="G11" s="64">
        <v>36.090000000000003</v>
      </c>
      <c r="H11" s="64">
        <v>5.37</v>
      </c>
      <c r="I11" s="64">
        <v>1.68</v>
      </c>
      <c r="J11" s="64">
        <v>0.11</v>
      </c>
      <c r="K11" s="64">
        <v>330.39</v>
      </c>
      <c r="L11" s="64">
        <v>26.31</v>
      </c>
      <c r="M11" s="64">
        <v>97.68</v>
      </c>
      <c r="N11" s="64">
        <v>44.9</v>
      </c>
      <c r="O11" s="64">
        <v>0</v>
      </c>
      <c r="P11" s="64">
        <v>0.4</v>
      </c>
      <c r="Q11" s="64">
        <v>9.64</v>
      </c>
      <c r="R11" s="198"/>
      <c r="S11" s="198"/>
      <c r="T11" s="198"/>
      <c r="U11" s="198"/>
    </row>
    <row r="12" spans="1:21" s="12" customFormat="1" x14ac:dyDescent="0.25">
      <c r="A12" s="212" t="s">
        <v>1594</v>
      </c>
      <c r="B12" s="64">
        <v>6.5</v>
      </c>
      <c r="C12" s="64">
        <v>11</v>
      </c>
      <c r="D12" s="64">
        <v>10.96</v>
      </c>
      <c r="E12" s="64">
        <v>4</v>
      </c>
      <c r="F12" s="64">
        <v>10.71</v>
      </c>
      <c r="G12" s="64">
        <v>35.619999999999997</v>
      </c>
      <c r="H12" s="64">
        <v>4.8499999999999996</v>
      </c>
      <c r="I12" s="64">
        <v>1.65</v>
      </c>
      <c r="J12" s="64">
        <v>0.35</v>
      </c>
      <c r="K12" s="64">
        <v>337.26</v>
      </c>
      <c r="L12" s="64">
        <v>26.34</v>
      </c>
      <c r="M12" s="64">
        <v>97.68</v>
      </c>
      <c r="N12" s="64">
        <v>44.9</v>
      </c>
      <c r="O12" s="64">
        <v>0</v>
      </c>
      <c r="P12" s="64">
        <v>0.39</v>
      </c>
      <c r="Q12" s="64">
        <v>9.66</v>
      </c>
      <c r="R12" s="198"/>
      <c r="S12" s="198"/>
      <c r="T12" s="198"/>
      <c r="U12" s="198"/>
    </row>
    <row r="13" spans="1:21" s="12" customFormat="1" x14ac:dyDescent="0.25">
      <c r="A13" s="212" t="s">
        <v>1595</v>
      </c>
      <c r="B13" s="64">
        <v>5.67</v>
      </c>
      <c r="C13" s="64">
        <v>10.38</v>
      </c>
      <c r="D13" s="64">
        <v>9.9700000000000006</v>
      </c>
      <c r="E13" s="64">
        <v>3.79</v>
      </c>
      <c r="F13" s="64">
        <v>9.09</v>
      </c>
      <c r="G13" s="64">
        <v>35.619999999999997</v>
      </c>
      <c r="H13" s="64">
        <v>4.8499999999999996</v>
      </c>
      <c r="I13" s="64">
        <v>1.65</v>
      </c>
      <c r="J13" s="64">
        <v>0.09</v>
      </c>
      <c r="K13" s="64">
        <v>135.02000000000001</v>
      </c>
      <c r="L13" s="64">
        <v>26.17</v>
      </c>
      <c r="M13" s="64">
        <v>97.7</v>
      </c>
      <c r="N13" s="64">
        <v>44.9</v>
      </c>
      <c r="O13" s="64">
        <v>0</v>
      </c>
      <c r="P13" s="64">
        <v>0.28999999999999998</v>
      </c>
      <c r="Q13" s="64">
        <v>9.66</v>
      </c>
      <c r="R13" s="198"/>
      <c r="S13" s="198"/>
      <c r="T13" s="198"/>
      <c r="U13" s="198"/>
    </row>
    <row r="14" spans="1:21" s="12" customFormat="1" x14ac:dyDescent="0.25">
      <c r="A14" s="212" t="s">
        <v>1596</v>
      </c>
      <c r="B14" s="64">
        <v>5.14</v>
      </c>
      <c r="C14" s="64">
        <v>9.1999999999999993</v>
      </c>
      <c r="D14" s="64">
        <v>8.93</v>
      </c>
      <c r="E14" s="64">
        <v>3.56</v>
      </c>
      <c r="F14" s="64">
        <v>9.07</v>
      </c>
      <c r="G14" s="64">
        <v>35.619999999999997</v>
      </c>
      <c r="H14" s="64">
        <v>4.8499999999999996</v>
      </c>
      <c r="I14" s="64">
        <v>1.65</v>
      </c>
      <c r="J14" s="64">
        <v>0.06</v>
      </c>
      <c r="K14" s="64">
        <v>148.96</v>
      </c>
      <c r="L14" s="64">
        <v>25.93</v>
      </c>
      <c r="M14" s="64">
        <v>97.71</v>
      </c>
      <c r="N14" s="64">
        <v>44.9</v>
      </c>
      <c r="O14" s="64">
        <v>0</v>
      </c>
      <c r="P14" s="64">
        <v>0.25</v>
      </c>
      <c r="Q14" s="64">
        <v>9.64</v>
      </c>
      <c r="R14" s="198"/>
      <c r="S14" s="198"/>
      <c r="T14" s="198"/>
      <c r="U14" s="198"/>
    </row>
    <row r="15" spans="1:21" s="12" customFormat="1" x14ac:dyDescent="0.25">
      <c r="A15" s="212" t="s">
        <v>1597</v>
      </c>
      <c r="B15" s="64">
        <v>5.67</v>
      </c>
      <c r="C15" s="64">
        <v>7.93</v>
      </c>
      <c r="D15" s="64">
        <v>8.69</v>
      </c>
      <c r="E15" s="64">
        <v>3.55</v>
      </c>
      <c r="F15" s="64">
        <v>8.34</v>
      </c>
      <c r="G15" s="64">
        <v>34.28</v>
      </c>
      <c r="H15" s="64">
        <v>8.0399999999999991</v>
      </c>
      <c r="I15" s="64">
        <v>1.65</v>
      </c>
      <c r="J15" s="64">
        <v>0.02</v>
      </c>
      <c r="K15" s="64">
        <v>198.1</v>
      </c>
      <c r="L15" s="64">
        <v>25.7</v>
      </c>
      <c r="M15" s="64">
        <v>97.73</v>
      </c>
      <c r="N15" s="64">
        <v>44.9</v>
      </c>
      <c r="O15" s="64">
        <v>0</v>
      </c>
      <c r="P15" s="64">
        <v>0.27</v>
      </c>
      <c r="Q15" s="64">
        <v>9.65</v>
      </c>
      <c r="R15" s="198"/>
      <c r="S15" s="198"/>
      <c r="T15" s="198"/>
      <c r="U15" s="198"/>
    </row>
    <row r="16" spans="1:21" s="12" customFormat="1" x14ac:dyDescent="0.25">
      <c r="A16" s="212" t="s">
        <v>1598</v>
      </c>
      <c r="B16" s="64">
        <v>4.97</v>
      </c>
      <c r="C16" s="64">
        <v>8.0500000000000007</v>
      </c>
      <c r="D16" s="64">
        <v>8.19</v>
      </c>
      <c r="E16" s="64">
        <v>3.46</v>
      </c>
      <c r="F16" s="64">
        <v>7.94</v>
      </c>
      <c r="G16" s="64">
        <v>34.159999999999997</v>
      </c>
      <c r="H16" s="64">
        <v>8.31</v>
      </c>
      <c r="I16" s="64">
        <v>1.62</v>
      </c>
      <c r="J16" s="64">
        <v>0.05</v>
      </c>
      <c r="K16" s="64">
        <v>119.97</v>
      </c>
      <c r="L16" s="64">
        <v>25.47</v>
      </c>
      <c r="M16" s="64">
        <v>97.75</v>
      </c>
      <c r="N16" s="64">
        <v>44.9</v>
      </c>
      <c r="O16" s="64">
        <v>0</v>
      </c>
      <c r="P16" s="64">
        <v>0.22</v>
      </c>
      <c r="Q16" s="64">
        <v>9.64</v>
      </c>
      <c r="R16" s="198"/>
      <c r="S16" s="198"/>
      <c r="T16" s="198"/>
      <c r="U16" s="198"/>
    </row>
    <row r="17" spans="1:21" s="12" customFormat="1" x14ac:dyDescent="0.25">
      <c r="A17" s="212" t="s">
        <v>1599</v>
      </c>
      <c r="B17" s="64">
        <v>5.17</v>
      </c>
      <c r="C17" s="64">
        <v>8.39</v>
      </c>
      <c r="D17" s="64">
        <v>8.5299999999999994</v>
      </c>
      <c r="E17" s="64">
        <v>3.34</v>
      </c>
      <c r="F17" s="64">
        <v>7.57</v>
      </c>
      <c r="G17" s="64">
        <v>34.159999999999997</v>
      </c>
      <c r="H17" s="64">
        <v>8.31</v>
      </c>
      <c r="I17" s="64">
        <v>1.61</v>
      </c>
      <c r="J17" s="64">
        <v>0.28999999999999998</v>
      </c>
      <c r="K17" s="64">
        <v>125.74</v>
      </c>
      <c r="L17" s="64">
        <v>25.33</v>
      </c>
      <c r="M17" s="64">
        <v>97.76</v>
      </c>
      <c r="N17" s="64">
        <v>44.9</v>
      </c>
      <c r="O17" s="64">
        <v>0</v>
      </c>
      <c r="P17" s="64">
        <v>0.23</v>
      </c>
      <c r="Q17" s="64">
        <v>9.65</v>
      </c>
      <c r="R17" s="198"/>
      <c r="S17" s="198"/>
      <c r="T17" s="198"/>
      <c r="U17" s="198"/>
    </row>
    <row r="18" spans="1:21" s="12" customFormat="1" x14ac:dyDescent="0.25">
      <c r="A18" s="212" t="s">
        <v>1600</v>
      </c>
      <c r="B18" s="64">
        <v>5.65</v>
      </c>
      <c r="C18" s="64">
        <v>8.0299999999999994</v>
      </c>
      <c r="D18" s="64">
        <v>8.73</v>
      </c>
      <c r="E18" s="64">
        <v>3.38</v>
      </c>
      <c r="F18" s="64">
        <v>6.18</v>
      </c>
      <c r="G18" s="64">
        <v>34.159999999999997</v>
      </c>
      <c r="H18" s="64">
        <v>8.31</v>
      </c>
      <c r="I18" s="64">
        <v>1.6</v>
      </c>
      <c r="J18" s="64">
        <v>0.12</v>
      </c>
      <c r="K18" s="64">
        <v>135.69999999999999</v>
      </c>
      <c r="L18" s="64">
        <v>25.28</v>
      </c>
      <c r="M18" s="64">
        <v>97.78</v>
      </c>
      <c r="N18" s="64">
        <v>44.9</v>
      </c>
      <c r="O18" s="64">
        <v>0</v>
      </c>
      <c r="P18" s="64">
        <v>0.25</v>
      </c>
      <c r="Q18" s="64">
        <v>9.66</v>
      </c>
      <c r="R18" s="198"/>
      <c r="S18" s="198"/>
      <c r="T18" s="198"/>
      <c r="U18" s="198"/>
    </row>
    <row r="19" spans="1:21" s="12" customFormat="1" x14ac:dyDescent="0.25">
      <c r="A19" s="212" t="s">
        <v>1601</v>
      </c>
      <c r="B19" s="64">
        <v>7.12</v>
      </c>
      <c r="C19" s="64">
        <v>8.76</v>
      </c>
      <c r="D19" s="64">
        <v>10.29</v>
      </c>
      <c r="E19" s="64">
        <v>3.34</v>
      </c>
      <c r="F19" s="64">
        <v>5.52</v>
      </c>
      <c r="G19" s="64">
        <v>36.25</v>
      </c>
      <c r="H19" s="64">
        <v>15.71</v>
      </c>
      <c r="I19" s="64">
        <v>1.57</v>
      </c>
      <c r="J19" s="64">
        <v>0</v>
      </c>
      <c r="K19" s="64">
        <v>159.13999999999999</v>
      </c>
      <c r="L19" s="64">
        <v>25.31</v>
      </c>
      <c r="M19" s="64">
        <v>97.76</v>
      </c>
      <c r="N19" s="64">
        <v>44.9</v>
      </c>
      <c r="O19" s="64">
        <v>0</v>
      </c>
      <c r="P19" s="64">
        <v>0.25</v>
      </c>
      <c r="Q19" s="64">
        <v>9.66</v>
      </c>
      <c r="R19" s="198"/>
      <c r="S19" s="198"/>
      <c r="T19" s="198"/>
      <c r="U19" s="198"/>
    </row>
    <row r="20" spans="1:21" s="12" customFormat="1" x14ac:dyDescent="0.25">
      <c r="A20" s="212" t="s">
        <v>1602</v>
      </c>
      <c r="B20" s="64">
        <v>6.89</v>
      </c>
      <c r="C20" s="64">
        <v>9.18</v>
      </c>
      <c r="D20" s="64">
        <v>10.32</v>
      </c>
      <c r="E20" s="64">
        <v>3.47</v>
      </c>
      <c r="F20" s="64">
        <v>3.68</v>
      </c>
      <c r="G20" s="64">
        <v>36.43</v>
      </c>
      <c r="H20" s="64">
        <v>16.34</v>
      </c>
      <c r="I20" s="64">
        <v>1.55</v>
      </c>
      <c r="J20" s="64">
        <v>0.11</v>
      </c>
      <c r="K20" s="64">
        <v>150.84</v>
      </c>
      <c r="L20" s="64">
        <v>25.27</v>
      </c>
      <c r="M20" s="64">
        <v>97.75</v>
      </c>
      <c r="N20" s="64">
        <v>44.9</v>
      </c>
      <c r="O20" s="64">
        <v>0</v>
      </c>
      <c r="P20" s="64">
        <v>0.26</v>
      </c>
      <c r="Q20" s="64">
        <v>9.6199999999999992</v>
      </c>
      <c r="R20" s="198"/>
      <c r="S20" s="198"/>
      <c r="T20" s="198"/>
      <c r="U20" s="198"/>
    </row>
    <row r="21" spans="1:21" s="12" customFormat="1" x14ac:dyDescent="0.25">
      <c r="A21" s="212" t="s">
        <v>1603</v>
      </c>
      <c r="B21" s="64">
        <v>6.99</v>
      </c>
      <c r="C21" s="64">
        <v>11.19</v>
      </c>
      <c r="D21" s="64">
        <v>11.45</v>
      </c>
      <c r="E21" s="64">
        <v>3.15</v>
      </c>
      <c r="F21" s="64">
        <v>3.39</v>
      </c>
      <c r="G21" s="64">
        <v>36.43</v>
      </c>
      <c r="H21" s="64">
        <v>16.34</v>
      </c>
      <c r="I21" s="64">
        <v>1.59</v>
      </c>
      <c r="J21" s="64">
        <v>0.09</v>
      </c>
      <c r="K21" s="64">
        <v>85.49</v>
      </c>
      <c r="L21" s="64">
        <v>25.1</v>
      </c>
      <c r="M21" s="64">
        <v>97.76</v>
      </c>
      <c r="N21" s="64">
        <v>44.9</v>
      </c>
      <c r="O21" s="64">
        <v>0</v>
      </c>
      <c r="P21" s="64">
        <v>0.27</v>
      </c>
      <c r="Q21" s="64">
        <v>9.6199999999999992</v>
      </c>
      <c r="R21" s="198"/>
      <c r="S21" s="198"/>
      <c r="T21" s="198"/>
      <c r="U21" s="198"/>
    </row>
    <row r="22" spans="1:21" s="12" customFormat="1" x14ac:dyDescent="0.25">
      <c r="A22" s="212" t="s">
        <v>1604</v>
      </c>
      <c r="B22" s="64">
        <v>10.8</v>
      </c>
      <c r="C22" s="64">
        <v>17.600000000000001</v>
      </c>
      <c r="D22" s="64">
        <v>17.86</v>
      </c>
      <c r="E22" s="64">
        <v>3.2</v>
      </c>
      <c r="F22" s="64">
        <v>2.85</v>
      </c>
      <c r="G22" s="64">
        <v>36.43</v>
      </c>
      <c r="H22" s="64">
        <v>16.34</v>
      </c>
      <c r="I22" s="64">
        <v>1.66</v>
      </c>
      <c r="J22" s="64">
        <v>0.4</v>
      </c>
      <c r="K22" s="64">
        <v>337.77</v>
      </c>
      <c r="L22" s="64">
        <v>25.08</v>
      </c>
      <c r="M22" s="64">
        <v>97.74</v>
      </c>
      <c r="N22" s="64">
        <v>45.2</v>
      </c>
      <c r="O22" s="64">
        <v>0</v>
      </c>
      <c r="P22" s="64">
        <v>0.24</v>
      </c>
      <c r="Q22" s="64">
        <v>9.6300000000000008</v>
      </c>
      <c r="R22" s="198"/>
      <c r="S22" s="198"/>
      <c r="T22" s="198"/>
      <c r="U22" s="198"/>
    </row>
    <row r="23" spans="1:21" s="12" customFormat="1" x14ac:dyDescent="0.25">
      <c r="A23" s="212" t="s">
        <v>1605</v>
      </c>
      <c r="B23" s="64">
        <v>16.53</v>
      </c>
      <c r="C23" s="64">
        <v>13.87</v>
      </c>
      <c r="D23" s="64">
        <v>20.5</v>
      </c>
      <c r="E23" s="64">
        <v>3.31</v>
      </c>
      <c r="F23" s="64">
        <v>2.8</v>
      </c>
      <c r="G23" s="64">
        <v>31.8</v>
      </c>
      <c r="H23" s="64">
        <v>6.97</v>
      </c>
      <c r="I23" s="64">
        <v>1.57</v>
      </c>
      <c r="J23" s="64">
        <v>0.08</v>
      </c>
      <c r="K23" s="64">
        <v>25.25</v>
      </c>
      <c r="L23" s="64">
        <v>25.04</v>
      </c>
      <c r="M23" s="64">
        <v>97.71</v>
      </c>
      <c r="N23" s="64">
        <v>45.1</v>
      </c>
      <c r="O23" s="64">
        <v>0</v>
      </c>
      <c r="P23" s="64">
        <v>0.21</v>
      </c>
      <c r="Q23" s="64">
        <v>9.6300000000000008</v>
      </c>
      <c r="R23" s="198"/>
      <c r="S23" s="198"/>
      <c r="T23" s="198"/>
      <c r="U23" s="198"/>
    </row>
    <row r="24" spans="1:21" s="12" customFormat="1" x14ac:dyDescent="0.25">
      <c r="A24" s="212" t="s">
        <v>1606</v>
      </c>
      <c r="B24" s="64">
        <v>12.35</v>
      </c>
      <c r="C24" s="64">
        <v>14.12</v>
      </c>
      <c r="D24" s="64">
        <v>17.28</v>
      </c>
      <c r="E24" s="64">
        <v>3.56</v>
      </c>
      <c r="F24" s="64">
        <v>3.15</v>
      </c>
      <c r="G24" s="64">
        <v>31.41</v>
      </c>
      <c r="H24" s="64">
        <v>6.18</v>
      </c>
      <c r="I24" s="64">
        <v>1.68</v>
      </c>
      <c r="J24" s="64">
        <v>0.05</v>
      </c>
      <c r="K24" s="64">
        <v>166.93</v>
      </c>
      <c r="L24" s="64">
        <v>25.01</v>
      </c>
      <c r="M24" s="64">
        <v>97.7</v>
      </c>
      <c r="N24" s="64">
        <v>45.2</v>
      </c>
      <c r="O24" s="64">
        <v>0</v>
      </c>
      <c r="P24" s="64">
        <v>0.21</v>
      </c>
      <c r="Q24" s="64">
        <v>9.6300000000000008</v>
      </c>
      <c r="R24" s="198"/>
      <c r="S24" s="198"/>
      <c r="T24" s="198"/>
      <c r="U24" s="198"/>
    </row>
    <row r="25" spans="1:21" s="12" customFormat="1" x14ac:dyDescent="0.25">
      <c r="A25" s="212" t="s">
        <v>1607</v>
      </c>
      <c r="B25" s="64">
        <v>9.7899999999999991</v>
      </c>
      <c r="C25" s="64">
        <v>15.78</v>
      </c>
      <c r="D25" s="64">
        <v>16.100000000000001</v>
      </c>
      <c r="E25" s="64">
        <v>3.58</v>
      </c>
      <c r="F25" s="64">
        <v>3.04</v>
      </c>
      <c r="G25" s="64">
        <v>31.41</v>
      </c>
      <c r="H25" s="64">
        <v>6.18</v>
      </c>
      <c r="I25" s="64">
        <v>1.68</v>
      </c>
      <c r="J25" s="64">
        <v>0.26</v>
      </c>
      <c r="K25" s="64">
        <v>121.02</v>
      </c>
      <c r="L25" s="64">
        <v>24.88</v>
      </c>
      <c r="M25" s="64">
        <v>97.71</v>
      </c>
      <c r="N25" s="64">
        <v>45.3</v>
      </c>
      <c r="O25" s="64">
        <v>0</v>
      </c>
      <c r="P25" s="64">
        <v>0.23</v>
      </c>
      <c r="Q25" s="64">
        <v>9.6300000000000008</v>
      </c>
      <c r="R25" s="198"/>
      <c r="S25" s="198"/>
      <c r="T25" s="198"/>
      <c r="U25" s="198"/>
    </row>
    <row r="26" spans="1:21" s="12" customFormat="1" x14ac:dyDescent="0.25">
      <c r="A26" s="212" t="s">
        <v>1608</v>
      </c>
      <c r="B26" s="64">
        <v>10.02</v>
      </c>
      <c r="C26" s="64">
        <v>14.89</v>
      </c>
      <c r="D26" s="64">
        <v>15.82</v>
      </c>
      <c r="E26" s="64">
        <v>3.53</v>
      </c>
      <c r="F26" s="64">
        <v>2.4700000000000002</v>
      </c>
      <c r="G26" s="64">
        <v>31.41</v>
      </c>
      <c r="H26" s="64">
        <v>6.18</v>
      </c>
      <c r="I26" s="64">
        <v>1.65</v>
      </c>
      <c r="J26" s="64">
        <v>0.06</v>
      </c>
      <c r="K26" s="64">
        <v>128.83000000000001</v>
      </c>
      <c r="L26" s="64">
        <v>24.86</v>
      </c>
      <c r="M26" s="64">
        <v>97.72</v>
      </c>
      <c r="N26" s="64">
        <v>45.3</v>
      </c>
      <c r="O26" s="64">
        <v>0</v>
      </c>
      <c r="P26" s="64">
        <v>0.23</v>
      </c>
      <c r="Q26" s="64">
        <v>9.6300000000000008</v>
      </c>
      <c r="R26" s="198"/>
      <c r="S26" s="198"/>
      <c r="T26" s="198"/>
      <c r="U26" s="198"/>
    </row>
    <row r="27" spans="1:21" s="12" customFormat="1" x14ac:dyDescent="0.25">
      <c r="A27" s="212" t="s">
        <v>1609</v>
      </c>
      <c r="B27" s="64">
        <v>11.23</v>
      </c>
      <c r="C27" s="64">
        <v>15.05</v>
      </c>
      <c r="D27" s="64">
        <v>16.87</v>
      </c>
      <c r="E27" s="64">
        <v>3.55</v>
      </c>
      <c r="F27" s="64">
        <v>2.4</v>
      </c>
      <c r="G27" s="64">
        <v>26.34</v>
      </c>
      <c r="H27" s="64">
        <v>19.61</v>
      </c>
      <c r="I27" s="64">
        <v>1.6</v>
      </c>
      <c r="J27" s="64">
        <v>0.34</v>
      </c>
      <c r="K27" s="64">
        <v>341.03</v>
      </c>
      <c r="L27" s="64">
        <v>24.86</v>
      </c>
      <c r="M27" s="64">
        <v>97.71</v>
      </c>
      <c r="N27" s="64">
        <v>45.2</v>
      </c>
      <c r="O27" s="64">
        <v>0</v>
      </c>
      <c r="P27" s="64">
        <v>0.26</v>
      </c>
      <c r="Q27" s="64">
        <v>9.65</v>
      </c>
      <c r="R27" s="198"/>
      <c r="S27" s="198"/>
      <c r="T27" s="198"/>
      <c r="U27" s="198"/>
    </row>
    <row r="28" spans="1:21" s="12" customFormat="1" x14ac:dyDescent="0.25">
      <c r="A28" s="212" t="s">
        <v>1610</v>
      </c>
      <c r="B28" s="64">
        <v>13.49</v>
      </c>
      <c r="C28" s="64">
        <v>14.82</v>
      </c>
      <c r="D28" s="64">
        <v>18.559999999999999</v>
      </c>
      <c r="E28" s="64">
        <v>3.54</v>
      </c>
      <c r="F28" s="64">
        <v>3.37</v>
      </c>
      <c r="G28" s="64">
        <v>25.91</v>
      </c>
      <c r="H28" s="64">
        <v>20.74</v>
      </c>
      <c r="I28" s="64">
        <v>1.55</v>
      </c>
      <c r="J28" s="64">
        <v>0.51</v>
      </c>
      <c r="K28" s="64">
        <v>340.64</v>
      </c>
      <c r="L28" s="64">
        <v>24.81</v>
      </c>
      <c r="M28" s="64">
        <v>97.75</v>
      </c>
      <c r="N28" s="64">
        <v>45.1</v>
      </c>
      <c r="O28" s="64">
        <v>0</v>
      </c>
      <c r="P28" s="64">
        <v>0.27</v>
      </c>
      <c r="Q28" s="64">
        <v>9.64</v>
      </c>
      <c r="R28" s="198"/>
      <c r="S28" s="198"/>
      <c r="T28" s="198"/>
      <c r="U28" s="198"/>
    </row>
    <row r="29" spans="1:21" s="12" customFormat="1" x14ac:dyDescent="0.25">
      <c r="A29" s="212" t="s">
        <v>1611</v>
      </c>
      <c r="B29" s="64">
        <v>11.3</v>
      </c>
      <c r="C29" s="64">
        <v>13.76</v>
      </c>
      <c r="D29" s="64">
        <v>16.25</v>
      </c>
      <c r="E29" s="64">
        <v>3.31</v>
      </c>
      <c r="F29" s="64">
        <v>3.77</v>
      </c>
      <c r="G29" s="64">
        <v>25.91</v>
      </c>
      <c r="H29" s="64">
        <v>20.74</v>
      </c>
      <c r="I29" s="64">
        <v>1.51</v>
      </c>
      <c r="J29" s="64">
        <v>0.35</v>
      </c>
      <c r="K29" s="64">
        <v>333.96</v>
      </c>
      <c r="L29" s="64">
        <v>24.83</v>
      </c>
      <c r="M29" s="64">
        <v>97.75</v>
      </c>
      <c r="N29" s="64">
        <v>45</v>
      </c>
      <c r="O29" s="64">
        <v>0</v>
      </c>
      <c r="P29" s="64">
        <v>0.26</v>
      </c>
      <c r="Q29" s="64">
        <v>9.65</v>
      </c>
      <c r="R29" s="198"/>
      <c r="S29" s="198"/>
      <c r="T29" s="198"/>
      <c r="U29" s="198"/>
    </row>
    <row r="30" spans="1:21" s="12" customFormat="1" x14ac:dyDescent="0.25">
      <c r="A30" s="212" t="s">
        <v>1612</v>
      </c>
      <c r="B30" s="64">
        <v>14.11</v>
      </c>
      <c r="C30" s="64">
        <v>14.08</v>
      </c>
      <c r="D30" s="64">
        <v>18.670000000000002</v>
      </c>
      <c r="E30" s="64">
        <v>3.37</v>
      </c>
      <c r="F30" s="64">
        <v>2.2000000000000002</v>
      </c>
      <c r="G30" s="64">
        <v>25.91</v>
      </c>
      <c r="H30" s="64">
        <v>20.74</v>
      </c>
      <c r="I30" s="64">
        <v>1.49</v>
      </c>
      <c r="J30" s="64">
        <v>0.55000000000000004</v>
      </c>
      <c r="K30" s="64">
        <v>340.15</v>
      </c>
      <c r="L30" s="64">
        <v>24.79</v>
      </c>
      <c r="M30" s="64">
        <v>97.75</v>
      </c>
      <c r="N30" s="64">
        <v>45.5</v>
      </c>
      <c r="O30" s="64">
        <v>0.2</v>
      </c>
      <c r="P30" s="64">
        <v>0.3</v>
      </c>
      <c r="Q30" s="64">
        <v>9.65</v>
      </c>
      <c r="R30" s="198"/>
      <c r="S30" s="198"/>
      <c r="T30" s="198"/>
      <c r="U30" s="198"/>
    </row>
    <row r="31" spans="1:21" s="12" customFormat="1" x14ac:dyDescent="0.25">
      <c r="A31" s="212" t="s">
        <v>1613</v>
      </c>
      <c r="B31" s="64">
        <v>16.079999999999998</v>
      </c>
      <c r="C31" s="64">
        <v>13.27</v>
      </c>
      <c r="D31" s="64">
        <v>19.829999999999998</v>
      </c>
      <c r="E31" s="64">
        <v>3.12</v>
      </c>
      <c r="F31" s="64">
        <v>2.42</v>
      </c>
      <c r="G31" s="64">
        <v>23.5</v>
      </c>
      <c r="H31" s="64">
        <v>6.4</v>
      </c>
      <c r="I31" s="64">
        <v>1.47</v>
      </c>
      <c r="J31" s="64">
        <v>0.76</v>
      </c>
      <c r="K31" s="64">
        <v>340.56</v>
      </c>
      <c r="L31" s="64">
        <v>24.87</v>
      </c>
      <c r="M31" s="64">
        <v>97.75</v>
      </c>
      <c r="N31" s="64">
        <v>48.4</v>
      </c>
      <c r="O31" s="64">
        <v>0</v>
      </c>
      <c r="P31" s="64">
        <v>0.31</v>
      </c>
      <c r="Q31" s="64">
        <v>9.66</v>
      </c>
      <c r="R31" s="198"/>
      <c r="S31" s="198"/>
      <c r="T31" s="198"/>
      <c r="U31" s="198"/>
    </row>
    <row r="32" spans="1:21" s="12" customFormat="1" x14ac:dyDescent="0.25">
      <c r="A32" s="212" t="s">
        <v>1614</v>
      </c>
      <c r="B32" s="64">
        <v>14.57</v>
      </c>
      <c r="C32" s="64">
        <v>11.16</v>
      </c>
      <c r="D32" s="64">
        <v>17.52</v>
      </c>
      <c r="E32" s="64">
        <v>3.2</v>
      </c>
      <c r="F32" s="64">
        <v>3.15</v>
      </c>
      <c r="G32" s="64">
        <v>23.3</v>
      </c>
      <c r="H32" s="64">
        <v>5.2</v>
      </c>
      <c r="I32" s="64">
        <v>1.46</v>
      </c>
      <c r="J32" s="64">
        <v>0.56999999999999995</v>
      </c>
      <c r="K32" s="64">
        <v>341.4</v>
      </c>
      <c r="L32" s="64">
        <v>24.83</v>
      </c>
      <c r="M32" s="64">
        <v>97.75</v>
      </c>
      <c r="N32" s="64">
        <v>54.4</v>
      </c>
      <c r="O32" s="64">
        <v>0</v>
      </c>
      <c r="P32" s="64">
        <v>0.36</v>
      </c>
      <c r="Q32" s="64">
        <v>9.65</v>
      </c>
      <c r="R32" s="198"/>
      <c r="S32" s="198"/>
      <c r="T32" s="198"/>
      <c r="U32" s="198"/>
    </row>
    <row r="33" spans="1:21" s="12" customFormat="1" x14ac:dyDescent="0.25">
      <c r="A33" s="212" t="s">
        <v>1615</v>
      </c>
      <c r="B33" s="64">
        <v>24.55</v>
      </c>
      <c r="C33" s="64">
        <v>10.92</v>
      </c>
      <c r="D33" s="64">
        <v>25.39</v>
      </c>
      <c r="E33" s="64">
        <v>3.49</v>
      </c>
      <c r="F33" s="64">
        <v>4.13</v>
      </c>
      <c r="G33" s="64">
        <v>23.3</v>
      </c>
      <c r="H33" s="64">
        <v>5.2</v>
      </c>
      <c r="I33" s="64">
        <v>1.48</v>
      </c>
      <c r="J33" s="64">
        <v>0.65</v>
      </c>
      <c r="K33" s="64">
        <v>340.8</v>
      </c>
      <c r="L33" s="64">
        <v>25.01</v>
      </c>
      <c r="M33" s="64">
        <v>97.75</v>
      </c>
      <c r="N33" s="64">
        <v>80</v>
      </c>
      <c r="O33" s="64">
        <v>0</v>
      </c>
      <c r="P33" s="64">
        <v>0.39</v>
      </c>
      <c r="Q33" s="64">
        <v>9.67</v>
      </c>
      <c r="R33" s="198"/>
      <c r="S33" s="198"/>
      <c r="T33" s="198"/>
      <c r="U33" s="198"/>
    </row>
    <row r="34" spans="1:21" s="12" customFormat="1" x14ac:dyDescent="0.25">
      <c r="A34" s="212" t="s">
        <v>1616</v>
      </c>
      <c r="B34" s="64">
        <v>18.420000000000002</v>
      </c>
      <c r="C34" s="64">
        <v>12.06</v>
      </c>
      <c r="D34" s="64">
        <v>21.07</v>
      </c>
      <c r="E34" s="64">
        <v>3.53</v>
      </c>
      <c r="F34" s="64">
        <v>5.79</v>
      </c>
      <c r="G34" s="64">
        <v>23.3</v>
      </c>
      <c r="H34" s="64">
        <v>5.2</v>
      </c>
      <c r="I34" s="64">
        <v>1.52</v>
      </c>
      <c r="J34" s="64">
        <v>0.67</v>
      </c>
      <c r="K34" s="64">
        <v>337.91</v>
      </c>
      <c r="L34" s="64">
        <v>25.48</v>
      </c>
      <c r="M34" s="64">
        <v>97.72</v>
      </c>
      <c r="N34" s="64">
        <v>118.3</v>
      </c>
      <c r="O34" s="64">
        <v>0</v>
      </c>
      <c r="P34" s="64">
        <v>0.41</v>
      </c>
      <c r="Q34" s="64">
        <v>9.66</v>
      </c>
      <c r="R34" s="198"/>
      <c r="S34" s="198"/>
      <c r="T34" s="198"/>
      <c r="U34" s="198"/>
    </row>
    <row r="35" spans="1:21" s="12" customFormat="1" x14ac:dyDescent="0.25">
      <c r="A35" s="212" t="s">
        <v>1617</v>
      </c>
      <c r="B35" s="64">
        <v>18.78</v>
      </c>
      <c r="C35" s="64">
        <v>10.93</v>
      </c>
      <c r="D35" s="64">
        <v>20.77</v>
      </c>
      <c r="E35" s="64">
        <v>3.19</v>
      </c>
      <c r="F35" s="64">
        <v>5.77</v>
      </c>
      <c r="G35" s="64">
        <v>28.46</v>
      </c>
      <c r="H35" s="64">
        <v>1.71</v>
      </c>
      <c r="I35" s="64">
        <v>1.56</v>
      </c>
      <c r="J35" s="64">
        <v>0.57999999999999996</v>
      </c>
      <c r="K35" s="64">
        <v>335.18</v>
      </c>
      <c r="L35" s="64">
        <v>26.03</v>
      </c>
      <c r="M35" s="64">
        <v>97.69</v>
      </c>
      <c r="N35" s="64">
        <v>161.30000000000001</v>
      </c>
      <c r="O35" s="64">
        <v>0</v>
      </c>
      <c r="P35" s="64">
        <v>0.44</v>
      </c>
      <c r="Q35" s="64">
        <v>9.67</v>
      </c>
      <c r="R35" s="198"/>
      <c r="S35" s="198"/>
      <c r="T35" s="198"/>
      <c r="U35" s="198"/>
    </row>
    <row r="36" spans="1:21" s="12" customFormat="1" x14ac:dyDescent="0.25">
      <c r="A36" s="212" t="s">
        <v>1618</v>
      </c>
      <c r="B36" s="64">
        <v>16.89</v>
      </c>
      <c r="C36" s="64">
        <v>10.48</v>
      </c>
      <c r="D36" s="64">
        <v>19.02</v>
      </c>
      <c r="E36" s="64">
        <v>3.42</v>
      </c>
      <c r="F36" s="64">
        <v>6.2</v>
      </c>
      <c r="G36" s="64">
        <v>28.9</v>
      </c>
      <c r="H36" s="64">
        <v>1.42</v>
      </c>
      <c r="I36" s="64">
        <v>1.58</v>
      </c>
      <c r="J36" s="64">
        <v>0.24</v>
      </c>
      <c r="K36" s="64">
        <v>324.16000000000003</v>
      </c>
      <c r="L36" s="64">
        <v>26.96</v>
      </c>
      <c r="M36" s="64">
        <v>97.64</v>
      </c>
      <c r="N36" s="64">
        <v>225.3</v>
      </c>
      <c r="O36" s="64">
        <v>0</v>
      </c>
      <c r="P36" s="64">
        <v>0.4</v>
      </c>
      <c r="Q36" s="64">
        <v>9.66</v>
      </c>
      <c r="R36" s="198"/>
      <c r="S36" s="198"/>
      <c r="T36" s="198"/>
      <c r="U36" s="198"/>
    </row>
    <row r="37" spans="1:21" s="12" customFormat="1" x14ac:dyDescent="0.25">
      <c r="A37" s="212" t="s">
        <v>1619</v>
      </c>
      <c r="B37" s="64">
        <v>16.05</v>
      </c>
      <c r="C37" s="64">
        <v>9.57</v>
      </c>
      <c r="D37" s="64">
        <v>17.77</v>
      </c>
      <c r="E37" s="64">
        <v>3.42</v>
      </c>
      <c r="F37" s="64">
        <v>5.5</v>
      </c>
      <c r="G37" s="64">
        <v>28.9</v>
      </c>
      <c r="H37" s="64">
        <v>1.42</v>
      </c>
      <c r="I37" s="64">
        <v>1.61</v>
      </c>
      <c r="J37" s="64">
        <v>0.28999999999999998</v>
      </c>
      <c r="K37" s="64">
        <v>124.29</v>
      </c>
      <c r="L37" s="64">
        <v>26.51</v>
      </c>
      <c r="M37" s="64">
        <v>97.67</v>
      </c>
      <c r="N37" s="64">
        <v>155.69999999999999</v>
      </c>
      <c r="O37" s="64">
        <v>0</v>
      </c>
      <c r="P37" s="64">
        <v>0.33</v>
      </c>
      <c r="Q37" s="64">
        <v>9.65</v>
      </c>
      <c r="R37" s="198"/>
      <c r="S37" s="198"/>
      <c r="T37" s="198"/>
      <c r="U37" s="198"/>
    </row>
    <row r="38" spans="1:21" s="12" customFormat="1" x14ac:dyDescent="0.25">
      <c r="A38" s="212" t="s">
        <v>1620</v>
      </c>
      <c r="B38" s="64">
        <v>12.79</v>
      </c>
      <c r="C38" s="64">
        <v>9.08</v>
      </c>
      <c r="D38" s="64">
        <v>15</v>
      </c>
      <c r="E38" s="64">
        <v>3.34</v>
      </c>
      <c r="F38" s="64">
        <v>6.71</v>
      </c>
      <c r="G38" s="64">
        <v>28.9</v>
      </c>
      <c r="H38" s="64">
        <v>1.42</v>
      </c>
      <c r="I38" s="64">
        <v>1.64</v>
      </c>
      <c r="J38" s="64">
        <v>0.49</v>
      </c>
      <c r="K38" s="64">
        <v>130.28</v>
      </c>
      <c r="L38" s="64">
        <v>25.81</v>
      </c>
      <c r="M38" s="64">
        <v>97.68</v>
      </c>
      <c r="N38" s="64">
        <v>149</v>
      </c>
      <c r="O38" s="64">
        <v>0</v>
      </c>
      <c r="P38" s="64">
        <v>0.32</v>
      </c>
      <c r="Q38" s="64">
        <v>9.66</v>
      </c>
      <c r="R38" s="198"/>
      <c r="S38" s="198"/>
      <c r="T38" s="198"/>
      <c r="U38" s="198"/>
    </row>
    <row r="39" spans="1:21" s="12" customFormat="1" x14ac:dyDescent="0.25">
      <c r="A39" s="212" t="s">
        <v>1621</v>
      </c>
      <c r="B39" s="64">
        <v>18.600000000000001</v>
      </c>
      <c r="C39" s="64">
        <v>9.1199999999999992</v>
      </c>
      <c r="D39" s="64">
        <v>19.670000000000002</v>
      </c>
      <c r="E39" s="64">
        <v>3.42</v>
      </c>
      <c r="F39" s="64">
        <v>6.67</v>
      </c>
      <c r="G39" s="64">
        <v>30.87</v>
      </c>
      <c r="H39" s="64">
        <v>6.06</v>
      </c>
      <c r="I39" s="64">
        <v>1.65</v>
      </c>
      <c r="J39" s="64">
        <v>0.09</v>
      </c>
      <c r="K39" s="64">
        <v>157.13</v>
      </c>
      <c r="L39" s="64">
        <v>26.43</v>
      </c>
      <c r="M39" s="64">
        <v>97.66</v>
      </c>
      <c r="N39" s="64">
        <v>199.3</v>
      </c>
      <c r="O39" s="64">
        <v>0</v>
      </c>
      <c r="P39" s="64">
        <v>0.36</v>
      </c>
      <c r="Q39" s="64">
        <v>9.67</v>
      </c>
      <c r="R39" s="198"/>
      <c r="S39" s="198"/>
      <c r="T39" s="198"/>
      <c r="U39" s="198"/>
    </row>
    <row r="40" spans="1:21" s="12" customFormat="1" x14ac:dyDescent="0.25">
      <c r="A40" s="212" t="s">
        <v>1622</v>
      </c>
      <c r="B40" s="64">
        <v>19.329999999999998</v>
      </c>
      <c r="C40" s="64">
        <v>9</v>
      </c>
      <c r="D40" s="64">
        <v>20.2</v>
      </c>
      <c r="E40" s="64">
        <v>3.83</v>
      </c>
      <c r="F40" s="64">
        <v>5.75</v>
      </c>
      <c r="G40" s="64">
        <v>31.03</v>
      </c>
      <c r="H40" s="64">
        <v>6.45</v>
      </c>
      <c r="I40" s="64">
        <v>1.65</v>
      </c>
      <c r="J40" s="64">
        <v>0.1</v>
      </c>
      <c r="K40" s="64">
        <v>131.94</v>
      </c>
      <c r="L40" s="64">
        <v>27.02</v>
      </c>
      <c r="M40" s="64">
        <v>97.47</v>
      </c>
      <c r="N40" s="64">
        <v>276.7</v>
      </c>
      <c r="O40" s="64">
        <v>0</v>
      </c>
      <c r="P40" s="64">
        <v>0.43</v>
      </c>
      <c r="Q40" s="64">
        <v>9.67</v>
      </c>
      <c r="R40" s="198"/>
      <c r="S40" s="198"/>
      <c r="T40" s="198"/>
      <c r="U40" s="198"/>
    </row>
    <row r="41" spans="1:21" s="12" customFormat="1" x14ac:dyDescent="0.25">
      <c r="A41" s="212" t="s">
        <v>1623</v>
      </c>
      <c r="B41" s="64">
        <v>19.260000000000002</v>
      </c>
      <c r="C41" s="64">
        <v>8.19</v>
      </c>
      <c r="D41" s="64">
        <v>19.72</v>
      </c>
      <c r="E41" s="64">
        <v>4.2300000000000004</v>
      </c>
      <c r="F41" s="64">
        <v>7.51</v>
      </c>
      <c r="G41" s="64">
        <v>31.03</v>
      </c>
      <c r="H41" s="64">
        <v>6.45</v>
      </c>
      <c r="I41" s="64">
        <v>1.66</v>
      </c>
      <c r="J41" s="64">
        <v>0.22</v>
      </c>
      <c r="K41" s="64">
        <v>1.49</v>
      </c>
      <c r="L41" s="64">
        <v>28.21</v>
      </c>
      <c r="M41" s="64">
        <v>91.81</v>
      </c>
      <c r="N41" s="64">
        <v>354.6</v>
      </c>
      <c r="O41" s="64">
        <v>0</v>
      </c>
      <c r="P41" s="64">
        <v>0.46</v>
      </c>
      <c r="Q41" s="64">
        <v>9.66</v>
      </c>
      <c r="R41" s="198"/>
      <c r="S41" s="198"/>
      <c r="T41" s="198"/>
      <c r="U41" s="198"/>
    </row>
    <row r="42" spans="1:21" s="12" customFormat="1" x14ac:dyDescent="0.25">
      <c r="A42" s="212" t="s">
        <v>1624</v>
      </c>
      <c r="B42" s="64">
        <v>15.04</v>
      </c>
      <c r="C42" s="64">
        <v>8.68</v>
      </c>
      <c r="D42" s="64">
        <v>16.59</v>
      </c>
      <c r="E42" s="64">
        <v>4.09</v>
      </c>
      <c r="F42" s="64">
        <v>9</v>
      </c>
      <c r="G42" s="64">
        <v>31.03</v>
      </c>
      <c r="H42" s="64">
        <v>6.45</v>
      </c>
      <c r="I42" s="64">
        <v>1.68</v>
      </c>
      <c r="J42" s="64">
        <v>0.13</v>
      </c>
      <c r="K42" s="64">
        <v>120.6</v>
      </c>
      <c r="L42" s="64">
        <v>28.43</v>
      </c>
      <c r="M42" s="64">
        <v>90.41</v>
      </c>
      <c r="N42" s="64">
        <v>396.8</v>
      </c>
      <c r="O42" s="64">
        <v>0</v>
      </c>
      <c r="P42" s="64">
        <v>0.34</v>
      </c>
      <c r="Q42" s="64">
        <v>9.66</v>
      </c>
      <c r="R42" s="198"/>
      <c r="S42" s="198"/>
      <c r="T42" s="198"/>
      <c r="U42" s="198"/>
    </row>
    <row r="43" spans="1:21" s="12" customFormat="1" x14ac:dyDescent="0.25">
      <c r="A43" s="212" t="s">
        <v>1625</v>
      </c>
      <c r="B43" s="64">
        <v>17.690000000000001</v>
      </c>
      <c r="C43" s="64">
        <v>7.23</v>
      </c>
      <c r="D43" s="64">
        <v>17.96</v>
      </c>
      <c r="E43" s="64">
        <v>3.94</v>
      </c>
      <c r="F43" s="64">
        <v>5.89</v>
      </c>
      <c r="G43" s="64">
        <v>30.19</v>
      </c>
      <c r="H43" s="64">
        <v>2.06</v>
      </c>
      <c r="I43" s="64">
        <v>1.68</v>
      </c>
      <c r="J43" s="64">
        <v>0.71</v>
      </c>
      <c r="K43" s="64">
        <v>339.77</v>
      </c>
      <c r="L43" s="64">
        <v>28.96</v>
      </c>
      <c r="M43" s="64">
        <v>89.39</v>
      </c>
      <c r="N43" s="64">
        <v>388.7</v>
      </c>
      <c r="O43" s="64">
        <v>0</v>
      </c>
      <c r="P43" s="64">
        <v>0.43</v>
      </c>
      <c r="Q43" s="64">
        <v>9.67</v>
      </c>
      <c r="R43" s="198"/>
      <c r="S43" s="198"/>
      <c r="T43" s="198"/>
      <c r="U43" s="198"/>
    </row>
    <row r="44" spans="1:21" s="12" customFormat="1" x14ac:dyDescent="0.25">
      <c r="A44" s="212" t="s">
        <v>1626</v>
      </c>
      <c r="B44" s="64">
        <v>11.87</v>
      </c>
      <c r="C44" s="64">
        <v>8.76</v>
      </c>
      <c r="D44" s="64">
        <v>14.09</v>
      </c>
      <c r="E44" s="64">
        <v>4.21</v>
      </c>
      <c r="F44" s="64">
        <v>9.06</v>
      </c>
      <c r="G44" s="64">
        <v>30.12</v>
      </c>
      <c r="H44" s="64">
        <v>1.69</v>
      </c>
      <c r="I44" s="64">
        <v>1.68</v>
      </c>
      <c r="J44" s="64">
        <v>0.43</v>
      </c>
      <c r="K44" s="64">
        <v>111.03</v>
      </c>
      <c r="L44" s="64">
        <v>29.02</v>
      </c>
      <c r="M44" s="64">
        <v>87.88</v>
      </c>
      <c r="N44" s="64">
        <v>461.7</v>
      </c>
      <c r="O44" s="64">
        <v>0</v>
      </c>
      <c r="P44" s="64">
        <v>0.35</v>
      </c>
      <c r="Q44" s="64">
        <v>9.67</v>
      </c>
      <c r="R44" s="198"/>
      <c r="S44" s="198"/>
      <c r="T44" s="198"/>
      <c r="U44" s="198"/>
    </row>
    <row r="45" spans="1:21" s="12" customFormat="1" x14ac:dyDescent="0.25">
      <c r="A45" s="212" t="s">
        <v>1627</v>
      </c>
      <c r="B45" s="64">
        <v>15.81</v>
      </c>
      <c r="C45" s="64">
        <v>7.06</v>
      </c>
      <c r="D45" s="64">
        <v>16.37</v>
      </c>
      <c r="E45" s="64">
        <v>4.13</v>
      </c>
      <c r="F45" s="64">
        <v>5.28</v>
      </c>
      <c r="G45" s="64">
        <v>30.12</v>
      </c>
      <c r="H45" s="64">
        <v>1.69</v>
      </c>
      <c r="I45" s="64">
        <v>1.65</v>
      </c>
      <c r="J45" s="64">
        <v>0.11</v>
      </c>
      <c r="K45" s="64">
        <v>92.48</v>
      </c>
      <c r="L45" s="64">
        <v>28.69</v>
      </c>
      <c r="M45" s="64">
        <v>89.46</v>
      </c>
      <c r="N45" s="64">
        <v>294.39999999999998</v>
      </c>
      <c r="O45" s="64">
        <v>0</v>
      </c>
      <c r="P45" s="64">
        <v>0.41</v>
      </c>
      <c r="Q45" s="64">
        <v>9.68</v>
      </c>
      <c r="R45" s="198"/>
      <c r="S45" s="198"/>
      <c r="T45" s="198"/>
      <c r="U45" s="198"/>
    </row>
    <row r="46" spans="1:21" s="12" customFormat="1" x14ac:dyDescent="0.25">
      <c r="A46" s="212" t="s">
        <v>1628</v>
      </c>
      <c r="B46" s="64">
        <v>16.8</v>
      </c>
      <c r="C46" s="64">
        <v>10.36</v>
      </c>
      <c r="D46" s="64">
        <v>18.88</v>
      </c>
      <c r="E46" s="64">
        <v>4</v>
      </c>
      <c r="F46" s="64">
        <v>7.52</v>
      </c>
      <c r="G46" s="64">
        <v>30.12</v>
      </c>
      <c r="H46" s="64">
        <v>1.69</v>
      </c>
      <c r="I46" s="64">
        <v>1.61</v>
      </c>
      <c r="J46" s="64">
        <v>0.05</v>
      </c>
      <c r="K46" s="64">
        <v>9</v>
      </c>
      <c r="L46" s="64">
        <v>29.02</v>
      </c>
      <c r="M46" s="64">
        <v>88.52</v>
      </c>
      <c r="N46" s="64">
        <v>545.1</v>
      </c>
      <c r="O46" s="64">
        <v>0</v>
      </c>
      <c r="P46" s="64">
        <v>0.48</v>
      </c>
      <c r="Q46" s="64">
        <v>9.67</v>
      </c>
      <c r="R46" s="198"/>
      <c r="S46" s="198"/>
      <c r="T46" s="198"/>
      <c r="U46" s="198"/>
    </row>
    <row r="47" spans="1:21" s="12" customFormat="1" x14ac:dyDescent="0.25">
      <c r="A47" s="212" t="s">
        <v>1629</v>
      </c>
      <c r="B47" s="64">
        <v>13.47</v>
      </c>
      <c r="C47" s="64">
        <v>9</v>
      </c>
      <c r="D47" s="64">
        <v>15.5</v>
      </c>
      <c r="E47" s="64">
        <v>4</v>
      </c>
      <c r="F47" s="64">
        <v>8.2899999999999991</v>
      </c>
      <c r="G47" s="64">
        <v>27.51</v>
      </c>
      <c r="H47" s="64">
        <v>4.12</v>
      </c>
      <c r="I47" s="64">
        <v>1.59</v>
      </c>
      <c r="J47" s="64">
        <v>0.65</v>
      </c>
      <c r="K47" s="64">
        <v>127.04</v>
      </c>
      <c r="L47" s="64">
        <v>29.23</v>
      </c>
      <c r="M47" s="64">
        <v>86.88</v>
      </c>
      <c r="N47" s="64">
        <v>668.2</v>
      </c>
      <c r="O47" s="64">
        <v>0</v>
      </c>
      <c r="P47" s="64">
        <v>0.44</v>
      </c>
      <c r="Q47" s="64">
        <v>9.68</v>
      </c>
      <c r="R47" s="198"/>
      <c r="S47" s="198"/>
      <c r="T47" s="198"/>
      <c r="U47" s="198"/>
    </row>
    <row r="48" spans="1:21" s="12" customFormat="1" x14ac:dyDescent="0.25">
      <c r="A48" s="212" t="s">
        <v>1630</v>
      </c>
      <c r="B48" s="64">
        <v>14.21</v>
      </c>
      <c r="C48" s="64">
        <v>8.89</v>
      </c>
      <c r="D48" s="64">
        <v>16.04</v>
      </c>
      <c r="E48" s="64">
        <v>4.22</v>
      </c>
      <c r="F48" s="64">
        <v>8.49</v>
      </c>
      <c r="G48" s="64">
        <v>27.29</v>
      </c>
      <c r="H48" s="64">
        <v>4.32</v>
      </c>
      <c r="I48" s="64">
        <v>1.57</v>
      </c>
      <c r="J48" s="64">
        <v>0.28999999999999998</v>
      </c>
      <c r="K48" s="64">
        <v>120.1</v>
      </c>
      <c r="L48" s="64">
        <v>29.17</v>
      </c>
      <c r="M48" s="64">
        <v>86.93</v>
      </c>
      <c r="N48" s="64">
        <v>638.29999999999995</v>
      </c>
      <c r="O48" s="64">
        <v>0</v>
      </c>
      <c r="P48" s="64">
        <v>0.4</v>
      </c>
      <c r="Q48" s="64">
        <v>9.67</v>
      </c>
      <c r="R48" s="198"/>
      <c r="S48" s="198"/>
      <c r="T48" s="198"/>
      <c r="U48" s="198"/>
    </row>
    <row r="49" spans="1:21" s="12" customFormat="1" x14ac:dyDescent="0.25">
      <c r="A49" s="212" t="s">
        <v>1631</v>
      </c>
      <c r="B49" s="64">
        <v>11.89</v>
      </c>
      <c r="C49" s="64">
        <v>9.5299999999999994</v>
      </c>
      <c r="D49" s="64">
        <v>14.51</v>
      </c>
      <c r="E49" s="64">
        <v>4.3899999999999997</v>
      </c>
      <c r="F49" s="64">
        <v>10.61</v>
      </c>
      <c r="G49" s="64">
        <v>27.29</v>
      </c>
      <c r="H49" s="64">
        <v>4.32</v>
      </c>
      <c r="I49" s="64">
        <v>1.56</v>
      </c>
      <c r="J49" s="64">
        <v>0.32</v>
      </c>
      <c r="K49" s="64">
        <v>127.37</v>
      </c>
      <c r="L49" s="64">
        <v>30.11</v>
      </c>
      <c r="M49" s="64">
        <v>82.23</v>
      </c>
      <c r="N49" s="64">
        <v>692.1</v>
      </c>
      <c r="O49" s="64">
        <v>0</v>
      </c>
      <c r="P49" s="64">
        <v>0.38</v>
      </c>
      <c r="Q49" s="64">
        <v>9.68</v>
      </c>
      <c r="R49" s="198"/>
      <c r="S49" s="198"/>
      <c r="T49" s="198"/>
      <c r="U49" s="198"/>
    </row>
    <row r="50" spans="1:21" s="12" customFormat="1" x14ac:dyDescent="0.25">
      <c r="A50" s="212" t="s">
        <v>1632</v>
      </c>
      <c r="B50" s="64">
        <v>11.81</v>
      </c>
      <c r="C50" s="64">
        <v>8.75</v>
      </c>
      <c r="D50" s="64">
        <v>14.04</v>
      </c>
      <c r="E50" s="64">
        <v>4.05</v>
      </c>
      <c r="F50" s="64">
        <v>11.21</v>
      </c>
      <c r="G50" s="64">
        <v>27.29</v>
      </c>
      <c r="H50" s="64">
        <v>4.32</v>
      </c>
      <c r="I50" s="64">
        <v>1.55</v>
      </c>
      <c r="J50" s="64">
        <v>0.48</v>
      </c>
      <c r="K50" s="64">
        <v>134.36000000000001</v>
      </c>
      <c r="L50" s="64">
        <v>30.09</v>
      </c>
      <c r="M50" s="64">
        <v>80.62</v>
      </c>
      <c r="N50" s="64">
        <v>506.7</v>
      </c>
      <c r="O50" s="64">
        <v>0</v>
      </c>
      <c r="P50" s="64">
        <v>0.42</v>
      </c>
      <c r="Q50" s="64">
        <v>9.69</v>
      </c>
      <c r="R50" s="198"/>
      <c r="S50" s="198"/>
      <c r="T50" s="198"/>
      <c r="U50" s="198"/>
    </row>
    <row r="51" spans="1:21" s="12" customFormat="1" x14ac:dyDescent="0.25">
      <c r="A51" s="212" t="s">
        <v>1633</v>
      </c>
      <c r="B51" s="64">
        <v>13.44</v>
      </c>
      <c r="C51" s="64">
        <v>8.98</v>
      </c>
      <c r="D51" s="64">
        <v>15.47</v>
      </c>
      <c r="E51" s="64">
        <v>4.4400000000000004</v>
      </c>
      <c r="F51" s="64">
        <v>11.27</v>
      </c>
      <c r="G51" s="64">
        <v>33.53</v>
      </c>
      <c r="H51" s="64">
        <v>11.34</v>
      </c>
      <c r="I51" s="64">
        <v>1.55</v>
      </c>
      <c r="J51" s="64">
        <v>0.13</v>
      </c>
      <c r="K51" s="64">
        <v>89.34</v>
      </c>
      <c r="L51" s="64">
        <v>29.69</v>
      </c>
      <c r="M51" s="64">
        <v>83.93</v>
      </c>
      <c r="N51" s="64">
        <v>619.20000000000005</v>
      </c>
      <c r="O51" s="64">
        <v>0</v>
      </c>
      <c r="P51" s="64">
        <v>0.45</v>
      </c>
      <c r="Q51" s="64">
        <v>9.68</v>
      </c>
      <c r="R51" s="198"/>
      <c r="S51" s="198"/>
      <c r="T51" s="198"/>
      <c r="U51" s="198"/>
    </row>
    <row r="52" spans="1:21" s="12" customFormat="1" x14ac:dyDescent="0.25">
      <c r="A52" s="212" t="s">
        <v>1634</v>
      </c>
      <c r="B52" s="64">
        <v>9.86</v>
      </c>
      <c r="C52" s="64">
        <v>8.2899999999999991</v>
      </c>
      <c r="D52" s="64">
        <v>12.24</v>
      </c>
      <c r="E52" s="64">
        <v>4.42</v>
      </c>
      <c r="F52" s="64">
        <v>13.8</v>
      </c>
      <c r="G52" s="64">
        <v>34.049999999999997</v>
      </c>
      <c r="H52" s="64">
        <v>11.93</v>
      </c>
      <c r="I52" s="64">
        <v>1.53</v>
      </c>
      <c r="J52" s="64">
        <v>0.7</v>
      </c>
      <c r="K52" s="64">
        <v>125.75</v>
      </c>
      <c r="L52" s="64">
        <v>29.61</v>
      </c>
      <c r="M52" s="64">
        <v>82.48</v>
      </c>
      <c r="N52" s="64">
        <v>352.8</v>
      </c>
      <c r="O52" s="64">
        <v>0</v>
      </c>
      <c r="P52" s="64">
        <v>0.35</v>
      </c>
      <c r="Q52" s="64">
        <v>9.67</v>
      </c>
      <c r="R52" s="198"/>
      <c r="S52" s="198"/>
      <c r="T52" s="198"/>
      <c r="U52" s="198"/>
    </row>
    <row r="53" spans="1:21" s="12" customFormat="1" x14ac:dyDescent="0.25">
      <c r="A53" s="212" t="s">
        <v>1635</v>
      </c>
      <c r="B53" s="64">
        <v>9.76</v>
      </c>
      <c r="C53" s="64">
        <v>7.49</v>
      </c>
      <c r="D53" s="64">
        <v>11.74</v>
      </c>
      <c r="E53" s="64">
        <v>4.24</v>
      </c>
      <c r="F53" s="64">
        <v>15.15</v>
      </c>
      <c r="G53" s="64">
        <v>34.049999999999997</v>
      </c>
      <c r="H53" s="64">
        <v>11.93</v>
      </c>
      <c r="I53" s="64">
        <v>1.52</v>
      </c>
      <c r="J53" s="64">
        <v>0.67</v>
      </c>
      <c r="K53" s="64">
        <v>125.2</v>
      </c>
      <c r="L53" s="64">
        <v>28.86</v>
      </c>
      <c r="M53" s="64">
        <v>86.66</v>
      </c>
      <c r="N53" s="64">
        <v>390.9</v>
      </c>
      <c r="O53" s="64">
        <v>0</v>
      </c>
      <c r="P53" s="64">
        <v>0.31</v>
      </c>
      <c r="Q53" s="64">
        <v>9.68</v>
      </c>
      <c r="R53" s="198"/>
      <c r="S53" s="198"/>
      <c r="T53" s="198"/>
      <c r="U53" s="198"/>
    </row>
    <row r="54" spans="1:21" s="12" customFormat="1" x14ac:dyDescent="0.25">
      <c r="A54" s="212" t="s">
        <v>1636</v>
      </c>
      <c r="B54" s="64">
        <v>9.39</v>
      </c>
      <c r="C54" s="64">
        <v>8.16</v>
      </c>
      <c r="D54" s="64">
        <v>11.79</v>
      </c>
      <c r="E54" s="64">
        <v>4.0999999999999996</v>
      </c>
      <c r="F54" s="64">
        <v>15.01</v>
      </c>
      <c r="G54" s="64">
        <v>34.049999999999997</v>
      </c>
      <c r="H54" s="64">
        <v>11.93</v>
      </c>
      <c r="I54" s="64">
        <v>1.51</v>
      </c>
      <c r="J54" s="64">
        <v>0.62</v>
      </c>
      <c r="K54" s="64">
        <v>129.80000000000001</v>
      </c>
      <c r="L54" s="64">
        <v>29.03</v>
      </c>
      <c r="M54" s="64">
        <v>85.99</v>
      </c>
      <c r="N54" s="64">
        <v>631.29999999999995</v>
      </c>
      <c r="O54" s="64">
        <v>0</v>
      </c>
      <c r="P54" s="64">
        <v>0.34</v>
      </c>
      <c r="Q54" s="64">
        <v>9.67</v>
      </c>
      <c r="R54" s="198"/>
      <c r="S54" s="198"/>
      <c r="T54" s="198"/>
      <c r="U54" s="198"/>
    </row>
    <row r="55" spans="1:21" s="12" customFormat="1" x14ac:dyDescent="0.25">
      <c r="A55" s="212" t="s">
        <v>1637</v>
      </c>
      <c r="B55" s="64">
        <v>9.83</v>
      </c>
      <c r="C55" s="64">
        <v>8.1300000000000008</v>
      </c>
      <c r="D55" s="64">
        <v>12.13</v>
      </c>
      <c r="E55" s="64">
        <v>4.26</v>
      </c>
      <c r="F55" s="64">
        <v>16.38</v>
      </c>
      <c r="G55" s="64">
        <v>26.42</v>
      </c>
      <c r="H55" s="64">
        <v>9.8000000000000007</v>
      </c>
      <c r="I55" s="64">
        <v>1.48</v>
      </c>
      <c r="J55" s="64">
        <v>0.93</v>
      </c>
      <c r="K55" s="64">
        <v>127.43</v>
      </c>
      <c r="L55" s="64">
        <v>29.7</v>
      </c>
      <c r="M55" s="64">
        <v>80.180000000000007</v>
      </c>
      <c r="N55" s="64">
        <v>582</v>
      </c>
      <c r="O55" s="64">
        <v>0</v>
      </c>
      <c r="P55" s="64">
        <v>0.34</v>
      </c>
      <c r="Q55" s="64">
        <v>9.66</v>
      </c>
      <c r="R55" s="198"/>
      <c r="S55" s="198"/>
      <c r="T55" s="198"/>
      <c r="U55" s="198"/>
    </row>
    <row r="56" spans="1:21" s="12" customFormat="1" x14ac:dyDescent="0.25">
      <c r="A56" s="212" t="s">
        <v>1638</v>
      </c>
      <c r="B56" s="64">
        <v>9.66</v>
      </c>
      <c r="C56" s="64">
        <v>8.3699999999999992</v>
      </c>
      <c r="D56" s="64">
        <v>12.12</v>
      </c>
      <c r="E56" s="64">
        <v>4.21</v>
      </c>
      <c r="F56" s="64">
        <v>16.399999999999999</v>
      </c>
      <c r="G56" s="64">
        <v>25.77</v>
      </c>
      <c r="H56" s="64">
        <v>9.6199999999999992</v>
      </c>
      <c r="I56" s="64">
        <v>1.5</v>
      </c>
      <c r="J56" s="64">
        <v>0.59</v>
      </c>
      <c r="K56" s="64">
        <v>125.13</v>
      </c>
      <c r="L56" s="64">
        <v>29.87</v>
      </c>
      <c r="M56" s="64">
        <v>79.319999999999993</v>
      </c>
      <c r="N56" s="64">
        <v>617.79999999999995</v>
      </c>
      <c r="O56" s="64">
        <v>0</v>
      </c>
      <c r="P56" s="64">
        <v>0.36</v>
      </c>
      <c r="Q56" s="64">
        <v>9.65</v>
      </c>
      <c r="R56" s="198"/>
      <c r="S56" s="198"/>
      <c r="T56" s="198"/>
      <c r="U56" s="198"/>
    </row>
    <row r="57" spans="1:21" s="12" customFormat="1" x14ac:dyDescent="0.25">
      <c r="A57" s="212" t="s">
        <v>1639</v>
      </c>
      <c r="B57" s="64">
        <v>9.83</v>
      </c>
      <c r="C57" s="64">
        <v>8.51</v>
      </c>
      <c r="D57" s="64">
        <v>12.33</v>
      </c>
      <c r="E57" s="64">
        <v>4.3099999999999996</v>
      </c>
      <c r="F57" s="64">
        <v>17.03</v>
      </c>
      <c r="G57" s="64">
        <v>25.77</v>
      </c>
      <c r="H57" s="64">
        <v>9.6199999999999992</v>
      </c>
      <c r="I57" s="64">
        <v>1.5</v>
      </c>
      <c r="J57" s="64">
        <v>0.59</v>
      </c>
      <c r="K57" s="64">
        <v>122.84</v>
      </c>
      <c r="L57" s="64">
        <v>29.8</v>
      </c>
      <c r="M57" s="64">
        <v>79.739999999999995</v>
      </c>
      <c r="N57" s="64">
        <v>314.60000000000002</v>
      </c>
      <c r="O57" s="64">
        <v>0</v>
      </c>
      <c r="P57" s="64">
        <v>0.35</v>
      </c>
      <c r="Q57" s="64">
        <v>9.6300000000000008</v>
      </c>
      <c r="R57" s="198"/>
      <c r="S57" s="198"/>
      <c r="T57" s="198"/>
      <c r="U57" s="198"/>
    </row>
    <row r="58" spans="1:21" s="12" customFormat="1" x14ac:dyDescent="0.25">
      <c r="A58" s="212" t="s">
        <v>1640</v>
      </c>
      <c r="B58" s="64">
        <v>11.08</v>
      </c>
      <c r="C58" s="64">
        <v>11.11</v>
      </c>
      <c r="D58" s="64">
        <v>14.68</v>
      </c>
      <c r="E58" s="64">
        <v>4.43</v>
      </c>
      <c r="F58" s="64">
        <v>15.61</v>
      </c>
      <c r="G58" s="64">
        <v>25.77</v>
      </c>
      <c r="H58" s="64">
        <v>9.6199999999999992</v>
      </c>
      <c r="I58" s="64">
        <v>1.49</v>
      </c>
      <c r="J58" s="64">
        <v>0.3</v>
      </c>
      <c r="K58" s="64">
        <v>134.25</v>
      </c>
      <c r="L58" s="64">
        <v>29.35</v>
      </c>
      <c r="M58" s="64">
        <v>81.540000000000006</v>
      </c>
      <c r="N58" s="64">
        <v>294.39999999999998</v>
      </c>
      <c r="O58" s="64">
        <v>0</v>
      </c>
      <c r="P58" s="64">
        <v>0.4</v>
      </c>
      <c r="Q58" s="64">
        <v>9.6300000000000008</v>
      </c>
      <c r="R58" s="198"/>
      <c r="S58" s="198"/>
      <c r="T58" s="198"/>
      <c r="U58" s="198"/>
    </row>
    <row r="59" spans="1:21" s="12" customFormat="1" x14ac:dyDescent="0.25">
      <c r="A59" s="212" t="s">
        <v>1641</v>
      </c>
      <c r="B59" s="64">
        <v>7.93</v>
      </c>
      <c r="C59" s="64">
        <v>9.67</v>
      </c>
      <c r="D59" s="64">
        <v>11.4</v>
      </c>
      <c r="E59" s="64">
        <v>4.47</v>
      </c>
      <c r="F59" s="64">
        <v>18.190000000000001</v>
      </c>
      <c r="G59" s="64">
        <v>28.4</v>
      </c>
      <c r="H59" s="64">
        <v>15.35</v>
      </c>
      <c r="I59" s="64">
        <v>1.49</v>
      </c>
      <c r="J59" s="64">
        <v>0.79</v>
      </c>
      <c r="K59" s="64">
        <v>127.23</v>
      </c>
      <c r="L59" s="64">
        <v>29.58</v>
      </c>
      <c r="M59" s="64">
        <v>81.56</v>
      </c>
      <c r="N59" s="64">
        <v>490.9</v>
      </c>
      <c r="O59" s="64">
        <v>0</v>
      </c>
      <c r="P59" s="64">
        <v>0.34</v>
      </c>
      <c r="Q59" s="64">
        <v>9.64</v>
      </c>
      <c r="R59" s="198"/>
      <c r="S59" s="198"/>
      <c r="T59" s="198"/>
      <c r="U59" s="198"/>
    </row>
    <row r="60" spans="1:21" s="12" customFormat="1" x14ac:dyDescent="0.25">
      <c r="A60" s="212" t="s">
        <v>1642</v>
      </c>
      <c r="B60" s="64">
        <v>8.34</v>
      </c>
      <c r="C60" s="64">
        <v>8.16</v>
      </c>
      <c r="D60" s="64">
        <v>10.95</v>
      </c>
      <c r="E60" s="64">
        <v>4.57</v>
      </c>
      <c r="F60" s="64">
        <v>16.59</v>
      </c>
      <c r="G60" s="64">
        <v>28.63</v>
      </c>
      <c r="H60" s="64">
        <v>15.83</v>
      </c>
      <c r="I60" s="64">
        <v>1.48</v>
      </c>
      <c r="J60" s="64">
        <v>0.89</v>
      </c>
      <c r="K60" s="64">
        <v>126.6</v>
      </c>
      <c r="L60" s="64">
        <v>29.58</v>
      </c>
      <c r="M60" s="64">
        <v>81.709999999999994</v>
      </c>
      <c r="N60" s="64">
        <v>472.7</v>
      </c>
      <c r="O60" s="64">
        <v>0</v>
      </c>
      <c r="P60" s="64">
        <v>0.33</v>
      </c>
      <c r="Q60" s="64">
        <v>9.64</v>
      </c>
      <c r="R60" s="198"/>
      <c r="S60" s="198"/>
      <c r="T60" s="198"/>
      <c r="U60" s="198"/>
    </row>
    <row r="61" spans="1:21" s="12" customFormat="1" x14ac:dyDescent="0.25">
      <c r="A61" s="212" t="s">
        <v>1643</v>
      </c>
      <c r="B61" s="64">
        <v>8.33</v>
      </c>
      <c r="C61" s="64">
        <v>7.25</v>
      </c>
      <c r="D61" s="64">
        <v>10.47</v>
      </c>
      <c r="E61" s="64">
        <v>4.66</v>
      </c>
      <c r="F61" s="64">
        <v>15.02</v>
      </c>
      <c r="G61" s="64">
        <v>28.63</v>
      </c>
      <c r="H61" s="64">
        <v>15.83</v>
      </c>
      <c r="I61" s="64">
        <v>1.49</v>
      </c>
      <c r="J61" s="64">
        <v>1.1399999999999999</v>
      </c>
      <c r="K61" s="64">
        <v>127.38</v>
      </c>
      <c r="L61" s="64">
        <v>29.35</v>
      </c>
      <c r="M61" s="64">
        <v>82.82</v>
      </c>
      <c r="N61" s="64">
        <v>420.9</v>
      </c>
      <c r="O61" s="64">
        <v>0</v>
      </c>
      <c r="P61" s="64">
        <v>0.28999999999999998</v>
      </c>
      <c r="Q61" s="64">
        <v>9.6300000000000008</v>
      </c>
      <c r="R61" s="198"/>
      <c r="S61" s="198"/>
      <c r="T61" s="198"/>
      <c r="U61" s="198"/>
    </row>
    <row r="62" spans="1:21" s="12" customFormat="1" x14ac:dyDescent="0.25">
      <c r="A62" s="212" t="s">
        <v>1644</v>
      </c>
      <c r="B62" s="64">
        <v>13.44</v>
      </c>
      <c r="C62" s="64">
        <v>12.5</v>
      </c>
      <c r="D62" s="64">
        <v>17.309999999999999</v>
      </c>
      <c r="E62" s="64">
        <v>4.25</v>
      </c>
      <c r="F62" s="64">
        <v>17.559999999999999</v>
      </c>
      <c r="G62" s="64">
        <v>28.63</v>
      </c>
      <c r="H62" s="64">
        <v>15.83</v>
      </c>
      <c r="I62" s="64">
        <v>1.45</v>
      </c>
      <c r="J62" s="64">
        <v>0.68</v>
      </c>
      <c r="K62" s="64">
        <v>127.26</v>
      </c>
      <c r="L62" s="64">
        <v>29.92</v>
      </c>
      <c r="M62" s="64">
        <v>79.13</v>
      </c>
      <c r="N62" s="64">
        <v>394.9</v>
      </c>
      <c r="O62" s="64">
        <v>0</v>
      </c>
      <c r="P62" s="64">
        <v>0.33</v>
      </c>
      <c r="Q62" s="64">
        <v>9.6300000000000008</v>
      </c>
      <c r="R62" s="198"/>
      <c r="S62" s="198"/>
      <c r="T62" s="198"/>
      <c r="U62" s="198"/>
    </row>
    <row r="63" spans="1:21" s="12" customFormat="1" x14ac:dyDescent="0.25">
      <c r="A63" s="212" t="s">
        <v>1645</v>
      </c>
      <c r="B63" s="64">
        <v>8.91</v>
      </c>
      <c r="C63" s="64">
        <v>13.34</v>
      </c>
      <c r="D63" s="64">
        <v>14.12</v>
      </c>
      <c r="E63" s="64">
        <v>4.33</v>
      </c>
      <c r="F63" s="64">
        <v>15.01</v>
      </c>
      <c r="G63" s="64">
        <v>24.69</v>
      </c>
      <c r="H63" s="64">
        <v>6.65</v>
      </c>
      <c r="I63" s="64">
        <v>1.39</v>
      </c>
      <c r="J63" s="64">
        <v>0.61</v>
      </c>
      <c r="K63" s="64">
        <v>126.93</v>
      </c>
      <c r="L63" s="64">
        <v>30.06</v>
      </c>
      <c r="M63" s="64">
        <v>79.89</v>
      </c>
      <c r="N63" s="64">
        <v>313</v>
      </c>
      <c r="O63" s="64">
        <v>0</v>
      </c>
      <c r="P63" s="64">
        <v>0.39</v>
      </c>
      <c r="Q63" s="64">
        <v>9.64</v>
      </c>
      <c r="R63" s="198"/>
      <c r="S63" s="198"/>
      <c r="T63" s="198"/>
      <c r="U63" s="198"/>
    </row>
    <row r="64" spans="1:21" s="12" customFormat="1" x14ac:dyDescent="0.25">
      <c r="A64" s="212" t="s">
        <v>1646</v>
      </c>
      <c r="B64" s="64">
        <v>7.32</v>
      </c>
      <c r="C64" s="64">
        <v>10.15</v>
      </c>
      <c r="D64" s="64">
        <v>11.17</v>
      </c>
      <c r="E64" s="64">
        <v>4.26</v>
      </c>
      <c r="F64" s="64">
        <v>17.05</v>
      </c>
      <c r="G64" s="64">
        <v>24.36</v>
      </c>
      <c r="H64" s="64">
        <v>5.88</v>
      </c>
      <c r="I64" s="64">
        <v>1.35</v>
      </c>
      <c r="J64" s="64">
        <v>0.24</v>
      </c>
      <c r="K64" s="64">
        <v>120.43</v>
      </c>
      <c r="L64" s="64">
        <v>30.11</v>
      </c>
      <c r="M64" s="64">
        <v>79.16</v>
      </c>
      <c r="N64" s="64">
        <v>317</v>
      </c>
      <c r="O64" s="64">
        <v>0</v>
      </c>
      <c r="P64" s="64">
        <v>0.33</v>
      </c>
      <c r="Q64" s="64">
        <v>9.6300000000000008</v>
      </c>
      <c r="R64" s="198"/>
      <c r="S64" s="198"/>
      <c r="T64" s="198"/>
      <c r="U64" s="198"/>
    </row>
    <row r="65" spans="1:21" s="12" customFormat="1" x14ac:dyDescent="0.25">
      <c r="A65" s="212" t="s">
        <v>1647</v>
      </c>
      <c r="B65" s="64">
        <v>7.02</v>
      </c>
      <c r="C65" s="64">
        <v>9.3000000000000007</v>
      </c>
      <c r="D65" s="64">
        <v>10.49</v>
      </c>
      <c r="E65" s="64">
        <v>4.1399999999999997</v>
      </c>
      <c r="F65" s="64">
        <v>18.57</v>
      </c>
      <c r="G65" s="64">
        <v>24.36</v>
      </c>
      <c r="H65" s="64">
        <v>5.88</v>
      </c>
      <c r="I65" s="64">
        <v>1.32</v>
      </c>
      <c r="J65" s="64">
        <v>1.05</v>
      </c>
      <c r="K65" s="64">
        <v>128.66999999999999</v>
      </c>
      <c r="L65" s="64">
        <v>29.48</v>
      </c>
      <c r="M65" s="64">
        <v>82.67</v>
      </c>
      <c r="N65" s="64">
        <v>304.39999999999998</v>
      </c>
      <c r="O65" s="64">
        <v>0</v>
      </c>
      <c r="P65" s="64">
        <v>0.3</v>
      </c>
      <c r="Q65" s="64">
        <v>9.64</v>
      </c>
      <c r="R65" s="198"/>
      <c r="S65" s="198"/>
      <c r="T65" s="198"/>
      <c r="U65" s="198"/>
    </row>
    <row r="66" spans="1:21" s="12" customFormat="1" x14ac:dyDescent="0.25">
      <c r="A66" s="212" t="s">
        <v>1648</v>
      </c>
      <c r="B66" s="64">
        <v>8.6</v>
      </c>
      <c r="C66" s="64">
        <v>10.92</v>
      </c>
      <c r="D66" s="64">
        <v>12.6</v>
      </c>
      <c r="E66" s="64">
        <v>4.45</v>
      </c>
      <c r="F66" s="64">
        <v>17.05</v>
      </c>
      <c r="G66" s="64">
        <v>24.36</v>
      </c>
      <c r="H66" s="64">
        <v>5.88</v>
      </c>
      <c r="I66" s="64">
        <v>1.29</v>
      </c>
      <c r="J66" s="64">
        <v>0.08</v>
      </c>
      <c r="K66" s="64">
        <v>61.01</v>
      </c>
      <c r="L66" s="64">
        <v>29.42</v>
      </c>
      <c r="M66" s="64">
        <v>82.61</v>
      </c>
      <c r="N66" s="64">
        <v>230.6</v>
      </c>
      <c r="O66" s="64">
        <v>0</v>
      </c>
      <c r="P66" s="64">
        <v>0.34</v>
      </c>
      <c r="Q66" s="64">
        <v>9.65</v>
      </c>
      <c r="R66" s="198"/>
      <c r="S66" s="198"/>
      <c r="T66" s="198"/>
      <c r="U66" s="198"/>
    </row>
    <row r="67" spans="1:21" s="12" customFormat="1" x14ac:dyDescent="0.25">
      <c r="A67" s="212" t="s">
        <v>1649</v>
      </c>
      <c r="B67" s="64">
        <v>6.57</v>
      </c>
      <c r="C67" s="64">
        <v>12.27</v>
      </c>
      <c r="D67" s="64">
        <v>11.68</v>
      </c>
      <c r="E67" s="64">
        <v>4.41</v>
      </c>
      <c r="F67" s="64">
        <v>17.82</v>
      </c>
      <c r="G67" s="64">
        <v>27.86</v>
      </c>
      <c r="H67" s="64">
        <v>5.14</v>
      </c>
      <c r="I67" s="64">
        <v>1.28</v>
      </c>
      <c r="J67" s="64">
        <v>0.55000000000000004</v>
      </c>
      <c r="K67" s="64">
        <v>128.52000000000001</v>
      </c>
      <c r="L67" s="64">
        <v>29.05</v>
      </c>
      <c r="M67" s="64">
        <v>80.22</v>
      </c>
      <c r="N67" s="64">
        <v>193.6</v>
      </c>
      <c r="O67" s="64">
        <v>0</v>
      </c>
      <c r="P67" s="64">
        <v>0.33</v>
      </c>
      <c r="Q67" s="64">
        <v>9.64</v>
      </c>
      <c r="R67" s="198"/>
      <c r="S67" s="198"/>
      <c r="T67" s="198"/>
      <c r="U67" s="198"/>
    </row>
    <row r="68" spans="1:21" s="12" customFormat="1" x14ac:dyDescent="0.25">
      <c r="A68" s="212" t="s">
        <v>1650</v>
      </c>
      <c r="B68" s="64">
        <v>10.79</v>
      </c>
      <c r="C68" s="64">
        <v>11.95</v>
      </c>
      <c r="D68" s="64">
        <v>14.9</v>
      </c>
      <c r="E68" s="64">
        <v>4.53</v>
      </c>
      <c r="F68" s="64">
        <v>17.11</v>
      </c>
      <c r="G68" s="64">
        <v>28.16</v>
      </c>
      <c r="H68" s="64">
        <v>5.07</v>
      </c>
      <c r="I68" s="64">
        <v>1.28</v>
      </c>
      <c r="J68" s="64">
        <v>0.16</v>
      </c>
      <c r="K68" s="64">
        <v>105.14</v>
      </c>
      <c r="L68" s="64">
        <v>29.07</v>
      </c>
      <c r="M68" s="64">
        <v>82.08</v>
      </c>
      <c r="N68" s="64">
        <v>198.6</v>
      </c>
      <c r="O68" s="64">
        <v>0</v>
      </c>
      <c r="P68" s="64">
        <v>0.39</v>
      </c>
      <c r="Q68" s="64">
        <v>9.6199999999999992</v>
      </c>
      <c r="R68" s="198"/>
      <c r="S68" s="198"/>
      <c r="T68" s="198"/>
      <c r="U68" s="198"/>
    </row>
    <row r="69" spans="1:21" s="12" customFormat="1" x14ac:dyDescent="0.25">
      <c r="A69" s="212" t="s">
        <v>1651</v>
      </c>
      <c r="B69" s="64">
        <v>7.94</v>
      </c>
      <c r="C69" s="64">
        <v>10.01</v>
      </c>
      <c r="D69" s="64">
        <v>11.6</v>
      </c>
      <c r="E69" s="64">
        <v>4.4400000000000004</v>
      </c>
      <c r="F69" s="64">
        <v>16.850000000000001</v>
      </c>
      <c r="G69" s="64">
        <v>28.16</v>
      </c>
      <c r="H69" s="64">
        <v>5.07</v>
      </c>
      <c r="I69" s="64">
        <v>1.27</v>
      </c>
      <c r="J69" s="64">
        <v>0.17</v>
      </c>
      <c r="K69" s="64">
        <v>47.4</v>
      </c>
      <c r="L69" s="64">
        <v>29.65</v>
      </c>
      <c r="M69" s="64">
        <v>79.06</v>
      </c>
      <c r="N69" s="64">
        <v>201.7</v>
      </c>
      <c r="O69" s="64">
        <v>0</v>
      </c>
      <c r="P69" s="64">
        <v>0.36</v>
      </c>
      <c r="Q69" s="64">
        <v>9.6199999999999992</v>
      </c>
      <c r="R69" s="198"/>
      <c r="S69" s="198"/>
      <c r="T69" s="198"/>
      <c r="U69" s="198"/>
    </row>
    <row r="70" spans="1:21" s="12" customFormat="1" x14ac:dyDescent="0.25">
      <c r="A70" s="212" t="s">
        <v>1652</v>
      </c>
      <c r="B70" s="64">
        <v>10.42</v>
      </c>
      <c r="C70" s="64">
        <v>10.45</v>
      </c>
      <c r="D70" s="64">
        <v>13.79</v>
      </c>
      <c r="E70" s="64">
        <v>4.34</v>
      </c>
      <c r="F70" s="64">
        <v>16.16</v>
      </c>
      <c r="G70" s="64">
        <v>28.16</v>
      </c>
      <c r="H70" s="64">
        <v>5.07</v>
      </c>
      <c r="I70" s="64">
        <v>1.26</v>
      </c>
      <c r="J70" s="64">
        <v>0.35</v>
      </c>
      <c r="K70" s="64">
        <v>120.63</v>
      </c>
      <c r="L70" s="64">
        <v>30.04</v>
      </c>
      <c r="M70" s="64">
        <v>79.03</v>
      </c>
      <c r="N70" s="64">
        <v>176.2</v>
      </c>
      <c r="O70" s="64">
        <v>0</v>
      </c>
      <c r="P70" s="64">
        <v>0.33</v>
      </c>
      <c r="Q70" s="64">
        <v>9.6</v>
      </c>
      <c r="R70" s="198"/>
      <c r="S70" s="198"/>
      <c r="T70" s="198"/>
      <c r="U70" s="198"/>
    </row>
    <row r="71" spans="1:21" s="12" customFormat="1" x14ac:dyDescent="0.25">
      <c r="A71" s="212" t="s">
        <v>1653</v>
      </c>
      <c r="B71" s="64">
        <v>7.37</v>
      </c>
      <c r="C71" s="64">
        <v>10.71</v>
      </c>
      <c r="D71" s="64">
        <v>11.5</v>
      </c>
      <c r="E71" s="64">
        <v>4.3099999999999996</v>
      </c>
      <c r="F71" s="64">
        <v>18.63</v>
      </c>
      <c r="G71" s="64">
        <v>29.64</v>
      </c>
      <c r="H71" s="64">
        <v>13.02</v>
      </c>
      <c r="I71" s="64">
        <v>1.25</v>
      </c>
      <c r="J71" s="64">
        <v>0.09</v>
      </c>
      <c r="K71" s="64">
        <v>2.8</v>
      </c>
      <c r="L71" s="64">
        <v>29.99</v>
      </c>
      <c r="M71" s="64">
        <v>78.44</v>
      </c>
      <c r="N71" s="64">
        <v>202.9</v>
      </c>
      <c r="O71" s="64">
        <v>0</v>
      </c>
      <c r="P71" s="64">
        <v>0.36</v>
      </c>
      <c r="Q71" s="64">
        <v>9.6</v>
      </c>
      <c r="R71" s="198"/>
      <c r="S71" s="198"/>
      <c r="T71" s="198"/>
      <c r="U71" s="198"/>
    </row>
    <row r="72" spans="1:21" s="12" customFormat="1" x14ac:dyDescent="0.25">
      <c r="A72" s="212" t="s">
        <v>1654</v>
      </c>
      <c r="B72" s="64">
        <v>6.64</v>
      </c>
      <c r="C72" s="64">
        <v>8.42</v>
      </c>
      <c r="D72" s="64">
        <v>9.7200000000000006</v>
      </c>
      <c r="E72" s="64">
        <v>4.84</v>
      </c>
      <c r="F72" s="64">
        <v>18.79</v>
      </c>
      <c r="G72" s="64">
        <v>29.75</v>
      </c>
      <c r="H72" s="64">
        <v>13.59</v>
      </c>
      <c r="I72" s="64">
        <v>1.25</v>
      </c>
      <c r="J72" s="64">
        <v>0.36</v>
      </c>
      <c r="K72" s="64">
        <v>115.13</v>
      </c>
      <c r="L72" s="64">
        <v>30.17</v>
      </c>
      <c r="M72" s="64">
        <v>76.16</v>
      </c>
      <c r="N72" s="64">
        <v>243.8</v>
      </c>
      <c r="O72" s="64">
        <v>0</v>
      </c>
      <c r="P72" s="64">
        <v>0.26</v>
      </c>
      <c r="Q72" s="64">
        <v>9.61</v>
      </c>
      <c r="R72" s="198"/>
      <c r="S72" s="198"/>
      <c r="T72" s="198"/>
      <c r="U72" s="198"/>
    </row>
    <row r="73" spans="1:21" s="12" customFormat="1" x14ac:dyDescent="0.25">
      <c r="A73" s="212" t="s">
        <v>1655</v>
      </c>
      <c r="B73" s="64">
        <v>6.32</v>
      </c>
      <c r="C73" s="64">
        <v>9.33</v>
      </c>
      <c r="D73" s="64">
        <v>9.9499999999999993</v>
      </c>
      <c r="E73" s="64">
        <v>4.8600000000000003</v>
      </c>
      <c r="F73" s="64">
        <v>17.82</v>
      </c>
      <c r="G73" s="64">
        <v>29.75</v>
      </c>
      <c r="H73" s="64">
        <v>13.59</v>
      </c>
      <c r="I73" s="64">
        <v>1.26</v>
      </c>
      <c r="J73" s="64">
        <v>0.35</v>
      </c>
      <c r="K73" s="64">
        <v>129.80000000000001</v>
      </c>
      <c r="L73" s="64">
        <v>29.78</v>
      </c>
      <c r="M73" s="64">
        <v>79.33</v>
      </c>
      <c r="N73" s="64">
        <v>191.1</v>
      </c>
      <c r="O73" s="64">
        <v>0</v>
      </c>
      <c r="P73" s="64">
        <v>0.27</v>
      </c>
      <c r="Q73" s="64">
        <v>9.6199999999999992</v>
      </c>
      <c r="R73" s="198"/>
      <c r="S73" s="198"/>
      <c r="T73" s="198"/>
      <c r="U73" s="198"/>
    </row>
    <row r="74" spans="1:21" s="12" customFormat="1" x14ac:dyDescent="0.25">
      <c r="A74" s="212" t="s">
        <v>1656</v>
      </c>
      <c r="B74" s="64">
        <v>5.79</v>
      </c>
      <c r="C74" s="64">
        <v>11.03</v>
      </c>
      <c r="D74" s="64">
        <v>10.41</v>
      </c>
      <c r="E74" s="64">
        <v>4.4000000000000004</v>
      </c>
      <c r="F74" s="64">
        <v>18.32</v>
      </c>
      <c r="G74" s="64">
        <v>29.75</v>
      </c>
      <c r="H74" s="64">
        <v>13.59</v>
      </c>
      <c r="I74" s="64">
        <v>1.27</v>
      </c>
      <c r="J74" s="64">
        <v>0.75</v>
      </c>
      <c r="K74" s="64">
        <v>118.81</v>
      </c>
      <c r="L74" s="64">
        <v>29.14</v>
      </c>
      <c r="M74" s="64">
        <v>83.66</v>
      </c>
      <c r="N74" s="64">
        <v>144.69999999999999</v>
      </c>
      <c r="O74" s="64">
        <v>0</v>
      </c>
      <c r="P74" s="64">
        <v>0.27</v>
      </c>
      <c r="Q74" s="64">
        <v>9.6199999999999992</v>
      </c>
      <c r="R74" s="198"/>
      <c r="S74" s="198"/>
      <c r="T74" s="198"/>
      <c r="U74" s="198"/>
    </row>
    <row r="75" spans="1:21" s="12" customFormat="1" x14ac:dyDescent="0.25">
      <c r="A75" s="212" t="s">
        <v>1657</v>
      </c>
      <c r="B75" s="64">
        <v>5.3</v>
      </c>
      <c r="C75" s="64">
        <v>10.27</v>
      </c>
      <c r="D75" s="64">
        <v>9.6199999999999992</v>
      </c>
      <c r="E75" s="64">
        <v>4.7699999999999996</v>
      </c>
      <c r="F75" s="64">
        <v>19.71</v>
      </c>
      <c r="G75" s="64">
        <v>21.64</v>
      </c>
      <c r="H75" s="64">
        <v>6.68</v>
      </c>
      <c r="I75" s="64">
        <v>1.27</v>
      </c>
      <c r="J75" s="64">
        <v>1.1499999999999999</v>
      </c>
      <c r="K75" s="64">
        <v>122.7</v>
      </c>
      <c r="L75" s="64">
        <v>28.53</v>
      </c>
      <c r="M75" s="64">
        <v>87.81</v>
      </c>
      <c r="N75" s="64">
        <v>133.5</v>
      </c>
      <c r="O75" s="64">
        <v>0</v>
      </c>
      <c r="P75" s="64">
        <v>0.26</v>
      </c>
      <c r="Q75" s="64">
        <v>9.6199999999999992</v>
      </c>
      <c r="R75" s="198"/>
      <c r="S75" s="198"/>
      <c r="T75" s="198"/>
      <c r="U75" s="198"/>
    </row>
    <row r="76" spans="1:21" s="12" customFormat="1" x14ac:dyDescent="0.25">
      <c r="A76" s="212" t="s">
        <v>1658</v>
      </c>
      <c r="B76" s="64">
        <v>5.4</v>
      </c>
      <c r="C76" s="64">
        <v>9.65</v>
      </c>
      <c r="D76" s="64">
        <v>9.3699999999999992</v>
      </c>
      <c r="E76" s="64">
        <v>4.91</v>
      </c>
      <c r="F76" s="64">
        <v>18.41</v>
      </c>
      <c r="G76" s="64">
        <v>20.96</v>
      </c>
      <c r="H76" s="64">
        <v>6.19</v>
      </c>
      <c r="I76" s="64">
        <v>1.26</v>
      </c>
      <c r="J76" s="64">
        <v>0.96</v>
      </c>
      <c r="K76" s="64">
        <v>122.15</v>
      </c>
      <c r="L76" s="64">
        <v>28.41</v>
      </c>
      <c r="M76" s="64">
        <v>88.3</v>
      </c>
      <c r="N76" s="64">
        <v>148.5</v>
      </c>
      <c r="O76" s="64">
        <v>0</v>
      </c>
      <c r="P76" s="64">
        <v>0.25</v>
      </c>
      <c r="Q76" s="64">
        <v>9.6300000000000008</v>
      </c>
      <c r="R76" s="198"/>
      <c r="S76" s="198"/>
      <c r="T76" s="198"/>
      <c r="U76" s="198"/>
    </row>
    <row r="77" spans="1:21" s="12" customFormat="1" x14ac:dyDescent="0.25">
      <c r="A77" s="212" t="s">
        <v>1659</v>
      </c>
      <c r="B77" s="64">
        <v>5.33</v>
      </c>
      <c r="C77" s="64">
        <v>12.17</v>
      </c>
      <c r="D77" s="64">
        <v>10.63</v>
      </c>
      <c r="E77" s="64">
        <v>4.87</v>
      </c>
      <c r="F77" s="64">
        <v>17.18</v>
      </c>
      <c r="G77" s="64">
        <v>20.96</v>
      </c>
      <c r="H77" s="64">
        <v>6.19</v>
      </c>
      <c r="I77" s="64">
        <v>1.26</v>
      </c>
      <c r="J77" s="64">
        <v>0.75</v>
      </c>
      <c r="K77" s="64">
        <v>124.32</v>
      </c>
      <c r="L77" s="64">
        <v>28.51</v>
      </c>
      <c r="M77" s="64">
        <v>87.9</v>
      </c>
      <c r="N77" s="64">
        <v>119.8</v>
      </c>
      <c r="O77" s="64">
        <v>0</v>
      </c>
      <c r="P77" s="64">
        <v>0.27</v>
      </c>
      <c r="Q77" s="64">
        <v>9.6300000000000008</v>
      </c>
      <c r="R77" s="198"/>
      <c r="S77" s="198"/>
      <c r="T77" s="198"/>
      <c r="U77" s="198"/>
    </row>
    <row r="78" spans="1:21" s="12" customFormat="1" x14ac:dyDescent="0.25">
      <c r="A78" s="212" t="s">
        <v>1660</v>
      </c>
      <c r="B78" s="64">
        <v>5.55</v>
      </c>
      <c r="C78" s="64">
        <v>12.68</v>
      </c>
      <c r="D78" s="64">
        <v>11.08</v>
      </c>
      <c r="E78" s="64">
        <v>4.8099999999999996</v>
      </c>
      <c r="F78" s="64">
        <v>16.100000000000001</v>
      </c>
      <c r="G78" s="64">
        <v>20.96</v>
      </c>
      <c r="H78" s="64">
        <v>6.19</v>
      </c>
      <c r="I78" s="64">
        <v>1.25</v>
      </c>
      <c r="J78" s="64">
        <v>0.68</v>
      </c>
      <c r="K78" s="64">
        <v>126.35</v>
      </c>
      <c r="L78" s="64">
        <v>28.22</v>
      </c>
      <c r="M78" s="64">
        <v>92.14</v>
      </c>
      <c r="N78" s="64">
        <v>67.099999999999994</v>
      </c>
      <c r="O78" s="64">
        <v>0</v>
      </c>
      <c r="P78" s="64">
        <v>0.3</v>
      </c>
      <c r="Q78" s="64">
        <v>9.6300000000000008</v>
      </c>
      <c r="R78" s="198"/>
      <c r="S78" s="198"/>
      <c r="T78" s="198"/>
      <c r="U78" s="198"/>
    </row>
    <row r="79" spans="1:21" s="12" customFormat="1" x14ac:dyDescent="0.25">
      <c r="A79" s="212" t="s">
        <v>1661</v>
      </c>
      <c r="B79" s="64">
        <v>4.63</v>
      </c>
      <c r="C79" s="64">
        <v>11.2</v>
      </c>
      <c r="D79" s="64">
        <v>9.56</v>
      </c>
      <c r="E79" s="64">
        <v>4.79</v>
      </c>
      <c r="F79" s="64">
        <v>17.91</v>
      </c>
      <c r="G79" s="64">
        <v>25.98</v>
      </c>
      <c r="H79" s="64">
        <v>8.2799999999999994</v>
      </c>
      <c r="I79" s="64">
        <v>1.24</v>
      </c>
      <c r="J79" s="64">
        <v>0.74</v>
      </c>
      <c r="K79" s="64">
        <v>127.69</v>
      </c>
      <c r="L79" s="64">
        <v>27.83</v>
      </c>
      <c r="M79" s="64">
        <v>95.15</v>
      </c>
      <c r="N79" s="64">
        <v>54</v>
      </c>
      <c r="O79" s="64">
        <v>0</v>
      </c>
      <c r="P79" s="64">
        <v>0.23</v>
      </c>
      <c r="Q79" s="64">
        <v>9.6199999999999992</v>
      </c>
      <c r="R79" s="198"/>
      <c r="S79" s="198"/>
      <c r="T79" s="198"/>
      <c r="U79" s="198"/>
    </row>
    <row r="80" spans="1:21" s="12" customFormat="1" x14ac:dyDescent="0.25">
      <c r="A80" s="212" t="s">
        <v>1662</v>
      </c>
      <c r="B80" s="64">
        <v>12.17</v>
      </c>
      <c r="C80" s="64">
        <v>17.920000000000002</v>
      </c>
      <c r="D80" s="64">
        <v>19.12</v>
      </c>
      <c r="E80" s="64">
        <v>4.75</v>
      </c>
      <c r="F80" s="64">
        <v>14.36</v>
      </c>
      <c r="G80" s="64">
        <v>26.4</v>
      </c>
      <c r="H80" s="64">
        <v>8.4600000000000009</v>
      </c>
      <c r="I80" s="64">
        <v>1.24</v>
      </c>
      <c r="J80" s="64">
        <v>0.15</v>
      </c>
      <c r="K80" s="64">
        <v>355.46</v>
      </c>
      <c r="L80" s="64">
        <v>27.85</v>
      </c>
      <c r="M80" s="64">
        <v>94.85</v>
      </c>
      <c r="N80" s="64">
        <v>56.2</v>
      </c>
      <c r="O80" s="64">
        <v>0</v>
      </c>
      <c r="P80" s="64">
        <v>0.59</v>
      </c>
      <c r="Q80" s="64">
        <v>9.6300000000000008</v>
      </c>
      <c r="R80" s="198"/>
      <c r="S80" s="198"/>
      <c r="T80" s="198"/>
      <c r="U80" s="198"/>
    </row>
    <row r="81" spans="1:26" s="12" customFormat="1" x14ac:dyDescent="0.25">
      <c r="A81" s="212" t="s">
        <v>1663</v>
      </c>
      <c r="B81" s="64">
        <v>21.34</v>
      </c>
      <c r="C81" s="64">
        <v>22.83</v>
      </c>
      <c r="D81" s="64">
        <v>29.04</v>
      </c>
      <c r="E81" s="64">
        <v>4.74</v>
      </c>
      <c r="F81" s="64">
        <v>11</v>
      </c>
      <c r="G81" s="64">
        <v>26.4</v>
      </c>
      <c r="H81" s="64">
        <v>8.4600000000000009</v>
      </c>
      <c r="I81" s="64">
        <v>1.21</v>
      </c>
      <c r="J81" s="64">
        <v>0.31</v>
      </c>
      <c r="K81" s="64">
        <v>339.4</v>
      </c>
      <c r="L81" s="64">
        <v>28.08</v>
      </c>
      <c r="M81" s="64">
        <v>94.53</v>
      </c>
      <c r="N81" s="64">
        <v>50.3</v>
      </c>
      <c r="O81" s="64">
        <v>0</v>
      </c>
      <c r="P81" s="64">
        <v>1.1299999999999999</v>
      </c>
      <c r="Q81" s="64">
        <v>9.61</v>
      </c>
      <c r="R81" s="198"/>
      <c r="S81" s="198"/>
      <c r="T81" s="198"/>
      <c r="U81" s="198"/>
    </row>
    <row r="82" spans="1:26" s="12" customFormat="1" x14ac:dyDescent="0.25">
      <c r="A82" s="212" t="s">
        <v>1664</v>
      </c>
      <c r="B82" s="64">
        <v>5.49</v>
      </c>
      <c r="C82" s="64">
        <v>16.829999999999998</v>
      </c>
      <c r="D82" s="64">
        <v>13.2</v>
      </c>
      <c r="E82" s="64">
        <v>4.58</v>
      </c>
      <c r="F82" s="64">
        <v>14.83</v>
      </c>
      <c r="G82" s="64">
        <v>26.4</v>
      </c>
      <c r="H82" s="64">
        <v>8.4600000000000009</v>
      </c>
      <c r="I82" s="64">
        <v>1.2</v>
      </c>
      <c r="J82" s="64">
        <v>0.37</v>
      </c>
      <c r="K82" s="64">
        <v>122.03</v>
      </c>
      <c r="L82" s="64">
        <v>28.02</v>
      </c>
      <c r="M82" s="64">
        <v>94.3</v>
      </c>
      <c r="N82" s="64">
        <v>42.3</v>
      </c>
      <c r="O82" s="64">
        <v>0</v>
      </c>
      <c r="P82" s="64">
        <v>0.44</v>
      </c>
      <c r="Q82" s="64">
        <v>9.6300000000000008</v>
      </c>
      <c r="R82" s="198"/>
      <c r="S82" s="198"/>
      <c r="T82" s="198"/>
      <c r="U82" s="198"/>
    </row>
    <row r="83" spans="1:26" s="12" customFormat="1" x14ac:dyDescent="0.25">
      <c r="A83" s="212" t="s">
        <v>1665</v>
      </c>
      <c r="B83" s="64">
        <v>4.4400000000000004</v>
      </c>
      <c r="C83" s="64">
        <v>14.53</v>
      </c>
      <c r="D83" s="64">
        <v>11.16</v>
      </c>
      <c r="E83" s="64">
        <v>4.7699999999999996</v>
      </c>
      <c r="F83" s="64">
        <v>14.22</v>
      </c>
      <c r="G83" s="64">
        <v>30.01</v>
      </c>
      <c r="H83" s="64">
        <v>7.09</v>
      </c>
      <c r="I83" s="64">
        <v>1.24</v>
      </c>
      <c r="J83" s="64">
        <v>0.48</v>
      </c>
      <c r="K83" s="64">
        <v>129.56</v>
      </c>
      <c r="L83" s="64">
        <v>27.8</v>
      </c>
      <c r="M83" s="64">
        <v>96.08</v>
      </c>
      <c r="N83" s="64">
        <v>40.5</v>
      </c>
      <c r="O83" s="64">
        <v>0</v>
      </c>
      <c r="P83" s="64">
        <v>0.39</v>
      </c>
      <c r="Q83" s="64">
        <v>9.6300000000000008</v>
      </c>
      <c r="R83" s="198"/>
      <c r="S83" s="198"/>
      <c r="T83" s="198"/>
      <c r="U83" s="198"/>
    </row>
    <row r="84" spans="1:26" s="12" customFormat="1" x14ac:dyDescent="0.25">
      <c r="A84" s="212" t="s">
        <v>1666</v>
      </c>
      <c r="B84" s="64">
        <v>4.1900000000000004</v>
      </c>
      <c r="C84" s="64">
        <v>13.98</v>
      </c>
      <c r="D84" s="64">
        <v>10.67</v>
      </c>
      <c r="E84" s="64">
        <v>4.7</v>
      </c>
      <c r="F84" s="64">
        <v>14.76</v>
      </c>
      <c r="G84" s="64">
        <v>30.27</v>
      </c>
      <c r="H84" s="64">
        <v>6.98</v>
      </c>
      <c r="I84" s="64">
        <v>1.26</v>
      </c>
      <c r="J84" s="64">
        <v>0.47</v>
      </c>
      <c r="K84" s="64">
        <v>125.08</v>
      </c>
      <c r="L84" s="64">
        <v>27.8</v>
      </c>
      <c r="M84" s="64">
        <v>95.08</v>
      </c>
      <c r="N84" s="64">
        <v>40.4</v>
      </c>
      <c r="O84" s="64">
        <v>0</v>
      </c>
      <c r="P84" s="64">
        <v>0.34</v>
      </c>
      <c r="Q84" s="64">
        <v>9.6</v>
      </c>
      <c r="R84" s="198"/>
      <c r="S84" s="198"/>
      <c r="T84" s="198"/>
      <c r="U84" s="198"/>
    </row>
    <row r="85" spans="1:26" s="12" customFormat="1" x14ac:dyDescent="0.25">
      <c r="A85" s="212" t="s">
        <v>1667</v>
      </c>
      <c r="B85" s="64">
        <v>6.97</v>
      </c>
      <c r="C85" s="64">
        <v>18.96</v>
      </c>
      <c r="D85" s="64">
        <v>15.5</v>
      </c>
      <c r="E85" s="64">
        <v>4.5199999999999996</v>
      </c>
      <c r="F85" s="64">
        <v>12.5</v>
      </c>
      <c r="G85" s="64">
        <v>30.27</v>
      </c>
      <c r="H85" s="64">
        <v>6.98</v>
      </c>
      <c r="I85" s="64">
        <v>1.28</v>
      </c>
      <c r="J85" s="64">
        <v>7.0000000000000007E-2</v>
      </c>
      <c r="K85" s="64">
        <v>131.44</v>
      </c>
      <c r="L85" s="64">
        <v>27.7</v>
      </c>
      <c r="M85" s="64">
        <v>96.17</v>
      </c>
      <c r="N85" s="64">
        <v>40.299999999999997</v>
      </c>
      <c r="O85" s="64">
        <v>0</v>
      </c>
      <c r="P85" s="64">
        <v>0.72</v>
      </c>
      <c r="Q85" s="64">
        <v>9.6300000000000008</v>
      </c>
      <c r="R85" s="198"/>
      <c r="S85" s="198"/>
      <c r="T85" s="198"/>
      <c r="U85" s="198"/>
    </row>
    <row r="86" spans="1:26" s="12" customFormat="1" x14ac:dyDescent="0.25">
      <c r="A86" s="212" t="s">
        <v>1668</v>
      </c>
      <c r="B86" s="64">
        <v>6.23</v>
      </c>
      <c r="C86" s="64">
        <v>15.12</v>
      </c>
      <c r="D86" s="64">
        <v>12.89</v>
      </c>
      <c r="E86" s="64">
        <v>4.57</v>
      </c>
      <c r="F86" s="64">
        <v>9.51</v>
      </c>
      <c r="G86" s="64">
        <v>30.27</v>
      </c>
      <c r="H86" s="64">
        <v>6.98</v>
      </c>
      <c r="I86" s="64">
        <v>1.29</v>
      </c>
      <c r="J86" s="64">
        <v>0.38</v>
      </c>
      <c r="K86" s="64">
        <v>173.09</v>
      </c>
      <c r="L86" s="64">
        <v>27.52</v>
      </c>
      <c r="M86" s="64">
        <v>97.24</v>
      </c>
      <c r="N86" s="64">
        <v>40.4</v>
      </c>
      <c r="O86" s="64">
        <v>0</v>
      </c>
      <c r="P86" s="64">
        <v>0.53</v>
      </c>
      <c r="Q86" s="64">
        <v>9.61</v>
      </c>
      <c r="R86" s="198"/>
      <c r="S86" s="198"/>
      <c r="T86" s="198"/>
      <c r="U86" s="198"/>
    </row>
    <row r="87" spans="1:26" s="12" customFormat="1" x14ac:dyDescent="0.25">
      <c r="A87" s="212" t="s">
        <v>1669</v>
      </c>
      <c r="B87" s="64">
        <v>5.67</v>
      </c>
      <c r="C87" s="64">
        <v>12.98</v>
      </c>
      <c r="D87" s="64">
        <v>11.33</v>
      </c>
      <c r="E87" s="64">
        <v>4.6500000000000004</v>
      </c>
      <c r="F87" s="64">
        <v>12.14</v>
      </c>
      <c r="G87" s="64">
        <v>30.46</v>
      </c>
      <c r="H87" s="64">
        <v>13.2</v>
      </c>
      <c r="I87" s="64">
        <v>1.32</v>
      </c>
      <c r="J87" s="64">
        <v>0.28000000000000003</v>
      </c>
      <c r="K87" s="64">
        <v>171.08</v>
      </c>
      <c r="L87" s="64">
        <v>27.4</v>
      </c>
      <c r="M87" s="64">
        <v>96.81</v>
      </c>
      <c r="N87" s="64">
        <v>40.299999999999997</v>
      </c>
      <c r="O87" s="64">
        <v>0</v>
      </c>
      <c r="P87" s="64">
        <v>0.45</v>
      </c>
      <c r="Q87" s="64">
        <v>9.61</v>
      </c>
      <c r="R87" s="198"/>
      <c r="S87" s="198"/>
      <c r="T87" s="198"/>
      <c r="U87" s="198"/>
    </row>
    <row r="88" spans="1:26" s="12" customFormat="1" x14ac:dyDescent="0.25">
      <c r="A88" s="212" t="s">
        <v>1670</v>
      </c>
      <c r="B88" s="64">
        <v>6.03</v>
      </c>
      <c r="C88" s="64">
        <v>14.1</v>
      </c>
      <c r="D88" s="64">
        <v>12.2</v>
      </c>
      <c r="E88" s="64">
        <v>4.62</v>
      </c>
      <c r="F88" s="64">
        <v>11.57</v>
      </c>
      <c r="G88" s="64">
        <v>30.47</v>
      </c>
      <c r="H88" s="64">
        <v>13.64</v>
      </c>
      <c r="I88" s="64">
        <v>1.36</v>
      </c>
      <c r="J88" s="64">
        <v>0.27</v>
      </c>
      <c r="K88" s="64">
        <v>158.02000000000001</v>
      </c>
      <c r="L88" s="64">
        <v>27.32</v>
      </c>
      <c r="M88" s="64">
        <v>94.61</v>
      </c>
      <c r="N88" s="64">
        <v>40.200000000000003</v>
      </c>
      <c r="O88" s="64">
        <v>0</v>
      </c>
      <c r="P88" s="64">
        <v>0.43</v>
      </c>
      <c r="Q88" s="64">
        <v>9.6300000000000008</v>
      </c>
      <c r="R88" s="198"/>
      <c r="S88" s="198"/>
      <c r="T88" s="198"/>
      <c r="U88" s="198"/>
    </row>
    <row r="89" spans="1:26" s="12" customFormat="1" x14ac:dyDescent="0.25">
      <c r="A89" s="212" t="s">
        <v>1671</v>
      </c>
      <c r="B89" s="64">
        <v>8.24</v>
      </c>
      <c r="C89" s="64">
        <v>20.77</v>
      </c>
      <c r="D89" s="64">
        <v>17.46</v>
      </c>
      <c r="E89" s="64">
        <v>4.3</v>
      </c>
      <c r="F89" s="64">
        <v>9.3800000000000008</v>
      </c>
      <c r="G89" s="64">
        <v>30.47</v>
      </c>
      <c r="H89" s="64">
        <v>13.64</v>
      </c>
      <c r="I89" s="64">
        <v>1.39</v>
      </c>
      <c r="J89" s="64">
        <v>0.08</v>
      </c>
      <c r="K89" s="64">
        <v>210.24</v>
      </c>
      <c r="L89" s="64">
        <v>27.44</v>
      </c>
      <c r="M89" s="64">
        <v>92.7</v>
      </c>
      <c r="N89" s="64">
        <v>40.299999999999997</v>
      </c>
      <c r="O89" s="64">
        <v>0</v>
      </c>
      <c r="P89" s="64">
        <v>0.46</v>
      </c>
      <c r="Q89" s="64">
        <v>9.6199999999999992</v>
      </c>
      <c r="R89" s="198"/>
      <c r="S89" s="198"/>
      <c r="T89" s="198"/>
      <c r="U89" s="198"/>
    </row>
    <row r="90" spans="1:26" s="12" customFormat="1" x14ac:dyDescent="0.25">
      <c r="A90" s="212" t="s">
        <v>1672</v>
      </c>
      <c r="B90" s="64">
        <v>18.7</v>
      </c>
      <c r="C90" s="64">
        <v>18.47</v>
      </c>
      <c r="D90" s="64">
        <v>24.64</v>
      </c>
      <c r="E90" s="64">
        <v>4.54</v>
      </c>
      <c r="F90" s="64">
        <v>5.44</v>
      </c>
      <c r="G90" s="64">
        <v>30.47</v>
      </c>
      <c r="H90" s="64">
        <v>13.64</v>
      </c>
      <c r="I90" s="64">
        <v>1.41</v>
      </c>
      <c r="J90" s="64">
        <v>0.16</v>
      </c>
      <c r="K90" s="64">
        <v>336.76</v>
      </c>
      <c r="L90" s="64">
        <v>27.53</v>
      </c>
      <c r="M90" s="64">
        <v>96.24</v>
      </c>
      <c r="N90" s="64">
        <v>40.4</v>
      </c>
      <c r="O90" s="64">
        <v>0</v>
      </c>
      <c r="P90" s="64">
        <v>0.91</v>
      </c>
      <c r="Q90" s="64">
        <v>9.6199999999999992</v>
      </c>
      <c r="R90" s="198"/>
      <c r="S90" s="198"/>
      <c r="T90" s="198"/>
      <c r="U90" s="198"/>
    </row>
    <row r="91" spans="1:26" s="12" customFormat="1" x14ac:dyDescent="0.25">
      <c r="A91" s="212" t="s">
        <v>1673</v>
      </c>
      <c r="B91" s="64">
        <v>15.03</v>
      </c>
      <c r="C91" s="64">
        <v>11.51</v>
      </c>
      <c r="D91" s="64">
        <v>17.68</v>
      </c>
      <c r="E91" s="64">
        <v>4.6399999999999997</v>
      </c>
      <c r="F91" s="64">
        <v>7.73</v>
      </c>
      <c r="G91" s="64">
        <v>32.01</v>
      </c>
      <c r="H91" s="64">
        <v>11.18</v>
      </c>
      <c r="I91" s="64">
        <v>1.44</v>
      </c>
      <c r="J91" s="64">
        <v>0.13</v>
      </c>
      <c r="K91" s="64">
        <v>327.5</v>
      </c>
      <c r="L91" s="64">
        <v>27.27</v>
      </c>
      <c r="M91" s="64">
        <v>97.75</v>
      </c>
      <c r="N91" s="64">
        <v>40.799999999999997</v>
      </c>
      <c r="O91" s="64">
        <v>0</v>
      </c>
      <c r="P91" s="64">
        <v>0.62</v>
      </c>
      <c r="Q91" s="64">
        <v>9.6199999999999992</v>
      </c>
      <c r="R91" s="198"/>
      <c r="S91" s="198"/>
      <c r="T91" s="198"/>
      <c r="U91" s="198"/>
    </row>
    <row r="92" spans="1:26" s="12" customFormat="1" x14ac:dyDescent="0.25">
      <c r="A92" s="212" t="s">
        <v>1674</v>
      </c>
      <c r="B92" s="64">
        <v>7.15</v>
      </c>
      <c r="C92" s="64">
        <v>12.17</v>
      </c>
      <c r="D92" s="64">
        <v>12.09</v>
      </c>
      <c r="E92" s="64">
        <v>4.42</v>
      </c>
      <c r="F92" s="64">
        <v>7.96</v>
      </c>
      <c r="G92" s="64">
        <v>32.119999999999997</v>
      </c>
      <c r="H92" s="64">
        <v>10.97</v>
      </c>
      <c r="I92" s="64">
        <v>1.5</v>
      </c>
      <c r="J92" s="64">
        <v>0.06</v>
      </c>
      <c r="K92" s="64">
        <v>305.17</v>
      </c>
      <c r="L92" s="64">
        <v>26.62</v>
      </c>
      <c r="M92" s="64">
        <v>97.79</v>
      </c>
      <c r="N92" s="64">
        <v>41.1</v>
      </c>
      <c r="O92" s="64">
        <v>0</v>
      </c>
      <c r="P92" s="64">
        <v>0.5</v>
      </c>
      <c r="Q92" s="64">
        <v>9.6199999999999992</v>
      </c>
      <c r="R92" s="198"/>
      <c r="S92" s="198"/>
      <c r="T92" s="198"/>
      <c r="U92" s="198"/>
    </row>
    <row r="93" spans="1:26" s="12" customFormat="1" x14ac:dyDescent="0.25">
      <c r="A93" s="212" t="s">
        <v>1675</v>
      </c>
      <c r="B93" s="64">
        <v>12.4</v>
      </c>
      <c r="C93" s="64">
        <v>13.21</v>
      </c>
      <c r="D93" s="64">
        <v>16.670000000000002</v>
      </c>
      <c r="E93" s="64">
        <v>4.46</v>
      </c>
      <c r="F93" s="64">
        <v>7.18</v>
      </c>
      <c r="G93" s="64">
        <v>32.119999999999997</v>
      </c>
      <c r="H93" s="64">
        <v>10.97</v>
      </c>
      <c r="I93" s="64">
        <v>1.56</v>
      </c>
      <c r="J93" s="64">
        <v>0.11</v>
      </c>
      <c r="K93" s="64">
        <v>326.08</v>
      </c>
      <c r="L93" s="64">
        <v>26.11</v>
      </c>
      <c r="M93" s="64">
        <v>97.8</v>
      </c>
      <c r="N93" s="64">
        <v>41.2</v>
      </c>
      <c r="O93" s="64">
        <v>0</v>
      </c>
      <c r="P93" s="64">
        <v>0.56000000000000005</v>
      </c>
      <c r="Q93" s="64">
        <v>9.6300000000000008</v>
      </c>
      <c r="R93" s="198"/>
      <c r="S93" s="198"/>
      <c r="T93" s="198"/>
      <c r="U93" s="198"/>
    </row>
    <row r="94" spans="1:26" s="12" customFormat="1" x14ac:dyDescent="0.25">
      <c r="A94" s="212" t="s">
        <v>1676</v>
      </c>
      <c r="B94" s="64">
        <v>17.829999999999998</v>
      </c>
      <c r="C94" s="64">
        <v>19.7</v>
      </c>
      <c r="D94" s="64">
        <v>24.58</v>
      </c>
      <c r="E94" s="64">
        <v>4.46</v>
      </c>
      <c r="F94" s="64">
        <v>7.22</v>
      </c>
      <c r="G94" s="64">
        <v>32.119999999999997</v>
      </c>
      <c r="H94" s="64">
        <v>10.97</v>
      </c>
      <c r="I94" s="64">
        <v>1.58</v>
      </c>
      <c r="J94" s="64">
        <v>0.15</v>
      </c>
      <c r="K94" s="64">
        <v>320.38</v>
      </c>
      <c r="L94" s="64">
        <v>26.05</v>
      </c>
      <c r="M94" s="64">
        <v>97.81</v>
      </c>
      <c r="N94" s="64">
        <v>40.799999999999997</v>
      </c>
      <c r="O94" s="64">
        <v>0</v>
      </c>
      <c r="P94" s="64">
        <v>0.78</v>
      </c>
      <c r="Q94" s="64">
        <v>9.6300000000000008</v>
      </c>
      <c r="R94" s="198"/>
      <c r="S94" s="198"/>
      <c r="T94" s="198"/>
      <c r="U94" s="198"/>
    </row>
    <row r="95" spans="1:26" s="12" customFormat="1" x14ac:dyDescent="0.25">
      <c r="A95" s="212" t="s">
        <v>1677</v>
      </c>
      <c r="B95" s="64">
        <v>9.27</v>
      </c>
      <c r="C95" s="64">
        <v>16.09</v>
      </c>
      <c r="D95" s="64">
        <v>15.84</v>
      </c>
      <c r="E95" s="64">
        <v>4.71</v>
      </c>
      <c r="F95" s="64">
        <v>6.87</v>
      </c>
      <c r="G95" s="64">
        <v>34.83</v>
      </c>
      <c r="H95" s="64">
        <v>10.9</v>
      </c>
      <c r="I95" s="64">
        <v>1.54</v>
      </c>
      <c r="J95" s="64">
        <v>0.39</v>
      </c>
      <c r="K95" s="64">
        <v>80.22</v>
      </c>
      <c r="L95" s="64">
        <v>25.82</v>
      </c>
      <c r="M95" s="64">
        <v>97.85</v>
      </c>
      <c r="N95" s="64">
        <v>41.6</v>
      </c>
      <c r="O95" s="64">
        <v>0</v>
      </c>
      <c r="P95" s="64">
        <v>0.74</v>
      </c>
      <c r="Q95" s="64">
        <v>9.61</v>
      </c>
      <c r="R95" s="198"/>
      <c r="S95" s="198"/>
      <c r="T95" s="198"/>
      <c r="U95" s="198"/>
    </row>
    <row r="96" spans="1:26" s="12" customFormat="1" x14ac:dyDescent="0.25">
      <c r="A96" s="212" t="s">
        <v>1678</v>
      </c>
      <c r="B96" s="64">
        <v>9.5500000000000007</v>
      </c>
      <c r="C96" s="64">
        <v>10.24</v>
      </c>
      <c r="D96" s="64">
        <v>13.01</v>
      </c>
      <c r="E96" s="64">
        <v>4.66</v>
      </c>
      <c r="F96" s="64">
        <v>2.59</v>
      </c>
      <c r="G96" s="64">
        <v>35.06</v>
      </c>
      <c r="H96" s="64">
        <v>10.89</v>
      </c>
      <c r="I96" s="64">
        <v>1.51</v>
      </c>
      <c r="J96" s="64">
        <v>1.52</v>
      </c>
      <c r="K96" s="64">
        <v>116.08</v>
      </c>
      <c r="L96" s="64">
        <v>23.9</v>
      </c>
      <c r="M96" s="64">
        <v>97.9</v>
      </c>
      <c r="N96" s="64">
        <v>43</v>
      </c>
      <c r="O96" s="64">
        <v>0.2</v>
      </c>
      <c r="P96" s="64">
        <v>0.5</v>
      </c>
      <c r="Q96" s="64">
        <v>9.6199999999999992</v>
      </c>
      <c r="R96" s="198"/>
      <c r="S96" s="198"/>
      <c r="T96" s="198"/>
      <c r="U96" s="198"/>
      <c r="Z96" s="109"/>
    </row>
    <row r="97" spans="1:33" s="12" customFormat="1" x14ac:dyDescent="0.25">
      <c r="A97" s="212" t="s">
        <v>1679</v>
      </c>
      <c r="B97" s="64">
        <v>9.1300000000000008</v>
      </c>
      <c r="C97" s="64">
        <v>8.2100000000000009</v>
      </c>
      <c r="D97" s="64">
        <v>11.61</v>
      </c>
      <c r="E97" s="64">
        <v>4.53</v>
      </c>
      <c r="F97" s="64">
        <v>5.74</v>
      </c>
      <c r="G97" s="64">
        <v>35.06</v>
      </c>
      <c r="H97" s="64">
        <v>10.89</v>
      </c>
      <c r="I97" s="64">
        <v>1.68</v>
      </c>
      <c r="J97" s="64">
        <v>0.49</v>
      </c>
      <c r="K97" s="64">
        <v>124.65</v>
      </c>
      <c r="L97" s="64">
        <v>23.02</v>
      </c>
      <c r="M97" s="64">
        <v>97.89</v>
      </c>
      <c r="N97" s="64">
        <v>41.3</v>
      </c>
      <c r="O97" s="64">
        <v>0</v>
      </c>
      <c r="P97" s="64">
        <v>0.45</v>
      </c>
      <c r="Q97" s="64">
        <v>9.6199999999999992</v>
      </c>
      <c r="R97" s="198"/>
      <c r="S97" s="198"/>
      <c r="T97" s="198"/>
      <c r="U97" s="198"/>
    </row>
    <row r="98" spans="1:33" s="12" customFormat="1" x14ac:dyDescent="0.25">
      <c r="A98" s="212" t="s">
        <v>1680</v>
      </c>
      <c r="B98" s="64">
        <v>8.92</v>
      </c>
      <c r="C98" s="64">
        <v>9.43</v>
      </c>
      <c r="D98" s="64">
        <v>12.08</v>
      </c>
      <c r="E98" s="64">
        <v>4.26</v>
      </c>
      <c r="F98" s="64">
        <v>9.5399999999999991</v>
      </c>
      <c r="G98" s="64">
        <v>35.06</v>
      </c>
      <c r="H98" s="64">
        <v>10.89</v>
      </c>
      <c r="I98" s="64">
        <v>1.62</v>
      </c>
      <c r="J98" s="64">
        <v>0.05</v>
      </c>
      <c r="K98" s="64">
        <v>27.86</v>
      </c>
      <c r="L98" s="64">
        <v>23.13</v>
      </c>
      <c r="M98" s="64">
        <v>97.88</v>
      </c>
      <c r="N98" s="64">
        <v>40.4</v>
      </c>
      <c r="O98" s="64">
        <v>0</v>
      </c>
      <c r="P98" s="64">
        <v>0.33</v>
      </c>
      <c r="Q98" s="64">
        <v>9.6199999999999992</v>
      </c>
      <c r="R98" s="198"/>
      <c r="S98" s="198"/>
      <c r="T98" s="198"/>
      <c r="U98" s="198"/>
    </row>
    <row r="99" spans="1:33" s="12" customFormat="1" x14ac:dyDescent="0.25">
      <c r="A99" s="212" t="s">
        <v>1681</v>
      </c>
      <c r="B99" s="64">
        <v>6.91</v>
      </c>
      <c r="C99" s="64">
        <v>11.53</v>
      </c>
      <c r="D99" s="64">
        <v>11.57</v>
      </c>
      <c r="E99" s="64">
        <v>4.7699999999999996</v>
      </c>
      <c r="F99" s="64">
        <v>8.14</v>
      </c>
      <c r="G99" s="64">
        <v>24.09</v>
      </c>
      <c r="H99" s="64">
        <v>6.49</v>
      </c>
      <c r="I99" s="64">
        <v>1.46</v>
      </c>
      <c r="J99" s="64">
        <v>0.1</v>
      </c>
      <c r="K99" s="64">
        <v>344.08</v>
      </c>
      <c r="L99" s="64">
        <v>23.1</v>
      </c>
      <c r="M99" s="64">
        <v>97.84</v>
      </c>
      <c r="N99" s="64">
        <v>41.2</v>
      </c>
      <c r="O99" s="64">
        <v>0</v>
      </c>
      <c r="P99" s="64">
        <v>0.4</v>
      </c>
      <c r="Q99" s="64">
        <v>9.64</v>
      </c>
      <c r="R99" s="198"/>
      <c r="S99" s="198"/>
      <c r="T99" s="198"/>
      <c r="U99" s="198"/>
    </row>
    <row r="100" spans="1:33" s="12" customFormat="1" x14ac:dyDescent="0.25">
      <c r="A100" s="212" t="s">
        <v>1682</v>
      </c>
      <c r="B100" s="64">
        <v>8.09</v>
      </c>
      <c r="C100" s="64">
        <v>8.44</v>
      </c>
      <c r="D100" s="64">
        <v>10.9</v>
      </c>
      <c r="E100" s="64">
        <v>4.5199999999999996</v>
      </c>
      <c r="F100" s="64">
        <v>5.67</v>
      </c>
      <c r="G100" s="64">
        <v>23.31</v>
      </c>
      <c r="H100" s="64">
        <v>6.17</v>
      </c>
      <c r="I100" s="64">
        <v>1.43</v>
      </c>
      <c r="J100" s="64">
        <v>0.05</v>
      </c>
      <c r="K100" s="64">
        <v>269.60000000000002</v>
      </c>
      <c r="L100" s="64">
        <v>23</v>
      </c>
      <c r="M100" s="64">
        <v>97.85</v>
      </c>
      <c r="N100" s="64">
        <v>40.5</v>
      </c>
      <c r="O100" s="64">
        <v>0</v>
      </c>
      <c r="P100" s="64">
        <v>0.44</v>
      </c>
      <c r="Q100" s="64">
        <v>9.64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2" t="s">
        <v>1683</v>
      </c>
      <c r="B101" s="64">
        <v>6.82</v>
      </c>
      <c r="C101" s="64">
        <v>9.76</v>
      </c>
      <c r="D101" s="64">
        <v>10.57</v>
      </c>
      <c r="E101" s="64">
        <v>4.32</v>
      </c>
      <c r="F101" s="64">
        <v>8.69</v>
      </c>
      <c r="G101" s="64">
        <v>23.31</v>
      </c>
      <c r="H101" s="64">
        <v>6.17</v>
      </c>
      <c r="I101" s="64">
        <v>1.45</v>
      </c>
      <c r="J101" s="64">
        <v>0.1</v>
      </c>
      <c r="K101" s="64">
        <v>192.74</v>
      </c>
      <c r="L101" s="64">
        <v>23.05</v>
      </c>
      <c r="M101" s="64">
        <v>97.85</v>
      </c>
      <c r="N101" s="64">
        <v>40.6</v>
      </c>
      <c r="O101" s="64">
        <v>0</v>
      </c>
      <c r="P101" s="64">
        <v>0.32</v>
      </c>
      <c r="Q101" s="64">
        <v>9.6199999999999992</v>
      </c>
      <c r="R101" s="198"/>
      <c r="S101" s="198"/>
      <c r="T101" s="198"/>
      <c r="U101" s="198"/>
    </row>
    <row r="102" spans="1:33" s="12" customFormat="1" x14ac:dyDescent="0.25">
      <c r="A102" s="212" t="s">
        <v>1684</v>
      </c>
      <c r="B102" s="64">
        <v>7.16</v>
      </c>
      <c r="C102" s="64">
        <v>9.35</v>
      </c>
      <c r="D102" s="64">
        <v>10.63</v>
      </c>
      <c r="E102" s="64">
        <v>4.33</v>
      </c>
      <c r="F102" s="64">
        <v>5.98</v>
      </c>
      <c r="G102" s="64">
        <v>23.31</v>
      </c>
      <c r="H102" s="64">
        <v>6.17</v>
      </c>
      <c r="I102" s="64">
        <v>1.54</v>
      </c>
      <c r="J102" s="64">
        <v>7.0000000000000007E-2</v>
      </c>
      <c r="K102" s="64">
        <v>358.62</v>
      </c>
      <c r="L102" s="64">
        <v>23.15</v>
      </c>
      <c r="M102" s="64">
        <v>97.85</v>
      </c>
      <c r="N102" s="64">
        <v>40.6</v>
      </c>
      <c r="O102" s="64">
        <v>0</v>
      </c>
      <c r="P102" s="64">
        <v>0.39</v>
      </c>
      <c r="Q102" s="64">
        <v>9.6199999999999992</v>
      </c>
      <c r="R102" s="198"/>
      <c r="S102" s="198"/>
      <c r="T102" s="198"/>
      <c r="U102" s="198"/>
    </row>
    <row r="103" spans="1:33" s="12" customFormat="1" x14ac:dyDescent="0.25">
      <c r="A103" s="212" t="s">
        <v>1685</v>
      </c>
      <c r="B103" s="64">
        <v>8.61</v>
      </c>
      <c r="C103" s="64">
        <v>10.98</v>
      </c>
      <c r="D103" s="64">
        <v>12.64</v>
      </c>
      <c r="E103" s="64">
        <v>4.12</v>
      </c>
      <c r="F103" s="64">
        <v>7.64</v>
      </c>
      <c r="G103" s="64">
        <v>18.260000000000002</v>
      </c>
      <c r="H103" s="64">
        <v>6.48</v>
      </c>
      <c r="I103" s="64">
        <v>1.47</v>
      </c>
      <c r="J103" s="64">
        <v>0.6</v>
      </c>
      <c r="K103" s="64">
        <v>341.09</v>
      </c>
      <c r="L103" s="64">
        <v>23.21</v>
      </c>
      <c r="M103" s="64">
        <v>97.84</v>
      </c>
      <c r="N103" s="64">
        <v>40.799999999999997</v>
      </c>
      <c r="O103" s="64">
        <v>0</v>
      </c>
      <c r="P103" s="64">
        <v>0.43</v>
      </c>
      <c r="Q103" s="64">
        <v>9.6300000000000008</v>
      </c>
      <c r="R103" s="198"/>
      <c r="S103" s="198"/>
      <c r="T103" s="198"/>
      <c r="U103" s="198"/>
    </row>
    <row r="104" spans="1:33" s="12" customFormat="1" x14ac:dyDescent="0.25">
      <c r="A104" s="212" t="s">
        <v>1686</v>
      </c>
      <c r="B104" s="64">
        <v>7.74</v>
      </c>
      <c r="C104" s="64">
        <v>8.43</v>
      </c>
      <c r="D104" s="64">
        <v>10.61</v>
      </c>
      <c r="E104" s="64">
        <v>4.4400000000000004</v>
      </c>
      <c r="F104" s="64">
        <v>7.67</v>
      </c>
      <c r="G104" s="64">
        <v>17.899999999999999</v>
      </c>
      <c r="H104" s="64">
        <v>6.51</v>
      </c>
      <c r="I104" s="64">
        <v>1.33</v>
      </c>
      <c r="J104" s="64">
        <v>0.08</v>
      </c>
      <c r="K104" s="64">
        <v>42.76</v>
      </c>
      <c r="L104" s="64">
        <v>23.08</v>
      </c>
      <c r="M104" s="64">
        <v>97.85</v>
      </c>
      <c r="N104" s="64">
        <v>40.9</v>
      </c>
      <c r="O104" s="64">
        <v>0</v>
      </c>
      <c r="P104" s="64">
        <v>0.34</v>
      </c>
      <c r="Q104" s="64">
        <v>9.6300000000000008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4.1900000000000004</v>
      </c>
      <c r="C106" s="67">
        <f>MIN(C9:C104)</f>
        <v>7.06</v>
      </c>
      <c r="D106" s="67">
        <f t="shared" ref="D106:Q106" si="0">MIN(D9:D104)</f>
        <v>8.19</v>
      </c>
      <c r="E106" s="67">
        <f t="shared" si="0"/>
        <v>3.12</v>
      </c>
      <c r="F106" s="67">
        <f t="shared" si="0"/>
        <v>2.2000000000000002</v>
      </c>
      <c r="G106" s="67">
        <f t="shared" si="0"/>
        <v>17.899999999999999</v>
      </c>
      <c r="H106" s="67">
        <f t="shared" si="0"/>
        <v>1.42</v>
      </c>
      <c r="I106" s="67">
        <f t="shared" si="0"/>
        <v>1.2</v>
      </c>
      <c r="J106" s="67">
        <f t="shared" si="0"/>
        <v>0</v>
      </c>
      <c r="K106" s="67">
        <f t="shared" si="0"/>
        <v>1.49</v>
      </c>
      <c r="L106" s="67">
        <f t="shared" si="0"/>
        <v>23</v>
      </c>
      <c r="M106" s="67">
        <f t="shared" si="0"/>
        <v>76.16</v>
      </c>
      <c r="N106" s="67">
        <f t="shared" si="0"/>
        <v>40.200000000000003</v>
      </c>
      <c r="O106" s="67">
        <f t="shared" si="0"/>
        <v>0</v>
      </c>
      <c r="P106" s="67">
        <f t="shared" si="0"/>
        <v>0.21</v>
      </c>
      <c r="Q106" s="67">
        <f t="shared" si="0"/>
        <v>9.6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24.55</v>
      </c>
      <c r="C107" s="66">
        <f t="shared" ref="C107:Q107" si="1">MAX(C9:C104)</f>
        <v>22.83</v>
      </c>
      <c r="D107" s="66">
        <f t="shared" si="1"/>
        <v>29.04</v>
      </c>
      <c r="E107" s="66">
        <f t="shared" si="1"/>
        <v>4.91</v>
      </c>
      <c r="F107" s="66">
        <f t="shared" si="1"/>
        <v>19.71</v>
      </c>
      <c r="G107" s="66">
        <f t="shared" si="1"/>
        <v>41.74</v>
      </c>
      <c r="H107" s="66">
        <f t="shared" si="1"/>
        <v>20.74</v>
      </c>
      <c r="I107" s="66">
        <f t="shared" si="1"/>
        <v>1.73</v>
      </c>
      <c r="J107" s="66">
        <f t="shared" si="1"/>
        <v>1.52</v>
      </c>
      <c r="K107" s="66">
        <f t="shared" si="1"/>
        <v>358.62</v>
      </c>
      <c r="L107" s="66">
        <f t="shared" si="1"/>
        <v>30.17</v>
      </c>
      <c r="M107" s="66">
        <f t="shared" si="1"/>
        <v>97.9</v>
      </c>
      <c r="N107" s="66">
        <f t="shared" si="1"/>
        <v>692.1</v>
      </c>
      <c r="O107" s="66">
        <f t="shared" si="1"/>
        <v>0.2</v>
      </c>
      <c r="P107" s="66">
        <f t="shared" si="1"/>
        <v>1.1299999999999999</v>
      </c>
      <c r="Q107" s="66">
        <f t="shared" si="1"/>
        <v>9.69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10.278854166666669</v>
      </c>
      <c r="C108" s="67">
        <f t="shared" ref="C108:Q108" si="2">AVERAGE(C9:C104)</f>
        <v>11.316979166666668</v>
      </c>
      <c r="D108" s="67">
        <f t="shared" si="2"/>
        <v>14.148125</v>
      </c>
      <c r="E108" s="67">
        <f t="shared" si="2"/>
        <v>4.1190624999999983</v>
      </c>
      <c r="F108" s="67">
        <f t="shared" si="2"/>
        <v>10.202500000000001</v>
      </c>
      <c r="G108" s="67">
        <f t="shared" si="2"/>
        <v>29.322187499999995</v>
      </c>
      <c r="H108" s="67">
        <f t="shared" si="2"/>
        <v>8.7437500000000039</v>
      </c>
      <c r="I108" s="67">
        <f t="shared" si="2"/>
        <v>1.4847916666666665</v>
      </c>
      <c r="J108" s="67">
        <f t="shared" si="2"/>
        <v>0.37489583333333337</v>
      </c>
      <c r="K108" s="67">
        <f t="shared" si="2"/>
        <v>175.4479166666666</v>
      </c>
      <c r="L108" s="67">
        <f t="shared" si="2"/>
        <v>27.145833333333339</v>
      </c>
      <c r="M108" s="67">
        <f t="shared" si="2"/>
        <v>91.852604166666666</v>
      </c>
      <c r="N108" s="67">
        <f t="shared" si="2"/>
        <v>179.94687499999998</v>
      </c>
      <c r="O108" s="67">
        <f t="shared" si="2"/>
        <v>4.1666666666666666E-3</v>
      </c>
      <c r="P108" s="67">
        <f t="shared" si="2"/>
        <v>0.38093749999999998</v>
      </c>
      <c r="Q108" s="67">
        <f t="shared" si="2"/>
        <v>9.6404166666666686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4.5616423334703411</v>
      </c>
      <c r="C109" s="67">
        <f t="shared" ref="C109:Q109" si="3">STDEV(C9:C104)</f>
        <v>3.2581651664998454</v>
      </c>
      <c r="D109" s="67">
        <f t="shared" si="3"/>
        <v>4.2200973579440451</v>
      </c>
      <c r="E109" s="67">
        <f t="shared" si="3"/>
        <v>0.51700570723716155</v>
      </c>
      <c r="F109" s="67">
        <f t="shared" si="3"/>
        <v>5.2223176947848691</v>
      </c>
      <c r="G109" s="67">
        <f t="shared" si="3"/>
        <v>4.7038598267525726</v>
      </c>
      <c r="H109" s="67">
        <f t="shared" si="3"/>
        <v>4.6191975265703462</v>
      </c>
      <c r="I109" s="67">
        <f t="shared" si="3"/>
        <v>0.14994019275534087</v>
      </c>
      <c r="J109" s="67">
        <f t="shared" si="3"/>
        <v>0.30774902553752836</v>
      </c>
      <c r="K109" s="67">
        <f t="shared" si="3"/>
        <v>100.99698745811214</v>
      </c>
      <c r="L109" s="67">
        <f t="shared" si="3"/>
        <v>2.152760610382408</v>
      </c>
      <c r="M109" s="67">
        <f t="shared" si="3"/>
        <v>7.2599972806710378</v>
      </c>
      <c r="N109" s="67">
        <f t="shared" si="3"/>
        <v>187.55257674253153</v>
      </c>
      <c r="O109" s="67">
        <f t="shared" si="3"/>
        <v>2.8715177232759195E-2</v>
      </c>
      <c r="P109" s="67">
        <f t="shared" si="3"/>
        <v>0.14487074547587886</v>
      </c>
      <c r="Q109" s="67">
        <f t="shared" si="3"/>
        <v>2.1418961922197943E-2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216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6" sqref="J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16/08/2025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2" t="s">
        <v>1687</v>
      </c>
      <c r="B9" s="64">
        <v>6.03</v>
      </c>
      <c r="C9" s="64">
        <v>13.3</v>
      </c>
      <c r="D9" s="64">
        <v>11.78</v>
      </c>
      <c r="E9" s="64">
        <v>4.95</v>
      </c>
      <c r="F9" s="64">
        <v>7.11</v>
      </c>
      <c r="G9" s="64">
        <v>17.899999999999999</v>
      </c>
      <c r="H9" s="64">
        <v>6.51</v>
      </c>
      <c r="I9" s="64">
        <v>1.32</v>
      </c>
      <c r="J9" s="64">
        <v>0.3</v>
      </c>
      <c r="K9" s="64">
        <v>339.02</v>
      </c>
      <c r="L9" s="64">
        <v>23.07</v>
      </c>
      <c r="M9" s="64">
        <v>97.85</v>
      </c>
      <c r="N9" s="64">
        <v>40.799999999999997</v>
      </c>
      <c r="O9" s="64">
        <v>0</v>
      </c>
      <c r="P9" s="64">
        <v>0.36</v>
      </c>
      <c r="Q9" s="64">
        <v>9.6300000000000008</v>
      </c>
      <c r="R9" s="198"/>
      <c r="S9" s="198"/>
      <c r="T9" s="198"/>
      <c r="U9" s="198"/>
    </row>
    <row r="10" spans="1:21" s="12" customFormat="1" x14ac:dyDescent="0.25">
      <c r="A10" s="212" t="s">
        <v>1688</v>
      </c>
      <c r="B10" s="64">
        <v>5.84</v>
      </c>
      <c r="C10" s="64">
        <v>12.61</v>
      </c>
      <c r="D10" s="64">
        <v>11.27</v>
      </c>
      <c r="E10" s="64">
        <v>4.99</v>
      </c>
      <c r="F10" s="64">
        <v>8.85</v>
      </c>
      <c r="G10" s="64">
        <v>17.899999999999999</v>
      </c>
      <c r="H10" s="64">
        <v>6.51</v>
      </c>
      <c r="I10" s="64">
        <v>1.34</v>
      </c>
      <c r="J10" s="64">
        <v>0.05</v>
      </c>
      <c r="K10" s="64">
        <v>22.7</v>
      </c>
      <c r="L10" s="64">
        <v>23.08</v>
      </c>
      <c r="M10" s="64">
        <v>97.85</v>
      </c>
      <c r="N10" s="64">
        <v>40.9</v>
      </c>
      <c r="O10" s="64">
        <v>0</v>
      </c>
      <c r="P10" s="64">
        <v>0.35</v>
      </c>
      <c r="Q10" s="64">
        <v>9.6300000000000008</v>
      </c>
      <c r="R10" s="198"/>
      <c r="S10" s="198"/>
      <c r="T10" s="198"/>
      <c r="U10" s="198"/>
    </row>
    <row r="11" spans="1:21" s="12" customFormat="1" x14ac:dyDescent="0.25">
      <c r="A11" s="212" t="s">
        <v>1689</v>
      </c>
      <c r="B11" s="64">
        <v>5.26</v>
      </c>
      <c r="C11" s="64">
        <v>14.7</v>
      </c>
      <c r="D11" s="64">
        <v>11.9</v>
      </c>
      <c r="E11" s="64">
        <v>5.05</v>
      </c>
      <c r="F11" s="64">
        <v>5.95</v>
      </c>
      <c r="G11" s="64">
        <v>12.98</v>
      </c>
      <c r="H11" s="64">
        <v>7.32</v>
      </c>
      <c r="I11" s="64">
        <v>1.33</v>
      </c>
      <c r="J11" s="64">
        <v>0.04</v>
      </c>
      <c r="K11" s="64">
        <v>144.44</v>
      </c>
      <c r="L11" s="64">
        <v>23.18</v>
      </c>
      <c r="M11" s="64">
        <v>97.85</v>
      </c>
      <c r="N11" s="64">
        <v>40.5</v>
      </c>
      <c r="O11" s="64">
        <v>0</v>
      </c>
      <c r="P11" s="64">
        <v>0.36</v>
      </c>
      <c r="Q11" s="64">
        <v>9.64</v>
      </c>
      <c r="R11" s="198"/>
      <c r="S11" s="198"/>
      <c r="T11" s="198"/>
      <c r="U11" s="198"/>
    </row>
    <row r="12" spans="1:21" s="12" customFormat="1" x14ac:dyDescent="0.25">
      <c r="A12" s="212" t="s">
        <v>1690</v>
      </c>
      <c r="B12" s="64">
        <v>5.41</v>
      </c>
      <c r="C12" s="64">
        <v>13.82</v>
      </c>
      <c r="D12" s="64">
        <v>11.56</v>
      </c>
      <c r="E12" s="64">
        <v>5.03</v>
      </c>
      <c r="F12" s="64">
        <v>7.34</v>
      </c>
      <c r="G12" s="64">
        <v>12.63</v>
      </c>
      <c r="H12" s="64">
        <v>7.38</v>
      </c>
      <c r="I12" s="64">
        <v>1.31</v>
      </c>
      <c r="J12" s="64">
        <v>0.04</v>
      </c>
      <c r="K12" s="64">
        <v>277.5</v>
      </c>
      <c r="L12" s="64">
        <v>23.23</v>
      </c>
      <c r="M12" s="64">
        <v>97.85</v>
      </c>
      <c r="N12" s="64">
        <v>40.799999999999997</v>
      </c>
      <c r="O12" s="64">
        <v>0</v>
      </c>
      <c r="P12" s="64">
        <v>0.38</v>
      </c>
      <c r="Q12" s="64">
        <v>9.64</v>
      </c>
      <c r="R12" s="198"/>
      <c r="S12" s="198"/>
      <c r="T12" s="198"/>
      <c r="U12" s="198"/>
    </row>
    <row r="13" spans="1:21" s="12" customFormat="1" x14ac:dyDescent="0.25">
      <c r="A13" s="212" t="s">
        <v>1691</v>
      </c>
      <c r="B13" s="64">
        <v>5.42</v>
      </c>
      <c r="C13" s="64">
        <v>11.32</v>
      </c>
      <c r="D13" s="64">
        <v>10.26</v>
      </c>
      <c r="E13" s="64">
        <v>4.93</v>
      </c>
      <c r="F13" s="64">
        <v>8.0299999999999994</v>
      </c>
      <c r="G13" s="64">
        <v>12.63</v>
      </c>
      <c r="H13" s="64">
        <v>7.38</v>
      </c>
      <c r="I13" s="64">
        <v>1.36</v>
      </c>
      <c r="J13" s="64">
        <v>0.06</v>
      </c>
      <c r="K13" s="64">
        <v>186.22</v>
      </c>
      <c r="L13" s="64">
        <v>23.3</v>
      </c>
      <c r="M13" s="64">
        <v>97.85</v>
      </c>
      <c r="N13" s="64">
        <v>40.700000000000003</v>
      </c>
      <c r="O13" s="64">
        <v>0</v>
      </c>
      <c r="P13" s="64">
        <v>0.28999999999999998</v>
      </c>
      <c r="Q13" s="64">
        <v>9.64</v>
      </c>
      <c r="R13" s="198"/>
      <c r="S13" s="198"/>
      <c r="T13" s="198"/>
      <c r="U13" s="198"/>
    </row>
    <row r="14" spans="1:21" s="12" customFormat="1" x14ac:dyDescent="0.25">
      <c r="A14" s="212" t="s">
        <v>1692</v>
      </c>
      <c r="B14" s="64">
        <v>5.51</v>
      </c>
      <c r="C14" s="64">
        <v>8.6</v>
      </c>
      <c r="D14" s="64">
        <v>8.91</v>
      </c>
      <c r="E14" s="64">
        <v>5.29</v>
      </c>
      <c r="F14" s="64">
        <v>8.8800000000000008</v>
      </c>
      <c r="G14" s="64">
        <v>12.63</v>
      </c>
      <c r="H14" s="64">
        <v>7.38</v>
      </c>
      <c r="I14" s="64">
        <v>1.49</v>
      </c>
      <c r="J14" s="64">
        <v>0.15</v>
      </c>
      <c r="K14" s="64">
        <v>137.88</v>
      </c>
      <c r="L14" s="64">
        <v>23.23</v>
      </c>
      <c r="M14" s="64">
        <v>97.85</v>
      </c>
      <c r="N14" s="64">
        <v>41</v>
      </c>
      <c r="O14" s="64">
        <v>0</v>
      </c>
      <c r="P14" s="64">
        <v>0.27</v>
      </c>
      <c r="Q14" s="64">
        <v>9.65</v>
      </c>
      <c r="R14" s="198"/>
      <c r="S14" s="198"/>
      <c r="T14" s="198"/>
      <c r="U14" s="198"/>
    </row>
    <row r="15" spans="1:21" s="12" customFormat="1" x14ac:dyDescent="0.25">
      <c r="A15" s="212" t="s">
        <v>1693</v>
      </c>
      <c r="B15" s="64">
        <v>5.37</v>
      </c>
      <c r="C15" s="64">
        <v>7.71</v>
      </c>
      <c r="D15" s="64">
        <v>8.34</v>
      </c>
      <c r="E15" s="64">
        <v>5.26</v>
      </c>
      <c r="F15" s="64">
        <v>8.41</v>
      </c>
      <c r="G15" s="64">
        <v>13.35</v>
      </c>
      <c r="H15" s="64">
        <v>8.48</v>
      </c>
      <c r="I15" s="64">
        <v>1.5</v>
      </c>
      <c r="J15" s="64">
        <v>7.0000000000000007E-2</v>
      </c>
      <c r="K15" s="64">
        <v>154.19</v>
      </c>
      <c r="L15" s="64">
        <v>23.31</v>
      </c>
      <c r="M15" s="64">
        <v>97.85</v>
      </c>
      <c r="N15" s="64">
        <v>40.6</v>
      </c>
      <c r="O15" s="64">
        <v>0</v>
      </c>
      <c r="P15" s="64">
        <v>0.25</v>
      </c>
      <c r="Q15" s="64">
        <v>9.64</v>
      </c>
      <c r="R15" s="198"/>
      <c r="S15" s="198"/>
      <c r="T15" s="198"/>
      <c r="U15" s="198"/>
    </row>
    <row r="16" spans="1:21" s="12" customFormat="1" x14ac:dyDescent="0.25">
      <c r="A16" s="212" t="s">
        <v>1694</v>
      </c>
      <c r="B16" s="64">
        <v>5.27</v>
      </c>
      <c r="C16" s="64">
        <v>7.77</v>
      </c>
      <c r="D16" s="64">
        <v>8.2799999999999994</v>
      </c>
      <c r="E16" s="64">
        <v>5.15</v>
      </c>
      <c r="F16" s="64">
        <v>8.32</v>
      </c>
      <c r="G16" s="64">
        <v>13.41</v>
      </c>
      <c r="H16" s="64">
        <v>8.58</v>
      </c>
      <c r="I16" s="64">
        <v>1.49</v>
      </c>
      <c r="J16" s="64">
        <v>0.02</v>
      </c>
      <c r="K16" s="64">
        <v>52.31</v>
      </c>
      <c r="L16" s="64">
        <v>23.45</v>
      </c>
      <c r="M16" s="64">
        <v>97.85</v>
      </c>
      <c r="N16" s="64">
        <v>40.4</v>
      </c>
      <c r="O16" s="64">
        <v>0</v>
      </c>
      <c r="P16" s="64">
        <v>0.25</v>
      </c>
      <c r="Q16" s="64">
        <v>9.65</v>
      </c>
      <c r="R16" s="198"/>
      <c r="S16" s="198"/>
      <c r="T16" s="198"/>
      <c r="U16" s="198"/>
    </row>
    <row r="17" spans="1:21" s="12" customFormat="1" x14ac:dyDescent="0.25">
      <c r="A17" s="212" t="s">
        <v>1695</v>
      </c>
      <c r="B17" s="64">
        <v>5.38</v>
      </c>
      <c r="C17" s="64">
        <v>6.94</v>
      </c>
      <c r="D17" s="64">
        <v>7.94</v>
      </c>
      <c r="E17" s="64">
        <v>5.07</v>
      </c>
      <c r="F17" s="64">
        <v>7.74</v>
      </c>
      <c r="G17" s="64">
        <v>13.41</v>
      </c>
      <c r="H17" s="64">
        <v>8.58</v>
      </c>
      <c r="I17" s="64">
        <v>1.47</v>
      </c>
      <c r="J17" s="64">
        <v>0.13</v>
      </c>
      <c r="K17" s="64">
        <v>132.51</v>
      </c>
      <c r="L17" s="64">
        <v>23.52</v>
      </c>
      <c r="M17" s="64">
        <v>97.85</v>
      </c>
      <c r="N17" s="64">
        <v>40.5</v>
      </c>
      <c r="O17" s="64">
        <v>0</v>
      </c>
      <c r="P17" s="64">
        <v>0.26</v>
      </c>
      <c r="Q17" s="64">
        <v>9.65</v>
      </c>
      <c r="R17" s="198"/>
      <c r="S17" s="198"/>
      <c r="T17" s="198"/>
      <c r="U17" s="198"/>
    </row>
    <row r="18" spans="1:21" s="12" customFormat="1" x14ac:dyDescent="0.25">
      <c r="A18" s="212" t="s">
        <v>1696</v>
      </c>
      <c r="B18" s="64">
        <v>6.31</v>
      </c>
      <c r="C18" s="64">
        <v>6.07</v>
      </c>
      <c r="D18" s="64">
        <v>8.24</v>
      </c>
      <c r="E18" s="64">
        <v>4.9000000000000004</v>
      </c>
      <c r="F18" s="64">
        <v>7.93</v>
      </c>
      <c r="G18" s="64">
        <v>13.41</v>
      </c>
      <c r="H18" s="64">
        <v>8.58</v>
      </c>
      <c r="I18" s="64">
        <v>1.45</v>
      </c>
      <c r="J18" s="64">
        <v>0.11</v>
      </c>
      <c r="K18" s="64">
        <v>151.26</v>
      </c>
      <c r="L18" s="64">
        <v>23.47</v>
      </c>
      <c r="M18" s="64">
        <v>97.85</v>
      </c>
      <c r="N18" s="64">
        <v>40.9</v>
      </c>
      <c r="O18" s="64">
        <v>0</v>
      </c>
      <c r="P18" s="64">
        <v>0.28000000000000003</v>
      </c>
      <c r="Q18" s="64">
        <v>9.64</v>
      </c>
      <c r="R18" s="198"/>
      <c r="S18" s="198"/>
      <c r="T18" s="198"/>
      <c r="U18" s="198"/>
    </row>
    <row r="19" spans="1:21" s="12" customFormat="1" x14ac:dyDescent="0.25">
      <c r="A19" s="212" t="s">
        <v>1697</v>
      </c>
      <c r="B19" s="64">
        <v>6.09</v>
      </c>
      <c r="C19" s="64">
        <v>6.25</v>
      </c>
      <c r="D19" s="64">
        <v>8.15</v>
      </c>
      <c r="E19" s="64">
        <v>5.17</v>
      </c>
      <c r="F19" s="64">
        <v>6.52</v>
      </c>
      <c r="G19" s="64">
        <v>13.63</v>
      </c>
      <c r="H19" s="64">
        <v>5.63</v>
      </c>
      <c r="I19" s="64">
        <v>1.43</v>
      </c>
      <c r="J19" s="64">
        <v>0.11</v>
      </c>
      <c r="K19" s="64">
        <v>149.33000000000001</v>
      </c>
      <c r="L19" s="64">
        <v>23.35</v>
      </c>
      <c r="M19" s="64">
        <v>97.85</v>
      </c>
      <c r="N19" s="64">
        <v>41.1</v>
      </c>
      <c r="O19" s="64">
        <v>0</v>
      </c>
      <c r="P19" s="64">
        <v>0.3</v>
      </c>
      <c r="Q19" s="64">
        <v>9.65</v>
      </c>
      <c r="R19" s="198"/>
      <c r="S19" s="198"/>
      <c r="T19" s="198"/>
      <c r="U19" s="198"/>
    </row>
    <row r="20" spans="1:21" s="12" customFormat="1" x14ac:dyDescent="0.25">
      <c r="A20" s="212" t="s">
        <v>1698</v>
      </c>
      <c r="B20" s="64">
        <v>5.63</v>
      </c>
      <c r="C20" s="64">
        <v>6.66</v>
      </c>
      <c r="D20" s="64">
        <v>8</v>
      </c>
      <c r="E20" s="64">
        <v>5.46</v>
      </c>
      <c r="F20" s="64">
        <v>10.24</v>
      </c>
      <c r="G20" s="64">
        <v>13.65</v>
      </c>
      <c r="H20" s="64">
        <v>5.39</v>
      </c>
      <c r="I20" s="64">
        <v>1.39</v>
      </c>
      <c r="J20" s="64">
        <v>0.12</v>
      </c>
      <c r="K20" s="64">
        <v>141.13</v>
      </c>
      <c r="L20" s="64">
        <v>23.29</v>
      </c>
      <c r="M20" s="64">
        <v>97.85</v>
      </c>
      <c r="N20" s="64">
        <v>41.1</v>
      </c>
      <c r="O20" s="64">
        <v>0</v>
      </c>
      <c r="P20" s="64">
        <v>0.21</v>
      </c>
      <c r="Q20" s="64">
        <v>9.65</v>
      </c>
      <c r="R20" s="198"/>
      <c r="S20" s="198"/>
      <c r="T20" s="198"/>
      <c r="U20" s="198"/>
    </row>
    <row r="21" spans="1:21" s="12" customFormat="1" x14ac:dyDescent="0.25">
      <c r="A21" s="212" t="s">
        <v>1699</v>
      </c>
      <c r="B21" s="64">
        <v>4.95</v>
      </c>
      <c r="C21" s="64">
        <v>6.39</v>
      </c>
      <c r="D21" s="64">
        <v>7.31</v>
      </c>
      <c r="E21" s="64">
        <v>4.79</v>
      </c>
      <c r="F21" s="64">
        <v>9.0399999999999991</v>
      </c>
      <c r="G21" s="64">
        <v>13.65</v>
      </c>
      <c r="H21" s="64">
        <v>5.39</v>
      </c>
      <c r="I21" s="64">
        <v>1.36</v>
      </c>
      <c r="J21" s="64">
        <v>0.1</v>
      </c>
      <c r="K21" s="64">
        <v>149.87</v>
      </c>
      <c r="L21" s="64">
        <v>23.29</v>
      </c>
      <c r="M21" s="64">
        <v>97.85</v>
      </c>
      <c r="N21" s="64">
        <v>41.1</v>
      </c>
      <c r="O21" s="64">
        <v>0</v>
      </c>
      <c r="P21" s="64">
        <v>0.22</v>
      </c>
      <c r="Q21" s="64">
        <v>9.65</v>
      </c>
      <c r="R21" s="198"/>
      <c r="S21" s="198"/>
      <c r="T21" s="198"/>
      <c r="U21" s="198"/>
    </row>
    <row r="22" spans="1:21" s="12" customFormat="1" x14ac:dyDescent="0.25">
      <c r="A22" s="212" t="s">
        <v>1700</v>
      </c>
      <c r="B22" s="64">
        <v>6.05</v>
      </c>
      <c r="C22" s="64">
        <v>5.98</v>
      </c>
      <c r="D22" s="64">
        <v>7.98</v>
      </c>
      <c r="E22" s="64">
        <v>4.93</v>
      </c>
      <c r="F22" s="64">
        <v>7.66</v>
      </c>
      <c r="G22" s="64">
        <v>13.65</v>
      </c>
      <c r="H22" s="64">
        <v>5.39</v>
      </c>
      <c r="I22" s="64">
        <v>1.33</v>
      </c>
      <c r="J22" s="64">
        <v>0.18</v>
      </c>
      <c r="K22" s="64">
        <v>134.69999999999999</v>
      </c>
      <c r="L22" s="64">
        <v>23.35</v>
      </c>
      <c r="M22" s="64">
        <v>97.85</v>
      </c>
      <c r="N22" s="64">
        <v>41.3</v>
      </c>
      <c r="O22" s="64">
        <v>0</v>
      </c>
      <c r="P22" s="64">
        <v>0.28000000000000003</v>
      </c>
      <c r="Q22" s="64">
        <v>9.65</v>
      </c>
      <c r="R22" s="198"/>
      <c r="S22" s="198"/>
      <c r="T22" s="198"/>
      <c r="U22" s="198"/>
    </row>
    <row r="23" spans="1:21" s="12" customFormat="1" x14ac:dyDescent="0.25">
      <c r="A23" s="212" t="s">
        <v>1701</v>
      </c>
      <c r="B23" s="64">
        <v>5.12</v>
      </c>
      <c r="C23" s="64">
        <v>5.68</v>
      </c>
      <c r="D23" s="64">
        <v>7.07</v>
      </c>
      <c r="E23" s="64">
        <v>4.99</v>
      </c>
      <c r="F23" s="64">
        <v>9.5299999999999994</v>
      </c>
      <c r="G23" s="64">
        <v>14.85</v>
      </c>
      <c r="H23" s="64">
        <v>4.7699999999999996</v>
      </c>
      <c r="I23" s="64">
        <v>1.29</v>
      </c>
      <c r="J23" s="64">
        <v>0.24</v>
      </c>
      <c r="K23" s="64">
        <v>132.35</v>
      </c>
      <c r="L23" s="64">
        <v>23.43</v>
      </c>
      <c r="M23" s="64">
        <v>97.85</v>
      </c>
      <c r="N23" s="64">
        <v>41.4</v>
      </c>
      <c r="O23" s="64">
        <v>0</v>
      </c>
      <c r="P23" s="64">
        <v>0.22</v>
      </c>
      <c r="Q23" s="64">
        <v>9.64</v>
      </c>
      <c r="R23" s="198"/>
      <c r="S23" s="198"/>
      <c r="T23" s="198"/>
      <c r="U23" s="198"/>
    </row>
    <row r="24" spans="1:21" s="12" customFormat="1" x14ac:dyDescent="0.25">
      <c r="A24" s="212" t="s">
        <v>1702</v>
      </c>
      <c r="B24" s="64">
        <v>6.58</v>
      </c>
      <c r="C24" s="64">
        <v>5.76</v>
      </c>
      <c r="D24" s="64">
        <v>8.2899999999999991</v>
      </c>
      <c r="E24" s="64">
        <v>4.97</v>
      </c>
      <c r="F24" s="64">
        <v>7.69</v>
      </c>
      <c r="G24" s="64">
        <v>14.95</v>
      </c>
      <c r="H24" s="64">
        <v>4.72</v>
      </c>
      <c r="I24" s="64">
        <v>1.28</v>
      </c>
      <c r="J24" s="64">
        <v>0.03</v>
      </c>
      <c r="K24" s="64">
        <v>199.73</v>
      </c>
      <c r="L24" s="64">
        <v>23.45</v>
      </c>
      <c r="M24" s="64">
        <v>97.86</v>
      </c>
      <c r="N24" s="64">
        <v>41.2</v>
      </c>
      <c r="O24" s="64">
        <v>0</v>
      </c>
      <c r="P24" s="64">
        <v>0.28999999999999998</v>
      </c>
      <c r="Q24" s="64">
        <v>9.64</v>
      </c>
      <c r="R24" s="198"/>
      <c r="S24" s="198"/>
      <c r="T24" s="198"/>
      <c r="U24" s="198"/>
    </row>
    <row r="25" spans="1:21" s="12" customFormat="1" x14ac:dyDescent="0.25">
      <c r="A25" s="212" t="s">
        <v>1703</v>
      </c>
      <c r="B25" s="64">
        <v>7.39</v>
      </c>
      <c r="C25" s="64">
        <v>6.59</v>
      </c>
      <c r="D25" s="64">
        <v>9.3699999999999992</v>
      </c>
      <c r="E25" s="64">
        <v>5.05</v>
      </c>
      <c r="F25" s="64">
        <v>8.9600000000000009</v>
      </c>
      <c r="G25" s="64">
        <v>14.95</v>
      </c>
      <c r="H25" s="64">
        <v>4.72</v>
      </c>
      <c r="I25" s="64">
        <v>1.25</v>
      </c>
      <c r="J25" s="64">
        <v>0.23</v>
      </c>
      <c r="K25" s="64">
        <v>117.28</v>
      </c>
      <c r="L25" s="64">
        <v>23.49</v>
      </c>
      <c r="M25" s="64">
        <v>97.85</v>
      </c>
      <c r="N25" s="64">
        <v>41.4</v>
      </c>
      <c r="O25" s="64">
        <v>0</v>
      </c>
      <c r="P25" s="64">
        <v>0.26</v>
      </c>
      <c r="Q25" s="64">
        <v>9.64</v>
      </c>
      <c r="R25" s="198"/>
      <c r="S25" s="198"/>
      <c r="T25" s="198"/>
      <c r="U25" s="198"/>
    </row>
    <row r="26" spans="1:21" s="12" customFormat="1" x14ac:dyDescent="0.25">
      <c r="A26" s="212" t="s">
        <v>1704</v>
      </c>
      <c r="B26" s="64">
        <v>6.97</v>
      </c>
      <c r="C26" s="64">
        <v>5.99</v>
      </c>
      <c r="D26" s="64">
        <v>8.7200000000000006</v>
      </c>
      <c r="E26" s="64">
        <v>4.9400000000000004</v>
      </c>
      <c r="F26" s="64">
        <v>8.99</v>
      </c>
      <c r="G26" s="64">
        <v>14.95</v>
      </c>
      <c r="H26" s="64">
        <v>4.72</v>
      </c>
      <c r="I26" s="64">
        <v>1.23</v>
      </c>
      <c r="J26" s="64">
        <v>0.72</v>
      </c>
      <c r="K26" s="64">
        <v>127.55</v>
      </c>
      <c r="L26" s="64">
        <v>23.51</v>
      </c>
      <c r="M26" s="64">
        <v>97.86</v>
      </c>
      <c r="N26" s="64">
        <v>41.6</v>
      </c>
      <c r="O26" s="64">
        <v>0</v>
      </c>
      <c r="P26" s="64">
        <v>0.25</v>
      </c>
      <c r="Q26" s="64">
        <v>9.65</v>
      </c>
      <c r="R26" s="198"/>
      <c r="S26" s="198"/>
      <c r="T26" s="198"/>
      <c r="U26" s="198"/>
    </row>
    <row r="27" spans="1:21" s="12" customFormat="1" x14ac:dyDescent="0.25">
      <c r="A27" s="212" t="s">
        <v>1705</v>
      </c>
      <c r="B27" s="64">
        <v>7.2</v>
      </c>
      <c r="C27" s="64">
        <v>7.25</v>
      </c>
      <c r="D27" s="64">
        <v>9.56</v>
      </c>
      <c r="E27" s="64">
        <v>5.04</v>
      </c>
      <c r="F27" s="64">
        <v>7.83</v>
      </c>
      <c r="G27" s="64">
        <v>13.14</v>
      </c>
      <c r="H27" s="64">
        <v>3.27</v>
      </c>
      <c r="I27" s="64">
        <v>1.2</v>
      </c>
      <c r="J27" s="64">
        <v>0.2</v>
      </c>
      <c r="K27" s="64">
        <v>135.16999999999999</v>
      </c>
      <c r="L27" s="64">
        <v>23.56</v>
      </c>
      <c r="M27" s="64">
        <v>97.85</v>
      </c>
      <c r="N27" s="64">
        <v>41.2</v>
      </c>
      <c r="O27" s="64">
        <v>0</v>
      </c>
      <c r="P27" s="64">
        <v>0.25</v>
      </c>
      <c r="Q27" s="64">
        <v>9.65</v>
      </c>
      <c r="R27" s="198"/>
      <c r="S27" s="198"/>
      <c r="T27" s="198"/>
      <c r="U27" s="198"/>
    </row>
    <row r="28" spans="1:21" s="12" customFormat="1" x14ac:dyDescent="0.25">
      <c r="A28" s="212" t="s">
        <v>1706</v>
      </c>
      <c r="B28" s="64">
        <v>6.72</v>
      </c>
      <c r="C28" s="64">
        <v>8.18</v>
      </c>
      <c r="D28" s="64">
        <v>9.66</v>
      </c>
      <c r="E28" s="64">
        <v>4.87</v>
      </c>
      <c r="F28" s="64">
        <v>8.57</v>
      </c>
      <c r="G28" s="64">
        <v>12.98</v>
      </c>
      <c r="H28" s="64">
        <v>3.15</v>
      </c>
      <c r="I28" s="64">
        <v>1.19</v>
      </c>
      <c r="J28" s="64">
        <v>0.25</v>
      </c>
      <c r="K28" s="64">
        <v>127.25</v>
      </c>
      <c r="L28" s="64">
        <v>23.53</v>
      </c>
      <c r="M28" s="64">
        <v>97.85</v>
      </c>
      <c r="N28" s="64">
        <v>41.1</v>
      </c>
      <c r="O28" s="64">
        <v>0</v>
      </c>
      <c r="P28" s="64">
        <v>0.26</v>
      </c>
      <c r="Q28" s="64">
        <v>9.65</v>
      </c>
      <c r="R28" s="198"/>
      <c r="S28" s="198"/>
      <c r="T28" s="198"/>
      <c r="U28" s="198"/>
    </row>
    <row r="29" spans="1:21" s="12" customFormat="1" x14ac:dyDescent="0.25">
      <c r="A29" s="212" t="s">
        <v>1707</v>
      </c>
      <c r="B29" s="64">
        <v>7.31</v>
      </c>
      <c r="C29" s="64">
        <v>8.19</v>
      </c>
      <c r="D29" s="64">
        <v>10.15</v>
      </c>
      <c r="E29" s="64">
        <v>4.9000000000000004</v>
      </c>
      <c r="F29" s="64">
        <v>7.95</v>
      </c>
      <c r="G29" s="64">
        <v>12.98</v>
      </c>
      <c r="H29" s="64">
        <v>3.15</v>
      </c>
      <c r="I29" s="64">
        <v>1.17</v>
      </c>
      <c r="J29" s="64">
        <v>0.34</v>
      </c>
      <c r="K29" s="64">
        <v>123.6</v>
      </c>
      <c r="L29" s="64">
        <v>23.57</v>
      </c>
      <c r="M29" s="64">
        <v>97.85</v>
      </c>
      <c r="N29" s="64">
        <v>41.5</v>
      </c>
      <c r="O29" s="64">
        <v>0</v>
      </c>
      <c r="P29" s="64">
        <v>0.24</v>
      </c>
      <c r="Q29" s="64">
        <v>9.64</v>
      </c>
      <c r="R29" s="198"/>
      <c r="S29" s="198"/>
      <c r="T29" s="198"/>
      <c r="U29" s="198"/>
    </row>
    <row r="30" spans="1:21" s="12" customFormat="1" x14ac:dyDescent="0.25">
      <c r="A30" s="212" t="s">
        <v>1708</v>
      </c>
      <c r="B30" s="64">
        <v>7.89</v>
      </c>
      <c r="C30" s="64">
        <v>6.99</v>
      </c>
      <c r="D30" s="64">
        <v>9.98</v>
      </c>
      <c r="E30" s="64">
        <v>4.8</v>
      </c>
      <c r="F30" s="64">
        <v>8.25</v>
      </c>
      <c r="G30" s="64">
        <v>12.98</v>
      </c>
      <c r="H30" s="64">
        <v>3.15</v>
      </c>
      <c r="I30" s="64">
        <v>1.1599999999999999</v>
      </c>
      <c r="J30" s="64">
        <v>0.49</v>
      </c>
      <c r="K30" s="64">
        <v>129.07</v>
      </c>
      <c r="L30" s="64">
        <v>23.63</v>
      </c>
      <c r="M30" s="64">
        <v>97.85</v>
      </c>
      <c r="N30" s="64">
        <v>41.9</v>
      </c>
      <c r="O30" s="64">
        <v>0</v>
      </c>
      <c r="P30" s="64">
        <v>0.26</v>
      </c>
      <c r="Q30" s="64">
        <v>9.64</v>
      </c>
      <c r="R30" s="198"/>
      <c r="S30" s="198"/>
      <c r="T30" s="198"/>
      <c r="U30" s="198"/>
    </row>
    <row r="31" spans="1:21" s="12" customFormat="1" x14ac:dyDescent="0.25">
      <c r="A31" s="212" t="s">
        <v>1709</v>
      </c>
      <c r="B31" s="64">
        <v>7.05</v>
      </c>
      <c r="C31" s="64">
        <v>6.93</v>
      </c>
      <c r="D31" s="64">
        <v>9.27</v>
      </c>
      <c r="E31" s="64">
        <v>5.03</v>
      </c>
      <c r="F31" s="64">
        <v>6.89</v>
      </c>
      <c r="G31" s="64">
        <v>11.91</v>
      </c>
      <c r="H31" s="64">
        <v>2.39</v>
      </c>
      <c r="I31" s="64">
        <v>1.1599999999999999</v>
      </c>
      <c r="J31" s="64">
        <v>0.24</v>
      </c>
      <c r="K31" s="64">
        <v>122.26</v>
      </c>
      <c r="L31" s="64">
        <v>23.64</v>
      </c>
      <c r="M31" s="64">
        <v>97.85</v>
      </c>
      <c r="N31" s="64">
        <v>44.3</v>
      </c>
      <c r="O31" s="64">
        <v>0</v>
      </c>
      <c r="P31" s="64">
        <v>0.28999999999999998</v>
      </c>
      <c r="Q31" s="64">
        <v>9.64</v>
      </c>
      <c r="R31" s="198"/>
      <c r="S31" s="198"/>
      <c r="T31" s="198"/>
      <c r="U31" s="198"/>
    </row>
    <row r="32" spans="1:21" s="12" customFormat="1" x14ac:dyDescent="0.25">
      <c r="A32" s="212" t="s">
        <v>1710</v>
      </c>
      <c r="B32" s="64">
        <v>7.87</v>
      </c>
      <c r="C32" s="64">
        <v>7.15</v>
      </c>
      <c r="D32" s="64">
        <v>10.050000000000001</v>
      </c>
      <c r="E32" s="64">
        <v>5.17</v>
      </c>
      <c r="F32" s="64">
        <v>7.61</v>
      </c>
      <c r="G32" s="64">
        <v>11.81</v>
      </c>
      <c r="H32" s="64">
        <v>2.33</v>
      </c>
      <c r="I32" s="64">
        <v>1.1599999999999999</v>
      </c>
      <c r="J32" s="64">
        <v>7.0000000000000007E-2</v>
      </c>
      <c r="K32" s="64">
        <v>318.79000000000002</v>
      </c>
      <c r="L32" s="64">
        <v>23.71</v>
      </c>
      <c r="M32" s="64">
        <v>97.87</v>
      </c>
      <c r="N32" s="64">
        <v>53.3</v>
      </c>
      <c r="O32" s="64">
        <v>0</v>
      </c>
      <c r="P32" s="64">
        <v>0.28999999999999998</v>
      </c>
      <c r="Q32" s="64">
        <v>9.64</v>
      </c>
      <c r="R32" s="198"/>
      <c r="S32" s="198"/>
      <c r="T32" s="198"/>
      <c r="U32" s="198"/>
    </row>
    <row r="33" spans="1:21" s="12" customFormat="1" x14ac:dyDescent="0.25">
      <c r="A33" s="212" t="s">
        <v>1711</v>
      </c>
      <c r="B33" s="64">
        <v>10.85</v>
      </c>
      <c r="C33" s="64">
        <v>8.77</v>
      </c>
      <c r="D33" s="64">
        <v>13.28</v>
      </c>
      <c r="E33" s="64">
        <v>5.31</v>
      </c>
      <c r="F33" s="64">
        <v>7.14</v>
      </c>
      <c r="G33" s="64">
        <v>11.81</v>
      </c>
      <c r="H33" s="64">
        <v>2.33</v>
      </c>
      <c r="I33" s="64">
        <v>1.17</v>
      </c>
      <c r="J33" s="64">
        <v>0.12</v>
      </c>
      <c r="K33" s="64">
        <v>121.12</v>
      </c>
      <c r="L33" s="64">
        <v>23.84</v>
      </c>
      <c r="M33" s="64">
        <v>97.88</v>
      </c>
      <c r="N33" s="64">
        <v>75.7</v>
      </c>
      <c r="O33" s="64">
        <v>0</v>
      </c>
      <c r="P33" s="64">
        <v>0.32</v>
      </c>
      <c r="Q33" s="64">
        <v>9.64</v>
      </c>
      <c r="R33" s="198"/>
      <c r="S33" s="198"/>
      <c r="T33" s="198"/>
      <c r="U33" s="198"/>
    </row>
    <row r="34" spans="1:21" s="12" customFormat="1" x14ac:dyDescent="0.25">
      <c r="A34" s="212" t="s">
        <v>1712</v>
      </c>
      <c r="B34" s="64">
        <v>9.8000000000000007</v>
      </c>
      <c r="C34" s="64">
        <v>8.91</v>
      </c>
      <c r="D34" s="64">
        <v>12.52</v>
      </c>
      <c r="E34" s="64">
        <v>5.16</v>
      </c>
      <c r="F34" s="64">
        <v>8.2100000000000009</v>
      </c>
      <c r="G34" s="64">
        <v>11.81</v>
      </c>
      <c r="H34" s="64">
        <v>2.33</v>
      </c>
      <c r="I34" s="64">
        <v>1.17</v>
      </c>
      <c r="J34" s="64">
        <v>0.2</v>
      </c>
      <c r="K34" s="64">
        <v>158.91999999999999</v>
      </c>
      <c r="L34" s="64">
        <v>24.09</v>
      </c>
      <c r="M34" s="64">
        <v>97.91</v>
      </c>
      <c r="N34" s="64">
        <v>103</v>
      </c>
      <c r="O34" s="64">
        <v>0</v>
      </c>
      <c r="P34" s="64">
        <v>0.38</v>
      </c>
      <c r="Q34" s="64">
        <v>9.64</v>
      </c>
      <c r="R34" s="198"/>
      <c r="S34" s="198"/>
      <c r="T34" s="198"/>
      <c r="U34" s="198"/>
    </row>
    <row r="35" spans="1:21" s="12" customFormat="1" x14ac:dyDescent="0.25">
      <c r="A35" s="212" t="s">
        <v>1713</v>
      </c>
      <c r="B35" s="64">
        <v>8.77</v>
      </c>
      <c r="C35" s="64">
        <v>6.19</v>
      </c>
      <c r="D35" s="64">
        <v>10.210000000000001</v>
      </c>
      <c r="E35" s="64">
        <v>5</v>
      </c>
      <c r="F35" s="64">
        <v>6.23</v>
      </c>
      <c r="G35" s="64">
        <v>14.34</v>
      </c>
      <c r="H35" s="64">
        <v>5.03</v>
      </c>
      <c r="I35" s="64">
        <v>1.1599999999999999</v>
      </c>
      <c r="J35" s="64">
        <v>0.67</v>
      </c>
      <c r="K35" s="64">
        <v>125.89</v>
      </c>
      <c r="L35" s="64">
        <v>24.31</v>
      </c>
      <c r="M35" s="64">
        <v>97.92</v>
      </c>
      <c r="N35" s="64">
        <v>82.1</v>
      </c>
      <c r="O35" s="64">
        <v>0</v>
      </c>
      <c r="P35" s="64">
        <v>0.28999999999999998</v>
      </c>
      <c r="Q35" s="64">
        <v>9.64</v>
      </c>
      <c r="R35" s="198"/>
      <c r="S35" s="198"/>
      <c r="T35" s="198"/>
      <c r="U35" s="198"/>
    </row>
    <row r="36" spans="1:21" s="12" customFormat="1" x14ac:dyDescent="0.25">
      <c r="A36" s="212" t="s">
        <v>1714</v>
      </c>
      <c r="B36" s="64">
        <v>8</v>
      </c>
      <c r="C36" s="64">
        <v>6.19</v>
      </c>
      <c r="D36" s="64">
        <v>9.65</v>
      </c>
      <c r="E36" s="64">
        <v>4.8899999999999997</v>
      </c>
      <c r="F36" s="64">
        <v>7.61</v>
      </c>
      <c r="G36" s="64">
        <v>14.55</v>
      </c>
      <c r="H36" s="64">
        <v>5.26</v>
      </c>
      <c r="I36" s="64">
        <v>1.18</v>
      </c>
      <c r="J36" s="64">
        <v>0.79</v>
      </c>
      <c r="K36" s="64">
        <v>124.81</v>
      </c>
      <c r="L36" s="64">
        <v>24.3</v>
      </c>
      <c r="M36" s="64">
        <v>97.91</v>
      </c>
      <c r="N36" s="64">
        <v>86.6</v>
      </c>
      <c r="O36" s="64">
        <v>0</v>
      </c>
      <c r="P36" s="64">
        <v>0.27</v>
      </c>
      <c r="Q36" s="64">
        <v>9.64</v>
      </c>
      <c r="R36" s="198"/>
      <c r="S36" s="198"/>
      <c r="T36" s="198"/>
      <c r="U36" s="198"/>
    </row>
    <row r="37" spans="1:21" s="12" customFormat="1" x14ac:dyDescent="0.25">
      <c r="A37" s="212" t="s">
        <v>1715</v>
      </c>
      <c r="B37" s="64">
        <v>7.16</v>
      </c>
      <c r="C37" s="64">
        <v>7.77</v>
      </c>
      <c r="D37" s="64">
        <v>9.8000000000000007</v>
      </c>
      <c r="E37" s="64">
        <v>5.16</v>
      </c>
      <c r="F37" s="64">
        <v>6.49</v>
      </c>
      <c r="G37" s="64">
        <v>14.55</v>
      </c>
      <c r="H37" s="64">
        <v>5.26</v>
      </c>
      <c r="I37" s="64">
        <v>1.1499999999999999</v>
      </c>
      <c r="J37" s="64">
        <v>1.03</v>
      </c>
      <c r="K37" s="64">
        <v>124.39</v>
      </c>
      <c r="L37" s="64">
        <v>24.44</v>
      </c>
      <c r="M37" s="64">
        <v>97.89</v>
      </c>
      <c r="N37" s="64">
        <v>94.5</v>
      </c>
      <c r="O37" s="64">
        <v>0</v>
      </c>
      <c r="P37" s="64">
        <v>0.24</v>
      </c>
      <c r="Q37" s="64">
        <v>9.64</v>
      </c>
      <c r="R37" s="198"/>
      <c r="S37" s="198"/>
      <c r="T37" s="198"/>
      <c r="U37" s="198"/>
    </row>
    <row r="38" spans="1:21" s="12" customFormat="1" x14ac:dyDescent="0.25">
      <c r="A38" s="212" t="s">
        <v>1716</v>
      </c>
      <c r="B38" s="64">
        <v>6.68</v>
      </c>
      <c r="C38" s="64">
        <v>7.1</v>
      </c>
      <c r="D38" s="64">
        <v>9.06</v>
      </c>
      <c r="E38" s="64">
        <v>5.0599999999999996</v>
      </c>
      <c r="F38" s="64">
        <v>8.27</v>
      </c>
      <c r="G38" s="64">
        <v>14.55</v>
      </c>
      <c r="H38" s="64">
        <v>5.26</v>
      </c>
      <c r="I38" s="64">
        <v>1.1299999999999999</v>
      </c>
      <c r="J38" s="64">
        <v>0.71</v>
      </c>
      <c r="K38" s="64">
        <v>126.33</v>
      </c>
      <c r="L38" s="64">
        <v>24.59</v>
      </c>
      <c r="M38" s="64">
        <v>97.89</v>
      </c>
      <c r="N38" s="64">
        <v>151.1</v>
      </c>
      <c r="O38" s="64">
        <v>0</v>
      </c>
      <c r="P38" s="64">
        <v>0.27</v>
      </c>
      <c r="Q38" s="64">
        <v>9.64</v>
      </c>
      <c r="R38" s="198"/>
      <c r="S38" s="198"/>
      <c r="T38" s="198"/>
      <c r="U38" s="198"/>
    </row>
    <row r="39" spans="1:21" s="12" customFormat="1" x14ac:dyDescent="0.25">
      <c r="A39" s="212" t="s">
        <v>1717</v>
      </c>
      <c r="B39" s="64">
        <v>8.65</v>
      </c>
      <c r="C39" s="64">
        <v>8.4</v>
      </c>
      <c r="D39" s="64">
        <v>11.33</v>
      </c>
      <c r="E39" s="64">
        <v>4.95</v>
      </c>
      <c r="F39" s="64">
        <v>7.42</v>
      </c>
      <c r="G39" s="64">
        <v>15.96</v>
      </c>
      <c r="H39" s="64">
        <v>4.71</v>
      </c>
      <c r="I39" s="64">
        <v>1.1100000000000001</v>
      </c>
      <c r="J39" s="64">
        <v>0.42</v>
      </c>
      <c r="K39" s="64">
        <v>125.28</v>
      </c>
      <c r="L39" s="64">
        <v>25.51</v>
      </c>
      <c r="M39" s="64">
        <v>97.83</v>
      </c>
      <c r="N39" s="64">
        <v>337</v>
      </c>
      <c r="O39" s="64">
        <v>0</v>
      </c>
      <c r="P39" s="64">
        <v>0.31</v>
      </c>
      <c r="Q39" s="64">
        <v>9.65</v>
      </c>
      <c r="R39" s="198"/>
      <c r="S39" s="198"/>
      <c r="T39" s="198"/>
      <c r="U39" s="198"/>
    </row>
    <row r="40" spans="1:21" s="12" customFormat="1" x14ac:dyDescent="0.25">
      <c r="A40" s="212" t="s">
        <v>1718</v>
      </c>
      <c r="B40" s="64">
        <v>8.5399999999999991</v>
      </c>
      <c r="C40" s="64">
        <v>7.43</v>
      </c>
      <c r="D40" s="64">
        <v>10.73</v>
      </c>
      <c r="E40" s="64">
        <v>4.74</v>
      </c>
      <c r="F40" s="64">
        <v>7.16</v>
      </c>
      <c r="G40" s="64">
        <v>16.079999999999998</v>
      </c>
      <c r="H40" s="64">
        <v>4.66</v>
      </c>
      <c r="I40" s="64">
        <v>1.1100000000000001</v>
      </c>
      <c r="J40" s="64">
        <v>0.45</v>
      </c>
      <c r="K40" s="64">
        <v>118.42</v>
      </c>
      <c r="L40" s="64">
        <v>26.56</v>
      </c>
      <c r="M40" s="64">
        <v>97.77</v>
      </c>
      <c r="N40" s="64">
        <v>328.1</v>
      </c>
      <c r="O40" s="64">
        <v>0</v>
      </c>
      <c r="P40" s="64">
        <v>0.31</v>
      </c>
      <c r="Q40" s="64">
        <v>9.64</v>
      </c>
      <c r="R40" s="198"/>
      <c r="S40" s="198"/>
      <c r="T40" s="198"/>
      <c r="U40" s="198"/>
    </row>
    <row r="41" spans="1:21" s="12" customFormat="1" x14ac:dyDescent="0.25">
      <c r="A41" s="212" t="s">
        <v>1719</v>
      </c>
      <c r="B41" s="64">
        <v>7.81</v>
      </c>
      <c r="C41" s="64">
        <v>6.92</v>
      </c>
      <c r="D41" s="64">
        <v>9.8800000000000008</v>
      </c>
      <c r="E41" s="64">
        <v>5.2</v>
      </c>
      <c r="F41" s="64">
        <v>7.94</v>
      </c>
      <c r="G41" s="64">
        <v>16.079999999999998</v>
      </c>
      <c r="H41" s="64">
        <v>4.66</v>
      </c>
      <c r="I41" s="64">
        <v>1.1000000000000001</v>
      </c>
      <c r="J41" s="64">
        <v>0.85</v>
      </c>
      <c r="K41" s="64">
        <v>126.87</v>
      </c>
      <c r="L41" s="64">
        <v>26.38</v>
      </c>
      <c r="M41" s="64">
        <v>97.76</v>
      </c>
      <c r="N41" s="64">
        <v>267.10000000000002</v>
      </c>
      <c r="O41" s="64">
        <v>0</v>
      </c>
      <c r="P41" s="64">
        <v>0.28000000000000003</v>
      </c>
      <c r="Q41" s="64">
        <v>9.6300000000000008</v>
      </c>
      <c r="R41" s="198"/>
      <c r="S41" s="198"/>
      <c r="T41" s="198"/>
      <c r="U41" s="198"/>
    </row>
    <row r="42" spans="1:21" s="12" customFormat="1" x14ac:dyDescent="0.25">
      <c r="A42" s="212" t="s">
        <v>1720</v>
      </c>
      <c r="B42" s="64">
        <v>9.76</v>
      </c>
      <c r="C42" s="64">
        <v>7.32</v>
      </c>
      <c r="D42" s="64">
        <v>11.64</v>
      </c>
      <c r="E42" s="64">
        <v>4.9000000000000004</v>
      </c>
      <c r="F42" s="64">
        <v>6.49</v>
      </c>
      <c r="G42" s="64">
        <v>16.079999999999998</v>
      </c>
      <c r="H42" s="64">
        <v>4.66</v>
      </c>
      <c r="I42" s="64">
        <v>1.1200000000000001</v>
      </c>
      <c r="J42" s="64">
        <v>0.91</v>
      </c>
      <c r="K42" s="64">
        <v>126.84</v>
      </c>
      <c r="L42" s="64">
        <v>26.3</v>
      </c>
      <c r="M42" s="64">
        <v>97.76</v>
      </c>
      <c r="N42" s="64">
        <v>328</v>
      </c>
      <c r="O42" s="64">
        <v>0</v>
      </c>
      <c r="P42" s="64">
        <v>0.31</v>
      </c>
      <c r="Q42" s="64">
        <v>9.6300000000000008</v>
      </c>
      <c r="R42" s="198"/>
      <c r="S42" s="198"/>
      <c r="T42" s="198"/>
      <c r="U42" s="198"/>
    </row>
    <row r="43" spans="1:21" s="12" customFormat="1" x14ac:dyDescent="0.25">
      <c r="A43" s="212" t="s">
        <v>1721</v>
      </c>
      <c r="B43" s="64">
        <v>8.15</v>
      </c>
      <c r="C43" s="64">
        <v>8.11</v>
      </c>
      <c r="D43" s="64">
        <v>10.77</v>
      </c>
      <c r="E43" s="64">
        <v>5.01</v>
      </c>
      <c r="F43" s="64">
        <v>7.85</v>
      </c>
      <c r="G43" s="64">
        <v>16.579999999999998</v>
      </c>
      <c r="H43" s="64">
        <v>4.58</v>
      </c>
      <c r="I43" s="64">
        <v>1.1200000000000001</v>
      </c>
      <c r="J43" s="64">
        <v>0.8</v>
      </c>
      <c r="K43" s="64">
        <v>123.35</v>
      </c>
      <c r="L43" s="64">
        <v>26.43</v>
      </c>
      <c r="M43" s="64">
        <v>97.76</v>
      </c>
      <c r="N43" s="64">
        <v>357.1</v>
      </c>
      <c r="O43" s="64">
        <v>0</v>
      </c>
      <c r="P43" s="64">
        <v>0.28999999999999998</v>
      </c>
      <c r="Q43" s="64">
        <v>9.6300000000000008</v>
      </c>
      <c r="R43" s="198"/>
      <c r="S43" s="198"/>
      <c r="T43" s="198"/>
      <c r="U43" s="198"/>
    </row>
    <row r="44" spans="1:21" s="12" customFormat="1" x14ac:dyDescent="0.25">
      <c r="A44" s="212" t="s">
        <v>1722</v>
      </c>
      <c r="B44" s="64">
        <v>12.69</v>
      </c>
      <c r="C44" s="64">
        <v>6.71</v>
      </c>
      <c r="D44" s="64">
        <v>13.67</v>
      </c>
      <c r="E44" s="64">
        <v>5.08</v>
      </c>
      <c r="F44" s="64">
        <v>8.34</v>
      </c>
      <c r="G44" s="64">
        <v>16.62</v>
      </c>
      <c r="H44" s="64">
        <v>4.57</v>
      </c>
      <c r="I44" s="64">
        <v>1.1100000000000001</v>
      </c>
      <c r="J44" s="64">
        <v>0.15</v>
      </c>
      <c r="K44" s="64">
        <v>107.08</v>
      </c>
      <c r="L44" s="64">
        <v>27.41</v>
      </c>
      <c r="M44" s="64">
        <v>97.6</v>
      </c>
      <c r="N44" s="64">
        <v>579.79999999999995</v>
      </c>
      <c r="O44" s="64">
        <v>0</v>
      </c>
      <c r="P44" s="64">
        <v>0.37</v>
      </c>
      <c r="Q44" s="64">
        <v>9.65</v>
      </c>
      <c r="R44" s="198"/>
      <c r="S44" s="198"/>
      <c r="T44" s="198"/>
      <c r="U44" s="198"/>
    </row>
    <row r="45" spans="1:21" s="12" customFormat="1" x14ac:dyDescent="0.25">
      <c r="A45" s="212" t="s">
        <v>1723</v>
      </c>
      <c r="B45" s="64">
        <v>10.6</v>
      </c>
      <c r="C45" s="64">
        <v>8.89</v>
      </c>
      <c r="D45" s="64">
        <v>13.15</v>
      </c>
      <c r="E45" s="64">
        <v>5.09</v>
      </c>
      <c r="F45" s="64">
        <v>10.93</v>
      </c>
      <c r="G45" s="64">
        <v>16.62</v>
      </c>
      <c r="H45" s="64">
        <v>4.57</v>
      </c>
      <c r="I45" s="64">
        <v>1.1200000000000001</v>
      </c>
      <c r="J45" s="64">
        <v>0.44</v>
      </c>
      <c r="K45" s="64">
        <v>130.87</v>
      </c>
      <c r="L45" s="64">
        <v>28.35</v>
      </c>
      <c r="M45" s="64">
        <v>95.85</v>
      </c>
      <c r="N45" s="64">
        <v>516.5</v>
      </c>
      <c r="O45" s="64">
        <v>0</v>
      </c>
      <c r="P45" s="64">
        <v>0.32</v>
      </c>
      <c r="Q45" s="64">
        <v>9.64</v>
      </c>
      <c r="R45" s="198"/>
      <c r="S45" s="198"/>
      <c r="T45" s="198"/>
      <c r="U45" s="198"/>
    </row>
    <row r="46" spans="1:21" s="12" customFormat="1" x14ac:dyDescent="0.25">
      <c r="A46" s="212" t="s">
        <v>1724</v>
      </c>
      <c r="B46" s="64">
        <v>9.11</v>
      </c>
      <c r="C46" s="64">
        <v>8.68</v>
      </c>
      <c r="D46" s="64">
        <v>11.84</v>
      </c>
      <c r="E46" s="64">
        <v>4.9400000000000004</v>
      </c>
      <c r="F46" s="64">
        <v>10.61</v>
      </c>
      <c r="G46" s="64">
        <v>16.62</v>
      </c>
      <c r="H46" s="64">
        <v>4.57</v>
      </c>
      <c r="I46" s="64">
        <v>1.1200000000000001</v>
      </c>
      <c r="J46" s="64">
        <v>0.81</v>
      </c>
      <c r="K46" s="64">
        <v>128.66</v>
      </c>
      <c r="L46" s="64">
        <v>27.42</v>
      </c>
      <c r="M46" s="64">
        <v>97.67</v>
      </c>
      <c r="N46" s="64">
        <v>362.7</v>
      </c>
      <c r="O46" s="64">
        <v>0</v>
      </c>
      <c r="P46" s="64">
        <v>0.28999999999999998</v>
      </c>
      <c r="Q46" s="64">
        <v>9.64</v>
      </c>
      <c r="R46" s="198"/>
      <c r="S46" s="198"/>
      <c r="T46" s="198"/>
      <c r="U46" s="198"/>
    </row>
    <row r="47" spans="1:21" s="12" customFormat="1" x14ac:dyDescent="0.25">
      <c r="A47" s="212" t="s">
        <v>1725</v>
      </c>
      <c r="B47" s="64">
        <v>10.15</v>
      </c>
      <c r="C47" s="64">
        <v>8.9</v>
      </c>
      <c r="D47" s="64">
        <v>12.79</v>
      </c>
      <c r="E47" s="64">
        <v>5.04</v>
      </c>
      <c r="F47" s="64">
        <v>9.6300000000000008</v>
      </c>
      <c r="G47" s="64">
        <v>19.98</v>
      </c>
      <c r="H47" s="64">
        <v>5.61</v>
      </c>
      <c r="I47" s="64">
        <v>1.1100000000000001</v>
      </c>
      <c r="J47" s="64">
        <v>1</v>
      </c>
      <c r="K47" s="64">
        <v>130.07</v>
      </c>
      <c r="L47" s="64">
        <v>27.28</v>
      </c>
      <c r="M47" s="64">
        <v>97.7</v>
      </c>
      <c r="N47" s="64">
        <v>294.5</v>
      </c>
      <c r="O47" s="64">
        <v>0</v>
      </c>
      <c r="P47" s="64">
        <v>0.28999999999999998</v>
      </c>
      <c r="Q47" s="64">
        <v>9.66</v>
      </c>
      <c r="R47" s="198"/>
      <c r="S47" s="198"/>
      <c r="T47" s="198"/>
      <c r="U47" s="198"/>
    </row>
    <row r="48" spans="1:21" s="12" customFormat="1" x14ac:dyDescent="0.25">
      <c r="A48" s="212" t="s">
        <v>1726</v>
      </c>
      <c r="B48" s="64">
        <v>9.1</v>
      </c>
      <c r="C48" s="64">
        <v>8.09</v>
      </c>
      <c r="D48" s="64">
        <v>11.52</v>
      </c>
      <c r="E48" s="64">
        <v>4.93</v>
      </c>
      <c r="F48" s="64">
        <v>10</v>
      </c>
      <c r="G48" s="64">
        <v>20.260000000000002</v>
      </c>
      <c r="H48" s="64">
        <v>5.69</v>
      </c>
      <c r="I48" s="64">
        <v>1.1200000000000001</v>
      </c>
      <c r="J48" s="64">
        <v>0.37</v>
      </c>
      <c r="K48" s="64">
        <v>127.52</v>
      </c>
      <c r="L48" s="64">
        <v>27.06</v>
      </c>
      <c r="M48" s="64">
        <v>97.72</v>
      </c>
      <c r="N48" s="64">
        <v>338.5</v>
      </c>
      <c r="O48" s="64">
        <v>0</v>
      </c>
      <c r="P48" s="64">
        <v>0.34</v>
      </c>
      <c r="Q48" s="64">
        <v>9.64</v>
      </c>
      <c r="R48" s="198"/>
      <c r="S48" s="198"/>
      <c r="T48" s="198"/>
      <c r="U48" s="198"/>
    </row>
    <row r="49" spans="1:21" s="12" customFormat="1" x14ac:dyDescent="0.25">
      <c r="A49" s="212" t="s">
        <v>1727</v>
      </c>
      <c r="B49" s="64">
        <v>8.86</v>
      </c>
      <c r="C49" s="64">
        <v>8.07</v>
      </c>
      <c r="D49" s="64">
        <v>11.32</v>
      </c>
      <c r="E49" s="64">
        <v>5.29</v>
      </c>
      <c r="F49" s="64">
        <v>11.58</v>
      </c>
      <c r="G49" s="64">
        <v>20.260000000000002</v>
      </c>
      <c r="H49" s="64">
        <v>5.69</v>
      </c>
      <c r="I49" s="64">
        <v>1.1399999999999999</v>
      </c>
      <c r="J49" s="64">
        <v>0.68</v>
      </c>
      <c r="K49" s="64">
        <v>125</v>
      </c>
      <c r="L49" s="64">
        <v>28.12</v>
      </c>
      <c r="M49" s="64">
        <v>94.43</v>
      </c>
      <c r="N49" s="64">
        <v>649.9</v>
      </c>
      <c r="O49" s="64">
        <v>0</v>
      </c>
      <c r="P49" s="64">
        <v>0.3</v>
      </c>
      <c r="Q49" s="64">
        <v>9.64</v>
      </c>
      <c r="R49" s="198"/>
      <c r="S49" s="198"/>
      <c r="T49" s="198"/>
      <c r="U49" s="198"/>
    </row>
    <row r="50" spans="1:21" s="12" customFormat="1" x14ac:dyDescent="0.25">
      <c r="A50" s="212" t="s">
        <v>1728</v>
      </c>
      <c r="B50" s="64">
        <v>7.74</v>
      </c>
      <c r="C50" s="64">
        <v>8.3000000000000007</v>
      </c>
      <c r="D50" s="64">
        <v>10.55</v>
      </c>
      <c r="E50" s="64">
        <v>5.3</v>
      </c>
      <c r="F50" s="64">
        <v>11.84</v>
      </c>
      <c r="G50" s="64">
        <v>20.260000000000002</v>
      </c>
      <c r="H50" s="64">
        <v>5.69</v>
      </c>
      <c r="I50" s="64">
        <v>1.1399999999999999</v>
      </c>
      <c r="J50" s="64">
        <v>0.75</v>
      </c>
      <c r="K50" s="64">
        <v>128.51</v>
      </c>
      <c r="L50" s="64">
        <v>27.41</v>
      </c>
      <c r="M50" s="64">
        <v>96.64</v>
      </c>
      <c r="N50" s="64">
        <v>381.9</v>
      </c>
      <c r="O50" s="64">
        <v>0</v>
      </c>
      <c r="P50" s="64">
        <v>0.31</v>
      </c>
      <c r="Q50" s="64">
        <v>9.64</v>
      </c>
      <c r="R50" s="198"/>
      <c r="S50" s="198"/>
      <c r="T50" s="198"/>
      <c r="U50" s="198"/>
    </row>
    <row r="51" spans="1:21" s="12" customFormat="1" x14ac:dyDescent="0.25">
      <c r="A51" s="212" t="s">
        <v>1729</v>
      </c>
      <c r="B51" s="64">
        <v>6.91</v>
      </c>
      <c r="C51" s="64">
        <v>7.59</v>
      </c>
      <c r="D51" s="64">
        <v>9.5</v>
      </c>
      <c r="E51" s="64">
        <v>5.37</v>
      </c>
      <c r="F51" s="64">
        <v>11.65</v>
      </c>
      <c r="G51" s="64">
        <v>18.71</v>
      </c>
      <c r="H51" s="64">
        <v>7.81</v>
      </c>
      <c r="I51" s="64">
        <v>1.1499999999999999</v>
      </c>
      <c r="J51" s="64">
        <v>1.1000000000000001</v>
      </c>
      <c r="K51" s="64">
        <v>124.02</v>
      </c>
      <c r="L51" s="64">
        <v>27.68</v>
      </c>
      <c r="M51" s="64">
        <v>96.02</v>
      </c>
      <c r="N51" s="64">
        <v>489.8</v>
      </c>
      <c r="O51" s="64">
        <v>0</v>
      </c>
      <c r="P51" s="64">
        <v>0.27</v>
      </c>
      <c r="Q51" s="64">
        <v>9.64</v>
      </c>
      <c r="R51" s="198"/>
      <c r="S51" s="198"/>
      <c r="T51" s="198"/>
      <c r="U51" s="198"/>
    </row>
    <row r="52" spans="1:21" s="12" customFormat="1" x14ac:dyDescent="0.25">
      <c r="A52" s="212" t="s">
        <v>1730</v>
      </c>
      <c r="B52" s="64">
        <v>8.58</v>
      </c>
      <c r="C52" s="64">
        <v>8.1199999999999992</v>
      </c>
      <c r="D52" s="64">
        <v>11.13</v>
      </c>
      <c r="E52" s="64">
        <v>5.28</v>
      </c>
      <c r="F52" s="64">
        <v>10.119999999999999</v>
      </c>
      <c r="G52" s="64">
        <v>18.579999999999998</v>
      </c>
      <c r="H52" s="64">
        <v>7.99</v>
      </c>
      <c r="I52" s="64">
        <v>1.1499999999999999</v>
      </c>
      <c r="J52" s="64">
        <v>0.45</v>
      </c>
      <c r="K52" s="64">
        <v>132.47999999999999</v>
      </c>
      <c r="L52" s="64">
        <v>28.12</v>
      </c>
      <c r="M52" s="64">
        <v>95.95</v>
      </c>
      <c r="N52" s="64">
        <v>487.1</v>
      </c>
      <c r="O52" s="64">
        <v>0</v>
      </c>
      <c r="P52" s="64">
        <v>0.34</v>
      </c>
      <c r="Q52" s="64">
        <v>9.65</v>
      </c>
      <c r="R52" s="198"/>
      <c r="S52" s="198"/>
      <c r="T52" s="198"/>
      <c r="U52" s="198"/>
    </row>
    <row r="53" spans="1:21" s="12" customFormat="1" x14ac:dyDescent="0.25">
      <c r="A53" s="212" t="s">
        <v>1731</v>
      </c>
      <c r="B53" s="64">
        <v>8.84</v>
      </c>
      <c r="C53" s="64">
        <v>8.16</v>
      </c>
      <c r="D53" s="64">
        <v>11.35</v>
      </c>
      <c r="E53" s="64">
        <v>5.25</v>
      </c>
      <c r="F53" s="64">
        <v>9.24</v>
      </c>
      <c r="G53" s="64">
        <v>18.579999999999998</v>
      </c>
      <c r="H53" s="64">
        <v>7.99</v>
      </c>
      <c r="I53" s="64">
        <v>1.1499999999999999</v>
      </c>
      <c r="J53" s="64">
        <v>0.67</v>
      </c>
      <c r="K53" s="64">
        <v>126.77</v>
      </c>
      <c r="L53" s="64">
        <v>28.4</v>
      </c>
      <c r="M53" s="64">
        <v>94.49</v>
      </c>
      <c r="N53" s="64">
        <v>498.4</v>
      </c>
      <c r="O53" s="64">
        <v>0</v>
      </c>
      <c r="P53" s="64">
        <v>0.33</v>
      </c>
      <c r="Q53" s="64">
        <v>9.64</v>
      </c>
      <c r="R53" s="198"/>
      <c r="S53" s="198"/>
      <c r="T53" s="198"/>
      <c r="U53" s="198"/>
    </row>
    <row r="54" spans="1:21" s="12" customFormat="1" x14ac:dyDescent="0.25">
      <c r="A54" s="212" t="s">
        <v>1732</v>
      </c>
      <c r="B54" s="64">
        <v>6.75</v>
      </c>
      <c r="C54" s="64">
        <v>7.37</v>
      </c>
      <c r="D54" s="64">
        <v>9.27</v>
      </c>
      <c r="E54" s="64">
        <v>5.04</v>
      </c>
      <c r="F54" s="64">
        <v>12.83</v>
      </c>
      <c r="G54" s="64">
        <v>18.579999999999998</v>
      </c>
      <c r="H54" s="64">
        <v>7.99</v>
      </c>
      <c r="I54" s="64">
        <v>1.1499999999999999</v>
      </c>
      <c r="J54" s="64">
        <v>1.32</v>
      </c>
      <c r="K54" s="64">
        <v>125.82</v>
      </c>
      <c r="L54" s="64">
        <v>27.59</v>
      </c>
      <c r="M54" s="64">
        <v>97.27</v>
      </c>
      <c r="N54" s="64">
        <v>337.6</v>
      </c>
      <c r="O54" s="64">
        <v>0</v>
      </c>
      <c r="P54" s="64">
        <v>0.28000000000000003</v>
      </c>
      <c r="Q54" s="64">
        <v>9.65</v>
      </c>
      <c r="R54" s="198"/>
      <c r="S54" s="198"/>
      <c r="T54" s="198"/>
      <c r="U54" s="198"/>
    </row>
    <row r="55" spans="1:21" s="12" customFormat="1" x14ac:dyDescent="0.25">
      <c r="A55" s="212" t="s">
        <v>1733</v>
      </c>
      <c r="B55" s="64">
        <v>7.3</v>
      </c>
      <c r="C55" s="64">
        <v>7.15</v>
      </c>
      <c r="D55" s="64">
        <v>9.59</v>
      </c>
      <c r="E55" s="64">
        <v>4.93</v>
      </c>
      <c r="F55" s="64">
        <v>6.49</v>
      </c>
      <c r="G55" s="64">
        <v>18.75</v>
      </c>
      <c r="H55" s="64">
        <v>6.18</v>
      </c>
      <c r="I55" s="64">
        <v>1.1399999999999999</v>
      </c>
      <c r="J55" s="64">
        <v>1.33</v>
      </c>
      <c r="K55" s="64">
        <v>128.81</v>
      </c>
      <c r="L55" s="64">
        <v>25.72</v>
      </c>
      <c r="M55" s="64">
        <v>97.76</v>
      </c>
      <c r="N55" s="64">
        <v>107.4</v>
      </c>
      <c r="O55" s="64">
        <v>0</v>
      </c>
      <c r="P55" s="64">
        <v>0.28999999999999998</v>
      </c>
      <c r="Q55" s="64">
        <v>9.64</v>
      </c>
      <c r="R55" s="198"/>
      <c r="S55" s="198"/>
      <c r="T55" s="198"/>
      <c r="U55" s="198"/>
    </row>
    <row r="56" spans="1:21" s="12" customFormat="1" x14ac:dyDescent="0.25">
      <c r="A56" s="212" t="s">
        <v>1734</v>
      </c>
      <c r="B56" s="64">
        <v>8.81</v>
      </c>
      <c r="C56" s="64">
        <v>6.29</v>
      </c>
      <c r="D56" s="64">
        <v>10.36</v>
      </c>
      <c r="E56" s="64">
        <v>5.0599999999999996</v>
      </c>
      <c r="F56" s="64">
        <v>3.44</v>
      </c>
      <c r="G56" s="64">
        <v>18.760000000000002</v>
      </c>
      <c r="H56" s="64">
        <v>6.03</v>
      </c>
      <c r="I56" s="64">
        <v>1.1100000000000001</v>
      </c>
      <c r="J56" s="64">
        <v>1.02</v>
      </c>
      <c r="K56" s="64">
        <v>146.96</v>
      </c>
      <c r="L56" s="64">
        <v>23.28</v>
      </c>
      <c r="M56" s="64">
        <v>97.89</v>
      </c>
      <c r="N56" s="64">
        <v>107.2</v>
      </c>
      <c r="O56" s="64">
        <v>0</v>
      </c>
      <c r="P56" s="64">
        <v>0.28999999999999998</v>
      </c>
      <c r="Q56" s="64">
        <v>9.64</v>
      </c>
      <c r="R56" s="198"/>
      <c r="S56" s="198"/>
      <c r="T56" s="198"/>
      <c r="U56" s="198"/>
    </row>
    <row r="57" spans="1:21" s="12" customFormat="1" x14ac:dyDescent="0.25">
      <c r="A57" s="212" t="s">
        <v>1735</v>
      </c>
      <c r="B57" s="64">
        <v>10.38</v>
      </c>
      <c r="C57" s="64">
        <v>7.54</v>
      </c>
      <c r="D57" s="64">
        <v>12.26</v>
      </c>
      <c r="E57" s="64">
        <v>5</v>
      </c>
      <c r="F57" s="64">
        <v>6.18</v>
      </c>
      <c r="G57" s="64">
        <v>18.760000000000002</v>
      </c>
      <c r="H57" s="64">
        <v>6.03</v>
      </c>
      <c r="I57" s="64">
        <v>1.0900000000000001</v>
      </c>
      <c r="J57" s="64">
        <v>0.4</v>
      </c>
      <c r="K57" s="64">
        <v>115.29</v>
      </c>
      <c r="L57" s="64">
        <v>23.03</v>
      </c>
      <c r="M57" s="64">
        <v>97.92</v>
      </c>
      <c r="N57" s="64">
        <v>149.30000000000001</v>
      </c>
      <c r="O57" s="64">
        <v>0</v>
      </c>
      <c r="P57" s="64">
        <v>0.28000000000000003</v>
      </c>
      <c r="Q57" s="64">
        <v>9.6300000000000008</v>
      </c>
      <c r="R57" s="198"/>
      <c r="S57" s="198"/>
      <c r="T57" s="198"/>
      <c r="U57" s="198"/>
    </row>
    <row r="58" spans="1:21" s="12" customFormat="1" x14ac:dyDescent="0.25">
      <c r="A58" s="212" t="s">
        <v>1736</v>
      </c>
      <c r="B58" s="64">
        <v>10.36</v>
      </c>
      <c r="C58" s="64">
        <v>8.6999999999999993</v>
      </c>
      <c r="D58" s="64">
        <v>12.86</v>
      </c>
      <c r="E58" s="64">
        <v>4.8</v>
      </c>
      <c r="F58" s="64">
        <v>6.33</v>
      </c>
      <c r="G58" s="64">
        <v>18.760000000000002</v>
      </c>
      <c r="H58" s="64">
        <v>6.03</v>
      </c>
      <c r="I58" s="64">
        <v>1.08</v>
      </c>
      <c r="J58" s="64">
        <v>0.62</v>
      </c>
      <c r="K58" s="64">
        <v>131.52000000000001</v>
      </c>
      <c r="L58" s="64">
        <v>23.75</v>
      </c>
      <c r="M58" s="64">
        <v>97.93</v>
      </c>
      <c r="N58" s="64">
        <v>341.3</v>
      </c>
      <c r="O58" s="64">
        <v>0</v>
      </c>
      <c r="P58" s="64">
        <v>0.3</v>
      </c>
      <c r="Q58" s="64">
        <v>9.6199999999999992</v>
      </c>
      <c r="R58" s="198"/>
      <c r="S58" s="198"/>
      <c r="T58" s="198"/>
      <c r="U58" s="198"/>
    </row>
    <row r="59" spans="1:21" s="12" customFormat="1" x14ac:dyDescent="0.25">
      <c r="A59" s="212" t="s">
        <v>1737</v>
      </c>
      <c r="B59" s="64">
        <v>11.84</v>
      </c>
      <c r="C59" s="64">
        <v>10.82</v>
      </c>
      <c r="D59" s="64">
        <v>15.15</v>
      </c>
      <c r="E59" s="64">
        <v>4.87</v>
      </c>
      <c r="F59" s="64">
        <v>8.27</v>
      </c>
      <c r="G59" s="64">
        <v>16.54</v>
      </c>
      <c r="H59" s="64">
        <v>12.68</v>
      </c>
      <c r="I59" s="64">
        <v>1.07</v>
      </c>
      <c r="J59" s="64">
        <v>0.22</v>
      </c>
      <c r="K59" s="64">
        <v>129.91</v>
      </c>
      <c r="L59" s="64">
        <v>24.8</v>
      </c>
      <c r="M59" s="64">
        <v>97.93</v>
      </c>
      <c r="N59" s="64">
        <v>398.7</v>
      </c>
      <c r="O59" s="64">
        <v>0</v>
      </c>
      <c r="P59" s="64">
        <v>0.44</v>
      </c>
      <c r="Q59" s="64">
        <v>9.6300000000000008</v>
      </c>
      <c r="R59" s="198"/>
      <c r="S59" s="198"/>
      <c r="T59" s="198"/>
      <c r="U59" s="198"/>
    </row>
    <row r="60" spans="1:21" s="12" customFormat="1" x14ac:dyDescent="0.25">
      <c r="A60" s="212" t="s">
        <v>1738</v>
      </c>
      <c r="B60" s="64">
        <v>10.62</v>
      </c>
      <c r="C60" s="64">
        <v>9.67</v>
      </c>
      <c r="D60" s="64">
        <v>13.57</v>
      </c>
      <c r="E60" s="64">
        <v>5.13</v>
      </c>
      <c r="F60" s="64">
        <v>8.34</v>
      </c>
      <c r="G60" s="64">
        <v>16.36</v>
      </c>
      <c r="H60" s="64">
        <v>13.24</v>
      </c>
      <c r="I60" s="64">
        <v>1.07</v>
      </c>
      <c r="J60" s="64">
        <v>0.32</v>
      </c>
      <c r="K60" s="64">
        <v>125.24</v>
      </c>
      <c r="L60" s="64">
        <v>25.73</v>
      </c>
      <c r="M60" s="64">
        <v>97.89</v>
      </c>
      <c r="N60" s="64">
        <v>443.8</v>
      </c>
      <c r="O60" s="64">
        <v>0</v>
      </c>
      <c r="P60" s="64">
        <v>0.49</v>
      </c>
      <c r="Q60" s="64">
        <v>9.64</v>
      </c>
      <c r="R60" s="198"/>
      <c r="S60" s="198"/>
      <c r="T60" s="198"/>
      <c r="U60" s="198"/>
    </row>
    <row r="61" spans="1:21" s="12" customFormat="1" x14ac:dyDescent="0.25">
      <c r="A61" s="212" t="s">
        <v>1739</v>
      </c>
      <c r="B61" s="64">
        <v>10.24</v>
      </c>
      <c r="C61" s="64">
        <v>8.56</v>
      </c>
      <c r="D61" s="64">
        <v>12.68</v>
      </c>
      <c r="E61" s="64">
        <v>5</v>
      </c>
      <c r="F61" s="64">
        <v>8.2200000000000006</v>
      </c>
      <c r="G61" s="64">
        <v>16.36</v>
      </c>
      <c r="H61" s="64">
        <v>13.24</v>
      </c>
      <c r="I61" s="64">
        <v>1.07</v>
      </c>
      <c r="J61" s="64">
        <v>0.37</v>
      </c>
      <c r="K61" s="64">
        <v>131.13999999999999</v>
      </c>
      <c r="L61" s="64">
        <v>26.77</v>
      </c>
      <c r="M61" s="64">
        <v>97.82</v>
      </c>
      <c r="N61" s="64">
        <v>634.5</v>
      </c>
      <c r="O61" s="64">
        <v>0</v>
      </c>
      <c r="P61" s="64">
        <v>0.39</v>
      </c>
      <c r="Q61" s="64">
        <v>9.6300000000000008</v>
      </c>
      <c r="R61" s="198"/>
      <c r="S61" s="198"/>
      <c r="T61" s="198"/>
      <c r="U61" s="198"/>
    </row>
    <row r="62" spans="1:21" s="12" customFormat="1" x14ac:dyDescent="0.25">
      <c r="A62" s="212" t="s">
        <v>1740</v>
      </c>
      <c r="B62" s="64">
        <v>9.4600000000000009</v>
      </c>
      <c r="C62" s="64">
        <v>9.8699999999999992</v>
      </c>
      <c r="D62" s="64">
        <v>12.75</v>
      </c>
      <c r="E62" s="64">
        <v>5.26</v>
      </c>
      <c r="F62" s="64">
        <v>10.46</v>
      </c>
      <c r="G62" s="64">
        <v>16.36</v>
      </c>
      <c r="H62" s="64">
        <v>13.24</v>
      </c>
      <c r="I62" s="64">
        <v>1.08</v>
      </c>
      <c r="J62" s="64">
        <v>0.41</v>
      </c>
      <c r="K62" s="64">
        <v>120.58</v>
      </c>
      <c r="L62" s="64">
        <v>27.44</v>
      </c>
      <c r="M62" s="64">
        <v>97.78</v>
      </c>
      <c r="N62" s="64">
        <v>377.8</v>
      </c>
      <c r="O62" s="64">
        <v>0</v>
      </c>
      <c r="P62" s="64">
        <v>0.36</v>
      </c>
      <c r="Q62" s="64">
        <v>9.6199999999999992</v>
      </c>
      <c r="R62" s="198"/>
      <c r="S62" s="198"/>
      <c r="T62" s="198"/>
      <c r="U62" s="198"/>
    </row>
    <row r="63" spans="1:21" s="12" customFormat="1" x14ac:dyDescent="0.25">
      <c r="A63" s="212" t="s">
        <v>1741</v>
      </c>
      <c r="B63" s="64">
        <v>7.59</v>
      </c>
      <c r="C63" s="64">
        <v>10.210000000000001</v>
      </c>
      <c r="D63" s="64">
        <v>11.42</v>
      </c>
      <c r="E63" s="64">
        <v>4.9400000000000004</v>
      </c>
      <c r="F63" s="64">
        <v>10.83</v>
      </c>
      <c r="G63" s="64">
        <v>15.56</v>
      </c>
      <c r="H63" s="64">
        <v>10.07</v>
      </c>
      <c r="I63" s="64">
        <v>1.1100000000000001</v>
      </c>
      <c r="J63" s="64">
        <v>0.41</v>
      </c>
      <c r="K63" s="64">
        <v>120.55</v>
      </c>
      <c r="L63" s="64">
        <v>27.85</v>
      </c>
      <c r="M63" s="64">
        <v>97.74</v>
      </c>
      <c r="N63" s="64">
        <v>292.8</v>
      </c>
      <c r="O63" s="64">
        <v>0</v>
      </c>
      <c r="P63" s="64">
        <v>0.33</v>
      </c>
      <c r="Q63" s="64">
        <v>9.6199999999999992</v>
      </c>
      <c r="R63" s="198"/>
      <c r="S63" s="198"/>
      <c r="T63" s="198"/>
      <c r="U63" s="198"/>
    </row>
    <row r="64" spans="1:21" s="12" customFormat="1" x14ac:dyDescent="0.25">
      <c r="A64" s="212" t="s">
        <v>1742</v>
      </c>
      <c r="B64" s="64">
        <v>7.43</v>
      </c>
      <c r="C64" s="64">
        <v>11.77</v>
      </c>
      <c r="D64" s="64">
        <v>12.11</v>
      </c>
      <c r="E64" s="64">
        <v>5.13</v>
      </c>
      <c r="F64" s="64">
        <v>11.8</v>
      </c>
      <c r="G64" s="64">
        <v>15.5</v>
      </c>
      <c r="H64" s="64">
        <v>9.85</v>
      </c>
      <c r="I64" s="64">
        <v>1.1200000000000001</v>
      </c>
      <c r="J64" s="64">
        <v>0.27</v>
      </c>
      <c r="K64" s="64">
        <v>132.74</v>
      </c>
      <c r="L64" s="64">
        <v>28.11</v>
      </c>
      <c r="M64" s="64">
        <v>97.75</v>
      </c>
      <c r="N64" s="64">
        <v>227.1</v>
      </c>
      <c r="O64" s="64">
        <v>0</v>
      </c>
      <c r="P64" s="64">
        <v>0.38</v>
      </c>
      <c r="Q64" s="64">
        <v>9.64</v>
      </c>
      <c r="R64" s="198"/>
      <c r="S64" s="198"/>
      <c r="T64" s="198"/>
      <c r="U64" s="198"/>
    </row>
    <row r="65" spans="1:21" s="12" customFormat="1" x14ac:dyDescent="0.25">
      <c r="A65" s="212" t="s">
        <v>1743</v>
      </c>
      <c r="B65" s="64">
        <v>6.63</v>
      </c>
      <c r="C65" s="64">
        <v>11.55</v>
      </c>
      <c r="D65" s="64">
        <v>11.35</v>
      </c>
      <c r="E65" s="64">
        <v>5.43</v>
      </c>
      <c r="F65" s="64">
        <v>10.14</v>
      </c>
      <c r="G65" s="64">
        <v>15.5</v>
      </c>
      <c r="H65" s="64">
        <v>9.85</v>
      </c>
      <c r="I65" s="64">
        <v>1.1200000000000001</v>
      </c>
      <c r="J65" s="64">
        <v>0.44</v>
      </c>
      <c r="K65" s="64">
        <v>121.23</v>
      </c>
      <c r="L65" s="64">
        <v>27.91</v>
      </c>
      <c r="M65" s="64">
        <v>97.73</v>
      </c>
      <c r="N65" s="64">
        <v>203.9</v>
      </c>
      <c r="O65" s="64">
        <v>0</v>
      </c>
      <c r="P65" s="64">
        <v>0.35</v>
      </c>
      <c r="Q65" s="64">
        <v>9.6300000000000008</v>
      </c>
      <c r="R65" s="198"/>
      <c r="S65" s="198"/>
      <c r="T65" s="198"/>
      <c r="U65" s="198"/>
    </row>
    <row r="66" spans="1:21" s="12" customFormat="1" x14ac:dyDescent="0.25">
      <c r="A66" s="212" t="s">
        <v>1744</v>
      </c>
      <c r="B66" s="64">
        <v>6.07</v>
      </c>
      <c r="C66" s="64">
        <v>7.96</v>
      </c>
      <c r="D66" s="64">
        <v>9.0299999999999994</v>
      </c>
      <c r="E66" s="64">
        <v>5.28</v>
      </c>
      <c r="F66" s="64">
        <v>10.47</v>
      </c>
      <c r="G66" s="64">
        <v>15.5</v>
      </c>
      <c r="H66" s="64">
        <v>9.85</v>
      </c>
      <c r="I66" s="64">
        <v>1.1399999999999999</v>
      </c>
      <c r="J66" s="64">
        <v>1.07</v>
      </c>
      <c r="K66" s="64">
        <v>125.77</v>
      </c>
      <c r="L66" s="64">
        <v>27.85</v>
      </c>
      <c r="M66" s="64">
        <v>97.26</v>
      </c>
      <c r="N66" s="64">
        <v>179</v>
      </c>
      <c r="O66" s="64">
        <v>0</v>
      </c>
      <c r="P66" s="64">
        <v>0.26</v>
      </c>
      <c r="Q66" s="64">
        <v>9.64</v>
      </c>
      <c r="R66" s="198"/>
      <c r="S66" s="198"/>
      <c r="T66" s="198"/>
      <c r="U66" s="198"/>
    </row>
    <row r="67" spans="1:21" s="12" customFormat="1" x14ac:dyDescent="0.25">
      <c r="A67" s="212" t="s">
        <v>1745</v>
      </c>
      <c r="B67" s="64">
        <v>6.76</v>
      </c>
      <c r="C67" s="64">
        <v>7.52</v>
      </c>
      <c r="D67" s="64">
        <v>9.35</v>
      </c>
      <c r="E67" s="64">
        <v>5.32</v>
      </c>
      <c r="F67" s="64">
        <v>10.75</v>
      </c>
      <c r="G67" s="64">
        <v>19.5</v>
      </c>
      <c r="H67" s="64">
        <v>8.33</v>
      </c>
      <c r="I67" s="64">
        <v>1.1499999999999999</v>
      </c>
      <c r="J67" s="64">
        <v>0.9</v>
      </c>
      <c r="K67" s="64">
        <v>123.93</v>
      </c>
      <c r="L67" s="64">
        <v>28.24</v>
      </c>
      <c r="M67" s="64">
        <v>95.43</v>
      </c>
      <c r="N67" s="64">
        <v>208.1</v>
      </c>
      <c r="O67" s="64">
        <v>0</v>
      </c>
      <c r="P67" s="64">
        <v>0.26</v>
      </c>
      <c r="Q67" s="64">
        <v>9.6300000000000008</v>
      </c>
      <c r="R67" s="198"/>
      <c r="S67" s="198"/>
      <c r="T67" s="198"/>
      <c r="U67" s="198"/>
    </row>
    <row r="68" spans="1:21" s="12" customFormat="1" x14ac:dyDescent="0.25">
      <c r="A68" s="212" t="s">
        <v>1746</v>
      </c>
      <c r="B68" s="64">
        <v>7.75</v>
      </c>
      <c r="C68" s="64">
        <v>7.59</v>
      </c>
      <c r="D68" s="64">
        <v>10.18</v>
      </c>
      <c r="E68" s="64">
        <v>5.26</v>
      </c>
      <c r="F68" s="64">
        <v>11</v>
      </c>
      <c r="G68" s="64">
        <v>19.84</v>
      </c>
      <c r="H68" s="64">
        <v>8.2200000000000006</v>
      </c>
      <c r="I68" s="64">
        <v>1.1599999999999999</v>
      </c>
      <c r="J68" s="64">
        <v>0.55000000000000004</v>
      </c>
      <c r="K68" s="64">
        <v>116.53</v>
      </c>
      <c r="L68" s="64">
        <v>28.52</v>
      </c>
      <c r="M68" s="64">
        <v>93.84</v>
      </c>
      <c r="N68" s="64">
        <v>230.4</v>
      </c>
      <c r="O68" s="64">
        <v>0</v>
      </c>
      <c r="P68" s="64">
        <v>0.35</v>
      </c>
      <c r="Q68" s="64">
        <v>9.64</v>
      </c>
      <c r="R68" s="198"/>
      <c r="S68" s="198"/>
      <c r="T68" s="198"/>
      <c r="U68" s="198"/>
    </row>
    <row r="69" spans="1:21" s="12" customFormat="1" x14ac:dyDescent="0.25">
      <c r="A69" s="212" t="s">
        <v>1747</v>
      </c>
      <c r="B69" s="64">
        <v>7.97</v>
      </c>
      <c r="C69" s="64">
        <v>9.08</v>
      </c>
      <c r="D69" s="64">
        <v>11.14</v>
      </c>
      <c r="E69" s="64">
        <v>5.39</v>
      </c>
      <c r="F69" s="64">
        <v>9.75</v>
      </c>
      <c r="G69" s="64">
        <v>19.84</v>
      </c>
      <c r="H69" s="64">
        <v>8.2200000000000006</v>
      </c>
      <c r="I69" s="64">
        <v>1.1599999999999999</v>
      </c>
      <c r="J69" s="64">
        <v>0.7</v>
      </c>
      <c r="K69" s="64">
        <v>127.36</v>
      </c>
      <c r="L69" s="64">
        <v>28.71</v>
      </c>
      <c r="M69" s="64">
        <v>92.29</v>
      </c>
      <c r="N69" s="64">
        <v>156.9</v>
      </c>
      <c r="O69" s="64">
        <v>0</v>
      </c>
      <c r="P69" s="64">
        <v>0.35</v>
      </c>
      <c r="Q69" s="64">
        <v>9.64</v>
      </c>
      <c r="R69" s="198"/>
      <c r="S69" s="198"/>
      <c r="T69" s="198"/>
      <c r="U69" s="198"/>
    </row>
    <row r="70" spans="1:21" s="12" customFormat="1" x14ac:dyDescent="0.25">
      <c r="A70" s="212" t="s">
        <v>1748</v>
      </c>
      <c r="B70" s="64">
        <v>6.74</v>
      </c>
      <c r="C70" s="64">
        <v>8.4</v>
      </c>
      <c r="D70" s="64">
        <v>9.7899999999999991</v>
      </c>
      <c r="E70" s="64">
        <v>5.19</v>
      </c>
      <c r="F70" s="64">
        <v>11.26</v>
      </c>
      <c r="G70" s="64">
        <v>19.84</v>
      </c>
      <c r="H70" s="64">
        <v>8.2200000000000006</v>
      </c>
      <c r="I70" s="64">
        <v>1.1599999999999999</v>
      </c>
      <c r="J70" s="64">
        <v>0.86</v>
      </c>
      <c r="K70" s="64">
        <v>124.18</v>
      </c>
      <c r="L70" s="64">
        <v>28.86</v>
      </c>
      <c r="M70" s="64">
        <v>90.68</v>
      </c>
      <c r="N70" s="64">
        <v>164.1</v>
      </c>
      <c r="O70" s="64">
        <v>0</v>
      </c>
      <c r="P70" s="64">
        <v>0.27</v>
      </c>
      <c r="Q70" s="64">
        <v>9.6199999999999992</v>
      </c>
      <c r="R70" s="198"/>
      <c r="S70" s="198"/>
      <c r="T70" s="198"/>
      <c r="U70" s="198"/>
    </row>
    <row r="71" spans="1:21" s="12" customFormat="1" x14ac:dyDescent="0.25">
      <c r="A71" s="212" t="s">
        <v>1749</v>
      </c>
      <c r="B71" s="64">
        <v>10.1</v>
      </c>
      <c r="C71" s="64">
        <v>17.850000000000001</v>
      </c>
      <c r="D71" s="64">
        <v>10.08</v>
      </c>
      <c r="E71" s="64">
        <v>2.86</v>
      </c>
      <c r="F71" s="64">
        <v>12.01</v>
      </c>
      <c r="G71" s="64">
        <v>18.88</v>
      </c>
      <c r="H71" s="64">
        <v>6.01</v>
      </c>
      <c r="I71" s="64">
        <v>1.1499999999999999</v>
      </c>
      <c r="J71" s="64">
        <v>0.03</v>
      </c>
      <c r="K71" s="64">
        <v>58.5</v>
      </c>
      <c r="L71" s="64">
        <v>28.77</v>
      </c>
      <c r="M71" s="64">
        <v>92.87</v>
      </c>
      <c r="N71" s="64">
        <v>126.6</v>
      </c>
      <c r="O71" s="64">
        <v>0</v>
      </c>
      <c r="P71" s="64">
        <v>0.35</v>
      </c>
      <c r="Q71" s="64">
        <v>9.6</v>
      </c>
      <c r="R71" s="198"/>
      <c r="S71" s="198"/>
      <c r="T71" s="198"/>
      <c r="U71" s="198"/>
    </row>
    <row r="72" spans="1:21" s="12" customFormat="1" x14ac:dyDescent="0.25">
      <c r="A72" s="212" t="s">
        <v>1750</v>
      </c>
      <c r="B72" s="64">
        <v>6.44</v>
      </c>
      <c r="C72" s="64">
        <v>9.41</v>
      </c>
      <c r="D72" s="64">
        <v>10.08</v>
      </c>
      <c r="E72" s="64">
        <v>5.17</v>
      </c>
      <c r="F72" s="64">
        <v>12.47</v>
      </c>
      <c r="G72" s="64">
        <v>18.88</v>
      </c>
      <c r="H72" s="64">
        <v>6.01</v>
      </c>
      <c r="I72" s="64">
        <v>1.1399999999999999</v>
      </c>
      <c r="J72" s="64">
        <v>0.47</v>
      </c>
      <c r="K72" s="64">
        <v>125.24</v>
      </c>
      <c r="L72" s="64">
        <v>28.86</v>
      </c>
      <c r="M72" s="64">
        <v>91.18</v>
      </c>
      <c r="N72" s="64">
        <v>161.19999999999999</v>
      </c>
      <c r="O72" s="64">
        <v>0</v>
      </c>
      <c r="P72" s="64">
        <v>0.28999999999999998</v>
      </c>
      <c r="Q72" s="64">
        <v>9.6300000000000008</v>
      </c>
      <c r="R72" s="198"/>
      <c r="S72" s="198"/>
      <c r="T72" s="198"/>
      <c r="U72" s="198"/>
    </row>
    <row r="73" spans="1:21" s="12" customFormat="1" x14ac:dyDescent="0.25">
      <c r="A73" s="212" t="s">
        <v>1751</v>
      </c>
      <c r="B73" s="64">
        <v>10.79</v>
      </c>
      <c r="C73" s="64">
        <v>10.75</v>
      </c>
      <c r="D73" s="64">
        <v>14.27</v>
      </c>
      <c r="E73" s="64">
        <v>5.76</v>
      </c>
      <c r="F73" s="64">
        <v>10.16</v>
      </c>
      <c r="G73" s="64">
        <v>18.88</v>
      </c>
      <c r="H73" s="64">
        <v>6.01</v>
      </c>
      <c r="I73" s="64">
        <v>1.1100000000000001</v>
      </c>
      <c r="J73" s="64">
        <v>0.4</v>
      </c>
      <c r="K73" s="64">
        <v>318.08</v>
      </c>
      <c r="L73" s="64">
        <v>28.33</v>
      </c>
      <c r="M73" s="64">
        <v>96.24</v>
      </c>
      <c r="N73" s="64">
        <v>124.1</v>
      </c>
      <c r="O73" s="64">
        <v>0</v>
      </c>
      <c r="P73" s="64">
        <v>0.39</v>
      </c>
      <c r="Q73" s="64">
        <v>9.64</v>
      </c>
      <c r="R73" s="198"/>
      <c r="S73" s="198"/>
      <c r="T73" s="198"/>
      <c r="U73" s="198"/>
    </row>
    <row r="74" spans="1:21" s="12" customFormat="1" x14ac:dyDescent="0.25">
      <c r="A74" s="212" t="s">
        <v>1752</v>
      </c>
      <c r="B74" s="64">
        <v>10.15</v>
      </c>
      <c r="C74" s="64">
        <v>9.48</v>
      </c>
      <c r="D74" s="64">
        <v>13.09</v>
      </c>
      <c r="E74" s="64">
        <v>5.54</v>
      </c>
      <c r="F74" s="64">
        <v>11.68</v>
      </c>
      <c r="G74" s="64">
        <v>18.88</v>
      </c>
      <c r="H74" s="64">
        <v>6.01</v>
      </c>
      <c r="I74" s="64">
        <v>1.0900000000000001</v>
      </c>
      <c r="J74" s="64">
        <v>0.93</v>
      </c>
      <c r="K74" s="64">
        <v>330.17</v>
      </c>
      <c r="L74" s="64">
        <v>28.49</v>
      </c>
      <c r="M74" s="64">
        <v>94.7</v>
      </c>
      <c r="N74" s="64">
        <v>116.7</v>
      </c>
      <c r="O74" s="64">
        <v>0</v>
      </c>
      <c r="P74" s="64">
        <v>0.4</v>
      </c>
      <c r="Q74" s="64">
        <v>9.64</v>
      </c>
      <c r="R74" s="198"/>
      <c r="S74" s="198"/>
      <c r="T74" s="198"/>
      <c r="U74" s="198"/>
    </row>
    <row r="75" spans="1:21" s="12" customFormat="1" x14ac:dyDescent="0.25">
      <c r="A75" s="212" t="s">
        <v>1753</v>
      </c>
      <c r="B75" s="64">
        <v>6.97</v>
      </c>
      <c r="C75" s="64">
        <v>10.85</v>
      </c>
      <c r="D75" s="64">
        <v>11.26</v>
      </c>
      <c r="E75" s="64">
        <v>5.6</v>
      </c>
      <c r="F75" s="64">
        <v>13.1</v>
      </c>
      <c r="G75" s="64">
        <v>16.96</v>
      </c>
      <c r="H75" s="64">
        <v>4.4400000000000004</v>
      </c>
      <c r="I75" s="64">
        <v>1.1000000000000001</v>
      </c>
      <c r="J75" s="64">
        <v>0.44</v>
      </c>
      <c r="K75" s="64">
        <v>131.68</v>
      </c>
      <c r="L75" s="64">
        <v>28.33</v>
      </c>
      <c r="M75" s="64">
        <v>95.55</v>
      </c>
      <c r="N75" s="64">
        <v>112.6</v>
      </c>
      <c r="O75" s="64">
        <v>0</v>
      </c>
      <c r="P75" s="64">
        <v>0.39</v>
      </c>
      <c r="Q75" s="64">
        <v>9.6300000000000008</v>
      </c>
      <c r="R75" s="198"/>
      <c r="S75" s="198"/>
      <c r="T75" s="198"/>
      <c r="U75" s="198"/>
    </row>
    <row r="76" spans="1:21" s="12" customFormat="1" x14ac:dyDescent="0.25">
      <c r="A76" s="212" t="s">
        <v>1754</v>
      </c>
      <c r="B76" s="64">
        <v>11.09</v>
      </c>
      <c r="C76" s="64">
        <v>12.38</v>
      </c>
      <c r="D76" s="64">
        <v>15.36</v>
      </c>
      <c r="E76" s="64">
        <v>5.53</v>
      </c>
      <c r="F76" s="64">
        <v>12.22</v>
      </c>
      <c r="G76" s="64">
        <v>16.8</v>
      </c>
      <c r="H76" s="64">
        <v>4.3099999999999996</v>
      </c>
      <c r="I76" s="64">
        <v>1.1000000000000001</v>
      </c>
      <c r="J76" s="64">
        <v>0.3</v>
      </c>
      <c r="K76" s="64">
        <v>125.06</v>
      </c>
      <c r="L76" s="64">
        <v>28.3</v>
      </c>
      <c r="M76" s="64">
        <v>95.34</v>
      </c>
      <c r="N76" s="64">
        <v>120</v>
      </c>
      <c r="O76" s="64">
        <v>0</v>
      </c>
      <c r="P76" s="64">
        <v>0.39</v>
      </c>
      <c r="Q76" s="64">
        <v>9.6199999999999992</v>
      </c>
      <c r="R76" s="198"/>
      <c r="S76" s="198"/>
      <c r="T76" s="198"/>
      <c r="U76" s="198"/>
    </row>
    <row r="77" spans="1:21" s="12" customFormat="1" x14ac:dyDescent="0.25">
      <c r="A77" s="212" t="s">
        <v>1755</v>
      </c>
      <c r="B77" s="64">
        <v>8.9</v>
      </c>
      <c r="C77" s="64">
        <v>11.51</v>
      </c>
      <c r="D77" s="64">
        <v>13.15</v>
      </c>
      <c r="E77" s="64">
        <v>5.17</v>
      </c>
      <c r="F77" s="64">
        <v>11.25</v>
      </c>
      <c r="G77" s="64">
        <v>16.8</v>
      </c>
      <c r="H77" s="64">
        <v>4.3099999999999996</v>
      </c>
      <c r="I77" s="64">
        <v>1.1100000000000001</v>
      </c>
      <c r="J77" s="64">
        <v>0.14000000000000001</v>
      </c>
      <c r="K77" s="64">
        <v>120.29</v>
      </c>
      <c r="L77" s="64">
        <v>28.5</v>
      </c>
      <c r="M77" s="64">
        <v>94.59</v>
      </c>
      <c r="N77" s="64">
        <v>138.30000000000001</v>
      </c>
      <c r="O77" s="64">
        <v>0</v>
      </c>
      <c r="P77" s="64">
        <v>0.46</v>
      </c>
      <c r="Q77" s="64">
        <v>9.6300000000000008</v>
      </c>
      <c r="R77" s="198"/>
      <c r="S77" s="198"/>
      <c r="T77" s="198"/>
      <c r="U77" s="198"/>
    </row>
    <row r="78" spans="1:21" s="12" customFormat="1" x14ac:dyDescent="0.25">
      <c r="A78" s="212" t="s">
        <v>1756</v>
      </c>
      <c r="B78" s="64">
        <v>7.97</v>
      </c>
      <c r="C78" s="64">
        <v>10.89</v>
      </c>
      <c r="D78" s="64">
        <v>12.08</v>
      </c>
      <c r="E78" s="64">
        <v>5.32</v>
      </c>
      <c r="F78" s="64">
        <v>10.38</v>
      </c>
      <c r="G78" s="64">
        <v>16.8</v>
      </c>
      <c r="H78" s="64">
        <v>4.3099999999999996</v>
      </c>
      <c r="I78" s="64">
        <v>1.1399999999999999</v>
      </c>
      <c r="J78" s="64">
        <v>0.47</v>
      </c>
      <c r="K78" s="64">
        <v>127.6</v>
      </c>
      <c r="L78" s="64">
        <v>28.39</v>
      </c>
      <c r="M78" s="64">
        <v>94.39</v>
      </c>
      <c r="N78" s="64">
        <v>95.9</v>
      </c>
      <c r="O78" s="64">
        <v>0</v>
      </c>
      <c r="P78" s="64">
        <v>0.44</v>
      </c>
      <c r="Q78" s="64">
        <v>9.6199999999999992</v>
      </c>
      <c r="R78" s="198"/>
      <c r="S78" s="198"/>
      <c r="T78" s="198"/>
      <c r="U78" s="198"/>
    </row>
    <row r="79" spans="1:21" s="12" customFormat="1" x14ac:dyDescent="0.25">
      <c r="A79" s="212" t="s">
        <v>1757</v>
      </c>
      <c r="B79" s="64">
        <v>13.73</v>
      </c>
      <c r="C79" s="64">
        <v>14.29</v>
      </c>
      <c r="D79" s="64">
        <v>18.48</v>
      </c>
      <c r="E79" s="64">
        <v>5.43</v>
      </c>
      <c r="F79" s="64">
        <v>9.3000000000000007</v>
      </c>
      <c r="G79" s="64">
        <v>22.32</v>
      </c>
      <c r="H79" s="64">
        <v>4.82</v>
      </c>
      <c r="I79" s="64">
        <v>1.1499999999999999</v>
      </c>
      <c r="J79" s="64">
        <v>0.02</v>
      </c>
      <c r="K79" s="64">
        <v>323.51</v>
      </c>
      <c r="L79" s="64">
        <v>28.08</v>
      </c>
      <c r="M79" s="64">
        <v>95.16</v>
      </c>
      <c r="N79" s="64">
        <v>78.900000000000006</v>
      </c>
      <c r="O79" s="64">
        <v>0</v>
      </c>
      <c r="P79" s="64">
        <v>0.48</v>
      </c>
      <c r="Q79" s="64">
        <v>9.6300000000000008</v>
      </c>
      <c r="R79" s="198"/>
      <c r="S79" s="198"/>
      <c r="T79" s="198"/>
      <c r="U79" s="198"/>
    </row>
    <row r="80" spans="1:21" s="12" customFormat="1" x14ac:dyDescent="0.25">
      <c r="A80" s="212" t="s">
        <v>1758</v>
      </c>
      <c r="B80" s="64">
        <v>12.24</v>
      </c>
      <c r="C80" s="64">
        <v>14.4</v>
      </c>
      <c r="D80" s="64">
        <v>17.34</v>
      </c>
      <c r="E80" s="64">
        <v>5.36</v>
      </c>
      <c r="F80" s="64">
        <v>10.09</v>
      </c>
      <c r="G80" s="64">
        <v>22.78</v>
      </c>
      <c r="H80" s="64">
        <v>4.87</v>
      </c>
      <c r="I80" s="64">
        <v>1.1599999999999999</v>
      </c>
      <c r="J80" s="64">
        <v>0.03</v>
      </c>
      <c r="K80" s="64">
        <v>34.590000000000003</v>
      </c>
      <c r="L80" s="64">
        <v>27.97</v>
      </c>
      <c r="M80" s="64">
        <v>96.73</v>
      </c>
      <c r="N80" s="64">
        <v>73.599999999999994</v>
      </c>
      <c r="O80" s="64">
        <v>0</v>
      </c>
      <c r="P80" s="64">
        <v>0.69</v>
      </c>
      <c r="Q80" s="64">
        <v>9.6300000000000008</v>
      </c>
      <c r="R80" s="198"/>
      <c r="S80" s="198"/>
      <c r="T80" s="198"/>
      <c r="U80" s="198"/>
    </row>
    <row r="81" spans="1:26" s="12" customFormat="1" x14ac:dyDescent="0.25">
      <c r="A81" s="212" t="s">
        <v>1759</v>
      </c>
      <c r="B81" s="64">
        <v>16.04</v>
      </c>
      <c r="C81" s="64">
        <v>14.98</v>
      </c>
      <c r="D81" s="64">
        <v>20.69</v>
      </c>
      <c r="E81" s="64">
        <v>5.52</v>
      </c>
      <c r="F81" s="64">
        <v>8.73</v>
      </c>
      <c r="G81" s="64">
        <v>22.78</v>
      </c>
      <c r="H81" s="64">
        <v>4.87</v>
      </c>
      <c r="I81" s="64">
        <v>1.17</v>
      </c>
      <c r="J81" s="64">
        <v>0.17</v>
      </c>
      <c r="K81" s="64">
        <v>333.12</v>
      </c>
      <c r="L81" s="64">
        <v>27.86</v>
      </c>
      <c r="M81" s="64">
        <v>97.64</v>
      </c>
      <c r="N81" s="64">
        <v>61.3</v>
      </c>
      <c r="O81" s="64">
        <v>0</v>
      </c>
      <c r="P81" s="64">
        <v>0.72</v>
      </c>
      <c r="Q81" s="64">
        <v>9.6199999999999992</v>
      </c>
      <c r="R81" s="198"/>
      <c r="S81" s="198"/>
      <c r="T81" s="198"/>
      <c r="U81" s="198"/>
    </row>
    <row r="82" spans="1:26" s="12" customFormat="1" x14ac:dyDescent="0.25">
      <c r="A82" s="212" t="s">
        <v>1760</v>
      </c>
      <c r="B82" s="64">
        <v>16.2</v>
      </c>
      <c r="C82" s="64">
        <v>18.100000000000001</v>
      </c>
      <c r="D82" s="64">
        <v>22.45</v>
      </c>
      <c r="E82" s="64">
        <v>5.5</v>
      </c>
      <c r="F82" s="64">
        <v>8.6</v>
      </c>
      <c r="G82" s="64">
        <v>22.78</v>
      </c>
      <c r="H82" s="64">
        <v>4.87</v>
      </c>
      <c r="I82" s="64">
        <v>1.2</v>
      </c>
      <c r="J82" s="64">
        <v>0.03</v>
      </c>
      <c r="K82" s="64">
        <v>309.18</v>
      </c>
      <c r="L82" s="64">
        <v>27.75</v>
      </c>
      <c r="M82" s="64">
        <v>97.71</v>
      </c>
      <c r="N82" s="64">
        <v>51.6</v>
      </c>
      <c r="O82" s="64">
        <v>0</v>
      </c>
      <c r="P82" s="64">
        <v>0.73</v>
      </c>
      <c r="Q82" s="64">
        <v>9.61</v>
      </c>
      <c r="R82" s="198"/>
      <c r="S82" s="198"/>
      <c r="T82" s="198"/>
      <c r="U82" s="198"/>
    </row>
    <row r="83" spans="1:26" s="12" customFormat="1" x14ac:dyDescent="0.25">
      <c r="A83" s="212" t="s">
        <v>1761</v>
      </c>
      <c r="B83" s="64">
        <v>9.07</v>
      </c>
      <c r="C83" s="64">
        <v>17.39</v>
      </c>
      <c r="D83" s="64">
        <v>16.36</v>
      </c>
      <c r="E83" s="64">
        <v>5.58</v>
      </c>
      <c r="F83" s="64">
        <v>9.48</v>
      </c>
      <c r="G83" s="64">
        <v>26.85</v>
      </c>
      <c r="H83" s="64">
        <v>4.32</v>
      </c>
      <c r="I83" s="64">
        <v>1.24</v>
      </c>
      <c r="J83" s="64">
        <v>0.09</v>
      </c>
      <c r="K83" s="64">
        <v>177.01</v>
      </c>
      <c r="L83" s="64">
        <v>27.47</v>
      </c>
      <c r="M83" s="64">
        <v>97.73</v>
      </c>
      <c r="N83" s="64">
        <v>49.6</v>
      </c>
      <c r="O83" s="64">
        <v>0</v>
      </c>
      <c r="P83" s="64">
        <v>0.69</v>
      </c>
      <c r="Q83" s="64">
        <v>9.61</v>
      </c>
      <c r="R83" s="198"/>
      <c r="S83" s="198"/>
      <c r="T83" s="198"/>
      <c r="U83" s="198"/>
    </row>
    <row r="84" spans="1:26" s="12" customFormat="1" x14ac:dyDescent="0.25">
      <c r="A84" s="212" t="s">
        <v>1762</v>
      </c>
      <c r="B84" s="64">
        <v>6.73</v>
      </c>
      <c r="C84" s="64">
        <v>14.94</v>
      </c>
      <c r="D84" s="64">
        <v>13.2</v>
      </c>
      <c r="E84" s="64">
        <v>5.64</v>
      </c>
      <c r="F84" s="64">
        <v>12.22</v>
      </c>
      <c r="G84" s="64">
        <v>27.2</v>
      </c>
      <c r="H84" s="64">
        <v>4.28</v>
      </c>
      <c r="I84" s="64">
        <v>1.3</v>
      </c>
      <c r="J84" s="64">
        <v>0.39</v>
      </c>
      <c r="K84" s="64">
        <v>122.28</v>
      </c>
      <c r="L84" s="64">
        <v>27.37</v>
      </c>
      <c r="M84" s="64">
        <v>97.74</v>
      </c>
      <c r="N84" s="64">
        <v>49.2</v>
      </c>
      <c r="O84" s="64">
        <v>0</v>
      </c>
      <c r="P84" s="64">
        <v>0.47</v>
      </c>
      <c r="Q84" s="64">
        <v>9.61</v>
      </c>
      <c r="R84" s="198"/>
      <c r="S84" s="198"/>
      <c r="T84" s="198"/>
      <c r="U84" s="198"/>
    </row>
    <row r="85" spans="1:26" s="12" customFormat="1" x14ac:dyDescent="0.25">
      <c r="A85" s="212" t="s">
        <v>1763</v>
      </c>
      <c r="B85" s="64">
        <v>5.9</v>
      </c>
      <c r="C85" s="64">
        <v>14.45</v>
      </c>
      <c r="D85" s="64">
        <v>12.28</v>
      </c>
      <c r="E85" s="64">
        <v>5.59</v>
      </c>
      <c r="F85" s="64">
        <v>10.79</v>
      </c>
      <c r="G85" s="64">
        <v>27.2</v>
      </c>
      <c r="H85" s="64">
        <v>4.28</v>
      </c>
      <c r="I85" s="64">
        <v>1.34</v>
      </c>
      <c r="J85" s="64">
        <v>0.24</v>
      </c>
      <c r="K85" s="64">
        <v>130.30000000000001</v>
      </c>
      <c r="L85" s="64">
        <v>27.26</v>
      </c>
      <c r="M85" s="64">
        <v>97.75</v>
      </c>
      <c r="N85" s="64">
        <v>49.1</v>
      </c>
      <c r="O85" s="64">
        <v>0</v>
      </c>
      <c r="P85" s="64">
        <v>0.6</v>
      </c>
      <c r="Q85" s="64">
        <v>9.6199999999999992</v>
      </c>
      <c r="R85" s="198"/>
      <c r="S85" s="198"/>
      <c r="T85" s="198"/>
      <c r="U85" s="198"/>
    </row>
    <row r="86" spans="1:26" s="12" customFormat="1" x14ac:dyDescent="0.25">
      <c r="A86" s="212" t="s">
        <v>1764</v>
      </c>
      <c r="B86" s="64">
        <v>14.66</v>
      </c>
      <c r="C86" s="64">
        <v>16.37</v>
      </c>
      <c r="D86" s="64">
        <v>20.309999999999999</v>
      </c>
      <c r="E86" s="64">
        <v>5.58</v>
      </c>
      <c r="F86" s="64">
        <v>8.75</v>
      </c>
      <c r="G86" s="64">
        <v>27.2</v>
      </c>
      <c r="H86" s="64">
        <v>4.28</v>
      </c>
      <c r="I86" s="64">
        <v>1.33</v>
      </c>
      <c r="J86" s="64">
        <v>0.11</v>
      </c>
      <c r="K86" s="64">
        <v>146.46</v>
      </c>
      <c r="L86" s="64">
        <v>27.15</v>
      </c>
      <c r="M86" s="64">
        <v>97.75</v>
      </c>
      <c r="N86" s="64">
        <v>49.1</v>
      </c>
      <c r="O86" s="64">
        <v>0</v>
      </c>
      <c r="P86" s="64">
        <v>0.85</v>
      </c>
      <c r="Q86" s="64">
        <v>9.6199999999999992</v>
      </c>
      <c r="R86" s="198"/>
      <c r="S86" s="198"/>
      <c r="T86" s="198"/>
      <c r="U86" s="198"/>
    </row>
    <row r="87" spans="1:26" s="12" customFormat="1" x14ac:dyDescent="0.25">
      <c r="A87" s="212" t="s">
        <v>1765</v>
      </c>
      <c r="B87" s="64">
        <v>18.25</v>
      </c>
      <c r="C87" s="64">
        <v>20.96</v>
      </c>
      <c r="D87" s="64">
        <v>25.59</v>
      </c>
      <c r="E87" s="64">
        <v>5.76</v>
      </c>
      <c r="F87" s="64">
        <v>6.19</v>
      </c>
      <c r="G87" s="64">
        <v>27.11</v>
      </c>
      <c r="H87" s="64">
        <v>7.03</v>
      </c>
      <c r="I87" s="64">
        <v>1.24</v>
      </c>
      <c r="J87" s="64">
        <v>0.02</v>
      </c>
      <c r="K87" s="64">
        <v>226.43</v>
      </c>
      <c r="L87" s="64">
        <v>26.97</v>
      </c>
      <c r="M87" s="64">
        <v>97.77</v>
      </c>
      <c r="N87" s="64">
        <v>49.1</v>
      </c>
      <c r="O87" s="64">
        <v>0</v>
      </c>
      <c r="P87" s="64">
        <v>1.38</v>
      </c>
      <c r="Q87" s="64">
        <v>9.6300000000000008</v>
      </c>
      <c r="R87" s="198"/>
      <c r="S87" s="198"/>
      <c r="T87" s="198"/>
      <c r="U87" s="198"/>
    </row>
    <row r="88" spans="1:26" s="12" customFormat="1" x14ac:dyDescent="0.25">
      <c r="A88" s="212" t="s">
        <v>1766</v>
      </c>
      <c r="B88" s="64">
        <v>18.2</v>
      </c>
      <c r="C88" s="64">
        <v>17.48</v>
      </c>
      <c r="D88" s="64">
        <v>23.6</v>
      </c>
      <c r="E88" s="64">
        <v>5.91</v>
      </c>
      <c r="F88" s="64">
        <v>5.92</v>
      </c>
      <c r="G88" s="64">
        <v>27.11</v>
      </c>
      <c r="H88" s="64">
        <v>7.26</v>
      </c>
      <c r="I88" s="64">
        <v>1.29</v>
      </c>
      <c r="J88" s="64">
        <v>0.04</v>
      </c>
      <c r="K88" s="64">
        <v>110.49</v>
      </c>
      <c r="L88" s="64">
        <v>26.82</v>
      </c>
      <c r="M88" s="64">
        <v>97.77</v>
      </c>
      <c r="N88" s="64">
        <v>49</v>
      </c>
      <c r="O88" s="64">
        <v>0</v>
      </c>
      <c r="P88" s="64">
        <v>1.22</v>
      </c>
      <c r="Q88" s="64">
        <v>9.6199999999999992</v>
      </c>
      <c r="R88" s="198"/>
      <c r="S88" s="198"/>
      <c r="T88" s="198"/>
      <c r="U88" s="198"/>
    </row>
    <row r="89" spans="1:26" s="12" customFormat="1" x14ac:dyDescent="0.25">
      <c r="A89" s="212" t="s">
        <v>1767</v>
      </c>
      <c r="B89" s="64">
        <v>26.16</v>
      </c>
      <c r="C89" s="64">
        <v>21.99</v>
      </c>
      <c r="D89" s="64">
        <v>32.47</v>
      </c>
      <c r="E89" s="64">
        <v>5.99</v>
      </c>
      <c r="F89" s="64">
        <v>4.55</v>
      </c>
      <c r="G89" s="64">
        <v>27.11</v>
      </c>
      <c r="H89" s="64">
        <v>7.26</v>
      </c>
      <c r="I89" s="64">
        <v>1.35</v>
      </c>
      <c r="J89" s="64">
        <v>0.01</v>
      </c>
      <c r="K89" s="64">
        <v>285.81</v>
      </c>
      <c r="L89" s="64">
        <v>26.7</v>
      </c>
      <c r="M89" s="64">
        <v>97.77</v>
      </c>
      <c r="N89" s="64">
        <v>49.1</v>
      </c>
      <c r="O89" s="64">
        <v>0</v>
      </c>
      <c r="P89" s="64">
        <v>1.62</v>
      </c>
      <c r="Q89" s="64">
        <v>9.61</v>
      </c>
      <c r="R89" s="198"/>
      <c r="S89" s="198"/>
      <c r="T89" s="198"/>
      <c r="U89" s="198"/>
    </row>
    <row r="90" spans="1:26" s="12" customFormat="1" x14ac:dyDescent="0.25">
      <c r="A90" s="212" t="s">
        <v>1768</v>
      </c>
      <c r="B90" s="64">
        <v>18.13</v>
      </c>
      <c r="C90" s="64">
        <v>21.18</v>
      </c>
      <c r="D90" s="64">
        <v>25.41</v>
      </c>
      <c r="E90" s="64">
        <v>5.89</v>
      </c>
      <c r="F90" s="64">
        <v>6.05</v>
      </c>
      <c r="G90" s="64">
        <v>27.11</v>
      </c>
      <c r="H90" s="64">
        <v>7.26</v>
      </c>
      <c r="I90" s="64">
        <v>1.46</v>
      </c>
      <c r="J90" s="64">
        <v>0.1</v>
      </c>
      <c r="K90" s="64">
        <v>124.65</v>
      </c>
      <c r="L90" s="64">
        <v>26.64</v>
      </c>
      <c r="M90" s="64">
        <v>97.8</v>
      </c>
      <c r="N90" s="64">
        <v>49</v>
      </c>
      <c r="O90" s="64">
        <v>0</v>
      </c>
      <c r="P90" s="64">
        <v>1.28</v>
      </c>
      <c r="Q90" s="64">
        <v>9.64</v>
      </c>
      <c r="R90" s="198"/>
      <c r="S90" s="198"/>
      <c r="T90" s="198"/>
      <c r="U90" s="198"/>
    </row>
    <row r="91" spans="1:26" s="12" customFormat="1" x14ac:dyDescent="0.25">
      <c r="A91" s="212" t="s">
        <v>1769</v>
      </c>
      <c r="B91" s="64">
        <v>12.3</v>
      </c>
      <c r="C91" s="64">
        <v>16.09</v>
      </c>
      <c r="D91" s="64">
        <v>18.27</v>
      </c>
      <c r="E91" s="64">
        <v>5.74</v>
      </c>
      <c r="F91" s="64">
        <v>7.35</v>
      </c>
      <c r="G91" s="64">
        <v>30.81</v>
      </c>
      <c r="H91" s="64">
        <v>9.35</v>
      </c>
      <c r="I91" s="64">
        <v>1.57</v>
      </c>
      <c r="J91" s="64">
        <v>0.05</v>
      </c>
      <c r="K91" s="64">
        <v>191.6</v>
      </c>
      <c r="L91" s="64">
        <v>26.58</v>
      </c>
      <c r="M91" s="64">
        <v>97.8</v>
      </c>
      <c r="N91" s="64">
        <v>49</v>
      </c>
      <c r="O91" s="64">
        <v>0</v>
      </c>
      <c r="P91" s="64">
        <v>0.9</v>
      </c>
      <c r="Q91" s="64">
        <v>9.6300000000000008</v>
      </c>
      <c r="R91" s="198"/>
      <c r="S91" s="198"/>
      <c r="T91" s="198"/>
      <c r="U91" s="198"/>
    </row>
    <row r="92" spans="1:26" s="12" customFormat="1" x14ac:dyDescent="0.25">
      <c r="A92" s="212" t="s">
        <v>1770</v>
      </c>
      <c r="B92" s="64">
        <v>18.510000000000002</v>
      </c>
      <c r="C92" s="64">
        <v>18.46</v>
      </c>
      <c r="D92" s="64">
        <v>24.49</v>
      </c>
      <c r="E92" s="64">
        <v>5.53</v>
      </c>
      <c r="F92" s="64">
        <v>6.69</v>
      </c>
      <c r="G92" s="64">
        <v>31.12</v>
      </c>
      <c r="H92" s="64">
        <v>9.5299999999999994</v>
      </c>
      <c r="I92" s="64">
        <v>1.66</v>
      </c>
      <c r="J92" s="64">
        <v>0.03</v>
      </c>
      <c r="K92" s="64">
        <v>283.8</v>
      </c>
      <c r="L92" s="64">
        <v>26.61</v>
      </c>
      <c r="M92" s="64">
        <v>97.8</v>
      </c>
      <c r="N92" s="64">
        <v>49</v>
      </c>
      <c r="O92" s="64">
        <v>0</v>
      </c>
      <c r="P92" s="64">
        <v>1.0900000000000001</v>
      </c>
      <c r="Q92" s="64">
        <v>9.64</v>
      </c>
      <c r="R92" s="198"/>
      <c r="S92" s="198"/>
      <c r="T92" s="198"/>
      <c r="U92" s="198"/>
    </row>
    <row r="93" spans="1:26" s="12" customFormat="1" x14ac:dyDescent="0.25">
      <c r="A93" s="212" t="s">
        <v>1771</v>
      </c>
      <c r="B93" s="64">
        <v>17.66</v>
      </c>
      <c r="C93" s="64">
        <v>16.3</v>
      </c>
      <c r="D93" s="64">
        <v>22.67</v>
      </c>
      <c r="E93" s="64">
        <v>5.31</v>
      </c>
      <c r="F93" s="64">
        <v>5.94</v>
      </c>
      <c r="G93" s="64">
        <v>31.12</v>
      </c>
      <c r="H93" s="64">
        <v>9.5299999999999994</v>
      </c>
      <c r="I93" s="64">
        <v>1.72</v>
      </c>
      <c r="J93" s="64">
        <v>0.08</v>
      </c>
      <c r="K93" s="64">
        <v>290.02</v>
      </c>
      <c r="L93" s="64">
        <v>26.55</v>
      </c>
      <c r="M93" s="64">
        <v>97.81</v>
      </c>
      <c r="N93" s="64">
        <v>49.1</v>
      </c>
      <c r="O93" s="64">
        <v>0</v>
      </c>
      <c r="P93" s="64">
        <v>1</v>
      </c>
      <c r="Q93" s="64">
        <v>9.6300000000000008</v>
      </c>
      <c r="R93" s="198"/>
      <c r="S93" s="198"/>
      <c r="T93" s="198"/>
      <c r="U93" s="198"/>
    </row>
    <row r="94" spans="1:26" s="12" customFormat="1" x14ac:dyDescent="0.25">
      <c r="A94" s="212" t="s">
        <v>1772</v>
      </c>
      <c r="B94" s="64">
        <v>10.88</v>
      </c>
      <c r="C94" s="64">
        <v>16.239999999999998</v>
      </c>
      <c r="D94" s="64">
        <v>17.21</v>
      </c>
      <c r="E94" s="64">
        <v>5.86</v>
      </c>
      <c r="F94" s="64">
        <v>7.35</v>
      </c>
      <c r="G94" s="64">
        <v>31.12</v>
      </c>
      <c r="H94" s="64">
        <v>9.5299999999999994</v>
      </c>
      <c r="I94" s="64">
        <v>1.77</v>
      </c>
      <c r="J94" s="64">
        <v>0.08</v>
      </c>
      <c r="K94" s="64">
        <v>250.08</v>
      </c>
      <c r="L94" s="64">
        <v>26.54</v>
      </c>
      <c r="M94" s="64">
        <v>97.8</v>
      </c>
      <c r="N94" s="64">
        <v>49</v>
      </c>
      <c r="O94" s="64">
        <v>0</v>
      </c>
      <c r="P94" s="64">
        <v>0.91</v>
      </c>
      <c r="Q94" s="64">
        <v>9.6300000000000008</v>
      </c>
      <c r="R94" s="198"/>
      <c r="S94" s="198"/>
      <c r="T94" s="198"/>
      <c r="U94" s="198"/>
    </row>
    <row r="95" spans="1:26" s="12" customFormat="1" x14ac:dyDescent="0.25">
      <c r="A95" s="212" t="s">
        <v>1773</v>
      </c>
      <c r="B95" s="64">
        <v>13.74</v>
      </c>
      <c r="C95" s="64">
        <v>12.68</v>
      </c>
      <c r="D95" s="64">
        <v>17.649999999999999</v>
      </c>
      <c r="E95" s="64">
        <v>5.73</v>
      </c>
      <c r="F95" s="64">
        <v>7.37</v>
      </c>
      <c r="G95" s="64">
        <v>38.72</v>
      </c>
      <c r="H95" s="64">
        <v>10.35</v>
      </c>
      <c r="I95" s="64">
        <v>1.83</v>
      </c>
      <c r="J95" s="64">
        <v>0.04</v>
      </c>
      <c r="K95" s="64">
        <v>285.36</v>
      </c>
      <c r="L95" s="64">
        <v>26.46</v>
      </c>
      <c r="M95" s="64">
        <v>97.8</v>
      </c>
      <c r="N95" s="64">
        <v>49</v>
      </c>
      <c r="O95" s="64">
        <v>0</v>
      </c>
      <c r="P95" s="64">
        <v>0.72</v>
      </c>
      <c r="Q95" s="64">
        <v>9.65</v>
      </c>
      <c r="R95" s="198"/>
      <c r="S95" s="198"/>
      <c r="T95" s="198"/>
      <c r="U95" s="198"/>
    </row>
    <row r="96" spans="1:26" s="12" customFormat="1" x14ac:dyDescent="0.25">
      <c r="A96" s="212" t="s">
        <v>1774</v>
      </c>
      <c r="B96" s="64">
        <v>16.239999999999998</v>
      </c>
      <c r="C96" s="64">
        <v>11.63</v>
      </c>
      <c r="D96" s="64">
        <v>19.100000000000001</v>
      </c>
      <c r="E96" s="64">
        <v>5.44</v>
      </c>
      <c r="F96" s="64">
        <v>6.09</v>
      </c>
      <c r="G96" s="64">
        <v>39.36</v>
      </c>
      <c r="H96" s="64">
        <v>10.42</v>
      </c>
      <c r="I96" s="64">
        <v>1.86</v>
      </c>
      <c r="J96" s="64">
        <v>0.05</v>
      </c>
      <c r="K96" s="64">
        <v>198.11</v>
      </c>
      <c r="L96" s="64">
        <v>26.45</v>
      </c>
      <c r="M96" s="64">
        <v>97.78</v>
      </c>
      <c r="N96" s="64">
        <v>49</v>
      </c>
      <c r="O96" s="64">
        <v>0</v>
      </c>
      <c r="P96" s="64">
        <v>0.69</v>
      </c>
      <c r="Q96" s="64">
        <v>9.64</v>
      </c>
      <c r="R96" s="198"/>
      <c r="S96" s="198"/>
      <c r="T96" s="198"/>
      <c r="U96" s="198"/>
      <c r="Z96" s="109"/>
    </row>
    <row r="97" spans="1:33" s="12" customFormat="1" x14ac:dyDescent="0.25">
      <c r="A97" s="212" t="s">
        <v>1775</v>
      </c>
      <c r="B97" s="64">
        <v>9.27</v>
      </c>
      <c r="C97" s="64">
        <v>7.74</v>
      </c>
      <c r="D97" s="64">
        <v>11.47</v>
      </c>
      <c r="E97" s="64">
        <v>5.8</v>
      </c>
      <c r="F97" s="64">
        <v>8.6</v>
      </c>
      <c r="G97" s="64">
        <v>39.36</v>
      </c>
      <c r="H97" s="64">
        <v>10.42</v>
      </c>
      <c r="I97" s="64">
        <v>1.87</v>
      </c>
      <c r="J97" s="64">
        <v>0.28000000000000003</v>
      </c>
      <c r="K97" s="64">
        <v>145.19</v>
      </c>
      <c r="L97" s="64">
        <v>26.43</v>
      </c>
      <c r="M97" s="64">
        <v>97.78</v>
      </c>
      <c r="N97" s="64">
        <v>49</v>
      </c>
      <c r="O97" s="64">
        <v>0</v>
      </c>
      <c r="P97" s="64">
        <v>0.56000000000000005</v>
      </c>
      <c r="Q97" s="64">
        <v>9.64</v>
      </c>
      <c r="R97" s="198"/>
      <c r="S97" s="198"/>
      <c r="T97" s="198"/>
      <c r="U97" s="198"/>
    </row>
    <row r="98" spans="1:33" s="12" customFormat="1" x14ac:dyDescent="0.25">
      <c r="A98" s="212" t="s">
        <v>1776</v>
      </c>
      <c r="B98" s="64">
        <v>9.1</v>
      </c>
      <c r="C98" s="64">
        <v>6.45</v>
      </c>
      <c r="D98" s="64">
        <v>10.67</v>
      </c>
      <c r="E98" s="64">
        <v>5.54</v>
      </c>
      <c r="F98" s="64">
        <v>8.11</v>
      </c>
      <c r="G98" s="64">
        <v>39.36</v>
      </c>
      <c r="H98" s="64">
        <v>10.42</v>
      </c>
      <c r="I98" s="64">
        <v>1.87</v>
      </c>
      <c r="J98" s="64">
        <v>0.92</v>
      </c>
      <c r="K98" s="64">
        <v>124.1</v>
      </c>
      <c r="L98" s="64">
        <v>26.38</v>
      </c>
      <c r="M98" s="64">
        <v>97.76</v>
      </c>
      <c r="N98" s="64">
        <v>49</v>
      </c>
      <c r="O98" s="64">
        <v>0</v>
      </c>
      <c r="P98" s="64">
        <v>0.46</v>
      </c>
      <c r="Q98" s="64">
        <v>9.64</v>
      </c>
      <c r="R98" s="198"/>
      <c r="S98" s="198"/>
      <c r="T98" s="198"/>
      <c r="U98" s="198"/>
    </row>
    <row r="99" spans="1:33" s="12" customFormat="1" x14ac:dyDescent="0.25">
      <c r="A99" s="212" t="s">
        <v>1777</v>
      </c>
      <c r="B99" s="64">
        <v>8.68</v>
      </c>
      <c r="C99" s="64">
        <v>7.94</v>
      </c>
      <c r="D99" s="64">
        <v>11.11</v>
      </c>
      <c r="E99" s="64">
        <v>5.41</v>
      </c>
      <c r="F99" s="64">
        <v>8.68</v>
      </c>
      <c r="G99" s="64">
        <v>33.61</v>
      </c>
      <c r="H99" s="64">
        <v>8.25</v>
      </c>
      <c r="I99" s="64">
        <v>1.85</v>
      </c>
      <c r="J99" s="64">
        <v>0.34</v>
      </c>
      <c r="K99" s="64">
        <v>135.11000000000001</v>
      </c>
      <c r="L99" s="64">
        <v>26.36</v>
      </c>
      <c r="M99" s="64">
        <v>97.75</v>
      </c>
      <c r="N99" s="64">
        <v>49.2</v>
      </c>
      <c r="O99" s="64">
        <v>0</v>
      </c>
      <c r="P99" s="64">
        <v>0.45</v>
      </c>
      <c r="Q99" s="64">
        <v>9.65</v>
      </c>
      <c r="R99" s="198"/>
      <c r="S99" s="198"/>
      <c r="T99" s="198"/>
      <c r="U99" s="198"/>
    </row>
    <row r="100" spans="1:33" s="12" customFormat="1" x14ac:dyDescent="0.25">
      <c r="A100" s="212" t="s">
        <v>1778</v>
      </c>
      <c r="B100" s="64">
        <v>9.6</v>
      </c>
      <c r="C100" s="64">
        <v>9.83</v>
      </c>
      <c r="D100" s="64">
        <v>12.84</v>
      </c>
      <c r="E100" s="64">
        <v>5.5</v>
      </c>
      <c r="F100" s="64">
        <v>9.0500000000000007</v>
      </c>
      <c r="G100" s="64">
        <v>33.130000000000003</v>
      </c>
      <c r="H100" s="64">
        <v>8.07</v>
      </c>
      <c r="I100" s="64">
        <v>1.8</v>
      </c>
      <c r="J100" s="64">
        <v>0.32</v>
      </c>
      <c r="K100" s="64">
        <v>138.53</v>
      </c>
      <c r="L100" s="64">
        <v>26.3</v>
      </c>
      <c r="M100" s="64">
        <v>97.75</v>
      </c>
      <c r="N100" s="64">
        <v>49.4</v>
      </c>
      <c r="O100" s="64">
        <v>0</v>
      </c>
      <c r="P100" s="64">
        <v>0.45</v>
      </c>
      <c r="Q100" s="64">
        <v>9.65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2" t="s">
        <v>1779</v>
      </c>
      <c r="B101" s="64">
        <v>9.7200000000000006</v>
      </c>
      <c r="C101" s="64">
        <v>22.94</v>
      </c>
      <c r="D101" s="64">
        <v>19.78</v>
      </c>
      <c r="E101" s="64">
        <v>5.45</v>
      </c>
      <c r="F101" s="64">
        <v>7.74</v>
      </c>
      <c r="G101" s="64">
        <v>33.130000000000003</v>
      </c>
      <c r="H101" s="64">
        <v>8.07</v>
      </c>
      <c r="I101" s="64">
        <v>1.78</v>
      </c>
      <c r="J101" s="64">
        <v>0.48</v>
      </c>
      <c r="K101" s="64">
        <v>131.13999999999999</v>
      </c>
      <c r="L101" s="64">
        <v>26.2</v>
      </c>
      <c r="M101" s="64">
        <v>97.75</v>
      </c>
      <c r="N101" s="64">
        <v>48.9</v>
      </c>
      <c r="O101" s="64">
        <v>0</v>
      </c>
      <c r="P101" s="64">
        <v>0.42</v>
      </c>
      <c r="Q101" s="64">
        <v>9.64</v>
      </c>
      <c r="R101" s="198"/>
      <c r="S101" s="198"/>
      <c r="T101" s="198"/>
      <c r="U101" s="198"/>
    </row>
    <row r="102" spans="1:33" s="12" customFormat="1" x14ac:dyDescent="0.25">
      <c r="A102" s="212" t="s">
        <v>1780</v>
      </c>
      <c r="B102" s="64">
        <v>8.41</v>
      </c>
      <c r="C102" s="64">
        <v>7.34</v>
      </c>
      <c r="D102" s="64">
        <v>10.58</v>
      </c>
      <c r="E102" s="64">
        <v>5.66</v>
      </c>
      <c r="F102" s="64">
        <v>11.15</v>
      </c>
      <c r="G102" s="64">
        <v>33.130000000000003</v>
      </c>
      <c r="H102" s="64">
        <v>8.07</v>
      </c>
      <c r="I102" s="64">
        <v>1.75</v>
      </c>
      <c r="J102" s="64">
        <v>0.9</v>
      </c>
      <c r="K102" s="64">
        <v>127.42</v>
      </c>
      <c r="L102" s="64">
        <v>26.21</v>
      </c>
      <c r="M102" s="64">
        <v>97.75</v>
      </c>
      <c r="N102" s="64">
        <v>49.2</v>
      </c>
      <c r="O102" s="64">
        <v>0</v>
      </c>
      <c r="P102" s="64">
        <v>0.41</v>
      </c>
      <c r="Q102" s="64">
        <v>9.65</v>
      </c>
      <c r="R102" s="198"/>
      <c r="S102" s="198"/>
      <c r="T102" s="198"/>
      <c r="U102" s="198"/>
    </row>
    <row r="103" spans="1:33" s="12" customFormat="1" x14ac:dyDescent="0.25">
      <c r="A103" s="212" t="s">
        <v>1781</v>
      </c>
      <c r="B103" s="64">
        <v>7.89</v>
      </c>
      <c r="C103" s="64">
        <v>7.32</v>
      </c>
      <c r="D103" s="64">
        <v>10.15</v>
      </c>
      <c r="E103" s="64">
        <v>5.57</v>
      </c>
      <c r="F103" s="64">
        <v>9.7200000000000006</v>
      </c>
      <c r="G103" s="64">
        <v>26.78</v>
      </c>
      <c r="H103" s="64">
        <v>7.5</v>
      </c>
      <c r="I103" s="64">
        <v>1.71</v>
      </c>
      <c r="J103" s="64">
        <v>0.89</v>
      </c>
      <c r="K103" s="64">
        <v>125.49</v>
      </c>
      <c r="L103" s="64">
        <v>26.12</v>
      </c>
      <c r="M103" s="64">
        <v>97.75</v>
      </c>
      <c r="N103" s="64">
        <v>49.4</v>
      </c>
      <c r="O103" s="64">
        <v>0</v>
      </c>
      <c r="P103" s="64">
        <v>0.38</v>
      </c>
      <c r="Q103" s="64">
        <v>9.65</v>
      </c>
      <c r="R103" s="198"/>
      <c r="S103" s="198"/>
      <c r="T103" s="198"/>
      <c r="U103" s="198"/>
    </row>
    <row r="104" spans="1:33" s="12" customFormat="1" x14ac:dyDescent="0.25">
      <c r="A104" s="212" t="s">
        <v>1782</v>
      </c>
      <c r="B104" s="64">
        <v>7.85</v>
      </c>
      <c r="C104" s="64">
        <v>6.91</v>
      </c>
      <c r="D104" s="64">
        <v>9.91</v>
      </c>
      <c r="E104" s="64">
        <v>5.41</v>
      </c>
      <c r="F104" s="64">
        <v>9.94</v>
      </c>
      <c r="G104" s="64">
        <v>26.24</v>
      </c>
      <c r="H104" s="64">
        <v>7.46</v>
      </c>
      <c r="I104" s="64">
        <v>1.67</v>
      </c>
      <c r="J104" s="64">
        <v>1.21</v>
      </c>
      <c r="K104" s="64">
        <v>130.28</v>
      </c>
      <c r="L104" s="64">
        <v>25.96</v>
      </c>
      <c r="M104" s="64">
        <v>97.75</v>
      </c>
      <c r="N104" s="64">
        <v>49.4</v>
      </c>
      <c r="O104" s="64">
        <v>0</v>
      </c>
      <c r="P104" s="64">
        <v>0.36</v>
      </c>
      <c r="Q104" s="64">
        <v>9.66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4.95</v>
      </c>
      <c r="C106" s="67">
        <f>MIN(C9:C104)</f>
        <v>5.68</v>
      </c>
      <c r="D106" s="67">
        <f t="shared" ref="D106:Q106" si="0">MIN(D9:D104)</f>
        <v>7.07</v>
      </c>
      <c r="E106" s="67">
        <f t="shared" si="0"/>
        <v>2.86</v>
      </c>
      <c r="F106" s="67">
        <f t="shared" si="0"/>
        <v>3.44</v>
      </c>
      <c r="G106" s="67">
        <f t="shared" si="0"/>
        <v>11.81</v>
      </c>
      <c r="H106" s="67">
        <f t="shared" si="0"/>
        <v>2.33</v>
      </c>
      <c r="I106" s="67">
        <f t="shared" si="0"/>
        <v>1.07</v>
      </c>
      <c r="J106" s="67">
        <f t="shared" si="0"/>
        <v>0.01</v>
      </c>
      <c r="K106" s="67">
        <f t="shared" si="0"/>
        <v>22.7</v>
      </c>
      <c r="L106" s="67">
        <f t="shared" si="0"/>
        <v>23.03</v>
      </c>
      <c r="M106" s="67">
        <f t="shared" si="0"/>
        <v>90.68</v>
      </c>
      <c r="N106" s="67">
        <f t="shared" si="0"/>
        <v>40.4</v>
      </c>
      <c r="O106" s="67">
        <f t="shared" si="0"/>
        <v>0</v>
      </c>
      <c r="P106" s="67">
        <f t="shared" si="0"/>
        <v>0.21</v>
      </c>
      <c r="Q106" s="67">
        <f t="shared" si="0"/>
        <v>9.6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26.16</v>
      </c>
      <c r="C107" s="66">
        <f t="shared" ref="C107:Q107" si="1">MAX(C9:C104)</f>
        <v>22.94</v>
      </c>
      <c r="D107" s="66">
        <f t="shared" si="1"/>
        <v>32.47</v>
      </c>
      <c r="E107" s="66">
        <f t="shared" si="1"/>
        <v>5.99</v>
      </c>
      <c r="F107" s="66">
        <f t="shared" si="1"/>
        <v>13.1</v>
      </c>
      <c r="G107" s="66">
        <f t="shared" si="1"/>
        <v>39.36</v>
      </c>
      <c r="H107" s="66">
        <f t="shared" si="1"/>
        <v>13.24</v>
      </c>
      <c r="I107" s="66">
        <f t="shared" si="1"/>
        <v>1.87</v>
      </c>
      <c r="J107" s="66">
        <f t="shared" si="1"/>
        <v>1.33</v>
      </c>
      <c r="K107" s="66">
        <f t="shared" si="1"/>
        <v>339.02</v>
      </c>
      <c r="L107" s="66">
        <f t="shared" si="1"/>
        <v>28.86</v>
      </c>
      <c r="M107" s="66">
        <f t="shared" si="1"/>
        <v>97.93</v>
      </c>
      <c r="N107" s="66">
        <f t="shared" si="1"/>
        <v>649.9</v>
      </c>
      <c r="O107" s="66">
        <f t="shared" si="1"/>
        <v>0</v>
      </c>
      <c r="P107" s="66">
        <f t="shared" si="1"/>
        <v>1.62</v>
      </c>
      <c r="Q107" s="66">
        <f t="shared" si="1"/>
        <v>9.66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9.2254166666666677</v>
      </c>
      <c r="C108" s="67">
        <f t="shared" ref="C108:Q108" si="2">AVERAGE(C9:C104)</f>
        <v>10.198125000000003</v>
      </c>
      <c r="D108" s="67">
        <f t="shared" si="2"/>
        <v>12.646250000000002</v>
      </c>
      <c r="E108" s="67">
        <f t="shared" si="2"/>
        <v>5.2225000000000001</v>
      </c>
      <c r="F108" s="67">
        <f t="shared" si="2"/>
        <v>8.7845833333333339</v>
      </c>
      <c r="G108" s="67">
        <f t="shared" si="2"/>
        <v>19.759791666666658</v>
      </c>
      <c r="H108" s="67">
        <f t="shared" si="2"/>
        <v>6.6129166666666661</v>
      </c>
      <c r="I108" s="67">
        <f t="shared" si="2"/>
        <v>1.2848958333333329</v>
      </c>
      <c r="J108" s="67">
        <f t="shared" si="2"/>
        <v>0.40593750000000012</v>
      </c>
      <c r="K108" s="67">
        <f t="shared" si="2"/>
        <v>153.47447916666673</v>
      </c>
      <c r="L108" s="67">
        <f t="shared" si="2"/>
        <v>25.989166666666659</v>
      </c>
      <c r="M108" s="67">
        <f t="shared" si="2"/>
        <v>97.132395833333362</v>
      </c>
      <c r="N108" s="67">
        <f t="shared" si="2"/>
        <v>153.24479166666669</v>
      </c>
      <c r="O108" s="67">
        <f t="shared" si="2"/>
        <v>0</v>
      </c>
      <c r="P108" s="67">
        <f t="shared" si="2"/>
        <v>0.43135416666666676</v>
      </c>
      <c r="Q108" s="67">
        <f t="shared" si="2"/>
        <v>9.6366666666666614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3.7123832369847767</v>
      </c>
      <c r="C109" s="67">
        <f t="shared" ref="C109:Q109" si="3">STDEV(C9:C104)</f>
        <v>4.1306574760212804</v>
      </c>
      <c r="D109" s="67">
        <f t="shared" si="3"/>
        <v>4.6694578181829014</v>
      </c>
      <c r="E109" s="67">
        <f t="shared" si="3"/>
        <v>0.38333989315516143</v>
      </c>
      <c r="F109" s="67">
        <f t="shared" si="3"/>
        <v>1.9632689799717427</v>
      </c>
      <c r="G109" s="67">
        <f t="shared" si="3"/>
        <v>7.0490905690647425</v>
      </c>
      <c r="H109" s="67">
        <f t="shared" si="3"/>
        <v>2.491445539680329</v>
      </c>
      <c r="I109" s="67">
        <f t="shared" si="3"/>
        <v>0.22874483504858803</v>
      </c>
      <c r="J109" s="67">
        <f t="shared" si="3"/>
        <v>0.3507963215464584</v>
      </c>
      <c r="K109" s="67">
        <f t="shared" si="3"/>
        <v>65.935210046957309</v>
      </c>
      <c r="L109" s="67">
        <f t="shared" si="3"/>
        <v>1.9483724201803148</v>
      </c>
      <c r="M109" s="67">
        <f t="shared" si="3"/>
        <v>1.5074389189278083</v>
      </c>
      <c r="N109" s="67">
        <f t="shared" si="3"/>
        <v>156.96074793922304</v>
      </c>
      <c r="O109" s="67">
        <f t="shared" si="3"/>
        <v>0</v>
      </c>
      <c r="P109" s="67">
        <f t="shared" si="3"/>
        <v>0.26715112928302004</v>
      </c>
      <c r="Q109" s="67">
        <f t="shared" si="3"/>
        <v>1.1577352362233092E-2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216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6" sqref="H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17/08/2025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2" t="s">
        <v>1783</v>
      </c>
      <c r="B9" s="64">
        <v>8.0299999999999994</v>
      </c>
      <c r="C9" s="64">
        <v>6.75</v>
      </c>
      <c r="D9" s="64">
        <v>9.9700000000000006</v>
      </c>
      <c r="E9" s="64">
        <v>4.8099999999999996</v>
      </c>
      <c r="F9" s="64">
        <v>7.25</v>
      </c>
      <c r="G9" s="64">
        <v>26.24</v>
      </c>
      <c r="H9" s="64">
        <v>7.46</v>
      </c>
      <c r="I9" s="64">
        <v>1.65</v>
      </c>
      <c r="J9" s="64">
        <v>1.24</v>
      </c>
      <c r="K9" s="64">
        <v>129.68</v>
      </c>
      <c r="L9" s="64">
        <v>25.85</v>
      </c>
      <c r="M9" s="64">
        <v>97.75</v>
      </c>
      <c r="N9" s="64">
        <v>49.4</v>
      </c>
      <c r="O9" s="64">
        <v>0</v>
      </c>
      <c r="P9" s="64">
        <v>0.42</v>
      </c>
      <c r="Q9" s="64">
        <v>9.65</v>
      </c>
      <c r="R9" s="198"/>
      <c r="S9" s="198"/>
      <c r="T9" s="198"/>
      <c r="U9" s="198"/>
    </row>
    <row r="10" spans="1:21" s="12" customFormat="1" x14ac:dyDescent="0.25">
      <c r="A10" s="212" t="s">
        <v>1784</v>
      </c>
      <c r="B10" s="64">
        <v>9.2200000000000006</v>
      </c>
      <c r="C10" s="64">
        <v>6.75</v>
      </c>
      <c r="D10" s="64">
        <v>10.92</v>
      </c>
      <c r="E10" s="64">
        <v>4.97</v>
      </c>
      <c r="F10" s="64">
        <v>6.09</v>
      </c>
      <c r="G10" s="64">
        <v>26.24</v>
      </c>
      <c r="H10" s="64">
        <v>7.46</v>
      </c>
      <c r="I10" s="64">
        <v>1.62</v>
      </c>
      <c r="J10" s="64">
        <v>1.1000000000000001</v>
      </c>
      <c r="K10" s="64">
        <v>124.45</v>
      </c>
      <c r="L10" s="64">
        <v>25.48</v>
      </c>
      <c r="M10" s="64">
        <v>97.79</v>
      </c>
      <c r="N10" s="64">
        <v>51.5</v>
      </c>
      <c r="O10" s="64">
        <v>0</v>
      </c>
      <c r="P10" s="64">
        <v>0.45</v>
      </c>
      <c r="Q10" s="64">
        <v>9.64</v>
      </c>
      <c r="R10" s="198"/>
      <c r="S10" s="198"/>
      <c r="T10" s="198"/>
      <c r="U10" s="198"/>
    </row>
    <row r="11" spans="1:21" s="12" customFormat="1" x14ac:dyDescent="0.25">
      <c r="A11" s="212" t="s">
        <v>1785</v>
      </c>
      <c r="B11" s="64">
        <v>9.75</v>
      </c>
      <c r="C11" s="64">
        <v>6.11</v>
      </c>
      <c r="D11" s="64">
        <v>11.01</v>
      </c>
      <c r="E11" s="64">
        <v>4.8</v>
      </c>
      <c r="F11" s="64">
        <v>3.78</v>
      </c>
      <c r="G11" s="64">
        <v>24.56</v>
      </c>
      <c r="H11" s="64">
        <v>5.81</v>
      </c>
      <c r="I11" s="64">
        <v>1.58</v>
      </c>
      <c r="J11" s="64">
        <v>0.82</v>
      </c>
      <c r="K11" s="64">
        <v>135.69</v>
      </c>
      <c r="L11" s="64">
        <v>24.03</v>
      </c>
      <c r="M11" s="64">
        <v>97.87</v>
      </c>
      <c r="N11" s="64">
        <v>51.9</v>
      </c>
      <c r="O11" s="64">
        <v>0</v>
      </c>
      <c r="P11" s="64">
        <v>0.53</v>
      </c>
      <c r="Q11" s="64">
        <v>9.64</v>
      </c>
      <c r="R11" s="198"/>
      <c r="S11" s="198"/>
      <c r="T11" s="198"/>
      <c r="U11" s="198"/>
    </row>
    <row r="12" spans="1:21" s="12" customFormat="1" x14ac:dyDescent="0.25">
      <c r="A12" s="212" t="s">
        <v>1786</v>
      </c>
      <c r="B12" s="64">
        <v>10.57</v>
      </c>
      <c r="C12" s="64">
        <v>5.7</v>
      </c>
      <c r="D12" s="64">
        <v>11.46</v>
      </c>
      <c r="E12" s="64">
        <v>4.47</v>
      </c>
      <c r="F12" s="64">
        <v>2.58</v>
      </c>
      <c r="G12" s="64">
        <v>24.41</v>
      </c>
      <c r="H12" s="64">
        <v>5.67</v>
      </c>
      <c r="I12" s="64">
        <v>1.53</v>
      </c>
      <c r="J12" s="64">
        <v>0.13</v>
      </c>
      <c r="K12" s="64">
        <v>310.01</v>
      </c>
      <c r="L12" s="64">
        <v>23.28</v>
      </c>
      <c r="M12" s="64">
        <v>97.93</v>
      </c>
      <c r="N12" s="64">
        <v>49.7</v>
      </c>
      <c r="O12" s="64">
        <v>0</v>
      </c>
      <c r="P12" s="64">
        <v>0.54</v>
      </c>
      <c r="Q12" s="64">
        <v>9.64</v>
      </c>
      <c r="R12" s="198"/>
      <c r="S12" s="198"/>
      <c r="T12" s="198"/>
      <c r="U12" s="198"/>
    </row>
    <row r="13" spans="1:21" s="12" customFormat="1" x14ac:dyDescent="0.25">
      <c r="A13" s="212" t="s">
        <v>1787</v>
      </c>
      <c r="B13" s="64">
        <v>10.33</v>
      </c>
      <c r="C13" s="64">
        <v>5.8</v>
      </c>
      <c r="D13" s="64">
        <v>11.32</v>
      </c>
      <c r="E13" s="64">
        <v>4.7</v>
      </c>
      <c r="F13" s="64">
        <v>2.17</v>
      </c>
      <c r="G13" s="64">
        <v>24.41</v>
      </c>
      <c r="H13" s="64">
        <v>5.67</v>
      </c>
      <c r="I13" s="64">
        <v>1.48</v>
      </c>
      <c r="J13" s="64">
        <v>0.14000000000000001</v>
      </c>
      <c r="K13" s="64">
        <v>341.44</v>
      </c>
      <c r="L13" s="64">
        <v>22.74</v>
      </c>
      <c r="M13" s="64">
        <v>97.95</v>
      </c>
      <c r="N13" s="64">
        <v>50.1</v>
      </c>
      <c r="O13" s="64">
        <v>0</v>
      </c>
      <c r="P13" s="64">
        <v>0.49</v>
      </c>
      <c r="Q13" s="64">
        <v>9.65</v>
      </c>
      <c r="R13" s="198"/>
      <c r="S13" s="198"/>
      <c r="T13" s="198"/>
      <c r="U13" s="198"/>
    </row>
    <row r="14" spans="1:21" s="12" customFormat="1" x14ac:dyDescent="0.25">
      <c r="A14" s="212" t="s">
        <v>1788</v>
      </c>
      <c r="B14" s="64">
        <v>9.8800000000000008</v>
      </c>
      <c r="C14" s="64">
        <v>5.97</v>
      </c>
      <c r="D14" s="64">
        <v>11.04</v>
      </c>
      <c r="E14" s="64">
        <v>4.6100000000000003</v>
      </c>
      <c r="F14" s="64">
        <v>2.11</v>
      </c>
      <c r="G14" s="64">
        <v>24.41</v>
      </c>
      <c r="H14" s="64">
        <v>5.67</v>
      </c>
      <c r="I14" s="64">
        <v>1.41</v>
      </c>
      <c r="J14" s="64">
        <v>0.16</v>
      </c>
      <c r="K14" s="64">
        <v>324.43</v>
      </c>
      <c r="L14" s="64">
        <v>22.43</v>
      </c>
      <c r="M14" s="64">
        <v>97.95</v>
      </c>
      <c r="N14" s="64">
        <v>49.6</v>
      </c>
      <c r="O14" s="64">
        <v>0</v>
      </c>
      <c r="P14" s="64">
        <v>0.49</v>
      </c>
      <c r="Q14" s="64">
        <v>9.65</v>
      </c>
      <c r="R14" s="198"/>
      <c r="S14" s="198"/>
      <c r="T14" s="198"/>
      <c r="U14" s="198"/>
    </row>
    <row r="15" spans="1:21" s="12" customFormat="1" x14ac:dyDescent="0.25">
      <c r="A15" s="212" t="s">
        <v>1789</v>
      </c>
      <c r="B15" s="64">
        <v>9.3000000000000007</v>
      </c>
      <c r="C15" s="64">
        <v>6.19</v>
      </c>
      <c r="D15" s="64">
        <v>10.69</v>
      </c>
      <c r="E15" s="64">
        <v>4.3099999999999996</v>
      </c>
      <c r="F15" s="64">
        <v>2.31</v>
      </c>
      <c r="G15" s="64">
        <v>17.059999999999999</v>
      </c>
      <c r="H15" s="64">
        <v>5.29</v>
      </c>
      <c r="I15" s="64">
        <v>1.33</v>
      </c>
      <c r="J15" s="64">
        <v>0.14000000000000001</v>
      </c>
      <c r="K15" s="64">
        <v>129.31</v>
      </c>
      <c r="L15" s="64">
        <v>22.37</v>
      </c>
      <c r="M15" s="64">
        <v>97.95</v>
      </c>
      <c r="N15" s="64">
        <v>49.4</v>
      </c>
      <c r="O15" s="64">
        <v>0</v>
      </c>
      <c r="P15" s="64">
        <v>0.47</v>
      </c>
      <c r="Q15" s="64">
        <v>9.6300000000000008</v>
      </c>
      <c r="R15" s="198"/>
      <c r="S15" s="198"/>
      <c r="T15" s="198"/>
      <c r="U15" s="198"/>
    </row>
    <row r="16" spans="1:21" s="12" customFormat="1" x14ac:dyDescent="0.25">
      <c r="A16" s="212" t="s">
        <v>1790</v>
      </c>
      <c r="B16" s="64">
        <v>9.15</v>
      </c>
      <c r="C16" s="64">
        <v>6.19</v>
      </c>
      <c r="D16" s="64">
        <v>10.57</v>
      </c>
      <c r="E16" s="64">
        <v>4.59</v>
      </c>
      <c r="F16" s="64">
        <v>2.21</v>
      </c>
      <c r="G16" s="64">
        <v>16.440000000000001</v>
      </c>
      <c r="H16" s="64">
        <v>5.25</v>
      </c>
      <c r="I16" s="64">
        <v>1.28</v>
      </c>
      <c r="J16" s="64">
        <v>0.19</v>
      </c>
      <c r="K16" s="64">
        <v>313.57</v>
      </c>
      <c r="L16" s="64">
        <v>22.4</v>
      </c>
      <c r="M16" s="64">
        <v>97.95</v>
      </c>
      <c r="N16" s="64">
        <v>49.1</v>
      </c>
      <c r="O16" s="64">
        <v>0</v>
      </c>
      <c r="P16" s="64">
        <v>0.48</v>
      </c>
      <c r="Q16" s="64">
        <v>9.6300000000000008</v>
      </c>
      <c r="R16" s="198"/>
      <c r="S16" s="198"/>
      <c r="T16" s="198"/>
      <c r="U16" s="198"/>
    </row>
    <row r="17" spans="1:21" s="12" customFormat="1" x14ac:dyDescent="0.25">
      <c r="A17" s="212" t="s">
        <v>1791</v>
      </c>
      <c r="B17" s="64">
        <v>8.73</v>
      </c>
      <c r="C17" s="64">
        <v>6.32</v>
      </c>
      <c r="D17" s="64">
        <v>10.3</v>
      </c>
      <c r="E17" s="64">
        <v>4.66</v>
      </c>
      <c r="F17" s="64">
        <v>3.73</v>
      </c>
      <c r="G17" s="64">
        <v>16.440000000000001</v>
      </c>
      <c r="H17" s="64">
        <v>5.25</v>
      </c>
      <c r="I17" s="64">
        <v>1.25</v>
      </c>
      <c r="J17" s="64">
        <v>0.06</v>
      </c>
      <c r="K17" s="64">
        <v>1.79</v>
      </c>
      <c r="L17" s="64">
        <v>22.36</v>
      </c>
      <c r="M17" s="64">
        <v>97.93</v>
      </c>
      <c r="N17" s="64">
        <v>49.2</v>
      </c>
      <c r="O17" s="64">
        <v>0</v>
      </c>
      <c r="P17" s="64">
        <v>0.41</v>
      </c>
      <c r="Q17" s="64">
        <v>9.64</v>
      </c>
      <c r="R17" s="198"/>
      <c r="S17" s="198"/>
      <c r="T17" s="198"/>
      <c r="U17" s="198"/>
    </row>
    <row r="18" spans="1:21" s="12" customFormat="1" x14ac:dyDescent="0.25">
      <c r="A18" s="212" t="s">
        <v>1792</v>
      </c>
      <c r="B18" s="64">
        <v>7.29</v>
      </c>
      <c r="C18" s="64">
        <v>6.49</v>
      </c>
      <c r="D18" s="64">
        <v>9.24</v>
      </c>
      <c r="E18" s="64">
        <v>4.47</v>
      </c>
      <c r="F18" s="64">
        <v>7.44</v>
      </c>
      <c r="G18" s="64">
        <v>16.440000000000001</v>
      </c>
      <c r="H18" s="64">
        <v>5.25</v>
      </c>
      <c r="I18" s="64">
        <v>1.23</v>
      </c>
      <c r="J18" s="64">
        <v>0.11</v>
      </c>
      <c r="K18" s="64">
        <v>88.05</v>
      </c>
      <c r="L18" s="64">
        <v>22.36</v>
      </c>
      <c r="M18" s="64">
        <v>97.91</v>
      </c>
      <c r="N18" s="64">
        <v>49.1</v>
      </c>
      <c r="O18" s="64">
        <v>0</v>
      </c>
      <c r="P18" s="64">
        <v>0.3</v>
      </c>
      <c r="Q18" s="64">
        <v>9.64</v>
      </c>
      <c r="R18" s="198"/>
      <c r="S18" s="198"/>
      <c r="T18" s="198"/>
      <c r="U18" s="198"/>
    </row>
    <row r="19" spans="1:21" s="12" customFormat="1" x14ac:dyDescent="0.25">
      <c r="A19" s="212" t="s">
        <v>1793</v>
      </c>
      <c r="B19" s="64">
        <v>6.66</v>
      </c>
      <c r="C19" s="64">
        <v>6.11</v>
      </c>
      <c r="D19" s="64">
        <v>8.5299999999999994</v>
      </c>
      <c r="E19" s="64">
        <v>4.41</v>
      </c>
      <c r="F19" s="64">
        <v>7.77</v>
      </c>
      <c r="G19" s="64">
        <v>11.87</v>
      </c>
      <c r="H19" s="64">
        <v>4.04</v>
      </c>
      <c r="I19" s="64">
        <v>1.2</v>
      </c>
      <c r="J19" s="64">
        <v>0.2</v>
      </c>
      <c r="K19" s="64">
        <v>126.94</v>
      </c>
      <c r="L19" s="64">
        <v>22.46</v>
      </c>
      <c r="M19" s="64">
        <v>97.9</v>
      </c>
      <c r="N19" s="64">
        <v>48.9</v>
      </c>
      <c r="O19" s="64">
        <v>0</v>
      </c>
      <c r="P19" s="64">
        <v>0.25</v>
      </c>
      <c r="Q19" s="64">
        <v>9.6300000000000008</v>
      </c>
      <c r="R19" s="198"/>
      <c r="S19" s="198"/>
      <c r="T19" s="198"/>
      <c r="U19" s="198"/>
    </row>
    <row r="20" spans="1:21" s="12" customFormat="1" x14ac:dyDescent="0.25">
      <c r="A20" s="212" t="s">
        <v>1794</v>
      </c>
      <c r="B20" s="64">
        <v>7.3</v>
      </c>
      <c r="C20" s="64">
        <v>8.4600000000000009</v>
      </c>
      <c r="D20" s="64">
        <v>10.27</v>
      </c>
      <c r="E20" s="64">
        <v>4.43</v>
      </c>
      <c r="F20" s="64">
        <v>6.89</v>
      </c>
      <c r="G20" s="64">
        <v>11.48</v>
      </c>
      <c r="H20" s="64">
        <v>3.94</v>
      </c>
      <c r="I20" s="64">
        <v>1.18</v>
      </c>
      <c r="J20" s="64">
        <v>0.11</v>
      </c>
      <c r="K20" s="64">
        <v>166.13</v>
      </c>
      <c r="L20" s="64">
        <v>22.62</v>
      </c>
      <c r="M20" s="64">
        <v>97.9</v>
      </c>
      <c r="N20" s="64">
        <v>49</v>
      </c>
      <c r="O20" s="64">
        <v>0</v>
      </c>
      <c r="P20" s="64">
        <v>0.27</v>
      </c>
      <c r="Q20" s="64">
        <v>9.6199999999999992</v>
      </c>
      <c r="R20" s="198"/>
      <c r="S20" s="198"/>
      <c r="T20" s="198"/>
      <c r="U20" s="198"/>
    </row>
    <row r="21" spans="1:21" s="12" customFormat="1" x14ac:dyDescent="0.25">
      <c r="A21" s="212" t="s">
        <v>1795</v>
      </c>
      <c r="B21" s="64">
        <v>5.96</v>
      </c>
      <c r="C21" s="64">
        <v>6.19</v>
      </c>
      <c r="D21" s="64">
        <v>8.01</v>
      </c>
      <c r="E21" s="64">
        <v>4.3899999999999997</v>
      </c>
      <c r="F21" s="64">
        <v>7.89</v>
      </c>
      <c r="G21" s="64">
        <v>11.48</v>
      </c>
      <c r="H21" s="64">
        <v>3.94</v>
      </c>
      <c r="I21" s="64">
        <v>1.2</v>
      </c>
      <c r="J21" s="64">
        <v>7.0000000000000007E-2</v>
      </c>
      <c r="K21" s="64">
        <v>180.92</v>
      </c>
      <c r="L21" s="64">
        <v>22.64</v>
      </c>
      <c r="M21" s="64">
        <v>97.9</v>
      </c>
      <c r="N21" s="64">
        <v>49</v>
      </c>
      <c r="O21" s="64">
        <v>0</v>
      </c>
      <c r="P21" s="64">
        <v>0.25</v>
      </c>
      <c r="Q21" s="64">
        <v>9.6300000000000008</v>
      </c>
      <c r="R21" s="198"/>
      <c r="S21" s="198"/>
      <c r="T21" s="198"/>
      <c r="U21" s="198"/>
    </row>
    <row r="22" spans="1:21" s="12" customFormat="1" x14ac:dyDescent="0.25">
      <c r="A22" s="212" t="s">
        <v>1796</v>
      </c>
      <c r="B22" s="64">
        <v>5.92</v>
      </c>
      <c r="C22" s="64">
        <v>5.85</v>
      </c>
      <c r="D22" s="64">
        <v>7.81</v>
      </c>
      <c r="E22" s="64">
        <v>4.45</v>
      </c>
      <c r="F22" s="64">
        <v>6.8</v>
      </c>
      <c r="G22" s="64">
        <v>11.48</v>
      </c>
      <c r="H22" s="64">
        <v>3.94</v>
      </c>
      <c r="I22" s="64">
        <v>1.23</v>
      </c>
      <c r="J22" s="64">
        <v>0.1</v>
      </c>
      <c r="K22" s="64">
        <v>167.11</v>
      </c>
      <c r="L22" s="64">
        <v>22.7</v>
      </c>
      <c r="M22" s="64">
        <v>97.9</v>
      </c>
      <c r="N22" s="64">
        <v>49.1</v>
      </c>
      <c r="O22" s="64">
        <v>0</v>
      </c>
      <c r="P22" s="64">
        <v>0.25</v>
      </c>
      <c r="Q22" s="64">
        <v>9.64</v>
      </c>
      <c r="R22" s="198"/>
      <c r="S22" s="198"/>
      <c r="T22" s="198"/>
      <c r="U22" s="198"/>
    </row>
    <row r="23" spans="1:21" s="12" customFormat="1" x14ac:dyDescent="0.25">
      <c r="A23" s="212" t="s">
        <v>1797</v>
      </c>
      <c r="B23" s="64">
        <v>5.91</v>
      </c>
      <c r="C23" s="64">
        <v>6.21</v>
      </c>
      <c r="D23" s="64">
        <v>7.98</v>
      </c>
      <c r="E23" s="64">
        <v>4.49</v>
      </c>
      <c r="F23" s="64">
        <v>6.46</v>
      </c>
      <c r="G23" s="64">
        <v>8.89</v>
      </c>
      <c r="H23" s="64">
        <v>3.15</v>
      </c>
      <c r="I23" s="64">
        <v>1.1499999999999999</v>
      </c>
      <c r="J23" s="64">
        <v>0.27</v>
      </c>
      <c r="K23" s="64">
        <v>139.55000000000001</v>
      </c>
      <c r="L23" s="64">
        <v>22.69</v>
      </c>
      <c r="M23" s="64">
        <v>97.92</v>
      </c>
      <c r="N23" s="64">
        <v>49.2</v>
      </c>
      <c r="O23" s="64">
        <v>0</v>
      </c>
      <c r="P23" s="64">
        <v>0.27</v>
      </c>
      <c r="Q23" s="64">
        <v>9.6300000000000008</v>
      </c>
      <c r="R23" s="198"/>
      <c r="S23" s="198"/>
      <c r="T23" s="198"/>
      <c r="U23" s="198"/>
    </row>
    <row r="24" spans="1:21" s="12" customFormat="1" x14ac:dyDescent="0.25">
      <c r="A24" s="212" t="s">
        <v>1798</v>
      </c>
      <c r="B24" s="64">
        <v>6.3</v>
      </c>
      <c r="C24" s="64">
        <v>7.29</v>
      </c>
      <c r="D24" s="64">
        <v>8.86</v>
      </c>
      <c r="E24" s="64">
        <v>4.62</v>
      </c>
      <c r="F24" s="64">
        <v>6.33</v>
      </c>
      <c r="G24" s="64">
        <v>8.67</v>
      </c>
      <c r="H24" s="64">
        <v>3.08</v>
      </c>
      <c r="I24" s="64">
        <v>1.25</v>
      </c>
      <c r="J24" s="64">
        <v>0.96</v>
      </c>
      <c r="K24" s="64">
        <v>123.92</v>
      </c>
      <c r="L24" s="64">
        <v>22.77</v>
      </c>
      <c r="M24" s="64">
        <v>97.95</v>
      </c>
      <c r="N24" s="64">
        <v>49.4</v>
      </c>
      <c r="O24" s="64">
        <v>0</v>
      </c>
      <c r="P24" s="64">
        <v>0.3</v>
      </c>
      <c r="Q24" s="64">
        <v>9.6199999999999992</v>
      </c>
      <c r="R24" s="198"/>
      <c r="S24" s="198"/>
      <c r="T24" s="198"/>
      <c r="U24" s="198"/>
    </row>
    <row r="25" spans="1:21" s="12" customFormat="1" x14ac:dyDescent="0.25">
      <c r="A25" s="212" t="s">
        <v>1799</v>
      </c>
      <c r="B25" s="64">
        <v>6.6</v>
      </c>
      <c r="C25" s="64">
        <v>7.12</v>
      </c>
      <c r="D25" s="64">
        <v>9.01</v>
      </c>
      <c r="E25" s="64">
        <v>4.5</v>
      </c>
      <c r="F25" s="64">
        <v>6.16</v>
      </c>
      <c r="G25" s="64">
        <v>8.67</v>
      </c>
      <c r="H25" s="64">
        <v>3.08</v>
      </c>
      <c r="I25" s="64">
        <v>1.25</v>
      </c>
      <c r="J25" s="64">
        <v>1.1399999999999999</v>
      </c>
      <c r="K25" s="64">
        <v>126.51</v>
      </c>
      <c r="L25" s="64">
        <v>22.95</v>
      </c>
      <c r="M25" s="64">
        <v>97.95</v>
      </c>
      <c r="N25" s="64">
        <v>49.6</v>
      </c>
      <c r="O25" s="64">
        <v>0</v>
      </c>
      <c r="P25" s="64">
        <v>0.28000000000000003</v>
      </c>
      <c r="Q25" s="64">
        <v>9.6199999999999992</v>
      </c>
      <c r="R25" s="198"/>
      <c r="S25" s="198"/>
      <c r="T25" s="198"/>
      <c r="U25" s="198"/>
    </row>
    <row r="26" spans="1:21" s="12" customFormat="1" x14ac:dyDescent="0.25">
      <c r="A26" s="212" t="s">
        <v>1800</v>
      </c>
      <c r="B26" s="64">
        <v>6.56</v>
      </c>
      <c r="C26" s="64">
        <v>6.29</v>
      </c>
      <c r="D26" s="64">
        <v>8.5500000000000007</v>
      </c>
      <c r="E26" s="64">
        <v>4.4800000000000004</v>
      </c>
      <c r="F26" s="64">
        <v>8.09</v>
      </c>
      <c r="G26" s="64">
        <v>8.67</v>
      </c>
      <c r="H26" s="64">
        <v>3.08</v>
      </c>
      <c r="I26" s="64">
        <v>1.26</v>
      </c>
      <c r="J26" s="64">
        <v>0.87</v>
      </c>
      <c r="K26" s="64">
        <v>122.38</v>
      </c>
      <c r="L26" s="64">
        <v>23</v>
      </c>
      <c r="M26" s="64">
        <v>97.95</v>
      </c>
      <c r="N26" s="64">
        <v>49.6</v>
      </c>
      <c r="O26" s="64">
        <v>0</v>
      </c>
      <c r="P26" s="64">
        <v>0.24</v>
      </c>
      <c r="Q26" s="64">
        <v>9.6199999999999992</v>
      </c>
      <c r="R26" s="198"/>
      <c r="S26" s="198"/>
      <c r="T26" s="198"/>
      <c r="U26" s="198"/>
    </row>
    <row r="27" spans="1:21" s="12" customFormat="1" x14ac:dyDescent="0.25">
      <c r="A27" s="212" t="s">
        <v>1801</v>
      </c>
      <c r="B27" s="64">
        <v>7</v>
      </c>
      <c r="C27" s="64">
        <v>6.15</v>
      </c>
      <c r="D27" s="64">
        <v>8.83</v>
      </c>
      <c r="E27" s="64">
        <v>4.6399999999999997</v>
      </c>
      <c r="F27" s="64">
        <v>4.25</v>
      </c>
      <c r="G27" s="64">
        <v>8.4</v>
      </c>
      <c r="H27" s="64">
        <v>2.33</v>
      </c>
      <c r="I27" s="64">
        <v>1.25</v>
      </c>
      <c r="J27" s="64">
        <v>0.65</v>
      </c>
      <c r="K27" s="64">
        <v>133.22999999999999</v>
      </c>
      <c r="L27" s="64">
        <v>22.98</v>
      </c>
      <c r="M27" s="64">
        <v>97.95</v>
      </c>
      <c r="N27" s="64">
        <v>49.6</v>
      </c>
      <c r="O27" s="64">
        <v>0</v>
      </c>
      <c r="P27" s="64">
        <v>0.3</v>
      </c>
      <c r="Q27" s="64">
        <v>9.6300000000000008</v>
      </c>
      <c r="R27" s="198"/>
      <c r="S27" s="198"/>
      <c r="T27" s="198"/>
      <c r="U27" s="198"/>
    </row>
    <row r="28" spans="1:21" s="12" customFormat="1" x14ac:dyDescent="0.25">
      <c r="A28" s="212" t="s">
        <v>1802</v>
      </c>
      <c r="B28" s="64">
        <v>7.48</v>
      </c>
      <c r="C28" s="64">
        <v>6.25</v>
      </c>
      <c r="D28" s="64">
        <v>9.26</v>
      </c>
      <c r="E28" s="64">
        <v>4.7699999999999996</v>
      </c>
      <c r="F28" s="64">
        <v>5.56</v>
      </c>
      <c r="G28" s="64">
        <v>8.3800000000000008</v>
      </c>
      <c r="H28" s="64">
        <v>2.2599999999999998</v>
      </c>
      <c r="I28" s="64">
        <v>1.24</v>
      </c>
      <c r="J28" s="64">
        <v>0.66</v>
      </c>
      <c r="K28" s="64">
        <v>121.06</v>
      </c>
      <c r="L28" s="64">
        <v>22.95</v>
      </c>
      <c r="M28" s="64">
        <v>97.95</v>
      </c>
      <c r="N28" s="64">
        <v>49.1</v>
      </c>
      <c r="O28" s="64">
        <v>0</v>
      </c>
      <c r="P28" s="64">
        <v>0.28999999999999998</v>
      </c>
      <c r="Q28" s="64">
        <v>9.6300000000000008</v>
      </c>
      <c r="R28" s="198"/>
      <c r="S28" s="198"/>
      <c r="T28" s="198"/>
      <c r="U28" s="198"/>
    </row>
    <row r="29" spans="1:21" s="12" customFormat="1" x14ac:dyDescent="0.25">
      <c r="A29" s="212" t="s">
        <v>1803</v>
      </c>
      <c r="B29" s="64">
        <v>6.61</v>
      </c>
      <c r="C29" s="64">
        <v>7.53</v>
      </c>
      <c r="D29" s="64">
        <v>9.23</v>
      </c>
      <c r="E29" s="64">
        <v>4.51</v>
      </c>
      <c r="F29" s="64">
        <v>4.7699999999999996</v>
      </c>
      <c r="G29" s="64">
        <v>8.3800000000000008</v>
      </c>
      <c r="H29" s="64">
        <v>2.2599999999999998</v>
      </c>
      <c r="I29" s="64">
        <v>1.22</v>
      </c>
      <c r="J29" s="64">
        <v>0.5</v>
      </c>
      <c r="K29" s="64">
        <v>126.79</v>
      </c>
      <c r="L29" s="64">
        <v>23</v>
      </c>
      <c r="M29" s="64">
        <v>97.95</v>
      </c>
      <c r="N29" s="64">
        <v>49.2</v>
      </c>
      <c r="O29" s="64">
        <v>0</v>
      </c>
      <c r="P29" s="64">
        <v>0.3</v>
      </c>
      <c r="Q29" s="64">
        <v>9.64</v>
      </c>
      <c r="R29" s="198"/>
      <c r="S29" s="198"/>
      <c r="T29" s="198"/>
      <c r="U29" s="198"/>
    </row>
    <row r="30" spans="1:21" s="12" customFormat="1" x14ac:dyDescent="0.25">
      <c r="A30" s="212" t="s">
        <v>1804</v>
      </c>
      <c r="B30" s="64">
        <v>7.41</v>
      </c>
      <c r="C30" s="64">
        <v>7.73</v>
      </c>
      <c r="D30" s="64">
        <v>9.98</v>
      </c>
      <c r="E30" s="64">
        <v>4.42</v>
      </c>
      <c r="F30" s="64">
        <v>4.07</v>
      </c>
      <c r="G30" s="64">
        <v>8.3800000000000008</v>
      </c>
      <c r="H30" s="64">
        <v>2.2599999999999998</v>
      </c>
      <c r="I30" s="64">
        <v>1.2</v>
      </c>
      <c r="J30" s="64">
        <v>0.28999999999999998</v>
      </c>
      <c r="K30" s="64">
        <v>126.84</v>
      </c>
      <c r="L30" s="64">
        <v>22.96</v>
      </c>
      <c r="M30" s="64">
        <v>97.95</v>
      </c>
      <c r="N30" s="64">
        <v>49.4</v>
      </c>
      <c r="O30" s="64">
        <v>0</v>
      </c>
      <c r="P30" s="64">
        <v>0.34</v>
      </c>
      <c r="Q30" s="64">
        <v>9.64</v>
      </c>
      <c r="R30" s="198"/>
      <c r="S30" s="198"/>
      <c r="T30" s="198"/>
      <c r="U30" s="198"/>
    </row>
    <row r="31" spans="1:21" s="12" customFormat="1" x14ac:dyDescent="0.25">
      <c r="A31" s="212" t="s">
        <v>1805</v>
      </c>
      <c r="B31" s="64">
        <v>7.35</v>
      </c>
      <c r="C31" s="64">
        <v>10.45</v>
      </c>
      <c r="D31" s="64">
        <v>11.35</v>
      </c>
      <c r="E31" s="64">
        <v>4.72</v>
      </c>
      <c r="F31" s="64">
        <v>3.65</v>
      </c>
      <c r="G31" s="64">
        <v>6.43</v>
      </c>
      <c r="H31" s="64">
        <v>1.73</v>
      </c>
      <c r="I31" s="64">
        <v>1.18</v>
      </c>
      <c r="J31" s="64">
        <v>0.11</v>
      </c>
      <c r="K31" s="64">
        <v>122.53</v>
      </c>
      <c r="L31" s="64">
        <v>23.05</v>
      </c>
      <c r="M31" s="64">
        <v>97.95</v>
      </c>
      <c r="N31" s="64">
        <v>52</v>
      </c>
      <c r="O31" s="64">
        <v>0</v>
      </c>
      <c r="P31" s="64">
        <v>0.36</v>
      </c>
      <c r="Q31" s="64">
        <v>9.64</v>
      </c>
      <c r="R31" s="198"/>
      <c r="S31" s="198"/>
      <c r="T31" s="198"/>
      <c r="U31" s="198"/>
    </row>
    <row r="32" spans="1:21" s="12" customFormat="1" x14ac:dyDescent="0.25">
      <c r="A32" s="212" t="s">
        <v>1806</v>
      </c>
      <c r="B32" s="64">
        <v>7.11</v>
      </c>
      <c r="C32" s="64">
        <v>11.03</v>
      </c>
      <c r="D32" s="64">
        <v>11.47</v>
      </c>
      <c r="E32" s="64">
        <v>4.6100000000000003</v>
      </c>
      <c r="F32" s="64">
        <v>4.3899999999999997</v>
      </c>
      <c r="G32" s="64">
        <v>6.26</v>
      </c>
      <c r="H32" s="64">
        <v>1.69</v>
      </c>
      <c r="I32" s="64">
        <v>1.19</v>
      </c>
      <c r="J32" s="64">
        <v>0.61</v>
      </c>
      <c r="K32" s="64">
        <v>127.81</v>
      </c>
      <c r="L32" s="64">
        <v>23.22</v>
      </c>
      <c r="M32" s="64">
        <v>97.95</v>
      </c>
      <c r="N32" s="64">
        <v>57.5</v>
      </c>
      <c r="O32" s="64">
        <v>0</v>
      </c>
      <c r="P32" s="64">
        <v>0.3</v>
      </c>
      <c r="Q32" s="64">
        <v>9.64</v>
      </c>
      <c r="R32" s="198"/>
      <c r="S32" s="198"/>
      <c r="T32" s="198"/>
      <c r="U32" s="198"/>
    </row>
    <row r="33" spans="1:21" s="12" customFormat="1" x14ac:dyDescent="0.25">
      <c r="A33" s="212" t="s">
        <v>1807</v>
      </c>
      <c r="B33" s="64">
        <v>7.53</v>
      </c>
      <c r="C33" s="64">
        <v>10.62</v>
      </c>
      <c r="D33" s="64">
        <v>11.59</v>
      </c>
      <c r="E33" s="64">
        <v>4.58</v>
      </c>
      <c r="F33" s="64">
        <v>4.2300000000000004</v>
      </c>
      <c r="G33" s="64">
        <v>6.26</v>
      </c>
      <c r="H33" s="64">
        <v>1.69</v>
      </c>
      <c r="I33" s="64">
        <v>1.23</v>
      </c>
      <c r="J33" s="64">
        <v>0.28000000000000003</v>
      </c>
      <c r="K33" s="64">
        <v>126.99</v>
      </c>
      <c r="L33" s="64">
        <v>23.45</v>
      </c>
      <c r="M33" s="64">
        <v>97.95</v>
      </c>
      <c r="N33" s="64">
        <v>75.2</v>
      </c>
      <c r="O33" s="64">
        <v>0</v>
      </c>
      <c r="P33" s="64">
        <v>0.3</v>
      </c>
      <c r="Q33" s="64">
        <v>9.64</v>
      </c>
      <c r="R33" s="198"/>
      <c r="S33" s="198"/>
      <c r="T33" s="198"/>
      <c r="U33" s="198"/>
    </row>
    <row r="34" spans="1:21" s="12" customFormat="1" x14ac:dyDescent="0.25">
      <c r="A34" s="212" t="s">
        <v>1808</v>
      </c>
      <c r="B34" s="64">
        <v>8.61</v>
      </c>
      <c r="C34" s="64">
        <v>8.4</v>
      </c>
      <c r="D34" s="64">
        <v>11.3</v>
      </c>
      <c r="E34" s="64">
        <v>4.04</v>
      </c>
      <c r="F34" s="64">
        <v>3.73</v>
      </c>
      <c r="G34" s="64">
        <v>6.26</v>
      </c>
      <c r="H34" s="64">
        <v>1.69</v>
      </c>
      <c r="I34" s="64">
        <v>1.27</v>
      </c>
      <c r="J34" s="64">
        <v>1.01</v>
      </c>
      <c r="K34" s="64">
        <v>125.16</v>
      </c>
      <c r="L34" s="64">
        <v>23.65</v>
      </c>
      <c r="M34" s="64">
        <v>97.94</v>
      </c>
      <c r="N34" s="64">
        <v>117.1</v>
      </c>
      <c r="O34" s="64">
        <v>0</v>
      </c>
      <c r="P34" s="64">
        <v>0.32</v>
      </c>
      <c r="Q34" s="64">
        <v>9.6199999999999992</v>
      </c>
      <c r="R34" s="198"/>
      <c r="S34" s="198"/>
      <c r="T34" s="198"/>
      <c r="U34" s="198"/>
    </row>
    <row r="35" spans="1:21" s="12" customFormat="1" x14ac:dyDescent="0.25">
      <c r="A35" s="212" t="s">
        <v>1809</v>
      </c>
      <c r="B35" s="64">
        <v>8.51</v>
      </c>
      <c r="C35" s="64">
        <v>7.76</v>
      </c>
      <c r="D35" s="64">
        <v>10.88</v>
      </c>
      <c r="E35" s="64">
        <v>4.4400000000000004</v>
      </c>
      <c r="F35" s="64">
        <v>4.42</v>
      </c>
      <c r="G35" s="64">
        <v>7.5</v>
      </c>
      <c r="H35" s="64">
        <v>1.34</v>
      </c>
      <c r="I35" s="64">
        <v>1.27</v>
      </c>
      <c r="J35" s="64">
        <v>0.96</v>
      </c>
      <c r="K35" s="64">
        <v>118.79</v>
      </c>
      <c r="L35" s="64">
        <v>23.91</v>
      </c>
      <c r="M35" s="64">
        <v>97.9</v>
      </c>
      <c r="N35" s="64">
        <v>139.9</v>
      </c>
      <c r="O35" s="64">
        <v>0</v>
      </c>
      <c r="P35" s="64">
        <v>0.3</v>
      </c>
      <c r="Q35" s="64">
        <v>9.64</v>
      </c>
      <c r="R35" s="198"/>
      <c r="S35" s="198"/>
      <c r="T35" s="198"/>
      <c r="U35" s="198"/>
    </row>
    <row r="36" spans="1:21" s="12" customFormat="1" x14ac:dyDescent="0.25">
      <c r="A36" s="212" t="s">
        <v>1810</v>
      </c>
      <c r="B36" s="64">
        <v>8.4</v>
      </c>
      <c r="C36" s="64">
        <v>6.77</v>
      </c>
      <c r="D36" s="64">
        <v>10.27</v>
      </c>
      <c r="E36" s="64">
        <v>4.4800000000000004</v>
      </c>
      <c r="F36" s="64">
        <v>5.14</v>
      </c>
      <c r="G36" s="64">
        <v>7.6</v>
      </c>
      <c r="H36" s="64">
        <v>1.31</v>
      </c>
      <c r="I36" s="64">
        <v>1.29</v>
      </c>
      <c r="J36" s="64">
        <v>0.91</v>
      </c>
      <c r="K36" s="64">
        <v>111.52</v>
      </c>
      <c r="L36" s="64">
        <v>23.97</v>
      </c>
      <c r="M36" s="64">
        <v>97.92</v>
      </c>
      <c r="N36" s="64">
        <v>143.1</v>
      </c>
      <c r="O36" s="64">
        <v>0</v>
      </c>
      <c r="P36" s="64">
        <v>0.28000000000000003</v>
      </c>
      <c r="Q36" s="64">
        <v>9.64</v>
      </c>
      <c r="R36" s="198"/>
      <c r="S36" s="198"/>
      <c r="T36" s="198"/>
      <c r="U36" s="198"/>
    </row>
    <row r="37" spans="1:21" s="12" customFormat="1" x14ac:dyDescent="0.25">
      <c r="A37" s="212" t="s">
        <v>1811</v>
      </c>
      <c r="B37" s="64">
        <v>7.72</v>
      </c>
      <c r="C37" s="64">
        <v>7.1</v>
      </c>
      <c r="D37" s="64">
        <v>9.89</v>
      </c>
      <c r="E37" s="64">
        <v>4.83</v>
      </c>
      <c r="F37" s="64">
        <v>5.58</v>
      </c>
      <c r="G37" s="64">
        <v>7.6</v>
      </c>
      <c r="H37" s="64">
        <v>1.31</v>
      </c>
      <c r="I37" s="64">
        <v>1.29</v>
      </c>
      <c r="J37" s="64">
        <v>0.34</v>
      </c>
      <c r="K37" s="64">
        <v>99.91</v>
      </c>
      <c r="L37" s="64">
        <v>24.07</v>
      </c>
      <c r="M37" s="64">
        <v>97.91</v>
      </c>
      <c r="N37" s="64">
        <v>123.9</v>
      </c>
      <c r="O37" s="64">
        <v>0</v>
      </c>
      <c r="P37" s="64">
        <v>0.24</v>
      </c>
      <c r="Q37" s="64">
        <v>9.66</v>
      </c>
      <c r="R37" s="198"/>
      <c r="S37" s="198"/>
      <c r="T37" s="198"/>
      <c r="U37" s="198"/>
    </row>
    <row r="38" spans="1:21" s="12" customFormat="1" x14ac:dyDescent="0.25">
      <c r="A38" s="212" t="s">
        <v>1812</v>
      </c>
      <c r="B38" s="64">
        <v>7.9</v>
      </c>
      <c r="C38" s="64">
        <v>7</v>
      </c>
      <c r="D38" s="64">
        <v>9.99</v>
      </c>
      <c r="E38" s="64">
        <v>4.62</v>
      </c>
      <c r="F38" s="64">
        <v>6.37</v>
      </c>
      <c r="G38" s="64">
        <v>7.6</v>
      </c>
      <c r="H38" s="64">
        <v>1.31</v>
      </c>
      <c r="I38" s="64">
        <v>1.28</v>
      </c>
      <c r="J38" s="64">
        <v>0.54</v>
      </c>
      <c r="K38" s="64">
        <v>113.79</v>
      </c>
      <c r="L38" s="64">
        <v>24.27</v>
      </c>
      <c r="M38" s="64">
        <v>97.89</v>
      </c>
      <c r="N38" s="64">
        <v>172.7</v>
      </c>
      <c r="O38" s="64">
        <v>0</v>
      </c>
      <c r="P38" s="64">
        <v>0.25</v>
      </c>
      <c r="Q38" s="64">
        <v>9.66</v>
      </c>
      <c r="R38" s="198"/>
      <c r="S38" s="198"/>
      <c r="T38" s="198"/>
      <c r="U38" s="198"/>
    </row>
    <row r="39" spans="1:21" s="12" customFormat="1" x14ac:dyDescent="0.25">
      <c r="A39" s="212" t="s">
        <v>1813</v>
      </c>
      <c r="B39" s="64">
        <v>7.87</v>
      </c>
      <c r="C39" s="64">
        <v>6.87</v>
      </c>
      <c r="D39" s="64">
        <v>9.9</v>
      </c>
      <c r="E39" s="64">
        <v>4.53</v>
      </c>
      <c r="F39" s="64">
        <v>6.72</v>
      </c>
      <c r="G39" s="64">
        <v>8.33</v>
      </c>
      <c r="H39" s="64">
        <v>1.53</v>
      </c>
      <c r="I39" s="64">
        <v>1.25</v>
      </c>
      <c r="J39" s="64">
        <v>0.83</v>
      </c>
      <c r="K39" s="64">
        <v>117.46</v>
      </c>
      <c r="L39" s="64">
        <v>24.38</v>
      </c>
      <c r="M39" s="64">
        <v>97.85</v>
      </c>
      <c r="N39" s="64">
        <v>160.5</v>
      </c>
      <c r="O39" s="64">
        <v>0</v>
      </c>
      <c r="P39" s="64">
        <v>0.25</v>
      </c>
      <c r="Q39" s="64">
        <v>9.6300000000000008</v>
      </c>
      <c r="R39" s="198"/>
      <c r="S39" s="198"/>
      <c r="T39" s="198"/>
      <c r="U39" s="198"/>
    </row>
    <row r="40" spans="1:21" s="12" customFormat="1" x14ac:dyDescent="0.25">
      <c r="A40" s="212" t="s">
        <v>1814</v>
      </c>
      <c r="B40" s="64">
        <v>7.91</v>
      </c>
      <c r="C40" s="64">
        <v>6.8</v>
      </c>
      <c r="D40" s="64">
        <v>9.9</v>
      </c>
      <c r="E40" s="64">
        <v>4.49</v>
      </c>
      <c r="F40" s="64">
        <v>5.91</v>
      </c>
      <c r="G40" s="64">
        <v>8.4</v>
      </c>
      <c r="H40" s="64">
        <v>1.55</v>
      </c>
      <c r="I40" s="64">
        <v>1.23</v>
      </c>
      <c r="J40" s="64">
        <v>0.54</v>
      </c>
      <c r="K40" s="64">
        <v>113.39</v>
      </c>
      <c r="L40" s="64">
        <v>24.68</v>
      </c>
      <c r="M40" s="64">
        <v>97.84</v>
      </c>
      <c r="N40" s="64">
        <v>206</v>
      </c>
      <c r="O40" s="64">
        <v>0</v>
      </c>
      <c r="P40" s="64">
        <v>0.26</v>
      </c>
      <c r="Q40" s="64">
        <v>9.6300000000000008</v>
      </c>
      <c r="R40" s="198"/>
      <c r="S40" s="198"/>
      <c r="T40" s="198"/>
      <c r="U40" s="198"/>
    </row>
    <row r="41" spans="1:21" s="12" customFormat="1" x14ac:dyDescent="0.25">
      <c r="A41" s="212" t="s">
        <v>1815</v>
      </c>
      <c r="B41" s="64">
        <v>7.79</v>
      </c>
      <c r="C41" s="64">
        <v>6.93</v>
      </c>
      <c r="D41" s="64">
        <v>9.8699999999999992</v>
      </c>
      <c r="E41" s="64">
        <v>4.46</v>
      </c>
      <c r="F41" s="64">
        <v>7.22</v>
      </c>
      <c r="G41" s="64">
        <v>8.4</v>
      </c>
      <c r="H41" s="64">
        <v>1.55</v>
      </c>
      <c r="I41" s="64">
        <v>1.22</v>
      </c>
      <c r="J41" s="64">
        <v>0.9</v>
      </c>
      <c r="K41" s="64">
        <v>117.36</v>
      </c>
      <c r="L41" s="64">
        <v>24.78</v>
      </c>
      <c r="M41" s="64">
        <v>97.83</v>
      </c>
      <c r="N41" s="64">
        <v>187.6</v>
      </c>
      <c r="O41" s="64">
        <v>0</v>
      </c>
      <c r="P41" s="64">
        <v>0.24</v>
      </c>
      <c r="Q41" s="64">
        <v>9.6300000000000008</v>
      </c>
      <c r="R41" s="198"/>
      <c r="S41" s="198"/>
      <c r="T41" s="198"/>
      <c r="U41" s="198"/>
    </row>
    <row r="42" spans="1:21" s="12" customFormat="1" x14ac:dyDescent="0.25">
      <c r="A42" s="212" t="s">
        <v>1816</v>
      </c>
      <c r="B42" s="64">
        <v>7.3</v>
      </c>
      <c r="C42" s="64">
        <v>6.61</v>
      </c>
      <c r="D42" s="64">
        <v>9.3000000000000007</v>
      </c>
      <c r="E42" s="64">
        <v>4.3</v>
      </c>
      <c r="F42" s="64">
        <v>8.36</v>
      </c>
      <c r="G42" s="64">
        <v>8.4</v>
      </c>
      <c r="H42" s="64">
        <v>1.55</v>
      </c>
      <c r="I42" s="64">
        <v>1.2</v>
      </c>
      <c r="J42" s="64">
        <v>0.89</v>
      </c>
      <c r="K42" s="64">
        <v>111.1</v>
      </c>
      <c r="L42" s="64">
        <v>24.93</v>
      </c>
      <c r="M42" s="64">
        <v>97.83</v>
      </c>
      <c r="N42" s="64">
        <v>213.2</v>
      </c>
      <c r="O42" s="64">
        <v>0</v>
      </c>
      <c r="P42" s="64">
        <v>0.22</v>
      </c>
      <c r="Q42" s="64">
        <v>9.6300000000000008</v>
      </c>
      <c r="R42" s="198"/>
      <c r="S42" s="198"/>
      <c r="T42" s="198"/>
      <c r="U42" s="198"/>
    </row>
    <row r="43" spans="1:21" s="12" customFormat="1" x14ac:dyDescent="0.25">
      <c r="A43" s="212" t="s">
        <v>1817</v>
      </c>
      <c r="B43" s="64">
        <v>7.19</v>
      </c>
      <c r="C43" s="64">
        <v>7.01</v>
      </c>
      <c r="D43" s="64">
        <v>9.43</v>
      </c>
      <c r="E43" s="64">
        <v>4.6399999999999997</v>
      </c>
      <c r="F43" s="64">
        <v>7.38</v>
      </c>
      <c r="G43" s="64">
        <v>8.31</v>
      </c>
      <c r="H43" s="64">
        <v>3.93</v>
      </c>
      <c r="I43" s="64">
        <v>1.2</v>
      </c>
      <c r="J43" s="64">
        <v>0.35</v>
      </c>
      <c r="K43" s="64">
        <v>114.5</v>
      </c>
      <c r="L43" s="64">
        <v>25.2</v>
      </c>
      <c r="M43" s="64">
        <v>97.83</v>
      </c>
      <c r="N43" s="64">
        <v>179.7</v>
      </c>
      <c r="O43" s="64">
        <v>0</v>
      </c>
      <c r="P43" s="64">
        <v>0.22</v>
      </c>
      <c r="Q43" s="64">
        <v>9.6199999999999992</v>
      </c>
      <c r="R43" s="198"/>
      <c r="S43" s="198"/>
      <c r="T43" s="198"/>
      <c r="U43" s="198"/>
    </row>
    <row r="44" spans="1:21" s="12" customFormat="1" x14ac:dyDescent="0.25">
      <c r="A44" s="212" t="s">
        <v>1818</v>
      </c>
      <c r="B44" s="64">
        <v>7.41</v>
      </c>
      <c r="C44" s="64">
        <v>6.77</v>
      </c>
      <c r="D44" s="64">
        <v>9.48</v>
      </c>
      <c r="E44" s="64">
        <v>4.58</v>
      </c>
      <c r="F44" s="64">
        <v>9.24</v>
      </c>
      <c r="G44" s="64">
        <v>8.3000000000000007</v>
      </c>
      <c r="H44" s="64">
        <v>4.13</v>
      </c>
      <c r="I44" s="64">
        <v>1.18</v>
      </c>
      <c r="J44" s="64">
        <v>0.59</v>
      </c>
      <c r="K44" s="64">
        <v>123.53</v>
      </c>
      <c r="L44" s="64">
        <v>26.27</v>
      </c>
      <c r="M44" s="64">
        <v>97.72</v>
      </c>
      <c r="N44" s="64">
        <v>683.7</v>
      </c>
      <c r="O44" s="64">
        <v>0</v>
      </c>
      <c r="P44" s="64">
        <v>0.24</v>
      </c>
      <c r="Q44" s="64">
        <v>9.64</v>
      </c>
      <c r="R44" s="198"/>
      <c r="S44" s="198"/>
      <c r="T44" s="198"/>
      <c r="U44" s="198"/>
    </row>
    <row r="45" spans="1:21" s="12" customFormat="1" x14ac:dyDescent="0.25">
      <c r="A45" s="212" t="s">
        <v>1819</v>
      </c>
      <c r="B45" s="64">
        <v>7.32</v>
      </c>
      <c r="C45" s="64">
        <v>6.19</v>
      </c>
      <c r="D45" s="64">
        <v>9.1</v>
      </c>
      <c r="E45" s="64">
        <v>4.5599999999999996</v>
      </c>
      <c r="F45" s="64">
        <v>8.08</v>
      </c>
      <c r="G45" s="64">
        <v>8.3000000000000007</v>
      </c>
      <c r="H45" s="64">
        <v>4.13</v>
      </c>
      <c r="I45" s="64">
        <v>1.18</v>
      </c>
      <c r="J45" s="64">
        <v>0.98</v>
      </c>
      <c r="K45" s="64">
        <v>120.18</v>
      </c>
      <c r="L45" s="64">
        <v>27.43</v>
      </c>
      <c r="M45" s="64">
        <v>96.82</v>
      </c>
      <c r="N45" s="64">
        <v>788.8</v>
      </c>
      <c r="O45" s="64">
        <v>0</v>
      </c>
      <c r="P45" s="64">
        <v>0.22</v>
      </c>
      <c r="Q45" s="64">
        <v>9.6300000000000008</v>
      </c>
      <c r="R45" s="198"/>
      <c r="S45" s="198"/>
      <c r="T45" s="198"/>
      <c r="U45" s="198"/>
    </row>
    <row r="46" spans="1:21" s="12" customFormat="1" x14ac:dyDescent="0.25">
      <c r="A46" s="212" t="s">
        <v>1820</v>
      </c>
      <c r="B46" s="64">
        <v>6.9</v>
      </c>
      <c r="C46" s="64">
        <v>6.02</v>
      </c>
      <c r="D46" s="64">
        <v>8.67</v>
      </c>
      <c r="E46" s="64">
        <v>4.75</v>
      </c>
      <c r="F46" s="64">
        <v>9.2100000000000009</v>
      </c>
      <c r="G46" s="64">
        <v>8.3000000000000007</v>
      </c>
      <c r="H46" s="64">
        <v>4.13</v>
      </c>
      <c r="I46" s="64">
        <v>1.1599999999999999</v>
      </c>
      <c r="J46" s="64">
        <v>1.29</v>
      </c>
      <c r="K46" s="64">
        <v>120.79</v>
      </c>
      <c r="L46" s="64">
        <v>27.61</v>
      </c>
      <c r="M46" s="64">
        <v>95.03</v>
      </c>
      <c r="N46" s="64">
        <v>827.4</v>
      </c>
      <c r="O46" s="64">
        <v>0</v>
      </c>
      <c r="P46" s="64">
        <v>0.2</v>
      </c>
      <c r="Q46" s="64">
        <v>9.6199999999999992</v>
      </c>
      <c r="R46" s="198"/>
      <c r="S46" s="198"/>
      <c r="T46" s="198"/>
      <c r="U46" s="198"/>
    </row>
    <row r="47" spans="1:21" s="12" customFormat="1" x14ac:dyDescent="0.25">
      <c r="A47" s="212" t="s">
        <v>1821</v>
      </c>
      <c r="B47" s="64">
        <v>6.79</v>
      </c>
      <c r="C47" s="64">
        <v>6.08</v>
      </c>
      <c r="D47" s="64">
        <v>8.6199999999999992</v>
      </c>
      <c r="E47" s="64">
        <v>4.41</v>
      </c>
      <c r="F47" s="64">
        <v>9.25</v>
      </c>
      <c r="G47" s="64">
        <v>8.6999999999999993</v>
      </c>
      <c r="H47" s="64">
        <v>3.42</v>
      </c>
      <c r="I47" s="64">
        <v>1.1200000000000001</v>
      </c>
      <c r="J47" s="64">
        <v>1.05</v>
      </c>
      <c r="K47" s="64">
        <v>115.45</v>
      </c>
      <c r="L47" s="64">
        <v>27.98</v>
      </c>
      <c r="M47" s="64">
        <v>91.93</v>
      </c>
      <c r="N47" s="64">
        <v>735</v>
      </c>
      <c r="O47" s="64">
        <v>0</v>
      </c>
      <c r="P47" s="64">
        <v>0.2</v>
      </c>
      <c r="Q47" s="64">
        <v>9.6300000000000008</v>
      </c>
      <c r="R47" s="198"/>
      <c r="S47" s="198"/>
      <c r="T47" s="198"/>
      <c r="U47" s="198"/>
    </row>
    <row r="48" spans="1:21" s="12" customFormat="1" x14ac:dyDescent="0.25">
      <c r="A48" s="212" t="s">
        <v>1822</v>
      </c>
      <c r="B48" s="64">
        <v>6.81</v>
      </c>
      <c r="C48" s="64">
        <v>6.8</v>
      </c>
      <c r="D48" s="64">
        <v>9.02</v>
      </c>
      <c r="E48" s="64">
        <v>4.75</v>
      </c>
      <c r="F48" s="64">
        <v>9.01</v>
      </c>
      <c r="G48" s="64">
        <v>8.73</v>
      </c>
      <c r="H48" s="64">
        <v>3.36</v>
      </c>
      <c r="I48" s="64">
        <v>1.07</v>
      </c>
      <c r="J48" s="64">
        <v>0.7</v>
      </c>
      <c r="K48" s="64">
        <v>117.47</v>
      </c>
      <c r="L48" s="64">
        <v>27.5</v>
      </c>
      <c r="M48" s="64">
        <v>94.37</v>
      </c>
      <c r="N48" s="64">
        <v>304.2</v>
      </c>
      <c r="O48" s="64">
        <v>0</v>
      </c>
      <c r="P48" s="64">
        <v>0.18</v>
      </c>
      <c r="Q48" s="64">
        <v>9.6300000000000008</v>
      </c>
      <c r="R48" s="198"/>
      <c r="S48" s="198"/>
      <c r="T48" s="198"/>
      <c r="U48" s="198"/>
    </row>
    <row r="49" spans="1:21" s="12" customFormat="1" x14ac:dyDescent="0.25">
      <c r="A49" s="212" t="s">
        <v>1823</v>
      </c>
      <c r="B49" s="64">
        <v>7.87</v>
      </c>
      <c r="C49" s="64">
        <v>7.66</v>
      </c>
      <c r="D49" s="64">
        <v>10.31</v>
      </c>
      <c r="E49" s="64">
        <v>4.4000000000000004</v>
      </c>
      <c r="F49" s="64">
        <v>8.7200000000000006</v>
      </c>
      <c r="G49" s="64">
        <v>8.73</v>
      </c>
      <c r="H49" s="64">
        <v>3.36</v>
      </c>
      <c r="I49" s="64">
        <v>1.02</v>
      </c>
      <c r="J49" s="64">
        <v>0.92</v>
      </c>
      <c r="K49" s="64">
        <v>125.58</v>
      </c>
      <c r="L49" s="64">
        <v>27.68</v>
      </c>
      <c r="M49" s="64">
        <v>93.25</v>
      </c>
      <c r="N49" s="64">
        <v>692.1</v>
      </c>
      <c r="O49" s="64">
        <v>0</v>
      </c>
      <c r="P49" s="64">
        <v>0.21</v>
      </c>
      <c r="Q49" s="64">
        <v>9.6300000000000008</v>
      </c>
      <c r="R49" s="198"/>
      <c r="S49" s="198"/>
      <c r="T49" s="198"/>
      <c r="U49" s="198"/>
    </row>
    <row r="50" spans="1:21" s="12" customFormat="1" x14ac:dyDescent="0.25">
      <c r="A50" s="212" t="s">
        <v>1824</v>
      </c>
      <c r="B50" s="64">
        <v>6.81</v>
      </c>
      <c r="C50" s="64">
        <v>7.24</v>
      </c>
      <c r="D50" s="64">
        <v>9.25</v>
      </c>
      <c r="E50" s="64">
        <v>4.58</v>
      </c>
      <c r="F50" s="64">
        <v>9.1</v>
      </c>
      <c r="G50" s="64">
        <v>8.73</v>
      </c>
      <c r="H50" s="64">
        <v>3.36</v>
      </c>
      <c r="I50" s="64">
        <v>0.99</v>
      </c>
      <c r="J50" s="64">
        <v>0.55000000000000004</v>
      </c>
      <c r="K50" s="64">
        <v>140.03</v>
      </c>
      <c r="L50" s="64">
        <v>27.98</v>
      </c>
      <c r="M50" s="64">
        <v>91.11</v>
      </c>
      <c r="N50" s="64">
        <v>648.9</v>
      </c>
      <c r="O50" s="64">
        <v>0</v>
      </c>
      <c r="P50" s="64">
        <v>0.19</v>
      </c>
      <c r="Q50" s="64">
        <v>9.6300000000000008</v>
      </c>
      <c r="R50" s="198"/>
      <c r="S50" s="198"/>
      <c r="T50" s="198"/>
      <c r="U50" s="198"/>
    </row>
    <row r="51" spans="1:21" s="12" customFormat="1" x14ac:dyDescent="0.25">
      <c r="A51" s="212" t="s">
        <v>1825</v>
      </c>
      <c r="B51" s="64">
        <v>7.3</v>
      </c>
      <c r="C51" s="64">
        <v>7.19</v>
      </c>
      <c r="D51" s="64">
        <v>9.61</v>
      </c>
      <c r="E51" s="64">
        <v>4.1399999999999997</v>
      </c>
      <c r="F51" s="64">
        <v>8.49</v>
      </c>
      <c r="G51" s="64">
        <v>7.49</v>
      </c>
      <c r="H51" s="64">
        <v>3.28</v>
      </c>
      <c r="I51" s="64">
        <v>0.96</v>
      </c>
      <c r="J51" s="64">
        <v>0.49</v>
      </c>
      <c r="K51" s="64">
        <v>132.47999999999999</v>
      </c>
      <c r="L51" s="64">
        <v>28.26</v>
      </c>
      <c r="M51" s="64">
        <v>90.05</v>
      </c>
      <c r="N51" s="64">
        <v>435.6</v>
      </c>
      <c r="O51" s="64">
        <v>0</v>
      </c>
      <c r="P51" s="64">
        <v>0.21</v>
      </c>
      <c r="Q51" s="64">
        <v>9.64</v>
      </c>
      <c r="R51" s="198"/>
      <c r="S51" s="198"/>
      <c r="T51" s="198"/>
      <c r="U51" s="198"/>
    </row>
    <row r="52" spans="1:21" s="12" customFormat="1" x14ac:dyDescent="0.25">
      <c r="A52" s="212" t="s">
        <v>1826</v>
      </c>
      <c r="B52" s="64">
        <v>6.35</v>
      </c>
      <c r="C52" s="64">
        <v>7.63</v>
      </c>
      <c r="D52" s="64">
        <v>9.07</v>
      </c>
      <c r="E52" s="64">
        <v>4.5199999999999996</v>
      </c>
      <c r="F52" s="64">
        <v>10.83</v>
      </c>
      <c r="G52" s="64">
        <v>7.38</v>
      </c>
      <c r="H52" s="64">
        <v>3.27</v>
      </c>
      <c r="I52" s="64">
        <v>0.96</v>
      </c>
      <c r="J52" s="64">
        <v>0.44</v>
      </c>
      <c r="K52" s="64">
        <v>111.93</v>
      </c>
      <c r="L52" s="64">
        <v>27.89</v>
      </c>
      <c r="M52" s="64">
        <v>91.78</v>
      </c>
      <c r="N52" s="64">
        <v>494.6</v>
      </c>
      <c r="O52" s="64">
        <v>0</v>
      </c>
      <c r="P52" s="64">
        <v>0.17</v>
      </c>
      <c r="Q52" s="64">
        <v>9.6300000000000008</v>
      </c>
      <c r="R52" s="198"/>
      <c r="S52" s="198"/>
      <c r="T52" s="198"/>
      <c r="U52" s="198"/>
    </row>
    <row r="53" spans="1:21" s="12" customFormat="1" x14ac:dyDescent="0.25">
      <c r="A53" s="212" t="s">
        <v>1827</v>
      </c>
      <c r="B53" s="64">
        <v>6.19</v>
      </c>
      <c r="C53" s="64">
        <v>7.29</v>
      </c>
      <c r="D53" s="64">
        <v>8.7799999999999994</v>
      </c>
      <c r="E53" s="64">
        <v>4.79</v>
      </c>
      <c r="F53" s="64">
        <v>8.59</v>
      </c>
      <c r="G53" s="64">
        <v>7.38</v>
      </c>
      <c r="H53" s="64">
        <v>3.27</v>
      </c>
      <c r="I53" s="64">
        <v>0.93</v>
      </c>
      <c r="J53" s="64">
        <v>0.47</v>
      </c>
      <c r="K53" s="64">
        <v>114.03</v>
      </c>
      <c r="L53" s="64">
        <v>28.24</v>
      </c>
      <c r="M53" s="64">
        <v>90.34</v>
      </c>
      <c r="N53" s="64">
        <v>418</v>
      </c>
      <c r="O53" s="64">
        <v>0</v>
      </c>
      <c r="P53" s="64">
        <v>0.2</v>
      </c>
      <c r="Q53" s="64">
        <v>9.6300000000000008</v>
      </c>
      <c r="R53" s="198"/>
      <c r="S53" s="198"/>
      <c r="T53" s="198"/>
      <c r="U53" s="198"/>
    </row>
    <row r="54" spans="1:21" s="12" customFormat="1" x14ac:dyDescent="0.25">
      <c r="A54" s="212" t="s">
        <v>1828</v>
      </c>
      <c r="B54" s="64">
        <v>6.18</v>
      </c>
      <c r="C54" s="64">
        <v>8.31</v>
      </c>
      <c r="D54" s="64">
        <v>9.3000000000000007</v>
      </c>
      <c r="E54" s="64">
        <v>4.8</v>
      </c>
      <c r="F54" s="64">
        <v>8.76</v>
      </c>
      <c r="G54" s="64">
        <v>7.38</v>
      </c>
      <c r="H54" s="64">
        <v>3.27</v>
      </c>
      <c r="I54" s="64">
        <v>0.9</v>
      </c>
      <c r="J54" s="64">
        <v>0.56999999999999995</v>
      </c>
      <c r="K54" s="64">
        <v>120.21</v>
      </c>
      <c r="L54" s="64">
        <v>27.9</v>
      </c>
      <c r="M54" s="64">
        <v>92.12</v>
      </c>
      <c r="N54" s="64">
        <v>354.6</v>
      </c>
      <c r="O54" s="64">
        <v>0</v>
      </c>
      <c r="P54" s="64">
        <v>0.19</v>
      </c>
      <c r="Q54" s="64">
        <v>9.6199999999999992</v>
      </c>
      <c r="R54" s="198"/>
      <c r="S54" s="198"/>
      <c r="T54" s="198"/>
      <c r="U54" s="198"/>
    </row>
    <row r="55" spans="1:21" s="12" customFormat="1" x14ac:dyDescent="0.25">
      <c r="A55" s="212" t="s">
        <v>1829</v>
      </c>
      <c r="B55" s="64">
        <v>8.2100000000000009</v>
      </c>
      <c r="C55" s="64">
        <v>9.17</v>
      </c>
      <c r="D55" s="64">
        <v>11.38</v>
      </c>
      <c r="E55" s="64">
        <v>4.45</v>
      </c>
      <c r="F55" s="64">
        <v>6.68</v>
      </c>
      <c r="G55" s="64">
        <v>8.4499999999999993</v>
      </c>
      <c r="H55" s="64">
        <v>2.5299999999999998</v>
      </c>
      <c r="I55" s="64">
        <v>0.9</v>
      </c>
      <c r="J55" s="64">
        <v>0.57999999999999996</v>
      </c>
      <c r="K55" s="64">
        <v>121.74</v>
      </c>
      <c r="L55" s="64">
        <v>28.8</v>
      </c>
      <c r="M55" s="64">
        <v>86.53</v>
      </c>
      <c r="N55" s="64">
        <v>1051.7</v>
      </c>
      <c r="O55" s="64">
        <v>0</v>
      </c>
      <c r="P55" s="64">
        <v>0.22</v>
      </c>
      <c r="Q55" s="64">
        <v>9.6300000000000008</v>
      </c>
      <c r="R55" s="198"/>
      <c r="S55" s="198"/>
      <c r="T55" s="198"/>
      <c r="U55" s="198"/>
    </row>
    <row r="56" spans="1:21" s="12" customFormat="1" x14ac:dyDescent="0.25">
      <c r="A56" s="212" t="s">
        <v>1830</v>
      </c>
      <c r="B56" s="64">
        <v>6.76</v>
      </c>
      <c r="C56" s="64">
        <v>8.35</v>
      </c>
      <c r="D56" s="64">
        <v>9.7799999999999994</v>
      </c>
      <c r="E56" s="64">
        <v>4.49</v>
      </c>
      <c r="F56" s="64">
        <v>8.56</v>
      </c>
      <c r="G56" s="64">
        <v>8.5399999999999991</v>
      </c>
      <c r="H56" s="64">
        <v>2.4700000000000002</v>
      </c>
      <c r="I56" s="64">
        <v>0.89</v>
      </c>
      <c r="J56" s="64">
        <v>1.1000000000000001</v>
      </c>
      <c r="K56" s="64">
        <v>126.9</v>
      </c>
      <c r="L56" s="64">
        <v>29.63</v>
      </c>
      <c r="M56" s="64">
        <v>85.13</v>
      </c>
      <c r="N56" s="64">
        <v>1006.5</v>
      </c>
      <c r="O56" s="64">
        <v>0</v>
      </c>
      <c r="P56" s="64">
        <v>0.19</v>
      </c>
      <c r="Q56" s="64">
        <v>9.6300000000000008</v>
      </c>
      <c r="R56" s="198"/>
      <c r="S56" s="198"/>
      <c r="T56" s="198"/>
      <c r="U56" s="198"/>
    </row>
    <row r="57" spans="1:21" s="12" customFormat="1" x14ac:dyDescent="0.25">
      <c r="A57" s="212" t="s">
        <v>1831</v>
      </c>
      <c r="B57" s="64">
        <v>6.77</v>
      </c>
      <c r="C57" s="64">
        <v>8.0500000000000007</v>
      </c>
      <c r="D57" s="64">
        <v>9.64</v>
      </c>
      <c r="E57" s="64">
        <v>4.76</v>
      </c>
      <c r="F57" s="64">
        <v>9.2100000000000009</v>
      </c>
      <c r="G57" s="64">
        <v>8.5399999999999991</v>
      </c>
      <c r="H57" s="64">
        <v>2.4700000000000002</v>
      </c>
      <c r="I57" s="64">
        <v>0.88</v>
      </c>
      <c r="J57" s="64">
        <v>0.7</v>
      </c>
      <c r="K57" s="64">
        <v>121.42</v>
      </c>
      <c r="L57" s="64">
        <v>29.77</v>
      </c>
      <c r="M57" s="64">
        <v>83.71</v>
      </c>
      <c r="N57" s="64">
        <v>755.8</v>
      </c>
      <c r="O57" s="64">
        <v>0</v>
      </c>
      <c r="P57" s="64">
        <v>0.23</v>
      </c>
      <c r="Q57" s="64">
        <v>9.6199999999999992</v>
      </c>
      <c r="R57" s="198"/>
      <c r="S57" s="198"/>
      <c r="T57" s="198"/>
      <c r="U57" s="198"/>
    </row>
    <row r="58" spans="1:21" s="12" customFormat="1" x14ac:dyDescent="0.25">
      <c r="A58" s="212" t="s">
        <v>1832</v>
      </c>
      <c r="B58" s="64">
        <v>9.6199999999999992</v>
      </c>
      <c r="C58" s="64">
        <v>7.53</v>
      </c>
      <c r="D58" s="64">
        <v>11.65</v>
      </c>
      <c r="E58" s="64">
        <v>5.05</v>
      </c>
      <c r="F58" s="64">
        <v>9.44</v>
      </c>
      <c r="G58" s="64">
        <v>8.5399999999999991</v>
      </c>
      <c r="H58" s="64">
        <v>2.4700000000000002</v>
      </c>
      <c r="I58" s="64">
        <v>0.88</v>
      </c>
      <c r="J58" s="64">
        <v>0.59</v>
      </c>
      <c r="K58" s="64">
        <v>117.25</v>
      </c>
      <c r="L58" s="64">
        <v>29.38</v>
      </c>
      <c r="M58" s="64">
        <v>81.56</v>
      </c>
      <c r="N58" s="64">
        <v>570</v>
      </c>
      <c r="O58" s="64">
        <v>0</v>
      </c>
      <c r="P58" s="64">
        <v>0.21</v>
      </c>
      <c r="Q58" s="64">
        <v>9.61</v>
      </c>
      <c r="R58" s="198"/>
      <c r="S58" s="198"/>
      <c r="T58" s="198"/>
      <c r="U58" s="198"/>
    </row>
    <row r="59" spans="1:21" s="12" customFormat="1" x14ac:dyDescent="0.25">
      <c r="A59" s="212" t="s">
        <v>1833</v>
      </c>
      <c r="B59" s="64">
        <v>7.2</v>
      </c>
      <c r="C59" s="64">
        <v>7.85</v>
      </c>
      <c r="D59" s="64">
        <v>9.8699999999999992</v>
      </c>
      <c r="E59" s="64">
        <v>4.45</v>
      </c>
      <c r="F59" s="64">
        <v>11.36</v>
      </c>
      <c r="G59" s="64">
        <v>6.57</v>
      </c>
      <c r="H59" s="64">
        <v>2.0699999999999998</v>
      </c>
      <c r="I59" s="64">
        <v>0.9</v>
      </c>
      <c r="J59" s="64">
        <v>1.38</v>
      </c>
      <c r="K59" s="64">
        <v>125.26</v>
      </c>
      <c r="L59" s="64">
        <v>29.6</v>
      </c>
      <c r="M59" s="64">
        <v>80.22</v>
      </c>
      <c r="N59" s="64">
        <v>973.6</v>
      </c>
      <c r="O59" s="64">
        <v>0</v>
      </c>
      <c r="P59" s="64">
        <v>0.19</v>
      </c>
      <c r="Q59" s="64">
        <v>9.61</v>
      </c>
      <c r="R59" s="198"/>
      <c r="S59" s="198"/>
      <c r="T59" s="198"/>
      <c r="U59" s="198"/>
    </row>
    <row r="60" spans="1:21" s="12" customFormat="1" x14ac:dyDescent="0.25">
      <c r="A60" s="212" t="s">
        <v>1834</v>
      </c>
      <c r="B60" s="64">
        <v>8.75</v>
      </c>
      <c r="C60" s="64">
        <v>8.6</v>
      </c>
      <c r="D60" s="64">
        <v>11.51</v>
      </c>
      <c r="E60" s="64">
        <v>4.8099999999999996</v>
      </c>
      <c r="F60" s="64">
        <v>10.53</v>
      </c>
      <c r="G60" s="64">
        <v>6.43</v>
      </c>
      <c r="H60" s="64">
        <v>2.0299999999999998</v>
      </c>
      <c r="I60" s="64">
        <v>0.89</v>
      </c>
      <c r="J60" s="64">
        <v>0.32</v>
      </c>
      <c r="K60" s="64">
        <v>124.66</v>
      </c>
      <c r="L60" s="64">
        <v>30.06</v>
      </c>
      <c r="M60" s="64">
        <v>78.48</v>
      </c>
      <c r="N60" s="64">
        <v>894.2</v>
      </c>
      <c r="O60" s="64">
        <v>0</v>
      </c>
      <c r="P60" s="64">
        <v>0.23</v>
      </c>
      <c r="Q60" s="64">
        <v>9.61</v>
      </c>
      <c r="R60" s="198"/>
      <c r="S60" s="198"/>
      <c r="T60" s="198"/>
      <c r="U60" s="198"/>
    </row>
    <row r="61" spans="1:21" s="12" customFormat="1" x14ac:dyDescent="0.25">
      <c r="A61" s="212" t="s">
        <v>1835</v>
      </c>
      <c r="B61" s="64">
        <v>9.81</v>
      </c>
      <c r="C61" s="64">
        <v>8.36</v>
      </c>
      <c r="D61" s="64">
        <v>12.23</v>
      </c>
      <c r="E61" s="64">
        <v>4.84</v>
      </c>
      <c r="F61" s="64">
        <v>9.42</v>
      </c>
      <c r="G61" s="64">
        <v>6.43</v>
      </c>
      <c r="H61" s="64">
        <v>2.0299999999999998</v>
      </c>
      <c r="I61" s="64">
        <v>0.91</v>
      </c>
      <c r="J61" s="64">
        <v>0.61</v>
      </c>
      <c r="K61" s="64">
        <v>128.83000000000001</v>
      </c>
      <c r="L61" s="64">
        <v>30.31</v>
      </c>
      <c r="M61" s="64">
        <v>74.349999999999994</v>
      </c>
      <c r="N61" s="64">
        <v>423.6</v>
      </c>
      <c r="O61" s="64">
        <v>0</v>
      </c>
      <c r="P61" s="64">
        <v>0.26</v>
      </c>
      <c r="Q61" s="64">
        <v>9.6199999999999992</v>
      </c>
      <c r="R61" s="198"/>
      <c r="S61" s="198"/>
      <c r="T61" s="198"/>
      <c r="U61" s="198"/>
    </row>
    <row r="62" spans="1:21" s="12" customFormat="1" x14ac:dyDescent="0.25">
      <c r="A62" s="212" t="s">
        <v>1836</v>
      </c>
      <c r="B62" s="64">
        <v>8.34</v>
      </c>
      <c r="C62" s="64">
        <v>6.69</v>
      </c>
      <c r="D62" s="64">
        <v>10.18</v>
      </c>
      <c r="E62" s="64">
        <v>5.03</v>
      </c>
      <c r="F62" s="64">
        <v>11.48</v>
      </c>
      <c r="G62" s="64">
        <v>6.43</v>
      </c>
      <c r="H62" s="64">
        <v>2.0299999999999998</v>
      </c>
      <c r="I62" s="64">
        <v>0.93</v>
      </c>
      <c r="J62" s="64">
        <v>0.65</v>
      </c>
      <c r="K62" s="64">
        <v>130.38</v>
      </c>
      <c r="L62" s="64">
        <v>29.81</v>
      </c>
      <c r="M62" s="64">
        <v>76.12</v>
      </c>
      <c r="N62" s="64">
        <v>336.7</v>
      </c>
      <c r="O62" s="64">
        <v>0</v>
      </c>
      <c r="P62" s="64">
        <v>0.26</v>
      </c>
      <c r="Q62" s="64">
        <v>9.6300000000000008</v>
      </c>
      <c r="R62" s="198"/>
      <c r="S62" s="198"/>
      <c r="T62" s="198"/>
      <c r="U62" s="198"/>
    </row>
    <row r="63" spans="1:21" s="12" customFormat="1" x14ac:dyDescent="0.25">
      <c r="A63" s="212" t="s">
        <v>1837</v>
      </c>
      <c r="B63" s="64">
        <v>7.46</v>
      </c>
      <c r="C63" s="64">
        <v>7.71</v>
      </c>
      <c r="D63" s="64">
        <v>10.01</v>
      </c>
      <c r="E63" s="64">
        <v>4.42</v>
      </c>
      <c r="F63" s="64">
        <v>9.92</v>
      </c>
      <c r="G63" s="64">
        <v>7.28</v>
      </c>
      <c r="H63" s="64">
        <v>3.63</v>
      </c>
      <c r="I63" s="64">
        <v>0.94</v>
      </c>
      <c r="J63" s="64">
        <v>1.01</v>
      </c>
      <c r="K63" s="64">
        <v>124.57</v>
      </c>
      <c r="L63" s="64">
        <v>29.64</v>
      </c>
      <c r="M63" s="64">
        <v>78.44</v>
      </c>
      <c r="N63" s="64">
        <v>290.2</v>
      </c>
      <c r="O63" s="64">
        <v>0</v>
      </c>
      <c r="P63" s="64">
        <v>0.25</v>
      </c>
      <c r="Q63" s="64">
        <v>9.6199999999999992</v>
      </c>
      <c r="R63" s="198"/>
      <c r="S63" s="198"/>
      <c r="T63" s="198"/>
      <c r="U63" s="198"/>
    </row>
    <row r="64" spans="1:21" s="12" customFormat="1" x14ac:dyDescent="0.25">
      <c r="A64" s="212" t="s">
        <v>1838</v>
      </c>
      <c r="B64" s="64">
        <v>6.46</v>
      </c>
      <c r="C64" s="64">
        <v>7.16</v>
      </c>
      <c r="D64" s="64">
        <v>8.92</v>
      </c>
      <c r="E64" s="64">
        <v>4.7300000000000004</v>
      </c>
      <c r="F64" s="64">
        <v>11.17</v>
      </c>
      <c r="G64" s="64">
        <v>7.35</v>
      </c>
      <c r="H64" s="64">
        <v>3.74</v>
      </c>
      <c r="I64" s="64">
        <v>0.94</v>
      </c>
      <c r="J64" s="64">
        <v>1.1399999999999999</v>
      </c>
      <c r="K64" s="64">
        <v>123.41</v>
      </c>
      <c r="L64" s="64">
        <v>29.62</v>
      </c>
      <c r="M64" s="64">
        <v>77.010000000000005</v>
      </c>
      <c r="N64" s="64">
        <v>305.3</v>
      </c>
      <c r="O64" s="64">
        <v>0</v>
      </c>
      <c r="P64" s="64">
        <v>0.25</v>
      </c>
      <c r="Q64" s="64">
        <v>9.6199999999999992</v>
      </c>
      <c r="R64" s="198"/>
      <c r="S64" s="198"/>
      <c r="T64" s="198"/>
      <c r="U64" s="198"/>
    </row>
    <row r="65" spans="1:21" s="12" customFormat="1" x14ac:dyDescent="0.25">
      <c r="A65" s="212" t="s">
        <v>1839</v>
      </c>
      <c r="B65" s="64">
        <v>7.21</v>
      </c>
      <c r="C65" s="64">
        <v>7.62</v>
      </c>
      <c r="D65" s="64">
        <v>9.77</v>
      </c>
      <c r="E65" s="64">
        <v>4.93</v>
      </c>
      <c r="F65" s="64">
        <v>12.7</v>
      </c>
      <c r="G65" s="64">
        <v>7.35</v>
      </c>
      <c r="H65" s="64">
        <v>3.74</v>
      </c>
      <c r="I65" s="64">
        <v>0.9</v>
      </c>
      <c r="J65" s="64">
        <v>1.07</v>
      </c>
      <c r="K65" s="64">
        <v>126.15</v>
      </c>
      <c r="L65" s="64">
        <v>29.4</v>
      </c>
      <c r="M65" s="64">
        <v>77.81</v>
      </c>
      <c r="N65" s="64">
        <v>232.1</v>
      </c>
      <c r="O65" s="64">
        <v>0</v>
      </c>
      <c r="P65" s="64">
        <v>0.26</v>
      </c>
      <c r="Q65" s="64">
        <v>9.65</v>
      </c>
      <c r="R65" s="198"/>
      <c r="S65" s="198"/>
      <c r="T65" s="198"/>
      <c r="U65" s="198"/>
    </row>
    <row r="66" spans="1:21" s="12" customFormat="1" x14ac:dyDescent="0.25">
      <c r="A66" s="212" t="s">
        <v>1840</v>
      </c>
      <c r="B66" s="64">
        <v>6.88</v>
      </c>
      <c r="C66" s="64">
        <v>7.1</v>
      </c>
      <c r="D66" s="64">
        <v>9.23</v>
      </c>
      <c r="E66" s="64">
        <v>4.26</v>
      </c>
      <c r="F66" s="64">
        <v>14.53</v>
      </c>
      <c r="G66" s="64">
        <v>7.35</v>
      </c>
      <c r="H66" s="64">
        <v>3.74</v>
      </c>
      <c r="I66" s="64">
        <v>0.89</v>
      </c>
      <c r="J66" s="64">
        <v>1.29</v>
      </c>
      <c r="K66" s="64">
        <v>125.72</v>
      </c>
      <c r="L66" s="64">
        <v>28.89</v>
      </c>
      <c r="M66" s="64">
        <v>79.819999999999993</v>
      </c>
      <c r="N66" s="64">
        <v>194.1</v>
      </c>
      <c r="O66" s="64">
        <v>0</v>
      </c>
      <c r="P66" s="64">
        <v>0.24</v>
      </c>
      <c r="Q66" s="64">
        <v>9.64</v>
      </c>
      <c r="R66" s="198"/>
      <c r="S66" s="198"/>
      <c r="T66" s="198"/>
      <c r="U66" s="198"/>
    </row>
    <row r="67" spans="1:21" s="12" customFormat="1" x14ac:dyDescent="0.25">
      <c r="A67" s="212" t="s">
        <v>1841</v>
      </c>
      <c r="B67" s="64">
        <v>5.82</v>
      </c>
      <c r="C67" s="64">
        <v>6.95</v>
      </c>
      <c r="D67" s="64">
        <v>8.3000000000000007</v>
      </c>
      <c r="E67" s="64">
        <v>4.46</v>
      </c>
      <c r="F67" s="64">
        <v>13.44</v>
      </c>
      <c r="G67" s="64">
        <v>8.82</v>
      </c>
      <c r="H67" s="64">
        <v>3.06</v>
      </c>
      <c r="I67" s="64">
        <v>0.86</v>
      </c>
      <c r="J67" s="64">
        <v>0.9</v>
      </c>
      <c r="K67" s="64">
        <v>125.72</v>
      </c>
      <c r="L67" s="64">
        <v>29.52</v>
      </c>
      <c r="M67" s="64">
        <v>77.59</v>
      </c>
      <c r="N67" s="64">
        <v>247.1</v>
      </c>
      <c r="O67" s="64">
        <v>0</v>
      </c>
      <c r="P67" s="64">
        <v>0.27</v>
      </c>
      <c r="Q67" s="64">
        <v>9.6300000000000008</v>
      </c>
      <c r="R67" s="198"/>
      <c r="S67" s="198"/>
      <c r="T67" s="198"/>
      <c r="U67" s="198"/>
    </row>
    <row r="68" spans="1:21" s="12" customFormat="1" x14ac:dyDescent="0.25">
      <c r="A68" s="212" t="s">
        <v>1842</v>
      </c>
      <c r="B68" s="64">
        <v>6.76</v>
      </c>
      <c r="C68" s="64">
        <v>9.01</v>
      </c>
      <c r="D68" s="64">
        <v>10.130000000000001</v>
      </c>
      <c r="E68" s="64">
        <v>4.57</v>
      </c>
      <c r="F68" s="64">
        <v>13.74</v>
      </c>
      <c r="G68" s="64">
        <v>8.94</v>
      </c>
      <c r="H68" s="64">
        <v>3</v>
      </c>
      <c r="I68" s="64">
        <v>0.85</v>
      </c>
      <c r="J68" s="64">
        <v>0.39</v>
      </c>
      <c r="K68" s="64">
        <v>134.36000000000001</v>
      </c>
      <c r="L68" s="64">
        <v>29.48</v>
      </c>
      <c r="M68" s="64">
        <v>77.98</v>
      </c>
      <c r="N68" s="64">
        <v>189.4</v>
      </c>
      <c r="O68" s="64">
        <v>0</v>
      </c>
      <c r="P68" s="64">
        <v>0.32</v>
      </c>
      <c r="Q68" s="64">
        <v>9.6300000000000008</v>
      </c>
      <c r="R68" s="198"/>
      <c r="S68" s="198"/>
      <c r="T68" s="198"/>
      <c r="U68" s="198"/>
    </row>
    <row r="69" spans="1:21" s="12" customFormat="1" x14ac:dyDescent="0.25">
      <c r="A69" s="212" t="s">
        <v>1843</v>
      </c>
      <c r="B69" s="64">
        <v>7.06</v>
      </c>
      <c r="C69" s="64">
        <v>9</v>
      </c>
      <c r="D69" s="64">
        <v>10.36</v>
      </c>
      <c r="E69" s="64">
        <v>4.75</v>
      </c>
      <c r="F69" s="64">
        <v>12.67</v>
      </c>
      <c r="G69" s="64">
        <v>8.94</v>
      </c>
      <c r="H69" s="64">
        <v>3</v>
      </c>
      <c r="I69" s="64">
        <v>0.84</v>
      </c>
      <c r="J69" s="64">
        <v>0.82</v>
      </c>
      <c r="K69" s="64">
        <v>128.06</v>
      </c>
      <c r="L69" s="64">
        <v>29.41</v>
      </c>
      <c r="M69" s="64">
        <v>76.680000000000007</v>
      </c>
      <c r="N69" s="64">
        <v>174.2</v>
      </c>
      <c r="O69" s="64">
        <v>0</v>
      </c>
      <c r="P69" s="64">
        <v>0.27</v>
      </c>
      <c r="Q69" s="64">
        <v>9.6199999999999992</v>
      </c>
      <c r="R69" s="198"/>
      <c r="S69" s="198"/>
      <c r="T69" s="198"/>
      <c r="U69" s="198"/>
    </row>
    <row r="70" spans="1:21" s="12" customFormat="1" x14ac:dyDescent="0.25">
      <c r="A70" s="212" t="s">
        <v>1844</v>
      </c>
      <c r="B70" s="64">
        <v>9.06</v>
      </c>
      <c r="C70" s="64">
        <v>9.1199999999999992</v>
      </c>
      <c r="D70" s="64">
        <v>12.03</v>
      </c>
      <c r="E70" s="64">
        <v>4.59</v>
      </c>
      <c r="F70" s="64">
        <v>12.28</v>
      </c>
      <c r="G70" s="64">
        <v>8.94</v>
      </c>
      <c r="H70" s="64">
        <v>3</v>
      </c>
      <c r="I70" s="64">
        <v>0.84</v>
      </c>
      <c r="J70" s="64">
        <v>0.2</v>
      </c>
      <c r="K70" s="64">
        <v>144.61000000000001</v>
      </c>
      <c r="L70" s="64">
        <v>29.63</v>
      </c>
      <c r="M70" s="64">
        <v>74.89</v>
      </c>
      <c r="N70" s="64">
        <v>153.5</v>
      </c>
      <c r="O70" s="64">
        <v>0</v>
      </c>
      <c r="P70" s="64">
        <v>0.33</v>
      </c>
      <c r="Q70" s="64">
        <v>9.6300000000000008</v>
      </c>
      <c r="R70" s="198"/>
      <c r="S70" s="198"/>
      <c r="T70" s="198"/>
      <c r="U70" s="198"/>
    </row>
    <row r="71" spans="1:21" s="12" customFormat="1" x14ac:dyDescent="0.25">
      <c r="A71" s="212" t="s">
        <v>1845</v>
      </c>
      <c r="B71" s="64">
        <v>9.2100000000000009</v>
      </c>
      <c r="C71" s="64">
        <v>9.48</v>
      </c>
      <c r="D71" s="64">
        <v>12.34</v>
      </c>
      <c r="E71" s="64">
        <v>4.6900000000000004</v>
      </c>
      <c r="F71" s="64">
        <v>10.96</v>
      </c>
      <c r="G71" s="64">
        <v>12.02</v>
      </c>
      <c r="H71" s="64">
        <v>2.42</v>
      </c>
      <c r="I71" s="64">
        <v>0.85</v>
      </c>
      <c r="J71" s="64">
        <v>0.1</v>
      </c>
      <c r="K71" s="64">
        <v>87.52</v>
      </c>
      <c r="L71" s="64">
        <v>29.73</v>
      </c>
      <c r="M71" s="64">
        <v>74.930000000000007</v>
      </c>
      <c r="N71" s="64">
        <v>153.80000000000001</v>
      </c>
      <c r="O71" s="64">
        <v>0</v>
      </c>
      <c r="P71" s="64">
        <v>0.31</v>
      </c>
      <c r="Q71" s="64">
        <v>9.6300000000000008</v>
      </c>
      <c r="R71" s="198"/>
      <c r="S71" s="198"/>
      <c r="T71" s="198"/>
      <c r="U71" s="198"/>
    </row>
    <row r="72" spans="1:21" s="12" customFormat="1" x14ac:dyDescent="0.25">
      <c r="A72" s="212" t="s">
        <v>1846</v>
      </c>
      <c r="B72" s="64">
        <v>9.2100000000000009</v>
      </c>
      <c r="C72" s="64">
        <v>10.73</v>
      </c>
      <c r="D72" s="64">
        <v>12.99</v>
      </c>
      <c r="E72" s="64">
        <v>4.59</v>
      </c>
      <c r="F72" s="64">
        <v>10.47</v>
      </c>
      <c r="G72" s="64">
        <v>12.28</v>
      </c>
      <c r="H72" s="64">
        <v>2.38</v>
      </c>
      <c r="I72" s="64">
        <v>0.85</v>
      </c>
      <c r="J72" s="64">
        <v>7.0000000000000007E-2</v>
      </c>
      <c r="K72" s="64">
        <v>350.65</v>
      </c>
      <c r="L72" s="64">
        <v>29.72</v>
      </c>
      <c r="M72" s="64">
        <v>81.67</v>
      </c>
      <c r="N72" s="64">
        <v>149.1</v>
      </c>
      <c r="O72" s="64">
        <v>0</v>
      </c>
      <c r="P72" s="64">
        <v>0.34</v>
      </c>
      <c r="Q72" s="64">
        <v>9.6199999999999992</v>
      </c>
      <c r="R72" s="198"/>
      <c r="S72" s="198"/>
      <c r="T72" s="198"/>
      <c r="U72" s="198"/>
    </row>
    <row r="73" spans="1:21" s="12" customFormat="1" x14ac:dyDescent="0.25">
      <c r="A73" s="212" t="s">
        <v>1847</v>
      </c>
      <c r="B73" s="64">
        <v>8.6999999999999993</v>
      </c>
      <c r="C73" s="64">
        <v>13.37</v>
      </c>
      <c r="D73" s="64">
        <v>13.97</v>
      </c>
      <c r="E73" s="64">
        <v>4.47</v>
      </c>
      <c r="F73" s="64">
        <v>14.12</v>
      </c>
      <c r="G73" s="64">
        <v>12.28</v>
      </c>
      <c r="H73" s="64">
        <v>2.38</v>
      </c>
      <c r="I73" s="64">
        <v>0.85</v>
      </c>
      <c r="J73" s="64">
        <v>0.04</v>
      </c>
      <c r="K73" s="64">
        <v>111.35</v>
      </c>
      <c r="L73" s="64">
        <v>29.5</v>
      </c>
      <c r="M73" s="64">
        <v>83.05</v>
      </c>
      <c r="N73" s="64">
        <v>157.30000000000001</v>
      </c>
      <c r="O73" s="64">
        <v>0</v>
      </c>
      <c r="P73" s="64">
        <v>0.35</v>
      </c>
      <c r="Q73" s="64">
        <v>9.6199999999999992</v>
      </c>
      <c r="R73" s="198"/>
      <c r="S73" s="198"/>
      <c r="T73" s="198"/>
      <c r="U73" s="198"/>
    </row>
    <row r="74" spans="1:21" s="12" customFormat="1" x14ac:dyDescent="0.25">
      <c r="A74" s="212" t="s">
        <v>1848</v>
      </c>
      <c r="B74" s="64">
        <v>8.19</v>
      </c>
      <c r="C74" s="64">
        <v>12.83</v>
      </c>
      <c r="D74" s="64">
        <v>13.27</v>
      </c>
      <c r="E74" s="64">
        <v>5.05</v>
      </c>
      <c r="F74" s="64">
        <v>12.94</v>
      </c>
      <c r="G74" s="64">
        <v>12.28</v>
      </c>
      <c r="H74" s="64">
        <v>2.38</v>
      </c>
      <c r="I74" s="64">
        <v>0.86</v>
      </c>
      <c r="J74" s="64">
        <v>0.53</v>
      </c>
      <c r="K74" s="64">
        <v>127.69</v>
      </c>
      <c r="L74" s="64">
        <v>29.45</v>
      </c>
      <c r="M74" s="64">
        <v>80.5</v>
      </c>
      <c r="N74" s="64">
        <v>140.80000000000001</v>
      </c>
      <c r="O74" s="64">
        <v>0</v>
      </c>
      <c r="P74" s="64">
        <v>0.33</v>
      </c>
      <c r="Q74" s="64">
        <v>9.6300000000000008</v>
      </c>
      <c r="R74" s="198"/>
      <c r="S74" s="198"/>
      <c r="T74" s="198"/>
      <c r="U74" s="198"/>
    </row>
    <row r="75" spans="1:21" s="12" customFormat="1" x14ac:dyDescent="0.25">
      <c r="A75" s="212" t="s">
        <v>1849</v>
      </c>
      <c r="B75" s="64">
        <v>7.89</v>
      </c>
      <c r="C75" s="64">
        <v>11.47</v>
      </c>
      <c r="D75" s="64">
        <v>12.32</v>
      </c>
      <c r="E75" s="64">
        <v>4.3600000000000003</v>
      </c>
      <c r="F75" s="64">
        <v>16.47</v>
      </c>
      <c r="G75" s="64">
        <v>16.14</v>
      </c>
      <c r="H75" s="64">
        <v>16.32</v>
      </c>
      <c r="I75" s="64">
        <v>0.87</v>
      </c>
      <c r="J75" s="64">
        <v>0.21</v>
      </c>
      <c r="K75" s="64">
        <v>111.84</v>
      </c>
      <c r="L75" s="64">
        <v>29.13</v>
      </c>
      <c r="M75" s="64">
        <v>82.86</v>
      </c>
      <c r="N75" s="64">
        <v>124.5</v>
      </c>
      <c r="O75" s="64">
        <v>0</v>
      </c>
      <c r="P75" s="64">
        <v>0.34</v>
      </c>
      <c r="Q75" s="64">
        <v>9.6300000000000008</v>
      </c>
      <c r="R75" s="198"/>
      <c r="S75" s="198"/>
      <c r="T75" s="198"/>
      <c r="U75" s="198"/>
    </row>
    <row r="76" spans="1:21" s="12" customFormat="1" x14ac:dyDescent="0.25">
      <c r="A76" s="212" t="s">
        <v>1850</v>
      </c>
      <c r="B76" s="64">
        <v>9.4</v>
      </c>
      <c r="C76" s="64">
        <v>11.73</v>
      </c>
      <c r="D76" s="64">
        <v>13.67</v>
      </c>
      <c r="E76" s="64">
        <v>4.8</v>
      </c>
      <c r="F76" s="64">
        <v>13.19</v>
      </c>
      <c r="G76" s="64">
        <v>16.47</v>
      </c>
      <c r="H76" s="64">
        <v>17.32</v>
      </c>
      <c r="I76" s="64">
        <v>0.88</v>
      </c>
      <c r="J76" s="64">
        <v>0.09</v>
      </c>
      <c r="K76" s="64">
        <v>106.69</v>
      </c>
      <c r="L76" s="64">
        <v>29.07</v>
      </c>
      <c r="M76" s="64">
        <v>84.04</v>
      </c>
      <c r="N76" s="64">
        <v>136.5</v>
      </c>
      <c r="O76" s="64">
        <v>0</v>
      </c>
      <c r="P76" s="64">
        <v>0.35</v>
      </c>
      <c r="Q76" s="64">
        <v>9.6199999999999992</v>
      </c>
      <c r="R76" s="198"/>
      <c r="S76" s="198"/>
      <c r="T76" s="198"/>
      <c r="U76" s="198"/>
    </row>
    <row r="77" spans="1:21" s="12" customFormat="1" x14ac:dyDescent="0.25">
      <c r="A77" s="212" t="s">
        <v>1851</v>
      </c>
      <c r="B77" s="64">
        <v>8.61</v>
      </c>
      <c r="C77" s="64">
        <v>10.039999999999999</v>
      </c>
      <c r="D77" s="64">
        <v>12.15</v>
      </c>
      <c r="E77" s="64">
        <v>5.08</v>
      </c>
      <c r="F77" s="64">
        <v>13.86</v>
      </c>
      <c r="G77" s="64">
        <v>16.47</v>
      </c>
      <c r="H77" s="64">
        <v>17.32</v>
      </c>
      <c r="I77" s="64">
        <v>0.89</v>
      </c>
      <c r="J77" s="64">
        <v>0.31</v>
      </c>
      <c r="K77" s="64">
        <v>136.87</v>
      </c>
      <c r="L77" s="64">
        <v>28.9</v>
      </c>
      <c r="M77" s="64">
        <v>84.52</v>
      </c>
      <c r="N77" s="64">
        <v>107.8</v>
      </c>
      <c r="O77" s="64">
        <v>0</v>
      </c>
      <c r="P77" s="64">
        <v>0.32</v>
      </c>
      <c r="Q77" s="64">
        <v>9.6199999999999992</v>
      </c>
      <c r="R77" s="198"/>
      <c r="S77" s="198"/>
      <c r="T77" s="198"/>
      <c r="U77" s="198"/>
    </row>
    <row r="78" spans="1:21" s="12" customFormat="1" x14ac:dyDescent="0.25">
      <c r="A78" s="212" t="s">
        <v>1852</v>
      </c>
      <c r="B78" s="64">
        <v>9.9600000000000009</v>
      </c>
      <c r="C78" s="64">
        <v>11.62</v>
      </c>
      <c r="D78" s="64">
        <v>14.06</v>
      </c>
      <c r="E78" s="64">
        <v>4.99</v>
      </c>
      <c r="F78" s="64">
        <v>12.06</v>
      </c>
      <c r="G78" s="64">
        <v>16.47</v>
      </c>
      <c r="H78" s="64">
        <v>17.32</v>
      </c>
      <c r="I78" s="64">
        <v>0.91</v>
      </c>
      <c r="J78" s="64">
        <v>0.08</v>
      </c>
      <c r="K78" s="64">
        <v>168.14</v>
      </c>
      <c r="L78" s="64">
        <v>28.69</v>
      </c>
      <c r="M78" s="64">
        <v>84.68</v>
      </c>
      <c r="N78" s="64">
        <v>109.5</v>
      </c>
      <c r="O78" s="64">
        <v>0</v>
      </c>
      <c r="P78" s="64">
        <v>0.36</v>
      </c>
      <c r="Q78" s="64">
        <v>9.61</v>
      </c>
      <c r="R78" s="198"/>
      <c r="S78" s="198"/>
      <c r="T78" s="198"/>
      <c r="U78" s="198"/>
    </row>
    <row r="79" spans="1:21" s="12" customFormat="1" x14ac:dyDescent="0.25">
      <c r="A79" s="212" t="s">
        <v>1853</v>
      </c>
      <c r="B79" s="64">
        <v>11.08</v>
      </c>
      <c r="C79" s="64">
        <v>10.76</v>
      </c>
      <c r="D79" s="64">
        <v>14.51</v>
      </c>
      <c r="E79" s="64">
        <v>5.03</v>
      </c>
      <c r="F79" s="64">
        <v>12.18</v>
      </c>
      <c r="G79" s="64">
        <v>19.350000000000001</v>
      </c>
      <c r="H79" s="64">
        <v>12.15</v>
      </c>
      <c r="I79" s="64">
        <v>0.92</v>
      </c>
      <c r="J79" s="64">
        <v>0.25</v>
      </c>
      <c r="K79" s="64">
        <v>333.51</v>
      </c>
      <c r="L79" s="64">
        <v>28.65</v>
      </c>
      <c r="M79" s="64">
        <v>84.6</v>
      </c>
      <c r="N79" s="64">
        <v>90.4</v>
      </c>
      <c r="O79" s="64">
        <v>0</v>
      </c>
      <c r="P79" s="64">
        <v>0.5</v>
      </c>
      <c r="Q79" s="64">
        <v>9.6199999999999992</v>
      </c>
      <c r="R79" s="198"/>
      <c r="S79" s="198"/>
      <c r="T79" s="198"/>
      <c r="U79" s="198"/>
    </row>
    <row r="80" spans="1:21" s="12" customFormat="1" x14ac:dyDescent="0.25">
      <c r="A80" s="212" t="s">
        <v>1854</v>
      </c>
      <c r="B80" s="64">
        <v>9.0500000000000007</v>
      </c>
      <c r="C80" s="64">
        <v>10.82</v>
      </c>
      <c r="D80" s="64">
        <v>12.91</v>
      </c>
      <c r="E80" s="64">
        <v>4.66</v>
      </c>
      <c r="F80" s="64">
        <v>10.7</v>
      </c>
      <c r="G80" s="64">
        <v>19.59</v>
      </c>
      <c r="H80" s="64">
        <v>11.72</v>
      </c>
      <c r="I80" s="64">
        <v>0.93</v>
      </c>
      <c r="J80" s="64">
        <v>0.12</v>
      </c>
      <c r="K80" s="64">
        <v>143.87</v>
      </c>
      <c r="L80" s="64">
        <v>28.31</v>
      </c>
      <c r="M80" s="64">
        <v>86.43</v>
      </c>
      <c r="N80" s="64">
        <v>67.599999999999994</v>
      </c>
      <c r="O80" s="64">
        <v>0</v>
      </c>
      <c r="P80" s="64">
        <v>0.39</v>
      </c>
      <c r="Q80" s="64">
        <v>9.61</v>
      </c>
      <c r="R80" s="198"/>
      <c r="S80" s="198"/>
      <c r="T80" s="198"/>
      <c r="U80" s="198"/>
    </row>
    <row r="81" spans="1:26" s="12" customFormat="1" x14ac:dyDescent="0.25">
      <c r="A81" s="212" t="s">
        <v>1855</v>
      </c>
      <c r="B81" s="64">
        <v>9.7100000000000009</v>
      </c>
      <c r="C81" s="64">
        <v>12.38</v>
      </c>
      <c r="D81" s="64">
        <v>14.25</v>
      </c>
      <c r="E81" s="64">
        <v>4.67</v>
      </c>
      <c r="F81" s="64">
        <v>10.59</v>
      </c>
      <c r="G81" s="64">
        <v>19.59</v>
      </c>
      <c r="H81" s="64">
        <v>11.72</v>
      </c>
      <c r="I81" s="64">
        <v>0.97</v>
      </c>
      <c r="J81" s="64">
        <v>0.17</v>
      </c>
      <c r="K81" s="64">
        <v>320.89999999999998</v>
      </c>
      <c r="L81" s="64">
        <v>28.14</v>
      </c>
      <c r="M81" s="64">
        <v>87.12</v>
      </c>
      <c r="N81" s="64">
        <v>55.3</v>
      </c>
      <c r="O81" s="64">
        <v>0</v>
      </c>
      <c r="P81" s="64">
        <v>0.52</v>
      </c>
      <c r="Q81" s="64">
        <v>9.61</v>
      </c>
      <c r="R81" s="198"/>
      <c r="S81" s="198"/>
      <c r="T81" s="198"/>
      <c r="U81" s="198"/>
    </row>
    <row r="82" spans="1:26" s="12" customFormat="1" x14ac:dyDescent="0.25">
      <c r="A82" s="212" t="s">
        <v>1856</v>
      </c>
      <c r="B82" s="64">
        <v>12.12</v>
      </c>
      <c r="C82" s="64">
        <v>13.08</v>
      </c>
      <c r="D82" s="64">
        <v>16.55</v>
      </c>
      <c r="E82" s="64">
        <v>4.75</v>
      </c>
      <c r="F82" s="64">
        <v>9.51</v>
      </c>
      <c r="G82" s="64">
        <v>19.59</v>
      </c>
      <c r="H82" s="64">
        <v>11.72</v>
      </c>
      <c r="I82" s="64">
        <v>0.99</v>
      </c>
      <c r="J82" s="64">
        <v>0.09</v>
      </c>
      <c r="K82" s="64">
        <v>307.07</v>
      </c>
      <c r="L82" s="64">
        <v>28</v>
      </c>
      <c r="M82" s="64">
        <v>87.46</v>
      </c>
      <c r="N82" s="64">
        <v>46.6</v>
      </c>
      <c r="O82" s="64">
        <v>0</v>
      </c>
      <c r="P82" s="64">
        <v>0.67</v>
      </c>
      <c r="Q82" s="64">
        <v>9.6300000000000008</v>
      </c>
      <c r="R82" s="198"/>
      <c r="S82" s="198"/>
      <c r="T82" s="198"/>
      <c r="U82" s="198"/>
    </row>
    <row r="83" spans="1:26" s="12" customFormat="1" x14ac:dyDescent="0.25">
      <c r="A83" s="212" t="s">
        <v>1857</v>
      </c>
      <c r="B83" s="64">
        <v>12.88</v>
      </c>
      <c r="C83" s="64">
        <v>13.21</v>
      </c>
      <c r="D83" s="64">
        <v>17.239999999999998</v>
      </c>
      <c r="E83" s="64">
        <v>4.97</v>
      </c>
      <c r="F83" s="64">
        <v>8.27</v>
      </c>
      <c r="G83" s="64">
        <v>21.87</v>
      </c>
      <c r="H83" s="64">
        <v>10.18</v>
      </c>
      <c r="I83" s="64">
        <v>1</v>
      </c>
      <c r="J83" s="64">
        <v>7.0000000000000007E-2</v>
      </c>
      <c r="K83" s="64">
        <v>163.74</v>
      </c>
      <c r="L83" s="64">
        <v>27.77</v>
      </c>
      <c r="M83" s="64">
        <v>90.3</v>
      </c>
      <c r="N83" s="64">
        <v>44.6</v>
      </c>
      <c r="O83" s="64">
        <v>0</v>
      </c>
      <c r="P83" s="64">
        <v>0.71</v>
      </c>
      <c r="Q83" s="64">
        <v>9.61</v>
      </c>
      <c r="R83" s="198"/>
      <c r="S83" s="198"/>
      <c r="T83" s="198"/>
      <c r="U83" s="198"/>
    </row>
    <row r="84" spans="1:26" s="12" customFormat="1" x14ac:dyDescent="0.25">
      <c r="A84" s="212" t="s">
        <v>1858</v>
      </c>
      <c r="B84" s="64">
        <v>17.98</v>
      </c>
      <c r="C84" s="64">
        <v>12.91</v>
      </c>
      <c r="D84" s="64">
        <v>20.89</v>
      </c>
      <c r="E84" s="64">
        <v>5.01</v>
      </c>
      <c r="F84" s="64">
        <v>8.07</v>
      </c>
      <c r="G84" s="64">
        <v>22.03</v>
      </c>
      <c r="H84" s="64">
        <v>10.07</v>
      </c>
      <c r="I84" s="64">
        <v>1.03</v>
      </c>
      <c r="J84" s="64">
        <v>0.38</v>
      </c>
      <c r="K84" s="64">
        <v>130.35</v>
      </c>
      <c r="L84" s="64">
        <v>27.73</v>
      </c>
      <c r="M84" s="64">
        <v>91.6</v>
      </c>
      <c r="N84" s="64">
        <v>44.3</v>
      </c>
      <c r="O84" s="64">
        <v>0</v>
      </c>
      <c r="P84" s="64">
        <v>0.55000000000000004</v>
      </c>
      <c r="Q84" s="64">
        <v>9.6</v>
      </c>
      <c r="R84" s="198"/>
      <c r="S84" s="198"/>
      <c r="T84" s="198"/>
      <c r="U84" s="198"/>
    </row>
    <row r="85" spans="1:26" s="12" customFormat="1" x14ac:dyDescent="0.25">
      <c r="A85" s="212" t="s">
        <v>1859</v>
      </c>
      <c r="B85" s="64">
        <v>6.99</v>
      </c>
      <c r="C85" s="64">
        <v>10.69</v>
      </c>
      <c r="D85" s="64">
        <v>11.19</v>
      </c>
      <c r="E85" s="64">
        <v>4.87</v>
      </c>
      <c r="F85" s="64">
        <v>8.2799999999999994</v>
      </c>
      <c r="G85" s="64">
        <v>22.03</v>
      </c>
      <c r="H85" s="64">
        <v>10.07</v>
      </c>
      <c r="I85" s="64">
        <v>1.07</v>
      </c>
      <c r="J85" s="64">
        <v>0.73</v>
      </c>
      <c r="K85" s="64">
        <v>125.43</v>
      </c>
      <c r="L85" s="64">
        <v>27.71</v>
      </c>
      <c r="M85" s="64">
        <v>93.11</v>
      </c>
      <c r="N85" s="64">
        <v>44.4</v>
      </c>
      <c r="O85" s="64">
        <v>0</v>
      </c>
      <c r="P85" s="64">
        <v>0.41</v>
      </c>
      <c r="Q85" s="64">
        <v>9.6199999999999992</v>
      </c>
      <c r="R85" s="198"/>
      <c r="S85" s="198"/>
      <c r="T85" s="198"/>
      <c r="U85" s="198"/>
    </row>
    <row r="86" spans="1:26" s="12" customFormat="1" x14ac:dyDescent="0.25">
      <c r="A86" s="212" t="s">
        <v>1860</v>
      </c>
      <c r="B86" s="64">
        <v>8.61</v>
      </c>
      <c r="C86" s="64">
        <v>8.49</v>
      </c>
      <c r="D86" s="64">
        <v>11.34</v>
      </c>
      <c r="E86" s="64">
        <v>4.68</v>
      </c>
      <c r="F86" s="64">
        <v>3.17</v>
      </c>
      <c r="G86" s="64">
        <v>22.03</v>
      </c>
      <c r="H86" s="64">
        <v>10.07</v>
      </c>
      <c r="I86" s="64">
        <v>1.07</v>
      </c>
      <c r="J86" s="64">
        <v>2.16</v>
      </c>
      <c r="K86" s="64">
        <v>107.93</v>
      </c>
      <c r="L86" s="64">
        <v>25.96</v>
      </c>
      <c r="M86" s="64">
        <v>95.01</v>
      </c>
      <c r="N86" s="64">
        <v>49.3</v>
      </c>
      <c r="O86" s="64">
        <v>0.2</v>
      </c>
      <c r="P86" s="64">
        <v>0.43</v>
      </c>
      <c r="Q86" s="64">
        <v>9.6199999999999992</v>
      </c>
      <c r="R86" s="198"/>
      <c r="S86" s="198"/>
      <c r="T86" s="198"/>
      <c r="U86" s="198"/>
    </row>
    <row r="87" spans="1:26" s="12" customFormat="1" x14ac:dyDescent="0.25">
      <c r="A87" s="212" t="s">
        <v>1861</v>
      </c>
      <c r="B87" s="64">
        <v>9.31</v>
      </c>
      <c r="C87" s="64">
        <v>7.91</v>
      </c>
      <c r="D87" s="64">
        <v>11.6</v>
      </c>
      <c r="E87" s="64">
        <v>4.57</v>
      </c>
      <c r="F87" s="64">
        <v>3.16</v>
      </c>
      <c r="G87" s="64">
        <v>22.29</v>
      </c>
      <c r="H87" s="64">
        <v>12.11</v>
      </c>
      <c r="I87" s="64">
        <v>1</v>
      </c>
      <c r="J87" s="64">
        <v>1.5</v>
      </c>
      <c r="K87" s="64">
        <v>113.3</v>
      </c>
      <c r="L87" s="64">
        <v>23.56</v>
      </c>
      <c r="M87" s="64">
        <v>97.86</v>
      </c>
      <c r="N87" s="64">
        <v>47.4</v>
      </c>
      <c r="O87" s="64">
        <v>0</v>
      </c>
      <c r="P87" s="64">
        <v>0.44</v>
      </c>
      <c r="Q87" s="64">
        <v>9.61</v>
      </c>
      <c r="R87" s="198"/>
      <c r="S87" s="198"/>
      <c r="T87" s="198"/>
      <c r="U87" s="198"/>
    </row>
    <row r="88" spans="1:26" s="12" customFormat="1" x14ac:dyDescent="0.25">
      <c r="A88" s="212" t="s">
        <v>1862</v>
      </c>
      <c r="B88" s="64">
        <v>9.0500000000000007</v>
      </c>
      <c r="C88" s="64">
        <v>7.99</v>
      </c>
      <c r="D88" s="64">
        <v>11.43</v>
      </c>
      <c r="E88" s="64">
        <v>4.76</v>
      </c>
      <c r="F88" s="64">
        <v>3.3</v>
      </c>
      <c r="G88" s="64">
        <v>22.3</v>
      </c>
      <c r="H88" s="64">
        <v>12.29</v>
      </c>
      <c r="I88" s="64">
        <v>1</v>
      </c>
      <c r="J88" s="64">
        <v>1.1599999999999999</v>
      </c>
      <c r="K88" s="64">
        <v>130.41</v>
      </c>
      <c r="L88" s="64">
        <v>23.03</v>
      </c>
      <c r="M88" s="64">
        <v>98.06</v>
      </c>
      <c r="N88" s="64">
        <v>44.5</v>
      </c>
      <c r="O88" s="64">
        <v>0</v>
      </c>
      <c r="P88" s="64">
        <v>0.43</v>
      </c>
      <c r="Q88" s="64">
        <v>9.6199999999999992</v>
      </c>
      <c r="R88" s="198"/>
      <c r="S88" s="198"/>
      <c r="T88" s="198"/>
      <c r="U88" s="198"/>
    </row>
    <row r="89" spans="1:26" s="12" customFormat="1" x14ac:dyDescent="0.25">
      <c r="A89" s="212" t="s">
        <v>1863</v>
      </c>
      <c r="B89" s="64">
        <v>8.67</v>
      </c>
      <c r="C89" s="64">
        <v>8.27</v>
      </c>
      <c r="D89" s="64">
        <v>11.27</v>
      </c>
      <c r="E89" s="64">
        <v>4.54</v>
      </c>
      <c r="F89" s="64">
        <v>5.13</v>
      </c>
      <c r="G89" s="64">
        <v>22.3</v>
      </c>
      <c r="H89" s="64">
        <v>12.29</v>
      </c>
      <c r="I89" s="64">
        <v>1.02</v>
      </c>
      <c r="J89" s="64">
        <v>0.12</v>
      </c>
      <c r="K89" s="64">
        <v>132.62</v>
      </c>
      <c r="L89" s="64">
        <v>23.05</v>
      </c>
      <c r="M89" s="64">
        <v>98.08</v>
      </c>
      <c r="N89" s="64">
        <v>45.2</v>
      </c>
      <c r="O89" s="64">
        <v>0</v>
      </c>
      <c r="P89" s="64">
        <v>0.45</v>
      </c>
      <c r="Q89" s="64">
        <v>9.6300000000000008</v>
      </c>
      <c r="R89" s="198"/>
      <c r="S89" s="198"/>
      <c r="T89" s="198"/>
      <c r="U89" s="198"/>
    </row>
    <row r="90" spans="1:26" s="12" customFormat="1" x14ac:dyDescent="0.25">
      <c r="A90" s="212" t="s">
        <v>1864</v>
      </c>
      <c r="B90" s="64">
        <v>8.57</v>
      </c>
      <c r="C90" s="64">
        <v>9.2899999999999991</v>
      </c>
      <c r="D90" s="64">
        <v>11.72</v>
      </c>
      <c r="E90" s="64">
        <v>4.5199999999999996</v>
      </c>
      <c r="F90" s="64">
        <v>3.7</v>
      </c>
      <c r="G90" s="64">
        <v>22.3</v>
      </c>
      <c r="H90" s="64">
        <v>12.29</v>
      </c>
      <c r="I90" s="64">
        <v>1.1100000000000001</v>
      </c>
      <c r="J90" s="64">
        <v>0.37</v>
      </c>
      <c r="K90" s="64">
        <v>128.72999999999999</v>
      </c>
      <c r="L90" s="64">
        <v>23.39</v>
      </c>
      <c r="M90" s="64">
        <v>98.03</v>
      </c>
      <c r="N90" s="64">
        <v>45.2</v>
      </c>
      <c r="O90" s="64">
        <v>0</v>
      </c>
      <c r="P90" s="64">
        <v>0.41</v>
      </c>
      <c r="Q90" s="64">
        <v>9.6300000000000008</v>
      </c>
      <c r="R90" s="198"/>
      <c r="S90" s="198"/>
      <c r="T90" s="198"/>
      <c r="U90" s="198"/>
    </row>
    <row r="91" spans="1:26" s="12" customFormat="1" x14ac:dyDescent="0.25">
      <c r="A91" s="212" t="s">
        <v>1865</v>
      </c>
      <c r="B91" s="64">
        <v>9.01</v>
      </c>
      <c r="C91" s="64">
        <v>7.86</v>
      </c>
      <c r="D91" s="64">
        <v>11.33</v>
      </c>
      <c r="E91" s="64">
        <v>4.53</v>
      </c>
      <c r="F91" s="64">
        <v>2.1</v>
      </c>
      <c r="G91" s="64">
        <v>18.86</v>
      </c>
      <c r="H91" s="64">
        <v>12.06</v>
      </c>
      <c r="I91" s="64">
        <v>1.1200000000000001</v>
      </c>
      <c r="J91" s="64">
        <v>0.1</v>
      </c>
      <c r="K91" s="64">
        <v>146.78</v>
      </c>
      <c r="L91" s="64">
        <v>23.56</v>
      </c>
      <c r="M91" s="64">
        <v>98.02</v>
      </c>
      <c r="N91" s="64">
        <v>45.6</v>
      </c>
      <c r="O91" s="64">
        <v>0</v>
      </c>
      <c r="P91" s="64">
        <v>0.43</v>
      </c>
      <c r="Q91" s="64">
        <v>9.6199999999999992</v>
      </c>
      <c r="R91" s="198"/>
      <c r="S91" s="198"/>
      <c r="T91" s="198"/>
      <c r="U91" s="198"/>
    </row>
    <row r="92" spans="1:26" s="12" customFormat="1" x14ac:dyDescent="0.25">
      <c r="A92" s="212" t="s">
        <v>1866</v>
      </c>
      <c r="B92" s="64">
        <v>9.3699999999999992</v>
      </c>
      <c r="C92" s="64">
        <v>8.0500000000000007</v>
      </c>
      <c r="D92" s="64">
        <v>11.71</v>
      </c>
      <c r="E92" s="64">
        <v>4.37</v>
      </c>
      <c r="F92" s="64">
        <v>2.1</v>
      </c>
      <c r="G92" s="64">
        <v>18.61</v>
      </c>
      <c r="H92" s="64">
        <v>12.04</v>
      </c>
      <c r="I92" s="64">
        <v>1.1200000000000001</v>
      </c>
      <c r="J92" s="64">
        <v>0.19</v>
      </c>
      <c r="K92" s="64">
        <v>143.15</v>
      </c>
      <c r="L92" s="64">
        <v>23.6</v>
      </c>
      <c r="M92" s="64">
        <v>98.03</v>
      </c>
      <c r="N92" s="64">
        <v>45.3</v>
      </c>
      <c r="O92" s="64">
        <v>0</v>
      </c>
      <c r="P92" s="64">
        <v>0.45</v>
      </c>
      <c r="Q92" s="64">
        <v>9.61</v>
      </c>
      <c r="R92" s="198"/>
      <c r="S92" s="198"/>
      <c r="T92" s="198"/>
      <c r="U92" s="198"/>
    </row>
    <row r="93" spans="1:26" s="12" customFormat="1" x14ac:dyDescent="0.25">
      <c r="A93" s="212" t="s">
        <v>1867</v>
      </c>
      <c r="B93" s="64">
        <v>9.56</v>
      </c>
      <c r="C93" s="64">
        <v>8.41</v>
      </c>
      <c r="D93" s="64">
        <v>12.06</v>
      </c>
      <c r="E93" s="64">
        <v>4.21</v>
      </c>
      <c r="F93" s="64">
        <v>2.21</v>
      </c>
      <c r="G93" s="64">
        <v>18.61</v>
      </c>
      <c r="H93" s="64">
        <v>12.04</v>
      </c>
      <c r="I93" s="64">
        <v>1.1000000000000001</v>
      </c>
      <c r="J93" s="64">
        <v>0.19</v>
      </c>
      <c r="K93" s="64">
        <v>129.49</v>
      </c>
      <c r="L93" s="64">
        <v>23.58</v>
      </c>
      <c r="M93" s="64">
        <v>98.05</v>
      </c>
      <c r="N93" s="64">
        <v>45.1</v>
      </c>
      <c r="O93" s="64">
        <v>0</v>
      </c>
      <c r="P93" s="64">
        <v>0.45</v>
      </c>
      <c r="Q93" s="64">
        <v>9.59</v>
      </c>
      <c r="R93" s="198"/>
      <c r="S93" s="198"/>
      <c r="T93" s="198"/>
      <c r="U93" s="198"/>
    </row>
    <row r="94" spans="1:26" s="12" customFormat="1" x14ac:dyDescent="0.25">
      <c r="A94" s="212" t="s">
        <v>1868</v>
      </c>
      <c r="B94" s="64">
        <v>9.93</v>
      </c>
      <c r="C94" s="64">
        <v>8.73</v>
      </c>
      <c r="D94" s="64">
        <v>12.53</v>
      </c>
      <c r="E94" s="64">
        <v>4.47</v>
      </c>
      <c r="F94" s="64">
        <v>2.2400000000000002</v>
      </c>
      <c r="G94" s="64">
        <v>18.61</v>
      </c>
      <c r="H94" s="64">
        <v>12.04</v>
      </c>
      <c r="I94" s="64">
        <v>1.08</v>
      </c>
      <c r="J94" s="64">
        <v>0.11</v>
      </c>
      <c r="K94" s="64">
        <v>323.72000000000003</v>
      </c>
      <c r="L94" s="64">
        <v>23.55</v>
      </c>
      <c r="M94" s="64">
        <v>98.07</v>
      </c>
      <c r="N94" s="64">
        <v>44.6</v>
      </c>
      <c r="O94" s="64">
        <v>0</v>
      </c>
      <c r="P94" s="64">
        <v>0.47</v>
      </c>
      <c r="Q94" s="64">
        <v>9.58</v>
      </c>
      <c r="R94" s="198"/>
      <c r="S94" s="198"/>
      <c r="T94" s="198"/>
      <c r="U94" s="198"/>
    </row>
    <row r="95" spans="1:26" s="12" customFormat="1" x14ac:dyDescent="0.25">
      <c r="A95" s="212" t="s">
        <v>1869</v>
      </c>
      <c r="B95" s="64">
        <v>19.72</v>
      </c>
      <c r="C95" s="64">
        <v>11.03</v>
      </c>
      <c r="D95" s="64">
        <v>24.32</v>
      </c>
      <c r="E95" s="64">
        <v>0</v>
      </c>
      <c r="F95" s="64">
        <v>2.1800000000000002</v>
      </c>
      <c r="G95" s="64">
        <v>0</v>
      </c>
      <c r="H95" s="64">
        <v>0</v>
      </c>
      <c r="I95" s="64">
        <v>0</v>
      </c>
      <c r="J95" s="64">
        <v>0.06</v>
      </c>
      <c r="K95" s="64">
        <v>21.73</v>
      </c>
      <c r="L95" s="64">
        <v>23.53</v>
      </c>
      <c r="M95" s="64">
        <v>98.03</v>
      </c>
      <c r="N95" s="64">
        <v>44.6</v>
      </c>
      <c r="O95" s="64">
        <v>0</v>
      </c>
      <c r="P95" s="64">
        <v>0.45</v>
      </c>
      <c r="Q95" s="64">
        <v>0</v>
      </c>
      <c r="R95" s="198"/>
      <c r="S95" s="198"/>
      <c r="T95" s="198"/>
      <c r="U95" s="198"/>
    </row>
    <row r="96" spans="1:26" s="12" customFormat="1" x14ac:dyDescent="0.25">
      <c r="A96" s="212" t="s">
        <v>1870</v>
      </c>
      <c r="B96" s="64">
        <v>12.56</v>
      </c>
      <c r="C96" s="64">
        <v>8.0399999999999991</v>
      </c>
      <c r="D96" s="64">
        <v>14.27</v>
      </c>
      <c r="E96" s="64">
        <v>4.09</v>
      </c>
      <c r="F96" s="64">
        <v>3.36</v>
      </c>
      <c r="G96" s="64">
        <v>0</v>
      </c>
      <c r="H96" s="64">
        <v>0</v>
      </c>
      <c r="I96" s="64">
        <v>0</v>
      </c>
      <c r="J96" s="64">
        <v>0.06</v>
      </c>
      <c r="K96" s="64">
        <v>79.2</v>
      </c>
      <c r="L96" s="64">
        <v>23.59</v>
      </c>
      <c r="M96" s="64">
        <v>98.04</v>
      </c>
      <c r="N96" s="64">
        <v>44.2</v>
      </c>
      <c r="O96" s="64">
        <v>0</v>
      </c>
      <c r="P96" s="64">
        <v>0.37</v>
      </c>
      <c r="Q96" s="64">
        <v>0</v>
      </c>
      <c r="R96" s="198"/>
      <c r="S96" s="198"/>
      <c r="T96" s="198"/>
      <c r="U96" s="198"/>
      <c r="Z96" s="109"/>
    </row>
    <row r="97" spans="1:33" s="12" customFormat="1" x14ac:dyDescent="0.25">
      <c r="A97" s="212" t="s">
        <v>1871</v>
      </c>
      <c r="B97" s="64">
        <v>15.72</v>
      </c>
      <c r="C97" s="64">
        <v>9.36</v>
      </c>
      <c r="D97" s="64">
        <v>17.5</v>
      </c>
      <c r="E97" s="64">
        <v>3.04</v>
      </c>
      <c r="F97" s="64">
        <v>2.4</v>
      </c>
      <c r="G97" s="64">
        <v>0</v>
      </c>
      <c r="H97" s="64">
        <v>0</v>
      </c>
      <c r="I97" s="64">
        <v>1.0900000000000001</v>
      </c>
      <c r="J97" s="64">
        <v>0.08</v>
      </c>
      <c r="K97" s="64">
        <v>99.51</v>
      </c>
      <c r="L97" s="64">
        <v>23.67</v>
      </c>
      <c r="M97" s="64">
        <v>98.03</v>
      </c>
      <c r="N97" s="64">
        <v>44.7</v>
      </c>
      <c r="O97" s="64">
        <v>0</v>
      </c>
      <c r="P97" s="64">
        <v>0.43</v>
      </c>
      <c r="Q97" s="64">
        <v>9.58</v>
      </c>
      <c r="R97" s="198"/>
      <c r="S97" s="198"/>
      <c r="T97" s="198"/>
      <c r="U97" s="198"/>
    </row>
    <row r="98" spans="1:33" s="12" customFormat="1" x14ac:dyDescent="0.25">
      <c r="A98" s="212" t="s">
        <v>1872</v>
      </c>
      <c r="B98" s="64">
        <v>19.8</v>
      </c>
      <c r="C98" s="64">
        <v>10.79</v>
      </c>
      <c r="D98" s="64">
        <v>21.51</v>
      </c>
      <c r="E98" s="64">
        <v>3.12</v>
      </c>
      <c r="F98" s="64">
        <v>3.74</v>
      </c>
      <c r="G98" s="64">
        <v>0</v>
      </c>
      <c r="H98" s="64">
        <v>0</v>
      </c>
      <c r="I98" s="64">
        <v>1.25</v>
      </c>
      <c r="J98" s="64">
        <v>0.02</v>
      </c>
      <c r="K98" s="64">
        <v>285.52999999999997</v>
      </c>
      <c r="L98" s="64">
        <v>23.72</v>
      </c>
      <c r="M98" s="64">
        <v>98.02</v>
      </c>
      <c r="N98" s="64">
        <v>44.6</v>
      </c>
      <c r="O98" s="64">
        <v>0</v>
      </c>
      <c r="P98" s="64">
        <v>0.4</v>
      </c>
      <c r="Q98" s="64">
        <v>9.6199999999999992</v>
      </c>
      <c r="R98" s="198"/>
      <c r="S98" s="198"/>
      <c r="T98" s="198"/>
      <c r="U98" s="198"/>
    </row>
    <row r="99" spans="1:33" s="12" customFormat="1" x14ac:dyDescent="0.25">
      <c r="A99" s="212" t="s">
        <v>1873</v>
      </c>
      <c r="B99" s="64">
        <v>19.5</v>
      </c>
      <c r="C99" s="64">
        <v>12.05</v>
      </c>
      <c r="D99" s="64">
        <v>21.89</v>
      </c>
      <c r="E99" s="64">
        <v>2.98</v>
      </c>
      <c r="F99" s="64">
        <v>3.96</v>
      </c>
      <c r="G99" s="64">
        <v>11.26</v>
      </c>
      <c r="H99" s="64">
        <v>6.05</v>
      </c>
      <c r="I99" s="64">
        <v>1.29</v>
      </c>
      <c r="J99" s="64">
        <v>0.02</v>
      </c>
      <c r="K99" s="64">
        <v>79.14</v>
      </c>
      <c r="L99" s="64">
        <v>23.71</v>
      </c>
      <c r="M99" s="64">
        <v>97.96</v>
      </c>
      <c r="N99" s="64">
        <v>44.7</v>
      </c>
      <c r="O99" s="64">
        <v>0</v>
      </c>
      <c r="P99" s="64">
        <v>0.43</v>
      </c>
      <c r="Q99" s="64">
        <v>9.6199999999999992</v>
      </c>
      <c r="R99" s="198"/>
      <c r="S99" s="198"/>
      <c r="T99" s="198"/>
      <c r="U99" s="198"/>
    </row>
    <row r="100" spans="1:33" s="12" customFormat="1" x14ac:dyDescent="0.25">
      <c r="A100" s="212" t="s">
        <v>1874</v>
      </c>
      <c r="B100" s="64">
        <v>24.83</v>
      </c>
      <c r="C100" s="64">
        <v>11.53</v>
      </c>
      <c r="D100" s="64">
        <v>25.89</v>
      </c>
      <c r="E100" s="64">
        <v>3.16</v>
      </c>
      <c r="F100" s="64">
        <v>4.0999999999999996</v>
      </c>
      <c r="G100" s="64">
        <v>12.21</v>
      </c>
      <c r="H100" s="64">
        <v>6.55</v>
      </c>
      <c r="I100" s="64">
        <v>1.3</v>
      </c>
      <c r="J100" s="64">
        <v>0.04</v>
      </c>
      <c r="K100" s="64">
        <v>175.62</v>
      </c>
      <c r="L100" s="64">
        <v>23.81</v>
      </c>
      <c r="M100" s="64">
        <v>97.95</v>
      </c>
      <c r="N100" s="64">
        <v>44.5</v>
      </c>
      <c r="O100" s="64">
        <v>0</v>
      </c>
      <c r="P100" s="64">
        <v>0.49</v>
      </c>
      <c r="Q100" s="64">
        <v>9.6199999999999992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2" t="s">
        <v>1875</v>
      </c>
      <c r="B101" s="64">
        <v>29.17</v>
      </c>
      <c r="C101" s="64">
        <v>9.85</v>
      </c>
      <c r="D101" s="64">
        <v>28.33</v>
      </c>
      <c r="E101" s="64">
        <v>2.87</v>
      </c>
      <c r="F101" s="64">
        <v>4.7300000000000004</v>
      </c>
      <c r="G101" s="64">
        <v>12.21</v>
      </c>
      <c r="H101" s="64">
        <v>6.55</v>
      </c>
      <c r="I101" s="64">
        <v>1.3</v>
      </c>
      <c r="J101" s="64">
        <v>0.13</v>
      </c>
      <c r="K101" s="64">
        <v>129.62</v>
      </c>
      <c r="L101" s="64">
        <v>23.85</v>
      </c>
      <c r="M101" s="64">
        <v>97.91</v>
      </c>
      <c r="N101" s="64">
        <v>44.8</v>
      </c>
      <c r="O101" s="64">
        <v>0</v>
      </c>
      <c r="P101" s="64">
        <v>0.34</v>
      </c>
      <c r="Q101" s="64">
        <v>9.61</v>
      </c>
      <c r="R101" s="198"/>
      <c r="S101" s="198"/>
      <c r="T101" s="198"/>
      <c r="U101" s="198"/>
    </row>
    <row r="102" spans="1:33" s="12" customFormat="1" x14ac:dyDescent="0.25">
      <c r="A102" s="212" t="s">
        <v>1876</v>
      </c>
      <c r="B102" s="64">
        <v>20.21</v>
      </c>
      <c r="C102" s="64">
        <v>12.14</v>
      </c>
      <c r="D102" s="64">
        <v>22.49</v>
      </c>
      <c r="E102" s="64">
        <v>2.88</v>
      </c>
      <c r="F102" s="64">
        <v>4.7</v>
      </c>
      <c r="G102" s="64">
        <v>12.21</v>
      </c>
      <c r="H102" s="64">
        <v>6.55</v>
      </c>
      <c r="I102" s="64">
        <v>1.22</v>
      </c>
      <c r="J102" s="64">
        <v>0.03</v>
      </c>
      <c r="K102" s="64">
        <v>319.02999999999997</v>
      </c>
      <c r="L102" s="64">
        <v>23.93</v>
      </c>
      <c r="M102" s="64">
        <v>97.92</v>
      </c>
      <c r="N102" s="64">
        <v>44.4</v>
      </c>
      <c r="O102" s="64">
        <v>0</v>
      </c>
      <c r="P102" s="64">
        <v>0.39</v>
      </c>
      <c r="Q102" s="64">
        <v>9.6199999999999992</v>
      </c>
      <c r="R102" s="198"/>
      <c r="S102" s="198"/>
      <c r="T102" s="198"/>
      <c r="U102" s="198"/>
    </row>
    <row r="103" spans="1:33" s="12" customFormat="1" x14ac:dyDescent="0.25">
      <c r="A103" s="212" t="s">
        <v>1877</v>
      </c>
      <c r="B103" s="64">
        <v>12.75</v>
      </c>
      <c r="C103" s="64">
        <v>10.78</v>
      </c>
      <c r="D103" s="64">
        <v>15.86</v>
      </c>
      <c r="E103" s="64">
        <v>3.3</v>
      </c>
      <c r="F103" s="64">
        <v>4.41</v>
      </c>
      <c r="G103" s="64">
        <v>13.96</v>
      </c>
      <c r="H103" s="64">
        <v>7.44</v>
      </c>
      <c r="I103" s="64">
        <v>1.1399999999999999</v>
      </c>
      <c r="J103" s="64">
        <v>0.05</v>
      </c>
      <c r="K103" s="64">
        <v>185.28</v>
      </c>
      <c r="L103" s="64">
        <v>23.9</v>
      </c>
      <c r="M103" s="64">
        <v>98.01</v>
      </c>
      <c r="N103" s="64">
        <v>44.5</v>
      </c>
      <c r="O103" s="64">
        <v>0</v>
      </c>
      <c r="P103" s="64">
        <v>0.38</v>
      </c>
      <c r="Q103" s="64">
        <v>9.6199999999999992</v>
      </c>
      <c r="R103" s="198"/>
      <c r="S103" s="198"/>
      <c r="T103" s="198"/>
      <c r="U103" s="198"/>
    </row>
    <row r="104" spans="1:33" s="12" customFormat="1" x14ac:dyDescent="0.25">
      <c r="A104" s="212" t="s">
        <v>1878</v>
      </c>
      <c r="B104" s="64">
        <v>7.46</v>
      </c>
      <c r="C104" s="64">
        <v>11.06</v>
      </c>
      <c r="D104" s="64">
        <v>11.76</v>
      </c>
      <c r="E104" s="64">
        <v>4.5199999999999996</v>
      </c>
      <c r="F104" s="64">
        <v>5.96</v>
      </c>
      <c r="G104" s="64">
        <v>14.1</v>
      </c>
      <c r="H104" s="64">
        <v>7.51</v>
      </c>
      <c r="I104" s="64">
        <v>1.1299999999999999</v>
      </c>
      <c r="J104" s="64">
        <v>0.01</v>
      </c>
      <c r="K104" s="64">
        <v>251.3</v>
      </c>
      <c r="L104" s="64">
        <v>23.89</v>
      </c>
      <c r="M104" s="64">
        <v>98.03</v>
      </c>
      <c r="N104" s="64">
        <v>44.3</v>
      </c>
      <c r="O104" s="64">
        <v>0</v>
      </c>
      <c r="P104" s="64">
        <v>0.27</v>
      </c>
      <c r="Q104" s="64">
        <v>9.6199999999999992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5.82</v>
      </c>
      <c r="C106" s="67">
        <f>MIN(C9:C104)</f>
        <v>5.7</v>
      </c>
      <c r="D106" s="67">
        <f t="shared" ref="D106:Q106" si="0">MIN(D9:D104)</f>
        <v>7.81</v>
      </c>
      <c r="E106" s="67">
        <f t="shared" si="0"/>
        <v>0</v>
      </c>
      <c r="F106" s="67">
        <f t="shared" si="0"/>
        <v>2.1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0.01</v>
      </c>
      <c r="K106" s="67">
        <f t="shared" si="0"/>
        <v>1.79</v>
      </c>
      <c r="L106" s="67">
        <f t="shared" si="0"/>
        <v>22.36</v>
      </c>
      <c r="M106" s="67">
        <f t="shared" si="0"/>
        <v>74.349999999999994</v>
      </c>
      <c r="N106" s="67">
        <f t="shared" si="0"/>
        <v>44.2</v>
      </c>
      <c r="O106" s="67">
        <f t="shared" si="0"/>
        <v>0</v>
      </c>
      <c r="P106" s="67">
        <f t="shared" si="0"/>
        <v>0.17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29.17</v>
      </c>
      <c r="C107" s="66">
        <f t="shared" ref="C107:Q107" si="1">MAX(C9:C104)</f>
        <v>13.37</v>
      </c>
      <c r="D107" s="66">
        <f t="shared" si="1"/>
        <v>28.33</v>
      </c>
      <c r="E107" s="66">
        <f t="shared" si="1"/>
        <v>5.08</v>
      </c>
      <c r="F107" s="66">
        <f t="shared" si="1"/>
        <v>16.47</v>
      </c>
      <c r="G107" s="66">
        <f t="shared" si="1"/>
        <v>26.24</v>
      </c>
      <c r="H107" s="66">
        <f t="shared" si="1"/>
        <v>17.32</v>
      </c>
      <c r="I107" s="66">
        <f t="shared" si="1"/>
        <v>1.65</v>
      </c>
      <c r="J107" s="66">
        <f t="shared" si="1"/>
        <v>2.16</v>
      </c>
      <c r="K107" s="66">
        <f t="shared" si="1"/>
        <v>350.65</v>
      </c>
      <c r="L107" s="66">
        <f t="shared" si="1"/>
        <v>30.31</v>
      </c>
      <c r="M107" s="66">
        <f t="shared" si="1"/>
        <v>98.08</v>
      </c>
      <c r="N107" s="66">
        <f t="shared" si="1"/>
        <v>1051.7</v>
      </c>
      <c r="O107" s="66">
        <f t="shared" si="1"/>
        <v>0.2</v>
      </c>
      <c r="P107" s="66">
        <f t="shared" si="1"/>
        <v>0.71</v>
      </c>
      <c r="Q107" s="66">
        <f t="shared" si="1"/>
        <v>9.66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9.2294791666666658</v>
      </c>
      <c r="C108" s="67">
        <f t="shared" ref="C108:Q108" si="2">AVERAGE(C9:C104)</f>
        <v>8.4270833333333339</v>
      </c>
      <c r="D108" s="67">
        <f t="shared" si="2"/>
        <v>11.826041666666663</v>
      </c>
      <c r="E108" s="67">
        <f t="shared" si="2"/>
        <v>4.4448958333333337</v>
      </c>
      <c r="F108" s="67">
        <f t="shared" si="2"/>
        <v>7.3181250000000011</v>
      </c>
      <c r="G108" s="67">
        <f t="shared" si="2"/>
        <v>12.11864583333333</v>
      </c>
      <c r="H108" s="67">
        <f t="shared" si="2"/>
        <v>5.2672916666666696</v>
      </c>
      <c r="I108" s="67">
        <f t="shared" si="2"/>
        <v>1.0834374999999998</v>
      </c>
      <c r="J108" s="67">
        <f t="shared" si="2"/>
        <v>0.50645833333333334</v>
      </c>
      <c r="K108" s="67">
        <f t="shared" si="2"/>
        <v>147.48479166666672</v>
      </c>
      <c r="L108" s="67">
        <f t="shared" si="2"/>
        <v>25.829687500000009</v>
      </c>
      <c r="M108" s="67">
        <f t="shared" si="2"/>
        <v>92.224583333333342</v>
      </c>
      <c r="N108" s="67">
        <f t="shared" si="2"/>
        <v>202.38958333333326</v>
      </c>
      <c r="O108" s="67">
        <f t="shared" si="2"/>
        <v>2.0833333333333333E-3</v>
      </c>
      <c r="P108" s="67">
        <f t="shared" si="2"/>
        <v>0.3334375</v>
      </c>
      <c r="Q108" s="67">
        <f t="shared" si="2"/>
        <v>9.4257291666666685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3.9969289183708052</v>
      </c>
      <c r="C109" s="67">
        <f t="shared" ref="C109:Q109" si="3">STDEV(C9:C104)</f>
        <v>2.0810644627799584</v>
      </c>
      <c r="D109" s="67">
        <f t="shared" si="3"/>
        <v>3.9137513244743385</v>
      </c>
      <c r="E109" s="67">
        <f t="shared" si="3"/>
        <v>0.64969627688095755</v>
      </c>
      <c r="F109" s="67">
        <f t="shared" si="3"/>
        <v>3.5839485171642989</v>
      </c>
      <c r="G109" s="67">
        <f t="shared" si="3"/>
        <v>6.3530951627478345</v>
      </c>
      <c r="H109" s="67">
        <f t="shared" si="3"/>
        <v>4.2803481115605919</v>
      </c>
      <c r="I109" s="67">
        <f t="shared" si="3"/>
        <v>0.24664838866609307</v>
      </c>
      <c r="J109" s="67">
        <f t="shared" si="3"/>
        <v>0.43599125816119549</v>
      </c>
      <c r="K109" s="67">
        <f t="shared" si="3"/>
        <v>68.693979909054605</v>
      </c>
      <c r="L109" s="67">
        <f t="shared" si="3"/>
        <v>2.7515582008917332</v>
      </c>
      <c r="M109" s="67">
        <f t="shared" si="3"/>
        <v>7.8041130743469491</v>
      </c>
      <c r="N109" s="67">
        <f t="shared" si="3"/>
        <v>254.25947272284321</v>
      </c>
      <c r="O109" s="67">
        <f t="shared" si="3"/>
        <v>2.0412414523193152E-2</v>
      </c>
      <c r="P109" s="67">
        <f t="shared" si="3"/>
        <v>0.11242614534837907</v>
      </c>
      <c r="Q109" s="67">
        <f t="shared" si="3"/>
        <v>1.3821697243572255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216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7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3" sqref="I11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18/08/2025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2" t="s">
        <v>1879</v>
      </c>
      <c r="B9" s="64">
        <v>10.28</v>
      </c>
      <c r="C9" s="64">
        <v>9.8699999999999992</v>
      </c>
      <c r="D9" s="64">
        <v>13.4</v>
      </c>
      <c r="E9" s="64">
        <v>4.66</v>
      </c>
      <c r="F9" s="64">
        <v>5.08</v>
      </c>
      <c r="G9" s="64">
        <v>14.1</v>
      </c>
      <c r="H9" s="64">
        <v>7.51</v>
      </c>
      <c r="I9" s="64">
        <v>1.1399999999999999</v>
      </c>
      <c r="J9" s="64">
        <v>0.04</v>
      </c>
      <c r="K9" s="64">
        <v>199.72</v>
      </c>
      <c r="L9" s="64">
        <v>23.85</v>
      </c>
      <c r="M9" s="64">
        <v>98.03</v>
      </c>
      <c r="N9" s="64">
        <v>44.4</v>
      </c>
      <c r="O9" s="64">
        <v>0</v>
      </c>
      <c r="P9" s="64">
        <v>0.28999999999999998</v>
      </c>
      <c r="Q9" s="64">
        <v>9.6300000000000008</v>
      </c>
      <c r="R9" s="198"/>
      <c r="S9" s="198"/>
      <c r="T9" s="198"/>
      <c r="U9" s="198"/>
    </row>
    <row r="10" spans="1:21" s="12" customFormat="1" x14ac:dyDescent="0.25">
      <c r="A10" s="212" t="s">
        <v>1880</v>
      </c>
      <c r="B10" s="64">
        <v>14.99</v>
      </c>
      <c r="C10" s="64">
        <v>11.03</v>
      </c>
      <c r="D10" s="64">
        <v>17.79</v>
      </c>
      <c r="E10" s="64">
        <v>4.57</v>
      </c>
      <c r="F10" s="64">
        <v>5.64</v>
      </c>
      <c r="G10" s="64">
        <v>14.1</v>
      </c>
      <c r="H10" s="64">
        <v>7.51</v>
      </c>
      <c r="I10" s="64">
        <v>1.1399999999999999</v>
      </c>
      <c r="J10" s="64">
        <v>0.11</v>
      </c>
      <c r="K10" s="64">
        <v>311.60000000000002</v>
      </c>
      <c r="L10" s="64">
        <v>23.89</v>
      </c>
      <c r="M10" s="64">
        <v>98.03</v>
      </c>
      <c r="N10" s="64">
        <v>44.1</v>
      </c>
      <c r="O10" s="64">
        <v>0</v>
      </c>
      <c r="P10" s="64">
        <v>0.3</v>
      </c>
      <c r="Q10" s="64">
        <v>9.64</v>
      </c>
      <c r="R10" s="198"/>
      <c r="S10" s="198"/>
      <c r="T10" s="198"/>
      <c r="U10" s="198"/>
    </row>
    <row r="11" spans="1:21" s="12" customFormat="1" x14ac:dyDescent="0.25">
      <c r="A11" s="212" t="s">
        <v>1881</v>
      </c>
      <c r="B11" s="64">
        <v>9.59</v>
      </c>
      <c r="C11" s="64">
        <v>8.91</v>
      </c>
      <c r="D11" s="64">
        <v>12.35</v>
      </c>
      <c r="E11" s="64">
        <v>4.55</v>
      </c>
      <c r="F11" s="64">
        <v>6.3</v>
      </c>
      <c r="G11" s="64">
        <v>16.8</v>
      </c>
      <c r="H11" s="64">
        <v>5.81</v>
      </c>
      <c r="I11" s="64">
        <v>1.1399999999999999</v>
      </c>
      <c r="J11" s="64">
        <v>0.03</v>
      </c>
      <c r="K11" s="64">
        <v>235.22</v>
      </c>
      <c r="L11" s="64">
        <v>23.88</v>
      </c>
      <c r="M11" s="64">
        <v>98.02</v>
      </c>
      <c r="N11" s="64">
        <v>44.3</v>
      </c>
      <c r="O11" s="64">
        <v>0</v>
      </c>
      <c r="P11" s="64">
        <v>0.24</v>
      </c>
      <c r="Q11" s="64">
        <v>9.6300000000000008</v>
      </c>
      <c r="R11" s="198"/>
      <c r="S11" s="198"/>
      <c r="T11" s="198"/>
      <c r="U11" s="198"/>
    </row>
    <row r="12" spans="1:21" s="12" customFormat="1" x14ac:dyDescent="0.25">
      <c r="A12" s="212" t="s">
        <v>1882</v>
      </c>
      <c r="B12" s="64">
        <v>10.23</v>
      </c>
      <c r="C12" s="64">
        <v>6.77</v>
      </c>
      <c r="D12" s="64">
        <v>11.74</v>
      </c>
      <c r="E12" s="64">
        <v>4.6500000000000004</v>
      </c>
      <c r="F12" s="64">
        <v>6.22</v>
      </c>
      <c r="G12" s="64">
        <v>17.02</v>
      </c>
      <c r="H12" s="64">
        <v>5.67</v>
      </c>
      <c r="I12" s="64">
        <v>1.1399999999999999</v>
      </c>
      <c r="J12" s="64">
        <v>0.04</v>
      </c>
      <c r="K12" s="64">
        <v>270.07</v>
      </c>
      <c r="L12" s="64">
        <v>23.85</v>
      </c>
      <c r="M12" s="64">
        <v>98.03</v>
      </c>
      <c r="N12" s="64">
        <v>44.1</v>
      </c>
      <c r="O12" s="64">
        <v>0</v>
      </c>
      <c r="P12" s="64">
        <v>0.24</v>
      </c>
      <c r="Q12" s="64">
        <v>9.6199999999999992</v>
      </c>
      <c r="R12" s="198"/>
      <c r="S12" s="198"/>
      <c r="T12" s="198"/>
      <c r="U12" s="198"/>
    </row>
    <row r="13" spans="1:21" s="12" customFormat="1" x14ac:dyDescent="0.25">
      <c r="A13" s="212" t="s">
        <v>1883</v>
      </c>
      <c r="B13" s="64">
        <v>10.6</v>
      </c>
      <c r="C13" s="64">
        <v>6.41</v>
      </c>
      <c r="D13" s="64">
        <v>11.85</v>
      </c>
      <c r="E13" s="64">
        <v>4.59</v>
      </c>
      <c r="F13" s="64">
        <v>6.76</v>
      </c>
      <c r="G13" s="64">
        <v>17.02</v>
      </c>
      <c r="H13" s="64">
        <v>5.67</v>
      </c>
      <c r="I13" s="64">
        <v>1.23</v>
      </c>
      <c r="J13" s="64">
        <v>0.48</v>
      </c>
      <c r="K13" s="64">
        <v>337.1</v>
      </c>
      <c r="L13" s="64">
        <v>23.84</v>
      </c>
      <c r="M13" s="64">
        <v>98.03</v>
      </c>
      <c r="N13" s="64">
        <v>43.9</v>
      </c>
      <c r="O13" s="64">
        <v>0</v>
      </c>
      <c r="P13" s="64">
        <v>0.27</v>
      </c>
      <c r="Q13" s="64">
        <v>9.6300000000000008</v>
      </c>
      <c r="R13" s="198"/>
      <c r="S13" s="198"/>
      <c r="T13" s="198"/>
      <c r="U13" s="198"/>
    </row>
    <row r="14" spans="1:21" s="12" customFormat="1" x14ac:dyDescent="0.25">
      <c r="A14" s="212" t="s">
        <v>1884</v>
      </c>
      <c r="B14" s="64">
        <v>10.01</v>
      </c>
      <c r="C14" s="64">
        <v>6.22</v>
      </c>
      <c r="D14" s="64">
        <v>11.28</v>
      </c>
      <c r="E14" s="64">
        <v>4.87</v>
      </c>
      <c r="F14" s="64">
        <v>7.12</v>
      </c>
      <c r="G14" s="64">
        <v>17.02</v>
      </c>
      <c r="H14" s="64">
        <v>5.67</v>
      </c>
      <c r="I14" s="64">
        <v>1.22</v>
      </c>
      <c r="J14" s="64">
        <v>0.73</v>
      </c>
      <c r="K14" s="64">
        <v>339.83</v>
      </c>
      <c r="L14" s="64">
        <v>23.77</v>
      </c>
      <c r="M14" s="64">
        <v>98.03</v>
      </c>
      <c r="N14" s="64">
        <v>44</v>
      </c>
      <c r="O14" s="64">
        <v>0</v>
      </c>
      <c r="P14" s="64">
        <v>0.3</v>
      </c>
      <c r="Q14" s="64">
        <v>9.64</v>
      </c>
      <c r="R14" s="198"/>
      <c r="S14" s="198"/>
      <c r="T14" s="198"/>
      <c r="U14" s="198"/>
    </row>
    <row r="15" spans="1:21" s="12" customFormat="1" x14ac:dyDescent="0.25">
      <c r="A15" s="212" t="s">
        <v>1885</v>
      </c>
      <c r="B15" s="64">
        <v>9.58</v>
      </c>
      <c r="C15" s="64">
        <v>6.09</v>
      </c>
      <c r="D15" s="64">
        <v>10.87</v>
      </c>
      <c r="E15" s="64">
        <v>4.7</v>
      </c>
      <c r="F15" s="64">
        <v>7.3</v>
      </c>
      <c r="G15" s="64">
        <v>16.57</v>
      </c>
      <c r="H15" s="64">
        <v>4.29</v>
      </c>
      <c r="I15" s="64">
        <v>1.22</v>
      </c>
      <c r="J15" s="64">
        <v>0.37</v>
      </c>
      <c r="K15" s="64">
        <v>338.06</v>
      </c>
      <c r="L15" s="64">
        <v>23.7</v>
      </c>
      <c r="M15" s="64">
        <v>98.03</v>
      </c>
      <c r="N15" s="64">
        <v>44</v>
      </c>
      <c r="O15" s="64">
        <v>0</v>
      </c>
      <c r="P15" s="64">
        <v>0.27</v>
      </c>
      <c r="Q15" s="64">
        <v>9.65</v>
      </c>
      <c r="R15" s="198"/>
      <c r="S15" s="198"/>
      <c r="T15" s="198"/>
      <c r="U15" s="198"/>
    </row>
    <row r="16" spans="1:21" s="12" customFormat="1" x14ac:dyDescent="0.25">
      <c r="A16" s="212" t="s">
        <v>1886</v>
      </c>
      <c r="B16" s="64">
        <v>9.16</v>
      </c>
      <c r="C16" s="64">
        <v>6.12</v>
      </c>
      <c r="D16" s="64">
        <v>10.54</v>
      </c>
      <c r="E16" s="64">
        <v>4.68</v>
      </c>
      <c r="F16" s="64">
        <v>6.99</v>
      </c>
      <c r="G16" s="64">
        <v>16.53</v>
      </c>
      <c r="H16" s="64">
        <v>4.17</v>
      </c>
      <c r="I16" s="64">
        <v>1.28</v>
      </c>
      <c r="J16" s="64">
        <v>0.32</v>
      </c>
      <c r="K16" s="64">
        <v>343.63</v>
      </c>
      <c r="L16" s="64">
        <v>23.71</v>
      </c>
      <c r="M16" s="64">
        <v>98.03</v>
      </c>
      <c r="N16" s="64">
        <v>43.8</v>
      </c>
      <c r="O16" s="64">
        <v>0</v>
      </c>
      <c r="P16" s="64">
        <v>0.23</v>
      </c>
      <c r="Q16" s="64">
        <v>9.65</v>
      </c>
      <c r="R16" s="198"/>
      <c r="S16" s="198"/>
      <c r="T16" s="198"/>
      <c r="U16" s="198"/>
    </row>
    <row r="17" spans="1:21" s="12" customFormat="1" x14ac:dyDescent="0.25">
      <c r="A17" s="212" t="s">
        <v>1887</v>
      </c>
      <c r="B17" s="64">
        <v>9.89</v>
      </c>
      <c r="C17" s="64">
        <v>6.25</v>
      </c>
      <c r="D17" s="64">
        <v>11.19</v>
      </c>
      <c r="E17" s="64">
        <v>4.3499999999999996</v>
      </c>
      <c r="F17" s="64">
        <v>4.99</v>
      </c>
      <c r="G17" s="64">
        <v>16.53</v>
      </c>
      <c r="H17" s="64">
        <v>4.17</v>
      </c>
      <c r="I17" s="64">
        <v>1.27</v>
      </c>
      <c r="J17" s="64">
        <v>0.43</v>
      </c>
      <c r="K17" s="64">
        <v>341.04</v>
      </c>
      <c r="L17" s="64">
        <v>23.68</v>
      </c>
      <c r="M17" s="64">
        <v>98.04</v>
      </c>
      <c r="N17" s="64">
        <v>43.8</v>
      </c>
      <c r="O17" s="64">
        <v>0</v>
      </c>
      <c r="P17" s="64">
        <v>0.3</v>
      </c>
      <c r="Q17" s="64">
        <v>9.6300000000000008</v>
      </c>
      <c r="R17" s="198"/>
      <c r="S17" s="198"/>
      <c r="T17" s="198"/>
      <c r="U17" s="198"/>
    </row>
    <row r="18" spans="1:21" s="12" customFormat="1" x14ac:dyDescent="0.25">
      <c r="A18" s="212" t="s">
        <v>1888</v>
      </c>
      <c r="B18" s="64">
        <v>9.2899999999999991</v>
      </c>
      <c r="C18" s="64">
        <v>7.26</v>
      </c>
      <c r="D18" s="64">
        <v>11.24</v>
      </c>
      <c r="E18" s="64">
        <v>4.7300000000000004</v>
      </c>
      <c r="F18" s="64">
        <v>5.58</v>
      </c>
      <c r="G18" s="64">
        <v>16.53</v>
      </c>
      <c r="H18" s="64">
        <v>4.17</v>
      </c>
      <c r="I18" s="64">
        <v>1.26</v>
      </c>
      <c r="J18" s="64">
        <v>0.45</v>
      </c>
      <c r="K18" s="64">
        <v>340.63</v>
      </c>
      <c r="L18" s="64">
        <v>23.7</v>
      </c>
      <c r="M18" s="64">
        <v>98.05</v>
      </c>
      <c r="N18" s="64">
        <v>43.8</v>
      </c>
      <c r="O18" s="64">
        <v>0</v>
      </c>
      <c r="P18" s="64">
        <v>0.23</v>
      </c>
      <c r="Q18" s="64">
        <v>9.6300000000000008</v>
      </c>
      <c r="R18" s="198"/>
      <c r="S18" s="198"/>
      <c r="T18" s="198"/>
      <c r="U18" s="198"/>
    </row>
    <row r="19" spans="1:21" s="12" customFormat="1" x14ac:dyDescent="0.25">
      <c r="A19" s="212" t="s">
        <v>1889</v>
      </c>
      <c r="B19" s="64">
        <v>13.24</v>
      </c>
      <c r="C19" s="64">
        <v>5.74</v>
      </c>
      <c r="D19" s="64">
        <v>13.6</v>
      </c>
      <c r="E19" s="64">
        <v>4.74</v>
      </c>
      <c r="F19" s="64">
        <v>4.68</v>
      </c>
      <c r="G19" s="64">
        <v>15.46</v>
      </c>
      <c r="H19" s="64">
        <v>3.2</v>
      </c>
      <c r="I19" s="64">
        <v>1.23</v>
      </c>
      <c r="J19" s="64">
        <v>0.45</v>
      </c>
      <c r="K19" s="64">
        <v>341.99</v>
      </c>
      <c r="L19" s="64">
        <v>23.71</v>
      </c>
      <c r="M19" s="64">
        <v>98.04</v>
      </c>
      <c r="N19" s="64">
        <v>43.8</v>
      </c>
      <c r="O19" s="64">
        <v>0</v>
      </c>
      <c r="P19" s="64">
        <v>0.28000000000000003</v>
      </c>
      <c r="Q19" s="64">
        <v>9.64</v>
      </c>
      <c r="R19" s="198"/>
      <c r="S19" s="198"/>
      <c r="T19" s="198"/>
      <c r="U19" s="198"/>
    </row>
    <row r="20" spans="1:21" s="12" customFormat="1" x14ac:dyDescent="0.25">
      <c r="A20" s="212" t="s">
        <v>1890</v>
      </c>
      <c r="B20" s="64">
        <v>9.4700000000000006</v>
      </c>
      <c r="C20" s="64">
        <v>7.08</v>
      </c>
      <c r="D20" s="64">
        <v>11.3</v>
      </c>
      <c r="E20" s="64">
        <v>4.78</v>
      </c>
      <c r="F20" s="64">
        <v>5.18</v>
      </c>
      <c r="G20" s="64">
        <v>15.37</v>
      </c>
      <c r="H20" s="64">
        <v>3.12</v>
      </c>
      <c r="I20" s="64">
        <v>1.1200000000000001</v>
      </c>
      <c r="J20" s="64">
        <v>0.39</v>
      </c>
      <c r="K20" s="64">
        <v>339.27</v>
      </c>
      <c r="L20" s="64">
        <v>23.68</v>
      </c>
      <c r="M20" s="64">
        <v>98.05</v>
      </c>
      <c r="N20" s="64">
        <v>43.8</v>
      </c>
      <c r="O20" s="64">
        <v>0</v>
      </c>
      <c r="P20" s="64">
        <v>0.26</v>
      </c>
      <c r="Q20" s="64">
        <v>9.64</v>
      </c>
      <c r="R20" s="198"/>
      <c r="S20" s="198"/>
      <c r="T20" s="198"/>
      <c r="U20" s="198"/>
    </row>
    <row r="21" spans="1:21" s="12" customFormat="1" x14ac:dyDescent="0.25">
      <c r="A21" s="212" t="s">
        <v>1891</v>
      </c>
      <c r="B21" s="64">
        <v>9.2100000000000009</v>
      </c>
      <c r="C21" s="64">
        <v>6.72</v>
      </c>
      <c r="D21" s="64">
        <v>10.9</v>
      </c>
      <c r="E21" s="64">
        <v>4.47</v>
      </c>
      <c r="F21" s="64">
        <v>5.0599999999999996</v>
      </c>
      <c r="G21" s="64">
        <v>15.37</v>
      </c>
      <c r="H21" s="64">
        <v>3.12</v>
      </c>
      <c r="I21" s="64">
        <v>1.1100000000000001</v>
      </c>
      <c r="J21" s="64">
        <v>0.17</v>
      </c>
      <c r="K21" s="64">
        <v>325.8</v>
      </c>
      <c r="L21" s="64">
        <v>23.7</v>
      </c>
      <c r="M21" s="64">
        <v>98.05</v>
      </c>
      <c r="N21" s="64">
        <v>43.8</v>
      </c>
      <c r="O21" s="64">
        <v>0</v>
      </c>
      <c r="P21" s="64">
        <v>0.27</v>
      </c>
      <c r="Q21" s="64">
        <v>9.6300000000000008</v>
      </c>
      <c r="R21" s="198"/>
      <c r="S21" s="198"/>
      <c r="T21" s="198"/>
      <c r="U21" s="198"/>
    </row>
    <row r="22" spans="1:21" s="12" customFormat="1" x14ac:dyDescent="0.25">
      <c r="A22" s="212" t="s">
        <v>1892</v>
      </c>
      <c r="B22" s="64">
        <v>8.44</v>
      </c>
      <c r="C22" s="64">
        <v>6.99</v>
      </c>
      <c r="D22" s="64">
        <v>10.42</v>
      </c>
      <c r="E22" s="64">
        <v>4.3899999999999997</v>
      </c>
      <c r="F22" s="64">
        <v>4.9800000000000004</v>
      </c>
      <c r="G22" s="64">
        <v>15.37</v>
      </c>
      <c r="H22" s="64">
        <v>3.12</v>
      </c>
      <c r="I22" s="64">
        <v>1.1599999999999999</v>
      </c>
      <c r="J22" s="64">
        <v>0.28999999999999998</v>
      </c>
      <c r="K22" s="64">
        <v>335.39</v>
      </c>
      <c r="L22" s="64">
        <v>23.77</v>
      </c>
      <c r="M22" s="64">
        <v>98.05</v>
      </c>
      <c r="N22" s="64">
        <v>43.9</v>
      </c>
      <c r="O22" s="64">
        <v>0</v>
      </c>
      <c r="P22" s="64">
        <v>0.25</v>
      </c>
      <c r="Q22" s="64">
        <v>9.65</v>
      </c>
      <c r="R22" s="198"/>
      <c r="S22" s="198"/>
      <c r="T22" s="198"/>
      <c r="U22" s="198"/>
    </row>
    <row r="23" spans="1:21" s="12" customFormat="1" x14ac:dyDescent="0.25">
      <c r="A23" s="212" t="s">
        <v>1893</v>
      </c>
      <c r="B23" s="64">
        <v>8.7899999999999991</v>
      </c>
      <c r="C23" s="64">
        <v>7.74</v>
      </c>
      <c r="D23" s="64">
        <v>11.09</v>
      </c>
      <c r="E23" s="64">
        <v>4.26</v>
      </c>
      <c r="F23" s="64">
        <v>4.01</v>
      </c>
      <c r="G23" s="64">
        <v>14.38</v>
      </c>
      <c r="H23" s="64">
        <v>2.5099999999999998</v>
      </c>
      <c r="I23" s="64">
        <v>1.1499999999999999</v>
      </c>
      <c r="J23" s="64">
        <v>0.52</v>
      </c>
      <c r="K23" s="64">
        <v>339</v>
      </c>
      <c r="L23" s="64">
        <v>23.66</v>
      </c>
      <c r="M23" s="64">
        <v>98.06</v>
      </c>
      <c r="N23" s="64">
        <v>43.8</v>
      </c>
      <c r="O23" s="64">
        <v>0</v>
      </c>
      <c r="P23" s="64">
        <v>0.31</v>
      </c>
      <c r="Q23" s="64">
        <v>9.64</v>
      </c>
      <c r="R23" s="198"/>
      <c r="S23" s="198"/>
      <c r="T23" s="198"/>
      <c r="U23" s="198"/>
    </row>
    <row r="24" spans="1:21" s="12" customFormat="1" x14ac:dyDescent="0.25">
      <c r="A24" s="212" t="s">
        <v>1894</v>
      </c>
      <c r="B24" s="64">
        <v>11.91</v>
      </c>
      <c r="C24" s="64">
        <v>7.26</v>
      </c>
      <c r="D24" s="64">
        <v>13.35</v>
      </c>
      <c r="E24" s="64">
        <v>4.4000000000000004</v>
      </c>
      <c r="F24" s="64">
        <v>3.38</v>
      </c>
      <c r="G24" s="64">
        <v>14.3</v>
      </c>
      <c r="H24" s="64">
        <v>2.46</v>
      </c>
      <c r="I24" s="64">
        <v>1.1399999999999999</v>
      </c>
      <c r="J24" s="64">
        <v>0.11</v>
      </c>
      <c r="K24" s="64">
        <v>349.55</v>
      </c>
      <c r="L24" s="64">
        <v>23.6</v>
      </c>
      <c r="M24" s="64">
        <v>98.08</v>
      </c>
      <c r="N24" s="64">
        <v>43.8</v>
      </c>
      <c r="O24" s="64">
        <v>0</v>
      </c>
      <c r="P24" s="64">
        <v>0.33</v>
      </c>
      <c r="Q24" s="64">
        <v>9.64</v>
      </c>
      <c r="R24" s="198"/>
      <c r="S24" s="198"/>
      <c r="T24" s="198"/>
      <c r="U24" s="198"/>
    </row>
    <row r="25" spans="1:21" s="12" customFormat="1" x14ac:dyDescent="0.25">
      <c r="A25" s="212" t="s">
        <v>1895</v>
      </c>
      <c r="B25" s="64">
        <v>11.21</v>
      </c>
      <c r="C25" s="64">
        <v>9.0299999999999994</v>
      </c>
      <c r="D25" s="64">
        <v>13.71</v>
      </c>
      <c r="E25" s="64">
        <v>4.5199999999999996</v>
      </c>
      <c r="F25" s="64">
        <v>4.1399999999999997</v>
      </c>
      <c r="G25" s="64">
        <v>14.3</v>
      </c>
      <c r="H25" s="64">
        <v>2.46</v>
      </c>
      <c r="I25" s="64">
        <v>1.1299999999999999</v>
      </c>
      <c r="J25" s="64">
        <v>0.02</v>
      </c>
      <c r="K25" s="64">
        <v>125.61</v>
      </c>
      <c r="L25" s="64">
        <v>23.55</v>
      </c>
      <c r="M25" s="64">
        <v>98.08</v>
      </c>
      <c r="N25" s="64">
        <v>43.8</v>
      </c>
      <c r="O25" s="64">
        <v>0</v>
      </c>
      <c r="P25" s="64">
        <v>0.28000000000000003</v>
      </c>
      <c r="Q25" s="64">
        <v>9.64</v>
      </c>
      <c r="R25" s="198"/>
      <c r="S25" s="198"/>
      <c r="T25" s="198"/>
      <c r="U25" s="198"/>
    </row>
    <row r="26" spans="1:21" s="12" customFormat="1" x14ac:dyDescent="0.25">
      <c r="A26" s="212" t="s">
        <v>1896</v>
      </c>
      <c r="B26" s="64">
        <v>12.24</v>
      </c>
      <c r="C26" s="64">
        <v>6.69</v>
      </c>
      <c r="D26" s="64">
        <v>13.26</v>
      </c>
      <c r="E26" s="64">
        <v>4.26</v>
      </c>
      <c r="F26" s="64">
        <v>3.74</v>
      </c>
      <c r="G26" s="64">
        <v>14.3</v>
      </c>
      <c r="H26" s="64">
        <v>2.46</v>
      </c>
      <c r="I26" s="64">
        <v>1.1499999999999999</v>
      </c>
      <c r="J26" s="64">
        <v>0.11</v>
      </c>
      <c r="K26" s="64">
        <v>336.83</v>
      </c>
      <c r="L26" s="64">
        <v>23.57</v>
      </c>
      <c r="M26" s="64">
        <v>98.08</v>
      </c>
      <c r="N26" s="64">
        <v>43.8</v>
      </c>
      <c r="O26" s="64">
        <v>0</v>
      </c>
      <c r="P26" s="64">
        <v>0.3</v>
      </c>
      <c r="Q26" s="64">
        <v>9.65</v>
      </c>
      <c r="R26" s="198"/>
      <c r="S26" s="198"/>
      <c r="T26" s="198"/>
      <c r="U26" s="198"/>
    </row>
    <row r="27" spans="1:21" s="12" customFormat="1" x14ac:dyDescent="0.25">
      <c r="A27" s="212" t="s">
        <v>1897</v>
      </c>
      <c r="B27" s="64">
        <v>13.21</v>
      </c>
      <c r="C27" s="64">
        <v>6.42</v>
      </c>
      <c r="D27" s="64">
        <v>13.79</v>
      </c>
      <c r="E27" s="64">
        <v>4.46</v>
      </c>
      <c r="F27" s="64">
        <v>4.8099999999999996</v>
      </c>
      <c r="G27" s="64">
        <v>17.63</v>
      </c>
      <c r="H27" s="64">
        <v>3.19</v>
      </c>
      <c r="I27" s="64">
        <v>1.1399999999999999</v>
      </c>
      <c r="J27" s="64">
        <v>0.14000000000000001</v>
      </c>
      <c r="K27" s="64">
        <v>329.4</v>
      </c>
      <c r="L27" s="64">
        <v>23.56</v>
      </c>
      <c r="M27" s="64">
        <v>98.08</v>
      </c>
      <c r="N27" s="64">
        <v>43.8</v>
      </c>
      <c r="O27" s="64">
        <v>0</v>
      </c>
      <c r="P27" s="64">
        <v>0.3</v>
      </c>
      <c r="Q27" s="64">
        <v>9.64</v>
      </c>
      <c r="R27" s="198"/>
      <c r="S27" s="198"/>
      <c r="T27" s="198"/>
      <c r="U27" s="198"/>
    </row>
    <row r="28" spans="1:21" s="12" customFormat="1" x14ac:dyDescent="0.25">
      <c r="A28" s="212" t="s">
        <v>1898</v>
      </c>
      <c r="B28" s="64">
        <v>12.78</v>
      </c>
      <c r="C28" s="64">
        <v>9.09</v>
      </c>
      <c r="D28" s="64">
        <v>15</v>
      </c>
      <c r="E28" s="64">
        <v>4.16</v>
      </c>
      <c r="F28" s="64">
        <v>5.57</v>
      </c>
      <c r="G28" s="64">
        <v>17.91</v>
      </c>
      <c r="H28" s="64">
        <v>3.25</v>
      </c>
      <c r="I28" s="64">
        <v>1.1399999999999999</v>
      </c>
      <c r="J28" s="64">
        <v>0.01</v>
      </c>
      <c r="K28" s="64">
        <v>222.31</v>
      </c>
      <c r="L28" s="64">
        <v>23.62</v>
      </c>
      <c r="M28" s="64">
        <v>98.08</v>
      </c>
      <c r="N28" s="64">
        <v>44</v>
      </c>
      <c r="O28" s="64">
        <v>0</v>
      </c>
      <c r="P28" s="64">
        <v>0.28999999999999998</v>
      </c>
      <c r="Q28" s="64">
        <v>9.65</v>
      </c>
      <c r="R28" s="198"/>
      <c r="S28" s="198"/>
      <c r="T28" s="198"/>
      <c r="U28" s="198"/>
    </row>
    <row r="29" spans="1:21" s="12" customFormat="1" x14ac:dyDescent="0.25">
      <c r="A29" s="212" t="s">
        <v>1899</v>
      </c>
      <c r="B29" s="64">
        <v>11.06</v>
      </c>
      <c r="C29" s="64">
        <v>7.09</v>
      </c>
      <c r="D29" s="64">
        <v>12.57</v>
      </c>
      <c r="E29" s="64">
        <v>4.57</v>
      </c>
      <c r="F29" s="64">
        <v>5.34</v>
      </c>
      <c r="G29" s="64">
        <v>17.91</v>
      </c>
      <c r="H29" s="64">
        <v>3.25</v>
      </c>
      <c r="I29" s="64">
        <v>1.1399999999999999</v>
      </c>
      <c r="J29" s="64">
        <v>0.34</v>
      </c>
      <c r="K29" s="64">
        <v>124.35</v>
      </c>
      <c r="L29" s="64">
        <v>23.61</v>
      </c>
      <c r="M29" s="64">
        <v>98.08</v>
      </c>
      <c r="N29" s="64">
        <v>43.9</v>
      </c>
      <c r="O29" s="64">
        <v>0</v>
      </c>
      <c r="P29" s="64">
        <v>0.26</v>
      </c>
      <c r="Q29" s="64">
        <v>9.65</v>
      </c>
      <c r="R29" s="198"/>
      <c r="S29" s="198"/>
      <c r="T29" s="198"/>
      <c r="U29" s="198"/>
    </row>
    <row r="30" spans="1:21" s="12" customFormat="1" x14ac:dyDescent="0.25">
      <c r="A30" s="212" t="s">
        <v>1900</v>
      </c>
      <c r="B30" s="64">
        <v>10.29</v>
      </c>
      <c r="C30" s="64">
        <v>7.47</v>
      </c>
      <c r="D30" s="64">
        <v>12.16</v>
      </c>
      <c r="E30" s="64">
        <v>4.83</v>
      </c>
      <c r="F30" s="64">
        <v>5.44</v>
      </c>
      <c r="G30" s="64">
        <v>17.91</v>
      </c>
      <c r="H30" s="64">
        <v>3.25</v>
      </c>
      <c r="I30" s="64">
        <v>1.1399999999999999</v>
      </c>
      <c r="J30" s="64">
        <v>0.16</v>
      </c>
      <c r="K30" s="64">
        <v>125.35</v>
      </c>
      <c r="L30" s="64">
        <v>23.6</v>
      </c>
      <c r="M30" s="64">
        <v>98.08</v>
      </c>
      <c r="N30" s="64">
        <v>44.1</v>
      </c>
      <c r="O30" s="64">
        <v>0</v>
      </c>
      <c r="P30" s="64">
        <v>0.26</v>
      </c>
      <c r="Q30" s="64">
        <v>9.65</v>
      </c>
      <c r="R30" s="198"/>
      <c r="S30" s="198"/>
      <c r="T30" s="198"/>
      <c r="U30" s="198"/>
    </row>
    <row r="31" spans="1:21" s="12" customFormat="1" x14ac:dyDescent="0.25">
      <c r="A31" s="212" t="s">
        <v>1901</v>
      </c>
      <c r="B31" s="64">
        <v>10.050000000000001</v>
      </c>
      <c r="C31" s="64">
        <v>8.2899999999999991</v>
      </c>
      <c r="D31" s="64">
        <v>12.39</v>
      </c>
      <c r="E31" s="64">
        <v>4.4400000000000004</v>
      </c>
      <c r="F31" s="64">
        <v>5.47</v>
      </c>
      <c r="G31" s="64">
        <v>14.96</v>
      </c>
      <c r="H31" s="64">
        <v>2.46</v>
      </c>
      <c r="I31" s="64">
        <v>1.1299999999999999</v>
      </c>
      <c r="J31" s="64">
        <v>0.2</v>
      </c>
      <c r="K31" s="64">
        <v>124.76</v>
      </c>
      <c r="L31" s="64">
        <v>23.5</v>
      </c>
      <c r="M31" s="64">
        <v>98.07</v>
      </c>
      <c r="N31" s="64">
        <v>47.3</v>
      </c>
      <c r="O31" s="64">
        <v>0</v>
      </c>
      <c r="P31" s="64">
        <v>0.25</v>
      </c>
      <c r="Q31" s="64">
        <v>9.65</v>
      </c>
      <c r="R31" s="198"/>
      <c r="S31" s="198"/>
      <c r="T31" s="198"/>
      <c r="U31" s="198"/>
    </row>
    <row r="32" spans="1:21" s="12" customFormat="1" x14ac:dyDescent="0.25">
      <c r="A32" s="212" t="s">
        <v>1902</v>
      </c>
      <c r="B32" s="64">
        <v>12.73</v>
      </c>
      <c r="C32" s="64">
        <v>7.16</v>
      </c>
      <c r="D32" s="64">
        <v>13.95</v>
      </c>
      <c r="E32" s="64">
        <v>4.6900000000000004</v>
      </c>
      <c r="F32" s="64">
        <v>5.53</v>
      </c>
      <c r="G32" s="64">
        <v>14.71</v>
      </c>
      <c r="H32" s="64">
        <v>2.4</v>
      </c>
      <c r="I32" s="64">
        <v>1.1299999999999999</v>
      </c>
      <c r="J32" s="64">
        <v>7.0000000000000007E-2</v>
      </c>
      <c r="K32" s="64">
        <v>99.07</v>
      </c>
      <c r="L32" s="64">
        <v>23.51</v>
      </c>
      <c r="M32" s="64">
        <v>98.08</v>
      </c>
      <c r="N32" s="64">
        <v>60.4</v>
      </c>
      <c r="O32" s="64">
        <v>0</v>
      </c>
      <c r="P32" s="64">
        <v>0.28999999999999998</v>
      </c>
      <c r="Q32" s="64">
        <v>9.64</v>
      </c>
      <c r="R32" s="198"/>
      <c r="S32" s="198"/>
      <c r="T32" s="198"/>
      <c r="U32" s="198"/>
    </row>
    <row r="33" spans="1:21" s="12" customFormat="1" x14ac:dyDescent="0.25">
      <c r="A33" s="212" t="s">
        <v>1903</v>
      </c>
      <c r="B33" s="64">
        <v>11.38</v>
      </c>
      <c r="C33" s="64">
        <v>6.07</v>
      </c>
      <c r="D33" s="64">
        <v>12.3</v>
      </c>
      <c r="E33" s="64">
        <v>4.53</v>
      </c>
      <c r="F33" s="64">
        <v>6.3</v>
      </c>
      <c r="G33" s="64">
        <v>14.71</v>
      </c>
      <c r="H33" s="64">
        <v>2.4</v>
      </c>
      <c r="I33" s="64">
        <v>1.1299999999999999</v>
      </c>
      <c r="J33" s="64">
        <v>0.32</v>
      </c>
      <c r="K33" s="64">
        <v>122.3</v>
      </c>
      <c r="L33" s="64">
        <v>23.64</v>
      </c>
      <c r="M33" s="64">
        <v>98.05</v>
      </c>
      <c r="N33" s="64">
        <v>82.6</v>
      </c>
      <c r="O33" s="64">
        <v>0</v>
      </c>
      <c r="P33" s="64">
        <v>0.26</v>
      </c>
      <c r="Q33" s="64">
        <v>9.64</v>
      </c>
      <c r="R33" s="198"/>
      <c r="S33" s="198"/>
      <c r="T33" s="198"/>
      <c r="U33" s="198"/>
    </row>
    <row r="34" spans="1:21" s="12" customFormat="1" x14ac:dyDescent="0.25">
      <c r="A34" s="212" t="s">
        <v>1904</v>
      </c>
      <c r="B34" s="64">
        <v>13.28</v>
      </c>
      <c r="C34" s="64">
        <v>4.8099999999999996</v>
      </c>
      <c r="D34" s="64">
        <v>13.11</v>
      </c>
      <c r="E34" s="64">
        <v>4.8099999999999996</v>
      </c>
      <c r="F34" s="64">
        <v>5.75</v>
      </c>
      <c r="G34" s="64">
        <v>14.71</v>
      </c>
      <c r="H34" s="64">
        <v>2.4</v>
      </c>
      <c r="I34" s="64">
        <v>1.1399999999999999</v>
      </c>
      <c r="J34" s="64">
        <v>0.04</v>
      </c>
      <c r="K34" s="64">
        <v>138.62</v>
      </c>
      <c r="L34" s="64">
        <v>24.02</v>
      </c>
      <c r="M34" s="64">
        <v>98.03</v>
      </c>
      <c r="N34" s="64">
        <v>117.4</v>
      </c>
      <c r="O34" s="64">
        <v>0</v>
      </c>
      <c r="P34" s="64">
        <v>0.3</v>
      </c>
      <c r="Q34" s="64">
        <v>9.65</v>
      </c>
      <c r="R34" s="198"/>
      <c r="S34" s="198"/>
      <c r="T34" s="198"/>
      <c r="U34" s="198"/>
    </row>
    <row r="35" spans="1:21" s="12" customFormat="1" x14ac:dyDescent="0.25">
      <c r="A35" s="212" t="s">
        <v>1905</v>
      </c>
      <c r="B35" s="64">
        <v>12.96</v>
      </c>
      <c r="C35" s="64">
        <v>5.75</v>
      </c>
      <c r="D35" s="64">
        <v>13.4</v>
      </c>
      <c r="E35" s="64">
        <v>4.8499999999999996</v>
      </c>
      <c r="F35" s="64">
        <v>5.01</v>
      </c>
      <c r="G35" s="64">
        <v>14.36</v>
      </c>
      <c r="H35" s="64">
        <v>1.83</v>
      </c>
      <c r="I35" s="64">
        <v>1.1599999999999999</v>
      </c>
      <c r="J35" s="64">
        <v>0.09</v>
      </c>
      <c r="K35" s="64">
        <v>116.65</v>
      </c>
      <c r="L35" s="64">
        <v>24.61</v>
      </c>
      <c r="M35" s="64">
        <v>98.01</v>
      </c>
      <c r="N35" s="64">
        <v>156.80000000000001</v>
      </c>
      <c r="O35" s="64">
        <v>0</v>
      </c>
      <c r="P35" s="64">
        <v>0.3</v>
      </c>
      <c r="Q35" s="64">
        <v>9.65</v>
      </c>
      <c r="R35" s="198"/>
      <c r="S35" s="198"/>
      <c r="T35" s="198"/>
      <c r="U35" s="198"/>
    </row>
    <row r="36" spans="1:21" s="12" customFormat="1" x14ac:dyDescent="0.25">
      <c r="A36" s="212" t="s">
        <v>1906</v>
      </c>
      <c r="B36" s="64">
        <v>11.97</v>
      </c>
      <c r="C36" s="64">
        <v>4.57</v>
      </c>
      <c r="D36" s="64">
        <v>11.98</v>
      </c>
      <c r="E36" s="64">
        <v>4.47</v>
      </c>
      <c r="F36" s="64">
        <v>4.25</v>
      </c>
      <c r="G36" s="64">
        <v>14.33</v>
      </c>
      <c r="H36" s="64">
        <v>1.78</v>
      </c>
      <c r="I36" s="64">
        <v>1.1599999999999999</v>
      </c>
      <c r="J36" s="64">
        <v>0.75</v>
      </c>
      <c r="K36" s="64">
        <v>121.19</v>
      </c>
      <c r="L36" s="64">
        <v>25.31</v>
      </c>
      <c r="M36" s="64">
        <v>97.96</v>
      </c>
      <c r="N36" s="64">
        <v>216.9</v>
      </c>
      <c r="O36" s="64">
        <v>0</v>
      </c>
      <c r="P36" s="64">
        <v>0.3</v>
      </c>
      <c r="Q36" s="64">
        <v>9.65</v>
      </c>
      <c r="R36" s="198"/>
      <c r="S36" s="198"/>
      <c r="T36" s="198"/>
      <c r="U36" s="198"/>
    </row>
    <row r="37" spans="1:21" s="12" customFormat="1" x14ac:dyDescent="0.25">
      <c r="A37" s="212" t="s">
        <v>1907</v>
      </c>
      <c r="B37" s="64">
        <v>12.72</v>
      </c>
      <c r="C37" s="64">
        <v>5.71</v>
      </c>
      <c r="D37" s="64">
        <v>13.19</v>
      </c>
      <c r="E37" s="64">
        <v>4.66</v>
      </c>
      <c r="F37" s="64">
        <v>4.8600000000000003</v>
      </c>
      <c r="G37" s="64">
        <v>14.33</v>
      </c>
      <c r="H37" s="64">
        <v>1.78</v>
      </c>
      <c r="I37" s="64">
        <v>1.1599999999999999</v>
      </c>
      <c r="J37" s="64">
        <v>0.53</v>
      </c>
      <c r="K37" s="64">
        <v>122.11</v>
      </c>
      <c r="L37" s="64">
        <v>25.18</v>
      </c>
      <c r="M37" s="64">
        <v>97.97</v>
      </c>
      <c r="N37" s="64">
        <v>192.9</v>
      </c>
      <c r="O37" s="64">
        <v>0</v>
      </c>
      <c r="P37" s="64">
        <v>0.38</v>
      </c>
      <c r="Q37" s="64">
        <v>9.64</v>
      </c>
      <c r="R37" s="198"/>
      <c r="S37" s="198"/>
      <c r="T37" s="198"/>
      <c r="U37" s="198"/>
    </row>
    <row r="38" spans="1:21" s="12" customFormat="1" x14ac:dyDescent="0.25">
      <c r="A38" s="212" t="s">
        <v>1908</v>
      </c>
      <c r="B38" s="64">
        <v>11.95</v>
      </c>
      <c r="C38" s="64">
        <v>5.73</v>
      </c>
      <c r="D38" s="64">
        <v>12.57</v>
      </c>
      <c r="E38" s="64">
        <v>4.51</v>
      </c>
      <c r="F38" s="64">
        <v>5.74</v>
      </c>
      <c r="G38" s="64">
        <v>14.33</v>
      </c>
      <c r="H38" s="64">
        <v>1.78</v>
      </c>
      <c r="I38" s="64">
        <v>1.1499999999999999</v>
      </c>
      <c r="J38" s="64">
        <v>0.85</v>
      </c>
      <c r="K38" s="64">
        <v>129.18</v>
      </c>
      <c r="L38" s="64">
        <v>25.31</v>
      </c>
      <c r="M38" s="64">
        <v>97.96</v>
      </c>
      <c r="N38" s="64">
        <v>250.7</v>
      </c>
      <c r="O38" s="64">
        <v>0</v>
      </c>
      <c r="P38" s="64">
        <v>0.41</v>
      </c>
      <c r="Q38" s="64">
        <v>9.65</v>
      </c>
      <c r="R38" s="198"/>
      <c r="S38" s="198"/>
      <c r="T38" s="198"/>
      <c r="U38" s="198"/>
    </row>
    <row r="39" spans="1:21" s="12" customFormat="1" x14ac:dyDescent="0.25">
      <c r="A39" s="212" t="s">
        <v>1909</v>
      </c>
      <c r="B39" s="64">
        <v>14.67</v>
      </c>
      <c r="C39" s="64">
        <v>5.43</v>
      </c>
      <c r="D39" s="64">
        <v>14.6</v>
      </c>
      <c r="E39" s="64">
        <v>4.42</v>
      </c>
      <c r="F39" s="64">
        <v>3.36</v>
      </c>
      <c r="G39" s="64">
        <v>16.239999999999998</v>
      </c>
      <c r="H39" s="64">
        <v>1.84</v>
      </c>
      <c r="I39" s="64">
        <v>1.1499999999999999</v>
      </c>
      <c r="J39" s="64">
        <v>0.28000000000000003</v>
      </c>
      <c r="K39" s="64">
        <v>129.79</v>
      </c>
      <c r="L39" s="64">
        <v>25.38</v>
      </c>
      <c r="M39" s="64">
        <v>97.94</v>
      </c>
      <c r="N39" s="64">
        <v>201.1</v>
      </c>
      <c r="O39" s="64">
        <v>0</v>
      </c>
      <c r="P39" s="64">
        <v>0.45</v>
      </c>
      <c r="Q39" s="64">
        <v>9.65</v>
      </c>
      <c r="R39" s="198"/>
      <c r="S39" s="198"/>
      <c r="T39" s="198"/>
      <c r="U39" s="198"/>
    </row>
    <row r="40" spans="1:21" s="12" customFormat="1" x14ac:dyDescent="0.25">
      <c r="A40" s="212" t="s">
        <v>1910</v>
      </c>
      <c r="B40" s="64">
        <v>14.97</v>
      </c>
      <c r="C40" s="64">
        <v>6.49</v>
      </c>
      <c r="D40" s="64">
        <v>15.38</v>
      </c>
      <c r="E40" s="64">
        <v>5.46</v>
      </c>
      <c r="F40" s="64">
        <v>5.18</v>
      </c>
      <c r="G40" s="64">
        <v>16.399999999999999</v>
      </c>
      <c r="H40" s="64">
        <v>1.85</v>
      </c>
      <c r="I40" s="64">
        <v>1.1599999999999999</v>
      </c>
      <c r="J40" s="64">
        <v>0.4</v>
      </c>
      <c r="K40" s="64">
        <v>119.57</v>
      </c>
      <c r="L40" s="64">
        <v>25.52</v>
      </c>
      <c r="M40" s="64">
        <v>97.44</v>
      </c>
      <c r="N40" s="64">
        <v>274</v>
      </c>
      <c r="O40" s="64">
        <v>0</v>
      </c>
      <c r="P40" s="64">
        <v>0.44</v>
      </c>
      <c r="Q40" s="64">
        <v>9.6300000000000008</v>
      </c>
      <c r="R40" s="198"/>
      <c r="S40" s="198"/>
      <c r="T40" s="198"/>
      <c r="U40" s="198"/>
    </row>
    <row r="41" spans="1:21" s="12" customFormat="1" x14ac:dyDescent="0.25">
      <c r="A41" s="212" t="s">
        <v>1911</v>
      </c>
      <c r="B41" s="64">
        <v>15.29</v>
      </c>
      <c r="C41" s="64">
        <v>5.01</v>
      </c>
      <c r="D41" s="64">
        <v>14.88</v>
      </c>
      <c r="E41" s="64">
        <v>5.37</v>
      </c>
      <c r="F41" s="64">
        <v>3.96</v>
      </c>
      <c r="G41" s="64">
        <v>16.399999999999999</v>
      </c>
      <c r="H41" s="64">
        <v>1.85</v>
      </c>
      <c r="I41" s="64">
        <v>1.17</v>
      </c>
      <c r="J41" s="64">
        <v>0.61</v>
      </c>
      <c r="K41" s="64">
        <v>123.09</v>
      </c>
      <c r="L41" s="64">
        <v>26.6</v>
      </c>
      <c r="M41" s="64">
        <v>97.34</v>
      </c>
      <c r="N41" s="64">
        <v>508.1</v>
      </c>
      <c r="O41" s="64">
        <v>0</v>
      </c>
      <c r="P41" s="64">
        <v>0.45</v>
      </c>
      <c r="Q41" s="64">
        <v>9.64</v>
      </c>
      <c r="R41" s="198"/>
      <c r="S41" s="198"/>
      <c r="T41" s="198"/>
      <c r="U41" s="198"/>
    </row>
    <row r="42" spans="1:21" s="12" customFormat="1" x14ac:dyDescent="0.25">
      <c r="A42" s="212" t="s">
        <v>1912</v>
      </c>
      <c r="B42" s="64">
        <v>16.57</v>
      </c>
      <c r="C42" s="64">
        <v>6.39</v>
      </c>
      <c r="D42" s="64">
        <v>16.14</v>
      </c>
      <c r="E42" s="64">
        <v>5.79</v>
      </c>
      <c r="F42" s="64">
        <v>5.98</v>
      </c>
      <c r="G42" s="64">
        <v>16.399999999999999</v>
      </c>
      <c r="H42" s="64">
        <v>1.85</v>
      </c>
      <c r="I42" s="64">
        <v>1.2</v>
      </c>
      <c r="J42" s="64">
        <v>0.55000000000000004</v>
      </c>
      <c r="K42" s="64">
        <v>122.58</v>
      </c>
      <c r="L42" s="64">
        <v>26.94</v>
      </c>
      <c r="M42" s="64">
        <v>97.65</v>
      </c>
      <c r="N42" s="64">
        <v>451.4</v>
      </c>
      <c r="O42" s="64">
        <v>0</v>
      </c>
      <c r="P42" s="64">
        <v>0.46</v>
      </c>
      <c r="Q42" s="64">
        <v>9.65</v>
      </c>
      <c r="R42" s="198"/>
      <c r="S42" s="198"/>
      <c r="T42" s="198"/>
      <c r="U42" s="198"/>
    </row>
    <row r="43" spans="1:21" s="12" customFormat="1" x14ac:dyDescent="0.25">
      <c r="A43" s="212" t="s">
        <v>1913</v>
      </c>
      <c r="B43" s="64">
        <v>13.99</v>
      </c>
      <c r="C43" s="64">
        <v>6.7</v>
      </c>
      <c r="D43" s="64">
        <v>14.72</v>
      </c>
      <c r="E43" s="64">
        <v>5.55</v>
      </c>
      <c r="F43" s="64">
        <v>5.65</v>
      </c>
      <c r="G43" s="64">
        <v>14.73</v>
      </c>
      <c r="H43" s="64">
        <v>4.55</v>
      </c>
      <c r="I43" s="64">
        <v>1.21</v>
      </c>
      <c r="J43" s="64">
        <v>0.99</v>
      </c>
      <c r="K43" s="64">
        <v>125.51</v>
      </c>
      <c r="L43" s="64">
        <v>26.83</v>
      </c>
      <c r="M43" s="64">
        <v>97.26</v>
      </c>
      <c r="N43" s="64">
        <v>510.7</v>
      </c>
      <c r="O43" s="64">
        <v>0</v>
      </c>
      <c r="P43" s="64">
        <v>0.41</v>
      </c>
      <c r="Q43" s="64">
        <v>9.65</v>
      </c>
      <c r="R43" s="198"/>
      <c r="S43" s="198"/>
      <c r="T43" s="198"/>
      <c r="U43" s="198"/>
    </row>
    <row r="44" spans="1:21" s="12" customFormat="1" x14ac:dyDescent="0.25">
      <c r="A44" s="212" t="s">
        <v>1914</v>
      </c>
      <c r="B44" s="64">
        <v>16.98</v>
      </c>
      <c r="C44" s="64">
        <v>7.89</v>
      </c>
      <c r="D44" s="64">
        <v>17.68</v>
      </c>
      <c r="E44" s="64">
        <v>5.54</v>
      </c>
      <c r="F44" s="64">
        <v>5.58</v>
      </c>
      <c r="G44" s="64">
        <v>14.59</v>
      </c>
      <c r="H44" s="64">
        <v>4.78</v>
      </c>
      <c r="I44" s="64">
        <v>1.23</v>
      </c>
      <c r="J44" s="64">
        <v>0.64</v>
      </c>
      <c r="K44" s="64">
        <v>125.8</v>
      </c>
      <c r="L44" s="64">
        <v>27.42</v>
      </c>
      <c r="M44" s="64">
        <v>94.1</v>
      </c>
      <c r="N44" s="64">
        <v>404.1</v>
      </c>
      <c r="O44" s="64">
        <v>0</v>
      </c>
      <c r="P44" s="64">
        <v>0.43</v>
      </c>
      <c r="Q44" s="64">
        <v>9.65</v>
      </c>
      <c r="R44" s="198"/>
      <c r="S44" s="198"/>
      <c r="T44" s="198"/>
      <c r="U44" s="198"/>
    </row>
    <row r="45" spans="1:21" s="12" customFormat="1" x14ac:dyDescent="0.25">
      <c r="A45" s="212" t="s">
        <v>1915</v>
      </c>
      <c r="B45" s="64">
        <v>10.85</v>
      </c>
      <c r="C45" s="64">
        <v>7.07</v>
      </c>
      <c r="D45" s="64">
        <v>12.39</v>
      </c>
      <c r="E45" s="64">
        <v>5.5</v>
      </c>
      <c r="F45" s="64">
        <v>7.07</v>
      </c>
      <c r="G45" s="64">
        <v>14.59</v>
      </c>
      <c r="H45" s="64">
        <v>4.78</v>
      </c>
      <c r="I45" s="64">
        <v>1.24</v>
      </c>
      <c r="J45" s="64">
        <v>1.51</v>
      </c>
      <c r="K45" s="64">
        <v>124.68</v>
      </c>
      <c r="L45" s="64">
        <v>26.36</v>
      </c>
      <c r="M45" s="64">
        <v>97.27</v>
      </c>
      <c r="N45" s="64">
        <v>275.5</v>
      </c>
      <c r="O45" s="64">
        <v>0</v>
      </c>
      <c r="P45" s="64">
        <v>0.36</v>
      </c>
      <c r="Q45" s="64">
        <v>9.68</v>
      </c>
      <c r="R45" s="198"/>
      <c r="S45" s="198"/>
      <c r="T45" s="198"/>
      <c r="U45" s="198"/>
    </row>
    <row r="46" spans="1:21" s="12" customFormat="1" x14ac:dyDescent="0.25">
      <c r="A46" s="212" t="s">
        <v>1916</v>
      </c>
      <c r="B46" s="64">
        <v>11.39</v>
      </c>
      <c r="C46" s="64">
        <v>6.82</v>
      </c>
      <c r="D46" s="64">
        <v>12.7</v>
      </c>
      <c r="E46" s="64">
        <v>5.72</v>
      </c>
      <c r="F46" s="64">
        <v>6.79</v>
      </c>
      <c r="G46" s="64">
        <v>14.59</v>
      </c>
      <c r="H46" s="64">
        <v>4.78</v>
      </c>
      <c r="I46" s="64">
        <v>1.24</v>
      </c>
      <c r="J46" s="64">
        <v>0.95</v>
      </c>
      <c r="K46" s="64">
        <v>123.41</v>
      </c>
      <c r="L46" s="64">
        <v>26.77</v>
      </c>
      <c r="M46" s="64">
        <v>95.17</v>
      </c>
      <c r="N46" s="64">
        <v>413.5</v>
      </c>
      <c r="O46" s="64">
        <v>0</v>
      </c>
      <c r="P46" s="64">
        <v>0.36</v>
      </c>
      <c r="Q46" s="64">
        <v>9.66</v>
      </c>
      <c r="R46" s="198"/>
      <c r="S46" s="198"/>
      <c r="T46" s="198"/>
      <c r="U46" s="198"/>
    </row>
    <row r="47" spans="1:21" s="12" customFormat="1" x14ac:dyDescent="0.25">
      <c r="A47" s="212" t="s">
        <v>1917</v>
      </c>
      <c r="B47" s="64">
        <v>12.39</v>
      </c>
      <c r="C47" s="64">
        <v>6.47</v>
      </c>
      <c r="D47" s="64">
        <v>13.3</v>
      </c>
      <c r="E47" s="64">
        <v>5.87</v>
      </c>
      <c r="F47" s="64">
        <v>6.82</v>
      </c>
      <c r="G47" s="64">
        <v>18.27</v>
      </c>
      <c r="H47" s="64">
        <v>4.37</v>
      </c>
      <c r="I47" s="64">
        <v>1.22</v>
      </c>
      <c r="J47" s="64">
        <v>1.0900000000000001</v>
      </c>
      <c r="K47" s="64">
        <v>124.6</v>
      </c>
      <c r="L47" s="64">
        <v>27.13</v>
      </c>
      <c r="M47" s="64">
        <v>93.63</v>
      </c>
      <c r="N47" s="64">
        <v>679.5</v>
      </c>
      <c r="O47" s="64">
        <v>0</v>
      </c>
      <c r="P47" s="64">
        <v>0.36</v>
      </c>
      <c r="Q47" s="64">
        <v>9.65</v>
      </c>
      <c r="R47" s="198"/>
      <c r="S47" s="198"/>
      <c r="T47" s="198"/>
      <c r="U47" s="198"/>
    </row>
    <row r="48" spans="1:21" s="12" customFormat="1" x14ac:dyDescent="0.25">
      <c r="A48" s="212" t="s">
        <v>1918</v>
      </c>
      <c r="B48" s="64">
        <v>13.63</v>
      </c>
      <c r="C48" s="64">
        <v>7.67</v>
      </c>
      <c r="D48" s="64">
        <v>14.94</v>
      </c>
      <c r="E48" s="64">
        <v>5.87</v>
      </c>
      <c r="F48" s="64">
        <v>6.71</v>
      </c>
      <c r="G48" s="64">
        <v>18.579999999999998</v>
      </c>
      <c r="H48" s="64">
        <v>4.34</v>
      </c>
      <c r="I48" s="64">
        <v>1.22</v>
      </c>
      <c r="J48" s="64">
        <v>0.37</v>
      </c>
      <c r="K48" s="64">
        <v>135.55000000000001</v>
      </c>
      <c r="L48" s="64">
        <v>28.29</v>
      </c>
      <c r="M48" s="64">
        <v>87.18</v>
      </c>
      <c r="N48" s="64">
        <v>609.6</v>
      </c>
      <c r="O48" s="64">
        <v>0</v>
      </c>
      <c r="P48" s="64">
        <v>0.39</v>
      </c>
      <c r="Q48" s="64">
        <v>9.65</v>
      </c>
      <c r="R48" s="198"/>
      <c r="S48" s="198"/>
      <c r="T48" s="198"/>
      <c r="U48" s="198"/>
    </row>
    <row r="49" spans="1:21" s="12" customFormat="1" x14ac:dyDescent="0.25">
      <c r="A49" s="212" t="s">
        <v>1919</v>
      </c>
      <c r="B49" s="64">
        <v>11.8</v>
      </c>
      <c r="C49" s="64">
        <v>8.4600000000000009</v>
      </c>
      <c r="D49" s="64">
        <v>13.88</v>
      </c>
      <c r="E49" s="64">
        <v>5.83</v>
      </c>
      <c r="F49" s="64">
        <v>9.1199999999999992</v>
      </c>
      <c r="G49" s="64">
        <v>18.579999999999998</v>
      </c>
      <c r="H49" s="64">
        <v>4.34</v>
      </c>
      <c r="I49" s="64">
        <v>1.22</v>
      </c>
      <c r="J49" s="64">
        <v>0.53</v>
      </c>
      <c r="K49" s="64">
        <v>124.78</v>
      </c>
      <c r="L49" s="64">
        <v>28.49</v>
      </c>
      <c r="M49" s="64">
        <v>87.8</v>
      </c>
      <c r="N49" s="64">
        <v>733.8</v>
      </c>
      <c r="O49" s="64">
        <v>0</v>
      </c>
      <c r="P49" s="64">
        <v>0.38</v>
      </c>
      <c r="Q49" s="64">
        <v>9.64</v>
      </c>
      <c r="R49" s="198"/>
      <c r="S49" s="198"/>
      <c r="T49" s="198"/>
      <c r="U49" s="198"/>
    </row>
    <row r="50" spans="1:21" s="12" customFormat="1" x14ac:dyDescent="0.25">
      <c r="A50" s="212" t="s">
        <v>1920</v>
      </c>
      <c r="B50" s="64">
        <v>10.87</v>
      </c>
      <c r="C50" s="64">
        <v>6.7</v>
      </c>
      <c r="D50" s="64">
        <v>12.22</v>
      </c>
      <c r="E50" s="64">
        <v>6.14</v>
      </c>
      <c r="F50" s="64">
        <v>9.24</v>
      </c>
      <c r="G50" s="64">
        <v>18.579999999999998</v>
      </c>
      <c r="H50" s="64">
        <v>4.34</v>
      </c>
      <c r="I50" s="64">
        <v>1.24</v>
      </c>
      <c r="J50" s="64">
        <v>0.55000000000000004</v>
      </c>
      <c r="K50" s="64">
        <v>121.56</v>
      </c>
      <c r="L50" s="64">
        <v>28.48</v>
      </c>
      <c r="M50" s="64">
        <v>86.21</v>
      </c>
      <c r="N50" s="64">
        <v>470.1</v>
      </c>
      <c r="O50" s="64">
        <v>0</v>
      </c>
      <c r="P50" s="64">
        <v>0.37</v>
      </c>
      <c r="Q50" s="64">
        <v>9.65</v>
      </c>
      <c r="R50" s="198"/>
      <c r="S50" s="198"/>
      <c r="T50" s="198"/>
      <c r="U50" s="198"/>
    </row>
    <row r="51" spans="1:21" s="12" customFormat="1" x14ac:dyDescent="0.25">
      <c r="A51" s="212" t="s">
        <v>1921</v>
      </c>
      <c r="B51" s="64">
        <v>9.7100000000000009</v>
      </c>
      <c r="C51" s="64">
        <v>7</v>
      </c>
      <c r="D51" s="64">
        <v>11.44</v>
      </c>
      <c r="E51" s="64">
        <v>5.89</v>
      </c>
      <c r="F51" s="64">
        <v>11.98</v>
      </c>
      <c r="G51" s="64">
        <v>18.05</v>
      </c>
      <c r="H51" s="64">
        <v>6.1</v>
      </c>
      <c r="I51" s="64">
        <v>1.25</v>
      </c>
      <c r="J51" s="64">
        <v>0.66</v>
      </c>
      <c r="K51" s="64">
        <v>127.53</v>
      </c>
      <c r="L51" s="64">
        <v>27.67</v>
      </c>
      <c r="M51" s="64">
        <v>90.64</v>
      </c>
      <c r="N51" s="64">
        <v>286</v>
      </c>
      <c r="O51" s="64">
        <v>0</v>
      </c>
      <c r="P51" s="64">
        <v>0.36</v>
      </c>
      <c r="Q51" s="64">
        <v>9.65</v>
      </c>
      <c r="R51" s="198"/>
      <c r="S51" s="198"/>
      <c r="T51" s="198"/>
      <c r="U51" s="198"/>
    </row>
    <row r="52" spans="1:21" s="12" customFormat="1" x14ac:dyDescent="0.25">
      <c r="A52" s="212" t="s">
        <v>1922</v>
      </c>
      <c r="B52" s="64">
        <v>10.48</v>
      </c>
      <c r="C52" s="64">
        <v>7.07</v>
      </c>
      <c r="D52" s="64">
        <v>12.1</v>
      </c>
      <c r="E52" s="64">
        <v>6.01</v>
      </c>
      <c r="F52" s="64">
        <v>9.69</v>
      </c>
      <c r="G52" s="64">
        <v>18</v>
      </c>
      <c r="H52" s="64">
        <v>6.23</v>
      </c>
      <c r="I52" s="64">
        <v>1.26</v>
      </c>
      <c r="J52" s="64">
        <v>0.34</v>
      </c>
      <c r="K52" s="64">
        <v>121.75</v>
      </c>
      <c r="L52" s="64">
        <v>27.81</v>
      </c>
      <c r="M52" s="64">
        <v>90.46</v>
      </c>
      <c r="N52" s="64">
        <v>555.1</v>
      </c>
      <c r="O52" s="64">
        <v>0</v>
      </c>
      <c r="P52" s="64">
        <v>0.42</v>
      </c>
      <c r="Q52" s="64">
        <v>9.6300000000000008</v>
      </c>
      <c r="R52" s="198"/>
      <c r="S52" s="198"/>
      <c r="T52" s="198"/>
      <c r="U52" s="198"/>
    </row>
    <row r="53" spans="1:21" s="12" customFormat="1" x14ac:dyDescent="0.25">
      <c r="A53" s="212" t="s">
        <v>1923</v>
      </c>
      <c r="B53" s="64">
        <v>12.01</v>
      </c>
      <c r="C53" s="64">
        <v>8.57</v>
      </c>
      <c r="D53" s="64">
        <v>14.11</v>
      </c>
      <c r="E53" s="64">
        <v>6.02</v>
      </c>
      <c r="F53" s="64">
        <v>10.36</v>
      </c>
      <c r="G53" s="64">
        <v>18</v>
      </c>
      <c r="H53" s="64">
        <v>6.23</v>
      </c>
      <c r="I53" s="64">
        <v>1.27</v>
      </c>
      <c r="J53" s="64">
        <v>0.28000000000000003</v>
      </c>
      <c r="K53" s="64">
        <v>118.23</v>
      </c>
      <c r="L53" s="64">
        <v>28.39</v>
      </c>
      <c r="M53" s="64">
        <v>87.51</v>
      </c>
      <c r="N53" s="64">
        <v>261.10000000000002</v>
      </c>
      <c r="O53" s="64">
        <v>0</v>
      </c>
      <c r="P53" s="64">
        <v>0.41</v>
      </c>
      <c r="Q53" s="64">
        <v>9.6300000000000008</v>
      </c>
      <c r="R53" s="198"/>
      <c r="S53" s="198"/>
      <c r="T53" s="198"/>
      <c r="U53" s="198"/>
    </row>
    <row r="54" spans="1:21" s="12" customFormat="1" x14ac:dyDescent="0.25">
      <c r="A54" s="212" t="s">
        <v>1924</v>
      </c>
      <c r="B54" s="64">
        <v>10.11</v>
      </c>
      <c r="C54" s="64">
        <v>9.68</v>
      </c>
      <c r="D54" s="64">
        <v>13.17</v>
      </c>
      <c r="E54" s="64">
        <v>6.02</v>
      </c>
      <c r="F54" s="64">
        <v>11</v>
      </c>
      <c r="G54" s="64">
        <v>18</v>
      </c>
      <c r="H54" s="64">
        <v>6.23</v>
      </c>
      <c r="I54" s="64">
        <v>1.26</v>
      </c>
      <c r="J54" s="64">
        <v>0.57999999999999996</v>
      </c>
      <c r="K54" s="64">
        <v>126.46</v>
      </c>
      <c r="L54" s="64">
        <v>28.28</v>
      </c>
      <c r="M54" s="64">
        <v>88.93</v>
      </c>
      <c r="N54" s="64">
        <v>611.9</v>
      </c>
      <c r="O54" s="64">
        <v>0</v>
      </c>
      <c r="P54" s="64">
        <v>0.43</v>
      </c>
      <c r="Q54" s="64">
        <v>9.64</v>
      </c>
      <c r="R54" s="198"/>
      <c r="S54" s="198"/>
      <c r="T54" s="198"/>
      <c r="U54" s="198"/>
    </row>
    <row r="55" spans="1:21" s="12" customFormat="1" x14ac:dyDescent="0.25">
      <c r="A55" s="212" t="s">
        <v>1925</v>
      </c>
      <c r="B55" s="64">
        <v>11.69</v>
      </c>
      <c r="C55" s="64">
        <v>10.01</v>
      </c>
      <c r="D55" s="64">
        <v>14.61</v>
      </c>
      <c r="E55" s="64">
        <v>5.71</v>
      </c>
      <c r="F55" s="64">
        <v>12.03</v>
      </c>
      <c r="G55" s="64">
        <v>18.309999999999999</v>
      </c>
      <c r="H55" s="64">
        <v>5.99</v>
      </c>
      <c r="I55" s="64">
        <v>1.23</v>
      </c>
      <c r="J55" s="64">
        <v>0.33</v>
      </c>
      <c r="K55" s="64">
        <v>119.56</v>
      </c>
      <c r="L55" s="64">
        <v>28.77</v>
      </c>
      <c r="M55" s="64">
        <v>84.07</v>
      </c>
      <c r="N55" s="64">
        <v>458.9</v>
      </c>
      <c r="O55" s="64">
        <v>0.2</v>
      </c>
      <c r="P55" s="64">
        <v>0.44</v>
      </c>
      <c r="Q55" s="64">
        <v>9.65</v>
      </c>
      <c r="R55" s="198"/>
      <c r="S55" s="198"/>
      <c r="T55" s="198"/>
      <c r="U55" s="198"/>
    </row>
    <row r="56" spans="1:21" s="12" customFormat="1" x14ac:dyDescent="0.25">
      <c r="A56" s="212" t="s">
        <v>1926</v>
      </c>
      <c r="B56" s="64">
        <v>10.61</v>
      </c>
      <c r="C56" s="64">
        <v>9.41</v>
      </c>
      <c r="D56" s="64">
        <v>13.42</v>
      </c>
      <c r="E56" s="64">
        <v>5.9</v>
      </c>
      <c r="F56" s="64">
        <v>13.84</v>
      </c>
      <c r="G56" s="64">
        <v>18.34</v>
      </c>
      <c r="H56" s="64">
        <v>5.98</v>
      </c>
      <c r="I56" s="64">
        <v>1.22</v>
      </c>
      <c r="J56" s="64">
        <v>0.33</v>
      </c>
      <c r="K56" s="64">
        <v>118.78</v>
      </c>
      <c r="L56" s="64">
        <v>29.37</v>
      </c>
      <c r="M56" s="64">
        <v>82.47</v>
      </c>
      <c r="N56" s="64">
        <v>711.2</v>
      </c>
      <c r="O56" s="64">
        <v>0</v>
      </c>
      <c r="P56" s="64">
        <v>0.42</v>
      </c>
      <c r="Q56" s="64">
        <v>9.65</v>
      </c>
      <c r="R56" s="198"/>
      <c r="S56" s="198"/>
      <c r="T56" s="198"/>
      <c r="U56" s="198"/>
    </row>
    <row r="57" spans="1:21" s="12" customFormat="1" x14ac:dyDescent="0.25">
      <c r="A57" s="212" t="s">
        <v>1927</v>
      </c>
      <c r="B57" s="64">
        <v>8.39</v>
      </c>
      <c r="C57" s="64">
        <v>9.27</v>
      </c>
      <c r="D57" s="64">
        <v>11.57</v>
      </c>
      <c r="E57" s="64">
        <v>6.13</v>
      </c>
      <c r="F57" s="64">
        <v>13.49</v>
      </c>
      <c r="G57" s="64">
        <v>18.34</v>
      </c>
      <c r="H57" s="64">
        <v>5.98</v>
      </c>
      <c r="I57" s="64">
        <v>1.21</v>
      </c>
      <c r="J57" s="64">
        <v>0.7</v>
      </c>
      <c r="K57" s="64">
        <v>124.24</v>
      </c>
      <c r="L57" s="64">
        <v>29.39</v>
      </c>
      <c r="M57" s="64">
        <v>82.67</v>
      </c>
      <c r="N57" s="64">
        <v>628</v>
      </c>
      <c r="O57" s="64">
        <v>0</v>
      </c>
      <c r="P57" s="64">
        <v>0.35</v>
      </c>
      <c r="Q57" s="64">
        <v>9.64</v>
      </c>
      <c r="R57" s="198"/>
      <c r="S57" s="198"/>
      <c r="T57" s="198"/>
      <c r="U57" s="198"/>
    </row>
    <row r="58" spans="1:21" s="12" customFormat="1" x14ac:dyDescent="0.25">
      <c r="A58" s="212" t="s">
        <v>1928</v>
      </c>
      <c r="B58" s="64">
        <v>9.14</v>
      </c>
      <c r="C58" s="64">
        <v>7.6</v>
      </c>
      <c r="D58" s="64">
        <v>11.3</v>
      </c>
      <c r="E58" s="64">
        <v>5.93</v>
      </c>
      <c r="F58" s="64">
        <v>12.84</v>
      </c>
      <c r="G58" s="64">
        <v>18.34</v>
      </c>
      <c r="H58" s="64">
        <v>5.98</v>
      </c>
      <c r="I58" s="64">
        <v>1.21</v>
      </c>
      <c r="J58" s="64">
        <v>0.48</v>
      </c>
      <c r="K58" s="64">
        <v>125.77</v>
      </c>
      <c r="L58" s="64">
        <v>29.09</v>
      </c>
      <c r="M58" s="64">
        <v>83.94</v>
      </c>
      <c r="N58" s="64">
        <v>612.70000000000005</v>
      </c>
      <c r="O58" s="64">
        <v>0</v>
      </c>
      <c r="P58" s="64">
        <v>0.36</v>
      </c>
      <c r="Q58" s="64">
        <v>9.64</v>
      </c>
      <c r="R58" s="198"/>
      <c r="S58" s="198"/>
      <c r="T58" s="198"/>
      <c r="U58" s="198"/>
    </row>
    <row r="59" spans="1:21" s="12" customFormat="1" x14ac:dyDescent="0.25">
      <c r="A59" s="212" t="s">
        <v>1929</v>
      </c>
      <c r="B59" s="64">
        <v>10.34</v>
      </c>
      <c r="C59" s="64">
        <v>6.77</v>
      </c>
      <c r="D59" s="64">
        <v>11.83</v>
      </c>
      <c r="E59" s="64">
        <v>5.87</v>
      </c>
      <c r="F59" s="64">
        <v>9.41</v>
      </c>
      <c r="G59" s="64">
        <v>20.170000000000002</v>
      </c>
      <c r="H59" s="64">
        <v>4.87</v>
      </c>
      <c r="I59" s="64">
        <v>1.21</v>
      </c>
      <c r="J59" s="64">
        <v>0.87</v>
      </c>
      <c r="K59" s="64">
        <v>127.92</v>
      </c>
      <c r="L59" s="64">
        <v>28.88</v>
      </c>
      <c r="M59" s="64">
        <v>83.72</v>
      </c>
      <c r="N59" s="64">
        <v>354.1</v>
      </c>
      <c r="O59" s="64">
        <v>0</v>
      </c>
      <c r="P59" s="64">
        <v>0.36</v>
      </c>
      <c r="Q59" s="64">
        <v>9.6199999999999992</v>
      </c>
      <c r="R59" s="198"/>
      <c r="S59" s="198"/>
      <c r="T59" s="198"/>
      <c r="U59" s="198"/>
    </row>
    <row r="60" spans="1:21" s="12" customFormat="1" x14ac:dyDescent="0.25">
      <c r="A60" s="212" t="s">
        <v>1930</v>
      </c>
      <c r="B60" s="64">
        <v>10.59</v>
      </c>
      <c r="C60" s="64">
        <v>8.9499999999999993</v>
      </c>
      <c r="D60" s="64">
        <v>13.17</v>
      </c>
      <c r="E60" s="64">
        <v>5.87</v>
      </c>
      <c r="F60" s="64">
        <v>12.2</v>
      </c>
      <c r="G60" s="64">
        <v>20.32</v>
      </c>
      <c r="H60" s="64">
        <v>4.7699999999999996</v>
      </c>
      <c r="I60" s="64">
        <v>1.2</v>
      </c>
      <c r="J60" s="64">
        <v>0.36</v>
      </c>
      <c r="K60" s="64">
        <v>124.22</v>
      </c>
      <c r="L60" s="64">
        <v>28.08</v>
      </c>
      <c r="M60" s="64">
        <v>89.02</v>
      </c>
      <c r="N60" s="64">
        <v>207.2</v>
      </c>
      <c r="O60" s="64">
        <v>0</v>
      </c>
      <c r="P60" s="64">
        <v>0.42</v>
      </c>
      <c r="Q60" s="64">
        <v>9.6199999999999992</v>
      </c>
      <c r="R60" s="198"/>
      <c r="S60" s="198"/>
      <c r="T60" s="198"/>
      <c r="U60" s="198"/>
    </row>
    <row r="61" spans="1:21" s="12" customFormat="1" x14ac:dyDescent="0.25">
      <c r="A61" s="212" t="s">
        <v>1931</v>
      </c>
      <c r="B61" s="64">
        <v>11.87</v>
      </c>
      <c r="C61" s="64">
        <v>9.36</v>
      </c>
      <c r="D61" s="64">
        <v>14.39</v>
      </c>
      <c r="E61" s="64">
        <v>5.99</v>
      </c>
      <c r="F61" s="64">
        <v>12.98</v>
      </c>
      <c r="G61" s="64">
        <v>20.32</v>
      </c>
      <c r="H61" s="64">
        <v>4.7699999999999996</v>
      </c>
      <c r="I61" s="64">
        <v>1.2</v>
      </c>
      <c r="J61" s="64">
        <v>0.12</v>
      </c>
      <c r="K61" s="64">
        <v>351.07</v>
      </c>
      <c r="L61" s="64">
        <v>28.13</v>
      </c>
      <c r="M61" s="64">
        <v>89.04</v>
      </c>
      <c r="N61" s="64">
        <v>239.1</v>
      </c>
      <c r="O61" s="64">
        <v>0</v>
      </c>
      <c r="P61" s="64">
        <v>0.33</v>
      </c>
      <c r="Q61" s="64">
        <v>9.6300000000000008</v>
      </c>
      <c r="R61" s="198"/>
      <c r="S61" s="198"/>
      <c r="T61" s="198"/>
      <c r="U61" s="198"/>
    </row>
    <row r="62" spans="1:21" s="12" customFormat="1" x14ac:dyDescent="0.25">
      <c r="A62" s="212" t="s">
        <v>1932</v>
      </c>
      <c r="B62" s="64">
        <v>11.31</v>
      </c>
      <c r="C62" s="64">
        <v>9.15</v>
      </c>
      <c r="D62" s="64">
        <v>13.85</v>
      </c>
      <c r="E62" s="64">
        <v>6.21</v>
      </c>
      <c r="F62" s="64">
        <v>10.47</v>
      </c>
      <c r="G62" s="64">
        <v>20.32</v>
      </c>
      <c r="H62" s="64">
        <v>4.7699999999999996</v>
      </c>
      <c r="I62" s="64">
        <v>1.2</v>
      </c>
      <c r="J62" s="64">
        <v>0.1</v>
      </c>
      <c r="K62" s="64">
        <v>307.73</v>
      </c>
      <c r="L62" s="64">
        <v>28.01</v>
      </c>
      <c r="M62" s="64">
        <v>88.49</v>
      </c>
      <c r="N62" s="64">
        <v>190.8</v>
      </c>
      <c r="O62" s="64">
        <v>0</v>
      </c>
      <c r="P62" s="64">
        <v>0.43</v>
      </c>
      <c r="Q62" s="64">
        <v>9.6300000000000008</v>
      </c>
      <c r="R62" s="198"/>
      <c r="S62" s="198"/>
      <c r="T62" s="198"/>
      <c r="U62" s="198"/>
    </row>
    <row r="63" spans="1:21" s="12" customFormat="1" x14ac:dyDescent="0.25">
      <c r="A63" s="212" t="s">
        <v>1933</v>
      </c>
      <c r="B63" s="64">
        <v>12.71</v>
      </c>
      <c r="C63" s="64">
        <v>12.62</v>
      </c>
      <c r="D63" s="64">
        <v>16.79</v>
      </c>
      <c r="E63" s="64">
        <v>6.01</v>
      </c>
      <c r="F63" s="64">
        <v>11.69</v>
      </c>
      <c r="G63" s="64">
        <v>20.32</v>
      </c>
      <c r="H63" s="64">
        <v>4.7699999999999996</v>
      </c>
      <c r="I63" s="64">
        <v>1.19</v>
      </c>
      <c r="J63" s="64">
        <v>0.06</v>
      </c>
      <c r="K63" s="64">
        <v>97.1</v>
      </c>
      <c r="L63" s="64">
        <v>28.05</v>
      </c>
      <c r="M63" s="64">
        <v>91.14</v>
      </c>
      <c r="N63" s="64">
        <v>281.5</v>
      </c>
      <c r="O63" s="64">
        <v>0</v>
      </c>
      <c r="P63" s="64">
        <v>0.4</v>
      </c>
      <c r="Q63" s="64">
        <v>9.6199999999999992</v>
      </c>
      <c r="R63" s="198"/>
      <c r="S63" s="198"/>
      <c r="T63" s="198"/>
      <c r="U63" s="198"/>
    </row>
    <row r="64" spans="1:21" s="12" customFormat="1" x14ac:dyDescent="0.25">
      <c r="A64" s="212" t="s">
        <v>1934</v>
      </c>
      <c r="B64" s="64">
        <v>12.92</v>
      </c>
      <c r="C64" s="64">
        <v>10.32</v>
      </c>
      <c r="D64" s="64">
        <v>15.6</v>
      </c>
      <c r="E64" s="64">
        <v>5.6</v>
      </c>
      <c r="F64" s="64">
        <v>10.34</v>
      </c>
      <c r="G64" s="26" t="s">
        <v>40</v>
      </c>
      <c r="H64" s="26" t="s">
        <v>40</v>
      </c>
      <c r="I64" s="64">
        <v>1.21</v>
      </c>
      <c r="J64" s="64">
        <v>0.08</v>
      </c>
      <c r="K64" s="64">
        <v>18.37</v>
      </c>
      <c r="L64" s="64">
        <v>28.56</v>
      </c>
      <c r="M64" s="64">
        <v>88.31</v>
      </c>
      <c r="N64" s="64">
        <v>293.8</v>
      </c>
      <c r="O64" s="64">
        <v>0</v>
      </c>
      <c r="P64" s="64">
        <v>0.42</v>
      </c>
      <c r="Q64" s="64">
        <v>9.6199999999999992</v>
      </c>
      <c r="R64" s="198"/>
      <c r="S64" s="198"/>
      <c r="T64" s="198"/>
      <c r="U64" s="198"/>
    </row>
    <row r="65" spans="1:21" s="12" customFormat="1" x14ac:dyDescent="0.25">
      <c r="A65" s="212" t="s">
        <v>1935</v>
      </c>
      <c r="B65" s="64">
        <v>10.25</v>
      </c>
      <c r="C65" s="64">
        <v>9.8000000000000007</v>
      </c>
      <c r="D65" s="64">
        <v>13.34</v>
      </c>
      <c r="E65" s="64">
        <v>5.89</v>
      </c>
      <c r="F65" s="64">
        <v>11.38</v>
      </c>
      <c r="G65" s="26" t="s">
        <v>40</v>
      </c>
      <c r="H65" s="26" t="s">
        <v>40</v>
      </c>
      <c r="I65" s="64">
        <v>1.27</v>
      </c>
      <c r="J65" s="64">
        <v>0.18</v>
      </c>
      <c r="K65" s="64">
        <v>138.81</v>
      </c>
      <c r="L65" s="64">
        <v>28.43</v>
      </c>
      <c r="M65" s="64">
        <v>88.84</v>
      </c>
      <c r="N65" s="64">
        <v>223.5</v>
      </c>
      <c r="O65" s="64">
        <v>0</v>
      </c>
      <c r="P65" s="64">
        <v>0.4</v>
      </c>
      <c r="Q65" s="64">
        <v>9.6199999999999992</v>
      </c>
      <c r="R65" s="198"/>
      <c r="S65" s="198"/>
      <c r="T65" s="198"/>
      <c r="U65" s="198"/>
    </row>
    <row r="66" spans="1:21" s="12" customFormat="1" x14ac:dyDescent="0.25">
      <c r="A66" s="212" t="s">
        <v>1936</v>
      </c>
      <c r="B66" s="64">
        <v>11.34</v>
      </c>
      <c r="C66" s="64">
        <v>11.09</v>
      </c>
      <c r="D66" s="64">
        <v>14.88</v>
      </c>
      <c r="E66" s="64">
        <v>5.76</v>
      </c>
      <c r="F66" s="64">
        <v>13.9</v>
      </c>
      <c r="G66" s="26" t="s">
        <v>40</v>
      </c>
      <c r="H66" s="26" t="s">
        <v>40</v>
      </c>
      <c r="I66" s="64">
        <v>1.32</v>
      </c>
      <c r="J66" s="64">
        <v>0.41</v>
      </c>
      <c r="K66" s="64">
        <v>348.93</v>
      </c>
      <c r="L66" s="64">
        <v>28.72</v>
      </c>
      <c r="M66" s="64">
        <v>88.96</v>
      </c>
      <c r="N66" s="64">
        <v>257.5</v>
      </c>
      <c r="O66" s="64">
        <v>0</v>
      </c>
      <c r="P66" s="64">
        <v>0.38</v>
      </c>
      <c r="Q66" s="64">
        <v>9.6199999999999992</v>
      </c>
      <c r="R66" s="198"/>
      <c r="S66" s="198"/>
      <c r="T66" s="198"/>
      <c r="U66" s="198"/>
    </row>
    <row r="67" spans="1:21" s="12" customFormat="1" x14ac:dyDescent="0.25">
      <c r="A67" s="212" t="s">
        <v>1937</v>
      </c>
      <c r="B67" s="64">
        <v>8.61</v>
      </c>
      <c r="C67" s="64">
        <v>10.84</v>
      </c>
      <c r="D67" s="64">
        <v>12.57</v>
      </c>
      <c r="E67" s="64">
        <v>5.86</v>
      </c>
      <c r="F67" s="64">
        <v>12.26</v>
      </c>
      <c r="G67" s="26" t="s">
        <v>40</v>
      </c>
      <c r="H67" s="26" t="s">
        <v>40</v>
      </c>
      <c r="I67" s="64">
        <v>1.37</v>
      </c>
      <c r="J67" s="64">
        <v>0.39</v>
      </c>
      <c r="K67" s="64">
        <v>116.22</v>
      </c>
      <c r="L67" s="64">
        <v>28.71</v>
      </c>
      <c r="M67" s="64">
        <v>86.34</v>
      </c>
      <c r="N67" s="64">
        <v>234.7</v>
      </c>
      <c r="O67" s="64">
        <v>0</v>
      </c>
      <c r="P67" s="64">
        <v>0.37</v>
      </c>
      <c r="Q67" s="64">
        <v>9.6199999999999992</v>
      </c>
      <c r="R67" s="198"/>
      <c r="S67" s="198"/>
      <c r="T67" s="198"/>
      <c r="U67" s="198"/>
    </row>
    <row r="68" spans="1:21" s="12" customFormat="1" x14ac:dyDescent="0.25">
      <c r="A68" s="212" t="s">
        <v>1938</v>
      </c>
      <c r="B68" s="64">
        <v>11.99</v>
      </c>
      <c r="C68" s="64">
        <v>13.45</v>
      </c>
      <c r="D68" s="64">
        <v>16.64</v>
      </c>
      <c r="E68" s="64">
        <v>6.02</v>
      </c>
      <c r="F68" s="64">
        <v>12.15</v>
      </c>
      <c r="G68" s="64">
        <v>12.78</v>
      </c>
      <c r="H68" s="64">
        <v>6.66</v>
      </c>
      <c r="I68" s="64">
        <v>1.44</v>
      </c>
      <c r="J68" s="64">
        <v>0.83</v>
      </c>
      <c r="K68" s="64">
        <v>332.7</v>
      </c>
      <c r="L68" s="64">
        <v>26.58</v>
      </c>
      <c r="M68" s="64">
        <v>97.61</v>
      </c>
      <c r="N68" s="64">
        <v>166.4</v>
      </c>
      <c r="O68" s="64">
        <v>0</v>
      </c>
      <c r="P68" s="64">
        <v>0.43</v>
      </c>
      <c r="Q68" s="64">
        <v>9.6199999999999992</v>
      </c>
      <c r="R68" s="198"/>
      <c r="S68" s="198"/>
      <c r="T68" s="198"/>
      <c r="U68" s="198"/>
    </row>
    <row r="69" spans="1:21" s="12" customFormat="1" x14ac:dyDescent="0.25">
      <c r="A69" s="212" t="s">
        <v>1939</v>
      </c>
      <c r="B69" s="64">
        <v>14.36</v>
      </c>
      <c r="C69" s="64">
        <v>19.36</v>
      </c>
      <c r="D69" s="64">
        <v>21.63</v>
      </c>
      <c r="E69" s="64">
        <v>6.15</v>
      </c>
      <c r="F69" s="64">
        <v>11.1</v>
      </c>
      <c r="G69" s="64">
        <v>18.18</v>
      </c>
      <c r="H69" s="64">
        <v>9.48</v>
      </c>
      <c r="I69" s="64">
        <v>1.49</v>
      </c>
      <c r="J69" s="64">
        <v>0.6</v>
      </c>
      <c r="K69" s="64">
        <v>335.81</v>
      </c>
      <c r="L69" s="64">
        <v>26.16</v>
      </c>
      <c r="M69" s="64">
        <v>98.03</v>
      </c>
      <c r="N69" s="64">
        <v>195.4</v>
      </c>
      <c r="O69" s="64">
        <v>0</v>
      </c>
      <c r="P69" s="64">
        <v>0.52</v>
      </c>
      <c r="Q69" s="64">
        <v>9.57</v>
      </c>
      <c r="R69" s="198"/>
      <c r="S69" s="198"/>
      <c r="T69" s="198"/>
      <c r="U69" s="198"/>
    </row>
    <row r="70" spans="1:21" s="12" customFormat="1" x14ac:dyDescent="0.25">
      <c r="A70" s="212" t="s">
        <v>1940</v>
      </c>
      <c r="B70" s="64">
        <v>10.06</v>
      </c>
      <c r="C70" s="64">
        <v>16.21</v>
      </c>
      <c r="D70" s="64">
        <v>16.54</v>
      </c>
      <c r="E70" s="64">
        <v>5.95</v>
      </c>
      <c r="F70" s="64">
        <v>10.79</v>
      </c>
      <c r="G70" s="64">
        <v>18.18</v>
      </c>
      <c r="H70" s="64">
        <v>9.48</v>
      </c>
      <c r="I70" s="64">
        <v>1.55</v>
      </c>
      <c r="J70" s="64">
        <v>0.15</v>
      </c>
      <c r="K70" s="64">
        <v>139.51</v>
      </c>
      <c r="L70" s="64">
        <v>26.88</v>
      </c>
      <c r="M70" s="64">
        <v>97.98</v>
      </c>
      <c r="N70" s="64">
        <v>181.2</v>
      </c>
      <c r="O70" s="64">
        <v>0</v>
      </c>
      <c r="P70" s="64">
        <v>0.47</v>
      </c>
      <c r="Q70" s="64">
        <v>9.5399999999999991</v>
      </c>
      <c r="R70" s="198"/>
      <c r="S70" s="198"/>
      <c r="T70" s="198"/>
      <c r="U70" s="198"/>
    </row>
    <row r="71" spans="1:21" s="12" customFormat="1" x14ac:dyDescent="0.25">
      <c r="A71" s="212" t="s">
        <v>1941</v>
      </c>
      <c r="B71" s="64">
        <v>8.93</v>
      </c>
      <c r="C71" s="64">
        <v>13.04</v>
      </c>
      <c r="D71" s="64">
        <v>13.98</v>
      </c>
      <c r="E71" s="64">
        <v>6.36</v>
      </c>
      <c r="F71" s="64">
        <v>12.7</v>
      </c>
      <c r="G71" s="64">
        <v>18.18</v>
      </c>
      <c r="H71" s="64">
        <v>9.48</v>
      </c>
      <c r="I71" s="64">
        <v>1.77</v>
      </c>
      <c r="J71" s="64">
        <v>0.35</v>
      </c>
      <c r="K71" s="64">
        <v>138.24</v>
      </c>
      <c r="L71" s="64">
        <v>27.24</v>
      </c>
      <c r="M71" s="64">
        <v>97.92</v>
      </c>
      <c r="N71" s="64">
        <v>193.9</v>
      </c>
      <c r="O71" s="64">
        <v>0</v>
      </c>
      <c r="P71" s="64">
        <v>0.41</v>
      </c>
      <c r="Q71" s="64">
        <v>9.5299999999999994</v>
      </c>
      <c r="R71" s="198"/>
      <c r="S71" s="198"/>
      <c r="T71" s="198"/>
      <c r="U71" s="198"/>
    </row>
    <row r="72" spans="1:21" s="12" customFormat="1" x14ac:dyDescent="0.25">
      <c r="A72" s="212" t="s">
        <v>1942</v>
      </c>
      <c r="B72" s="64">
        <v>11.47</v>
      </c>
      <c r="C72" s="64">
        <v>12.51</v>
      </c>
      <c r="D72" s="64">
        <v>15.73</v>
      </c>
      <c r="E72" s="64">
        <v>5.13</v>
      </c>
      <c r="F72" s="64">
        <v>10.41</v>
      </c>
      <c r="G72" s="64">
        <v>26.81</v>
      </c>
      <c r="H72" s="64">
        <v>7.86</v>
      </c>
      <c r="I72" s="64">
        <v>1.9</v>
      </c>
      <c r="J72" s="64">
        <v>0.15</v>
      </c>
      <c r="K72" s="64">
        <v>327.73</v>
      </c>
      <c r="L72" s="64">
        <v>27.54</v>
      </c>
      <c r="M72" s="64">
        <v>97.91</v>
      </c>
      <c r="N72" s="64">
        <v>201.2</v>
      </c>
      <c r="O72" s="64">
        <v>0</v>
      </c>
      <c r="P72" s="64">
        <v>0.43</v>
      </c>
      <c r="Q72" s="64">
        <v>9.57</v>
      </c>
      <c r="R72" s="198"/>
      <c r="S72" s="198"/>
      <c r="T72" s="198"/>
      <c r="U72" s="198"/>
    </row>
    <row r="73" spans="1:21" s="12" customFormat="1" x14ac:dyDescent="0.25">
      <c r="A73" s="212" t="s">
        <v>1943</v>
      </c>
      <c r="B73" s="64">
        <v>9.39</v>
      </c>
      <c r="C73" s="64">
        <v>11.42</v>
      </c>
      <c r="D73" s="64">
        <v>13.5</v>
      </c>
      <c r="E73" s="64">
        <v>5.39</v>
      </c>
      <c r="F73" s="64">
        <v>12.17</v>
      </c>
      <c r="G73" s="64">
        <v>31.12</v>
      </c>
      <c r="H73" s="64">
        <v>7.05</v>
      </c>
      <c r="I73" s="64">
        <v>1.87</v>
      </c>
      <c r="J73" s="64">
        <v>0.19</v>
      </c>
      <c r="K73" s="64">
        <v>117.67</v>
      </c>
      <c r="L73" s="64">
        <v>27.81</v>
      </c>
      <c r="M73" s="64">
        <v>96.12</v>
      </c>
      <c r="N73" s="64">
        <v>193.6</v>
      </c>
      <c r="O73" s="64">
        <v>0</v>
      </c>
      <c r="P73" s="64">
        <v>0.41</v>
      </c>
      <c r="Q73" s="64">
        <v>9.56</v>
      </c>
      <c r="R73" s="198"/>
      <c r="S73" s="198"/>
      <c r="T73" s="198"/>
      <c r="U73" s="198"/>
    </row>
    <row r="74" spans="1:21" s="12" customFormat="1" x14ac:dyDescent="0.25">
      <c r="A74" s="212" t="s">
        <v>1944</v>
      </c>
      <c r="B74" s="64">
        <v>8.35</v>
      </c>
      <c r="C74" s="64">
        <v>12.46</v>
      </c>
      <c r="D74" s="64">
        <v>13.21</v>
      </c>
      <c r="E74" s="64">
        <v>5.34</v>
      </c>
      <c r="F74" s="64">
        <v>14.82</v>
      </c>
      <c r="G74" s="64">
        <v>31.12</v>
      </c>
      <c r="H74" s="64">
        <v>7.05</v>
      </c>
      <c r="I74" s="64">
        <v>1.84</v>
      </c>
      <c r="J74" s="64">
        <v>0.15</v>
      </c>
      <c r="K74" s="64">
        <v>330.36</v>
      </c>
      <c r="L74" s="64">
        <v>27.91</v>
      </c>
      <c r="M74" s="64">
        <v>94.3</v>
      </c>
      <c r="N74" s="64">
        <v>168.5</v>
      </c>
      <c r="O74" s="64">
        <v>0</v>
      </c>
      <c r="P74" s="64">
        <v>0.4</v>
      </c>
      <c r="Q74" s="64">
        <v>9.6</v>
      </c>
      <c r="R74" s="198"/>
      <c r="S74" s="198"/>
      <c r="T74" s="198"/>
      <c r="U74" s="198"/>
    </row>
    <row r="75" spans="1:21" s="12" customFormat="1" x14ac:dyDescent="0.25">
      <c r="A75" s="212" t="s">
        <v>1945</v>
      </c>
      <c r="B75" s="64">
        <v>9.0399999999999991</v>
      </c>
      <c r="C75" s="64">
        <v>15.77</v>
      </c>
      <c r="D75" s="64">
        <v>15.49</v>
      </c>
      <c r="E75" s="64">
        <v>5.34</v>
      </c>
      <c r="F75" s="64">
        <v>11.07</v>
      </c>
      <c r="G75" s="64">
        <v>31.12</v>
      </c>
      <c r="H75" s="64">
        <v>7.05</v>
      </c>
      <c r="I75" s="64">
        <v>1.78</v>
      </c>
      <c r="J75" s="64">
        <v>0.21</v>
      </c>
      <c r="K75" s="64">
        <v>326.89999999999998</v>
      </c>
      <c r="L75" s="64">
        <v>28</v>
      </c>
      <c r="M75" s="64">
        <v>91.78</v>
      </c>
      <c r="N75" s="64">
        <v>163.5</v>
      </c>
      <c r="O75" s="64">
        <v>0</v>
      </c>
      <c r="P75" s="64">
        <v>0.48</v>
      </c>
      <c r="Q75" s="64">
        <v>9.59</v>
      </c>
      <c r="R75" s="198"/>
      <c r="S75" s="198"/>
      <c r="T75" s="198"/>
      <c r="U75" s="198"/>
    </row>
    <row r="76" spans="1:21" s="12" customFormat="1" x14ac:dyDescent="0.25">
      <c r="A76" s="212" t="s">
        <v>1946</v>
      </c>
      <c r="B76" s="64">
        <v>11.24</v>
      </c>
      <c r="C76" s="64">
        <v>16.48</v>
      </c>
      <c r="D76" s="64">
        <v>17.38</v>
      </c>
      <c r="E76" s="64">
        <v>4.95</v>
      </c>
      <c r="F76" s="64">
        <v>12.79</v>
      </c>
      <c r="G76" s="64">
        <v>23.42</v>
      </c>
      <c r="H76" s="64">
        <v>7.28</v>
      </c>
      <c r="I76" s="64">
        <v>1.93</v>
      </c>
      <c r="J76" s="64">
        <v>0.1</v>
      </c>
      <c r="K76" s="64">
        <v>351.24</v>
      </c>
      <c r="L76" s="64">
        <v>27.97</v>
      </c>
      <c r="M76" s="64">
        <v>92.75</v>
      </c>
      <c r="N76" s="64">
        <v>156.9</v>
      </c>
      <c r="O76" s="64">
        <v>0</v>
      </c>
      <c r="P76" s="64">
        <v>0.54</v>
      </c>
      <c r="Q76" s="64">
        <v>9.56</v>
      </c>
      <c r="R76" s="198"/>
      <c r="S76" s="198"/>
      <c r="T76" s="198"/>
      <c r="U76" s="198"/>
    </row>
    <row r="77" spans="1:21" s="12" customFormat="1" x14ac:dyDescent="0.25">
      <c r="A77" s="212" t="s">
        <v>1947</v>
      </c>
      <c r="B77" s="64">
        <v>7.17</v>
      </c>
      <c r="C77" s="64">
        <v>14.87</v>
      </c>
      <c r="D77" s="64">
        <v>13.52</v>
      </c>
      <c r="E77" s="64">
        <v>5.14</v>
      </c>
      <c r="F77" s="64">
        <v>14.15</v>
      </c>
      <c r="G77" s="64">
        <v>19.57</v>
      </c>
      <c r="H77" s="64">
        <v>7.39</v>
      </c>
      <c r="I77" s="64">
        <v>2.34</v>
      </c>
      <c r="J77" s="64">
        <v>0.1</v>
      </c>
      <c r="K77" s="64">
        <v>157.21</v>
      </c>
      <c r="L77" s="64">
        <v>27.8</v>
      </c>
      <c r="M77" s="64">
        <v>93.64</v>
      </c>
      <c r="N77" s="64">
        <v>134.30000000000001</v>
      </c>
      <c r="O77" s="64">
        <v>0</v>
      </c>
      <c r="P77" s="64">
        <v>0.39</v>
      </c>
      <c r="Q77" s="64">
        <v>9.57</v>
      </c>
      <c r="R77" s="198"/>
      <c r="S77" s="198"/>
      <c r="T77" s="198"/>
      <c r="U77" s="198"/>
    </row>
    <row r="78" spans="1:21" s="12" customFormat="1" x14ac:dyDescent="0.25">
      <c r="A78" s="212" t="s">
        <v>1948</v>
      </c>
      <c r="B78" s="64">
        <v>13.54</v>
      </c>
      <c r="C78" s="64">
        <v>21.35</v>
      </c>
      <c r="D78" s="64">
        <v>22.02</v>
      </c>
      <c r="E78" s="64">
        <v>5.35</v>
      </c>
      <c r="F78" s="64">
        <v>13.23</v>
      </c>
      <c r="G78" s="64">
        <v>19.57</v>
      </c>
      <c r="H78" s="64">
        <v>7.39</v>
      </c>
      <c r="I78" s="64">
        <v>2.5</v>
      </c>
      <c r="J78" s="64">
        <v>7.0000000000000007E-2</v>
      </c>
      <c r="K78" s="64">
        <v>314.56</v>
      </c>
      <c r="L78" s="64">
        <v>27.56</v>
      </c>
      <c r="M78" s="64">
        <v>95.69</v>
      </c>
      <c r="N78" s="64">
        <v>111.7</v>
      </c>
      <c r="O78" s="64">
        <v>0</v>
      </c>
      <c r="P78" s="64">
        <v>0.56000000000000005</v>
      </c>
      <c r="Q78" s="64">
        <v>9.57</v>
      </c>
      <c r="R78" s="198"/>
      <c r="S78" s="198"/>
      <c r="T78" s="198"/>
      <c r="U78" s="198"/>
    </row>
    <row r="79" spans="1:21" s="12" customFormat="1" x14ac:dyDescent="0.25">
      <c r="A79" s="212" t="s">
        <v>1949</v>
      </c>
      <c r="B79" s="64">
        <v>11.51</v>
      </c>
      <c r="C79" s="64">
        <v>18.82</v>
      </c>
      <c r="D79" s="64">
        <v>19.059999999999999</v>
      </c>
      <c r="E79" s="64">
        <v>5.05</v>
      </c>
      <c r="F79" s="64">
        <v>11.44</v>
      </c>
      <c r="G79" s="64">
        <v>19.57</v>
      </c>
      <c r="H79" s="64">
        <v>7.39</v>
      </c>
      <c r="I79" s="64">
        <v>2.27</v>
      </c>
      <c r="J79" s="64">
        <v>0.03</v>
      </c>
      <c r="K79" s="64">
        <v>91.12</v>
      </c>
      <c r="L79" s="64">
        <v>27.55</v>
      </c>
      <c r="M79" s="64">
        <v>95.46</v>
      </c>
      <c r="N79" s="64">
        <v>124.6</v>
      </c>
      <c r="O79" s="64">
        <v>0</v>
      </c>
      <c r="P79" s="64">
        <v>0.6</v>
      </c>
      <c r="Q79" s="64">
        <v>9.5500000000000007</v>
      </c>
      <c r="R79" s="198"/>
      <c r="S79" s="198"/>
      <c r="T79" s="198"/>
      <c r="U79" s="198"/>
    </row>
    <row r="80" spans="1:21" s="12" customFormat="1" x14ac:dyDescent="0.25">
      <c r="A80" s="212" t="s">
        <v>1950</v>
      </c>
      <c r="B80" s="64">
        <v>13.66</v>
      </c>
      <c r="C80" s="64">
        <v>20.260000000000002</v>
      </c>
      <c r="D80" s="64">
        <v>21.54</v>
      </c>
      <c r="E80" s="64">
        <v>5.22</v>
      </c>
      <c r="F80" s="64">
        <v>10.65</v>
      </c>
      <c r="G80" s="64">
        <v>22.67</v>
      </c>
      <c r="H80" s="64">
        <v>6.89</v>
      </c>
      <c r="I80" s="64">
        <v>1.66</v>
      </c>
      <c r="J80" s="64">
        <v>0.13</v>
      </c>
      <c r="K80" s="64">
        <v>312.44</v>
      </c>
      <c r="L80" s="64">
        <v>27.38</v>
      </c>
      <c r="M80" s="64">
        <v>95.91</v>
      </c>
      <c r="N80" s="64">
        <v>115.9</v>
      </c>
      <c r="O80" s="64">
        <v>0</v>
      </c>
      <c r="P80" s="64">
        <v>0.69</v>
      </c>
      <c r="Q80" s="64">
        <v>9.5399999999999991</v>
      </c>
      <c r="R80" s="198"/>
      <c r="S80" s="198"/>
      <c r="T80" s="198"/>
      <c r="U80" s="198"/>
    </row>
    <row r="81" spans="1:26" s="12" customFormat="1" x14ac:dyDescent="0.25">
      <c r="A81" s="212" t="s">
        <v>1951</v>
      </c>
      <c r="B81" s="64">
        <v>13.26</v>
      </c>
      <c r="C81" s="64">
        <v>18.47</v>
      </c>
      <c r="D81" s="64">
        <v>20.28</v>
      </c>
      <c r="E81" s="64">
        <v>5.2</v>
      </c>
      <c r="F81" s="64">
        <v>10.19</v>
      </c>
      <c r="G81" s="64">
        <v>24.22</v>
      </c>
      <c r="H81" s="64">
        <v>6.64</v>
      </c>
      <c r="I81" s="64">
        <v>1.31</v>
      </c>
      <c r="J81" s="64">
        <v>0</v>
      </c>
      <c r="K81" s="64">
        <v>192.22</v>
      </c>
      <c r="L81" s="64">
        <v>27.24</v>
      </c>
      <c r="M81" s="64">
        <v>95.58</v>
      </c>
      <c r="N81" s="64">
        <v>104.1</v>
      </c>
      <c r="O81" s="64">
        <v>0</v>
      </c>
      <c r="P81" s="64">
        <v>0.65</v>
      </c>
      <c r="Q81" s="64">
        <v>9.5299999999999994</v>
      </c>
      <c r="R81" s="198"/>
      <c r="S81" s="198"/>
      <c r="T81" s="198"/>
      <c r="U81" s="198"/>
    </row>
    <row r="82" spans="1:26" s="12" customFormat="1" x14ac:dyDescent="0.25">
      <c r="A82" s="212" t="s">
        <v>1952</v>
      </c>
      <c r="B82" s="64">
        <v>17.13</v>
      </c>
      <c r="C82" s="64">
        <v>19.670000000000002</v>
      </c>
      <c r="D82" s="64">
        <v>24.02</v>
      </c>
      <c r="E82" s="64">
        <v>5.18</v>
      </c>
      <c r="F82" s="64">
        <v>8.2799999999999994</v>
      </c>
      <c r="G82" s="64">
        <v>24.22</v>
      </c>
      <c r="H82" s="64">
        <v>6.64</v>
      </c>
      <c r="I82" s="64">
        <v>1.39</v>
      </c>
      <c r="J82" s="64">
        <v>0.06</v>
      </c>
      <c r="K82" s="64">
        <v>314.93</v>
      </c>
      <c r="L82" s="64">
        <v>27.16</v>
      </c>
      <c r="M82" s="64">
        <v>96.15</v>
      </c>
      <c r="N82" s="64">
        <v>111.3</v>
      </c>
      <c r="O82" s="64">
        <v>0</v>
      </c>
      <c r="P82" s="64">
        <v>0.76</v>
      </c>
      <c r="Q82" s="64">
        <v>9.5299999999999994</v>
      </c>
      <c r="R82" s="198"/>
      <c r="S82" s="198"/>
      <c r="T82" s="198"/>
      <c r="U82" s="198"/>
    </row>
    <row r="83" spans="1:26" s="12" customFormat="1" x14ac:dyDescent="0.25">
      <c r="A83" s="212" t="s">
        <v>1953</v>
      </c>
      <c r="B83" s="64">
        <v>10.95</v>
      </c>
      <c r="C83" s="64">
        <v>19.809999999999999</v>
      </c>
      <c r="D83" s="64">
        <v>19.13</v>
      </c>
      <c r="E83" s="64">
        <v>5.35</v>
      </c>
      <c r="F83" s="64">
        <v>9.48</v>
      </c>
      <c r="G83" s="64">
        <v>24.22</v>
      </c>
      <c r="H83" s="64">
        <v>6.64</v>
      </c>
      <c r="I83" s="64">
        <v>1.48</v>
      </c>
      <c r="J83" s="64">
        <v>0.12</v>
      </c>
      <c r="K83" s="64">
        <v>305.56</v>
      </c>
      <c r="L83" s="64">
        <v>26.96</v>
      </c>
      <c r="M83" s="64">
        <v>97.61</v>
      </c>
      <c r="N83" s="64">
        <v>109.5</v>
      </c>
      <c r="O83" s="64">
        <v>0</v>
      </c>
      <c r="P83" s="64">
        <v>0.79</v>
      </c>
      <c r="Q83" s="64">
        <v>9.5399999999999991</v>
      </c>
      <c r="R83" s="198"/>
      <c r="S83" s="198"/>
      <c r="T83" s="198"/>
      <c r="U83" s="198"/>
    </row>
    <row r="84" spans="1:26" s="12" customFormat="1" x14ac:dyDescent="0.25">
      <c r="A84" s="212" t="s">
        <v>1954</v>
      </c>
      <c r="B84" s="64">
        <v>16.100000000000001</v>
      </c>
      <c r="C84" s="64">
        <v>18.98</v>
      </c>
      <c r="D84" s="64">
        <v>22.83</v>
      </c>
      <c r="E84" s="64">
        <v>5.4</v>
      </c>
      <c r="F84" s="64">
        <v>8.98</v>
      </c>
      <c r="G84" s="64">
        <v>18.91</v>
      </c>
      <c r="H84" s="64">
        <v>5.56</v>
      </c>
      <c r="I84" s="64">
        <v>1.61</v>
      </c>
      <c r="J84" s="64">
        <v>0.09</v>
      </c>
      <c r="K84" s="64">
        <v>290.92</v>
      </c>
      <c r="L84" s="64">
        <v>26.94</v>
      </c>
      <c r="M84" s="64">
        <v>97.56</v>
      </c>
      <c r="N84" s="64">
        <v>101.7</v>
      </c>
      <c r="O84" s="64">
        <v>0</v>
      </c>
      <c r="P84" s="64">
        <v>0.69</v>
      </c>
      <c r="Q84" s="64">
        <v>9.57</v>
      </c>
      <c r="R84" s="198"/>
      <c r="S84" s="198"/>
      <c r="T84" s="198"/>
      <c r="U84" s="198"/>
    </row>
    <row r="85" spans="1:26" s="12" customFormat="1" x14ac:dyDescent="0.25">
      <c r="A85" s="212" t="s">
        <v>1955</v>
      </c>
      <c r="B85" s="64">
        <v>9.17</v>
      </c>
      <c r="C85" s="64">
        <v>16.48</v>
      </c>
      <c r="D85" s="64">
        <v>15.97</v>
      </c>
      <c r="E85" s="64">
        <v>5.08</v>
      </c>
      <c r="F85" s="64">
        <v>9.9700000000000006</v>
      </c>
      <c r="G85" s="64">
        <v>16.260000000000002</v>
      </c>
      <c r="H85" s="64">
        <v>5.0199999999999996</v>
      </c>
      <c r="I85" s="64">
        <v>1.73</v>
      </c>
      <c r="J85" s="64">
        <v>0.12</v>
      </c>
      <c r="K85" s="64">
        <v>157.9</v>
      </c>
      <c r="L85" s="64">
        <v>26.86</v>
      </c>
      <c r="M85" s="64">
        <v>97.81</v>
      </c>
      <c r="N85" s="64">
        <v>100.2</v>
      </c>
      <c r="O85" s="64">
        <v>0</v>
      </c>
      <c r="P85" s="64">
        <v>0.55000000000000004</v>
      </c>
      <c r="Q85" s="64">
        <v>9.58</v>
      </c>
      <c r="R85" s="198"/>
      <c r="S85" s="198"/>
      <c r="T85" s="198"/>
      <c r="U85" s="198"/>
    </row>
    <row r="86" spans="1:26" s="12" customFormat="1" x14ac:dyDescent="0.25">
      <c r="A86" s="212" t="s">
        <v>1956</v>
      </c>
      <c r="B86" s="64">
        <v>10.75</v>
      </c>
      <c r="C86" s="64">
        <v>13.78</v>
      </c>
      <c r="D86" s="64">
        <v>15.82</v>
      </c>
      <c r="E86" s="64">
        <v>5.42</v>
      </c>
      <c r="F86" s="64">
        <v>9.0500000000000007</v>
      </c>
      <c r="G86" s="64">
        <v>16.260000000000002</v>
      </c>
      <c r="H86" s="64">
        <v>5.0199999999999996</v>
      </c>
      <c r="I86" s="64">
        <v>1.79</v>
      </c>
      <c r="J86" s="64">
        <v>0.25</v>
      </c>
      <c r="K86" s="64">
        <v>132.44999999999999</v>
      </c>
      <c r="L86" s="64">
        <v>26.79</v>
      </c>
      <c r="M86" s="64">
        <v>97.92</v>
      </c>
      <c r="N86" s="64">
        <v>94.4</v>
      </c>
      <c r="O86" s="64">
        <v>0</v>
      </c>
      <c r="P86" s="64">
        <v>0.59</v>
      </c>
      <c r="Q86" s="64">
        <v>9.59</v>
      </c>
      <c r="R86" s="198"/>
      <c r="S86" s="198"/>
      <c r="T86" s="198"/>
      <c r="U86" s="198"/>
    </row>
    <row r="87" spans="1:26" s="12" customFormat="1" x14ac:dyDescent="0.25">
      <c r="A87" s="212" t="s">
        <v>1957</v>
      </c>
      <c r="B87" s="64">
        <v>8.11</v>
      </c>
      <c r="C87" s="64">
        <v>12.82</v>
      </c>
      <c r="D87" s="64">
        <v>13.2</v>
      </c>
      <c r="E87" s="64">
        <v>5.53</v>
      </c>
      <c r="F87" s="64">
        <v>8.25</v>
      </c>
      <c r="G87" s="64">
        <v>16.260000000000002</v>
      </c>
      <c r="H87" s="64">
        <v>5.0199999999999996</v>
      </c>
      <c r="I87" s="64">
        <v>1.82</v>
      </c>
      <c r="J87" s="64">
        <v>0.08</v>
      </c>
      <c r="K87" s="64">
        <v>154.36000000000001</v>
      </c>
      <c r="L87" s="64">
        <v>26.69</v>
      </c>
      <c r="M87" s="64">
        <v>97.68</v>
      </c>
      <c r="N87" s="64">
        <v>104.9</v>
      </c>
      <c r="O87" s="64">
        <v>0</v>
      </c>
      <c r="P87" s="64">
        <v>0.56000000000000005</v>
      </c>
      <c r="Q87" s="64">
        <v>9.58</v>
      </c>
      <c r="R87" s="198"/>
      <c r="S87" s="198"/>
      <c r="T87" s="198"/>
      <c r="U87" s="198"/>
    </row>
    <row r="88" spans="1:26" s="12" customFormat="1" x14ac:dyDescent="0.25">
      <c r="A88" s="212" t="s">
        <v>1958</v>
      </c>
      <c r="B88" s="64">
        <v>8.24</v>
      </c>
      <c r="C88" s="64">
        <v>11.27</v>
      </c>
      <c r="D88" s="64">
        <v>12.49</v>
      </c>
      <c r="E88" s="64">
        <v>5.16</v>
      </c>
      <c r="F88" s="64">
        <v>4.3899999999999997</v>
      </c>
      <c r="G88" s="64">
        <v>26.16</v>
      </c>
      <c r="H88" s="64">
        <v>6.24</v>
      </c>
      <c r="I88" s="64">
        <v>1.83</v>
      </c>
      <c r="J88" s="64">
        <v>0.05</v>
      </c>
      <c r="K88" s="64">
        <v>241.43</v>
      </c>
      <c r="L88" s="64">
        <v>26.49</v>
      </c>
      <c r="M88" s="64">
        <v>97.63</v>
      </c>
      <c r="N88" s="64">
        <v>104</v>
      </c>
      <c r="O88" s="64">
        <v>0</v>
      </c>
      <c r="P88" s="64">
        <v>0.56000000000000005</v>
      </c>
      <c r="Q88" s="64">
        <v>9.57</v>
      </c>
      <c r="R88" s="198"/>
      <c r="S88" s="198"/>
      <c r="T88" s="198"/>
      <c r="U88" s="198"/>
    </row>
    <row r="89" spans="1:26" s="12" customFormat="1" x14ac:dyDescent="0.25">
      <c r="A89" s="212" t="s">
        <v>1959</v>
      </c>
      <c r="B89" s="64">
        <v>11.41</v>
      </c>
      <c r="C89" s="64">
        <v>12.77</v>
      </c>
      <c r="D89" s="64">
        <v>15.82</v>
      </c>
      <c r="E89" s="64">
        <v>5.38</v>
      </c>
      <c r="F89" s="64">
        <v>6.11</v>
      </c>
      <c r="G89" s="64">
        <v>31.1</v>
      </c>
      <c r="H89" s="64">
        <v>6.84</v>
      </c>
      <c r="I89" s="64">
        <v>1.81</v>
      </c>
      <c r="J89" s="64">
        <v>7.0000000000000007E-2</v>
      </c>
      <c r="K89" s="64">
        <v>300.66000000000003</v>
      </c>
      <c r="L89" s="64">
        <v>26.31</v>
      </c>
      <c r="M89" s="64">
        <v>97.93</v>
      </c>
      <c r="N89" s="64">
        <v>99.4</v>
      </c>
      <c r="O89" s="64">
        <v>0</v>
      </c>
      <c r="P89" s="64">
        <v>0.61</v>
      </c>
      <c r="Q89" s="64">
        <v>9.58</v>
      </c>
      <c r="R89" s="198"/>
      <c r="S89" s="198"/>
      <c r="T89" s="198"/>
      <c r="U89" s="198"/>
    </row>
    <row r="90" spans="1:26" s="12" customFormat="1" x14ac:dyDescent="0.25">
      <c r="A90" s="212" t="s">
        <v>1960</v>
      </c>
      <c r="B90" s="64">
        <v>10.4</v>
      </c>
      <c r="C90" s="64">
        <v>11.9</v>
      </c>
      <c r="D90" s="64">
        <v>14.56</v>
      </c>
      <c r="E90" s="64">
        <v>5.31</v>
      </c>
      <c r="F90" s="64">
        <v>10.52</v>
      </c>
      <c r="G90" s="64">
        <v>31.1</v>
      </c>
      <c r="H90" s="64">
        <v>6.84</v>
      </c>
      <c r="I90" s="64">
        <v>1.78</v>
      </c>
      <c r="J90" s="64">
        <v>0.17</v>
      </c>
      <c r="K90" s="64">
        <v>144.25</v>
      </c>
      <c r="L90" s="64">
        <v>26.16</v>
      </c>
      <c r="M90" s="64">
        <v>97.93</v>
      </c>
      <c r="N90" s="64">
        <v>101.1</v>
      </c>
      <c r="O90" s="64">
        <v>0</v>
      </c>
      <c r="P90" s="64">
        <v>0.6</v>
      </c>
      <c r="Q90" s="64">
        <v>9.6300000000000008</v>
      </c>
      <c r="R90" s="198"/>
      <c r="S90" s="198"/>
      <c r="T90" s="198"/>
      <c r="U90" s="198"/>
    </row>
    <row r="91" spans="1:26" s="12" customFormat="1" x14ac:dyDescent="0.25">
      <c r="A91" s="212" t="s">
        <v>1961</v>
      </c>
      <c r="B91" s="64">
        <v>9.24</v>
      </c>
      <c r="C91" s="64">
        <v>9.16</v>
      </c>
      <c r="D91" s="64">
        <v>12.19</v>
      </c>
      <c r="E91" s="64">
        <v>5.3</v>
      </c>
      <c r="F91" s="64">
        <v>5.62</v>
      </c>
      <c r="G91" s="64">
        <v>31.1</v>
      </c>
      <c r="H91" s="64">
        <v>6.84</v>
      </c>
      <c r="I91" s="64">
        <v>1.78</v>
      </c>
      <c r="J91" s="64">
        <v>0.65</v>
      </c>
      <c r="K91" s="64">
        <v>124.43</v>
      </c>
      <c r="L91" s="64">
        <v>25.99</v>
      </c>
      <c r="M91" s="64">
        <v>97.93</v>
      </c>
      <c r="N91" s="64">
        <v>105.6</v>
      </c>
      <c r="O91" s="64">
        <v>0</v>
      </c>
      <c r="P91" s="64">
        <v>0.55000000000000004</v>
      </c>
      <c r="Q91" s="64">
        <v>9.6300000000000008</v>
      </c>
      <c r="R91" s="198"/>
      <c r="S91" s="198"/>
      <c r="T91" s="198"/>
      <c r="U91" s="198"/>
    </row>
    <row r="92" spans="1:26" s="12" customFormat="1" x14ac:dyDescent="0.25">
      <c r="A92" s="212" t="s">
        <v>1962</v>
      </c>
      <c r="B92" s="64">
        <v>9.81</v>
      </c>
      <c r="C92" s="64">
        <v>8.2100000000000009</v>
      </c>
      <c r="D92" s="64">
        <v>12.16</v>
      </c>
      <c r="E92" s="64">
        <v>5.08</v>
      </c>
      <c r="F92" s="64">
        <v>4.58</v>
      </c>
      <c r="G92" s="64">
        <v>29.4</v>
      </c>
      <c r="H92" s="64">
        <v>5.62</v>
      </c>
      <c r="I92" s="64">
        <v>1.77</v>
      </c>
      <c r="J92" s="64">
        <v>0.51</v>
      </c>
      <c r="K92" s="64">
        <v>123.78</v>
      </c>
      <c r="L92" s="64">
        <v>25.77</v>
      </c>
      <c r="M92" s="64">
        <v>97.95</v>
      </c>
      <c r="N92" s="64">
        <v>100.2</v>
      </c>
      <c r="O92" s="64">
        <v>0</v>
      </c>
      <c r="P92" s="64">
        <v>0.52</v>
      </c>
      <c r="Q92" s="64">
        <v>9.61</v>
      </c>
      <c r="R92" s="198"/>
      <c r="S92" s="198"/>
      <c r="T92" s="198"/>
      <c r="U92" s="198"/>
    </row>
    <row r="93" spans="1:26" s="12" customFormat="1" x14ac:dyDescent="0.25">
      <c r="A93" s="212" t="s">
        <v>1963</v>
      </c>
      <c r="B93" s="64">
        <v>12.3</v>
      </c>
      <c r="C93" s="64">
        <v>9.14</v>
      </c>
      <c r="D93" s="64">
        <v>14.23</v>
      </c>
      <c r="E93" s="64">
        <v>5.25</v>
      </c>
      <c r="F93" s="64">
        <v>9.41</v>
      </c>
      <c r="G93" s="64">
        <v>28.55</v>
      </c>
      <c r="H93" s="64">
        <v>5.01</v>
      </c>
      <c r="I93" s="64">
        <v>1.75</v>
      </c>
      <c r="J93" s="64">
        <v>0.2</v>
      </c>
      <c r="K93" s="64">
        <v>151.4</v>
      </c>
      <c r="L93" s="64">
        <v>25.62</v>
      </c>
      <c r="M93" s="64">
        <v>97.95</v>
      </c>
      <c r="N93" s="64">
        <v>85.3</v>
      </c>
      <c r="O93" s="64">
        <v>0</v>
      </c>
      <c r="P93" s="64">
        <v>0.47</v>
      </c>
      <c r="Q93" s="64">
        <v>9.6300000000000008</v>
      </c>
      <c r="R93" s="198"/>
      <c r="S93" s="198"/>
      <c r="T93" s="198"/>
      <c r="U93" s="198"/>
    </row>
    <row r="94" spans="1:26" s="12" customFormat="1" x14ac:dyDescent="0.25">
      <c r="A94" s="212" t="s">
        <v>1964</v>
      </c>
      <c r="B94" s="64">
        <v>10.19</v>
      </c>
      <c r="C94" s="64">
        <v>8.61</v>
      </c>
      <c r="D94" s="64">
        <v>12.67</v>
      </c>
      <c r="E94" s="64">
        <v>5.28</v>
      </c>
      <c r="F94" s="64">
        <v>6.7</v>
      </c>
      <c r="G94" s="64">
        <v>28.55</v>
      </c>
      <c r="H94" s="64">
        <v>5.01</v>
      </c>
      <c r="I94" s="64">
        <v>1.73</v>
      </c>
      <c r="J94" s="64">
        <v>0.57999999999999996</v>
      </c>
      <c r="K94" s="64">
        <v>124.94</v>
      </c>
      <c r="L94" s="64">
        <v>25.46</v>
      </c>
      <c r="M94" s="64">
        <v>97.95</v>
      </c>
      <c r="N94" s="64">
        <v>90</v>
      </c>
      <c r="O94" s="64">
        <v>0</v>
      </c>
      <c r="P94" s="64">
        <v>0.52</v>
      </c>
      <c r="Q94" s="64">
        <v>9.6300000000000008</v>
      </c>
      <c r="R94" s="198"/>
      <c r="S94" s="198"/>
      <c r="T94" s="198"/>
      <c r="U94" s="198"/>
    </row>
    <row r="95" spans="1:26" s="12" customFormat="1" x14ac:dyDescent="0.25">
      <c r="A95" s="212" t="s">
        <v>1965</v>
      </c>
      <c r="B95" s="64">
        <v>9.06</v>
      </c>
      <c r="C95" s="64">
        <v>7.84</v>
      </c>
      <c r="D95" s="64">
        <v>11.36</v>
      </c>
      <c r="E95" s="64">
        <v>5.2</v>
      </c>
      <c r="F95" s="64">
        <v>4.88</v>
      </c>
      <c r="G95" s="64">
        <v>28.55</v>
      </c>
      <c r="H95" s="64">
        <v>5.01</v>
      </c>
      <c r="I95" s="64">
        <v>1.7</v>
      </c>
      <c r="J95" s="64">
        <v>0.87</v>
      </c>
      <c r="K95" s="64">
        <v>133.1</v>
      </c>
      <c r="L95" s="64">
        <v>25.37</v>
      </c>
      <c r="M95" s="64">
        <v>97.97</v>
      </c>
      <c r="N95" s="64">
        <v>92.2</v>
      </c>
      <c r="O95" s="64">
        <v>0</v>
      </c>
      <c r="P95" s="64">
        <v>0.49</v>
      </c>
      <c r="Q95" s="64">
        <v>9.6199999999999992</v>
      </c>
      <c r="R95" s="198"/>
      <c r="S95" s="198"/>
      <c r="T95" s="198"/>
      <c r="U95" s="198"/>
    </row>
    <row r="96" spans="1:26" s="12" customFormat="1" x14ac:dyDescent="0.25">
      <c r="A96" s="212" t="s">
        <v>1966</v>
      </c>
      <c r="B96" s="64">
        <v>7.25</v>
      </c>
      <c r="C96" s="64">
        <v>8.48</v>
      </c>
      <c r="D96" s="64">
        <v>10.25</v>
      </c>
      <c r="E96" s="64">
        <v>5.23</v>
      </c>
      <c r="F96" s="64">
        <v>8.42</v>
      </c>
      <c r="G96" s="64">
        <v>24.69</v>
      </c>
      <c r="H96" s="64">
        <v>4.9000000000000004</v>
      </c>
      <c r="I96" s="64">
        <v>1.68</v>
      </c>
      <c r="J96" s="64">
        <v>0.98</v>
      </c>
      <c r="K96" s="64">
        <v>125.62</v>
      </c>
      <c r="L96" s="64">
        <v>25.31</v>
      </c>
      <c r="M96" s="64">
        <v>97.97</v>
      </c>
      <c r="N96" s="64">
        <v>83.8</v>
      </c>
      <c r="O96" s="64">
        <v>0</v>
      </c>
      <c r="P96" s="64">
        <v>0.41</v>
      </c>
      <c r="Q96" s="64">
        <v>9.6300000000000008</v>
      </c>
      <c r="R96" s="198"/>
      <c r="S96" s="198"/>
      <c r="T96" s="198"/>
      <c r="U96" s="198"/>
      <c r="Z96" s="109"/>
    </row>
    <row r="97" spans="1:33" s="12" customFormat="1" x14ac:dyDescent="0.25">
      <c r="A97" s="212" t="s">
        <v>1967</v>
      </c>
      <c r="B97" s="64">
        <v>9.77</v>
      </c>
      <c r="C97" s="64">
        <v>8.1300000000000008</v>
      </c>
      <c r="D97" s="64">
        <v>12.08</v>
      </c>
      <c r="E97" s="64">
        <v>5.09</v>
      </c>
      <c r="F97" s="64">
        <v>8.8800000000000008</v>
      </c>
      <c r="G97" s="64">
        <v>22.76</v>
      </c>
      <c r="H97" s="64">
        <v>4.84</v>
      </c>
      <c r="I97" s="64">
        <v>1.66</v>
      </c>
      <c r="J97" s="64">
        <v>0.33</v>
      </c>
      <c r="K97" s="64">
        <v>130.13</v>
      </c>
      <c r="L97" s="64">
        <v>25.18</v>
      </c>
      <c r="M97" s="64">
        <v>97.98</v>
      </c>
      <c r="N97" s="64">
        <v>95</v>
      </c>
      <c r="O97" s="64">
        <v>0</v>
      </c>
      <c r="P97" s="64">
        <v>0.47</v>
      </c>
      <c r="Q97" s="64">
        <v>9.64</v>
      </c>
      <c r="R97" s="198"/>
      <c r="S97" s="198"/>
      <c r="T97" s="198"/>
      <c r="U97" s="198"/>
    </row>
    <row r="98" spans="1:33" s="12" customFormat="1" x14ac:dyDescent="0.25">
      <c r="A98" s="212" t="s">
        <v>1968</v>
      </c>
      <c r="B98" s="64">
        <v>11.71</v>
      </c>
      <c r="C98" s="64">
        <v>7.59</v>
      </c>
      <c r="D98" s="64">
        <v>13.34</v>
      </c>
      <c r="E98" s="64">
        <v>5.18</v>
      </c>
      <c r="F98" s="64">
        <v>6.58</v>
      </c>
      <c r="G98" s="64">
        <v>22.76</v>
      </c>
      <c r="H98" s="64">
        <v>4.84</v>
      </c>
      <c r="I98" s="64">
        <v>1.63</v>
      </c>
      <c r="J98" s="64">
        <v>0.26</v>
      </c>
      <c r="K98" s="64">
        <v>138.01</v>
      </c>
      <c r="L98" s="64">
        <v>24.97</v>
      </c>
      <c r="M98" s="64">
        <v>98</v>
      </c>
      <c r="N98" s="64">
        <v>94.9</v>
      </c>
      <c r="O98" s="64">
        <v>0</v>
      </c>
      <c r="P98" s="64">
        <v>0.42</v>
      </c>
      <c r="Q98" s="64">
        <v>9.6300000000000008</v>
      </c>
      <c r="R98" s="198"/>
      <c r="S98" s="198"/>
      <c r="T98" s="198"/>
      <c r="U98" s="198"/>
    </row>
    <row r="99" spans="1:33" s="12" customFormat="1" x14ac:dyDescent="0.25">
      <c r="A99" s="212" t="s">
        <v>1969</v>
      </c>
      <c r="B99" s="64">
        <v>12.98</v>
      </c>
      <c r="C99" s="64">
        <v>7.5</v>
      </c>
      <c r="D99" s="64">
        <v>14.03</v>
      </c>
      <c r="E99" s="64">
        <v>5.04</v>
      </c>
      <c r="F99" s="64">
        <v>5.56</v>
      </c>
      <c r="G99" s="64">
        <v>22.76</v>
      </c>
      <c r="H99" s="64">
        <v>4.84</v>
      </c>
      <c r="I99" s="64">
        <v>1.61</v>
      </c>
      <c r="J99" s="64">
        <v>0.2</v>
      </c>
      <c r="K99" s="64">
        <v>281.31</v>
      </c>
      <c r="L99" s="64">
        <v>24.82</v>
      </c>
      <c r="M99" s="64">
        <v>98</v>
      </c>
      <c r="N99" s="64">
        <v>92.8</v>
      </c>
      <c r="O99" s="64">
        <v>0</v>
      </c>
      <c r="P99" s="64">
        <v>0.45</v>
      </c>
      <c r="Q99" s="64">
        <v>9.64</v>
      </c>
      <c r="R99" s="198"/>
      <c r="S99" s="198"/>
      <c r="T99" s="198"/>
      <c r="U99" s="198"/>
    </row>
    <row r="100" spans="1:33" s="12" customFormat="1" x14ac:dyDescent="0.25">
      <c r="A100" s="212" t="s">
        <v>1970</v>
      </c>
      <c r="B100" s="64">
        <v>12.55</v>
      </c>
      <c r="C100" s="64">
        <v>9.2799999999999994</v>
      </c>
      <c r="D100" s="64">
        <v>14.91</v>
      </c>
      <c r="E100" s="64">
        <v>5.39</v>
      </c>
      <c r="F100" s="64">
        <v>6.26</v>
      </c>
      <c r="G100" s="64">
        <v>22.8</v>
      </c>
      <c r="H100" s="64">
        <v>4.05</v>
      </c>
      <c r="I100" s="64">
        <v>1.59</v>
      </c>
      <c r="J100" s="64">
        <v>0.04</v>
      </c>
      <c r="K100" s="64">
        <v>333.49</v>
      </c>
      <c r="L100" s="64">
        <v>24.72</v>
      </c>
      <c r="M100" s="64">
        <v>98</v>
      </c>
      <c r="N100" s="64">
        <v>82.7</v>
      </c>
      <c r="O100" s="64">
        <v>0</v>
      </c>
      <c r="P100" s="64">
        <v>0.46</v>
      </c>
      <c r="Q100" s="64">
        <v>9.64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2" t="s">
        <v>1971</v>
      </c>
      <c r="B101" s="64">
        <v>9.66</v>
      </c>
      <c r="C101" s="64">
        <v>9.02</v>
      </c>
      <c r="D101" s="64">
        <v>12.46</v>
      </c>
      <c r="E101" s="64">
        <v>5.08</v>
      </c>
      <c r="F101" s="64">
        <v>6.02</v>
      </c>
      <c r="G101" s="64">
        <v>22.82</v>
      </c>
      <c r="H101" s="64">
        <v>3.66</v>
      </c>
      <c r="I101" s="64">
        <v>1.6</v>
      </c>
      <c r="J101" s="64">
        <v>7.0000000000000007E-2</v>
      </c>
      <c r="K101" s="64">
        <v>318.35000000000002</v>
      </c>
      <c r="L101" s="64">
        <v>24.65</v>
      </c>
      <c r="M101" s="64">
        <v>98.01</v>
      </c>
      <c r="N101" s="64">
        <v>84.8</v>
      </c>
      <c r="O101" s="64">
        <v>0</v>
      </c>
      <c r="P101" s="64">
        <v>0.41</v>
      </c>
      <c r="Q101" s="64">
        <v>9.64</v>
      </c>
      <c r="R101" s="198"/>
      <c r="S101" s="198"/>
      <c r="T101" s="198"/>
      <c r="U101" s="198"/>
    </row>
    <row r="102" spans="1:33" s="12" customFormat="1" x14ac:dyDescent="0.25">
      <c r="A102" s="212" t="s">
        <v>1972</v>
      </c>
      <c r="B102" s="64">
        <v>11.37</v>
      </c>
      <c r="C102" s="64">
        <v>7.91</v>
      </c>
      <c r="D102" s="64">
        <v>13.25</v>
      </c>
      <c r="E102" s="64">
        <v>5.03</v>
      </c>
      <c r="F102" s="64">
        <v>5.85</v>
      </c>
      <c r="G102" s="64">
        <v>22.82</v>
      </c>
      <c r="H102" s="64">
        <v>3.66</v>
      </c>
      <c r="I102" s="64">
        <v>1.67</v>
      </c>
      <c r="J102" s="64">
        <v>0.1</v>
      </c>
      <c r="K102" s="64">
        <v>163.49</v>
      </c>
      <c r="L102" s="64">
        <v>24.62</v>
      </c>
      <c r="M102" s="64">
        <v>98.05</v>
      </c>
      <c r="N102" s="64">
        <v>85.6</v>
      </c>
      <c r="O102" s="64">
        <v>0</v>
      </c>
      <c r="P102" s="64">
        <v>0.47</v>
      </c>
      <c r="Q102" s="64">
        <v>9.64</v>
      </c>
      <c r="R102" s="198"/>
      <c r="S102" s="198"/>
      <c r="T102" s="198"/>
      <c r="U102" s="198"/>
    </row>
    <row r="103" spans="1:33" s="12" customFormat="1" x14ac:dyDescent="0.25">
      <c r="A103" s="212" t="s">
        <v>1973</v>
      </c>
      <c r="B103" s="64">
        <v>9.3699999999999992</v>
      </c>
      <c r="C103" s="64">
        <v>7.23</v>
      </c>
      <c r="D103" s="64">
        <v>11.29</v>
      </c>
      <c r="E103" s="64">
        <v>4.8099999999999996</v>
      </c>
      <c r="F103" s="64">
        <v>6.33</v>
      </c>
      <c r="G103" s="64">
        <v>22.82</v>
      </c>
      <c r="H103" s="64">
        <v>3.66</v>
      </c>
      <c r="I103" s="64">
        <v>1.7</v>
      </c>
      <c r="J103" s="64">
        <v>0.06</v>
      </c>
      <c r="K103" s="64">
        <v>144.79</v>
      </c>
      <c r="L103" s="64">
        <v>24.71</v>
      </c>
      <c r="M103" s="64">
        <v>98.01</v>
      </c>
      <c r="N103" s="64">
        <v>87.3</v>
      </c>
      <c r="O103" s="64">
        <v>0</v>
      </c>
      <c r="P103" s="64">
        <v>0.41</v>
      </c>
      <c r="Q103" s="64">
        <v>9.64</v>
      </c>
      <c r="R103" s="198"/>
      <c r="S103" s="198"/>
      <c r="T103" s="198"/>
      <c r="U103" s="198"/>
    </row>
    <row r="104" spans="1:33" s="12" customFormat="1" x14ac:dyDescent="0.25">
      <c r="A104" s="212" t="s">
        <v>1974</v>
      </c>
      <c r="B104" s="64">
        <v>8.75</v>
      </c>
      <c r="C104" s="64">
        <v>7.98</v>
      </c>
      <c r="D104" s="64">
        <v>11.19</v>
      </c>
      <c r="E104" s="64">
        <v>4.8499999999999996</v>
      </c>
      <c r="F104" s="64">
        <v>5.82</v>
      </c>
      <c r="G104" s="64">
        <v>21.92</v>
      </c>
      <c r="H104" s="64">
        <v>3.14</v>
      </c>
      <c r="I104" s="64">
        <v>1.69</v>
      </c>
      <c r="J104" s="64">
        <v>0.03</v>
      </c>
      <c r="K104" s="64">
        <v>204.58</v>
      </c>
      <c r="L104" s="64">
        <v>24.76</v>
      </c>
      <c r="M104" s="64">
        <v>98</v>
      </c>
      <c r="N104" s="64">
        <v>86.6</v>
      </c>
      <c r="O104" s="64">
        <v>0</v>
      </c>
      <c r="P104" s="64">
        <v>0.41</v>
      </c>
      <c r="Q104" s="64">
        <v>9.64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7.17</v>
      </c>
      <c r="C106" s="67">
        <f>MIN(C9:C104)</f>
        <v>4.57</v>
      </c>
      <c r="D106" s="67">
        <f t="shared" ref="D106:Q106" si="0">MIN(D9:D104)</f>
        <v>10.25</v>
      </c>
      <c r="E106" s="67">
        <f t="shared" si="0"/>
        <v>4.16</v>
      </c>
      <c r="F106" s="67">
        <f t="shared" si="0"/>
        <v>3.36</v>
      </c>
      <c r="G106" s="67">
        <f t="shared" si="0"/>
        <v>12.78</v>
      </c>
      <c r="H106" s="67">
        <f t="shared" si="0"/>
        <v>1.78</v>
      </c>
      <c r="I106" s="67">
        <f t="shared" si="0"/>
        <v>1.1100000000000001</v>
      </c>
      <c r="J106" s="67">
        <f t="shared" si="0"/>
        <v>0</v>
      </c>
      <c r="K106" s="67">
        <f t="shared" si="0"/>
        <v>18.37</v>
      </c>
      <c r="L106" s="67">
        <f t="shared" si="0"/>
        <v>23.5</v>
      </c>
      <c r="M106" s="67">
        <f t="shared" si="0"/>
        <v>82.47</v>
      </c>
      <c r="N106" s="67">
        <f t="shared" si="0"/>
        <v>43.8</v>
      </c>
      <c r="O106" s="67">
        <f t="shared" si="0"/>
        <v>0</v>
      </c>
      <c r="P106" s="67">
        <f t="shared" si="0"/>
        <v>0.23</v>
      </c>
      <c r="Q106" s="67">
        <f t="shared" si="0"/>
        <v>9.5299999999999994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17.13</v>
      </c>
      <c r="C107" s="66">
        <f t="shared" ref="C107:Q107" si="1">MAX(C9:C104)</f>
        <v>21.35</v>
      </c>
      <c r="D107" s="66">
        <f t="shared" si="1"/>
        <v>24.02</v>
      </c>
      <c r="E107" s="66">
        <f t="shared" si="1"/>
        <v>6.36</v>
      </c>
      <c r="F107" s="66">
        <f t="shared" si="1"/>
        <v>14.82</v>
      </c>
      <c r="G107" s="66">
        <f t="shared" si="1"/>
        <v>31.12</v>
      </c>
      <c r="H107" s="66">
        <f t="shared" si="1"/>
        <v>9.48</v>
      </c>
      <c r="I107" s="66">
        <f t="shared" si="1"/>
        <v>2.5</v>
      </c>
      <c r="J107" s="66">
        <f t="shared" si="1"/>
        <v>1.51</v>
      </c>
      <c r="K107" s="66">
        <f t="shared" si="1"/>
        <v>351.24</v>
      </c>
      <c r="L107" s="66">
        <f t="shared" si="1"/>
        <v>29.39</v>
      </c>
      <c r="M107" s="66">
        <f t="shared" si="1"/>
        <v>98.08</v>
      </c>
      <c r="N107" s="66">
        <f t="shared" si="1"/>
        <v>733.8</v>
      </c>
      <c r="O107" s="66">
        <f t="shared" si="1"/>
        <v>0.2</v>
      </c>
      <c r="P107" s="66">
        <f t="shared" si="1"/>
        <v>0.79</v>
      </c>
      <c r="Q107" s="66">
        <f t="shared" si="1"/>
        <v>9.68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11.231562499999995</v>
      </c>
      <c r="C108" s="67">
        <f t="shared" ref="C108:Q108" si="2">AVERAGE(C9:C104)</f>
        <v>9.6560416666666651</v>
      </c>
      <c r="D108" s="67">
        <f t="shared" si="2"/>
        <v>14.031562500000001</v>
      </c>
      <c r="E108" s="67">
        <f t="shared" si="2"/>
        <v>5.2196874999999983</v>
      </c>
      <c r="F108" s="67">
        <f t="shared" si="2"/>
        <v>8.0222916666666695</v>
      </c>
      <c r="G108" s="67">
        <f t="shared" si="2"/>
        <v>19.423369565217389</v>
      </c>
      <c r="H108" s="67">
        <f t="shared" si="2"/>
        <v>4.8824999999999967</v>
      </c>
      <c r="I108" s="67">
        <f t="shared" si="2"/>
        <v>1.4060416666666662</v>
      </c>
      <c r="J108" s="67">
        <f t="shared" si="2"/>
        <v>0.3359375</v>
      </c>
      <c r="K108" s="67">
        <f t="shared" si="2"/>
        <v>202.5711458333333</v>
      </c>
      <c r="L108" s="67">
        <f t="shared" si="2"/>
        <v>26.052708333333324</v>
      </c>
      <c r="M108" s="67">
        <f t="shared" si="2"/>
        <v>95.265312499999993</v>
      </c>
      <c r="N108" s="67">
        <f t="shared" si="2"/>
        <v>192.02604166666666</v>
      </c>
      <c r="O108" s="67">
        <f t="shared" si="2"/>
        <v>2.0833333333333333E-3</v>
      </c>
      <c r="P108" s="67">
        <f t="shared" si="2"/>
        <v>0.40895833333333315</v>
      </c>
      <c r="Q108" s="67">
        <f t="shared" si="2"/>
        <v>9.6218749999999975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2.123747595333406</v>
      </c>
      <c r="C109" s="67">
        <f t="shared" ref="C109:Q109" si="3">STDEV(C9:C104)</f>
        <v>4.0266317331033736</v>
      </c>
      <c r="D109" s="67">
        <f t="shared" si="3"/>
        <v>2.8138212744368967</v>
      </c>
      <c r="E109" s="67">
        <f t="shared" si="3"/>
        <v>0.56393626576246758</v>
      </c>
      <c r="F109" s="67">
        <f t="shared" si="3"/>
        <v>3.0988964008996369</v>
      </c>
      <c r="G109" s="67">
        <f t="shared" si="3"/>
        <v>4.9056415778664739</v>
      </c>
      <c r="H109" s="67">
        <f t="shared" si="3"/>
        <v>1.8963618290856952</v>
      </c>
      <c r="I109" s="67">
        <f t="shared" si="3"/>
        <v>0.30748377506760405</v>
      </c>
      <c r="J109" s="67">
        <f t="shared" si="3"/>
        <v>0.29578291515017707</v>
      </c>
      <c r="K109" s="67">
        <f t="shared" si="3"/>
        <v>96.800175933613573</v>
      </c>
      <c r="L109" s="67">
        <f t="shared" si="3"/>
        <v>1.8495219747512381</v>
      </c>
      <c r="M109" s="67">
        <f t="shared" si="3"/>
        <v>4.4536719216312202</v>
      </c>
      <c r="N109" s="67">
        <f t="shared" si="3"/>
        <v>178.72617706235582</v>
      </c>
      <c r="O109" s="67">
        <f t="shared" si="3"/>
        <v>2.0412414523193152E-2</v>
      </c>
      <c r="P109" s="67">
        <f t="shared" si="3"/>
        <v>0.12010065223247882</v>
      </c>
      <c r="Q109" s="67">
        <f t="shared" si="3"/>
        <v>3.4528782806598893E-2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</f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216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E12" sqref="E1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19/08/2025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2" t="s">
        <v>1975</v>
      </c>
      <c r="B9" s="64">
        <v>10.37</v>
      </c>
      <c r="C9" s="64">
        <v>7.76</v>
      </c>
      <c r="D9" s="64">
        <v>12.37</v>
      </c>
      <c r="E9" s="64">
        <v>4.87</v>
      </c>
      <c r="F9" s="64">
        <v>4.6500000000000004</v>
      </c>
      <c r="G9" s="64">
        <v>21.48</v>
      </c>
      <c r="H9" s="64">
        <v>2.88</v>
      </c>
      <c r="I9" s="64">
        <v>1.67</v>
      </c>
      <c r="J9" s="64">
        <v>0.2</v>
      </c>
      <c r="K9" s="64">
        <v>136.26</v>
      </c>
      <c r="L9" s="64">
        <v>24.69</v>
      </c>
      <c r="M9" s="64">
        <v>98.04</v>
      </c>
      <c r="N9" s="64">
        <v>87</v>
      </c>
      <c r="O9" s="64">
        <v>0</v>
      </c>
      <c r="P9" s="64">
        <v>0.43</v>
      </c>
      <c r="Q9" s="64">
        <v>9.6300000000000008</v>
      </c>
      <c r="R9" s="198"/>
      <c r="S9" s="198"/>
      <c r="T9" s="198"/>
      <c r="U9" s="198"/>
    </row>
    <row r="10" spans="1:21" s="12" customFormat="1" x14ac:dyDescent="0.25">
      <c r="A10" s="212" t="s">
        <v>1976</v>
      </c>
      <c r="B10" s="64">
        <v>11.35</v>
      </c>
      <c r="C10" s="64">
        <v>5.82</v>
      </c>
      <c r="D10" s="64">
        <v>12.14</v>
      </c>
      <c r="E10" s="64">
        <v>4.8</v>
      </c>
      <c r="F10" s="64">
        <v>4.1399999999999997</v>
      </c>
      <c r="G10" s="64">
        <v>21.48</v>
      </c>
      <c r="H10" s="64">
        <v>2.88</v>
      </c>
      <c r="I10" s="64">
        <v>1.65</v>
      </c>
      <c r="J10" s="64">
        <v>0.16</v>
      </c>
      <c r="K10" s="64">
        <v>159.16999999999999</v>
      </c>
      <c r="L10" s="64">
        <v>24.71</v>
      </c>
      <c r="M10" s="64">
        <v>98.05</v>
      </c>
      <c r="N10" s="64">
        <v>87.4</v>
      </c>
      <c r="O10" s="64">
        <v>0</v>
      </c>
      <c r="P10" s="64">
        <v>0.43</v>
      </c>
      <c r="Q10" s="64">
        <v>9.6300000000000008</v>
      </c>
      <c r="R10" s="198"/>
      <c r="S10" s="198"/>
      <c r="T10" s="198"/>
      <c r="U10" s="198"/>
    </row>
    <row r="11" spans="1:21" s="12" customFormat="1" x14ac:dyDescent="0.25">
      <c r="A11" s="212" t="s">
        <v>1977</v>
      </c>
      <c r="B11" s="64">
        <v>9.32</v>
      </c>
      <c r="C11" s="64">
        <v>6.76</v>
      </c>
      <c r="D11" s="64">
        <v>11.01</v>
      </c>
      <c r="E11" s="64">
        <v>4.83</v>
      </c>
      <c r="F11" s="64">
        <v>7.81</v>
      </c>
      <c r="G11" s="64">
        <v>21.48</v>
      </c>
      <c r="H11" s="64">
        <v>2.88</v>
      </c>
      <c r="I11" s="64">
        <v>1.61</v>
      </c>
      <c r="J11" s="64">
        <v>0.14000000000000001</v>
      </c>
      <c r="K11" s="64">
        <v>167.71</v>
      </c>
      <c r="L11" s="64">
        <v>24.76</v>
      </c>
      <c r="M11" s="64">
        <v>98.02</v>
      </c>
      <c r="N11" s="64">
        <v>87.2</v>
      </c>
      <c r="O11" s="64">
        <v>0</v>
      </c>
      <c r="P11" s="64">
        <v>0.37</v>
      </c>
      <c r="Q11" s="64">
        <v>9.64</v>
      </c>
      <c r="R11" s="198"/>
      <c r="S11" s="198"/>
      <c r="T11" s="198"/>
      <c r="U11" s="198"/>
    </row>
    <row r="12" spans="1:21" s="12" customFormat="1" x14ac:dyDescent="0.25">
      <c r="A12" s="212" t="s">
        <v>1978</v>
      </c>
      <c r="B12" s="64">
        <v>9.34</v>
      </c>
      <c r="C12" s="64">
        <v>6</v>
      </c>
      <c r="D12" s="64">
        <v>10.63</v>
      </c>
      <c r="E12" s="64">
        <v>4.83</v>
      </c>
      <c r="F12" s="64">
        <v>5.62</v>
      </c>
      <c r="G12" s="64">
        <v>19.989999999999998</v>
      </c>
      <c r="H12" s="64">
        <v>2.39</v>
      </c>
      <c r="I12" s="64">
        <v>1.57</v>
      </c>
      <c r="J12" s="64">
        <v>0.13</v>
      </c>
      <c r="K12" s="64">
        <v>158.80000000000001</v>
      </c>
      <c r="L12" s="64">
        <v>24.73</v>
      </c>
      <c r="M12" s="64">
        <v>98.02</v>
      </c>
      <c r="N12" s="64">
        <v>86.7</v>
      </c>
      <c r="O12" s="64">
        <v>0</v>
      </c>
      <c r="P12" s="64">
        <v>0.42</v>
      </c>
      <c r="Q12" s="64">
        <v>9.6300000000000008</v>
      </c>
      <c r="R12" s="198"/>
      <c r="S12" s="198"/>
      <c r="T12" s="198"/>
      <c r="U12" s="198"/>
    </row>
    <row r="13" spans="1:21" s="12" customFormat="1" x14ac:dyDescent="0.25">
      <c r="A13" s="212" t="s">
        <v>1979</v>
      </c>
      <c r="B13" s="64">
        <v>8.65</v>
      </c>
      <c r="C13" s="64">
        <v>6.02</v>
      </c>
      <c r="D13" s="64">
        <v>10.08</v>
      </c>
      <c r="E13" s="64">
        <v>4.7699999999999996</v>
      </c>
      <c r="F13" s="64">
        <v>4.67</v>
      </c>
      <c r="G13" s="64">
        <v>19.25</v>
      </c>
      <c r="H13" s="64">
        <v>2.14</v>
      </c>
      <c r="I13" s="64">
        <v>1.54</v>
      </c>
      <c r="J13" s="64">
        <v>0.23</v>
      </c>
      <c r="K13" s="64">
        <v>145.82</v>
      </c>
      <c r="L13" s="64">
        <v>24.74</v>
      </c>
      <c r="M13" s="64">
        <v>98.03</v>
      </c>
      <c r="N13" s="64">
        <v>85.8</v>
      </c>
      <c r="O13" s="64">
        <v>0</v>
      </c>
      <c r="P13" s="64">
        <v>0.35</v>
      </c>
      <c r="Q13" s="64">
        <v>9.64</v>
      </c>
      <c r="R13" s="198"/>
      <c r="S13" s="198"/>
      <c r="T13" s="198"/>
      <c r="U13" s="198"/>
    </row>
    <row r="14" spans="1:21" s="12" customFormat="1" x14ac:dyDescent="0.25">
      <c r="A14" s="212" t="s">
        <v>1980</v>
      </c>
      <c r="B14" s="64">
        <v>7.53</v>
      </c>
      <c r="C14" s="64">
        <v>6.39</v>
      </c>
      <c r="D14" s="64">
        <v>9.3699999999999992</v>
      </c>
      <c r="E14" s="64">
        <v>4.6500000000000004</v>
      </c>
      <c r="F14" s="64">
        <v>7.31</v>
      </c>
      <c r="G14" s="64">
        <v>19.25</v>
      </c>
      <c r="H14" s="64">
        <v>2.14</v>
      </c>
      <c r="I14" s="64">
        <v>1.53</v>
      </c>
      <c r="J14" s="64">
        <v>0.26</v>
      </c>
      <c r="K14" s="64">
        <v>144.61000000000001</v>
      </c>
      <c r="L14" s="64">
        <v>24.71</v>
      </c>
      <c r="M14" s="64">
        <v>98.03</v>
      </c>
      <c r="N14" s="64">
        <v>85.9</v>
      </c>
      <c r="O14" s="64">
        <v>0</v>
      </c>
      <c r="P14" s="64">
        <v>0.38</v>
      </c>
      <c r="Q14" s="64">
        <v>9.66</v>
      </c>
      <c r="R14" s="198"/>
      <c r="S14" s="198"/>
      <c r="T14" s="198"/>
      <c r="U14" s="198"/>
    </row>
    <row r="15" spans="1:21" s="12" customFormat="1" x14ac:dyDescent="0.25">
      <c r="A15" s="212" t="s">
        <v>1981</v>
      </c>
      <c r="B15" s="64">
        <v>8.67</v>
      </c>
      <c r="C15" s="64">
        <v>5.68</v>
      </c>
      <c r="D15" s="64">
        <v>9.92</v>
      </c>
      <c r="E15" s="64">
        <v>4.55</v>
      </c>
      <c r="F15" s="64">
        <v>4.1900000000000004</v>
      </c>
      <c r="G15" s="64">
        <v>19.25</v>
      </c>
      <c r="H15" s="64">
        <v>2.14</v>
      </c>
      <c r="I15" s="64">
        <v>1.52</v>
      </c>
      <c r="J15" s="64">
        <v>7.0000000000000007E-2</v>
      </c>
      <c r="K15" s="64">
        <v>274.68</v>
      </c>
      <c r="L15" s="64">
        <v>24.65</v>
      </c>
      <c r="M15" s="64">
        <v>98.05</v>
      </c>
      <c r="N15" s="64">
        <v>75.7</v>
      </c>
      <c r="O15" s="64">
        <v>0</v>
      </c>
      <c r="P15" s="64">
        <v>0.43</v>
      </c>
      <c r="Q15" s="64">
        <v>9.65</v>
      </c>
      <c r="R15" s="198"/>
      <c r="S15" s="198"/>
      <c r="T15" s="198"/>
      <c r="U15" s="198"/>
    </row>
    <row r="16" spans="1:21" s="12" customFormat="1" x14ac:dyDescent="0.25">
      <c r="A16" s="212" t="s">
        <v>1982</v>
      </c>
      <c r="B16" s="64">
        <v>8.42</v>
      </c>
      <c r="C16" s="64">
        <v>6.14</v>
      </c>
      <c r="D16" s="64">
        <v>9.9600000000000009</v>
      </c>
      <c r="E16" s="64">
        <v>5.12</v>
      </c>
      <c r="F16" s="64">
        <v>5.5</v>
      </c>
      <c r="G16" s="64">
        <v>16.79</v>
      </c>
      <c r="H16" s="64">
        <v>1.93</v>
      </c>
      <c r="I16" s="64">
        <v>1.49</v>
      </c>
      <c r="J16" s="64">
        <v>0.03</v>
      </c>
      <c r="K16" s="64">
        <v>202.73</v>
      </c>
      <c r="L16" s="64">
        <v>24.61</v>
      </c>
      <c r="M16" s="64">
        <v>98.04</v>
      </c>
      <c r="N16" s="64">
        <v>75.400000000000006</v>
      </c>
      <c r="O16" s="64">
        <v>0</v>
      </c>
      <c r="P16" s="64">
        <v>0.38</v>
      </c>
      <c r="Q16" s="64">
        <v>9.64</v>
      </c>
      <c r="R16" s="198"/>
      <c r="S16" s="198"/>
      <c r="T16" s="198"/>
      <c r="U16" s="198"/>
    </row>
    <row r="17" spans="1:21" s="12" customFormat="1" x14ac:dyDescent="0.25">
      <c r="A17" s="212" t="s">
        <v>1983</v>
      </c>
      <c r="B17" s="64">
        <v>7.89</v>
      </c>
      <c r="C17" s="64">
        <v>6.71</v>
      </c>
      <c r="D17" s="64">
        <v>9.83</v>
      </c>
      <c r="E17" s="64">
        <v>4.5</v>
      </c>
      <c r="F17" s="64">
        <v>4.6100000000000003</v>
      </c>
      <c r="G17" s="64">
        <v>15.56</v>
      </c>
      <c r="H17" s="64">
        <v>1.83</v>
      </c>
      <c r="I17" s="64">
        <v>1.57</v>
      </c>
      <c r="J17" s="64">
        <v>0.11</v>
      </c>
      <c r="K17" s="64">
        <v>257.47000000000003</v>
      </c>
      <c r="L17" s="64">
        <v>24.25</v>
      </c>
      <c r="M17" s="64">
        <v>98.08</v>
      </c>
      <c r="N17" s="64">
        <v>84.1</v>
      </c>
      <c r="O17" s="64">
        <v>0</v>
      </c>
      <c r="P17" s="64">
        <v>0.37</v>
      </c>
      <c r="Q17" s="64">
        <v>9.65</v>
      </c>
      <c r="R17" s="198"/>
      <c r="S17" s="198"/>
      <c r="T17" s="198"/>
      <c r="U17" s="198"/>
    </row>
    <row r="18" spans="1:21" s="12" customFormat="1" x14ac:dyDescent="0.25">
      <c r="A18" s="212" t="s">
        <v>1984</v>
      </c>
      <c r="B18" s="64">
        <v>8.3000000000000007</v>
      </c>
      <c r="C18" s="64">
        <v>6.81</v>
      </c>
      <c r="D18" s="64">
        <v>10.210000000000001</v>
      </c>
      <c r="E18" s="64">
        <v>4.71</v>
      </c>
      <c r="F18" s="64">
        <v>3.21</v>
      </c>
      <c r="G18" s="64">
        <v>15.56</v>
      </c>
      <c r="H18" s="64">
        <v>1.83</v>
      </c>
      <c r="I18" s="64">
        <v>1.66</v>
      </c>
      <c r="J18" s="64">
        <v>0.12</v>
      </c>
      <c r="K18" s="64">
        <v>298.89999999999998</v>
      </c>
      <c r="L18" s="64">
        <v>24.14</v>
      </c>
      <c r="M18" s="64">
        <v>98.08</v>
      </c>
      <c r="N18" s="64">
        <v>81.7</v>
      </c>
      <c r="O18" s="64">
        <v>0</v>
      </c>
      <c r="P18" s="64">
        <v>0.38</v>
      </c>
      <c r="Q18" s="64">
        <v>9.65</v>
      </c>
      <c r="R18" s="198"/>
      <c r="S18" s="198"/>
      <c r="T18" s="198"/>
      <c r="U18" s="198"/>
    </row>
    <row r="19" spans="1:21" s="12" customFormat="1" x14ac:dyDescent="0.25">
      <c r="A19" s="212" t="s">
        <v>1985</v>
      </c>
      <c r="B19" s="64">
        <v>7.01</v>
      </c>
      <c r="C19" s="64">
        <v>8.7799999999999994</v>
      </c>
      <c r="D19" s="64">
        <v>10.199999999999999</v>
      </c>
      <c r="E19" s="64">
        <v>4.8600000000000003</v>
      </c>
      <c r="F19" s="64">
        <v>5.04</v>
      </c>
      <c r="G19" s="64">
        <v>15.56</v>
      </c>
      <c r="H19" s="64">
        <v>1.83</v>
      </c>
      <c r="I19" s="64">
        <v>1.68</v>
      </c>
      <c r="J19" s="64">
        <v>0.05</v>
      </c>
      <c r="K19" s="64">
        <v>254.97</v>
      </c>
      <c r="L19" s="64">
        <v>24.19</v>
      </c>
      <c r="M19" s="64">
        <v>98.08</v>
      </c>
      <c r="N19" s="64">
        <v>75.3</v>
      </c>
      <c r="O19" s="64">
        <v>0</v>
      </c>
      <c r="P19" s="64">
        <v>0.33</v>
      </c>
      <c r="Q19" s="64">
        <v>9.66</v>
      </c>
      <c r="R19" s="198"/>
      <c r="S19" s="198"/>
      <c r="T19" s="198"/>
      <c r="U19" s="198"/>
    </row>
    <row r="20" spans="1:21" s="12" customFormat="1" x14ac:dyDescent="0.25">
      <c r="A20" s="212" t="s">
        <v>1986</v>
      </c>
      <c r="B20" s="64">
        <v>7.31</v>
      </c>
      <c r="C20" s="64">
        <v>8.98</v>
      </c>
      <c r="D20" s="64">
        <v>10.56</v>
      </c>
      <c r="E20" s="64">
        <v>4.67</v>
      </c>
      <c r="F20" s="64">
        <v>4.68</v>
      </c>
      <c r="G20" s="64">
        <v>13.54</v>
      </c>
      <c r="H20" s="64">
        <v>4.1399999999999997</v>
      </c>
      <c r="I20" s="64">
        <v>1.68</v>
      </c>
      <c r="J20" s="64">
        <v>0.14000000000000001</v>
      </c>
      <c r="K20" s="64">
        <v>161.72999999999999</v>
      </c>
      <c r="L20" s="64">
        <v>24.2</v>
      </c>
      <c r="M20" s="64">
        <v>98.06</v>
      </c>
      <c r="N20" s="64">
        <v>74.2</v>
      </c>
      <c r="O20" s="64">
        <v>0</v>
      </c>
      <c r="P20" s="64">
        <v>0.32</v>
      </c>
      <c r="Q20" s="64">
        <v>9.65</v>
      </c>
      <c r="R20" s="198"/>
      <c r="S20" s="198"/>
      <c r="T20" s="198"/>
      <c r="U20" s="198"/>
    </row>
    <row r="21" spans="1:21" s="12" customFormat="1" x14ac:dyDescent="0.25">
      <c r="A21" s="212" t="s">
        <v>1987</v>
      </c>
      <c r="B21" s="64">
        <v>7.16</v>
      </c>
      <c r="C21" s="64">
        <v>8.19</v>
      </c>
      <c r="D21" s="64">
        <v>10.02</v>
      </c>
      <c r="E21" s="64">
        <v>4.66</v>
      </c>
      <c r="F21" s="64">
        <v>5.37</v>
      </c>
      <c r="G21" s="64">
        <v>12.54</v>
      </c>
      <c r="H21" s="64">
        <v>5.29</v>
      </c>
      <c r="I21" s="64">
        <v>1.66</v>
      </c>
      <c r="J21" s="64">
        <v>0.23</v>
      </c>
      <c r="K21" s="64">
        <v>133.52000000000001</v>
      </c>
      <c r="L21" s="64">
        <v>24.26</v>
      </c>
      <c r="M21" s="64">
        <v>98.05</v>
      </c>
      <c r="N21" s="64">
        <v>72</v>
      </c>
      <c r="O21" s="64">
        <v>0</v>
      </c>
      <c r="P21" s="64">
        <v>0.31</v>
      </c>
      <c r="Q21" s="64">
        <v>9.64</v>
      </c>
      <c r="R21" s="198"/>
      <c r="S21" s="198"/>
      <c r="T21" s="198"/>
      <c r="U21" s="198"/>
    </row>
    <row r="22" spans="1:21" s="12" customFormat="1" x14ac:dyDescent="0.25">
      <c r="A22" s="212" t="s">
        <v>1988</v>
      </c>
      <c r="B22" s="64">
        <v>6.86</v>
      </c>
      <c r="C22" s="64">
        <v>7.9</v>
      </c>
      <c r="D22" s="64">
        <v>9.6199999999999992</v>
      </c>
      <c r="E22" s="64">
        <v>4.83</v>
      </c>
      <c r="F22" s="64">
        <v>5.41</v>
      </c>
      <c r="G22" s="64">
        <v>12.54</v>
      </c>
      <c r="H22" s="64">
        <v>5.29</v>
      </c>
      <c r="I22" s="64">
        <v>1.64</v>
      </c>
      <c r="J22" s="64">
        <v>0.06</v>
      </c>
      <c r="K22" s="64">
        <v>303.39999999999998</v>
      </c>
      <c r="L22" s="64">
        <v>24.26</v>
      </c>
      <c r="M22" s="64">
        <v>98.05</v>
      </c>
      <c r="N22" s="64">
        <v>72.7</v>
      </c>
      <c r="O22" s="64">
        <v>0</v>
      </c>
      <c r="P22" s="64">
        <v>0.32</v>
      </c>
      <c r="Q22" s="64">
        <v>9.65</v>
      </c>
      <c r="R22" s="198"/>
      <c r="S22" s="198"/>
      <c r="T22" s="198"/>
      <c r="U22" s="198"/>
    </row>
    <row r="23" spans="1:21" s="12" customFormat="1" x14ac:dyDescent="0.25">
      <c r="A23" s="212" t="s">
        <v>1989</v>
      </c>
      <c r="B23" s="64">
        <v>7.42</v>
      </c>
      <c r="C23" s="64">
        <v>7.58</v>
      </c>
      <c r="D23" s="64">
        <v>9.91</v>
      </c>
      <c r="E23" s="64">
        <v>4.7699999999999996</v>
      </c>
      <c r="F23" s="64">
        <v>5.37</v>
      </c>
      <c r="G23" s="64">
        <v>12.54</v>
      </c>
      <c r="H23" s="64">
        <v>5.29</v>
      </c>
      <c r="I23" s="64">
        <v>1.62</v>
      </c>
      <c r="J23" s="64">
        <v>0.09</v>
      </c>
      <c r="K23" s="64">
        <v>325.95</v>
      </c>
      <c r="L23" s="64">
        <v>24.19</v>
      </c>
      <c r="M23" s="64">
        <v>98.04</v>
      </c>
      <c r="N23" s="64">
        <v>72.599999999999994</v>
      </c>
      <c r="O23" s="64">
        <v>0</v>
      </c>
      <c r="P23" s="64">
        <v>0.33</v>
      </c>
      <c r="Q23" s="64">
        <v>9.64</v>
      </c>
      <c r="R23" s="198"/>
      <c r="S23" s="198"/>
      <c r="T23" s="198"/>
      <c r="U23" s="198"/>
    </row>
    <row r="24" spans="1:21" s="12" customFormat="1" x14ac:dyDescent="0.25">
      <c r="A24" s="212" t="s">
        <v>1990</v>
      </c>
      <c r="B24" s="64">
        <v>7.69</v>
      </c>
      <c r="C24" s="64">
        <v>8.36</v>
      </c>
      <c r="D24" s="64">
        <v>10.54</v>
      </c>
      <c r="E24" s="64">
        <v>4.75</v>
      </c>
      <c r="F24" s="64">
        <v>4.51</v>
      </c>
      <c r="G24" s="64">
        <v>13.38</v>
      </c>
      <c r="H24" s="64">
        <v>4.4400000000000004</v>
      </c>
      <c r="I24" s="64">
        <v>1.63</v>
      </c>
      <c r="J24" s="64">
        <v>0.03</v>
      </c>
      <c r="K24" s="64">
        <v>197.28</v>
      </c>
      <c r="L24" s="64">
        <v>24.2</v>
      </c>
      <c r="M24" s="64">
        <v>98.03</v>
      </c>
      <c r="N24" s="64">
        <v>73.7</v>
      </c>
      <c r="O24" s="64">
        <v>0</v>
      </c>
      <c r="P24" s="64">
        <v>0.31</v>
      </c>
      <c r="Q24" s="64">
        <v>9.64</v>
      </c>
      <c r="R24" s="198"/>
      <c r="S24" s="198"/>
      <c r="T24" s="198"/>
      <c r="U24" s="198"/>
    </row>
    <row r="25" spans="1:21" s="12" customFormat="1" x14ac:dyDescent="0.25">
      <c r="A25" s="212" t="s">
        <v>1991</v>
      </c>
      <c r="B25" s="64">
        <v>9.4600000000000009</v>
      </c>
      <c r="C25" s="64">
        <v>9.02</v>
      </c>
      <c r="D25" s="64">
        <v>12.3</v>
      </c>
      <c r="E25" s="64">
        <v>4.6500000000000004</v>
      </c>
      <c r="F25" s="64">
        <v>4.72</v>
      </c>
      <c r="G25" s="64">
        <v>13.82</v>
      </c>
      <c r="H25" s="64">
        <v>4.0199999999999996</v>
      </c>
      <c r="I25" s="64">
        <v>1.63</v>
      </c>
      <c r="J25" s="64">
        <v>0.06</v>
      </c>
      <c r="K25" s="64">
        <v>153.19999999999999</v>
      </c>
      <c r="L25" s="64">
        <v>24.22</v>
      </c>
      <c r="M25" s="64">
        <v>98.03</v>
      </c>
      <c r="N25" s="64">
        <v>77.599999999999994</v>
      </c>
      <c r="O25" s="64">
        <v>0</v>
      </c>
      <c r="P25" s="64">
        <v>0.31</v>
      </c>
      <c r="Q25" s="64">
        <v>9.64</v>
      </c>
      <c r="R25" s="198"/>
      <c r="S25" s="198"/>
      <c r="T25" s="198"/>
      <c r="U25" s="198"/>
    </row>
    <row r="26" spans="1:21" s="12" customFormat="1" x14ac:dyDescent="0.25">
      <c r="A26" s="212" t="s">
        <v>1992</v>
      </c>
      <c r="B26" s="64">
        <v>7.96</v>
      </c>
      <c r="C26" s="64">
        <v>7.68</v>
      </c>
      <c r="D26" s="64">
        <v>10.4</v>
      </c>
      <c r="E26" s="64">
        <v>4.6500000000000004</v>
      </c>
      <c r="F26" s="64">
        <v>4.67</v>
      </c>
      <c r="G26" s="64">
        <v>13.82</v>
      </c>
      <c r="H26" s="64">
        <v>4.0199999999999996</v>
      </c>
      <c r="I26" s="64">
        <v>1.61</v>
      </c>
      <c r="J26" s="64">
        <v>0.06</v>
      </c>
      <c r="K26" s="64">
        <v>266.89</v>
      </c>
      <c r="L26" s="64">
        <v>24.22</v>
      </c>
      <c r="M26" s="64">
        <v>98.03</v>
      </c>
      <c r="N26" s="64">
        <v>79.400000000000006</v>
      </c>
      <c r="O26" s="64">
        <v>0</v>
      </c>
      <c r="P26" s="64">
        <v>0.31</v>
      </c>
      <c r="Q26" s="64">
        <v>9.6300000000000008</v>
      </c>
      <c r="R26" s="198"/>
      <c r="S26" s="198"/>
      <c r="T26" s="198"/>
      <c r="U26" s="198"/>
    </row>
    <row r="27" spans="1:21" s="12" customFormat="1" x14ac:dyDescent="0.25">
      <c r="A27" s="212" t="s">
        <v>1993</v>
      </c>
      <c r="B27" s="64">
        <v>10.08</v>
      </c>
      <c r="C27" s="64">
        <v>7.05</v>
      </c>
      <c r="D27" s="64">
        <v>11.77</v>
      </c>
      <c r="E27" s="64">
        <v>4.5999999999999996</v>
      </c>
      <c r="F27" s="64">
        <v>3.37</v>
      </c>
      <c r="G27" s="64">
        <v>13.82</v>
      </c>
      <c r="H27" s="64">
        <v>4.0199999999999996</v>
      </c>
      <c r="I27" s="64">
        <v>1.6</v>
      </c>
      <c r="J27" s="64">
        <v>0.13</v>
      </c>
      <c r="K27" s="64">
        <v>117.42</v>
      </c>
      <c r="L27" s="64">
        <v>24.13</v>
      </c>
      <c r="M27" s="64">
        <v>98.05</v>
      </c>
      <c r="N27" s="64">
        <v>79.099999999999994</v>
      </c>
      <c r="O27" s="64">
        <v>0</v>
      </c>
      <c r="P27" s="64">
        <v>0.35</v>
      </c>
      <c r="Q27" s="64">
        <v>9.6300000000000008</v>
      </c>
      <c r="R27" s="198"/>
      <c r="S27" s="198"/>
      <c r="T27" s="198"/>
      <c r="U27" s="198"/>
    </row>
    <row r="28" spans="1:21" s="12" customFormat="1" x14ac:dyDescent="0.25">
      <c r="A28" s="212" t="s">
        <v>1994</v>
      </c>
      <c r="B28" s="64">
        <v>10.08</v>
      </c>
      <c r="C28" s="64">
        <v>7.68</v>
      </c>
      <c r="D28" s="64">
        <v>12.09</v>
      </c>
      <c r="E28" s="64">
        <v>4.95</v>
      </c>
      <c r="F28" s="64">
        <v>4.04</v>
      </c>
      <c r="G28" s="64">
        <v>12.86</v>
      </c>
      <c r="H28" s="64">
        <v>3.69</v>
      </c>
      <c r="I28" s="64">
        <v>1.58</v>
      </c>
      <c r="J28" s="64">
        <v>0.06</v>
      </c>
      <c r="K28" s="64">
        <v>326.35000000000002</v>
      </c>
      <c r="L28" s="64">
        <v>24.06</v>
      </c>
      <c r="M28" s="64">
        <v>98.04</v>
      </c>
      <c r="N28" s="64">
        <v>79.099999999999994</v>
      </c>
      <c r="O28" s="64">
        <v>0</v>
      </c>
      <c r="P28" s="64">
        <v>0.34</v>
      </c>
      <c r="Q28" s="64">
        <v>9.6300000000000008</v>
      </c>
      <c r="R28" s="198"/>
      <c r="S28" s="198"/>
      <c r="T28" s="198"/>
      <c r="U28" s="198"/>
    </row>
    <row r="29" spans="1:21" s="12" customFormat="1" x14ac:dyDescent="0.25">
      <c r="A29" s="212" t="s">
        <v>1995</v>
      </c>
      <c r="B29" s="64">
        <v>10.09</v>
      </c>
      <c r="C29" s="64">
        <v>7.09</v>
      </c>
      <c r="D29" s="64">
        <v>11.79</v>
      </c>
      <c r="E29" s="64">
        <v>4.97</v>
      </c>
      <c r="F29" s="64">
        <v>4.16</v>
      </c>
      <c r="G29" s="64">
        <v>12.38</v>
      </c>
      <c r="H29" s="64">
        <v>3.53</v>
      </c>
      <c r="I29" s="64">
        <v>1.53</v>
      </c>
      <c r="J29" s="64">
        <v>0.01</v>
      </c>
      <c r="K29" s="64">
        <v>9.8000000000000007</v>
      </c>
      <c r="L29" s="64">
        <v>24.08</v>
      </c>
      <c r="M29" s="64">
        <v>98.03</v>
      </c>
      <c r="N29" s="64">
        <v>79.099999999999994</v>
      </c>
      <c r="O29" s="64">
        <v>0</v>
      </c>
      <c r="P29" s="64">
        <v>0.31</v>
      </c>
      <c r="Q29" s="64">
        <v>9.64</v>
      </c>
      <c r="R29" s="198"/>
      <c r="S29" s="198"/>
      <c r="T29" s="198"/>
      <c r="U29" s="198"/>
    </row>
    <row r="30" spans="1:21" s="12" customFormat="1" x14ac:dyDescent="0.25">
      <c r="A30" s="212" t="s">
        <v>1996</v>
      </c>
      <c r="B30" s="64">
        <v>10.45</v>
      </c>
      <c r="C30" s="64">
        <v>5.87</v>
      </c>
      <c r="D30" s="64">
        <v>11.45</v>
      </c>
      <c r="E30" s="64">
        <v>4.93</v>
      </c>
      <c r="F30" s="64">
        <v>2.91</v>
      </c>
      <c r="G30" s="64">
        <v>12.38</v>
      </c>
      <c r="H30" s="64">
        <v>3.53</v>
      </c>
      <c r="I30" s="64">
        <v>1.48</v>
      </c>
      <c r="J30" s="64">
        <v>7.0000000000000007E-2</v>
      </c>
      <c r="K30" s="64">
        <v>268.33999999999997</v>
      </c>
      <c r="L30" s="64">
        <v>24.09</v>
      </c>
      <c r="M30" s="64">
        <v>98.05</v>
      </c>
      <c r="N30" s="64">
        <v>79.599999999999994</v>
      </c>
      <c r="O30" s="64">
        <v>0</v>
      </c>
      <c r="P30" s="64">
        <v>0.36</v>
      </c>
      <c r="Q30" s="64">
        <v>9.65</v>
      </c>
      <c r="R30" s="198"/>
      <c r="S30" s="198"/>
      <c r="T30" s="198"/>
      <c r="U30" s="198"/>
    </row>
    <row r="31" spans="1:21" s="12" customFormat="1" x14ac:dyDescent="0.25">
      <c r="A31" s="212" t="s">
        <v>1997</v>
      </c>
      <c r="B31" s="64">
        <v>10.63</v>
      </c>
      <c r="C31" s="64">
        <v>8.09</v>
      </c>
      <c r="D31" s="64">
        <v>12.76</v>
      </c>
      <c r="E31" s="64">
        <v>4.92</v>
      </c>
      <c r="F31" s="64">
        <v>4.0999999999999996</v>
      </c>
      <c r="G31" s="64">
        <v>12.38</v>
      </c>
      <c r="H31" s="64">
        <v>3.53</v>
      </c>
      <c r="I31" s="64">
        <v>1.45</v>
      </c>
      <c r="J31" s="64">
        <v>0.17</v>
      </c>
      <c r="K31" s="64">
        <v>313.68</v>
      </c>
      <c r="L31" s="64">
        <v>24.14</v>
      </c>
      <c r="M31" s="64">
        <v>98.05</v>
      </c>
      <c r="N31" s="64">
        <v>81.400000000000006</v>
      </c>
      <c r="O31" s="64">
        <v>0</v>
      </c>
      <c r="P31" s="64">
        <v>0.32</v>
      </c>
      <c r="Q31" s="64">
        <v>9.64</v>
      </c>
      <c r="R31" s="198"/>
      <c r="S31" s="198"/>
      <c r="T31" s="198"/>
      <c r="U31" s="198"/>
    </row>
    <row r="32" spans="1:21" s="12" customFormat="1" x14ac:dyDescent="0.25">
      <c r="A32" s="212" t="s">
        <v>1998</v>
      </c>
      <c r="B32" s="64">
        <v>8.94</v>
      </c>
      <c r="C32" s="64">
        <v>7.89</v>
      </c>
      <c r="D32" s="64">
        <v>11.3</v>
      </c>
      <c r="E32" s="64">
        <v>4.5999999999999996</v>
      </c>
      <c r="F32" s="64">
        <v>4.9400000000000004</v>
      </c>
      <c r="G32" s="64">
        <v>13.86</v>
      </c>
      <c r="H32" s="64">
        <v>3.08</v>
      </c>
      <c r="I32" s="64">
        <v>1.43</v>
      </c>
      <c r="J32" s="64">
        <v>0.26</v>
      </c>
      <c r="K32" s="64">
        <v>321.82</v>
      </c>
      <c r="L32" s="64">
        <v>24.21</v>
      </c>
      <c r="M32" s="64">
        <v>98.01</v>
      </c>
      <c r="N32" s="64">
        <v>87.9</v>
      </c>
      <c r="O32" s="64">
        <v>0</v>
      </c>
      <c r="P32" s="64">
        <v>0.3</v>
      </c>
      <c r="Q32" s="64">
        <v>9.64</v>
      </c>
      <c r="R32" s="198"/>
      <c r="S32" s="198"/>
      <c r="T32" s="198"/>
      <c r="U32" s="198"/>
    </row>
    <row r="33" spans="1:21" s="12" customFormat="1" x14ac:dyDescent="0.25">
      <c r="A33" s="212" t="s">
        <v>1999</v>
      </c>
      <c r="B33" s="64">
        <v>12.87</v>
      </c>
      <c r="C33" s="64">
        <v>6.96</v>
      </c>
      <c r="D33" s="64">
        <v>13.96</v>
      </c>
      <c r="E33" s="64">
        <v>4.97</v>
      </c>
      <c r="F33" s="64">
        <v>4.87</v>
      </c>
      <c r="G33" s="64">
        <v>14.6</v>
      </c>
      <c r="H33" s="64">
        <v>2.85</v>
      </c>
      <c r="I33" s="64">
        <v>1.42</v>
      </c>
      <c r="J33" s="64">
        <v>0.47</v>
      </c>
      <c r="K33" s="64">
        <v>331.47</v>
      </c>
      <c r="L33" s="64">
        <v>24.24</v>
      </c>
      <c r="M33" s="64">
        <v>98.03</v>
      </c>
      <c r="N33" s="64">
        <v>95.8</v>
      </c>
      <c r="O33" s="64">
        <v>0</v>
      </c>
      <c r="P33" s="64">
        <v>0.39</v>
      </c>
      <c r="Q33" s="64">
        <v>9.64</v>
      </c>
      <c r="R33" s="198"/>
      <c r="S33" s="198"/>
      <c r="T33" s="198"/>
      <c r="U33" s="198"/>
    </row>
    <row r="34" spans="1:21" s="12" customFormat="1" x14ac:dyDescent="0.25">
      <c r="A34" s="212" t="s">
        <v>2000</v>
      </c>
      <c r="B34" s="64">
        <v>12.81</v>
      </c>
      <c r="C34" s="64">
        <v>5.24</v>
      </c>
      <c r="D34" s="64">
        <v>12.96</v>
      </c>
      <c r="E34" s="64">
        <v>4.74</v>
      </c>
      <c r="F34" s="64">
        <v>3.89</v>
      </c>
      <c r="G34" s="64">
        <v>14.6</v>
      </c>
      <c r="H34" s="64">
        <v>2.85</v>
      </c>
      <c r="I34" s="64">
        <v>1.41</v>
      </c>
      <c r="J34" s="64">
        <v>0.14000000000000001</v>
      </c>
      <c r="K34" s="64">
        <v>342.87</v>
      </c>
      <c r="L34" s="64">
        <v>24.35</v>
      </c>
      <c r="M34" s="64">
        <v>98.02</v>
      </c>
      <c r="N34" s="64">
        <v>122</v>
      </c>
      <c r="O34" s="64">
        <v>0</v>
      </c>
      <c r="P34" s="64">
        <v>0.36</v>
      </c>
      <c r="Q34" s="64">
        <v>9.64</v>
      </c>
      <c r="R34" s="198"/>
      <c r="S34" s="198"/>
      <c r="T34" s="198"/>
      <c r="U34" s="198"/>
    </row>
    <row r="35" spans="1:21" s="12" customFormat="1" x14ac:dyDescent="0.25">
      <c r="A35" s="212" t="s">
        <v>2001</v>
      </c>
      <c r="B35" s="64">
        <v>13.04</v>
      </c>
      <c r="C35" s="64">
        <v>7.38</v>
      </c>
      <c r="D35" s="64">
        <v>14.31</v>
      </c>
      <c r="E35" s="64">
        <v>4.59</v>
      </c>
      <c r="F35" s="64">
        <v>4.05</v>
      </c>
      <c r="G35" s="64">
        <v>14.6</v>
      </c>
      <c r="H35" s="64">
        <v>2.85</v>
      </c>
      <c r="I35" s="64">
        <v>1.4</v>
      </c>
      <c r="J35" s="64">
        <v>0.03</v>
      </c>
      <c r="K35" s="64">
        <v>337.5</v>
      </c>
      <c r="L35" s="64">
        <v>24.48</v>
      </c>
      <c r="M35" s="64">
        <v>98.03</v>
      </c>
      <c r="N35" s="64">
        <v>146.69999999999999</v>
      </c>
      <c r="O35" s="64">
        <v>0</v>
      </c>
      <c r="P35" s="64">
        <v>0.35</v>
      </c>
      <c r="Q35" s="64">
        <v>9.6199999999999992</v>
      </c>
      <c r="R35" s="198"/>
      <c r="S35" s="198"/>
      <c r="T35" s="198"/>
      <c r="U35" s="198"/>
    </row>
    <row r="36" spans="1:21" s="12" customFormat="1" x14ac:dyDescent="0.25">
      <c r="A36" s="212" t="s">
        <v>2002</v>
      </c>
      <c r="B36" s="64">
        <v>13.9</v>
      </c>
      <c r="C36" s="64">
        <v>7.41</v>
      </c>
      <c r="D36" s="64">
        <v>15.01</v>
      </c>
      <c r="E36" s="64">
        <v>5.13</v>
      </c>
      <c r="F36" s="64">
        <v>4.55</v>
      </c>
      <c r="G36" s="64">
        <v>15.54</v>
      </c>
      <c r="H36" s="64">
        <v>4.12</v>
      </c>
      <c r="I36" s="64">
        <v>1.41</v>
      </c>
      <c r="J36" s="64">
        <v>0.01</v>
      </c>
      <c r="K36" s="64">
        <v>135.47</v>
      </c>
      <c r="L36" s="64">
        <v>24.65</v>
      </c>
      <c r="M36" s="64">
        <v>98.01</v>
      </c>
      <c r="N36" s="64">
        <v>143.6</v>
      </c>
      <c r="O36" s="64">
        <v>0</v>
      </c>
      <c r="P36" s="64">
        <v>0.36</v>
      </c>
      <c r="Q36" s="64">
        <v>9.64</v>
      </c>
      <c r="R36" s="198"/>
      <c r="S36" s="198"/>
      <c r="T36" s="198"/>
      <c r="U36" s="198"/>
    </row>
    <row r="37" spans="1:21" s="12" customFormat="1" x14ac:dyDescent="0.25">
      <c r="A37" s="212" t="s">
        <v>2003</v>
      </c>
      <c r="B37" s="64">
        <v>12.91</v>
      </c>
      <c r="C37" s="64">
        <v>6.68</v>
      </c>
      <c r="D37" s="64">
        <v>13.85</v>
      </c>
      <c r="E37" s="64">
        <v>5.03</v>
      </c>
      <c r="F37" s="64">
        <v>4.6100000000000003</v>
      </c>
      <c r="G37" s="64">
        <v>16.010000000000002</v>
      </c>
      <c r="H37" s="64">
        <v>4.75</v>
      </c>
      <c r="I37" s="64">
        <v>1.39</v>
      </c>
      <c r="J37" s="64">
        <v>0.17</v>
      </c>
      <c r="K37" s="64">
        <v>123.38</v>
      </c>
      <c r="L37" s="64">
        <v>24.65</v>
      </c>
      <c r="M37" s="64">
        <v>98.02</v>
      </c>
      <c r="N37" s="64">
        <v>161.1</v>
      </c>
      <c r="O37" s="64">
        <v>0</v>
      </c>
      <c r="P37" s="64">
        <v>0.33</v>
      </c>
      <c r="Q37" s="64">
        <v>9.64</v>
      </c>
      <c r="R37" s="198"/>
      <c r="S37" s="198"/>
      <c r="T37" s="198"/>
      <c r="U37" s="198"/>
    </row>
    <row r="38" spans="1:21" s="12" customFormat="1" x14ac:dyDescent="0.25">
      <c r="A38" s="212" t="s">
        <v>2004</v>
      </c>
      <c r="B38" s="64">
        <v>14.05</v>
      </c>
      <c r="C38" s="64">
        <v>8.17</v>
      </c>
      <c r="D38" s="64">
        <v>15.54</v>
      </c>
      <c r="E38" s="64">
        <v>5.01</v>
      </c>
      <c r="F38" s="64">
        <v>4.7</v>
      </c>
      <c r="G38" s="64">
        <v>16.010000000000002</v>
      </c>
      <c r="H38" s="64">
        <v>4.75</v>
      </c>
      <c r="I38" s="64">
        <v>1.37</v>
      </c>
      <c r="J38" s="64">
        <v>0.03</v>
      </c>
      <c r="K38" s="64">
        <v>191.93</v>
      </c>
      <c r="L38" s="64">
        <v>24.81</v>
      </c>
      <c r="M38" s="64">
        <v>97.98</v>
      </c>
      <c r="N38" s="64">
        <v>164.9</v>
      </c>
      <c r="O38" s="64">
        <v>0</v>
      </c>
      <c r="P38" s="64">
        <v>0.37</v>
      </c>
      <c r="Q38" s="64">
        <v>9.65</v>
      </c>
      <c r="R38" s="198"/>
      <c r="S38" s="198"/>
      <c r="T38" s="198"/>
      <c r="U38" s="198"/>
    </row>
    <row r="39" spans="1:21" s="12" customFormat="1" x14ac:dyDescent="0.25">
      <c r="A39" s="212" t="s">
        <v>2005</v>
      </c>
      <c r="B39" s="64">
        <v>20.66</v>
      </c>
      <c r="C39" s="64">
        <v>6.1</v>
      </c>
      <c r="D39" s="64">
        <v>19.649999999999999</v>
      </c>
      <c r="E39" s="64">
        <v>5.04</v>
      </c>
      <c r="F39" s="64">
        <v>4.1399999999999997</v>
      </c>
      <c r="G39" s="64">
        <v>16.010000000000002</v>
      </c>
      <c r="H39" s="64">
        <v>4.75</v>
      </c>
      <c r="I39" s="64">
        <v>1.38</v>
      </c>
      <c r="J39" s="64">
        <v>0.14000000000000001</v>
      </c>
      <c r="K39" s="64">
        <v>139.72</v>
      </c>
      <c r="L39" s="64">
        <v>24.99</v>
      </c>
      <c r="M39" s="64">
        <v>97.97</v>
      </c>
      <c r="N39" s="64">
        <v>199.9</v>
      </c>
      <c r="O39" s="64">
        <v>0</v>
      </c>
      <c r="P39" s="64">
        <v>0.37</v>
      </c>
      <c r="Q39" s="64">
        <v>9.65</v>
      </c>
      <c r="R39" s="198"/>
      <c r="S39" s="198"/>
      <c r="T39" s="198"/>
      <c r="U39" s="198"/>
    </row>
    <row r="40" spans="1:21" s="12" customFormat="1" x14ac:dyDescent="0.25">
      <c r="A40" s="212" t="s">
        <v>2006</v>
      </c>
      <c r="B40" s="64">
        <v>14.34</v>
      </c>
      <c r="C40" s="64">
        <v>7.42</v>
      </c>
      <c r="D40" s="64">
        <v>15.38</v>
      </c>
      <c r="E40" s="64">
        <v>6.06</v>
      </c>
      <c r="F40" s="64">
        <v>5.85</v>
      </c>
      <c r="G40" s="64">
        <v>16.57</v>
      </c>
      <c r="H40" s="64">
        <v>3.87</v>
      </c>
      <c r="I40" s="64">
        <v>1.37</v>
      </c>
      <c r="J40" s="64">
        <v>0.14000000000000001</v>
      </c>
      <c r="K40" s="64">
        <v>109.44</v>
      </c>
      <c r="L40" s="64">
        <v>25.14</v>
      </c>
      <c r="M40" s="64">
        <v>97.97</v>
      </c>
      <c r="N40" s="64">
        <v>178.1</v>
      </c>
      <c r="O40" s="64">
        <v>0</v>
      </c>
      <c r="P40" s="64">
        <v>0.34</v>
      </c>
      <c r="Q40" s="64">
        <v>9.64</v>
      </c>
      <c r="R40" s="198"/>
      <c r="S40" s="198"/>
      <c r="T40" s="198"/>
      <c r="U40" s="198"/>
    </row>
    <row r="41" spans="1:21" s="12" customFormat="1" x14ac:dyDescent="0.25">
      <c r="A41" s="212" t="s">
        <v>2007</v>
      </c>
      <c r="B41" s="64">
        <v>14.8</v>
      </c>
      <c r="C41" s="64">
        <v>7.5</v>
      </c>
      <c r="D41" s="64">
        <v>15.79</v>
      </c>
      <c r="E41" s="64">
        <v>6.28</v>
      </c>
      <c r="F41" s="64">
        <v>4.71</v>
      </c>
      <c r="G41" s="64">
        <v>16.850000000000001</v>
      </c>
      <c r="H41" s="64">
        <v>3.43</v>
      </c>
      <c r="I41" s="64">
        <v>1.37</v>
      </c>
      <c r="J41" s="64">
        <v>0.04</v>
      </c>
      <c r="K41" s="64">
        <v>71.650000000000006</v>
      </c>
      <c r="L41" s="64">
        <v>25.19</v>
      </c>
      <c r="M41" s="64">
        <v>97.96</v>
      </c>
      <c r="N41" s="64">
        <v>174.9</v>
      </c>
      <c r="O41" s="64">
        <v>0</v>
      </c>
      <c r="P41" s="64">
        <v>0.35</v>
      </c>
      <c r="Q41" s="64">
        <v>9.6300000000000008</v>
      </c>
      <c r="R41" s="198"/>
      <c r="S41" s="198"/>
      <c r="T41" s="198"/>
      <c r="U41" s="198"/>
    </row>
    <row r="42" spans="1:21" s="12" customFormat="1" x14ac:dyDescent="0.25">
      <c r="A42" s="212" t="s">
        <v>2008</v>
      </c>
      <c r="B42" s="64">
        <v>15.62</v>
      </c>
      <c r="C42" s="64">
        <v>6.74</v>
      </c>
      <c r="D42" s="64">
        <v>16.05</v>
      </c>
      <c r="E42" s="64">
        <v>6.43</v>
      </c>
      <c r="F42" s="64">
        <v>4.96</v>
      </c>
      <c r="G42" s="64">
        <v>16.850000000000001</v>
      </c>
      <c r="H42" s="64">
        <v>3.43</v>
      </c>
      <c r="I42" s="64">
        <v>1.39</v>
      </c>
      <c r="J42" s="64">
        <v>0.01</v>
      </c>
      <c r="K42" s="64">
        <v>21.85</v>
      </c>
      <c r="L42" s="64">
        <v>25.28</v>
      </c>
      <c r="M42" s="64">
        <v>97.96</v>
      </c>
      <c r="N42" s="64">
        <v>239.5</v>
      </c>
      <c r="O42" s="64">
        <v>0</v>
      </c>
      <c r="P42" s="64">
        <v>0.36</v>
      </c>
      <c r="Q42" s="64">
        <v>9.64</v>
      </c>
      <c r="R42" s="198"/>
      <c r="S42" s="198"/>
      <c r="T42" s="198"/>
      <c r="U42" s="198"/>
    </row>
    <row r="43" spans="1:21" s="12" customFormat="1" x14ac:dyDescent="0.25">
      <c r="A43" s="212" t="s">
        <v>2009</v>
      </c>
      <c r="B43" s="64">
        <v>14.19</v>
      </c>
      <c r="C43" s="64">
        <v>5.88</v>
      </c>
      <c r="D43" s="64">
        <v>14.45</v>
      </c>
      <c r="E43" s="64">
        <v>6.53</v>
      </c>
      <c r="F43" s="64">
        <v>6.33</v>
      </c>
      <c r="G43" s="64">
        <v>16.850000000000001</v>
      </c>
      <c r="H43" s="64">
        <v>3.43</v>
      </c>
      <c r="I43" s="64">
        <v>1.39</v>
      </c>
      <c r="J43" s="64">
        <v>0.35</v>
      </c>
      <c r="K43" s="64">
        <v>127.12</v>
      </c>
      <c r="L43" s="64">
        <v>25.64</v>
      </c>
      <c r="M43" s="64">
        <v>97.94</v>
      </c>
      <c r="N43" s="64">
        <v>308.3</v>
      </c>
      <c r="O43" s="64">
        <v>0</v>
      </c>
      <c r="P43" s="64">
        <v>0.35</v>
      </c>
      <c r="Q43" s="64">
        <v>9.65</v>
      </c>
      <c r="R43" s="198"/>
      <c r="S43" s="198"/>
      <c r="T43" s="198"/>
      <c r="U43" s="198"/>
    </row>
    <row r="44" spans="1:21" s="12" customFormat="1" x14ac:dyDescent="0.25">
      <c r="A44" s="212" t="s">
        <v>2010</v>
      </c>
      <c r="B44" s="64">
        <v>17.71</v>
      </c>
      <c r="C44" s="64">
        <v>6.92</v>
      </c>
      <c r="D44" s="64">
        <v>17.82</v>
      </c>
      <c r="E44" s="64">
        <v>6.48</v>
      </c>
      <c r="F44" s="64">
        <v>6.7</v>
      </c>
      <c r="G44" s="64">
        <v>17.43</v>
      </c>
      <c r="H44" s="64">
        <v>3.19</v>
      </c>
      <c r="I44" s="64">
        <v>1.39</v>
      </c>
      <c r="J44" s="64">
        <v>0.03</v>
      </c>
      <c r="K44" s="64">
        <v>288.92</v>
      </c>
      <c r="L44" s="64">
        <v>26.03</v>
      </c>
      <c r="M44" s="64">
        <v>97.94</v>
      </c>
      <c r="N44" s="64">
        <v>302.10000000000002</v>
      </c>
      <c r="O44" s="64">
        <v>0</v>
      </c>
      <c r="P44" s="64">
        <v>0.41</v>
      </c>
      <c r="Q44" s="64">
        <v>9.65</v>
      </c>
      <c r="R44" s="198"/>
      <c r="S44" s="198"/>
      <c r="T44" s="198"/>
      <c r="U44" s="198"/>
    </row>
    <row r="45" spans="1:21" s="12" customFormat="1" x14ac:dyDescent="0.25">
      <c r="A45" s="212" t="s">
        <v>2011</v>
      </c>
      <c r="B45" s="64">
        <v>17.93</v>
      </c>
      <c r="C45" s="64">
        <v>6.32</v>
      </c>
      <c r="D45" s="64">
        <v>17.68</v>
      </c>
      <c r="E45" s="64">
        <v>6.32</v>
      </c>
      <c r="F45" s="64">
        <v>3.15</v>
      </c>
      <c r="G45" s="64">
        <v>17.72</v>
      </c>
      <c r="H45" s="64">
        <v>3.07</v>
      </c>
      <c r="I45" s="64">
        <v>1.39</v>
      </c>
      <c r="J45" s="64">
        <v>7.0000000000000007E-2</v>
      </c>
      <c r="K45" s="64">
        <v>278.54000000000002</v>
      </c>
      <c r="L45" s="64">
        <v>26.29</v>
      </c>
      <c r="M45" s="64">
        <v>97.92</v>
      </c>
      <c r="N45" s="64">
        <v>227.4</v>
      </c>
      <c r="O45" s="64">
        <v>0</v>
      </c>
      <c r="P45" s="64">
        <v>0.41</v>
      </c>
      <c r="Q45" s="64">
        <v>9.64</v>
      </c>
      <c r="R45" s="198"/>
      <c r="S45" s="198"/>
      <c r="T45" s="198"/>
      <c r="U45" s="198"/>
    </row>
    <row r="46" spans="1:21" s="12" customFormat="1" x14ac:dyDescent="0.25">
      <c r="A46" s="212" t="s">
        <v>2012</v>
      </c>
      <c r="B46" s="64">
        <v>17.760000000000002</v>
      </c>
      <c r="C46" s="64">
        <v>9.6999999999999993</v>
      </c>
      <c r="D46" s="64">
        <v>19.29</v>
      </c>
      <c r="E46" s="64">
        <v>6.3</v>
      </c>
      <c r="F46" s="64">
        <v>5.45</v>
      </c>
      <c r="G46" s="64">
        <v>17.72</v>
      </c>
      <c r="H46" s="64">
        <v>3.07</v>
      </c>
      <c r="I46" s="64">
        <v>1.38</v>
      </c>
      <c r="J46" s="64">
        <v>0.06</v>
      </c>
      <c r="K46" s="64">
        <v>124.66</v>
      </c>
      <c r="L46" s="64">
        <v>26.72</v>
      </c>
      <c r="M46" s="64">
        <v>97.89</v>
      </c>
      <c r="N46" s="64">
        <v>346.4</v>
      </c>
      <c r="O46" s="64">
        <v>0</v>
      </c>
      <c r="P46" s="64">
        <v>0.53</v>
      </c>
      <c r="Q46" s="64">
        <v>9.65</v>
      </c>
      <c r="R46" s="198"/>
      <c r="S46" s="198"/>
      <c r="T46" s="198"/>
      <c r="U46" s="198"/>
    </row>
    <row r="47" spans="1:21" s="12" customFormat="1" x14ac:dyDescent="0.25">
      <c r="A47" s="212" t="s">
        <v>2013</v>
      </c>
      <c r="B47" s="64">
        <v>15.4</v>
      </c>
      <c r="C47" s="64">
        <v>5.23</v>
      </c>
      <c r="D47" s="64">
        <v>15.09</v>
      </c>
      <c r="E47" s="64">
        <v>6.26</v>
      </c>
      <c r="F47" s="64">
        <v>5.01</v>
      </c>
      <c r="G47" s="64">
        <v>17.72</v>
      </c>
      <c r="H47" s="64">
        <v>3.07</v>
      </c>
      <c r="I47" s="64">
        <v>1.37</v>
      </c>
      <c r="J47" s="64">
        <v>0.23</v>
      </c>
      <c r="K47" s="64">
        <v>118.47</v>
      </c>
      <c r="L47" s="64">
        <v>26.69</v>
      </c>
      <c r="M47" s="64">
        <v>97.88</v>
      </c>
      <c r="N47" s="64">
        <v>231.4</v>
      </c>
      <c r="O47" s="64">
        <v>0</v>
      </c>
      <c r="P47" s="64">
        <v>0.42</v>
      </c>
      <c r="Q47" s="64">
        <v>9.67</v>
      </c>
      <c r="R47" s="198"/>
      <c r="S47" s="198"/>
      <c r="T47" s="198"/>
      <c r="U47" s="198"/>
    </row>
    <row r="48" spans="1:21" s="12" customFormat="1" x14ac:dyDescent="0.25">
      <c r="A48" s="212" t="s">
        <v>2014</v>
      </c>
      <c r="B48" s="64">
        <v>11.78</v>
      </c>
      <c r="C48" s="64">
        <v>8.43</v>
      </c>
      <c r="D48" s="64">
        <v>13.85</v>
      </c>
      <c r="E48" s="64">
        <v>6.06</v>
      </c>
      <c r="F48" s="64">
        <v>8.1999999999999993</v>
      </c>
      <c r="G48" s="64">
        <v>22.24</v>
      </c>
      <c r="H48" s="64">
        <v>2.5499999999999998</v>
      </c>
      <c r="I48" s="64">
        <v>1.36</v>
      </c>
      <c r="J48" s="64">
        <v>0.57999999999999996</v>
      </c>
      <c r="K48" s="64">
        <v>124.9</v>
      </c>
      <c r="L48" s="64">
        <v>26.49</v>
      </c>
      <c r="M48" s="64">
        <v>97.85</v>
      </c>
      <c r="N48" s="64">
        <v>263.2</v>
      </c>
      <c r="O48" s="64">
        <v>0</v>
      </c>
      <c r="P48" s="64">
        <v>0.4</v>
      </c>
      <c r="Q48" s="64">
        <v>9.64</v>
      </c>
      <c r="R48" s="198"/>
      <c r="S48" s="198"/>
      <c r="T48" s="198"/>
      <c r="U48" s="198"/>
    </row>
    <row r="49" spans="1:21" s="12" customFormat="1" x14ac:dyDescent="0.25">
      <c r="A49" s="212" t="s">
        <v>2015</v>
      </c>
      <c r="B49" s="64">
        <v>11.58</v>
      </c>
      <c r="C49" s="64">
        <v>6.76</v>
      </c>
      <c r="D49" s="64">
        <v>12.82</v>
      </c>
      <c r="E49" s="64">
        <v>6.24</v>
      </c>
      <c r="F49" s="64">
        <v>9.0399999999999991</v>
      </c>
      <c r="G49" s="64">
        <v>24.5</v>
      </c>
      <c r="H49" s="64">
        <v>2.29</v>
      </c>
      <c r="I49" s="64">
        <v>1.36</v>
      </c>
      <c r="J49" s="64">
        <v>0.35</v>
      </c>
      <c r="K49" s="64">
        <v>128.74</v>
      </c>
      <c r="L49" s="64">
        <v>26.26</v>
      </c>
      <c r="M49" s="64">
        <v>97.82</v>
      </c>
      <c r="N49" s="64">
        <v>200.5</v>
      </c>
      <c r="O49" s="64">
        <v>0</v>
      </c>
      <c r="P49" s="64">
        <v>0.35</v>
      </c>
      <c r="Q49" s="64">
        <v>9.67</v>
      </c>
      <c r="R49" s="198"/>
      <c r="S49" s="198"/>
      <c r="T49" s="198"/>
      <c r="U49" s="198"/>
    </row>
    <row r="50" spans="1:21" s="12" customFormat="1" x14ac:dyDescent="0.25">
      <c r="A50" s="212" t="s">
        <v>2016</v>
      </c>
      <c r="B50" s="64">
        <v>15.07</v>
      </c>
      <c r="C50" s="64">
        <v>5.65</v>
      </c>
      <c r="D50" s="64">
        <v>15.02</v>
      </c>
      <c r="E50" s="64">
        <v>6.45</v>
      </c>
      <c r="F50" s="64">
        <v>5.63</v>
      </c>
      <c r="G50" s="64">
        <v>24.5</v>
      </c>
      <c r="H50" s="64">
        <v>2.29</v>
      </c>
      <c r="I50" s="64">
        <v>1.36</v>
      </c>
      <c r="J50" s="64">
        <v>0.16</v>
      </c>
      <c r="K50" s="64">
        <v>118.41</v>
      </c>
      <c r="L50" s="64">
        <v>26.6</v>
      </c>
      <c r="M50" s="64">
        <v>97.31</v>
      </c>
      <c r="N50" s="64">
        <v>327.10000000000002</v>
      </c>
      <c r="O50" s="64">
        <v>0</v>
      </c>
      <c r="P50" s="64">
        <v>0.41</v>
      </c>
      <c r="Q50" s="64">
        <v>9.66</v>
      </c>
      <c r="R50" s="198"/>
      <c r="S50" s="198"/>
      <c r="T50" s="198"/>
      <c r="U50" s="198"/>
    </row>
    <row r="51" spans="1:21" s="12" customFormat="1" x14ac:dyDescent="0.25">
      <c r="A51" s="212" t="s">
        <v>2017</v>
      </c>
      <c r="B51" s="64">
        <v>15.77</v>
      </c>
      <c r="C51" s="64">
        <v>8.56</v>
      </c>
      <c r="D51" s="64">
        <v>17.09</v>
      </c>
      <c r="E51" s="64">
        <v>6.34</v>
      </c>
      <c r="F51" s="64">
        <v>8.25</v>
      </c>
      <c r="G51" s="64">
        <v>24.5</v>
      </c>
      <c r="H51" s="64">
        <v>2.29</v>
      </c>
      <c r="I51" s="64">
        <v>1.35</v>
      </c>
      <c r="J51" s="64">
        <v>0.42</v>
      </c>
      <c r="K51" s="64">
        <v>332.26</v>
      </c>
      <c r="L51" s="64">
        <v>27.71</v>
      </c>
      <c r="M51" s="64">
        <v>92.93</v>
      </c>
      <c r="N51" s="64">
        <v>495.2</v>
      </c>
      <c r="O51" s="64">
        <v>0</v>
      </c>
      <c r="P51" s="64">
        <v>0.46</v>
      </c>
      <c r="Q51" s="64">
        <v>9.65</v>
      </c>
      <c r="R51" s="198"/>
      <c r="S51" s="198"/>
      <c r="T51" s="198"/>
      <c r="U51" s="198"/>
    </row>
    <row r="52" spans="1:21" s="12" customFormat="1" x14ac:dyDescent="0.25">
      <c r="A52" s="212" t="s">
        <v>2018</v>
      </c>
      <c r="B52" s="64">
        <v>13.83</v>
      </c>
      <c r="C52" s="64">
        <v>7.53</v>
      </c>
      <c r="D52" s="64">
        <v>15.02</v>
      </c>
      <c r="E52" s="64">
        <v>6.51</v>
      </c>
      <c r="F52" s="64">
        <v>10.75</v>
      </c>
      <c r="G52" s="64">
        <v>25.06</v>
      </c>
      <c r="H52" s="64">
        <v>1.96</v>
      </c>
      <c r="I52" s="64">
        <v>1.36</v>
      </c>
      <c r="J52" s="64">
        <v>0.1</v>
      </c>
      <c r="K52" s="64">
        <v>359.89</v>
      </c>
      <c r="L52" s="64">
        <v>28.59</v>
      </c>
      <c r="M52" s="64">
        <v>88.05</v>
      </c>
      <c r="N52" s="64">
        <v>565.29999999999995</v>
      </c>
      <c r="O52" s="64">
        <v>0</v>
      </c>
      <c r="P52" s="64">
        <v>0.45</v>
      </c>
      <c r="Q52" s="64">
        <v>9.66</v>
      </c>
      <c r="R52" s="198"/>
      <c r="S52" s="198"/>
      <c r="T52" s="198"/>
      <c r="U52" s="198"/>
    </row>
    <row r="53" spans="1:21" s="12" customFormat="1" x14ac:dyDescent="0.25">
      <c r="A53" s="212" t="s">
        <v>2019</v>
      </c>
      <c r="B53" s="64">
        <v>12.7</v>
      </c>
      <c r="C53" s="64">
        <v>6.56</v>
      </c>
      <c r="D53" s="64">
        <v>13.61</v>
      </c>
      <c r="E53" s="64">
        <v>6.48</v>
      </c>
      <c r="F53" s="64">
        <v>6.83</v>
      </c>
      <c r="G53" s="64">
        <v>25.34</v>
      </c>
      <c r="H53" s="64">
        <v>1.79</v>
      </c>
      <c r="I53" s="64">
        <v>1.37</v>
      </c>
      <c r="J53" s="64">
        <v>0.47</v>
      </c>
      <c r="K53" s="64">
        <v>117.02</v>
      </c>
      <c r="L53" s="64">
        <v>28.54</v>
      </c>
      <c r="M53" s="64">
        <v>88</v>
      </c>
      <c r="N53" s="64">
        <v>790.7</v>
      </c>
      <c r="O53" s="64">
        <v>0</v>
      </c>
      <c r="P53" s="64">
        <v>0.4</v>
      </c>
      <c r="Q53" s="64">
        <v>9.64</v>
      </c>
      <c r="R53" s="198"/>
      <c r="S53" s="198"/>
      <c r="T53" s="198"/>
      <c r="U53" s="198"/>
    </row>
    <row r="54" spans="1:21" s="12" customFormat="1" x14ac:dyDescent="0.25">
      <c r="A54" s="212" t="s">
        <v>2020</v>
      </c>
      <c r="B54" s="64">
        <v>10.85</v>
      </c>
      <c r="C54" s="64">
        <v>7.4</v>
      </c>
      <c r="D54" s="64">
        <v>12.57</v>
      </c>
      <c r="E54" s="64">
        <v>6.27</v>
      </c>
      <c r="F54" s="64">
        <v>9.69</v>
      </c>
      <c r="G54" s="64">
        <v>25.34</v>
      </c>
      <c r="H54" s="64">
        <v>1.79</v>
      </c>
      <c r="I54" s="64">
        <v>1.36</v>
      </c>
      <c r="J54" s="64">
        <v>0.51</v>
      </c>
      <c r="K54" s="64">
        <v>114.71</v>
      </c>
      <c r="L54" s="64">
        <v>28.95</v>
      </c>
      <c r="M54" s="64">
        <v>87.59</v>
      </c>
      <c r="N54" s="64">
        <v>927</v>
      </c>
      <c r="O54" s="64">
        <v>0</v>
      </c>
      <c r="P54" s="64">
        <v>0.38</v>
      </c>
      <c r="Q54" s="64">
        <v>9.65</v>
      </c>
      <c r="R54" s="198"/>
      <c r="S54" s="198"/>
      <c r="T54" s="198"/>
      <c r="U54" s="198"/>
    </row>
    <row r="55" spans="1:21" s="12" customFormat="1" x14ac:dyDescent="0.25">
      <c r="A55" s="212" t="s">
        <v>2021</v>
      </c>
      <c r="B55" s="64">
        <v>11.98</v>
      </c>
      <c r="C55" s="64">
        <v>8.14</v>
      </c>
      <c r="D55" s="64">
        <v>13.86</v>
      </c>
      <c r="E55" s="64">
        <v>6.59</v>
      </c>
      <c r="F55" s="64">
        <v>11.77</v>
      </c>
      <c r="G55" s="64">
        <v>25.34</v>
      </c>
      <c r="H55" s="64">
        <v>1.79</v>
      </c>
      <c r="I55" s="64">
        <v>1.36</v>
      </c>
      <c r="J55" s="64">
        <v>0.31</v>
      </c>
      <c r="K55" s="64">
        <v>112.73</v>
      </c>
      <c r="L55" s="64">
        <v>28.99</v>
      </c>
      <c r="M55" s="64">
        <v>86.32</v>
      </c>
      <c r="N55" s="64">
        <v>567.9</v>
      </c>
      <c r="O55" s="64">
        <v>0</v>
      </c>
      <c r="P55" s="64">
        <v>0.39</v>
      </c>
      <c r="Q55" s="64">
        <v>9.66</v>
      </c>
      <c r="R55" s="198"/>
      <c r="S55" s="198"/>
      <c r="T55" s="198"/>
      <c r="U55" s="198"/>
    </row>
    <row r="56" spans="1:21" s="12" customFormat="1" x14ac:dyDescent="0.25">
      <c r="A56" s="212" t="s">
        <v>2022</v>
      </c>
      <c r="B56" s="64">
        <v>13.14</v>
      </c>
      <c r="C56" s="64">
        <v>8.6199999999999992</v>
      </c>
      <c r="D56" s="64">
        <v>15.04</v>
      </c>
      <c r="E56" s="64">
        <v>6.61</v>
      </c>
      <c r="F56" s="64">
        <v>11.64</v>
      </c>
      <c r="G56" s="64">
        <v>25.62</v>
      </c>
      <c r="H56" s="64">
        <v>2.0299999999999998</v>
      </c>
      <c r="I56" s="64">
        <v>1.35</v>
      </c>
      <c r="J56" s="64">
        <v>0.4</v>
      </c>
      <c r="K56" s="64">
        <v>340.57</v>
      </c>
      <c r="L56" s="64">
        <v>28.92</v>
      </c>
      <c r="M56" s="64">
        <v>87.2</v>
      </c>
      <c r="N56" s="64">
        <v>393.7</v>
      </c>
      <c r="O56" s="64">
        <v>0</v>
      </c>
      <c r="P56" s="64">
        <v>0.44</v>
      </c>
      <c r="Q56" s="64">
        <v>9.64</v>
      </c>
      <c r="R56" s="198"/>
      <c r="S56" s="198"/>
      <c r="T56" s="198"/>
      <c r="U56" s="198"/>
    </row>
    <row r="57" spans="1:21" s="12" customFormat="1" x14ac:dyDescent="0.25">
      <c r="A57" s="212" t="s">
        <v>2023</v>
      </c>
      <c r="B57" s="64">
        <v>14.09</v>
      </c>
      <c r="C57" s="64">
        <v>12.76</v>
      </c>
      <c r="D57" s="64">
        <v>17.97</v>
      </c>
      <c r="E57" s="64">
        <v>6.54</v>
      </c>
      <c r="F57" s="64">
        <v>9.86</v>
      </c>
      <c r="G57" s="64">
        <v>25.76</v>
      </c>
      <c r="H57" s="64">
        <v>2.14</v>
      </c>
      <c r="I57" s="64">
        <v>1.34</v>
      </c>
      <c r="J57" s="64">
        <v>0.6</v>
      </c>
      <c r="K57" s="64">
        <v>337.26</v>
      </c>
      <c r="L57" s="64">
        <v>29.05</v>
      </c>
      <c r="M57" s="64">
        <v>87.04</v>
      </c>
      <c r="N57" s="64">
        <v>175.2</v>
      </c>
      <c r="O57" s="64">
        <v>0</v>
      </c>
      <c r="P57" s="64">
        <v>0.48</v>
      </c>
      <c r="Q57" s="64">
        <v>9.65</v>
      </c>
      <c r="R57" s="198"/>
      <c r="S57" s="198"/>
      <c r="T57" s="198"/>
      <c r="U57" s="198"/>
    </row>
    <row r="58" spans="1:21" s="12" customFormat="1" x14ac:dyDescent="0.25">
      <c r="A58" s="212" t="s">
        <v>2024</v>
      </c>
      <c r="B58" s="64">
        <v>12.22</v>
      </c>
      <c r="C58" s="64">
        <v>9.67</v>
      </c>
      <c r="D58" s="64">
        <v>14.85</v>
      </c>
      <c r="E58" s="64">
        <v>6.82</v>
      </c>
      <c r="F58" s="64">
        <v>10.029999999999999</v>
      </c>
      <c r="G58" s="64">
        <v>25.76</v>
      </c>
      <c r="H58" s="64">
        <v>2.14</v>
      </c>
      <c r="I58" s="64">
        <v>1.36</v>
      </c>
      <c r="J58" s="64">
        <v>0.81</v>
      </c>
      <c r="K58" s="64">
        <v>340.31</v>
      </c>
      <c r="L58" s="64">
        <v>28.15</v>
      </c>
      <c r="M58" s="64">
        <v>90.82</v>
      </c>
      <c r="N58" s="64">
        <v>231.3</v>
      </c>
      <c r="O58" s="64">
        <v>0</v>
      </c>
      <c r="P58" s="64">
        <v>0.44</v>
      </c>
      <c r="Q58" s="64">
        <v>9.64</v>
      </c>
      <c r="R58" s="198"/>
      <c r="S58" s="198"/>
      <c r="T58" s="198"/>
      <c r="U58" s="198"/>
    </row>
    <row r="59" spans="1:21" s="12" customFormat="1" x14ac:dyDescent="0.25">
      <c r="A59" s="212" t="s">
        <v>2025</v>
      </c>
      <c r="B59" s="64">
        <v>10.26</v>
      </c>
      <c r="C59" s="64">
        <v>10.36</v>
      </c>
      <c r="D59" s="64">
        <v>13.63</v>
      </c>
      <c r="E59" s="64">
        <v>6.9</v>
      </c>
      <c r="F59" s="64">
        <v>10.96</v>
      </c>
      <c r="G59" s="64">
        <v>25.76</v>
      </c>
      <c r="H59" s="64">
        <v>2.14</v>
      </c>
      <c r="I59" s="64">
        <v>1.41</v>
      </c>
      <c r="J59" s="64">
        <v>0.14000000000000001</v>
      </c>
      <c r="K59" s="64">
        <v>94.09</v>
      </c>
      <c r="L59" s="64">
        <v>27.68</v>
      </c>
      <c r="M59" s="64">
        <v>92.51</v>
      </c>
      <c r="N59" s="64">
        <v>224.3</v>
      </c>
      <c r="O59" s="64">
        <v>0</v>
      </c>
      <c r="P59" s="64">
        <v>0.4</v>
      </c>
      <c r="Q59" s="64">
        <v>9.64</v>
      </c>
      <c r="R59" s="198"/>
      <c r="S59" s="198"/>
      <c r="T59" s="198"/>
      <c r="U59" s="198"/>
    </row>
    <row r="60" spans="1:21" s="12" customFormat="1" x14ac:dyDescent="0.25">
      <c r="A60" s="212" t="s">
        <v>2026</v>
      </c>
      <c r="B60" s="64">
        <v>12.75</v>
      </c>
      <c r="C60" s="64">
        <v>11.87</v>
      </c>
      <c r="D60" s="64">
        <v>16.420000000000002</v>
      </c>
      <c r="E60" s="64">
        <v>6.59</v>
      </c>
      <c r="F60" s="64">
        <v>10.19</v>
      </c>
      <c r="G60" s="64">
        <v>24.49</v>
      </c>
      <c r="H60" s="64">
        <v>4.58</v>
      </c>
      <c r="I60" s="64">
        <v>1.49</v>
      </c>
      <c r="J60" s="64">
        <v>0.7</v>
      </c>
      <c r="K60" s="64">
        <v>337.4</v>
      </c>
      <c r="L60" s="64">
        <v>27.45</v>
      </c>
      <c r="M60" s="64">
        <v>93.63</v>
      </c>
      <c r="N60" s="64">
        <v>107.3</v>
      </c>
      <c r="O60" s="64">
        <v>0</v>
      </c>
      <c r="P60" s="64">
        <v>0.45</v>
      </c>
      <c r="Q60" s="64">
        <v>9.65</v>
      </c>
      <c r="R60" s="198"/>
      <c r="S60" s="198"/>
      <c r="T60" s="198"/>
      <c r="U60" s="198"/>
    </row>
    <row r="61" spans="1:21" s="12" customFormat="1" x14ac:dyDescent="0.25">
      <c r="A61" s="212" t="s">
        <v>2027</v>
      </c>
      <c r="B61" s="64">
        <v>14.3</v>
      </c>
      <c r="C61" s="64">
        <v>11.13</v>
      </c>
      <c r="D61" s="64">
        <v>17.28</v>
      </c>
      <c r="E61" s="64">
        <v>6.64</v>
      </c>
      <c r="F61" s="64">
        <v>11.33</v>
      </c>
      <c r="G61" s="64">
        <v>23.86</v>
      </c>
      <c r="H61" s="64">
        <v>5.79</v>
      </c>
      <c r="I61" s="64">
        <v>1.52</v>
      </c>
      <c r="J61" s="64">
        <v>0.12</v>
      </c>
      <c r="K61" s="64">
        <v>320.74</v>
      </c>
      <c r="L61" s="64">
        <v>27.31</v>
      </c>
      <c r="M61" s="64">
        <v>94.41</v>
      </c>
      <c r="N61" s="64">
        <v>187.8</v>
      </c>
      <c r="O61" s="64">
        <v>0</v>
      </c>
      <c r="P61" s="64">
        <v>0.45</v>
      </c>
      <c r="Q61" s="64">
        <v>9.6300000000000008</v>
      </c>
      <c r="R61" s="198"/>
      <c r="S61" s="198"/>
      <c r="T61" s="198"/>
      <c r="U61" s="198"/>
    </row>
    <row r="62" spans="1:21" s="12" customFormat="1" x14ac:dyDescent="0.25">
      <c r="A62" s="212" t="s">
        <v>2028</v>
      </c>
      <c r="B62" s="64">
        <v>11.22</v>
      </c>
      <c r="C62" s="64">
        <v>11.68</v>
      </c>
      <c r="D62" s="64">
        <v>15.1</v>
      </c>
      <c r="E62" s="64">
        <v>7.04</v>
      </c>
      <c r="F62" s="64">
        <v>11.13</v>
      </c>
      <c r="G62" s="64">
        <v>23.86</v>
      </c>
      <c r="H62" s="64">
        <v>5.79</v>
      </c>
      <c r="I62" s="64">
        <v>1.55</v>
      </c>
      <c r="J62" s="64">
        <v>0.24</v>
      </c>
      <c r="K62" s="64">
        <v>137.46</v>
      </c>
      <c r="L62" s="64">
        <v>27.43</v>
      </c>
      <c r="M62" s="64">
        <v>92.97</v>
      </c>
      <c r="N62" s="64">
        <v>136.80000000000001</v>
      </c>
      <c r="O62" s="64">
        <v>0</v>
      </c>
      <c r="P62" s="64">
        <v>0.45</v>
      </c>
      <c r="Q62" s="64">
        <v>9.64</v>
      </c>
      <c r="R62" s="198"/>
      <c r="S62" s="198"/>
      <c r="T62" s="198"/>
      <c r="U62" s="198"/>
    </row>
    <row r="63" spans="1:21" s="12" customFormat="1" x14ac:dyDescent="0.25">
      <c r="A63" s="212" t="s">
        <v>2029</v>
      </c>
      <c r="B63" s="64">
        <v>10.18</v>
      </c>
      <c r="C63" s="64">
        <v>11.24</v>
      </c>
      <c r="D63" s="64">
        <v>14.04</v>
      </c>
      <c r="E63" s="64">
        <v>6.5</v>
      </c>
      <c r="F63" s="64">
        <v>10.6</v>
      </c>
      <c r="G63" s="64">
        <v>23.86</v>
      </c>
      <c r="H63" s="64">
        <v>5.79</v>
      </c>
      <c r="I63" s="64">
        <v>1.57</v>
      </c>
      <c r="J63" s="64">
        <v>0.28999999999999998</v>
      </c>
      <c r="K63" s="64">
        <v>127.84</v>
      </c>
      <c r="L63" s="64">
        <v>26.98</v>
      </c>
      <c r="M63" s="64">
        <v>94.98</v>
      </c>
      <c r="N63" s="64">
        <v>95.9</v>
      </c>
      <c r="O63" s="64">
        <v>0</v>
      </c>
      <c r="P63" s="64">
        <v>0.38</v>
      </c>
      <c r="Q63" s="64">
        <v>9.61</v>
      </c>
      <c r="R63" s="198"/>
      <c r="S63" s="198"/>
      <c r="T63" s="198"/>
      <c r="U63" s="198"/>
    </row>
    <row r="64" spans="1:21" s="12" customFormat="1" x14ac:dyDescent="0.25">
      <c r="A64" s="212" t="s">
        <v>2030</v>
      </c>
      <c r="B64" s="64">
        <v>12.85</v>
      </c>
      <c r="C64" s="64">
        <v>12.81</v>
      </c>
      <c r="D64" s="64">
        <v>17</v>
      </c>
      <c r="E64" s="64">
        <v>6.23</v>
      </c>
      <c r="F64" s="64">
        <v>11.16</v>
      </c>
      <c r="G64" s="64">
        <v>25.94</v>
      </c>
      <c r="H64" s="64">
        <v>4.76</v>
      </c>
      <c r="I64" s="64">
        <v>1.56</v>
      </c>
      <c r="J64" s="64">
        <v>0.03</v>
      </c>
      <c r="K64" s="64">
        <v>19.41</v>
      </c>
      <c r="L64" s="64">
        <v>26.69</v>
      </c>
      <c r="M64" s="64">
        <v>97</v>
      </c>
      <c r="N64" s="64">
        <v>78.3</v>
      </c>
      <c r="O64" s="64">
        <v>0</v>
      </c>
      <c r="P64" s="64">
        <v>0.48</v>
      </c>
      <c r="Q64" s="64">
        <v>9.6300000000000008</v>
      </c>
      <c r="R64" s="198"/>
      <c r="S64" s="198"/>
      <c r="T64" s="198"/>
      <c r="U64" s="198"/>
    </row>
    <row r="65" spans="1:21" s="12" customFormat="1" x14ac:dyDescent="0.25">
      <c r="A65" s="212" t="s">
        <v>2031</v>
      </c>
      <c r="B65" s="64">
        <v>15.78</v>
      </c>
      <c r="C65" s="64">
        <v>12.46</v>
      </c>
      <c r="D65" s="64">
        <v>19.16</v>
      </c>
      <c r="E65" s="64">
        <v>6.33</v>
      </c>
      <c r="F65" s="64">
        <v>7.91</v>
      </c>
      <c r="G65" s="64">
        <v>26.98</v>
      </c>
      <c r="H65" s="64">
        <v>4.25</v>
      </c>
      <c r="I65" s="64">
        <v>1.51</v>
      </c>
      <c r="J65" s="64">
        <v>0.12</v>
      </c>
      <c r="K65" s="64">
        <v>72.89</v>
      </c>
      <c r="L65" s="64">
        <v>26.66</v>
      </c>
      <c r="M65" s="64">
        <v>97.71</v>
      </c>
      <c r="N65" s="64">
        <v>81.2</v>
      </c>
      <c r="O65" s="64">
        <v>0</v>
      </c>
      <c r="P65" s="64">
        <v>0.61</v>
      </c>
      <c r="Q65" s="64">
        <v>9.65</v>
      </c>
      <c r="R65" s="198"/>
      <c r="S65" s="198"/>
      <c r="T65" s="198"/>
      <c r="U65" s="198"/>
    </row>
    <row r="66" spans="1:21" s="12" customFormat="1" x14ac:dyDescent="0.25">
      <c r="A66" s="212" t="s">
        <v>2032</v>
      </c>
      <c r="B66" s="64">
        <v>9.07</v>
      </c>
      <c r="C66" s="64">
        <v>9.24</v>
      </c>
      <c r="D66" s="64">
        <v>12.1</v>
      </c>
      <c r="E66" s="64">
        <v>6.18</v>
      </c>
      <c r="F66" s="64">
        <v>9.7100000000000009</v>
      </c>
      <c r="G66" s="64">
        <v>26.98</v>
      </c>
      <c r="H66" s="64">
        <v>4.25</v>
      </c>
      <c r="I66" s="64">
        <v>1.51</v>
      </c>
      <c r="J66" s="64">
        <v>0.85</v>
      </c>
      <c r="K66" s="64">
        <v>137.5</v>
      </c>
      <c r="L66" s="64">
        <v>25.98</v>
      </c>
      <c r="M66" s="64">
        <v>97.95</v>
      </c>
      <c r="N66" s="64">
        <v>73.8</v>
      </c>
      <c r="O66" s="64">
        <v>0</v>
      </c>
      <c r="P66" s="64">
        <v>0.37</v>
      </c>
      <c r="Q66" s="64">
        <v>9.66</v>
      </c>
      <c r="R66" s="198"/>
      <c r="S66" s="198"/>
      <c r="T66" s="198"/>
      <c r="U66" s="198"/>
    </row>
    <row r="67" spans="1:21" s="12" customFormat="1" x14ac:dyDescent="0.25">
      <c r="A67" s="212" t="s">
        <v>2033</v>
      </c>
      <c r="B67" s="64">
        <v>11.01</v>
      </c>
      <c r="C67" s="64">
        <v>7.5</v>
      </c>
      <c r="D67" s="64">
        <v>12.75</v>
      </c>
      <c r="E67" s="64">
        <v>6.35</v>
      </c>
      <c r="F67" s="64">
        <v>5.63</v>
      </c>
      <c r="G67" s="64">
        <v>26.98</v>
      </c>
      <c r="H67" s="64">
        <v>4.25</v>
      </c>
      <c r="I67" s="64">
        <v>1.46</v>
      </c>
      <c r="J67" s="64">
        <v>0.56999999999999995</v>
      </c>
      <c r="K67" s="64">
        <v>140.16</v>
      </c>
      <c r="L67" s="64">
        <v>24.63</v>
      </c>
      <c r="M67" s="64">
        <v>98.07</v>
      </c>
      <c r="N67" s="64">
        <v>67.599999999999994</v>
      </c>
      <c r="O67" s="64">
        <v>0</v>
      </c>
      <c r="P67" s="64">
        <v>0.41</v>
      </c>
      <c r="Q67" s="64">
        <v>9.64</v>
      </c>
      <c r="R67" s="198"/>
      <c r="S67" s="198"/>
      <c r="T67" s="198"/>
      <c r="U67" s="198"/>
    </row>
    <row r="68" spans="1:21" s="12" customFormat="1" x14ac:dyDescent="0.25">
      <c r="A68" s="212" t="s">
        <v>2034</v>
      </c>
      <c r="B68" s="64">
        <v>11.86</v>
      </c>
      <c r="C68" s="64">
        <v>6.52</v>
      </c>
      <c r="D68" s="64">
        <v>12.92</v>
      </c>
      <c r="E68" s="64">
        <v>5.9</v>
      </c>
      <c r="F68" s="64">
        <v>3.3</v>
      </c>
      <c r="G68" s="64">
        <v>25.75</v>
      </c>
      <c r="H68" s="64">
        <v>3.47</v>
      </c>
      <c r="I68" s="64">
        <v>1.47</v>
      </c>
      <c r="J68" s="64">
        <v>0.19</v>
      </c>
      <c r="K68" s="64">
        <v>156.19</v>
      </c>
      <c r="L68" s="64">
        <v>23.69</v>
      </c>
      <c r="M68" s="64">
        <v>98.1</v>
      </c>
      <c r="N68" s="64">
        <v>54.4</v>
      </c>
      <c r="O68" s="64">
        <v>0</v>
      </c>
      <c r="P68" s="64">
        <v>0.43</v>
      </c>
      <c r="Q68" s="64">
        <v>9.6199999999999992</v>
      </c>
      <c r="R68" s="198"/>
      <c r="S68" s="198"/>
      <c r="T68" s="198"/>
      <c r="U68" s="198"/>
    </row>
    <row r="69" spans="1:21" s="12" customFormat="1" x14ac:dyDescent="0.25">
      <c r="A69" s="212" t="s">
        <v>2035</v>
      </c>
      <c r="B69" s="64">
        <v>11.78</v>
      </c>
      <c r="C69" s="64">
        <v>8.5299999999999994</v>
      </c>
      <c r="D69" s="64">
        <v>13.91</v>
      </c>
      <c r="E69" s="64">
        <v>6.2</v>
      </c>
      <c r="F69" s="64">
        <v>4.78</v>
      </c>
      <c r="G69" s="64">
        <v>25.14</v>
      </c>
      <c r="H69" s="64">
        <v>3.08</v>
      </c>
      <c r="I69" s="64">
        <v>1.45</v>
      </c>
      <c r="J69" s="64">
        <v>0.15</v>
      </c>
      <c r="K69" s="64">
        <v>121.12</v>
      </c>
      <c r="L69" s="64">
        <v>23.03</v>
      </c>
      <c r="M69" s="64">
        <v>98.1</v>
      </c>
      <c r="N69" s="64">
        <v>89.5</v>
      </c>
      <c r="O69" s="64">
        <v>0</v>
      </c>
      <c r="P69" s="64">
        <v>0.42</v>
      </c>
      <c r="Q69" s="64">
        <v>9.6199999999999992</v>
      </c>
      <c r="R69" s="198"/>
      <c r="S69" s="198"/>
      <c r="T69" s="198"/>
      <c r="U69" s="198"/>
    </row>
    <row r="70" spans="1:21" s="12" customFormat="1" x14ac:dyDescent="0.25">
      <c r="A70" s="212" t="s">
        <v>2036</v>
      </c>
      <c r="B70" s="64">
        <v>10.14</v>
      </c>
      <c r="C70" s="64">
        <v>13.12</v>
      </c>
      <c r="D70" s="64">
        <v>14.98</v>
      </c>
      <c r="E70" s="64">
        <v>6</v>
      </c>
      <c r="F70" s="64">
        <v>7</v>
      </c>
      <c r="G70" s="64">
        <v>25.14</v>
      </c>
      <c r="H70" s="64">
        <v>3.08</v>
      </c>
      <c r="I70" s="64">
        <v>1.43</v>
      </c>
      <c r="J70" s="64">
        <v>0.02</v>
      </c>
      <c r="K70" s="64">
        <v>46.21</v>
      </c>
      <c r="L70" s="64">
        <v>23.48</v>
      </c>
      <c r="M70" s="64">
        <v>98.08</v>
      </c>
      <c r="N70" s="64">
        <v>164.1</v>
      </c>
      <c r="O70" s="64">
        <v>0</v>
      </c>
      <c r="P70" s="64">
        <v>0.35</v>
      </c>
      <c r="Q70" s="64">
        <v>9.6300000000000008</v>
      </c>
      <c r="R70" s="198"/>
      <c r="S70" s="198"/>
      <c r="T70" s="198"/>
      <c r="U70" s="198"/>
    </row>
    <row r="71" spans="1:21" s="12" customFormat="1" x14ac:dyDescent="0.25">
      <c r="A71" s="212" t="s">
        <v>2037</v>
      </c>
      <c r="B71" s="64">
        <v>12.14</v>
      </c>
      <c r="C71" s="64">
        <v>12.58</v>
      </c>
      <c r="D71" s="64">
        <v>16.27</v>
      </c>
      <c r="E71" s="64">
        <v>5.84</v>
      </c>
      <c r="F71" s="64">
        <v>9.14</v>
      </c>
      <c r="G71" s="64">
        <v>25.14</v>
      </c>
      <c r="H71" s="64">
        <v>3.08</v>
      </c>
      <c r="I71" s="64">
        <v>1.48</v>
      </c>
      <c r="J71" s="64">
        <v>0.05</v>
      </c>
      <c r="K71" s="64">
        <v>351.6</v>
      </c>
      <c r="L71" s="64">
        <v>23.95</v>
      </c>
      <c r="M71" s="64">
        <v>98.08</v>
      </c>
      <c r="N71" s="64">
        <v>169.8</v>
      </c>
      <c r="O71" s="64">
        <v>0</v>
      </c>
      <c r="P71" s="64">
        <v>0.44</v>
      </c>
      <c r="Q71" s="64">
        <v>9.6300000000000008</v>
      </c>
      <c r="R71" s="198"/>
      <c r="S71" s="198"/>
      <c r="T71" s="198"/>
      <c r="U71" s="198"/>
    </row>
    <row r="72" spans="1:21" s="12" customFormat="1" x14ac:dyDescent="0.25">
      <c r="A72" s="212" t="s">
        <v>2038</v>
      </c>
      <c r="B72" s="64">
        <v>14.28</v>
      </c>
      <c r="C72" s="64">
        <v>8.94</v>
      </c>
      <c r="D72" s="64">
        <v>16.12</v>
      </c>
      <c r="E72" s="64">
        <v>4.18</v>
      </c>
      <c r="F72" s="64">
        <v>7.5</v>
      </c>
      <c r="G72" s="64">
        <v>20.82</v>
      </c>
      <c r="H72" s="64">
        <v>2.5499999999999998</v>
      </c>
      <c r="I72" s="64">
        <v>1.46</v>
      </c>
      <c r="J72" s="64">
        <v>1.06</v>
      </c>
      <c r="K72" s="64">
        <v>341.04</v>
      </c>
      <c r="L72" s="64">
        <v>24.56</v>
      </c>
      <c r="M72" s="64">
        <v>98.08</v>
      </c>
      <c r="N72" s="64">
        <v>197</v>
      </c>
      <c r="O72" s="64">
        <v>0</v>
      </c>
      <c r="P72" s="64">
        <v>0.57999999999999996</v>
      </c>
      <c r="Q72" s="64">
        <v>9.65</v>
      </c>
      <c r="R72" s="198"/>
      <c r="S72" s="198"/>
      <c r="T72" s="198"/>
      <c r="U72" s="198"/>
    </row>
    <row r="73" spans="1:21" s="12" customFormat="1" x14ac:dyDescent="0.25">
      <c r="A73" s="212" t="s">
        <v>2039</v>
      </c>
      <c r="B73" s="64">
        <v>27.23</v>
      </c>
      <c r="C73" s="64">
        <v>13.72</v>
      </c>
      <c r="D73" s="64">
        <v>29</v>
      </c>
      <c r="E73" s="64">
        <v>4.4400000000000004</v>
      </c>
      <c r="F73" s="64">
        <v>6.85</v>
      </c>
      <c r="G73" s="64">
        <v>18.649999999999999</v>
      </c>
      <c r="H73" s="64">
        <v>2.2799999999999998</v>
      </c>
      <c r="I73" s="64">
        <v>1.45</v>
      </c>
      <c r="J73" s="64">
        <v>0.28999999999999998</v>
      </c>
      <c r="K73" s="64">
        <v>339.86</v>
      </c>
      <c r="L73" s="64">
        <v>24.91</v>
      </c>
      <c r="M73" s="64">
        <v>98.08</v>
      </c>
      <c r="N73" s="64">
        <v>167</v>
      </c>
      <c r="O73" s="64">
        <v>0</v>
      </c>
      <c r="P73" s="64">
        <v>0.83</v>
      </c>
      <c r="Q73" s="64">
        <v>9.6300000000000008</v>
      </c>
      <c r="R73" s="198"/>
      <c r="S73" s="198"/>
      <c r="T73" s="198"/>
      <c r="U73" s="198"/>
    </row>
    <row r="74" spans="1:21" s="12" customFormat="1" x14ac:dyDescent="0.25">
      <c r="A74" s="212" t="s">
        <v>2040</v>
      </c>
      <c r="B74" s="64">
        <v>15.16</v>
      </c>
      <c r="C74" s="64">
        <v>17.600000000000001</v>
      </c>
      <c r="D74" s="64">
        <v>21.35</v>
      </c>
      <c r="E74" s="64">
        <v>4.38</v>
      </c>
      <c r="F74" s="64">
        <v>8.42</v>
      </c>
      <c r="G74" s="64">
        <v>18.649999999999999</v>
      </c>
      <c r="H74" s="64">
        <v>2.2799999999999998</v>
      </c>
      <c r="I74" s="64">
        <v>1.39</v>
      </c>
      <c r="J74" s="64">
        <v>0.16</v>
      </c>
      <c r="K74" s="64">
        <v>132.06</v>
      </c>
      <c r="L74" s="64">
        <v>24.6</v>
      </c>
      <c r="M74" s="64">
        <v>98.09</v>
      </c>
      <c r="N74" s="64">
        <v>144.80000000000001</v>
      </c>
      <c r="O74" s="64">
        <v>0</v>
      </c>
      <c r="P74" s="64">
        <v>0.81</v>
      </c>
      <c r="Q74" s="64">
        <v>9.6300000000000008</v>
      </c>
      <c r="R74" s="198"/>
      <c r="S74" s="198"/>
      <c r="T74" s="198"/>
      <c r="U74" s="198"/>
    </row>
    <row r="75" spans="1:21" s="12" customFormat="1" x14ac:dyDescent="0.25">
      <c r="A75" s="212" t="s">
        <v>2041</v>
      </c>
      <c r="B75" s="64">
        <v>14.17</v>
      </c>
      <c r="C75" s="64">
        <v>17.98</v>
      </c>
      <c r="D75" s="64">
        <v>20.76</v>
      </c>
      <c r="E75" s="64">
        <v>4.51</v>
      </c>
      <c r="F75" s="64">
        <v>7.75</v>
      </c>
      <c r="G75" s="64">
        <v>18.649999999999999</v>
      </c>
      <c r="H75" s="64">
        <v>2.2799999999999998</v>
      </c>
      <c r="I75" s="64">
        <v>1.38</v>
      </c>
      <c r="J75" s="64">
        <v>0.24</v>
      </c>
      <c r="K75" s="64">
        <v>133.13</v>
      </c>
      <c r="L75" s="64">
        <v>24.66</v>
      </c>
      <c r="M75" s="64">
        <v>98.1</v>
      </c>
      <c r="N75" s="64">
        <v>135.6</v>
      </c>
      <c r="O75" s="64">
        <v>0</v>
      </c>
      <c r="P75" s="64">
        <v>0.78</v>
      </c>
      <c r="Q75" s="64">
        <v>9.64</v>
      </c>
      <c r="R75" s="198"/>
      <c r="S75" s="198"/>
      <c r="T75" s="198"/>
      <c r="U75" s="198"/>
    </row>
    <row r="76" spans="1:21" s="12" customFormat="1" x14ac:dyDescent="0.25">
      <c r="A76" s="212" t="s">
        <v>2042</v>
      </c>
      <c r="B76" s="64">
        <v>25.05</v>
      </c>
      <c r="C76" s="64">
        <v>15.09</v>
      </c>
      <c r="D76" s="64">
        <v>27.97</v>
      </c>
      <c r="E76" s="64">
        <v>4.24</v>
      </c>
      <c r="F76" s="64">
        <v>7.24</v>
      </c>
      <c r="G76" s="64">
        <v>17.600000000000001</v>
      </c>
      <c r="H76" s="64">
        <v>3.9</v>
      </c>
      <c r="I76" s="64">
        <v>1.45</v>
      </c>
      <c r="J76" s="64">
        <v>0.17</v>
      </c>
      <c r="K76" s="64">
        <v>337.49</v>
      </c>
      <c r="L76" s="64">
        <v>24.89</v>
      </c>
      <c r="M76" s="64">
        <v>98.1</v>
      </c>
      <c r="N76" s="64">
        <v>89.1</v>
      </c>
      <c r="O76" s="64">
        <v>0</v>
      </c>
      <c r="P76" s="64">
        <v>1.03</v>
      </c>
      <c r="Q76" s="64">
        <v>9.64</v>
      </c>
      <c r="R76" s="198"/>
      <c r="S76" s="198"/>
      <c r="T76" s="198"/>
      <c r="U76" s="198"/>
    </row>
    <row r="77" spans="1:21" s="12" customFormat="1" x14ac:dyDescent="0.25">
      <c r="A77" s="212" t="s">
        <v>2043</v>
      </c>
      <c r="B77" s="64">
        <v>16.36</v>
      </c>
      <c r="C77" s="64">
        <v>18.91</v>
      </c>
      <c r="D77" s="64">
        <v>23</v>
      </c>
      <c r="E77" s="64">
        <v>4.24</v>
      </c>
      <c r="F77" s="64">
        <v>5.9</v>
      </c>
      <c r="G77" s="64">
        <v>17.079999999999998</v>
      </c>
      <c r="H77" s="64">
        <v>4.71</v>
      </c>
      <c r="I77" s="64">
        <v>1.5</v>
      </c>
      <c r="J77" s="64">
        <v>7.0000000000000007E-2</v>
      </c>
      <c r="K77" s="64">
        <v>358.62</v>
      </c>
      <c r="L77" s="64">
        <v>24.7</v>
      </c>
      <c r="M77" s="64">
        <v>98.1</v>
      </c>
      <c r="N77" s="64">
        <v>55.2</v>
      </c>
      <c r="O77" s="64">
        <v>0</v>
      </c>
      <c r="P77" s="64">
        <v>0.93</v>
      </c>
      <c r="Q77" s="64">
        <v>9.6300000000000008</v>
      </c>
      <c r="R77" s="198"/>
      <c r="S77" s="198"/>
      <c r="T77" s="198"/>
      <c r="U77" s="198"/>
    </row>
    <row r="78" spans="1:21" s="12" customFormat="1" x14ac:dyDescent="0.25">
      <c r="A78" s="212" t="s">
        <v>2044</v>
      </c>
      <c r="B78" s="64">
        <v>24.94</v>
      </c>
      <c r="C78" s="64">
        <v>17.82</v>
      </c>
      <c r="D78" s="64">
        <v>30.54</v>
      </c>
      <c r="E78" s="64">
        <v>4.63</v>
      </c>
      <c r="F78" s="64">
        <v>5.25</v>
      </c>
      <c r="G78" s="64">
        <v>17.079999999999998</v>
      </c>
      <c r="H78" s="64">
        <v>4.71</v>
      </c>
      <c r="I78" s="64">
        <v>1.56</v>
      </c>
      <c r="J78" s="64">
        <v>7.0000000000000007E-2</v>
      </c>
      <c r="K78" s="64">
        <v>342.7</v>
      </c>
      <c r="L78" s="64">
        <v>24.55</v>
      </c>
      <c r="M78" s="64">
        <v>98.1</v>
      </c>
      <c r="N78" s="64">
        <v>67.2</v>
      </c>
      <c r="O78" s="64">
        <v>0</v>
      </c>
      <c r="P78" s="64">
        <v>1.3</v>
      </c>
      <c r="Q78" s="64">
        <v>9.6300000000000008</v>
      </c>
      <c r="R78" s="198"/>
      <c r="S78" s="198"/>
      <c r="T78" s="198"/>
      <c r="U78" s="198"/>
    </row>
    <row r="79" spans="1:21" s="12" customFormat="1" x14ac:dyDescent="0.25">
      <c r="A79" s="212" t="s">
        <v>2045</v>
      </c>
      <c r="B79" s="64">
        <v>30.44</v>
      </c>
      <c r="C79" s="64">
        <v>16.190000000000001</v>
      </c>
      <c r="D79" s="64">
        <v>32.869999999999997</v>
      </c>
      <c r="E79" s="64">
        <v>4.99</v>
      </c>
      <c r="F79" s="64">
        <v>4.9400000000000004</v>
      </c>
      <c r="G79" s="64">
        <v>17.079999999999998</v>
      </c>
      <c r="H79" s="64">
        <v>4.71</v>
      </c>
      <c r="I79" s="64">
        <v>1.67</v>
      </c>
      <c r="J79" s="64">
        <v>0.36</v>
      </c>
      <c r="K79" s="64">
        <v>345.14</v>
      </c>
      <c r="L79" s="64">
        <v>24.69</v>
      </c>
      <c r="M79" s="64">
        <v>98.1</v>
      </c>
      <c r="N79" s="64">
        <v>61.9</v>
      </c>
      <c r="O79" s="64">
        <v>0</v>
      </c>
      <c r="P79" s="64">
        <v>1.25</v>
      </c>
      <c r="Q79" s="64">
        <v>9.6300000000000008</v>
      </c>
      <c r="R79" s="198"/>
      <c r="S79" s="198"/>
      <c r="T79" s="198"/>
      <c r="U79" s="198"/>
    </row>
    <row r="80" spans="1:21" s="12" customFormat="1" x14ac:dyDescent="0.25">
      <c r="A80" s="212" t="s">
        <v>2046</v>
      </c>
      <c r="B80" s="64">
        <v>16.59</v>
      </c>
      <c r="C80" s="64">
        <v>8.93</v>
      </c>
      <c r="D80" s="64">
        <v>17.97</v>
      </c>
      <c r="E80" s="64">
        <v>4.7300000000000004</v>
      </c>
      <c r="F80" s="64">
        <v>5.0199999999999996</v>
      </c>
      <c r="G80" s="64">
        <v>24.98</v>
      </c>
      <c r="H80" s="64">
        <v>4.6500000000000004</v>
      </c>
      <c r="I80" s="64">
        <v>1.86</v>
      </c>
      <c r="J80" s="64">
        <v>1.18</v>
      </c>
      <c r="K80" s="64">
        <v>343.2</v>
      </c>
      <c r="L80" s="64">
        <v>24.6</v>
      </c>
      <c r="M80" s="64">
        <v>98.11</v>
      </c>
      <c r="N80" s="64">
        <v>57.6</v>
      </c>
      <c r="O80" s="64">
        <v>0</v>
      </c>
      <c r="P80" s="64">
        <v>0.74</v>
      </c>
      <c r="Q80" s="64">
        <v>9.65</v>
      </c>
      <c r="R80" s="198"/>
      <c r="S80" s="198"/>
      <c r="T80" s="198"/>
      <c r="U80" s="198"/>
    </row>
    <row r="81" spans="1:26" s="12" customFormat="1" x14ac:dyDescent="0.25">
      <c r="A81" s="212" t="s">
        <v>2047</v>
      </c>
      <c r="B81" s="64">
        <v>19.7</v>
      </c>
      <c r="C81" s="64">
        <v>8.99</v>
      </c>
      <c r="D81" s="64">
        <v>20.27</v>
      </c>
      <c r="E81" s="64">
        <v>4.7699999999999996</v>
      </c>
      <c r="F81" s="64">
        <v>4.49</v>
      </c>
      <c r="G81" s="64">
        <v>28.93</v>
      </c>
      <c r="H81" s="64">
        <v>4.62</v>
      </c>
      <c r="I81" s="64">
        <v>2.0099999999999998</v>
      </c>
      <c r="J81" s="64">
        <v>0.84</v>
      </c>
      <c r="K81" s="64">
        <v>337.92</v>
      </c>
      <c r="L81" s="64">
        <v>24.52</v>
      </c>
      <c r="M81" s="64">
        <v>98.13</v>
      </c>
      <c r="N81" s="64">
        <v>50.2</v>
      </c>
      <c r="O81" s="64">
        <v>0</v>
      </c>
      <c r="P81" s="64">
        <v>0.8</v>
      </c>
      <c r="Q81" s="64">
        <v>9.65</v>
      </c>
      <c r="R81" s="198"/>
      <c r="S81" s="198"/>
      <c r="T81" s="198"/>
      <c r="U81" s="198"/>
    </row>
    <row r="82" spans="1:26" s="12" customFormat="1" x14ac:dyDescent="0.25">
      <c r="A82" s="212" t="s">
        <v>2048</v>
      </c>
      <c r="B82" s="64">
        <v>18.37</v>
      </c>
      <c r="C82" s="64">
        <v>6.92</v>
      </c>
      <c r="D82" s="64">
        <v>18.170000000000002</v>
      </c>
      <c r="E82" s="64">
        <v>4.68</v>
      </c>
      <c r="F82" s="64">
        <v>4.0999999999999996</v>
      </c>
      <c r="G82" s="64">
        <v>28.93</v>
      </c>
      <c r="H82" s="64">
        <v>4.62</v>
      </c>
      <c r="I82" s="64">
        <v>2.0699999999999998</v>
      </c>
      <c r="J82" s="64">
        <v>0.6</v>
      </c>
      <c r="K82" s="64">
        <v>330.36</v>
      </c>
      <c r="L82" s="64">
        <v>24.46</v>
      </c>
      <c r="M82" s="64">
        <v>98.12</v>
      </c>
      <c r="N82" s="64">
        <v>45.7</v>
      </c>
      <c r="O82" s="64">
        <v>0</v>
      </c>
      <c r="P82" s="64">
        <v>0.77</v>
      </c>
      <c r="Q82" s="64">
        <v>9.65</v>
      </c>
      <c r="R82" s="198"/>
      <c r="S82" s="198"/>
      <c r="T82" s="198"/>
      <c r="U82" s="198"/>
    </row>
    <row r="83" spans="1:26" s="12" customFormat="1" x14ac:dyDescent="0.25">
      <c r="A83" s="212" t="s">
        <v>2049</v>
      </c>
      <c r="B83" s="64">
        <v>18.64</v>
      </c>
      <c r="C83" s="64">
        <v>7.52</v>
      </c>
      <c r="D83" s="64">
        <v>18.88</v>
      </c>
      <c r="E83" s="64">
        <v>4.17</v>
      </c>
      <c r="F83" s="64">
        <v>3.67</v>
      </c>
      <c r="G83" s="64">
        <v>28.93</v>
      </c>
      <c r="H83" s="64">
        <v>4.62</v>
      </c>
      <c r="I83" s="64">
        <v>2.09</v>
      </c>
      <c r="J83" s="64">
        <v>0.6</v>
      </c>
      <c r="K83" s="64">
        <v>333.14</v>
      </c>
      <c r="L83" s="64">
        <v>24.24</v>
      </c>
      <c r="M83" s="64">
        <v>98.13</v>
      </c>
      <c r="N83" s="64">
        <v>45.1</v>
      </c>
      <c r="O83" s="64">
        <v>0</v>
      </c>
      <c r="P83" s="64">
        <v>0.74</v>
      </c>
      <c r="Q83" s="64">
        <v>9.66</v>
      </c>
      <c r="R83" s="198"/>
      <c r="S83" s="198"/>
      <c r="T83" s="198"/>
      <c r="U83" s="198"/>
    </row>
    <row r="84" spans="1:26" s="12" customFormat="1" x14ac:dyDescent="0.25">
      <c r="A84" s="212" t="s">
        <v>2050</v>
      </c>
      <c r="B84" s="64">
        <v>18.66</v>
      </c>
      <c r="C84" s="64">
        <v>7.91</v>
      </c>
      <c r="D84" s="64">
        <v>19.100000000000001</v>
      </c>
      <c r="E84" s="64">
        <v>4.2699999999999996</v>
      </c>
      <c r="F84" s="64">
        <v>2.82</v>
      </c>
      <c r="G84" s="64">
        <v>31.53</v>
      </c>
      <c r="H84" s="64">
        <v>3.8</v>
      </c>
      <c r="I84" s="64">
        <v>2.1</v>
      </c>
      <c r="J84" s="64">
        <v>0.71</v>
      </c>
      <c r="K84" s="64">
        <v>330.32</v>
      </c>
      <c r="L84" s="64">
        <v>24.18</v>
      </c>
      <c r="M84" s="64">
        <v>98.13</v>
      </c>
      <c r="N84" s="64">
        <v>44.6</v>
      </c>
      <c r="O84" s="64">
        <v>0</v>
      </c>
      <c r="P84" s="64">
        <v>0.76</v>
      </c>
      <c r="Q84" s="64">
        <v>9.65</v>
      </c>
      <c r="R84" s="198"/>
      <c r="S84" s="198"/>
      <c r="T84" s="198"/>
      <c r="U84" s="198"/>
    </row>
    <row r="85" spans="1:26" s="12" customFormat="1" x14ac:dyDescent="0.25">
      <c r="A85" s="212" t="s">
        <v>2051</v>
      </c>
      <c r="B85" s="64">
        <v>19.760000000000002</v>
      </c>
      <c r="C85" s="64">
        <v>5.23</v>
      </c>
      <c r="D85" s="64">
        <v>18.579999999999998</v>
      </c>
      <c r="E85" s="64">
        <v>4.38</v>
      </c>
      <c r="F85" s="64">
        <v>2.61</v>
      </c>
      <c r="G85" s="64">
        <v>32.83</v>
      </c>
      <c r="H85" s="64">
        <v>3.39</v>
      </c>
      <c r="I85" s="64">
        <v>2.11</v>
      </c>
      <c r="J85" s="64">
        <v>0.46</v>
      </c>
      <c r="K85" s="64">
        <v>328.6</v>
      </c>
      <c r="L85" s="64">
        <v>24.15</v>
      </c>
      <c r="M85" s="64">
        <v>98.13</v>
      </c>
      <c r="N85" s="64">
        <v>44.5</v>
      </c>
      <c r="O85" s="64">
        <v>0</v>
      </c>
      <c r="P85" s="64">
        <v>0.75</v>
      </c>
      <c r="Q85" s="64">
        <v>9.65</v>
      </c>
      <c r="R85" s="198"/>
      <c r="S85" s="198"/>
      <c r="T85" s="198"/>
      <c r="U85" s="198"/>
    </row>
    <row r="86" spans="1:26" s="12" customFormat="1" x14ac:dyDescent="0.25">
      <c r="A86" s="212" t="s">
        <v>2052</v>
      </c>
      <c r="B86" s="64">
        <v>20.87</v>
      </c>
      <c r="C86" s="64">
        <v>9.7100000000000009</v>
      </c>
      <c r="D86" s="64">
        <v>21.77</v>
      </c>
      <c r="E86" s="64">
        <v>4.54</v>
      </c>
      <c r="F86" s="64">
        <v>3.15</v>
      </c>
      <c r="G86" s="64">
        <v>32.83</v>
      </c>
      <c r="H86" s="64">
        <v>3.39</v>
      </c>
      <c r="I86" s="64">
        <v>2.13</v>
      </c>
      <c r="J86" s="64">
        <v>0.32</v>
      </c>
      <c r="K86" s="64">
        <v>322.61</v>
      </c>
      <c r="L86" s="64">
        <v>24.05</v>
      </c>
      <c r="M86" s="64">
        <v>98.13</v>
      </c>
      <c r="N86" s="64">
        <v>44.5</v>
      </c>
      <c r="O86" s="64">
        <v>0</v>
      </c>
      <c r="P86" s="64">
        <v>0.82</v>
      </c>
      <c r="Q86" s="64">
        <v>9.66</v>
      </c>
      <c r="R86" s="198"/>
      <c r="S86" s="198"/>
      <c r="T86" s="198"/>
      <c r="U86" s="198"/>
    </row>
    <row r="87" spans="1:26" s="12" customFormat="1" x14ac:dyDescent="0.25">
      <c r="A87" s="212" t="s">
        <v>2053</v>
      </c>
      <c r="B87" s="64">
        <v>20.84</v>
      </c>
      <c r="C87" s="64">
        <v>12.94</v>
      </c>
      <c r="D87" s="64">
        <v>23.47</v>
      </c>
      <c r="E87" s="64">
        <v>4.4000000000000004</v>
      </c>
      <c r="F87" s="64">
        <v>3.91</v>
      </c>
      <c r="G87" s="64">
        <v>32.83</v>
      </c>
      <c r="H87" s="64">
        <v>3.39</v>
      </c>
      <c r="I87" s="64">
        <v>2.21</v>
      </c>
      <c r="J87" s="64">
        <v>0.23</v>
      </c>
      <c r="K87" s="64">
        <v>319.25</v>
      </c>
      <c r="L87" s="64">
        <v>24.02</v>
      </c>
      <c r="M87" s="64">
        <v>98.13</v>
      </c>
      <c r="N87" s="64">
        <v>44.3</v>
      </c>
      <c r="O87" s="64">
        <v>0</v>
      </c>
      <c r="P87" s="64">
        <v>1.06</v>
      </c>
      <c r="Q87" s="64">
        <v>9.66</v>
      </c>
      <c r="R87" s="198"/>
      <c r="S87" s="198"/>
      <c r="T87" s="198"/>
      <c r="U87" s="198"/>
    </row>
    <row r="88" spans="1:26" s="12" customFormat="1" x14ac:dyDescent="0.25">
      <c r="A88" s="212" t="s">
        <v>2054</v>
      </c>
      <c r="B88" s="64">
        <v>19.71</v>
      </c>
      <c r="C88" s="64">
        <v>11.08</v>
      </c>
      <c r="D88" s="64">
        <v>21.59</v>
      </c>
      <c r="E88" s="64">
        <v>4.3899999999999997</v>
      </c>
      <c r="F88" s="64">
        <v>3.56</v>
      </c>
      <c r="G88" s="64">
        <v>36.619999999999997</v>
      </c>
      <c r="H88" s="64">
        <v>5.88</v>
      </c>
      <c r="I88" s="64">
        <v>2.35</v>
      </c>
      <c r="J88" s="64">
        <v>0.16</v>
      </c>
      <c r="K88" s="64">
        <v>316.33999999999997</v>
      </c>
      <c r="L88" s="64">
        <v>23.97</v>
      </c>
      <c r="M88" s="64">
        <v>98.12</v>
      </c>
      <c r="N88" s="64">
        <v>44.3</v>
      </c>
      <c r="O88" s="64">
        <v>0</v>
      </c>
      <c r="P88" s="64">
        <v>0.99</v>
      </c>
      <c r="Q88" s="64">
        <v>9.65</v>
      </c>
      <c r="R88" s="198"/>
      <c r="S88" s="198"/>
      <c r="T88" s="198"/>
      <c r="U88" s="198"/>
    </row>
    <row r="89" spans="1:26" s="12" customFormat="1" x14ac:dyDescent="0.25">
      <c r="A89" s="212" t="s">
        <v>2055</v>
      </c>
      <c r="B89" s="64">
        <v>20.96</v>
      </c>
      <c r="C89" s="64">
        <v>7.21</v>
      </c>
      <c r="D89" s="64">
        <v>20.57</v>
      </c>
      <c r="E89" s="64">
        <v>4.16</v>
      </c>
      <c r="F89" s="64">
        <v>2.2400000000000002</v>
      </c>
      <c r="G89" s="64">
        <v>38.51</v>
      </c>
      <c r="H89" s="64">
        <v>7.12</v>
      </c>
      <c r="I89" s="64">
        <v>2.52</v>
      </c>
      <c r="J89" s="64">
        <v>0.16</v>
      </c>
      <c r="K89" s="64">
        <v>305.41000000000003</v>
      </c>
      <c r="L89" s="64">
        <v>23.94</v>
      </c>
      <c r="M89" s="64">
        <v>98.13</v>
      </c>
      <c r="N89" s="64">
        <v>44.4</v>
      </c>
      <c r="O89" s="64">
        <v>0</v>
      </c>
      <c r="P89" s="64">
        <v>0.88</v>
      </c>
      <c r="Q89" s="64">
        <v>9.65</v>
      </c>
      <c r="R89" s="198"/>
      <c r="S89" s="198"/>
      <c r="T89" s="198"/>
      <c r="U89" s="198"/>
    </row>
    <row r="90" spans="1:26" s="12" customFormat="1" x14ac:dyDescent="0.25">
      <c r="A90" s="212" t="s">
        <v>2056</v>
      </c>
      <c r="B90" s="64">
        <v>24.8</v>
      </c>
      <c r="C90" s="64">
        <v>12.75</v>
      </c>
      <c r="D90" s="64">
        <v>26.55</v>
      </c>
      <c r="E90" s="64">
        <v>4.4800000000000004</v>
      </c>
      <c r="F90" s="64">
        <v>5.2</v>
      </c>
      <c r="G90" s="64">
        <v>38.51</v>
      </c>
      <c r="H90" s="64">
        <v>7.12</v>
      </c>
      <c r="I90" s="64">
        <v>2.71</v>
      </c>
      <c r="J90" s="64">
        <v>0.17</v>
      </c>
      <c r="K90" s="64">
        <v>326.45999999999998</v>
      </c>
      <c r="L90" s="64">
        <v>23.93</v>
      </c>
      <c r="M90" s="64">
        <v>98.13</v>
      </c>
      <c r="N90" s="64">
        <v>44.5</v>
      </c>
      <c r="O90" s="64">
        <v>0</v>
      </c>
      <c r="P90" s="64">
        <v>1.1499999999999999</v>
      </c>
      <c r="Q90" s="64">
        <v>9.67</v>
      </c>
      <c r="R90" s="198"/>
      <c r="S90" s="198"/>
      <c r="T90" s="198"/>
      <c r="U90" s="198"/>
    </row>
    <row r="91" spans="1:26" s="12" customFormat="1" x14ac:dyDescent="0.25">
      <c r="A91" s="212" t="s">
        <v>2057</v>
      </c>
      <c r="B91" s="64">
        <v>20.54</v>
      </c>
      <c r="C91" s="64">
        <v>9.65</v>
      </c>
      <c r="D91" s="64">
        <v>21.5</v>
      </c>
      <c r="E91" s="64">
        <v>4.46</v>
      </c>
      <c r="F91" s="64">
        <v>5.6</v>
      </c>
      <c r="G91" s="64">
        <v>38.51</v>
      </c>
      <c r="H91" s="64">
        <v>7.12</v>
      </c>
      <c r="I91" s="64">
        <v>2.88</v>
      </c>
      <c r="J91" s="64">
        <v>0.15</v>
      </c>
      <c r="K91" s="64">
        <v>312.45999999999998</v>
      </c>
      <c r="L91" s="64">
        <v>23.92</v>
      </c>
      <c r="M91" s="64">
        <v>98.13</v>
      </c>
      <c r="N91" s="64">
        <v>44.5</v>
      </c>
      <c r="O91" s="64">
        <v>0</v>
      </c>
      <c r="P91" s="64">
        <v>0.97</v>
      </c>
      <c r="Q91" s="64">
        <v>9.68</v>
      </c>
      <c r="R91" s="198"/>
      <c r="S91" s="198"/>
      <c r="T91" s="198"/>
      <c r="U91" s="198"/>
    </row>
    <row r="92" spans="1:26" s="12" customFormat="1" x14ac:dyDescent="0.25">
      <c r="A92" s="212" t="s">
        <v>2058</v>
      </c>
      <c r="B92" s="64">
        <v>20.37</v>
      </c>
      <c r="C92" s="64">
        <v>11.23</v>
      </c>
      <c r="D92" s="64">
        <v>22.21</v>
      </c>
      <c r="E92" s="64">
        <v>4.33</v>
      </c>
      <c r="F92" s="64">
        <v>4.72</v>
      </c>
      <c r="G92" s="64">
        <v>40.729999999999997</v>
      </c>
      <c r="H92" s="64">
        <v>9.01</v>
      </c>
      <c r="I92" s="64">
        <v>3.02</v>
      </c>
      <c r="J92" s="64">
        <v>0.12</v>
      </c>
      <c r="K92" s="64">
        <v>312.8</v>
      </c>
      <c r="L92" s="64">
        <v>23.92</v>
      </c>
      <c r="M92" s="64">
        <v>98.13</v>
      </c>
      <c r="N92" s="64">
        <v>44.4</v>
      </c>
      <c r="O92" s="64">
        <v>0</v>
      </c>
      <c r="P92" s="64">
        <v>0.96</v>
      </c>
      <c r="Q92" s="64">
        <v>9.66</v>
      </c>
      <c r="R92" s="198"/>
      <c r="S92" s="198"/>
      <c r="T92" s="198"/>
      <c r="U92" s="198"/>
    </row>
    <row r="93" spans="1:26" s="12" customFormat="1" x14ac:dyDescent="0.25">
      <c r="A93" s="212" t="s">
        <v>2059</v>
      </c>
      <c r="B93" s="64">
        <v>21.93</v>
      </c>
      <c r="C93" s="64">
        <v>9.2899999999999991</v>
      </c>
      <c r="D93" s="64">
        <v>22.44</v>
      </c>
      <c r="E93" s="64">
        <v>4.67</v>
      </c>
      <c r="F93" s="64">
        <v>3.86</v>
      </c>
      <c r="G93" s="64">
        <v>41.85</v>
      </c>
      <c r="H93" s="64">
        <v>9.9499999999999993</v>
      </c>
      <c r="I93" s="64">
        <v>3.12</v>
      </c>
      <c r="J93" s="64">
        <v>0.12</v>
      </c>
      <c r="K93" s="64">
        <v>312.8</v>
      </c>
      <c r="L93" s="64">
        <v>23.94</v>
      </c>
      <c r="M93" s="64">
        <v>98.13</v>
      </c>
      <c r="N93" s="64">
        <v>44.4</v>
      </c>
      <c r="O93" s="64">
        <v>0</v>
      </c>
      <c r="P93" s="64">
        <v>1.02</v>
      </c>
      <c r="Q93" s="64">
        <v>9.65</v>
      </c>
      <c r="R93" s="198"/>
      <c r="S93" s="198"/>
      <c r="T93" s="198"/>
      <c r="U93" s="198"/>
    </row>
    <row r="94" spans="1:26" s="12" customFormat="1" x14ac:dyDescent="0.25">
      <c r="A94" s="212" t="s">
        <v>2060</v>
      </c>
      <c r="B94" s="64">
        <v>21.41</v>
      </c>
      <c r="C94" s="64">
        <v>8.36</v>
      </c>
      <c r="D94" s="64">
        <v>21.25</v>
      </c>
      <c r="E94" s="64">
        <v>4.87</v>
      </c>
      <c r="F94" s="64">
        <v>4.25</v>
      </c>
      <c r="G94" s="64">
        <v>41.85</v>
      </c>
      <c r="H94" s="64">
        <v>9.9499999999999993</v>
      </c>
      <c r="I94" s="64">
        <v>3.17</v>
      </c>
      <c r="J94" s="64">
        <v>0.09</v>
      </c>
      <c r="K94" s="64">
        <v>307.10000000000002</v>
      </c>
      <c r="L94" s="64">
        <v>23.98</v>
      </c>
      <c r="M94" s="64">
        <v>98.13</v>
      </c>
      <c r="N94" s="64">
        <v>44.4</v>
      </c>
      <c r="O94" s="64">
        <v>0</v>
      </c>
      <c r="P94" s="64">
        <v>0.88</v>
      </c>
      <c r="Q94" s="64">
        <v>9.66</v>
      </c>
      <c r="R94" s="198"/>
      <c r="S94" s="198"/>
      <c r="T94" s="198"/>
      <c r="U94" s="198"/>
    </row>
    <row r="95" spans="1:26" s="12" customFormat="1" x14ac:dyDescent="0.25">
      <c r="A95" s="212" t="s">
        <v>2061</v>
      </c>
      <c r="B95" s="64">
        <v>17.559999999999999</v>
      </c>
      <c r="C95" s="64">
        <v>9.66</v>
      </c>
      <c r="D95" s="64">
        <v>19.13</v>
      </c>
      <c r="E95" s="64">
        <v>4.55</v>
      </c>
      <c r="F95" s="64">
        <v>5.5</v>
      </c>
      <c r="G95" s="64">
        <v>41.85</v>
      </c>
      <c r="H95" s="64">
        <v>9.9499999999999993</v>
      </c>
      <c r="I95" s="64">
        <v>3.2</v>
      </c>
      <c r="J95" s="64">
        <v>0.17</v>
      </c>
      <c r="K95" s="64">
        <v>332.6</v>
      </c>
      <c r="L95" s="64">
        <v>23.9</v>
      </c>
      <c r="M95" s="64">
        <v>98.13</v>
      </c>
      <c r="N95" s="64">
        <v>44.7</v>
      </c>
      <c r="O95" s="64">
        <v>0</v>
      </c>
      <c r="P95" s="64">
        <v>0.87</v>
      </c>
      <c r="Q95" s="64">
        <v>9.66</v>
      </c>
      <c r="R95" s="198"/>
      <c r="S95" s="198"/>
      <c r="T95" s="198"/>
      <c r="U95" s="198"/>
    </row>
    <row r="96" spans="1:26" s="12" customFormat="1" x14ac:dyDescent="0.25">
      <c r="A96" s="212" t="s">
        <v>2062</v>
      </c>
      <c r="B96" s="64">
        <v>16.25</v>
      </c>
      <c r="C96" s="64">
        <v>7.79</v>
      </c>
      <c r="D96" s="64">
        <v>17.100000000000001</v>
      </c>
      <c r="E96" s="64">
        <v>4.5599999999999996</v>
      </c>
      <c r="F96" s="64">
        <v>5.69</v>
      </c>
      <c r="G96" s="64">
        <v>40.96</v>
      </c>
      <c r="H96" s="64">
        <v>8.92</v>
      </c>
      <c r="I96" s="64">
        <v>3.22</v>
      </c>
      <c r="J96" s="64">
        <v>0.1</v>
      </c>
      <c r="K96" s="64">
        <v>307.05</v>
      </c>
      <c r="L96" s="64">
        <v>23.74</v>
      </c>
      <c r="M96" s="64">
        <v>98.13</v>
      </c>
      <c r="N96" s="64">
        <v>44.7</v>
      </c>
      <c r="O96" s="64">
        <v>0</v>
      </c>
      <c r="P96" s="64">
        <v>0.78</v>
      </c>
      <c r="Q96" s="64">
        <v>9.66</v>
      </c>
      <c r="R96" s="198"/>
      <c r="S96" s="198"/>
      <c r="T96" s="198"/>
      <c r="U96" s="198"/>
      <c r="Z96" s="109"/>
    </row>
    <row r="97" spans="1:33" s="12" customFormat="1" x14ac:dyDescent="0.25">
      <c r="A97" s="212" t="s">
        <v>2063</v>
      </c>
      <c r="B97" s="64">
        <v>18.420000000000002</v>
      </c>
      <c r="C97" s="64">
        <v>5.93</v>
      </c>
      <c r="D97" s="64">
        <v>17.87</v>
      </c>
      <c r="E97" s="64">
        <v>4.62</v>
      </c>
      <c r="F97" s="64">
        <v>3.84</v>
      </c>
      <c r="G97" s="64">
        <v>40.520000000000003</v>
      </c>
      <c r="H97" s="64">
        <v>8.4</v>
      </c>
      <c r="I97" s="64">
        <v>3.24</v>
      </c>
      <c r="J97" s="64">
        <v>0.16</v>
      </c>
      <c r="K97" s="64">
        <v>326.82</v>
      </c>
      <c r="L97" s="64">
        <v>23.63</v>
      </c>
      <c r="M97" s="64">
        <v>98.13</v>
      </c>
      <c r="N97" s="64">
        <v>44.7</v>
      </c>
      <c r="O97" s="64">
        <v>0</v>
      </c>
      <c r="P97" s="64">
        <v>0.83</v>
      </c>
      <c r="Q97" s="64">
        <v>9.67</v>
      </c>
      <c r="R97" s="198"/>
      <c r="S97" s="198"/>
      <c r="T97" s="198"/>
      <c r="U97" s="198"/>
    </row>
    <row r="98" spans="1:33" s="12" customFormat="1" x14ac:dyDescent="0.25">
      <c r="A98" s="212" t="s">
        <v>2064</v>
      </c>
      <c r="B98" s="64">
        <v>19.579999999999998</v>
      </c>
      <c r="C98" s="64">
        <v>3.78</v>
      </c>
      <c r="D98" s="64">
        <v>17.68</v>
      </c>
      <c r="E98" s="64">
        <v>4.62</v>
      </c>
      <c r="F98" s="64">
        <v>2.83</v>
      </c>
      <c r="G98" s="64">
        <v>40.520000000000003</v>
      </c>
      <c r="H98" s="64">
        <v>8.4</v>
      </c>
      <c r="I98" s="64">
        <v>3.25</v>
      </c>
      <c r="J98" s="64">
        <v>7.0000000000000007E-2</v>
      </c>
      <c r="K98" s="64">
        <v>300.07</v>
      </c>
      <c r="L98" s="64">
        <v>23.4</v>
      </c>
      <c r="M98" s="64">
        <v>98.13</v>
      </c>
      <c r="N98" s="64">
        <v>44.8</v>
      </c>
      <c r="O98" s="64">
        <v>0</v>
      </c>
      <c r="P98" s="64">
        <v>0.87</v>
      </c>
      <c r="Q98" s="64">
        <v>9.68</v>
      </c>
      <c r="R98" s="198"/>
      <c r="S98" s="198"/>
      <c r="T98" s="198"/>
      <c r="U98" s="198"/>
    </row>
    <row r="99" spans="1:33" s="12" customFormat="1" x14ac:dyDescent="0.25">
      <c r="A99" s="212" t="s">
        <v>2065</v>
      </c>
      <c r="B99" s="64">
        <v>17.8</v>
      </c>
      <c r="C99" s="64">
        <v>4.51</v>
      </c>
      <c r="D99" s="64">
        <v>16.63</v>
      </c>
      <c r="E99" s="64">
        <v>4.46</v>
      </c>
      <c r="F99" s="64">
        <v>3.37</v>
      </c>
      <c r="G99" s="64">
        <v>40.520000000000003</v>
      </c>
      <c r="H99" s="64">
        <v>8.4</v>
      </c>
      <c r="I99" s="64">
        <v>3.2</v>
      </c>
      <c r="J99" s="64">
        <v>0.24</v>
      </c>
      <c r="K99" s="64">
        <v>324.66000000000003</v>
      </c>
      <c r="L99" s="64">
        <v>23.34</v>
      </c>
      <c r="M99" s="64">
        <v>98.13</v>
      </c>
      <c r="N99" s="64">
        <v>44.7</v>
      </c>
      <c r="O99" s="64">
        <v>0</v>
      </c>
      <c r="P99" s="64">
        <v>0.76</v>
      </c>
      <c r="Q99" s="64">
        <v>9.68</v>
      </c>
      <c r="R99" s="198"/>
      <c r="S99" s="198"/>
      <c r="T99" s="198"/>
      <c r="U99" s="198"/>
    </row>
    <row r="100" spans="1:33" s="12" customFormat="1" x14ac:dyDescent="0.25">
      <c r="A100" s="212" t="s">
        <v>2066</v>
      </c>
      <c r="B100" s="64">
        <v>17.399999999999999</v>
      </c>
      <c r="C100" s="64">
        <v>3.87</v>
      </c>
      <c r="D100" s="64">
        <v>15.97</v>
      </c>
      <c r="E100" s="64">
        <v>4.37</v>
      </c>
      <c r="F100" s="64">
        <v>2.89</v>
      </c>
      <c r="G100" s="64">
        <v>32.270000000000003</v>
      </c>
      <c r="H100" s="64">
        <v>7.03</v>
      </c>
      <c r="I100" s="64">
        <v>3.1</v>
      </c>
      <c r="J100" s="64">
        <v>0.24</v>
      </c>
      <c r="K100" s="64">
        <v>334.62</v>
      </c>
      <c r="L100" s="64">
        <v>23.27</v>
      </c>
      <c r="M100" s="64">
        <v>98.13</v>
      </c>
      <c r="N100" s="64">
        <v>44.6</v>
      </c>
      <c r="O100" s="64">
        <v>0</v>
      </c>
      <c r="P100" s="64">
        <v>0.77</v>
      </c>
      <c r="Q100" s="64">
        <v>9.69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2" t="s">
        <v>2067</v>
      </c>
      <c r="B101" s="64">
        <v>14.58</v>
      </c>
      <c r="C101" s="64">
        <v>6.27</v>
      </c>
      <c r="D101" s="64">
        <v>14.97</v>
      </c>
      <c r="E101" s="64">
        <v>4.3</v>
      </c>
      <c r="F101" s="64">
        <v>3.39</v>
      </c>
      <c r="G101" s="64">
        <v>28.15</v>
      </c>
      <c r="H101" s="64">
        <v>6.34</v>
      </c>
      <c r="I101" s="64">
        <v>2.99</v>
      </c>
      <c r="J101" s="64">
        <v>0.24</v>
      </c>
      <c r="K101" s="64">
        <v>319.83999999999997</v>
      </c>
      <c r="L101" s="64">
        <v>23.33</v>
      </c>
      <c r="M101" s="64">
        <v>98.12</v>
      </c>
      <c r="N101" s="64">
        <v>44.6</v>
      </c>
      <c r="O101" s="64">
        <v>0</v>
      </c>
      <c r="P101" s="64">
        <v>0.72</v>
      </c>
      <c r="Q101" s="64">
        <v>9.67</v>
      </c>
      <c r="R101" s="198"/>
      <c r="S101" s="198"/>
      <c r="T101" s="198"/>
      <c r="U101" s="198"/>
    </row>
    <row r="102" spans="1:33" s="12" customFormat="1" x14ac:dyDescent="0.25">
      <c r="A102" s="212" t="s">
        <v>2068</v>
      </c>
      <c r="B102" s="64">
        <v>15.78</v>
      </c>
      <c r="C102" s="64">
        <v>5.96</v>
      </c>
      <c r="D102" s="64">
        <v>15.77</v>
      </c>
      <c r="E102" s="64">
        <v>4.04</v>
      </c>
      <c r="F102" s="64">
        <v>2.78</v>
      </c>
      <c r="G102" s="64">
        <v>28.15</v>
      </c>
      <c r="H102" s="64">
        <v>6.34</v>
      </c>
      <c r="I102" s="64">
        <v>2.9</v>
      </c>
      <c r="J102" s="64">
        <v>0.27</v>
      </c>
      <c r="K102" s="64">
        <v>319.97000000000003</v>
      </c>
      <c r="L102" s="64">
        <v>23.36</v>
      </c>
      <c r="M102" s="64">
        <v>98.1</v>
      </c>
      <c r="N102" s="64">
        <v>44.5</v>
      </c>
      <c r="O102" s="64">
        <v>0</v>
      </c>
      <c r="P102" s="64">
        <v>0.77</v>
      </c>
      <c r="Q102" s="64">
        <v>9.67</v>
      </c>
      <c r="R102" s="198"/>
      <c r="S102" s="198"/>
      <c r="T102" s="198"/>
      <c r="U102" s="198"/>
    </row>
    <row r="103" spans="1:33" s="12" customFormat="1" x14ac:dyDescent="0.25">
      <c r="A103" s="212" t="s">
        <v>2069</v>
      </c>
      <c r="B103" s="64">
        <v>16.66</v>
      </c>
      <c r="C103" s="64">
        <v>4.79</v>
      </c>
      <c r="D103" s="64">
        <v>15.86</v>
      </c>
      <c r="E103" s="64">
        <v>4.1900000000000004</v>
      </c>
      <c r="F103" s="64">
        <v>2.27</v>
      </c>
      <c r="G103" s="64">
        <v>28.15</v>
      </c>
      <c r="H103" s="64">
        <v>6.34</v>
      </c>
      <c r="I103" s="64">
        <v>2.88</v>
      </c>
      <c r="J103" s="64">
        <v>0.33</v>
      </c>
      <c r="K103" s="64">
        <v>319.22000000000003</v>
      </c>
      <c r="L103" s="64">
        <v>23.35</v>
      </c>
      <c r="M103" s="64">
        <v>98.11</v>
      </c>
      <c r="N103" s="64">
        <v>44.7</v>
      </c>
      <c r="O103" s="64">
        <v>0</v>
      </c>
      <c r="P103" s="64">
        <v>0.79</v>
      </c>
      <c r="Q103" s="64">
        <v>9.64</v>
      </c>
      <c r="R103" s="198"/>
      <c r="S103" s="198"/>
      <c r="T103" s="198"/>
      <c r="U103" s="198"/>
    </row>
    <row r="104" spans="1:33" s="12" customFormat="1" x14ac:dyDescent="0.25">
      <c r="A104" s="212" t="s">
        <v>2070</v>
      </c>
      <c r="B104" s="64">
        <v>16.18</v>
      </c>
      <c r="C104" s="64">
        <v>5.45</v>
      </c>
      <c r="D104" s="64">
        <v>15.82</v>
      </c>
      <c r="E104" s="64">
        <v>4.28</v>
      </c>
      <c r="F104" s="64">
        <v>2.58</v>
      </c>
      <c r="G104" s="64">
        <v>24.63</v>
      </c>
      <c r="H104" s="64">
        <v>6.04</v>
      </c>
      <c r="I104" s="64">
        <v>2.98</v>
      </c>
      <c r="J104" s="64">
        <v>0.14000000000000001</v>
      </c>
      <c r="K104" s="64">
        <v>314.35000000000002</v>
      </c>
      <c r="L104" s="64">
        <v>23.28</v>
      </c>
      <c r="M104" s="64">
        <v>98.1</v>
      </c>
      <c r="N104" s="64">
        <v>44.6</v>
      </c>
      <c r="O104" s="64">
        <v>0</v>
      </c>
      <c r="P104" s="64">
        <v>0.79</v>
      </c>
      <c r="Q104" s="64">
        <v>9.66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6.86</v>
      </c>
      <c r="C106" s="67">
        <f>MIN(C9:C104)</f>
        <v>3.78</v>
      </c>
      <c r="D106" s="67">
        <f t="shared" ref="D106:Q106" si="0">MIN(D9:D104)</f>
        <v>9.3699999999999992</v>
      </c>
      <c r="E106" s="67">
        <f t="shared" si="0"/>
        <v>4.04</v>
      </c>
      <c r="F106" s="67">
        <f t="shared" si="0"/>
        <v>2.2400000000000002</v>
      </c>
      <c r="G106" s="67">
        <f t="shared" si="0"/>
        <v>12.38</v>
      </c>
      <c r="H106" s="67">
        <f t="shared" si="0"/>
        <v>1.79</v>
      </c>
      <c r="I106" s="67">
        <f t="shared" si="0"/>
        <v>1.34</v>
      </c>
      <c r="J106" s="67">
        <f t="shared" si="0"/>
        <v>0.01</v>
      </c>
      <c r="K106" s="67">
        <f t="shared" si="0"/>
        <v>9.8000000000000007</v>
      </c>
      <c r="L106" s="67">
        <f t="shared" si="0"/>
        <v>23.03</v>
      </c>
      <c r="M106" s="67">
        <f t="shared" si="0"/>
        <v>86.32</v>
      </c>
      <c r="N106" s="67">
        <f t="shared" si="0"/>
        <v>44.3</v>
      </c>
      <c r="O106" s="67">
        <f t="shared" si="0"/>
        <v>0</v>
      </c>
      <c r="P106" s="67">
        <f t="shared" si="0"/>
        <v>0.3</v>
      </c>
      <c r="Q106" s="67">
        <f t="shared" si="0"/>
        <v>9.61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30.44</v>
      </c>
      <c r="C107" s="66">
        <f t="shared" ref="C107:Q107" si="1">MAX(C9:C104)</f>
        <v>18.91</v>
      </c>
      <c r="D107" s="66">
        <f t="shared" si="1"/>
        <v>32.869999999999997</v>
      </c>
      <c r="E107" s="66">
        <f t="shared" si="1"/>
        <v>7.04</v>
      </c>
      <c r="F107" s="66">
        <f t="shared" si="1"/>
        <v>11.77</v>
      </c>
      <c r="G107" s="66">
        <f t="shared" si="1"/>
        <v>41.85</v>
      </c>
      <c r="H107" s="66">
        <f t="shared" si="1"/>
        <v>9.9499999999999993</v>
      </c>
      <c r="I107" s="66">
        <f t="shared" si="1"/>
        <v>3.25</v>
      </c>
      <c r="J107" s="66">
        <f t="shared" si="1"/>
        <v>1.18</v>
      </c>
      <c r="K107" s="66">
        <f t="shared" si="1"/>
        <v>359.89</v>
      </c>
      <c r="L107" s="66">
        <f t="shared" si="1"/>
        <v>29.05</v>
      </c>
      <c r="M107" s="66">
        <f t="shared" si="1"/>
        <v>98.13</v>
      </c>
      <c r="N107" s="66">
        <f t="shared" si="1"/>
        <v>927</v>
      </c>
      <c r="O107" s="66">
        <f t="shared" si="1"/>
        <v>0</v>
      </c>
      <c r="P107" s="66">
        <f t="shared" si="1"/>
        <v>1.3</v>
      </c>
      <c r="Q107" s="66">
        <f t="shared" si="1"/>
        <v>9.69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14.336562499999999</v>
      </c>
      <c r="C108" s="67">
        <f t="shared" ref="C108:Q108" si="2">AVERAGE(C9:C104)</f>
        <v>8.6354166666666661</v>
      </c>
      <c r="D108" s="67">
        <f t="shared" si="2"/>
        <v>16.010937499999997</v>
      </c>
      <c r="E108" s="67">
        <f t="shared" si="2"/>
        <v>5.2095833333333328</v>
      </c>
      <c r="F108" s="67">
        <f t="shared" si="2"/>
        <v>5.7363541666666684</v>
      </c>
      <c r="G108" s="67">
        <f t="shared" si="2"/>
        <v>23.272187500000005</v>
      </c>
      <c r="H108" s="67">
        <f t="shared" si="2"/>
        <v>4.1854166666666641</v>
      </c>
      <c r="I108" s="67">
        <f t="shared" si="2"/>
        <v>1.7955208333333328</v>
      </c>
      <c r="J108" s="67">
        <f t="shared" si="2"/>
        <v>0.24229166666666666</v>
      </c>
      <c r="K108" s="67">
        <f t="shared" si="2"/>
        <v>236.46781249999992</v>
      </c>
      <c r="L108" s="67">
        <f t="shared" si="2"/>
        <v>25.008125000000017</v>
      </c>
      <c r="M108" s="67">
        <f t="shared" si="2"/>
        <v>97.009895833333317</v>
      </c>
      <c r="N108" s="67">
        <f t="shared" si="2"/>
        <v>140.44166666666666</v>
      </c>
      <c r="O108" s="67">
        <f t="shared" si="2"/>
        <v>0</v>
      </c>
      <c r="P108" s="67">
        <f t="shared" si="2"/>
        <v>0.55364583333333339</v>
      </c>
      <c r="Q108" s="67">
        <f t="shared" si="2"/>
        <v>9.6465624999999893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4.9709759347054838</v>
      </c>
      <c r="C109" s="67">
        <f t="shared" ref="C109:Q109" si="3">STDEV(C9:C104)</f>
        <v>3.1498771627399833</v>
      </c>
      <c r="D109" s="67">
        <f t="shared" si="3"/>
        <v>4.8087392106510372</v>
      </c>
      <c r="E109" s="67">
        <f t="shared" si="3"/>
        <v>0.87556167436339871</v>
      </c>
      <c r="F109" s="67">
        <f t="shared" si="3"/>
        <v>2.4888433668723611</v>
      </c>
      <c r="G109" s="67">
        <f t="shared" si="3"/>
        <v>8.4189344497826042</v>
      </c>
      <c r="H109" s="67">
        <f t="shared" si="3"/>
        <v>2.0452362708276026</v>
      </c>
      <c r="I109" s="67">
        <f t="shared" si="3"/>
        <v>0.59504598635500006</v>
      </c>
      <c r="J109" s="67">
        <f t="shared" si="3"/>
        <v>0.23571382813048938</v>
      </c>
      <c r="K109" s="67">
        <f t="shared" si="3"/>
        <v>103.05248072504401</v>
      </c>
      <c r="L109" s="67">
        <f t="shared" si="3"/>
        <v>1.5079622447458514</v>
      </c>
      <c r="M109" s="67">
        <f t="shared" si="3"/>
        <v>2.8330156871736394</v>
      </c>
      <c r="N109" s="67">
        <f t="shared" si="3"/>
        <v>151.14992533846836</v>
      </c>
      <c r="O109" s="67">
        <f t="shared" si="3"/>
        <v>0</v>
      </c>
      <c r="P109" s="67">
        <f t="shared" si="3"/>
        <v>0.25258711802659767</v>
      </c>
      <c r="Q109" s="67">
        <f t="shared" si="3"/>
        <v>1.464155046434616E-2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216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3" sqref="H1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20/08/2025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2" t="s">
        <v>2071</v>
      </c>
      <c r="B9" s="64">
        <v>15.52</v>
      </c>
      <c r="C9" s="64">
        <v>5.59</v>
      </c>
      <c r="D9" s="64">
        <v>15.37</v>
      </c>
      <c r="E9" s="64">
        <v>4.18</v>
      </c>
      <c r="F9" s="64">
        <v>2.2799999999999998</v>
      </c>
      <c r="G9" s="64">
        <v>22.87</v>
      </c>
      <c r="H9" s="64">
        <v>5.89</v>
      </c>
      <c r="I9" s="64">
        <v>3.14</v>
      </c>
      <c r="J9" s="64">
        <v>0.14000000000000001</v>
      </c>
      <c r="K9" s="64">
        <v>333.73</v>
      </c>
      <c r="L9" s="64">
        <v>23.06</v>
      </c>
      <c r="M9" s="64">
        <v>98.13</v>
      </c>
      <c r="N9" s="64">
        <v>44.9</v>
      </c>
      <c r="O9" s="64">
        <v>0</v>
      </c>
      <c r="P9" s="64">
        <v>0.78</v>
      </c>
      <c r="Q9" s="64">
        <v>9.64</v>
      </c>
      <c r="R9" s="198"/>
      <c r="S9" s="198"/>
      <c r="T9" s="198"/>
      <c r="U9" s="198"/>
    </row>
    <row r="10" spans="1:21" s="12" customFormat="1" x14ac:dyDescent="0.25">
      <c r="A10" s="212" t="s">
        <v>2072</v>
      </c>
      <c r="B10" s="64">
        <v>14.28</v>
      </c>
      <c r="C10" s="64">
        <v>6.01</v>
      </c>
      <c r="D10" s="64">
        <v>14.59</v>
      </c>
      <c r="E10" s="64">
        <v>3.92</v>
      </c>
      <c r="F10" s="64">
        <v>2.2200000000000002</v>
      </c>
      <c r="G10" s="64">
        <v>22.87</v>
      </c>
      <c r="H10" s="64">
        <v>5.89</v>
      </c>
      <c r="I10" s="64">
        <v>3.24</v>
      </c>
      <c r="J10" s="64">
        <v>0.14000000000000001</v>
      </c>
      <c r="K10" s="64">
        <v>332.78</v>
      </c>
      <c r="L10" s="64">
        <v>22.97</v>
      </c>
      <c r="M10" s="64">
        <v>98.13</v>
      </c>
      <c r="N10" s="64">
        <v>44.7</v>
      </c>
      <c r="O10" s="64">
        <v>0</v>
      </c>
      <c r="P10" s="64">
        <v>0.71</v>
      </c>
      <c r="Q10" s="64">
        <v>9.64</v>
      </c>
      <c r="R10" s="198"/>
      <c r="S10" s="198"/>
      <c r="T10" s="198"/>
      <c r="U10" s="198"/>
    </row>
    <row r="11" spans="1:21" s="12" customFormat="1" x14ac:dyDescent="0.25">
      <c r="A11" s="212" t="s">
        <v>2073</v>
      </c>
      <c r="B11" s="64">
        <v>12.81</v>
      </c>
      <c r="C11" s="64">
        <v>6.35</v>
      </c>
      <c r="D11" s="64">
        <v>13.59</v>
      </c>
      <c r="E11" s="64">
        <v>4.0599999999999996</v>
      </c>
      <c r="F11" s="64">
        <v>2.4300000000000002</v>
      </c>
      <c r="G11" s="64">
        <v>22.87</v>
      </c>
      <c r="H11" s="64">
        <v>5.89</v>
      </c>
      <c r="I11" s="64">
        <v>3.17</v>
      </c>
      <c r="J11" s="64">
        <v>0.15</v>
      </c>
      <c r="K11" s="64">
        <v>330.86</v>
      </c>
      <c r="L11" s="64">
        <v>23.03</v>
      </c>
      <c r="M11" s="64">
        <v>98.15</v>
      </c>
      <c r="N11" s="64">
        <v>44.5</v>
      </c>
      <c r="O11" s="64">
        <v>0</v>
      </c>
      <c r="P11" s="64">
        <v>0.7</v>
      </c>
      <c r="Q11" s="64">
        <v>9.6300000000000008</v>
      </c>
      <c r="R11" s="198"/>
      <c r="S11" s="198"/>
      <c r="T11" s="198"/>
      <c r="U11" s="198"/>
    </row>
    <row r="12" spans="1:21" s="12" customFormat="1" x14ac:dyDescent="0.25">
      <c r="A12" s="212" t="s">
        <v>2074</v>
      </c>
      <c r="B12" s="64">
        <v>11.17</v>
      </c>
      <c r="C12" s="64">
        <v>6.57</v>
      </c>
      <c r="D12" s="64">
        <v>12.39</v>
      </c>
      <c r="E12" s="64">
        <v>4.18</v>
      </c>
      <c r="F12" s="64">
        <v>3.88</v>
      </c>
      <c r="G12" s="64">
        <v>20.75</v>
      </c>
      <c r="H12" s="64">
        <v>6.4</v>
      </c>
      <c r="I12" s="64">
        <v>3.11</v>
      </c>
      <c r="J12" s="64">
        <v>0.2</v>
      </c>
      <c r="K12" s="64">
        <v>314.19</v>
      </c>
      <c r="L12" s="64">
        <v>23.12</v>
      </c>
      <c r="M12" s="64">
        <v>98.13</v>
      </c>
      <c r="N12" s="64">
        <v>44.5</v>
      </c>
      <c r="O12" s="64">
        <v>0</v>
      </c>
      <c r="P12" s="64">
        <v>0.6</v>
      </c>
      <c r="Q12" s="64">
        <v>9.6300000000000008</v>
      </c>
      <c r="R12" s="198"/>
      <c r="S12" s="198"/>
      <c r="T12" s="198"/>
      <c r="U12" s="198"/>
    </row>
    <row r="13" spans="1:21" s="12" customFormat="1" x14ac:dyDescent="0.25">
      <c r="A13" s="212" t="s">
        <v>2075</v>
      </c>
      <c r="B13" s="64">
        <v>10.45</v>
      </c>
      <c r="C13" s="64">
        <v>6.42</v>
      </c>
      <c r="D13" s="64">
        <v>11.73</v>
      </c>
      <c r="E13" s="64">
        <v>4.04</v>
      </c>
      <c r="F13" s="64">
        <v>3.98</v>
      </c>
      <c r="G13" s="64">
        <v>19.690000000000001</v>
      </c>
      <c r="H13" s="64">
        <v>6.65</v>
      </c>
      <c r="I13" s="64">
        <v>3.07</v>
      </c>
      <c r="J13" s="64">
        <v>0.13</v>
      </c>
      <c r="K13" s="64">
        <v>314.02999999999997</v>
      </c>
      <c r="L13" s="64">
        <v>23.14</v>
      </c>
      <c r="M13" s="64">
        <v>98.13</v>
      </c>
      <c r="N13" s="64">
        <v>44.5</v>
      </c>
      <c r="O13" s="64">
        <v>0</v>
      </c>
      <c r="P13" s="64">
        <v>0.55000000000000004</v>
      </c>
      <c r="Q13" s="64">
        <v>9.6300000000000008</v>
      </c>
      <c r="R13" s="198"/>
      <c r="S13" s="198"/>
      <c r="T13" s="198"/>
      <c r="U13" s="198"/>
    </row>
    <row r="14" spans="1:21" s="12" customFormat="1" x14ac:dyDescent="0.25">
      <c r="A14" s="212" t="s">
        <v>2076</v>
      </c>
      <c r="B14" s="64">
        <v>9.74</v>
      </c>
      <c r="C14" s="64">
        <v>6.35</v>
      </c>
      <c r="D14" s="64">
        <v>11.13</v>
      </c>
      <c r="E14" s="64">
        <v>4.2300000000000004</v>
      </c>
      <c r="F14" s="64">
        <v>3.78</v>
      </c>
      <c r="G14" s="64">
        <v>19.690000000000001</v>
      </c>
      <c r="H14" s="64">
        <v>6.65</v>
      </c>
      <c r="I14" s="64">
        <v>2.95</v>
      </c>
      <c r="J14" s="64">
        <v>0.13</v>
      </c>
      <c r="K14" s="64">
        <v>319.43</v>
      </c>
      <c r="L14" s="64">
        <v>23.07</v>
      </c>
      <c r="M14" s="64">
        <v>98.13</v>
      </c>
      <c r="N14" s="64">
        <v>44.7</v>
      </c>
      <c r="O14" s="64">
        <v>0</v>
      </c>
      <c r="P14" s="64">
        <v>0.54</v>
      </c>
      <c r="Q14" s="64">
        <v>9.6300000000000008</v>
      </c>
      <c r="R14" s="198"/>
      <c r="S14" s="198"/>
      <c r="T14" s="198"/>
      <c r="U14" s="198"/>
    </row>
    <row r="15" spans="1:21" s="12" customFormat="1" x14ac:dyDescent="0.25">
      <c r="A15" s="212" t="s">
        <v>2077</v>
      </c>
      <c r="B15" s="64">
        <v>9.52</v>
      </c>
      <c r="C15" s="64">
        <v>6.7</v>
      </c>
      <c r="D15" s="64">
        <v>11.14</v>
      </c>
      <c r="E15" s="64">
        <v>4.29</v>
      </c>
      <c r="F15" s="64">
        <v>2.1800000000000002</v>
      </c>
      <c r="G15" s="64">
        <v>19.690000000000001</v>
      </c>
      <c r="H15" s="64">
        <v>6.65</v>
      </c>
      <c r="I15" s="64">
        <v>2.83</v>
      </c>
      <c r="J15" s="64">
        <v>0.19</v>
      </c>
      <c r="K15" s="64">
        <v>330.27</v>
      </c>
      <c r="L15" s="64">
        <v>22.82</v>
      </c>
      <c r="M15" s="64">
        <v>98.14</v>
      </c>
      <c r="N15" s="64">
        <v>45</v>
      </c>
      <c r="O15" s="64">
        <v>0</v>
      </c>
      <c r="P15" s="64">
        <v>0.54</v>
      </c>
      <c r="Q15" s="64">
        <v>9.6300000000000008</v>
      </c>
      <c r="R15" s="198"/>
      <c r="S15" s="198"/>
      <c r="T15" s="198"/>
      <c r="U15" s="198"/>
    </row>
    <row r="16" spans="1:21" s="12" customFormat="1" x14ac:dyDescent="0.25">
      <c r="A16" s="212" t="s">
        <v>2078</v>
      </c>
      <c r="B16" s="64">
        <v>8.39</v>
      </c>
      <c r="C16" s="64">
        <v>7.42</v>
      </c>
      <c r="D16" s="64">
        <v>10.61</v>
      </c>
      <c r="E16" s="64">
        <v>4.05</v>
      </c>
      <c r="F16" s="64">
        <v>2.99</v>
      </c>
      <c r="G16" s="64">
        <v>16.13</v>
      </c>
      <c r="H16" s="64">
        <v>5.43</v>
      </c>
      <c r="I16" s="64">
        <v>2.69</v>
      </c>
      <c r="J16" s="64">
        <v>0.14000000000000001</v>
      </c>
      <c r="K16" s="64">
        <v>321.57</v>
      </c>
      <c r="L16" s="64">
        <v>22.69</v>
      </c>
      <c r="M16" s="64">
        <v>98.13</v>
      </c>
      <c r="N16" s="64">
        <v>44.7</v>
      </c>
      <c r="O16" s="64">
        <v>0</v>
      </c>
      <c r="P16" s="64">
        <v>0.52</v>
      </c>
      <c r="Q16" s="64">
        <v>9.64</v>
      </c>
      <c r="R16" s="198"/>
      <c r="S16" s="198"/>
      <c r="T16" s="198"/>
      <c r="U16" s="198"/>
    </row>
    <row r="17" spans="1:21" s="12" customFormat="1" x14ac:dyDescent="0.25">
      <c r="A17" s="212" t="s">
        <v>2079</v>
      </c>
      <c r="B17" s="64">
        <v>7.6</v>
      </c>
      <c r="C17" s="64">
        <v>7.73</v>
      </c>
      <c r="D17" s="64">
        <v>10.14</v>
      </c>
      <c r="E17" s="64">
        <v>4.1500000000000004</v>
      </c>
      <c r="F17" s="64">
        <v>2.41</v>
      </c>
      <c r="G17" s="64">
        <v>14.35</v>
      </c>
      <c r="H17" s="64">
        <v>4.83</v>
      </c>
      <c r="I17" s="64">
        <v>2.52</v>
      </c>
      <c r="J17" s="64">
        <v>0.15</v>
      </c>
      <c r="K17" s="64">
        <v>316.7</v>
      </c>
      <c r="L17" s="64">
        <v>22.6</v>
      </c>
      <c r="M17" s="64">
        <v>98.14</v>
      </c>
      <c r="N17" s="64">
        <v>44.8</v>
      </c>
      <c r="O17" s="64">
        <v>0</v>
      </c>
      <c r="P17" s="64">
        <v>0.48</v>
      </c>
      <c r="Q17" s="64">
        <v>9.6</v>
      </c>
      <c r="R17" s="198"/>
      <c r="S17" s="198"/>
      <c r="T17" s="198"/>
      <c r="U17" s="198"/>
    </row>
    <row r="18" spans="1:21" s="12" customFormat="1" x14ac:dyDescent="0.25">
      <c r="A18" s="212" t="s">
        <v>2080</v>
      </c>
      <c r="B18" s="64">
        <v>6.93</v>
      </c>
      <c r="C18" s="64">
        <v>7.63</v>
      </c>
      <c r="D18" s="64">
        <v>9.5500000000000007</v>
      </c>
      <c r="E18" s="64">
        <v>3.99</v>
      </c>
      <c r="F18" s="64">
        <v>3.38</v>
      </c>
      <c r="G18" s="64">
        <v>14.35</v>
      </c>
      <c r="H18" s="64">
        <v>4.83</v>
      </c>
      <c r="I18" s="64">
        <v>2.37</v>
      </c>
      <c r="J18" s="64">
        <v>0.09</v>
      </c>
      <c r="K18" s="64">
        <v>321.98</v>
      </c>
      <c r="L18" s="64">
        <v>22.55</v>
      </c>
      <c r="M18" s="64">
        <v>98.15</v>
      </c>
      <c r="N18" s="64">
        <v>44.6</v>
      </c>
      <c r="O18" s="64">
        <v>0</v>
      </c>
      <c r="P18" s="64">
        <v>0.44</v>
      </c>
      <c r="Q18" s="64">
        <v>9.58</v>
      </c>
      <c r="R18" s="198"/>
      <c r="S18" s="198"/>
      <c r="T18" s="198"/>
      <c r="U18" s="198"/>
    </row>
    <row r="19" spans="1:21" s="12" customFormat="1" x14ac:dyDescent="0.25">
      <c r="A19" s="212" t="s">
        <v>2081</v>
      </c>
      <c r="B19" s="64">
        <v>6.56</v>
      </c>
      <c r="C19" s="64">
        <v>7.52</v>
      </c>
      <c r="D19" s="64">
        <v>9.19</v>
      </c>
      <c r="E19" s="64">
        <v>3.96</v>
      </c>
      <c r="F19" s="64">
        <v>2.37</v>
      </c>
      <c r="G19" s="64">
        <v>14.35</v>
      </c>
      <c r="H19" s="64">
        <v>4.83</v>
      </c>
      <c r="I19" s="64">
        <v>2.25</v>
      </c>
      <c r="J19" s="64">
        <v>0.13</v>
      </c>
      <c r="K19" s="64">
        <v>327.37</v>
      </c>
      <c r="L19" s="64">
        <v>22.44</v>
      </c>
      <c r="M19" s="64">
        <v>98.15</v>
      </c>
      <c r="N19" s="64">
        <v>44.9</v>
      </c>
      <c r="O19" s="64">
        <v>0</v>
      </c>
      <c r="P19" s="64">
        <v>0.44</v>
      </c>
      <c r="Q19" s="64">
        <v>9.56</v>
      </c>
      <c r="R19" s="198"/>
      <c r="S19" s="198"/>
      <c r="T19" s="198"/>
      <c r="U19" s="198"/>
    </row>
    <row r="20" spans="1:21" s="12" customFormat="1" x14ac:dyDescent="0.25">
      <c r="A20" s="212" t="s">
        <v>2082</v>
      </c>
      <c r="B20" s="64">
        <v>6.37</v>
      </c>
      <c r="C20" s="64">
        <v>7.43</v>
      </c>
      <c r="D20" s="64">
        <v>8.99</v>
      </c>
      <c r="E20" s="64">
        <v>4.2</v>
      </c>
      <c r="F20" s="64">
        <v>2.31</v>
      </c>
      <c r="G20" s="64">
        <v>12.74</v>
      </c>
      <c r="H20" s="64">
        <v>3.95</v>
      </c>
      <c r="I20" s="64">
        <v>2.14</v>
      </c>
      <c r="J20" s="64">
        <v>0.12</v>
      </c>
      <c r="K20" s="64">
        <v>323.93</v>
      </c>
      <c r="L20" s="64">
        <v>22.36</v>
      </c>
      <c r="M20" s="64">
        <v>98.15</v>
      </c>
      <c r="N20" s="64">
        <v>44.7</v>
      </c>
      <c r="O20" s="64">
        <v>0</v>
      </c>
      <c r="P20" s="64">
        <v>0.41</v>
      </c>
      <c r="Q20" s="64">
        <v>9.52</v>
      </c>
      <c r="R20" s="198"/>
      <c r="S20" s="198"/>
      <c r="T20" s="198"/>
      <c r="U20" s="198"/>
    </row>
    <row r="21" spans="1:21" s="12" customFormat="1" x14ac:dyDescent="0.25">
      <c r="A21" s="212" t="s">
        <v>2083</v>
      </c>
      <c r="B21" s="64">
        <v>6.02</v>
      </c>
      <c r="C21" s="64">
        <v>7.26</v>
      </c>
      <c r="D21" s="64">
        <v>8.61</v>
      </c>
      <c r="E21" s="64">
        <v>3.97</v>
      </c>
      <c r="F21" s="64">
        <v>2.34</v>
      </c>
      <c r="G21" s="64">
        <v>11.93</v>
      </c>
      <c r="H21" s="64">
        <v>3.52</v>
      </c>
      <c r="I21" s="64">
        <v>2.0299999999999998</v>
      </c>
      <c r="J21" s="64">
        <v>0.14000000000000001</v>
      </c>
      <c r="K21" s="64">
        <v>323.39999999999998</v>
      </c>
      <c r="L21" s="64">
        <v>22.25</v>
      </c>
      <c r="M21" s="64">
        <v>98.15</v>
      </c>
      <c r="N21" s="64">
        <v>44.7</v>
      </c>
      <c r="O21" s="64">
        <v>0</v>
      </c>
      <c r="P21" s="64">
        <v>0.37</v>
      </c>
      <c r="Q21" s="64">
        <v>9.5</v>
      </c>
      <c r="R21" s="198"/>
      <c r="S21" s="198"/>
      <c r="T21" s="198"/>
      <c r="U21" s="198"/>
    </row>
    <row r="22" spans="1:21" s="12" customFormat="1" x14ac:dyDescent="0.25">
      <c r="A22" s="212" t="s">
        <v>2084</v>
      </c>
      <c r="B22" s="64">
        <v>5.74</v>
      </c>
      <c r="C22" s="64">
        <v>7.15</v>
      </c>
      <c r="D22" s="64">
        <v>8.34</v>
      </c>
      <c r="E22" s="64">
        <v>3.96</v>
      </c>
      <c r="F22" s="64">
        <v>2.57</v>
      </c>
      <c r="G22" s="64">
        <v>11.93</v>
      </c>
      <c r="H22" s="64">
        <v>3.52</v>
      </c>
      <c r="I22" s="64">
        <v>1.92</v>
      </c>
      <c r="J22" s="64">
        <v>0.16</v>
      </c>
      <c r="K22" s="64">
        <v>323.69</v>
      </c>
      <c r="L22" s="64">
        <v>22.2</v>
      </c>
      <c r="M22" s="64">
        <v>98.15</v>
      </c>
      <c r="N22" s="64">
        <v>44.7</v>
      </c>
      <c r="O22" s="64">
        <v>0</v>
      </c>
      <c r="P22" s="64">
        <v>0.35</v>
      </c>
      <c r="Q22" s="64">
        <v>9.4700000000000006</v>
      </c>
      <c r="R22" s="198"/>
      <c r="S22" s="198"/>
      <c r="T22" s="198"/>
      <c r="U22" s="198"/>
    </row>
    <row r="23" spans="1:21" s="12" customFormat="1" x14ac:dyDescent="0.25">
      <c r="A23" s="212" t="s">
        <v>2085</v>
      </c>
      <c r="B23" s="64">
        <v>5.48</v>
      </c>
      <c r="C23" s="64">
        <v>7.07</v>
      </c>
      <c r="D23" s="64">
        <v>8.08</v>
      </c>
      <c r="E23" s="64">
        <v>4.09</v>
      </c>
      <c r="F23" s="64">
        <v>2.15</v>
      </c>
      <c r="G23" s="64">
        <v>11.93</v>
      </c>
      <c r="H23" s="64">
        <v>3.52</v>
      </c>
      <c r="I23" s="64">
        <v>1.81</v>
      </c>
      <c r="J23" s="64">
        <v>0.15</v>
      </c>
      <c r="K23" s="64">
        <v>332</v>
      </c>
      <c r="L23" s="64">
        <v>22.22</v>
      </c>
      <c r="M23" s="64">
        <v>98.15</v>
      </c>
      <c r="N23" s="64">
        <v>44.6</v>
      </c>
      <c r="O23" s="64">
        <v>0</v>
      </c>
      <c r="P23" s="64">
        <v>0.33</v>
      </c>
      <c r="Q23" s="64">
        <v>9.4499999999999993</v>
      </c>
      <c r="R23" s="198"/>
      <c r="S23" s="198"/>
      <c r="T23" s="198"/>
      <c r="U23" s="198"/>
    </row>
    <row r="24" spans="1:21" s="12" customFormat="1" x14ac:dyDescent="0.25">
      <c r="A24" s="212" t="s">
        <v>2086</v>
      </c>
      <c r="B24" s="64">
        <v>5.2</v>
      </c>
      <c r="C24" s="64">
        <v>7.01</v>
      </c>
      <c r="D24" s="64">
        <v>7.83</v>
      </c>
      <c r="E24" s="64">
        <v>3.89</v>
      </c>
      <c r="F24" s="64">
        <v>2.46</v>
      </c>
      <c r="G24" s="64">
        <v>10.09</v>
      </c>
      <c r="H24" s="64">
        <v>2.94</v>
      </c>
      <c r="I24" s="64">
        <v>1.72</v>
      </c>
      <c r="J24" s="64">
        <v>0.12</v>
      </c>
      <c r="K24" s="64">
        <v>325.27999999999997</v>
      </c>
      <c r="L24" s="64">
        <v>22.33</v>
      </c>
      <c r="M24" s="64">
        <v>98.15</v>
      </c>
      <c r="N24" s="64">
        <v>44.4</v>
      </c>
      <c r="O24" s="64">
        <v>0</v>
      </c>
      <c r="P24" s="64">
        <v>0.3</v>
      </c>
      <c r="Q24" s="64">
        <v>9.44</v>
      </c>
      <c r="R24" s="198"/>
      <c r="S24" s="198"/>
      <c r="T24" s="198"/>
      <c r="U24" s="198"/>
    </row>
    <row r="25" spans="1:21" s="12" customFormat="1" x14ac:dyDescent="0.25">
      <c r="A25" s="212" t="s">
        <v>2087</v>
      </c>
      <c r="B25" s="64">
        <v>5.09</v>
      </c>
      <c r="C25" s="64">
        <v>7.05</v>
      </c>
      <c r="D25" s="64">
        <v>7.76</v>
      </c>
      <c r="E25" s="64">
        <v>3.78</v>
      </c>
      <c r="F25" s="64">
        <v>2.36</v>
      </c>
      <c r="G25" s="64">
        <v>9.17</v>
      </c>
      <c r="H25" s="64">
        <v>2.64</v>
      </c>
      <c r="I25" s="64">
        <v>1.63</v>
      </c>
      <c r="J25" s="64">
        <v>0.1</v>
      </c>
      <c r="K25" s="64">
        <v>317.38</v>
      </c>
      <c r="L25" s="64">
        <v>22.38</v>
      </c>
      <c r="M25" s="64">
        <v>98.15</v>
      </c>
      <c r="N25" s="64">
        <v>44.5</v>
      </c>
      <c r="O25" s="64">
        <v>0</v>
      </c>
      <c r="P25" s="64">
        <v>0.28999999999999998</v>
      </c>
      <c r="Q25" s="64">
        <v>9.43</v>
      </c>
      <c r="R25" s="198"/>
      <c r="S25" s="198"/>
      <c r="T25" s="198"/>
      <c r="U25" s="198"/>
    </row>
    <row r="26" spans="1:21" s="12" customFormat="1" x14ac:dyDescent="0.25">
      <c r="A26" s="212" t="s">
        <v>2088</v>
      </c>
      <c r="B26" s="64">
        <v>5.0999999999999996</v>
      </c>
      <c r="C26" s="64">
        <v>7</v>
      </c>
      <c r="D26" s="64">
        <v>7.75</v>
      </c>
      <c r="E26" s="64">
        <v>3.65</v>
      </c>
      <c r="F26" s="64">
        <v>2.29</v>
      </c>
      <c r="G26" s="64">
        <v>9.17</v>
      </c>
      <c r="H26" s="64">
        <v>2.64</v>
      </c>
      <c r="I26" s="64">
        <v>1.57</v>
      </c>
      <c r="J26" s="64">
        <v>0.13</v>
      </c>
      <c r="K26" s="64">
        <v>331.7</v>
      </c>
      <c r="L26" s="64">
        <v>22.43</v>
      </c>
      <c r="M26" s="64">
        <v>98.15</v>
      </c>
      <c r="N26" s="64">
        <v>44.4</v>
      </c>
      <c r="O26" s="64">
        <v>0</v>
      </c>
      <c r="P26" s="64">
        <v>0.3</v>
      </c>
      <c r="Q26" s="64">
        <v>9.42</v>
      </c>
      <c r="R26" s="198"/>
      <c r="S26" s="198"/>
      <c r="T26" s="198"/>
      <c r="U26" s="198"/>
    </row>
    <row r="27" spans="1:21" s="12" customFormat="1" x14ac:dyDescent="0.25">
      <c r="A27" s="212" t="s">
        <v>2089</v>
      </c>
      <c r="B27" s="64">
        <v>5.01</v>
      </c>
      <c r="C27" s="64">
        <v>7.05</v>
      </c>
      <c r="D27" s="64">
        <v>7.7</v>
      </c>
      <c r="E27" s="64">
        <v>3.66</v>
      </c>
      <c r="F27" s="64">
        <v>2.62</v>
      </c>
      <c r="G27" s="64">
        <v>9.17</v>
      </c>
      <c r="H27" s="64">
        <v>2.64</v>
      </c>
      <c r="I27" s="64">
        <v>1.51</v>
      </c>
      <c r="J27" s="64">
        <v>0.12</v>
      </c>
      <c r="K27" s="64">
        <v>324.88</v>
      </c>
      <c r="L27" s="64">
        <v>22.55</v>
      </c>
      <c r="M27" s="64">
        <v>98.15</v>
      </c>
      <c r="N27" s="64">
        <v>44.4</v>
      </c>
      <c r="O27" s="64">
        <v>0</v>
      </c>
      <c r="P27" s="64">
        <v>0.27</v>
      </c>
      <c r="Q27" s="64">
        <v>9.4</v>
      </c>
      <c r="R27" s="198"/>
      <c r="S27" s="198"/>
      <c r="T27" s="198"/>
      <c r="U27" s="198"/>
    </row>
    <row r="28" spans="1:21" s="12" customFormat="1" x14ac:dyDescent="0.25">
      <c r="A28" s="212" t="s">
        <v>2090</v>
      </c>
      <c r="B28" s="64">
        <v>4.9800000000000004</v>
      </c>
      <c r="C28" s="64">
        <v>6.98</v>
      </c>
      <c r="D28" s="64">
        <v>7.64</v>
      </c>
      <c r="E28" s="64">
        <v>3.65</v>
      </c>
      <c r="F28" s="64">
        <v>2.64</v>
      </c>
      <c r="G28" s="64">
        <v>7.53</v>
      </c>
      <c r="H28" s="64">
        <v>2.2799999999999998</v>
      </c>
      <c r="I28" s="64">
        <v>1.47</v>
      </c>
      <c r="J28" s="64">
        <v>0.12</v>
      </c>
      <c r="K28" s="64">
        <v>331.44</v>
      </c>
      <c r="L28" s="64">
        <v>22.62</v>
      </c>
      <c r="M28" s="64">
        <v>98.15</v>
      </c>
      <c r="N28" s="64">
        <v>44.5</v>
      </c>
      <c r="O28" s="64">
        <v>0</v>
      </c>
      <c r="P28" s="64">
        <v>0.27</v>
      </c>
      <c r="Q28" s="64">
        <v>9.41</v>
      </c>
      <c r="R28" s="198"/>
      <c r="S28" s="198"/>
      <c r="T28" s="198"/>
      <c r="U28" s="198"/>
    </row>
    <row r="29" spans="1:21" s="12" customFormat="1" x14ac:dyDescent="0.25">
      <c r="A29" s="212" t="s">
        <v>2091</v>
      </c>
      <c r="B29" s="64">
        <v>4.9000000000000004</v>
      </c>
      <c r="C29" s="64">
        <v>7.19</v>
      </c>
      <c r="D29" s="64">
        <v>7.69</v>
      </c>
      <c r="E29" s="64">
        <v>3.68</v>
      </c>
      <c r="F29" s="64">
        <v>3.4</v>
      </c>
      <c r="G29" s="64">
        <v>6.7</v>
      </c>
      <c r="H29" s="64">
        <v>2.1</v>
      </c>
      <c r="I29" s="64">
        <v>1.41</v>
      </c>
      <c r="J29" s="64">
        <v>0.06</v>
      </c>
      <c r="K29" s="64">
        <v>316.98</v>
      </c>
      <c r="L29" s="64">
        <v>22.66</v>
      </c>
      <c r="M29" s="64">
        <v>98.15</v>
      </c>
      <c r="N29" s="64">
        <v>44.5</v>
      </c>
      <c r="O29" s="64">
        <v>0</v>
      </c>
      <c r="P29" s="64">
        <v>0.23</v>
      </c>
      <c r="Q29" s="64">
        <v>9.42</v>
      </c>
      <c r="R29" s="198"/>
      <c r="S29" s="198"/>
      <c r="T29" s="198"/>
      <c r="U29" s="198"/>
    </row>
    <row r="30" spans="1:21" s="12" customFormat="1" x14ac:dyDescent="0.25">
      <c r="A30" s="212" t="s">
        <v>2092</v>
      </c>
      <c r="B30" s="64">
        <v>4.9400000000000004</v>
      </c>
      <c r="C30" s="64">
        <v>6.95</v>
      </c>
      <c r="D30" s="64">
        <v>7.59</v>
      </c>
      <c r="E30" s="64">
        <v>3.78</v>
      </c>
      <c r="F30" s="64">
        <v>3.74</v>
      </c>
      <c r="G30" s="64">
        <v>6.7</v>
      </c>
      <c r="H30" s="64">
        <v>2.1</v>
      </c>
      <c r="I30" s="64">
        <v>1.35</v>
      </c>
      <c r="J30" s="64">
        <v>0.13</v>
      </c>
      <c r="K30" s="64">
        <v>321.39</v>
      </c>
      <c r="L30" s="64">
        <v>22.65</v>
      </c>
      <c r="M30" s="64">
        <v>98.15</v>
      </c>
      <c r="N30" s="64">
        <v>44.8</v>
      </c>
      <c r="O30" s="64">
        <v>0</v>
      </c>
      <c r="P30" s="64">
        <v>0.22</v>
      </c>
      <c r="Q30" s="64">
        <v>9.44</v>
      </c>
      <c r="R30" s="198"/>
      <c r="S30" s="198"/>
      <c r="T30" s="198"/>
      <c r="U30" s="198"/>
    </row>
    <row r="31" spans="1:21" s="12" customFormat="1" x14ac:dyDescent="0.25">
      <c r="A31" s="212" t="s">
        <v>2093</v>
      </c>
      <c r="B31" s="64">
        <v>5.12</v>
      </c>
      <c r="C31" s="64">
        <v>6.82</v>
      </c>
      <c r="D31" s="64">
        <v>7.67</v>
      </c>
      <c r="E31" s="64">
        <v>3.94</v>
      </c>
      <c r="F31" s="64">
        <v>2.97</v>
      </c>
      <c r="G31" s="64">
        <v>6.7</v>
      </c>
      <c r="H31" s="64">
        <v>2.1</v>
      </c>
      <c r="I31" s="64">
        <v>1.32</v>
      </c>
      <c r="J31" s="64">
        <v>0.1</v>
      </c>
      <c r="K31" s="64">
        <v>325.13</v>
      </c>
      <c r="L31" s="64">
        <v>22.66</v>
      </c>
      <c r="M31" s="64">
        <v>98.14</v>
      </c>
      <c r="N31" s="64">
        <v>48.5</v>
      </c>
      <c r="O31" s="64">
        <v>0</v>
      </c>
      <c r="P31" s="64">
        <v>0.22</v>
      </c>
      <c r="Q31" s="64">
        <v>9.4499999999999993</v>
      </c>
      <c r="R31" s="198"/>
      <c r="S31" s="198"/>
      <c r="T31" s="198"/>
      <c r="U31" s="198"/>
    </row>
    <row r="32" spans="1:21" s="12" customFormat="1" x14ac:dyDescent="0.25">
      <c r="A32" s="212" t="s">
        <v>2094</v>
      </c>
      <c r="B32" s="64">
        <v>5.17</v>
      </c>
      <c r="C32" s="64">
        <v>7.03</v>
      </c>
      <c r="D32" s="64">
        <v>7.82</v>
      </c>
      <c r="E32" s="64">
        <v>3.86</v>
      </c>
      <c r="F32" s="64">
        <v>2.52</v>
      </c>
      <c r="G32" s="64">
        <v>5.75</v>
      </c>
      <c r="H32" s="64">
        <v>1.84</v>
      </c>
      <c r="I32" s="64">
        <v>1.29</v>
      </c>
      <c r="J32" s="64">
        <v>0.08</v>
      </c>
      <c r="K32" s="64">
        <v>312.20999999999998</v>
      </c>
      <c r="L32" s="64">
        <v>22.7</v>
      </c>
      <c r="M32" s="64">
        <v>98.14</v>
      </c>
      <c r="N32" s="64">
        <v>66.599999999999994</v>
      </c>
      <c r="O32" s="64">
        <v>0</v>
      </c>
      <c r="P32" s="64">
        <v>0.22</v>
      </c>
      <c r="Q32" s="64">
        <v>9.4499999999999993</v>
      </c>
      <c r="R32" s="198"/>
      <c r="S32" s="198"/>
      <c r="T32" s="198"/>
      <c r="U32" s="198"/>
    </row>
    <row r="33" spans="1:21" s="12" customFormat="1" x14ac:dyDescent="0.25">
      <c r="A33" s="212" t="s">
        <v>2095</v>
      </c>
      <c r="B33" s="64">
        <v>5.4</v>
      </c>
      <c r="C33" s="64">
        <v>7</v>
      </c>
      <c r="D33" s="64">
        <v>7.99</v>
      </c>
      <c r="E33" s="64">
        <v>3.81</v>
      </c>
      <c r="F33" s="64">
        <v>3.13</v>
      </c>
      <c r="G33" s="64">
        <v>5.28</v>
      </c>
      <c r="H33" s="64">
        <v>1.71</v>
      </c>
      <c r="I33" s="64">
        <v>1.26</v>
      </c>
      <c r="J33" s="64">
        <v>0.05</v>
      </c>
      <c r="K33" s="64">
        <v>308.14</v>
      </c>
      <c r="L33" s="64">
        <v>22.79</v>
      </c>
      <c r="M33" s="64">
        <v>98.15</v>
      </c>
      <c r="N33" s="64">
        <v>81.099999999999994</v>
      </c>
      <c r="O33" s="64">
        <v>0</v>
      </c>
      <c r="P33" s="64">
        <v>0.22</v>
      </c>
      <c r="Q33" s="64">
        <v>9.4600000000000009</v>
      </c>
      <c r="R33" s="198"/>
      <c r="S33" s="198"/>
      <c r="T33" s="198"/>
      <c r="U33" s="198"/>
    </row>
    <row r="34" spans="1:21" s="12" customFormat="1" x14ac:dyDescent="0.25">
      <c r="A34" s="212" t="s">
        <v>2096</v>
      </c>
      <c r="B34" s="64">
        <v>5.5</v>
      </c>
      <c r="C34" s="64">
        <v>6.85</v>
      </c>
      <c r="D34" s="64">
        <v>7.99</v>
      </c>
      <c r="E34" s="64">
        <v>3.96</v>
      </c>
      <c r="F34" s="64">
        <v>2.91</v>
      </c>
      <c r="G34" s="64">
        <v>5.28</v>
      </c>
      <c r="H34" s="64">
        <v>1.71</v>
      </c>
      <c r="I34" s="64">
        <v>1.23</v>
      </c>
      <c r="J34" s="64">
        <v>0.1</v>
      </c>
      <c r="K34" s="64">
        <v>307.89</v>
      </c>
      <c r="L34" s="64">
        <v>22.97</v>
      </c>
      <c r="M34" s="64">
        <v>98.15</v>
      </c>
      <c r="N34" s="64">
        <v>80.099999999999994</v>
      </c>
      <c r="O34" s="64">
        <v>0</v>
      </c>
      <c r="P34" s="64">
        <v>0.2</v>
      </c>
      <c r="Q34" s="64">
        <v>9.4700000000000006</v>
      </c>
      <c r="R34" s="198"/>
      <c r="S34" s="198"/>
      <c r="T34" s="198"/>
      <c r="U34" s="198"/>
    </row>
    <row r="35" spans="1:21" s="12" customFormat="1" x14ac:dyDescent="0.25">
      <c r="A35" s="212" t="s">
        <v>2097</v>
      </c>
      <c r="B35" s="64">
        <v>5.68</v>
      </c>
      <c r="C35" s="64">
        <v>6.74</v>
      </c>
      <c r="D35" s="64">
        <v>8.08</v>
      </c>
      <c r="E35" s="64">
        <v>3.5</v>
      </c>
      <c r="F35" s="64">
        <v>2.76</v>
      </c>
      <c r="G35" s="64">
        <v>5.28</v>
      </c>
      <c r="H35" s="64">
        <v>1.71</v>
      </c>
      <c r="I35" s="64">
        <v>1.23</v>
      </c>
      <c r="J35" s="64">
        <v>0.09</v>
      </c>
      <c r="K35" s="64">
        <v>311.89999999999998</v>
      </c>
      <c r="L35" s="64">
        <v>22.95</v>
      </c>
      <c r="M35" s="64">
        <v>98.15</v>
      </c>
      <c r="N35" s="64">
        <v>58.2</v>
      </c>
      <c r="O35" s="64">
        <v>0</v>
      </c>
      <c r="P35" s="64">
        <v>0.21</v>
      </c>
      <c r="Q35" s="64">
        <v>9.48</v>
      </c>
      <c r="R35" s="198"/>
      <c r="S35" s="198"/>
      <c r="T35" s="198"/>
      <c r="U35" s="198"/>
    </row>
    <row r="36" spans="1:21" s="12" customFormat="1" x14ac:dyDescent="0.25">
      <c r="A36" s="212" t="s">
        <v>2098</v>
      </c>
      <c r="B36" s="64">
        <v>5.76</v>
      </c>
      <c r="C36" s="64">
        <v>6.73</v>
      </c>
      <c r="D36" s="64">
        <v>8.14</v>
      </c>
      <c r="E36" s="64">
        <v>3.99</v>
      </c>
      <c r="F36" s="64">
        <v>2.94</v>
      </c>
      <c r="G36" s="64">
        <v>6.52</v>
      </c>
      <c r="H36" s="64">
        <v>1.59</v>
      </c>
      <c r="I36" s="64">
        <v>1.23</v>
      </c>
      <c r="J36" s="64">
        <v>0.11</v>
      </c>
      <c r="K36" s="64">
        <v>309.7</v>
      </c>
      <c r="L36" s="64">
        <v>22.9</v>
      </c>
      <c r="M36" s="64">
        <v>98.15</v>
      </c>
      <c r="N36" s="64">
        <v>58.4</v>
      </c>
      <c r="O36" s="64">
        <v>0</v>
      </c>
      <c r="P36" s="64">
        <v>0.2</v>
      </c>
      <c r="Q36" s="64">
        <v>9.48</v>
      </c>
      <c r="R36" s="198"/>
      <c r="S36" s="198"/>
      <c r="T36" s="198"/>
      <c r="U36" s="198"/>
    </row>
    <row r="37" spans="1:21" s="12" customFormat="1" x14ac:dyDescent="0.25">
      <c r="A37" s="212" t="s">
        <v>2099</v>
      </c>
      <c r="B37" s="64">
        <v>5.8</v>
      </c>
      <c r="C37" s="64">
        <v>6.67</v>
      </c>
      <c r="D37" s="64">
        <v>8.14</v>
      </c>
      <c r="E37" s="64">
        <v>4.1100000000000003</v>
      </c>
      <c r="F37" s="64">
        <v>2.56</v>
      </c>
      <c r="G37" s="64">
        <v>7.14</v>
      </c>
      <c r="H37" s="64">
        <v>1.53</v>
      </c>
      <c r="I37" s="64">
        <v>1.21</v>
      </c>
      <c r="J37" s="64">
        <v>0.13</v>
      </c>
      <c r="K37" s="64">
        <v>313.39</v>
      </c>
      <c r="L37" s="64">
        <v>22.86</v>
      </c>
      <c r="M37" s="64">
        <v>98.15</v>
      </c>
      <c r="N37" s="64">
        <v>62.2</v>
      </c>
      <c r="O37" s="64">
        <v>0</v>
      </c>
      <c r="P37" s="64">
        <v>0.2</v>
      </c>
      <c r="Q37" s="64">
        <v>9.4700000000000006</v>
      </c>
      <c r="R37" s="198"/>
      <c r="S37" s="198"/>
      <c r="T37" s="198"/>
      <c r="U37" s="198"/>
    </row>
    <row r="38" spans="1:21" s="12" customFormat="1" x14ac:dyDescent="0.25">
      <c r="A38" s="212" t="s">
        <v>2100</v>
      </c>
      <c r="B38" s="64">
        <v>6.1</v>
      </c>
      <c r="C38" s="64">
        <v>6.86</v>
      </c>
      <c r="D38" s="64">
        <v>8.48</v>
      </c>
      <c r="E38" s="64">
        <v>3.93</v>
      </c>
      <c r="F38" s="64">
        <v>2.2400000000000002</v>
      </c>
      <c r="G38" s="64">
        <v>7.14</v>
      </c>
      <c r="H38" s="64">
        <v>1.53</v>
      </c>
      <c r="I38" s="64">
        <v>1.18</v>
      </c>
      <c r="J38" s="64">
        <v>0.13</v>
      </c>
      <c r="K38" s="64">
        <v>317.58999999999997</v>
      </c>
      <c r="L38" s="64">
        <v>22.88</v>
      </c>
      <c r="M38" s="64">
        <v>98.15</v>
      </c>
      <c r="N38" s="64">
        <v>70.5</v>
      </c>
      <c r="O38" s="64">
        <v>0</v>
      </c>
      <c r="P38" s="64">
        <v>0.2</v>
      </c>
      <c r="Q38" s="64">
        <v>9.4600000000000009</v>
      </c>
      <c r="R38" s="198"/>
      <c r="S38" s="198"/>
      <c r="T38" s="198"/>
      <c r="U38" s="198"/>
    </row>
    <row r="39" spans="1:21" s="12" customFormat="1" x14ac:dyDescent="0.25">
      <c r="A39" s="212" t="s">
        <v>2101</v>
      </c>
      <c r="B39" s="64">
        <v>6.34</v>
      </c>
      <c r="C39" s="64">
        <v>6.6</v>
      </c>
      <c r="D39" s="64">
        <v>8.5299999999999994</v>
      </c>
      <c r="E39" s="64">
        <v>3.9</v>
      </c>
      <c r="F39" s="64">
        <v>2.33</v>
      </c>
      <c r="G39" s="64">
        <v>7.14</v>
      </c>
      <c r="H39" s="64">
        <v>1.53</v>
      </c>
      <c r="I39" s="64">
        <v>1.1499999999999999</v>
      </c>
      <c r="J39" s="64">
        <v>0.14000000000000001</v>
      </c>
      <c r="K39" s="64">
        <v>321.92</v>
      </c>
      <c r="L39" s="64">
        <v>22.98</v>
      </c>
      <c r="M39" s="64">
        <v>98.15</v>
      </c>
      <c r="N39" s="64">
        <v>91</v>
      </c>
      <c r="O39" s="64">
        <v>0</v>
      </c>
      <c r="P39" s="64">
        <v>0.22</v>
      </c>
      <c r="Q39" s="64">
        <v>9.4600000000000009</v>
      </c>
      <c r="R39" s="198"/>
      <c r="S39" s="198"/>
      <c r="T39" s="198"/>
      <c r="U39" s="198"/>
    </row>
    <row r="40" spans="1:21" s="12" customFormat="1" x14ac:dyDescent="0.25">
      <c r="A40" s="212" t="s">
        <v>2102</v>
      </c>
      <c r="B40" s="64">
        <v>6.37</v>
      </c>
      <c r="C40" s="64">
        <v>6.72</v>
      </c>
      <c r="D40" s="64">
        <v>8.6199999999999992</v>
      </c>
      <c r="E40" s="64">
        <v>5.0999999999999996</v>
      </c>
      <c r="F40" s="64">
        <v>2.4</v>
      </c>
      <c r="G40" s="64">
        <v>5.94</v>
      </c>
      <c r="H40" s="64">
        <v>1.41</v>
      </c>
      <c r="I40" s="64">
        <v>1.1299999999999999</v>
      </c>
      <c r="J40" s="64">
        <v>0.11</v>
      </c>
      <c r="K40" s="64">
        <v>332.85</v>
      </c>
      <c r="L40" s="64">
        <v>23.19</v>
      </c>
      <c r="M40" s="64">
        <v>98.15</v>
      </c>
      <c r="N40" s="64">
        <v>134.19999999999999</v>
      </c>
      <c r="O40" s="64">
        <v>0</v>
      </c>
      <c r="P40" s="64">
        <v>0.21</v>
      </c>
      <c r="Q40" s="64">
        <v>9.4600000000000009</v>
      </c>
      <c r="R40" s="198"/>
      <c r="S40" s="198"/>
      <c r="T40" s="198"/>
      <c r="U40" s="198"/>
    </row>
    <row r="41" spans="1:21" s="12" customFormat="1" x14ac:dyDescent="0.25">
      <c r="A41" s="212" t="s">
        <v>2103</v>
      </c>
      <c r="B41" s="64">
        <v>6.31</v>
      </c>
      <c r="C41" s="64">
        <v>6.85</v>
      </c>
      <c r="D41" s="64">
        <v>8.64</v>
      </c>
      <c r="E41" s="64">
        <v>4.9000000000000004</v>
      </c>
      <c r="F41" s="64">
        <v>2.87</v>
      </c>
      <c r="G41" s="64">
        <v>5.34</v>
      </c>
      <c r="H41" s="64">
        <v>1.36</v>
      </c>
      <c r="I41" s="64">
        <v>1.1000000000000001</v>
      </c>
      <c r="J41" s="64">
        <v>7.0000000000000007E-2</v>
      </c>
      <c r="K41" s="64">
        <v>308</v>
      </c>
      <c r="L41" s="64">
        <v>23.55</v>
      </c>
      <c r="M41" s="64">
        <v>98.15</v>
      </c>
      <c r="N41" s="64">
        <v>171.3</v>
      </c>
      <c r="O41" s="64">
        <v>0</v>
      </c>
      <c r="P41" s="64">
        <v>0.2</v>
      </c>
      <c r="Q41" s="64">
        <v>9.4600000000000009</v>
      </c>
      <c r="R41" s="198"/>
      <c r="S41" s="198"/>
      <c r="T41" s="198"/>
      <c r="U41" s="198"/>
    </row>
    <row r="42" spans="1:21" s="12" customFormat="1" x14ac:dyDescent="0.25">
      <c r="A42" s="212" t="s">
        <v>2104</v>
      </c>
      <c r="B42" s="64">
        <v>6.49</v>
      </c>
      <c r="C42" s="64">
        <v>6.74</v>
      </c>
      <c r="D42" s="64">
        <v>8.7200000000000006</v>
      </c>
      <c r="E42" s="64">
        <v>4.9000000000000004</v>
      </c>
      <c r="F42" s="64">
        <v>2.5299999999999998</v>
      </c>
      <c r="G42" s="64">
        <v>5.34</v>
      </c>
      <c r="H42" s="64">
        <v>1.36</v>
      </c>
      <c r="I42" s="64">
        <v>1.0900000000000001</v>
      </c>
      <c r="J42" s="64">
        <v>0.1</v>
      </c>
      <c r="K42" s="64">
        <v>303.13</v>
      </c>
      <c r="L42" s="64">
        <v>23.89</v>
      </c>
      <c r="M42" s="64">
        <v>98.13</v>
      </c>
      <c r="N42" s="64">
        <v>169</v>
      </c>
      <c r="O42" s="64">
        <v>0</v>
      </c>
      <c r="P42" s="64">
        <v>0.21</v>
      </c>
      <c r="Q42" s="64">
        <v>9.4499999999999993</v>
      </c>
      <c r="R42" s="198"/>
      <c r="S42" s="198"/>
      <c r="T42" s="198"/>
      <c r="U42" s="198"/>
    </row>
    <row r="43" spans="1:21" s="12" customFormat="1" x14ac:dyDescent="0.25">
      <c r="A43" s="212" t="s">
        <v>2105</v>
      </c>
      <c r="B43" s="64">
        <v>6.46</v>
      </c>
      <c r="C43" s="64">
        <v>6.85</v>
      </c>
      <c r="D43" s="64">
        <v>8.76</v>
      </c>
      <c r="E43" s="64">
        <v>4.8099999999999996</v>
      </c>
      <c r="F43" s="64">
        <v>3</v>
      </c>
      <c r="G43" s="64">
        <v>5.34</v>
      </c>
      <c r="H43" s="64">
        <v>1.36</v>
      </c>
      <c r="I43" s="64">
        <v>1.08</v>
      </c>
      <c r="J43" s="64">
        <v>7.0000000000000007E-2</v>
      </c>
      <c r="K43" s="64">
        <v>320.94</v>
      </c>
      <c r="L43" s="64">
        <v>24.02</v>
      </c>
      <c r="M43" s="64">
        <v>98.13</v>
      </c>
      <c r="N43" s="64">
        <v>188.4</v>
      </c>
      <c r="O43" s="64">
        <v>0</v>
      </c>
      <c r="P43" s="64">
        <v>0.21</v>
      </c>
      <c r="Q43" s="64">
        <v>9.4600000000000009</v>
      </c>
      <c r="R43" s="198"/>
      <c r="S43" s="198"/>
      <c r="T43" s="198"/>
      <c r="U43" s="198"/>
    </row>
    <row r="44" spans="1:21" s="12" customFormat="1" x14ac:dyDescent="0.25">
      <c r="A44" s="212" t="s">
        <v>2106</v>
      </c>
      <c r="B44" s="64">
        <v>6.63</v>
      </c>
      <c r="C44" s="64">
        <v>6.84</v>
      </c>
      <c r="D44" s="64">
        <v>8.89</v>
      </c>
      <c r="E44" s="64">
        <v>4.9800000000000004</v>
      </c>
      <c r="F44" s="64">
        <v>3.15</v>
      </c>
      <c r="G44" s="64">
        <v>4.8</v>
      </c>
      <c r="H44" s="64">
        <v>1.34</v>
      </c>
      <c r="I44" s="64">
        <v>1.07</v>
      </c>
      <c r="J44" s="64">
        <v>0.09</v>
      </c>
      <c r="K44" s="64">
        <v>250.9</v>
      </c>
      <c r="L44" s="64">
        <v>24.34</v>
      </c>
      <c r="M44" s="64">
        <v>98.11</v>
      </c>
      <c r="N44" s="64">
        <v>218</v>
      </c>
      <c r="O44" s="64">
        <v>0</v>
      </c>
      <c r="P44" s="64">
        <v>0.2</v>
      </c>
      <c r="Q44" s="64">
        <v>9.4499999999999993</v>
      </c>
      <c r="R44" s="198"/>
      <c r="S44" s="198"/>
      <c r="T44" s="198"/>
      <c r="U44" s="198"/>
    </row>
    <row r="45" spans="1:21" s="12" customFormat="1" x14ac:dyDescent="0.25">
      <c r="A45" s="212" t="s">
        <v>2107</v>
      </c>
      <c r="B45" s="64">
        <v>7.34</v>
      </c>
      <c r="C45" s="64">
        <v>7.47</v>
      </c>
      <c r="D45" s="64">
        <v>9.7899999999999991</v>
      </c>
      <c r="E45" s="64">
        <v>5.08</v>
      </c>
      <c r="F45" s="64">
        <v>2.37</v>
      </c>
      <c r="G45" s="64">
        <v>4.53</v>
      </c>
      <c r="H45" s="64">
        <v>1.33</v>
      </c>
      <c r="I45" s="64">
        <v>1.06</v>
      </c>
      <c r="J45" s="64">
        <v>0.1</v>
      </c>
      <c r="K45" s="64">
        <v>309.58</v>
      </c>
      <c r="L45" s="64">
        <v>24.67</v>
      </c>
      <c r="M45" s="64">
        <v>98.08</v>
      </c>
      <c r="N45" s="64">
        <v>269.39999999999998</v>
      </c>
      <c r="O45" s="64">
        <v>0</v>
      </c>
      <c r="P45" s="64">
        <v>0.21</v>
      </c>
      <c r="Q45" s="64">
        <v>9.4600000000000009</v>
      </c>
      <c r="R45" s="198"/>
      <c r="S45" s="198"/>
      <c r="T45" s="198"/>
      <c r="U45" s="198"/>
    </row>
    <row r="46" spans="1:21" s="12" customFormat="1" x14ac:dyDescent="0.25">
      <c r="A46" s="212" t="s">
        <v>2108</v>
      </c>
      <c r="B46" s="64">
        <v>6.89</v>
      </c>
      <c r="C46" s="64">
        <v>6.99</v>
      </c>
      <c r="D46" s="64">
        <v>9.18</v>
      </c>
      <c r="E46" s="64">
        <v>4.8499999999999996</v>
      </c>
      <c r="F46" s="64">
        <v>3.25</v>
      </c>
      <c r="G46" s="64">
        <v>4.53</v>
      </c>
      <c r="H46" s="64">
        <v>1.33</v>
      </c>
      <c r="I46" s="64">
        <v>1.06</v>
      </c>
      <c r="J46" s="64">
        <v>0.12</v>
      </c>
      <c r="K46" s="64">
        <v>308.72000000000003</v>
      </c>
      <c r="L46" s="64">
        <v>24.57</v>
      </c>
      <c r="M46" s="64">
        <v>98.08</v>
      </c>
      <c r="N46" s="64">
        <v>139.19999999999999</v>
      </c>
      <c r="O46" s="64">
        <v>0</v>
      </c>
      <c r="P46" s="64">
        <v>0.21</v>
      </c>
      <c r="Q46" s="64">
        <v>9.4600000000000009</v>
      </c>
      <c r="R46" s="198"/>
      <c r="S46" s="198"/>
      <c r="T46" s="198"/>
      <c r="U46" s="198"/>
    </row>
    <row r="47" spans="1:21" s="12" customFormat="1" x14ac:dyDescent="0.25">
      <c r="A47" s="212" t="s">
        <v>2109</v>
      </c>
      <c r="B47" s="64">
        <v>9.4</v>
      </c>
      <c r="C47" s="64">
        <v>8.85</v>
      </c>
      <c r="D47" s="64">
        <v>12.16</v>
      </c>
      <c r="E47" s="64">
        <v>4.8499999999999996</v>
      </c>
      <c r="F47" s="64">
        <v>3.72</v>
      </c>
      <c r="G47" s="64">
        <v>4.53</v>
      </c>
      <c r="H47" s="64">
        <v>1.33</v>
      </c>
      <c r="I47" s="64">
        <v>1.04</v>
      </c>
      <c r="J47" s="64">
        <v>0.1</v>
      </c>
      <c r="K47" s="64">
        <v>313.24</v>
      </c>
      <c r="L47" s="64">
        <v>24.68</v>
      </c>
      <c r="M47" s="64">
        <v>98.08</v>
      </c>
      <c r="N47" s="64">
        <v>152.4</v>
      </c>
      <c r="O47" s="64">
        <v>0</v>
      </c>
      <c r="P47" s="64">
        <v>0.28999999999999998</v>
      </c>
      <c r="Q47" s="64">
        <v>9.49</v>
      </c>
      <c r="R47" s="198"/>
      <c r="S47" s="198"/>
      <c r="T47" s="198"/>
      <c r="U47" s="198"/>
    </row>
    <row r="48" spans="1:21" s="12" customFormat="1" x14ac:dyDescent="0.25">
      <c r="A48" s="212" t="s">
        <v>2110</v>
      </c>
      <c r="B48" s="64">
        <v>10.35</v>
      </c>
      <c r="C48" s="64">
        <v>7.79</v>
      </c>
      <c r="D48" s="64">
        <v>12.37</v>
      </c>
      <c r="E48" s="64">
        <v>5.31</v>
      </c>
      <c r="F48" s="64">
        <v>4.2300000000000004</v>
      </c>
      <c r="G48" s="64">
        <v>5.18</v>
      </c>
      <c r="H48" s="64">
        <v>1.19</v>
      </c>
      <c r="I48" s="64">
        <v>1.04</v>
      </c>
      <c r="J48" s="64">
        <v>0.11</v>
      </c>
      <c r="K48" s="64">
        <v>287.18</v>
      </c>
      <c r="L48" s="64">
        <v>24.81</v>
      </c>
      <c r="M48" s="64">
        <v>98.08</v>
      </c>
      <c r="N48" s="64">
        <v>105.4</v>
      </c>
      <c r="O48" s="64">
        <v>0</v>
      </c>
      <c r="P48" s="64">
        <v>0.32</v>
      </c>
      <c r="Q48" s="64">
        <v>9.51</v>
      </c>
      <c r="R48" s="198"/>
      <c r="S48" s="198"/>
      <c r="T48" s="198"/>
      <c r="U48" s="198"/>
    </row>
    <row r="49" spans="1:21" s="12" customFormat="1" x14ac:dyDescent="0.25">
      <c r="A49" s="212" t="s">
        <v>2111</v>
      </c>
      <c r="B49" s="64">
        <v>8.17</v>
      </c>
      <c r="C49" s="64">
        <v>7.4</v>
      </c>
      <c r="D49" s="64">
        <v>10.42</v>
      </c>
      <c r="E49" s="64">
        <v>5.24</v>
      </c>
      <c r="F49" s="64">
        <v>3.72</v>
      </c>
      <c r="G49" s="64">
        <v>5.5</v>
      </c>
      <c r="H49" s="64">
        <v>1.1299999999999999</v>
      </c>
      <c r="I49" s="64">
        <v>1.06</v>
      </c>
      <c r="J49" s="64">
        <v>0.08</v>
      </c>
      <c r="K49" s="64">
        <v>303.31</v>
      </c>
      <c r="L49" s="64">
        <v>24.4</v>
      </c>
      <c r="M49" s="64">
        <v>98.1</v>
      </c>
      <c r="N49" s="64">
        <v>171.7</v>
      </c>
      <c r="O49" s="64">
        <v>0</v>
      </c>
      <c r="P49" s="64">
        <v>0.25</v>
      </c>
      <c r="Q49" s="64">
        <v>9.5299999999999994</v>
      </c>
      <c r="R49" s="198"/>
      <c r="S49" s="198"/>
      <c r="T49" s="198"/>
      <c r="U49" s="198"/>
    </row>
    <row r="50" spans="1:21" s="12" customFormat="1" x14ac:dyDescent="0.25">
      <c r="A50" s="212" t="s">
        <v>2112</v>
      </c>
      <c r="B50" s="64">
        <v>8.1999999999999993</v>
      </c>
      <c r="C50" s="64">
        <v>7.14</v>
      </c>
      <c r="D50" s="64">
        <v>10.3</v>
      </c>
      <c r="E50" s="64">
        <v>4.9800000000000004</v>
      </c>
      <c r="F50" s="64">
        <v>2.76</v>
      </c>
      <c r="G50" s="64">
        <v>5.5</v>
      </c>
      <c r="H50" s="64">
        <v>1.1299999999999999</v>
      </c>
      <c r="I50" s="64">
        <v>1.0900000000000001</v>
      </c>
      <c r="J50" s="64">
        <v>0.1</v>
      </c>
      <c r="K50" s="64">
        <v>260.57</v>
      </c>
      <c r="L50" s="64">
        <v>24.67</v>
      </c>
      <c r="M50" s="64">
        <v>98.07</v>
      </c>
      <c r="N50" s="64">
        <v>155.5</v>
      </c>
      <c r="O50" s="64">
        <v>0</v>
      </c>
      <c r="P50" s="64">
        <v>0.26</v>
      </c>
      <c r="Q50" s="64">
        <v>9.5500000000000007</v>
      </c>
      <c r="R50" s="198"/>
      <c r="S50" s="198"/>
      <c r="T50" s="198"/>
      <c r="U50" s="198"/>
    </row>
    <row r="51" spans="1:21" s="12" customFormat="1" x14ac:dyDescent="0.25">
      <c r="A51" s="212" t="s">
        <v>2113</v>
      </c>
      <c r="B51" s="64">
        <v>7.61</v>
      </c>
      <c r="C51" s="64">
        <v>6.89</v>
      </c>
      <c r="D51" s="64">
        <v>9.6999999999999993</v>
      </c>
      <c r="E51" s="64">
        <v>5.24</v>
      </c>
      <c r="F51" s="64">
        <v>2.9</v>
      </c>
      <c r="G51" s="64">
        <v>5.5</v>
      </c>
      <c r="H51" s="64">
        <v>1.1299999999999999</v>
      </c>
      <c r="I51" s="64">
        <v>1.1200000000000001</v>
      </c>
      <c r="J51" s="64">
        <v>0.11</v>
      </c>
      <c r="K51" s="64">
        <v>272.36</v>
      </c>
      <c r="L51" s="64">
        <v>24.69</v>
      </c>
      <c r="M51" s="64">
        <v>98.04</v>
      </c>
      <c r="N51" s="64">
        <v>178.7</v>
      </c>
      <c r="O51" s="64">
        <v>0</v>
      </c>
      <c r="P51" s="64">
        <v>0.22</v>
      </c>
      <c r="Q51" s="64">
        <v>9.5500000000000007</v>
      </c>
      <c r="R51" s="198"/>
      <c r="S51" s="198"/>
      <c r="T51" s="198"/>
      <c r="U51" s="198"/>
    </row>
    <row r="52" spans="1:21" s="12" customFormat="1" x14ac:dyDescent="0.25">
      <c r="A52" s="212" t="s">
        <v>2114</v>
      </c>
      <c r="B52" s="64">
        <v>6.71</v>
      </c>
      <c r="C52" s="64">
        <v>7.72</v>
      </c>
      <c r="D52" s="64">
        <v>9.41</v>
      </c>
      <c r="E52" s="64">
        <v>5.31</v>
      </c>
      <c r="F52" s="64">
        <v>5.31</v>
      </c>
      <c r="G52" s="64">
        <v>4.58</v>
      </c>
      <c r="H52" s="64">
        <v>1.02</v>
      </c>
      <c r="I52" s="64">
        <v>1.1200000000000001</v>
      </c>
      <c r="J52" s="64">
        <v>0.15</v>
      </c>
      <c r="K52" s="64">
        <v>300.43</v>
      </c>
      <c r="L52" s="64">
        <v>25.07</v>
      </c>
      <c r="M52" s="64">
        <v>98.04</v>
      </c>
      <c r="N52" s="64">
        <v>231.5</v>
      </c>
      <c r="O52" s="64">
        <v>0</v>
      </c>
      <c r="P52" s="64">
        <v>0.21</v>
      </c>
      <c r="Q52" s="64">
        <v>9.5299999999999994</v>
      </c>
      <c r="R52" s="198"/>
      <c r="S52" s="198"/>
      <c r="T52" s="198"/>
      <c r="U52" s="198"/>
    </row>
    <row r="53" spans="1:21" s="12" customFormat="1" x14ac:dyDescent="0.25">
      <c r="A53" s="212" t="s">
        <v>2115</v>
      </c>
      <c r="B53" s="64">
        <v>9.3000000000000007</v>
      </c>
      <c r="C53" s="64">
        <v>9.85</v>
      </c>
      <c r="D53" s="64">
        <v>12.61</v>
      </c>
      <c r="E53" s="64">
        <v>5.0199999999999996</v>
      </c>
      <c r="F53" s="64">
        <v>4.0599999999999996</v>
      </c>
      <c r="G53" s="64">
        <v>4.12</v>
      </c>
      <c r="H53" s="64">
        <v>0.97</v>
      </c>
      <c r="I53" s="64">
        <v>1.03</v>
      </c>
      <c r="J53" s="64">
        <v>0.11</v>
      </c>
      <c r="K53" s="64">
        <v>270.05</v>
      </c>
      <c r="L53" s="64">
        <v>25.48</v>
      </c>
      <c r="M53" s="64">
        <v>98.03</v>
      </c>
      <c r="N53" s="64">
        <v>338.3</v>
      </c>
      <c r="O53" s="64">
        <v>0</v>
      </c>
      <c r="P53" s="64">
        <v>0.23</v>
      </c>
      <c r="Q53" s="64">
        <v>9.51</v>
      </c>
      <c r="R53" s="198"/>
      <c r="S53" s="198"/>
      <c r="T53" s="198"/>
      <c r="U53" s="198"/>
    </row>
    <row r="54" spans="1:21" s="12" customFormat="1" x14ac:dyDescent="0.25">
      <c r="A54" s="212" t="s">
        <v>2116</v>
      </c>
      <c r="B54" s="64">
        <v>6.75</v>
      </c>
      <c r="C54" s="64">
        <v>8.49</v>
      </c>
      <c r="D54" s="64">
        <v>9.85</v>
      </c>
      <c r="E54" s="64">
        <v>5.14</v>
      </c>
      <c r="F54" s="64">
        <v>3.37</v>
      </c>
      <c r="G54" s="64">
        <v>4.12</v>
      </c>
      <c r="H54" s="64">
        <v>0.97</v>
      </c>
      <c r="I54" s="64">
        <v>0.96</v>
      </c>
      <c r="J54" s="64">
        <v>0.09</v>
      </c>
      <c r="K54" s="64">
        <v>235.71</v>
      </c>
      <c r="L54" s="64">
        <v>26.02</v>
      </c>
      <c r="M54" s="64">
        <v>97.99</v>
      </c>
      <c r="N54" s="64">
        <v>394.7</v>
      </c>
      <c r="O54" s="64">
        <v>0</v>
      </c>
      <c r="P54" s="64">
        <v>0.19</v>
      </c>
      <c r="Q54" s="64">
        <v>9.5</v>
      </c>
      <c r="R54" s="198"/>
      <c r="S54" s="198"/>
      <c r="T54" s="198"/>
      <c r="U54" s="198"/>
    </row>
    <row r="55" spans="1:21" s="12" customFormat="1" x14ac:dyDescent="0.25">
      <c r="A55" s="212" t="s">
        <v>2117</v>
      </c>
      <c r="B55" s="64">
        <v>6.25</v>
      </c>
      <c r="C55" s="64">
        <v>8.14</v>
      </c>
      <c r="D55" s="64">
        <v>9.26</v>
      </c>
      <c r="E55" s="64">
        <v>5.0999999999999996</v>
      </c>
      <c r="F55" s="64">
        <v>3.93</v>
      </c>
      <c r="G55" s="64">
        <v>4.12</v>
      </c>
      <c r="H55" s="64">
        <v>0.97</v>
      </c>
      <c r="I55" s="64">
        <v>0.96</v>
      </c>
      <c r="J55" s="64">
        <v>7.0000000000000007E-2</v>
      </c>
      <c r="K55" s="64">
        <v>262.95999999999998</v>
      </c>
      <c r="L55" s="64">
        <v>26.38</v>
      </c>
      <c r="M55" s="64">
        <v>97.98</v>
      </c>
      <c r="N55" s="64">
        <v>478.4</v>
      </c>
      <c r="O55" s="64">
        <v>0.2</v>
      </c>
      <c r="P55" s="64">
        <v>0.19</v>
      </c>
      <c r="Q55" s="64">
        <v>9.48</v>
      </c>
      <c r="R55" s="198"/>
      <c r="S55" s="198"/>
      <c r="T55" s="198"/>
      <c r="U55" s="198"/>
    </row>
    <row r="56" spans="1:21" s="12" customFormat="1" x14ac:dyDescent="0.25">
      <c r="A56" s="212" t="s">
        <v>2118</v>
      </c>
      <c r="B56" s="64">
        <v>6.14</v>
      </c>
      <c r="C56" s="64">
        <v>7.92</v>
      </c>
      <c r="D56" s="64">
        <v>9.06</v>
      </c>
      <c r="E56" s="64">
        <v>5.1100000000000003</v>
      </c>
      <c r="F56" s="64">
        <v>2.86</v>
      </c>
      <c r="G56" s="64">
        <v>3.7</v>
      </c>
      <c r="H56" s="64">
        <v>0.9</v>
      </c>
      <c r="I56" s="64">
        <v>0.95</v>
      </c>
      <c r="J56" s="64">
        <v>0.09</v>
      </c>
      <c r="K56" s="64">
        <v>300.43</v>
      </c>
      <c r="L56" s="64">
        <v>26.65</v>
      </c>
      <c r="M56" s="64">
        <v>97.96</v>
      </c>
      <c r="N56" s="64">
        <v>383.9</v>
      </c>
      <c r="O56" s="64">
        <v>0</v>
      </c>
      <c r="P56" s="64">
        <v>0.18</v>
      </c>
      <c r="Q56" s="64">
        <v>9.48</v>
      </c>
      <c r="R56" s="198"/>
      <c r="S56" s="198"/>
      <c r="T56" s="198"/>
      <c r="U56" s="198"/>
    </row>
    <row r="57" spans="1:21" s="12" customFormat="1" x14ac:dyDescent="0.25">
      <c r="A57" s="212" t="s">
        <v>2119</v>
      </c>
      <c r="B57" s="64">
        <v>6.32</v>
      </c>
      <c r="C57" s="64">
        <v>8.41</v>
      </c>
      <c r="D57" s="64">
        <v>9.4600000000000009</v>
      </c>
      <c r="E57" s="64">
        <v>4.9400000000000004</v>
      </c>
      <c r="F57" s="64">
        <v>3.22</v>
      </c>
      <c r="G57" s="64">
        <v>3.48</v>
      </c>
      <c r="H57" s="64">
        <v>0.86</v>
      </c>
      <c r="I57" s="64">
        <v>0.94</v>
      </c>
      <c r="J57" s="64">
        <v>0.16</v>
      </c>
      <c r="K57" s="64">
        <v>284.67</v>
      </c>
      <c r="L57" s="64">
        <v>27.05</v>
      </c>
      <c r="M57" s="64">
        <v>97.94</v>
      </c>
      <c r="N57" s="64">
        <v>546.6</v>
      </c>
      <c r="O57" s="64">
        <v>0</v>
      </c>
      <c r="P57" s="64">
        <v>0.18</v>
      </c>
      <c r="Q57" s="64">
        <v>9.4600000000000009</v>
      </c>
      <c r="R57" s="198"/>
      <c r="S57" s="198"/>
      <c r="T57" s="198"/>
      <c r="U57" s="198"/>
    </row>
    <row r="58" spans="1:21" s="12" customFormat="1" x14ac:dyDescent="0.25">
      <c r="A58" s="212" t="s">
        <v>2120</v>
      </c>
      <c r="B58" s="64">
        <v>6.44</v>
      </c>
      <c r="C58" s="64">
        <v>9.5399999999999991</v>
      </c>
      <c r="D58" s="64">
        <v>10.15</v>
      </c>
      <c r="E58" s="64">
        <v>4.92</v>
      </c>
      <c r="F58" s="64">
        <v>3.23</v>
      </c>
      <c r="G58" s="64">
        <v>3.48</v>
      </c>
      <c r="H58" s="64">
        <v>0.86</v>
      </c>
      <c r="I58" s="64">
        <v>0.93</v>
      </c>
      <c r="J58" s="64">
        <v>0.12</v>
      </c>
      <c r="K58" s="64">
        <v>257.33</v>
      </c>
      <c r="L58" s="64">
        <v>26.28</v>
      </c>
      <c r="M58" s="64">
        <v>97.97</v>
      </c>
      <c r="N58" s="64">
        <v>210.5</v>
      </c>
      <c r="O58" s="64">
        <v>0</v>
      </c>
      <c r="P58" s="64">
        <v>0.16</v>
      </c>
      <c r="Q58" s="64">
        <v>9.4600000000000009</v>
      </c>
      <c r="R58" s="198"/>
      <c r="S58" s="198"/>
      <c r="T58" s="198"/>
      <c r="U58" s="198"/>
    </row>
    <row r="59" spans="1:21" s="12" customFormat="1" x14ac:dyDescent="0.25">
      <c r="A59" s="212" t="s">
        <v>2121</v>
      </c>
      <c r="B59" s="64">
        <v>5.64</v>
      </c>
      <c r="C59" s="64">
        <v>9.25</v>
      </c>
      <c r="D59" s="64">
        <v>9.35</v>
      </c>
      <c r="E59" s="64">
        <v>5.0599999999999996</v>
      </c>
      <c r="F59" s="64">
        <v>3.12</v>
      </c>
      <c r="G59" s="64">
        <v>3.48</v>
      </c>
      <c r="H59" s="64">
        <v>0.86</v>
      </c>
      <c r="I59" s="64">
        <v>0.88</v>
      </c>
      <c r="J59" s="64">
        <v>0.12</v>
      </c>
      <c r="K59" s="64">
        <v>276.8</v>
      </c>
      <c r="L59" s="64">
        <v>26.43</v>
      </c>
      <c r="M59" s="64">
        <v>97.96</v>
      </c>
      <c r="N59" s="64">
        <v>397.1</v>
      </c>
      <c r="O59" s="64">
        <v>0</v>
      </c>
      <c r="P59" s="64">
        <v>0.15</v>
      </c>
      <c r="Q59" s="64">
        <v>9.4600000000000009</v>
      </c>
      <c r="R59" s="198"/>
      <c r="S59" s="198"/>
      <c r="T59" s="198"/>
      <c r="U59" s="198"/>
    </row>
    <row r="60" spans="1:21" s="12" customFormat="1" x14ac:dyDescent="0.25">
      <c r="A60" s="212" t="s">
        <v>2122</v>
      </c>
      <c r="B60" s="64">
        <v>4.9400000000000004</v>
      </c>
      <c r="C60" s="64">
        <v>9.82</v>
      </c>
      <c r="D60" s="64">
        <v>9.09</v>
      </c>
      <c r="E60" s="64">
        <v>4.93</v>
      </c>
      <c r="F60" s="64">
        <v>3.55</v>
      </c>
      <c r="G60" s="64">
        <v>5.0199999999999996</v>
      </c>
      <c r="H60" s="64">
        <v>0.8</v>
      </c>
      <c r="I60" s="64">
        <v>0.83</v>
      </c>
      <c r="J60" s="64">
        <v>0.13</v>
      </c>
      <c r="K60" s="64">
        <v>293.72000000000003</v>
      </c>
      <c r="L60" s="64">
        <v>26.38</v>
      </c>
      <c r="M60" s="64">
        <v>97.96</v>
      </c>
      <c r="N60" s="64">
        <v>183.1</v>
      </c>
      <c r="O60" s="64">
        <v>0</v>
      </c>
      <c r="P60" s="64">
        <v>0.14000000000000001</v>
      </c>
      <c r="Q60" s="64">
        <v>9.43</v>
      </c>
      <c r="R60" s="198"/>
      <c r="S60" s="198"/>
      <c r="T60" s="198"/>
      <c r="U60" s="198"/>
    </row>
    <row r="61" spans="1:21" s="12" customFormat="1" x14ac:dyDescent="0.25">
      <c r="A61" s="212" t="s">
        <v>2123</v>
      </c>
      <c r="B61" s="64">
        <v>4.5999999999999996</v>
      </c>
      <c r="C61" s="64">
        <v>9.5399999999999991</v>
      </c>
      <c r="D61" s="64">
        <v>8.67</v>
      </c>
      <c r="E61" s="64">
        <v>4.88</v>
      </c>
      <c r="F61" s="64">
        <v>2.68</v>
      </c>
      <c r="G61" s="64">
        <v>5.79</v>
      </c>
      <c r="H61" s="64">
        <v>0.78</v>
      </c>
      <c r="I61" s="64">
        <v>0.73</v>
      </c>
      <c r="J61" s="64">
        <v>0.14000000000000001</v>
      </c>
      <c r="K61" s="64">
        <v>278.97000000000003</v>
      </c>
      <c r="L61" s="64">
        <v>25.77</v>
      </c>
      <c r="M61" s="64">
        <v>97.98</v>
      </c>
      <c r="N61" s="64">
        <v>159.30000000000001</v>
      </c>
      <c r="O61" s="64">
        <v>0</v>
      </c>
      <c r="P61" s="64">
        <v>0.22</v>
      </c>
      <c r="Q61" s="64">
        <v>9.4</v>
      </c>
      <c r="R61" s="198"/>
      <c r="S61" s="198"/>
      <c r="T61" s="198"/>
      <c r="U61" s="198"/>
    </row>
    <row r="62" spans="1:21" s="12" customFormat="1" x14ac:dyDescent="0.25">
      <c r="A62" s="212" t="s">
        <v>2124</v>
      </c>
      <c r="B62" s="64">
        <v>5.24</v>
      </c>
      <c r="C62" s="64">
        <v>9.41</v>
      </c>
      <c r="D62" s="64">
        <v>9.1199999999999992</v>
      </c>
      <c r="E62" s="64">
        <v>4.71</v>
      </c>
      <c r="F62" s="64">
        <v>4.5999999999999996</v>
      </c>
      <c r="G62" s="64">
        <v>5.79</v>
      </c>
      <c r="H62" s="64">
        <v>0.78</v>
      </c>
      <c r="I62" s="64">
        <v>0.7</v>
      </c>
      <c r="J62" s="64">
        <v>0.14000000000000001</v>
      </c>
      <c r="K62" s="64">
        <v>279.82</v>
      </c>
      <c r="L62" s="64">
        <v>26.01</v>
      </c>
      <c r="M62" s="64">
        <v>97.98</v>
      </c>
      <c r="N62" s="64">
        <v>252.4</v>
      </c>
      <c r="O62" s="64">
        <v>0</v>
      </c>
      <c r="P62" s="64">
        <v>0.24</v>
      </c>
      <c r="Q62" s="64">
        <v>9.42</v>
      </c>
      <c r="R62" s="198"/>
      <c r="S62" s="198"/>
      <c r="T62" s="198"/>
      <c r="U62" s="198"/>
    </row>
    <row r="63" spans="1:21" s="12" customFormat="1" x14ac:dyDescent="0.25">
      <c r="A63" s="212" t="s">
        <v>2125</v>
      </c>
      <c r="B63" s="64">
        <v>5.55</v>
      </c>
      <c r="C63" s="64">
        <v>8.9499999999999993</v>
      </c>
      <c r="D63" s="64">
        <v>9.1300000000000008</v>
      </c>
      <c r="E63" s="64">
        <v>5.33</v>
      </c>
      <c r="F63" s="64">
        <v>7.59</v>
      </c>
      <c r="G63" s="64">
        <v>5.79</v>
      </c>
      <c r="H63" s="64">
        <v>0.78</v>
      </c>
      <c r="I63" s="64">
        <v>0.74</v>
      </c>
      <c r="J63" s="64">
        <v>0.09</v>
      </c>
      <c r="K63" s="64">
        <v>267.45</v>
      </c>
      <c r="L63" s="64">
        <v>26.28</v>
      </c>
      <c r="M63" s="64">
        <v>97.97</v>
      </c>
      <c r="N63" s="64">
        <v>321.10000000000002</v>
      </c>
      <c r="O63" s="64">
        <v>0</v>
      </c>
      <c r="P63" s="64">
        <v>0.23</v>
      </c>
      <c r="Q63" s="64">
        <v>9.44</v>
      </c>
      <c r="R63" s="198"/>
      <c r="S63" s="198"/>
      <c r="T63" s="198"/>
      <c r="U63" s="198"/>
    </row>
    <row r="64" spans="1:21" s="12" customFormat="1" x14ac:dyDescent="0.25">
      <c r="A64" s="212" t="s">
        <v>2126</v>
      </c>
      <c r="B64" s="64">
        <v>5.87</v>
      </c>
      <c r="C64" s="64">
        <v>8.41</v>
      </c>
      <c r="D64" s="64">
        <v>9.1</v>
      </c>
      <c r="E64" s="64">
        <v>5.09</v>
      </c>
      <c r="F64" s="64">
        <v>4.83</v>
      </c>
      <c r="G64" s="64">
        <v>8.5399999999999991</v>
      </c>
      <c r="H64" s="64">
        <v>0.85</v>
      </c>
      <c r="I64" s="64">
        <v>0.68</v>
      </c>
      <c r="J64" s="64">
        <v>0.12</v>
      </c>
      <c r="K64" s="64">
        <v>289.83</v>
      </c>
      <c r="L64" s="64">
        <v>26.45</v>
      </c>
      <c r="M64" s="64">
        <v>97.97</v>
      </c>
      <c r="N64" s="64">
        <v>249.9</v>
      </c>
      <c r="O64" s="64">
        <v>0</v>
      </c>
      <c r="P64" s="64">
        <v>0.24</v>
      </c>
      <c r="Q64" s="64">
        <v>9.43</v>
      </c>
      <c r="R64" s="198"/>
      <c r="S64" s="198"/>
      <c r="T64" s="198"/>
      <c r="U64" s="198"/>
    </row>
    <row r="65" spans="1:21" s="12" customFormat="1" x14ac:dyDescent="0.25">
      <c r="A65" s="212" t="s">
        <v>2127</v>
      </c>
      <c r="B65" s="64">
        <v>5.46</v>
      </c>
      <c r="C65" s="64">
        <v>8.39</v>
      </c>
      <c r="D65" s="64">
        <v>8.76</v>
      </c>
      <c r="E65" s="64">
        <v>5.0199999999999996</v>
      </c>
      <c r="F65" s="64">
        <v>2.52</v>
      </c>
      <c r="G65" s="64">
        <v>9.92</v>
      </c>
      <c r="H65" s="64">
        <v>0.88</v>
      </c>
      <c r="I65" s="64">
        <v>0.67</v>
      </c>
      <c r="J65" s="64">
        <v>0.16</v>
      </c>
      <c r="K65" s="64">
        <v>277.64999999999998</v>
      </c>
      <c r="L65" s="64">
        <v>26.39</v>
      </c>
      <c r="M65" s="64">
        <v>97.97</v>
      </c>
      <c r="N65" s="64">
        <v>295</v>
      </c>
      <c r="O65" s="64">
        <v>0</v>
      </c>
      <c r="P65" s="64">
        <v>0.22</v>
      </c>
      <c r="Q65" s="64">
        <v>9.4499999999999993</v>
      </c>
      <c r="R65" s="198"/>
      <c r="S65" s="198"/>
      <c r="T65" s="198"/>
      <c r="U65" s="198"/>
    </row>
    <row r="66" spans="1:21" s="12" customFormat="1" x14ac:dyDescent="0.25">
      <c r="A66" s="212" t="s">
        <v>2128</v>
      </c>
      <c r="B66" s="64">
        <v>5.37</v>
      </c>
      <c r="C66" s="64">
        <v>8.2100000000000009</v>
      </c>
      <c r="D66" s="64">
        <v>8.6</v>
      </c>
      <c r="E66" s="64">
        <v>4.6900000000000004</v>
      </c>
      <c r="F66" s="64">
        <v>3.14</v>
      </c>
      <c r="G66" s="64">
        <v>9.92</v>
      </c>
      <c r="H66" s="64">
        <v>0.88</v>
      </c>
      <c r="I66" s="64">
        <v>0.7</v>
      </c>
      <c r="J66" s="64">
        <v>0.19</v>
      </c>
      <c r="K66" s="64">
        <v>287.72000000000003</v>
      </c>
      <c r="L66" s="64">
        <v>26.42</v>
      </c>
      <c r="M66" s="64">
        <v>97.96</v>
      </c>
      <c r="N66" s="64">
        <v>296.89999999999998</v>
      </c>
      <c r="O66" s="64">
        <v>0</v>
      </c>
      <c r="P66" s="64">
        <v>0.22</v>
      </c>
      <c r="Q66" s="64">
        <v>9.4600000000000009</v>
      </c>
      <c r="R66" s="198"/>
      <c r="S66" s="198"/>
      <c r="T66" s="198"/>
      <c r="U66" s="198"/>
    </row>
    <row r="67" spans="1:21" s="12" customFormat="1" x14ac:dyDescent="0.25">
      <c r="A67" s="212" t="s">
        <v>2129</v>
      </c>
      <c r="B67" s="64">
        <v>5.26</v>
      </c>
      <c r="C67" s="64">
        <v>8.36</v>
      </c>
      <c r="D67" s="64">
        <v>8.59</v>
      </c>
      <c r="E67" s="64">
        <v>5.0599999999999996</v>
      </c>
      <c r="F67" s="64">
        <v>3.51</v>
      </c>
      <c r="G67" s="64">
        <v>9.92</v>
      </c>
      <c r="H67" s="64">
        <v>0.88</v>
      </c>
      <c r="I67" s="64">
        <v>0.68</v>
      </c>
      <c r="J67" s="64">
        <v>0.09</v>
      </c>
      <c r="K67" s="64">
        <v>257.82</v>
      </c>
      <c r="L67" s="64">
        <v>26.81</v>
      </c>
      <c r="M67" s="64">
        <v>97.94</v>
      </c>
      <c r="N67" s="64">
        <v>267.8</v>
      </c>
      <c r="O67" s="64">
        <v>0</v>
      </c>
      <c r="P67" s="64">
        <v>0.23</v>
      </c>
      <c r="Q67" s="64">
        <v>9.4600000000000009</v>
      </c>
      <c r="R67" s="198"/>
      <c r="S67" s="198"/>
      <c r="T67" s="198"/>
      <c r="U67" s="198"/>
    </row>
    <row r="68" spans="1:21" s="12" customFormat="1" x14ac:dyDescent="0.25">
      <c r="A68" s="212" t="s">
        <v>2130</v>
      </c>
      <c r="B68" s="64">
        <v>5.0599999999999996</v>
      </c>
      <c r="C68" s="64">
        <v>8.1999999999999993</v>
      </c>
      <c r="D68" s="64">
        <v>8.34</v>
      </c>
      <c r="E68" s="64">
        <v>5</v>
      </c>
      <c r="F68" s="64">
        <v>2.87</v>
      </c>
      <c r="G68" s="64">
        <v>8.25</v>
      </c>
      <c r="H68" s="64">
        <v>1.29</v>
      </c>
      <c r="I68" s="64">
        <v>0.68</v>
      </c>
      <c r="J68" s="64">
        <v>0.11</v>
      </c>
      <c r="K68" s="64">
        <v>247.13</v>
      </c>
      <c r="L68" s="64">
        <v>26.44</v>
      </c>
      <c r="M68" s="64">
        <v>97.95</v>
      </c>
      <c r="N68" s="64">
        <v>227</v>
      </c>
      <c r="O68" s="64">
        <v>0</v>
      </c>
      <c r="P68" s="64">
        <v>0.22</v>
      </c>
      <c r="Q68" s="64">
        <v>9.4600000000000009</v>
      </c>
      <c r="R68" s="198"/>
      <c r="S68" s="198"/>
      <c r="T68" s="198"/>
      <c r="U68" s="198"/>
    </row>
    <row r="69" spans="1:21" s="12" customFormat="1" x14ac:dyDescent="0.25">
      <c r="A69" s="212" t="s">
        <v>2131</v>
      </c>
      <c r="B69" s="64">
        <v>4.84</v>
      </c>
      <c r="C69" s="64">
        <v>8.15</v>
      </c>
      <c r="D69" s="64">
        <v>8.14</v>
      </c>
      <c r="E69" s="64">
        <v>4.93</v>
      </c>
      <c r="F69" s="64">
        <v>3.02</v>
      </c>
      <c r="G69" s="64">
        <v>7.41</v>
      </c>
      <c r="H69" s="64">
        <v>1.49</v>
      </c>
      <c r="I69" s="64">
        <v>0.68</v>
      </c>
      <c r="J69" s="64">
        <v>0.13</v>
      </c>
      <c r="K69" s="64">
        <v>279.8</v>
      </c>
      <c r="L69" s="64">
        <v>26.02</v>
      </c>
      <c r="M69" s="64">
        <v>97.97</v>
      </c>
      <c r="N69" s="64">
        <v>217.5</v>
      </c>
      <c r="O69" s="64">
        <v>0</v>
      </c>
      <c r="P69" s="64">
        <v>0.21</v>
      </c>
      <c r="Q69" s="64">
        <v>9.4700000000000006</v>
      </c>
      <c r="R69" s="198"/>
      <c r="S69" s="198"/>
      <c r="T69" s="198"/>
      <c r="U69" s="198"/>
    </row>
    <row r="70" spans="1:21" s="12" customFormat="1" x14ac:dyDescent="0.25">
      <c r="A70" s="212" t="s">
        <v>2132</v>
      </c>
      <c r="B70" s="64">
        <v>4.8499999999999996</v>
      </c>
      <c r="C70" s="64">
        <v>8.1199999999999992</v>
      </c>
      <c r="D70" s="64">
        <v>8.14</v>
      </c>
      <c r="E70" s="64">
        <v>4.99</v>
      </c>
      <c r="F70" s="64">
        <v>3.33</v>
      </c>
      <c r="G70" s="64">
        <v>7.41</v>
      </c>
      <c r="H70" s="64">
        <v>1.49</v>
      </c>
      <c r="I70" s="64">
        <v>0.68</v>
      </c>
      <c r="J70" s="64">
        <v>0.08</v>
      </c>
      <c r="K70" s="64">
        <v>263.29000000000002</v>
      </c>
      <c r="L70" s="64">
        <v>25.92</v>
      </c>
      <c r="M70" s="64">
        <v>97.98</v>
      </c>
      <c r="N70" s="64">
        <v>227.6</v>
      </c>
      <c r="O70" s="64">
        <v>0</v>
      </c>
      <c r="P70" s="64">
        <v>0.22</v>
      </c>
      <c r="Q70" s="64">
        <v>9.4700000000000006</v>
      </c>
      <c r="R70" s="198"/>
      <c r="S70" s="198"/>
      <c r="T70" s="198"/>
      <c r="U70" s="198"/>
    </row>
    <row r="71" spans="1:21" s="12" customFormat="1" x14ac:dyDescent="0.25">
      <c r="A71" s="212" t="s">
        <v>2133</v>
      </c>
      <c r="B71" s="64">
        <v>4.8499999999999996</v>
      </c>
      <c r="C71" s="64">
        <v>8.09</v>
      </c>
      <c r="D71" s="64">
        <v>8.1199999999999992</v>
      </c>
      <c r="E71" s="64">
        <v>4.9400000000000004</v>
      </c>
      <c r="F71" s="64">
        <v>3.91</v>
      </c>
      <c r="G71" s="64">
        <v>7.41</v>
      </c>
      <c r="H71" s="64">
        <v>1.49</v>
      </c>
      <c r="I71" s="64">
        <v>0.67</v>
      </c>
      <c r="J71" s="64">
        <v>0.11</v>
      </c>
      <c r="K71" s="64">
        <v>258.37</v>
      </c>
      <c r="L71" s="64">
        <v>26.05</v>
      </c>
      <c r="M71" s="64">
        <v>97.97</v>
      </c>
      <c r="N71" s="64">
        <v>202.5</v>
      </c>
      <c r="O71" s="64">
        <v>0</v>
      </c>
      <c r="P71" s="64">
        <v>0.22</v>
      </c>
      <c r="Q71" s="64">
        <v>9.4600000000000009</v>
      </c>
      <c r="R71" s="198"/>
      <c r="S71" s="198"/>
      <c r="T71" s="198"/>
      <c r="U71" s="198"/>
    </row>
    <row r="72" spans="1:21" s="12" customFormat="1" x14ac:dyDescent="0.25">
      <c r="A72" s="212" t="s">
        <v>2134</v>
      </c>
      <c r="B72" s="64">
        <v>5.2</v>
      </c>
      <c r="C72" s="64">
        <v>9.0399999999999991</v>
      </c>
      <c r="D72" s="64">
        <v>8.9</v>
      </c>
      <c r="E72" s="64">
        <v>4.7699999999999996</v>
      </c>
      <c r="F72" s="64">
        <v>3.26</v>
      </c>
      <c r="G72" s="64">
        <v>6.92</v>
      </c>
      <c r="H72" s="64">
        <v>1.51</v>
      </c>
      <c r="I72" s="64">
        <v>0.66</v>
      </c>
      <c r="J72" s="64">
        <v>0.15</v>
      </c>
      <c r="K72" s="64">
        <v>269.26</v>
      </c>
      <c r="L72" s="64">
        <v>25.68</v>
      </c>
      <c r="M72" s="64">
        <v>97.98</v>
      </c>
      <c r="N72" s="64">
        <v>106.8</v>
      </c>
      <c r="O72" s="64">
        <v>0</v>
      </c>
      <c r="P72" s="64">
        <v>0.24</v>
      </c>
      <c r="Q72" s="64">
        <v>9.4499999999999993</v>
      </c>
      <c r="R72" s="198"/>
      <c r="S72" s="198"/>
      <c r="T72" s="198"/>
      <c r="U72" s="198"/>
    </row>
    <row r="73" spans="1:21" s="12" customFormat="1" x14ac:dyDescent="0.25">
      <c r="A73" s="212" t="s">
        <v>2135</v>
      </c>
      <c r="B73" s="64">
        <v>4.99</v>
      </c>
      <c r="C73" s="64">
        <v>8.33</v>
      </c>
      <c r="D73" s="64">
        <v>8.35</v>
      </c>
      <c r="E73" s="64">
        <v>4.04</v>
      </c>
      <c r="F73" s="64">
        <v>2.3199999999999998</v>
      </c>
      <c r="G73" s="64">
        <v>6.67</v>
      </c>
      <c r="H73" s="64">
        <v>1.52</v>
      </c>
      <c r="I73" s="64">
        <v>0.66</v>
      </c>
      <c r="J73" s="64">
        <v>0.16</v>
      </c>
      <c r="K73" s="64">
        <v>301.16000000000003</v>
      </c>
      <c r="L73" s="64">
        <v>25.27</v>
      </c>
      <c r="M73" s="64">
        <v>98.01</v>
      </c>
      <c r="N73" s="64">
        <v>100.5</v>
      </c>
      <c r="O73" s="64">
        <v>0</v>
      </c>
      <c r="P73" s="64">
        <v>0.24</v>
      </c>
      <c r="Q73" s="64">
        <v>9.44</v>
      </c>
      <c r="R73" s="198"/>
      <c r="S73" s="198"/>
      <c r="T73" s="198"/>
      <c r="U73" s="198"/>
    </row>
    <row r="74" spans="1:21" s="12" customFormat="1" x14ac:dyDescent="0.25">
      <c r="A74" s="212" t="s">
        <v>2136</v>
      </c>
      <c r="B74" s="64">
        <v>4.9800000000000004</v>
      </c>
      <c r="C74" s="64">
        <v>7.94</v>
      </c>
      <c r="D74" s="64">
        <v>8.14</v>
      </c>
      <c r="E74" s="64">
        <v>4.22</v>
      </c>
      <c r="F74" s="64">
        <v>4.04</v>
      </c>
      <c r="G74" s="64">
        <v>6.67</v>
      </c>
      <c r="H74" s="64">
        <v>1.52</v>
      </c>
      <c r="I74" s="64">
        <v>0.66</v>
      </c>
      <c r="J74" s="64">
        <v>0.05</v>
      </c>
      <c r="K74" s="64">
        <v>317.12</v>
      </c>
      <c r="L74" s="64">
        <v>25</v>
      </c>
      <c r="M74" s="64">
        <v>98.02</v>
      </c>
      <c r="N74" s="64">
        <v>92.8</v>
      </c>
      <c r="O74" s="64">
        <v>0</v>
      </c>
      <c r="P74" s="64">
        <v>0.23</v>
      </c>
      <c r="Q74" s="64">
        <v>9.43</v>
      </c>
      <c r="R74" s="198"/>
      <c r="S74" s="198"/>
      <c r="T74" s="198"/>
      <c r="U74" s="198"/>
    </row>
    <row r="75" spans="1:21" s="12" customFormat="1" x14ac:dyDescent="0.25">
      <c r="A75" s="212" t="s">
        <v>2137</v>
      </c>
      <c r="B75" s="64">
        <v>5.04</v>
      </c>
      <c r="C75" s="64">
        <v>7.71</v>
      </c>
      <c r="D75" s="64">
        <v>8.07</v>
      </c>
      <c r="E75" s="64">
        <v>4.08</v>
      </c>
      <c r="F75" s="64">
        <v>2.99</v>
      </c>
      <c r="G75" s="64">
        <v>6.67</v>
      </c>
      <c r="H75" s="64">
        <v>1.52</v>
      </c>
      <c r="I75" s="64">
        <v>0.65</v>
      </c>
      <c r="J75" s="64">
        <v>0.1</v>
      </c>
      <c r="K75" s="64">
        <v>288.79000000000002</v>
      </c>
      <c r="L75" s="64">
        <v>25.07</v>
      </c>
      <c r="M75" s="64">
        <v>98.02</v>
      </c>
      <c r="N75" s="64">
        <v>137.4</v>
      </c>
      <c r="O75" s="64">
        <v>0</v>
      </c>
      <c r="P75" s="64">
        <v>0.24</v>
      </c>
      <c r="Q75" s="64">
        <v>9.42</v>
      </c>
      <c r="R75" s="198"/>
      <c r="S75" s="198"/>
      <c r="T75" s="198"/>
      <c r="U75" s="198"/>
    </row>
    <row r="76" spans="1:21" s="12" customFormat="1" x14ac:dyDescent="0.25">
      <c r="A76" s="212" t="s">
        <v>2138</v>
      </c>
      <c r="B76" s="64">
        <v>4.97</v>
      </c>
      <c r="C76" s="64">
        <v>7.66</v>
      </c>
      <c r="D76" s="64">
        <v>7.99</v>
      </c>
      <c r="E76" s="64">
        <v>4.25</v>
      </c>
      <c r="F76" s="64">
        <v>3.42</v>
      </c>
      <c r="G76" s="64">
        <v>7.71</v>
      </c>
      <c r="H76" s="64">
        <v>1.71</v>
      </c>
      <c r="I76" s="64">
        <v>0.65</v>
      </c>
      <c r="J76" s="64">
        <v>0.06</v>
      </c>
      <c r="K76" s="64">
        <v>289.25</v>
      </c>
      <c r="L76" s="64">
        <v>25.36</v>
      </c>
      <c r="M76" s="64">
        <v>97.99</v>
      </c>
      <c r="N76" s="64">
        <v>138.9</v>
      </c>
      <c r="O76" s="64">
        <v>0</v>
      </c>
      <c r="P76" s="64">
        <v>0.24</v>
      </c>
      <c r="Q76" s="64">
        <v>9.43</v>
      </c>
      <c r="R76" s="198"/>
      <c r="S76" s="198"/>
      <c r="T76" s="198"/>
      <c r="U76" s="198"/>
    </row>
    <row r="77" spans="1:21" s="12" customFormat="1" x14ac:dyDescent="0.25">
      <c r="A77" s="212" t="s">
        <v>2139</v>
      </c>
      <c r="B77" s="64">
        <v>4.9800000000000004</v>
      </c>
      <c r="C77" s="64">
        <v>7.48</v>
      </c>
      <c r="D77" s="64">
        <v>7.9</v>
      </c>
      <c r="E77" s="64">
        <v>4.13</v>
      </c>
      <c r="F77" s="64">
        <v>3.72</v>
      </c>
      <c r="G77" s="64">
        <v>8.23</v>
      </c>
      <c r="H77" s="64">
        <v>1.81</v>
      </c>
      <c r="I77" s="64">
        <v>0.66</v>
      </c>
      <c r="J77" s="64">
        <v>0.01</v>
      </c>
      <c r="K77" s="64">
        <v>229.74</v>
      </c>
      <c r="L77" s="64">
        <v>25.47</v>
      </c>
      <c r="M77" s="64">
        <v>98</v>
      </c>
      <c r="N77" s="64">
        <v>124.6</v>
      </c>
      <c r="O77" s="64">
        <v>0</v>
      </c>
      <c r="P77" s="64">
        <v>0.24</v>
      </c>
      <c r="Q77" s="64">
        <v>9.42</v>
      </c>
      <c r="R77" s="198"/>
      <c r="S77" s="198"/>
      <c r="T77" s="198"/>
      <c r="U77" s="198"/>
    </row>
    <row r="78" spans="1:21" s="12" customFormat="1" x14ac:dyDescent="0.25">
      <c r="A78" s="212" t="s">
        <v>2140</v>
      </c>
      <c r="B78" s="64">
        <v>5.0599999999999996</v>
      </c>
      <c r="C78" s="64">
        <v>7.52</v>
      </c>
      <c r="D78" s="64">
        <v>7.98</v>
      </c>
      <c r="E78" s="64">
        <v>4.2300000000000004</v>
      </c>
      <c r="F78" s="64">
        <v>3.59</v>
      </c>
      <c r="G78" s="64">
        <v>8.23</v>
      </c>
      <c r="H78" s="64">
        <v>1.81</v>
      </c>
      <c r="I78" s="64">
        <v>0.66</v>
      </c>
      <c r="J78" s="64">
        <v>0.06</v>
      </c>
      <c r="K78" s="64">
        <v>291.08999999999997</v>
      </c>
      <c r="L78" s="64">
        <v>25.64</v>
      </c>
      <c r="M78" s="64">
        <v>98</v>
      </c>
      <c r="N78" s="64">
        <v>110.6</v>
      </c>
      <c r="O78" s="64">
        <v>0</v>
      </c>
      <c r="P78" s="64">
        <v>0.24</v>
      </c>
      <c r="Q78" s="64">
        <v>9.42</v>
      </c>
      <c r="R78" s="198"/>
      <c r="S78" s="198"/>
      <c r="T78" s="198"/>
      <c r="U78" s="198"/>
    </row>
    <row r="79" spans="1:21" s="12" customFormat="1" x14ac:dyDescent="0.25">
      <c r="A79" s="212" t="s">
        <v>2141</v>
      </c>
      <c r="B79" s="64">
        <v>5.25</v>
      </c>
      <c r="C79" s="64">
        <v>7.52</v>
      </c>
      <c r="D79" s="64">
        <v>8.14</v>
      </c>
      <c r="E79" s="64">
        <v>4.63</v>
      </c>
      <c r="F79" s="64">
        <v>2.68</v>
      </c>
      <c r="G79" s="64">
        <v>8.23</v>
      </c>
      <c r="H79" s="64">
        <v>1.81</v>
      </c>
      <c r="I79" s="64">
        <v>0.66</v>
      </c>
      <c r="J79" s="64">
        <v>0.12</v>
      </c>
      <c r="K79" s="64">
        <v>325.17</v>
      </c>
      <c r="L79" s="64">
        <v>25.56</v>
      </c>
      <c r="M79" s="64">
        <v>98</v>
      </c>
      <c r="N79" s="64">
        <v>88.5</v>
      </c>
      <c r="O79" s="64">
        <v>0</v>
      </c>
      <c r="P79" s="64">
        <v>0.25</v>
      </c>
      <c r="Q79" s="64">
        <v>9.42</v>
      </c>
      <c r="R79" s="198"/>
      <c r="S79" s="198"/>
      <c r="T79" s="198"/>
      <c r="U79" s="198"/>
    </row>
    <row r="80" spans="1:21" s="12" customFormat="1" x14ac:dyDescent="0.25">
      <c r="A80" s="212" t="s">
        <v>2142</v>
      </c>
      <c r="B80" s="64">
        <v>5.21</v>
      </c>
      <c r="C80" s="64">
        <v>7.91</v>
      </c>
      <c r="D80" s="64">
        <v>8.32</v>
      </c>
      <c r="E80" s="64">
        <v>4.38</v>
      </c>
      <c r="F80" s="64">
        <v>4.68</v>
      </c>
      <c r="G80" s="64">
        <v>10.58</v>
      </c>
      <c r="H80" s="64">
        <v>1.88</v>
      </c>
      <c r="I80" s="64">
        <v>0.68</v>
      </c>
      <c r="J80" s="64">
        <v>7.0000000000000007E-2</v>
      </c>
      <c r="K80" s="64">
        <v>339.49</v>
      </c>
      <c r="L80" s="64">
        <v>25.44</v>
      </c>
      <c r="M80" s="64">
        <v>97.99</v>
      </c>
      <c r="N80" s="64">
        <v>64.099999999999994</v>
      </c>
      <c r="O80" s="64">
        <v>0</v>
      </c>
      <c r="P80" s="64">
        <v>0.28999999999999998</v>
      </c>
      <c r="Q80" s="64">
        <v>9.41</v>
      </c>
      <c r="R80" s="198"/>
      <c r="S80" s="198"/>
      <c r="T80" s="198"/>
      <c r="U80" s="198"/>
    </row>
    <row r="81" spans="1:26" s="12" customFormat="1" x14ac:dyDescent="0.25">
      <c r="A81" s="212" t="s">
        <v>2143</v>
      </c>
      <c r="B81" s="64">
        <v>5.16</v>
      </c>
      <c r="C81" s="64">
        <v>8.16</v>
      </c>
      <c r="D81" s="64">
        <v>8.4</v>
      </c>
      <c r="E81" s="64">
        <v>4.49</v>
      </c>
      <c r="F81" s="64">
        <v>3.82</v>
      </c>
      <c r="G81" s="64">
        <v>11.75</v>
      </c>
      <c r="H81" s="64">
        <v>1.92</v>
      </c>
      <c r="I81" s="64">
        <v>0.69</v>
      </c>
      <c r="J81" s="64">
        <v>7.0000000000000007E-2</v>
      </c>
      <c r="K81" s="64">
        <v>312.57</v>
      </c>
      <c r="L81" s="64">
        <v>25.16</v>
      </c>
      <c r="M81" s="64">
        <v>98.01</v>
      </c>
      <c r="N81" s="64">
        <v>52.1</v>
      </c>
      <c r="O81" s="64">
        <v>0</v>
      </c>
      <c r="P81" s="64">
        <v>0.27</v>
      </c>
      <c r="Q81" s="64">
        <v>9.41</v>
      </c>
      <c r="R81" s="198"/>
      <c r="S81" s="198"/>
      <c r="T81" s="198"/>
      <c r="U81" s="198"/>
    </row>
    <row r="82" spans="1:26" s="12" customFormat="1" x14ac:dyDescent="0.25">
      <c r="A82" s="212" t="s">
        <v>2144</v>
      </c>
      <c r="B82" s="64">
        <v>5.19</v>
      </c>
      <c r="C82" s="64">
        <v>8.4</v>
      </c>
      <c r="D82" s="64">
        <v>8.5500000000000007</v>
      </c>
      <c r="E82" s="64">
        <v>4.1900000000000004</v>
      </c>
      <c r="F82" s="64">
        <v>4.1399999999999997</v>
      </c>
      <c r="G82" s="64">
        <v>11.75</v>
      </c>
      <c r="H82" s="64">
        <v>1.92</v>
      </c>
      <c r="I82" s="64">
        <v>0.7</v>
      </c>
      <c r="J82" s="64">
        <v>0.05</v>
      </c>
      <c r="K82" s="64">
        <v>296.52</v>
      </c>
      <c r="L82" s="64">
        <v>25</v>
      </c>
      <c r="M82" s="64">
        <v>98.03</v>
      </c>
      <c r="N82" s="64">
        <v>45.3</v>
      </c>
      <c r="O82" s="64">
        <v>0</v>
      </c>
      <c r="P82" s="64">
        <v>0.28999999999999998</v>
      </c>
      <c r="Q82" s="64">
        <v>9.42</v>
      </c>
      <c r="R82" s="198"/>
      <c r="S82" s="198"/>
      <c r="T82" s="198"/>
      <c r="U82" s="198"/>
    </row>
    <row r="83" spans="1:26" s="12" customFormat="1" x14ac:dyDescent="0.25">
      <c r="A83" s="212" t="s">
        <v>2145</v>
      </c>
      <c r="B83" s="64">
        <v>8.27</v>
      </c>
      <c r="C83" s="64">
        <v>10.7</v>
      </c>
      <c r="D83" s="64">
        <v>12.22</v>
      </c>
      <c r="E83" s="64">
        <v>4.3499999999999996</v>
      </c>
      <c r="F83" s="64">
        <v>5.44</v>
      </c>
      <c r="G83" s="64">
        <v>11.75</v>
      </c>
      <c r="H83" s="64">
        <v>1.92</v>
      </c>
      <c r="I83" s="64">
        <v>0.71</v>
      </c>
      <c r="J83" s="64">
        <v>0.1</v>
      </c>
      <c r="K83" s="64">
        <v>316.45999999999998</v>
      </c>
      <c r="L83" s="64">
        <v>25.01</v>
      </c>
      <c r="M83" s="64">
        <v>98</v>
      </c>
      <c r="N83" s="64">
        <v>43.8</v>
      </c>
      <c r="O83" s="64">
        <v>0</v>
      </c>
      <c r="P83" s="64">
        <v>0.45</v>
      </c>
      <c r="Q83" s="64">
        <v>9.44</v>
      </c>
      <c r="R83" s="198"/>
      <c r="S83" s="198"/>
      <c r="T83" s="198"/>
      <c r="U83" s="198"/>
    </row>
    <row r="84" spans="1:26" s="12" customFormat="1" x14ac:dyDescent="0.25">
      <c r="A84" s="212" t="s">
        <v>2146</v>
      </c>
      <c r="B84" s="64">
        <v>9</v>
      </c>
      <c r="C84" s="64">
        <v>10.82</v>
      </c>
      <c r="D84" s="64">
        <v>12.87</v>
      </c>
      <c r="E84" s="64">
        <v>4.2699999999999996</v>
      </c>
      <c r="F84" s="64">
        <v>5.48</v>
      </c>
      <c r="G84" s="64">
        <v>11</v>
      </c>
      <c r="H84" s="64">
        <v>2.41</v>
      </c>
      <c r="I84" s="64">
        <v>0.72</v>
      </c>
      <c r="J84" s="64">
        <v>0.08</v>
      </c>
      <c r="K84" s="64">
        <v>326.36</v>
      </c>
      <c r="L84" s="64">
        <v>24.98</v>
      </c>
      <c r="M84" s="64">
        <v>98.03</v>
      </c>
      <c r="N84" s="64">
        <v>43.9</v>
      </c>
      <c r="O84" s="64">
        <v>0</v>
      </c>
      <c r="P84" s="64">
        <v>0.4</v>
      </c>
      <c r="Q84" s="64">
        <v>9.4600000000000009</v>
      </c>
      <c r="R84" s="198"/>
      <c r="S84" s="198"/>
      <c r="T84" s="198"/>
      <c r="U84" s="198"/>
    </row>
    <row r="85" spans="1:26" s="12" customFormat="1" x14ac:dyDescent="0.25">
      <c r="A85" s="212" t="s">
        <v>2147</v>
      </c>
      <c r="B85" s="64">
        <v>8.06</v>
      </c>
      <c r="C85" s="64">
        <v>10.91</v>
      </c>
      <c r="D85" s="64">
        <v>12.17</v>
      </c>
      <c r="E85" s="64">
        <v>4.1500000000000004</v>
      </c>
      <c r="F85" s="64">
        <v>5.76</v>
      </c>
      <c r="G85" s="64">
        <v>10.62</v>
      </c>
      <c r="H85" s="64">
        <v>2.65</v>
      </c>
      <c r="I85" s="64">
        <v>0.69</v>
      </c>
      <c r="J85" s="64">
        <v>0.03</v>
      </c>
      <c r="K85" s="64">
        <v>261.38</v>
      </c>
      <c r="L85" s="64">
        <v>24.91</v>
      </c>
      <c r="M85" s="64">
        <v>98.03</v>
      </c>
      <c r="N85" s="64">
        <v>43.8</v>
      </c>
      <c r="O85" s="64">
        <v>0</v>
      </c>
      <c r="P85" s="64">
        <v>0.39</v>
      </c>
      <c r="Q85" s="64">
        <v>9.48</v>
      </c>
      <c r="R85" s="198"/>
      <c r="S85" s="198"/>
      <c r="T85" s="198"/>
      <c r="U85" s="198"/>
    </row>
    <row r="86" spans="1:26" s="12" customFormat="1" x14ac:dyDescent="0.25">
      <c r="A86" s="212" t="s">
        <v>2148</v>
      </c>
      <c r="B86" s="64">
        <v>6.69</v>
      </c>
      <c r="C86" s="64">
        <v>10.01</v>
      </c>
      <c r="D86" s="64">
        <v>10.59</v>
      </c>
      <c r="E86" s="64">
        <v>4.72</v>
      </c>
      <c r="F86" s="64">
        <v>6.03</v>
      </c>
      <c r="G86" s="64">
        <v>10.62</v>
      </c>
      <c r="H86" s="64">
        <v>2.65</v>
      </c>
      <c r="I86" s="64">
        <v>0.69</v>
      </c>
      <c r="J86" s="64">
        <v>0.01</v>
      </c>
      <c r="K86" s="64">
        <v>328.21</v>
      </c>
      <c r="L86" s="64">
        <v>24.76</v>
      </c>
      <c r="M86" s="64">
        <v>98.04</v>
      </c>
      <c r="N86" s="64">
        <v>43.8</v>
      </c>
      <c r="O86" s="64">
        <v>0</v>
      </c>
      <c r="P86" s="64">
        <v>0.39</v>
      </c>
      <c r="Q86" s="64">
        <v>9.5</v>
      </c>
      <c r="R86" s="198"/>
      <c r="S86" s="198"/>
      <c r="T86" s="198"/>
      <c r="U86" s="198"/>
    </row>
    <row r="87" spans="1:26" s="12" customFormat="1" x14ac:dyDescent="0.25">
      <c r="A87" s="212" t="s">
        <v>2149</v>
      </c>
      <c r="B87" s="64">
        <v>7.26</v>
      </c>
      <c r="C87" s="64">
        <v>10.79</v>
      </c>
      <c r="D87" s="64">
        <v>11.46</v>
      </c>
      <c r="E87" s="64">
        <v>4.6399999999999997</v>
      </c>
      <c r="F87" s="64">
        <v>6.57</v>
      </c>
      <c r="G87" s="64">
        <v>10.62</v>
      </c>
      <c r="H87" s="64">
        <v>2.65</v>
      </c>
      <c r="I87" s="64">
        <v>0.73</v>
      </c>
      <c r="J87" s="64">
        <v>0.09</v>
      </c>
      <c r="K87" s="64">
        <v>138.94999999999999</v>
      </c>
      <c r="L87" s="64">
        <v>24.6</v>
      </c>
      <c r="M87" s="64">
        <v>98.05</v>
      </c>
      <c r="N87" s="64">
        <v>43.8</v>
      </c>
      <c r="O87" s="64">
        <v>0</v>
      </c>
      <c r="P87" s="64">
        <v>0.4</v>
      </c>
      <c r="Q87" s="64">
        <v>9.51</v>
      </c>
      <c r="R87" s="198"/>
      <c r="S87" s="198"/>
      <c r="T87" s="198"/>
      <c r="U87" s="198"/>
    </row>
    <row r="88" spans="1:26" s="12" customFormat="1" x14ac:dyDescent="0.25">
      <c r="A88" s="212" t="s">
        <v>2150</v>
      </c>
      <c r="B88" s="64">
        <v>6.25</v>
      </c>
      <c r="C88" s="64">
        <v>10.69</v>
      </c>
      <c r="D88" s="64">
        <v>10.6</v>
      </c>
      <c r="E88" s="64">
        <v>4.62</v>
      </c>
      <c r="F88" s="64">
        <v>6.6</v>
      </c>
      <c r="G88" s="64">
        <v>13.16</v>
      </c>
      <c r="H88" s="64">
        <v>3.1</v>
      </c>
      <c r="I88" s="64">
        <v>0.77</v>
      </c>
      <c r="J88" s="64">
        <v>0.05</v>
      </c>
      <c r="K88" s="64">
        <v>209.46</v>
      </c>
      <c r="L88" s="64">
        <v>24.48</v>
      </c>
      <c r="M88" s="64">
        <v>98.07</v>
      </c>
      <c r="N88" s="64">
        <v>43.8</v>
      </c>
      <c r="O88" s="64">
        <v>0</v>
      </c>
      <c r="P88" s="64">
        <v>0.36</v>
      </c>
      <c r="Q88" s="64">
        <v>9.51</v>
      </c>
      <c r="R88" s="198"/>
      <c r="S88" s="198"/>
      <c r="T88" s="198"/>
      <c r="U88" s="198"/>
    </row>
    <row r="89" spans="1:26" s="12" customFormat="1" x14ac:dyDescent="0.25">
      <c r="A89" s="212" t="s">
        <v>2151</v>
      </c>
      <c r="B89" s="64">
        <v>8.0399999999999991</v>
      </c>
      <c r="C89" s="64">
        <v>11.72</v>
      </c>
      <c r="D89" s="64">
        <v>12.57</v>
      </c>
      <c r="E89" s="64">
        <v>4.87</v>
      </c>
      <c r="F89" s="64">
        <v>6.2</v>
      </c>
      <c r="G89" s="64">
        <v>14.43</v>
      </c>
      <c r="H89" s="64">
        <v>3.32</v>
      </c>
      <c r="I89" s="64">
        <v>0.79</v>
      </c>
      <c r="J89" s="64">
        <v>0.03</v>
      </c>
      <c r="K89" s="64">
        <v>171.98</v>
      </c>
      <c r="L89" s="64">
        <v>24.38</v>
      </c>
      <c r="M89" s="64">
        <v>98.08</v>
      </c>
      <c r="N89" s="64">
        <v>43.7</v>
      </c>
      <c r="O89" s="64">
        <v>0</v>
      </c>
      <c r="P89" s="64">
        <v>0.4</v>
      </c>
      <c r="Q89" s="64">
        <v>9.52</v>
      </c>
      <c r="R89" s="198"/>
      <c r="S89" s="198"/>
      <c r="T89" s="198"/>
      <c r="U89" s="198"/>
    </row>
    <row r="90" spans="1:26" s="12" customFormat="1" x14ac:dyDescent="0.25">
      <c r="A90" s="212" t="s">
        <v>2152</v>
      </c>
      <c r="B90" s="64">
        <v>7.67</v>
      </c>
      <c r="C90" s="64">
        <v>11.32</v>
      </c>
      <c r="D90" s="64">
        <v>12.07</v>
      </c>
      <c r="E90" s="64">
        <v>4.78</v>
      </c>
      <c r="F90" s="64">
        <v>4.51</v>
      </c>
      <c r="G90" s="64">
        <v>14.43</v>
      </c>
      <c r="H90" s="64">
        <v>3.32</v>
      </c>
      <c r="I90" s="64">
        <v>0.89</v>
      </c>
      <c r="J90" s="64">
        <v>0.02</v>
      </c>
      <c r="K90" s="64">
        <v>152.9</v>
      </c>
      <c r="L90" s="64">
        <v>24.3</v>
      </c>
      <c r="M90" s="64">
        <v>98.1</v>
      </c>
      <c r="N90" s="64">
        <v>43.7</v>
      </c>
      <c r="O90" s="64">
        <v>0</v>
      </c>
      <c r="P90" s="64">
        <v>0.39</v>
      </c>
      <c r="Q90" s="64">
        <v>9.52</v>
      </c>
      <c r="R90" s="198"/>
      <c r="S90" s="198"/>
      <c r="T90" s="198"/>
      <c r="U90" s="198"/>
    </row>
    <row r="91" spans="1:26" s="12" customFormat="1" x14ac:dyDescent="0.25">
      <c r="A91" s="212" t="s">
        <v>2153</v>
      </c>
      <c r="B91" s="64">
        <v>18.3</v>
      </c>
      <c r="C91" s="64">
        <v>10.64</v>
      </c>
      <c r="D91" s="64">
        <v>19.29</v>
      </c>
      <c r="E91" s="64">
        <v>4.3</v>
      </c>
      <c r="F91" s="64">
        <v>4.87</v>
      </c>
      <c r="G91" s="64">
        <v>14.43</v>
      </c>
      <c r="H91" s="64">
        <v>3.32</v>
      </c>
      <c r="I91" s="64">
        <v>0.97</v>
      </c>
      <c r="J91" s="64">
        <v>0.04</v>
      </c>
      <c r="K91" s="64">
        <v>268.68</v>
      </c>
      <c r="L91" s="64">
        <v>24.2</v>
      </c>
      <c r="M91" s="64">
        <v>98.1</v>
      </c>
      <c r="N91" s="64">
        <v>43.8</v>
      </c>
      <c r="O91" s="64">
        <v>0</v>
      </c>
      <c r="P91" s="64">
        <v>0.5</v>
      </c>
      <c r="Q91" s="64">
        <v>9.51</v>
      </c>
      <c r="R91" s="198"/>
      <c r="S91" s="198"/>
      <c r="T91" s="198"/>
      <c r="U91" s="198"/>
    </row>
    <row r="92" spans="1:26" s="12" customFormat="1" x14ac:dyDescent="0.25">
      <c r="A92" s="212" t="s">
        <v>2154</v>
      </c>
      <c r="B92" s="64">
        <v>10.62</v>
      </c>
      <c r="C92" s="64">
        <v>11.41</v>
      </c>
      <c r="D92" s="64">
        <v>14.48</v>
      </c>
      <c r="E92" s="64">
        <v>4.68</v>
      </c>
      <c r="F92" s="64">
        <v>4.5</v>
      </c>
      <c r="G92" s="64">
        <v>16.41</v>
      </c>
      <c r="H92" s="64">
        <v>2.95</v>
      </c>
      <c r="I92" s="64">
        <v>0.91</v>
      </c>
      <c r="J92" s="64">
        <v>0.05</v>
      </c>
      <c r="K92" s="64">
        <v>297</v>
      </c>
      <c r="L92" s="64">
        <v>24.21</v>
      </c>
      <c r="M92" s="64">
        <v>98.1</v>
      </c>
      <c r="N92" s="64">
        <v>43.7</v>
      </c>
      <c r="O92" s="64">
        <v>0</v>
      </c>
      <c r="P92" s="64">
        <v>0.44</v>
      </c>
      <c r="Q92" s="64">
        <v>9.52</v>
      </c>
      <c r="R92" s="198"/>
      <c r="S92" s="198"/>
      <c r="T92" s="198"/>
      <c r="U92" s="198"/>
    </row>
    <row r="93" spans="1:26" s="12" customFormat="1" x14ac:dyDescent="0.25">
      <c r="A93" s="212" t="s">
        <v>2155</v>
      </c>
      <c r="B93" s="64">
        <v>8.9600000000000009</v>
      </c>
      <c r="C93" s="64">
        <v>10.68</v>
      </c>
      <c r="D93" s="64">
        <v>12.76</v>
      </c>
      <c r="E93" s="64">
        <v>4.5599999999999996</v>
      </c>
      <c r="F93" s="64">
        <v>5.63</v>
      </c>
      <c r="G93" s="64">
        <v>17.41</v>
      </c>
      <c r="H93" s="64">
        <v>2.76</v>
      </c>
      <c r="I93" s="64">
        <v>0.85</v>
      </c>
      <c r="J93" s="64">
        <v>0.01</v>
      </c>
      <c r="K93" s="64">
        <v>276.99</v>
      </c>
      <c r="L93" s="64">
        <v>24.2</v>
      </c>
      <c r="M93" s="64">
        <v>98.12</v>
      </c>
      <c r="N93" s="64">
        <v>43.6</v>
      </c>
      <c r="O93" s="64">
        <v>0</v>
      </c>
      <c r="P93" s="64">
        <v>0.45</v>
      </c>
      <c r="Q93" s="64">
        <v>9.5299999999999994</v>
      </c>
      <c r="R93" s="198"/>
      <c r="S93" s="198"/>
      <c r="T93" s="198"/>
      <c r="U93" s="198"/>
    </row>
    <row r="94" spans="1:26" s="12" customFormat="1" x14ac:dyDescent="0.25">
      <c r="A94" s="212" t="s">
        <v>2156</v>
      </c>
      <c r="B94" s="64">
        <v>9.91</v>
      </c>
      <c r="C94" s="64">
        <v>12.38</v>
      </c>
      <c r="D94" s="64">
        <v>14.42</v>
      </c>
      <c r="E94" s="64">
        <v>4.92</v>
      </c>
      <c r="F94" s="64">
        <v>4.8</v>
      </c>
      <c r="G94" s="64">
        <v>17.41</v>
      </c>
      <c r="H94" s="64">
        <v>2.76</v>
      </c>
      <c r="I94" s="64">
        <v>0.86</v>
      </c>
      <c r="J94" s="64">
        <v>0.05</v>
      </c>
      <c r="K94" s="64">
        <v>156.11000000000001</v>
      </c>
      <c r="L94" s="64">
        <v>24.27</v>
      </c>
      <c r="M94" s="64">
        <v>98.13</v>
      </c>
      <c r="N94" s="64">
        <v>43.8</v>
      </c>
      <c r="O94" s="64">
        <v>0</v>
      </c>
      <c r="P94" s="64">
        <v>0.47</v>
      </c>
      <c r="Q94" s="64">
        <v>9.5299999999999994</v>
      </c>
      <c r="R94" s="198"/>
      <c r="S94" s="198"/>
      <c r="T94" s="198"/>
      <c r="U94" s="198"/>
    </row>
    <row r="95" spans="1:26" s="12" customFormat="1" x14ac:dyDescent="0.25">
      <c r="A95" s="212" t="s">
        <v>2157</v>
      </c>
      <c r="B95" s="64">
        <v>8.31</v>
      </c>
      <c r="C95" s="64">
        <v>9.61</v>
      </c>
      <c r="D95" s="64">
        <v>11.68</v>
      </c>
      <c r="E95" s="64">
        <v>4.5599999999999996</v>
      </c>
      <c r="F95" s="64">
        <v>3.65</v>
      </c>
      <c r="G95" s="64">
        <v>17.41</v>
      </c>
      <c r="H95" s="64">
        <v>2.76</v>
      </c>
      <c r="I95" s="64">
        <v>0.87</v>
      </c>
      <c r="J95" s="64">
        <v>0.06</v>
      </c>
      <c r="K95" s="64">
        <v>350.32</v>
      </c>
      <c r="L95" s="64">
        <v>24.25</v>
      </c>
      <c r="M95" s="64">
        <v>98.13</v>
      </c>
      <c r="N95" s="64">
        <v>43.8</v>
      </c>
      <c r="O95" s="64">
        <v>0</v>
      </c>
      <c r="P95" s="64">
        <v>0.38</v>
      </c>
      <c r="Q95" s="64">
        <v>9.5299999999999994</v>
      </c>
      <c r="R95" s="198"/>
      <c r="S95" s="198"/>
      <c r="T95" s="198"/>
      <c r="U95" s="198"/>
    </row>
    <row r="96" spans="1:26" s="12" customFormat="1" x14ac:dyDescent="0.25">
      <c r="A96" s="212" t="s">
        <v>2158</v>
      </c>
      <c r="B96" s="64">
        <v>6.73</v>
      </c>
      <c r="C96" s="64">
        <v>8.84</v>
      </c>
      <c r="D96" s="64">
        <v>10.02</v>
      </c>
      <c r="E96" s="64">
        <v>4.41</v>
      </c>
      <c r="F96" s="64">
        <v>6.95</v>
      </c>
      <c r="G96" s="64">
        <v>18.899999999999999</v>
      </c>
      <c r="H96" s="64">
        <v>4.4400000000000004</v>
      </c>
      <c r="I96" s="64">
        <v>0.88</v>
      </c>
      <c r="J96" s="64">
        <v>0.03</v>
      </c>
      <c r="K96" s="64">
        <v>166.5</v>
      </c>
      <c r="L96" s="64">
        <v>24.22</v>
      </c>
      <c r="M96" s="64">
        <v>98.13</v>
      </c>
      <c r="N96" s="64">
        <v>43.7</v>
      </c>
      <c r="O96" s="64">
        <v>0</v>
      </c>
      <c r="P96" s="64">
        <v>0.34</v>
      </c>
      <c r="Q96" s="64">
        <v>9.52</v>
      </c>
      <c r="R96" s="198"/>
      <c r="S96" s="198"/>
      <c r="T96" s="198"/>
      <c r="U96" s="198"/>
      <c r="Z96" s="109"/>
    </row>
    <row r="97" spans="1:33" s="12" customFormat="1" x14ac:dyDescent="0.25">
      <c r="A97" s="212" t="s">
        <v>2159</v>
      </c>
      <c r="B97" s="64">
        <v>6.9</v>
      </c>
      <c r="C97" s="64">
        <v>8.14</v>
      </c>
      <c r="D97" s="64">
        <v>9.7799999999999994</v>
      </c>
      <c r="E97" s="64">
        <v>4.72</v>
      </c>
      <c r="F97" s="64">
        <v>5.59</v>
      </c>
      <c r="G97" s="64">
        <v>19.649999999999999</v>
      </c>
      <c r="H97" s="64">
        <v>5.28</v>
      </c>
      <c r="I97" s="64">
        <v>0.9</v>
      </c>
      <c r="J97" s="64">
        <v>0.02</v>
      </c>
      <c r="K97" s="64">
        <v>106.73</v>
      </c>
      <c r="L97" s="64">
        <v>24.17</v>
      </c>
      <c r="M97" s="64">
        <v>98.13</v>
      </c>
      <c r="N97" s="64">
        <v>43.8</v>
      </c>
      <c r="O97" s="64">
        <v>0</v>
      </c>
      <c r="P97" s="64">
        <v>0.36</v>
      </c>
      <c r="Q97" s="64">
        <v>9.5399999999999991</v>
      </c>
      <c r="R97" s="198"/>
      <c r="S97" s="198"/>
      <c r="T97" s="198"/>
      <c r="U97" s="198"/>
    </row>
    <row r="98" spans="1:33" s="12" customFormat="1" x14ac:dyDescent="0.25">
      <c r="A98" s="212" t="s">
        <v>2160</v>
      </c>
      <c r="B98" s="64">
        <v>6.59</v>
      </c>
      <c r="C98" s="64">
        <v>10.77</v>
      </c>
      <c r="D98" s="64">
        <v>10.91</v>
      </c>
      <c r="E98" s="64">
        <v>4.55</v>
      </c>
      <c r="F98" s="64">
        <v>5.27</v>
      </c>
      <c r="G98" s="64">
        <v>19.649999999999999</v>
      </c>
      <c r="H98" s="64">
        <v>5.28</v>
      </c>
      <c r="I98" s="64">
        <v>0.9</v>
      </c>
      <c r="J98" s="64">
        <v>0.62</v>
      </c>
      <c r="K98" s="64">
        <v>134.27000000000001</v>
      </c>
      <c r="L98" s="64">
        <v>24.08</v>
      </c>
      <c r="M98" s="64">
        <v>98.13</v>
      </c>
      <c r="N98" s="64">
        <v>43.6</v>
      </c>
      <c r="O98" s="64">
        <v>0</v>
      </c>
      <c r="P98" s="64">
        <v>0.32</v>
      </c>
      <c r="Q98" s="64">
        <v>9.5399999999999991</v>
      </c>
      <c r="R98" s="198"/>
      <c r="S98" s="198"/>
      <c r="T98" s="198"/>
      <c r="U98" s="198"/>
    </row>
    <row r="99" spans="1:33" s="12" customFormat="1" x14ac:dyDescent="0.25">
      <c r="A99" s="212" t="s">
        <v>2161</v>
      </c>
      <c r="B99" s="64">
        <v>7.24</v>
      </c>
      <c r="C99" s="64">
        <v>11.34</v>
      </c>
      <c r="D99" s="64">
        <v>11.73</v>
      </c>
      <c r="E99" s="64">
        <v>4.28</v>
      </c>
      <c r="F99" s="64">
        <v>6.07</v>
      </c>
      <c r="G99" s="64">
        <v>19.649999999999999</v>
      </c>
      <c r="H99" s="64">
        <v>5.28</v>
      </c>
      <c r="I99" s="64">
        <v>0.91</v>
      </c>
      <c r="J99" s="64">
        <v>0.63</v>
      </c>
      <c r="K99" s="64">
        <v>135.34</v>
      </c>
      <c r="L99" s="64">
        <v>24.03</v>
      </c>
      <c r="M99" s="64">
        <v>98.13</v>
      </c>
      <c r="N99" s="64">
        <v>43.7</v>
      </c>
      <c r="O99" s="64">
        <v>0</v>
      </c>
      <c r="P99" s="64">
        <v>0.31</v>
      </c>
      <c r="Q99" s="64">
        <v>9.5299999999999994</v>
      </c>
      <c r="R99" s="198"/>
      <c r="S99" s="198"/>
      <c r="T99" s="198"/>
      <c r="U99" s="198"/>
    </row>
    <row r="100" spans="1:33" s="12" customFormat="1" x14ac:dyDescent="0.25">
      <c r="A100" s="212" t="s">
        <v>2162</v>
      </c>
      <c r="B100" s="64">
        <v>6.49</v>
      </c>
      <c r="C100" s="64">
        <v>8.89</v>
      </c>
      <c r="D100" s="64">
        <v>9.85</v>
      </c>
      <c r="E100" s="64">
        <v>4.66</v>
      </c>
      <c r="F100" s="64">
        <v>7.89</v>
      </c>
      <c r="G100" s="64">
        <v>18.04</v>
      </c>
      <c r="H100" s="64">
        <v>4.8099999999999996</v>
      </c>
      <c r="I100" s="64">
        <v>0.91</v>
      </c>
      <c r="J100" s="64">
        <v>0.37</v>
      </c>
      <c r="K100" s="64">
        <v>126.08</v>
      </c>
      <c r="L100" s="64">
        <v>23.98</v>
      </c>
      <c r="M100" s="64">
        <v>98.12</v>
      </c>
      <c r="N100" s="64">
        <v>43.7</v>
      </c>
      <c r="O100" s="64">
        <v>0</v>
      </c>
      <c r="P100" s="64">
        <v>0.28000000000000003</v>
      </c>
      <c r="Q100" s="64">
        <v>9.5399999999999991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2" t="s">
        <v>2163</v>
      </c>
      <c r="B101" s="64">
        <v>6.24</v>
      </c>
      <c r="C101" s="64">
        <v>7.9</v>
      </c>
      <c r="D101" s="64">
        <v>9.1300000000000008</v>
      </c>
      <c r="E101" s="64">
        <v>4.6399999999999997</v>
      </c>
      <c r="F101" s="64">
        <v>6.81</v>
      </c>
      <c r="G101" s="64">
        <v>17.239999999999998</v>
      </c>
      <c r="H101" s="64">
        <v>4.57</v>
      </c>
      <c r="I101" s="64">
        <v>0.9</v>
      </c>
      <c r="J101" s="64">
        <v>7.0000000000000007E-2</v>
      </c>
      <c r="K101" s="64">
        <v>162.06</v>
      </c>
      <c r="L101" s="64">
        <v>23.87</v>
      </c>
      <c r="M101" s="64">
        <v>98.12</v>
      </c>
      <c r="N101" s="64">
        <v>43.7</v>
      </c>
      <c r="O101" s="64">
        <v>0</v>
      </c>
      <c r="P101" s="64">
        <v>0.28000000000000003</v>
      </c>
      <c r="Q101" s="64">
        <v>9.56</v>
      </c>
      <c r="R101" s="198"/>
      <c r="S101" s="198"/>
      <c r="T101" s="198"/>
      <c r="U101" s="198"/>
    </row>
    <row r="102" spans="1:33" s="12" customFormat="1" x14ac:dyDescent="0.25">
      <c r="A102" s="212" t="s">
        <v>2164</v>
      </c>
      <c r="B102" s="64">
        <v>5.96</v>
      </c>
      <c r="C102" s="64">
        <v>7.45</v>
      </c>
      <c r="D102" s="64">
        <v>8.67</v>
      </c>
      <c r="E102" s="64">
        <v>4.75</v>
      </c>
      <c r="F102" s="64">
        <v>6.4</v>
      </c>
      <c r="G102" s="64">
        <v>17.239999999999998</v>
      </c>
      <c r="H102" s="64">
        <v>4.57</v>
      </c>
      <c r="I102" s="64">
        <v>0.89</v>
      </c>
      <c r="J102" s="64">
        <v>0.26</v>
      </c>
      <c r="K102" s="64">
        <v>112.48</v>
      </c>
      <c r="L102" s="64">
        <v>23.83</v>
      </c>
      <c r="M102" s="64">
        <v>98.13</v>
      </c>
      <c r="N102" s="64">
        <v>43.7</v>
      </c>
      <c r="O102" s="64">
        <v>0</v>
      </c>
      <c r="P102" s="64">
        <v>0.26</v>
      </c>
      <c r="Q102" s="64">
        <v>9.57</v>
      </c>
      <c r="R102" s="198"/>
      <c r="S102" s="198"/>
      <c r="T102" s="198"/>
      <c r="U102" s="198"/>
    </row>
    <row r="103" spans="1:33" s="12" customFormat="1" x14ac:dyDescent="0.25">
      <c r="A103" s="212" t="s">
        <v>2165</v>
      </c>
      <c r="B103" s="64">
        <v>6.12</v>
      </c>
      <c r="C103" s="64">
        <v>7</v>
      </c>
      <c r="D103" s="64">
        <v>8.57</v>
      </c>
      <c r="E103" s="64">
        <v>6.06</v>
      </c>
      <c r="F103" s="64">
        <v>6.18</v>
      </c>
      <c r="G103" s="64">
        <v>17.239999999999998</v>
      </c>
      <c r="H103" s="64">
        <v>4.57</v>
      </c>
      <c r="I103" s="64">
        <v>0.89</v>
      </c>
      <c r="J103" s="64">
        <v>0.18</v>
      </c>
      <c r="K103" s="64">
        <v>133.03</v>
      </c>
      <c r="L103" s="64">
        <v>23.84</v>
      </c>
      <c r="M103" s="64">
        <v>98.13</v>
      </c>
      <c r="N103" s="64">
        <v>43.8</v>
      </c>
      <c r="O103" s="64">
        <v>0</v>
      </c>
      <c r="P103" s="64">
        <v>0.27</v>
      </c>
      <c r="Q103" s="64">
        <v>9.57</v>
      </c>
      <c r="R103" s="198"/>
      <c r="S103" s="198"/>
      <c r="T103" s="198"/>
      <c r="U103" s="198"/>
    </row>
    <row r="104" spans="1:33" s="12" customFormat="1" x14ac:dyDescent="0.25">
      <c r="A104" s="212" t="s">
        <v>2166</v>
      </c>
      <c r="B104" s="64">
        <v>6.22</v>
      </c>
      <c r="C104" s="64">
        <v>6.58</v>
      </c>
      <c r="D104" s="64">
        <v>8.42</v>
      </c>
      <c r="E104" s="64">
        <v>5.56</v>
      </c>
      <c r="F104" s="64">
        <v>5.88</v>
      </c>
      <c r="G104" s="64">
        <v>16.72</v>
      </c>
      <c r="H104" s="64">
        <v>4.0199999999999996</v>
      </c>
      <c r="I104" s="64">
        <v>0.88</v>
      </c>
      <c r="J104" s="64">
        <v>0</v>
      </c>
      <c r="K104" s="64">
        <v>226.96</v>
      </c>
      <c r="L104" s="64">
        <v>23.83</v>
      </c>
      <c r="M104" s="64">
        <v>98.12</v>
      </c>
      <c r="N104" s="64">
        <v>43.8</v>
      </c>
      <c r="O104" s="64">
        <v>0</v>
      </c>
      <c r="P104" s="64">
        <v>0.26</v>
      </c>
      <c r="Q104" s="64">
        <v>9.58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4.5999999999999996</v>
      </c>
      <c r="C106" s="67">
        <f>MIN(C9:C104)</f>
        <v>5.59</v>
      </c>
      <c r="D106" s="67">
        <f t="shared" ref="D106:Q106" si="0">MIN(D9:D104)</f>
        <v>7.59</v>
      </c>
      <c r="E106" s="67">
        <f t="shared" si="0"/>
        <v>3.5</v>
      </c>
      <c r="F106" s="67">
        <f t="shared" si="0"/>
        <v>2.15</v>
      </c>
      <c r="G106" s="67">
        <f t="shared" si="0"/>
        <v>3.48</v>
      </c>
      <c r="H106" s="67">
        <f t="shared" si="0"/>
        <v>0.78</v>
      </c>
      <c r="I106" s="67">
        <f t="shared" si="0"/>
        <v>0.65</v>
      </c>
      <c r="J106" s="67">
        <f t="shared" si="0"/>
        <v>0</v>
      </c>
      <c r="K106" s="67">
        <f t="shared" si="0"/>
        <v>106.73</v>
      </c>
      <c r="L106" s="67">
        <f t="shared" si="0"/>
        <v>22.2</v>
      </c>
      <c r="M106" s="67">
        <f t="shared" si="0"/>
        <v>97.94</v>
      </c>
      <c r="N106" s="67">
        <f t="shared" si="0"/>
        <v>43.6</v>
      </c>
      <c r="O106" s="67">
        <f t="shared" si="0"/>
        <v>0</v>
      </c>
      <c r="P106" s="67">
        <f t="shared" si="0"/>
        <v>0.14000000000000001</v>
      </c>
      <c r="Q106" s="67">
        <f t="shared" si="0"/>
        <v>9.4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18.3</v>
      </c>
      <c r="C107" s="66">
        <f t="shared" ref="C107:Q107" si="1">MAX(C9:C104)</f>
        <v>12.38</v>
      </c>
      <c r="D107" s="66">
        <f t="shared" si="1"/>
        <v>19.29</v>
      </c>
      <c r="E107" s="66">
        <f t="shared" si="1"/>
        <v>6.06</v>
      </c>
      <c r="F107" s="66">
        <f t="shared" si="1"/>
        <v>7.89</v>
      </c>
      <c r="G107" s="66">
        <f t="shared" si="1"/>
        <v>22.87</v>
      </c>
      <c r="H107" s="66">
        <f t="shared" si="1"/>
        <v>6.65</v>
      </c>
      <c r="I107" s="66">
        <f t="shared" si="1"/>
        <v>3.24</v>
      </c>
      <c r="J107" s="66">
        <f t="shared" si="1"/>
        <v>0.63</v>
      </c>
      <c r="K107" s="66">
        <f t="shared" si="1"/>
        <v>350.32</v>
      </c>
      <c r="L107" s="66">
        <f t="shared" si="1"/>
        <v>27.05</v>
      </c>
      <c r="M107" s="66">
        <f t="shared" si="1"/>
        <v>98.15</v>
      </c>
      <c r="N107" s="66">
        <f t="shared" si="1"/>
        <v>546.6</v>
      </c>
      <c r="O107" s="66">
        <f t="shared" si="1"/>
        <v>0.2</v>
      </c>
      <c r="P107" s="66">
        <f t="shared" si="1"/>
        <v>0.78</v>
      </c>
      <c r="Q107" s="66">
        <f t="shared" si="1"/>
        <v>9.64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6.8769791666666675</v>
      </c>
      <c r="C108" s="67">
        <f t="shared" ref="C108:Q108" si="2">AVERAGE(C9:C104)</f>
        <v>8.1196875000000013</v>
      </c>
      <c r="D108" s="67">
        <f t="shared" si="2"/>
        <v>9.7473958333333339</v>
      </c>
      <c r="E108" s="67">
        <f t="shared" si="2"/>
        <v>4.5128125000000017</v>
      </c>
      <c r="F108" s="67">
        <f t="shared" si="2"/>
        <v>3.7753124999999987</v>
      </c>
      <c r="G108" s="67">
        <f t="shared" si="2"/>
        <v>10.339791666666658</v>
      </c>
      <c r="H108" s="67">
        <f t="shared" si="2"/>
        <v>2.547499999999999</v>
      </c>
      <c r="I108" s="67">
        <f t="shared" si="2"/>
        <v>1.2082291666666671</v>
      </c>
      <c r="J108" s="67">
        <f t="shared" si="2"/>
        <v>0.11593749999999999</v>
      </c>
      <c r="K108" s="67">
        <f t="shared" si="2"/>
        <v>279.39572916666668</v>
      </c>
      <c r="L108" s="67">
        <f t="shared" si="2"/>
        <v>24.298541666666669</v>
      </c>
      <c r="M108" s="67">
        <f t="shared" si="2"/>
        <v>98.076354166666633</v>
      </c>
      <c r="N108" s="67">
        <f t="shared" si="2"/>
        <v>120.38541666666663</v>
      </c>
      <c r="O108" s="67">
        <f t="shared" si="2"/>
        <v>2.0833333333333333E-3</v>
      </c>
      <c r="P108" s="67">
        <f t="shared" si="2"/>
        <v>0.30510416666666651</v>
      </c>
      <c r="Q108" s="67">
        <f t="shared" si="2"/>
        <v>9.4909374999999958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2.3721760473374212</v>
      </c>
      <c r="C109" s="67">
        <f t="shared" ref="C109:Q109" si="3">STDEV(C9:C104)</f>
        <v>1.4959414941592317</v>
      </c>
      <c r="D109" s="67">
        <f t="shared" si="3"/>
        <v>2.0894014478045353</v>
      </c>
      <c r="E109" s="67">
        <f t="shared" si="3"/>
        <v>0.51563288271484986</v>
      </c>
      <c r="F109" s="67">
        <f t="shared" si="3"/>
        <v>1.4128082919267024</v>
      </c>
      <c r="G109" s="67">
        <f t="shared" si="3"/>
        <v>5.4424446865968878</v>
      </c>
      <c r="H109" s="67">
        <f t="shared" si="3"/>
        <v>1.6549784543040225</v>
      </c>
      <c r="I109" s="67">
        <f t="shared" si="3"/>
        <v>0.68180410026660332</v>
      </c>
      <c r="J109" s="67">
        <f t="shared" si="3"/>
        <v>9.1944813253443072E-2</v>
      </c>
      <c r="K109" s="67">
        <f t="shared" si="3"/>
        <v>59.668923935942217</v>
      </c>
      <c r="L109" s="67">
        <f t="shared" si="3"/>
        <v>1.363358839250109</v>
      </c>
      <c r="M109" s="67">
        <f t="shared" si="3"/>
        <v>7.2098175634510625E-2</v>
      </c>
      <c r="N109" s="67">
        <f t="shared" si="3"/>
        <v>109.99807269045229</v>
      </c>
      <c r="O109" s="67">
        <f t="shared" si="3"/>
        <v>2.0412414523193152E-2</v>
      </c>
      <c r="P109" s="67">
        <f t="shared" si="3"/>
        <v>0.12807066134851403</v>
      </c>
      <c r="Q109" s="67">
        <f t="shared" si="3"/>
        <v>6.3296763449309956E-2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216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3" sqref="G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21/08/2025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2" t="s">
        <v>2167</v>
      </c>
      <c r="B9" s="64">
        <v>6.26</v>
      </c>
      <c r="C9" s="64">
        <v>6.04</v>
      </c>
      <c r="D9" s="64">
        <v>8.18</v>
      </c>
      <c r="E9" s="64">
        <v>4.8</v>
      </c>
      <c r="F9" s="64">
        <v>7.6</v>
      </c>
      <c r="G9" s="64">
        <v>16.46</v>
      </c>
      <c r="H9" s="64">
        <v>3.74</v>
      </c>
      <c r="I9" s="64">
        <v>0.87</v>
      </c>
      <c r="J9" s="64">
        <v>0.15</v>
      </c>
      <c r="K9" s="64">
        <v>128.09</v>
      </c>
      <c r="L9" s="64">
        <v>23.76</v>
      </c>
      <c r="M9" s="64">
        <v>98.13</v>
      </c>
      <c r="N9" s="64">
        <v>43.8</v>
      </c>
      <c r="O9" s="64">
        <v>0</v>
      </c>
      <c r="P9" s="64">
        <v>0.26</v>
      </c>
      <c r="Q9" s="64">
        <v>9.58</v>
      </c>
      <c r="R9" s="198"/>
      <c r="S9" s="198"/>
      <c r="T9" s="198"/>
      <c r="U9" s="198"/>
    </row>
    <row r="10" spans="1:21" s="12" customFormat="1" x14ac:dyDescent="0.25">
      <c r="A10" s="212" t="s">
        <v>2168</v>
      </c>
      <c r="B10" s="64">
        <v>6.09</v>
      </c>
      <c r="C10" s="64">
        <v>5.78</v>
      </c>
      <c r="D10" s="64">
        <v>7.91</v>
      </c>
      <c r="E10" s="64">
        <v>4.84</v>
      </c>
      <c r="F10" s="64">
        <v>7.14</v>
      </c>
      <c r="G10" s="64">
        <v>16.46</v>
      </c>
      <c r="H10" s="64">
        <v>3.74</v>
      </c>
      <c r="I10" s="64">
        <v>0.87</v>
      </c>
      <c r="J10" s="64">
        <v>0.04</v>
      </c>
      <c r="K10" s="64">
        <v>37.880000000000003</v>
      </c>
      <c r="L10" s="64">
        <v>23.61</v>
      </c>
      <c r="M10" s="64">
        <v>98.13</v>
      </c>
      <c r="N10" s="64">
        <v>43.7</v>
      </c>
      <c r="O10" s="64">
        <v>0</v>
      </c>
      <c r="P10" s="64">
        <v>0.26</v>
      </c>
      <c r="Q10" s="64">
        <v>9.58</v>
      </c>
      <c r="R10" s="198"/>
      <c r="S10" s="198"/>
      <c r="T10" s="198"/>
      <c r="U10" s="198"/>
    </row>
    <row r="11" spans="1:21" s="12" customFormat="1" x14ac:dyDescent="0.25">
      <c r="A11" s="212" t="s">
        <v>2169</v>
      </c>
      <c r="B11" s="64">
        <v>6.25</v>
      </c>
      <c r="C11" s="64">
        <v>5.52</v>
      </c>
      <c r="D11" s="64">
        <v>7.9</v>
      </c>
      <c r="E11" s="64">
        <v>5.14</v>
      </c>
      <c r="F11" s="64">
        <v>6.34</v>
      </c>
      <c r="G11" s="64">
        <v>16.46</v>
      </c>
      <c r="H11" s="64">
        <v>3.74</v>
      </c>
      <c r="I11" s="64">
        <v>0.86</v>
      </c>
      <c r="J11" s="64">
        <v>0.01</v>
      </c>
      <c r="K11" s="64">
        <v>160.36000000000001</v>
      </c>
      <c r="L11" s="64">
        <v>23.53</v>
      </c>
      <c r="M11" s="64">
        <v>98.13</v>
      </c>
      <c r="N11" s="64">
        <v>43.7</v>
      </c>
      <c r="O11" s="64">
        <v>0</v>
      </c>
      <c r="P11" s="64">
        <v>0.26</v>
      </c>
      <c r="Q11" s="64">
        <v>9.59</v>
      </c>
      <c r="R11" s="198"/>
      <c r="S11" s="198"/>
      <c r="T11" s="198"/>
      <c r="U11" s="198"/>
    </row>
    <row r="12" spans="1:21" s="12" customFormat="1" x14ac:dyDescent="0.25">
      <c r="A12" s="212" t="s">
        <v>2170</v>
      </c>
      <c r="B12" s="64">
        <v>7.34</v>
      </c>
      <c r="C12" s="64">
        <v>5.16</v>
      </c>
      <c r="D12" s="64">
        <v>8.58</v>
      </c>
      <c r="E12" s="64">
        <v>5</v>
      </c>
      <c r="F12" s="64">
        <v>3.44</v>
      </c>
      <c r="G12" s="64">
        <v>13.61</v>
      </c>
      <c r="H12" s="64">
        <v>3.98</v>
      </c>
      <c r="I12" s="64">
        <v>0.85</v>
      </c>
      <c r="J12" s="64">
        <v>0.06</v>
      </c>
      <c r="K12" s="64">
        <v>156.82</v>
      </c>
      <c r="L12" s="64">
        <v>23.51</v>
      </c>
      <c r="M12" s="64">
        <v>98.14</v>
      </c>
      <c r="N12" s="64">
        <v>43.6</v>
      </c>
      <c r="O12" s="64">
        <v>0</v>
      </c>
      <c r="P12" s="64">
        <v>0.31</v>
      </c>
      <c r="Q12" s="64">
        <v>9.58</v>
      </c>
      <c r="R12" s="198"/>
      <c r="S12" s="198"/>
      <c r="T12" s="198"/>
      <c r="U12" s="198"/>
    </row>
    <row r="13" spans="1:21" s="12" customFormat="1" x14ac:dyDescent="0.25">
      <c r="A13" s="212" t="s">
        <v>2171</v>
      </c>
      <c r="B13" s="64">
        <v>6.84</v>
      </c>
      <c r="C13" s="64">
        <v>5.01</v>
      </c>
      <c r="D13" s="64">
        <v>8.1</v>
      </c>
      <c r="E13" s="64">
        <v>5.01</v>
      </c>
      <c r="F13" s="64">
        <v>5.94</v>
      </c>
      <c r="G13" s="64">
        <v>12.18</v>
      </c>
      <c r="H13" s="64">
        <v>4.09</v>
      </c>
      <c r="I13" s="64">
        <v>0.91</v>
      </c>
      <c r="J13" s="64">
        <v>0.05</v>
      </c>
      <c r="K13" s="64">
        <v>90.5</v>
      </c>
      <c r="L13" s="64">
        <v>23.55</v>
      </c>
      <c r="M13" s="64">
        <v>98.14</v>
      </c>
      <c r="N13" s="64">
        <v>43.7</v>
      </c>
      <c r="O13" s="64">
        <v>0</v>
      </c>
      <c r="P13" s="64">
        <v>0.13</v>
      </c>
      <c r="Q13" s="64">
        <v>9.56</v>
      </c>
      <c r="R13" s="198"/>
      <c r="S13" s="198"/>
      <c r="T13" s="198"/>
      <c r="U13" s="198"/>
    </row>
    <row r="14" spans="1:21" s="12" customFormat="1" x14ac:dyDescent="0.25">
      <c r="A14" s="212" t="s">
        <v>2172</v>
      </c>
      <c r="B14" s="64">
        <v>7.53</v>
      </c>
      <c r="C14" s="64">
        <v>4.75</v>
      </c>
      <c r="D14" s="64">
        <v>8.52</v>
      </c>
      <c r="E14" s="64">
        <v>4.79</v>
      </c>
      <c r="F14" s="64">
        <v>4.0199999999999996</v>
      </c>
      <c r="G14" s="64">
        <v>12.18</v>
      </c>
      <c r="H14" s="64">
        <v>4.09</v>
      </c>
      <c r="I14" s="64">
        <v>0.89</v>
      </c>
      <c r="J14" s="64">
        <v>0.05</v>
      </c>
      <c r="K14" s="64">
        <v>68.319999999999993</v>
      </c>
      <c r="L14" s="64">
        <v>23.61</v>
      </c>
      <c r="M14" s="64">
        <v>98.14</v>
      </c>
      <c r="N14" s="64">
        <v>43.8</v>
      </c>
      <c r="O14" s="64">
        <v>0</v>
      </c>
      <c r="P14" s="64">
        <v>0.2</v>
      </c>
      <c r="Q14" s="64">
        <v>9.5500000000000007</v>
      </c>
      <c r="R14" s="198"/>
      <c r="S14" s="198"/>
      <c r="T14" s="198"/>
      <c r="U14" s="198"/>
    </row>
    <row r="15" spans="1:21" s="12" customFormat="1" x14ac:dyDescent="0.25">
      <c r="A15" s="212" t="s">
        <v>2173</v>
      </c>
      <c r="B15" s="64">
        <v>7.26</v>
      </c>
      <c r="C15" s="64">
        <v>4.79</v>
      </c>
      <c r="D15" s="64">
        <v>8.33</v>
      </c>
      <c r="E15" s="64">
        <v>4.9000000000000004</v>
      </c>
      <c r="F15" s="64">
        <v>4.54</v>
      </c>
      <c r="G15" s="64">
        <v>12.18</v>
      </c>
      <c r="H15" s="64">
        <v>4.09</v>
      </c>
      <c r="I15" s="64">
        <v>0.86</v>
      </c>
      <c r="J15" s="64">
        <v>7.0000000000000007E-2</v>
      </c>
      <c r="K15" s="64">
        <v>131.47</v>
      </c>
      <c r="L15" s="64">
        <v>23.62</v>
      </c>
      <c r="M15" s="64">
        <v>98.15</v>
      </c>
      <c r="N15" s="64">
        <v>43.7</v>
      </c>
      <c r="O15" s="64">
        <v>0</v>
      </c>
      <c r="P15" s="64">
        <v>0.18</v>
      </c>
      <c r="Q15" s="64">
        <v>9.5399999999999991</v>
      </c>
      <c r="R15" s="198"/>
      <c r="S15" s="198"/>
      <c r="T15" s="198"/>
      <c r="U15" s="198"/>
    </row>
    <row r="16" spans="1:21" s="12" customFormat="1" x14ac:dyDescent="0.25">
      <c r="A16" s="212" t="s">
        <v>2174</v>
      </c>
      <c r="B16" s="64">
        <v>7.36</v>
      </c>
      <c r="C16" s="64">
        <v>4.8600000000000003</v>
      </c>
      <c r="D16" s="64">
        <v>8.44</v>
      </c>
      <c r="E16" s="64">
        <v>4.6399999999999997</v>
      </c>
      <c r="F16" s="64">
        <v>4.8099999999999996</v>
      </c>
      <c r="G16" s="64">
        <v>11.04</v>
      </c>
      <c r="H16" s="64">
        <v>3.57</v>
      </c>
      <c r="I16" s="64">
        <v>0.89</v>
      </c>
      <c r="J16" s="64">
        <v>0.13</v>
      </c>
      <c r="K16" s="64">
        <v>127.11</v>
      </c>
      <c r="L16" s="64">
        <v>23.65</v>
      </c>
      <c r="M16" s="64">
        <v>98.11</v>
      </c>
      <c r="N16" s="64">
        <v>43.8</v>
      </c>
      <c r="O16" s="64">
        <v>0</v>
      </c>
      <c r="P16" s="64">
        <v>0.18</v>
      </c>
      <c r="Q16" s="64">
        <v>9.5299999999999994</v>
      </c>
      <c r="R16" s="198"/>
      <c r="S16" s="198"/>
      <c r="T16" s="198"/>
      <c r="U16" s="198"/>
    </row>
    <row r="17" spans="1:21" s="12" customFormat="1" x14ac:dyDescent="0.25">
      <c r="A17" s="212" t="s">
        <v>2175</v>
      </c>
      <c r="B17" s="64">
        <v>7.19</v>
      </c>
      <c r="C17" s="64">
        <v>5.07</v>
      </c>
      <c r="D17" s="64">
        <v>8.41</v>
      </c>
      <c r="E17" s="64">
        <v>4.93</v>
      </c>
      <c r="F17" s="64">
        <v>4.55</v>
      </c>
      <c r="G17" s="64">
        <v>10.47</v>
      </c>
      <c r="H17" s="64">
        <v>3.31</v>
      </c>
      <c r="I17" s="64">
        <v>0.87</v>
      </c>
      <c r="J17" s="64">
        <v>0.04</v>
      </c>
      <c r="K17" s="64">
        <v>208.41</v>
      </c>
      <c r="L17" s="64">
        <v>23.68</v>
      </c>
      <c r="M17" s="64">
        <v>98.1</v>
      </c>
      <c r="N17" s="64">
        <v>43.8</v>
      </c>
      <c r="O17" s="64">
        <v>0</v>
      </c>
      <c r="P17" s="64">
        <v>0.18</v>
      </c>
      <c r="Q17" s="64">
        <v>9.5399999999999991</v>
      </c>
      <c r="R17" s="198"/>
      <c r="S17" s="198"/>
      <c r="T17" s="198"/>
      <c r="U17" s="198"/>
    </row>
    <row r="18" spans="1:21" s="12" customFormat="1" x14ac:dyDescent="0.25">
      <c r="A18" s="212" t="s">
        <v>2176</v>
      </c>
      <c r="B18" s="64">
        <v>8.01</v>
      </c>
      <c r="C18" s="64">
        <v>5.0599999999999996</v>
      </c>
      <c r="D18" s="64">
        <v>9.07</v>
      </c>
      <c r="E18" s="64">
        <v>4.59</v>
      </c>
      <c r="F18" s="64">
        <v>2.42</v>
      </c>
      <c r="G18" s="64">
        <v>10.47</v>
      </c>
      <c r="H18" s="64">
        <v>3.31</v>
      </c>
      <c r="I18" s="64">
        <v>0.85</v>
      </c>
      <c r="J18" s="64">
        <v>0.12</v>
      </c>
      <c r="K18" s="64">
        <v>307.94</v>
      </c>
      <c r="L18" s="64">
        <v>23.83</v>
      </c>
      <c r="M18" s="64">
        <v>98.09</v>
      </c>
      <c r="N18" s="64">
        <v>43.8</v>
      </c>
      <c r="O18" s="64">
        <v>0</v>
      </c>
      <c r="P18" s="64">
        <v>0.21</v>
      </c>
      <c r="Q18" s="64">
        <v>9.5299999999999994</v>
      </c>
      <c r="R18" s="198"/>
      <c r="S18" s="198"/>
      <c r="T18" s="198"/>
      <c r="U18" s="198"/>
    </row>
    <row r="19" spans="1:21" s="12" customFormat="1" x14ac:dyDescent="0.25">
      <c r="A19" s="212" t="s">
        <v>2177</v>
      </c>
      <c r="B19" s="64">
        <v>7.69</v>
      </c>
      <c r="C19" s="64">
        <v>5.3</v>
      </c>
      <c r="D19" s="64">
        <v>8.94</v>
      </c>
      <c r="E19" s="64">
        <v>4.6500000000000004</v>
      </c>
      <c r="F19" s="64">
        <v>2.12</v>
      </c>
      <c r="G19" s="64">
        <v>10.47</v>
      </c>
      <c r="H19" s="64">
        <v>3.31</v>
      </c>
      <c r="I19" s="64">
        <v>0.83</v>
      </c>
      <c r="J19" s="64">
        <v>0.17</v>
      </c>
      <c r="K19" s="64">
        <v>306.99</v>
      </c>
      <c r="L19" s="64">
        <v>23.87</v>
      </c>
      <c r="M19" s="64">
        <v>98.06</v>
      </c>
      <c r="N19" s="64">
        <v>43.8</v>
      </c>
      <c r="O19" s="64">
        <v>0</v>
      </c>
      <c r="P19" s="64">
        <v>0.19</v>
      </c>
      <c r="Q19" s="64">
        <v>9.5</v>
      </c>
      <c r="R19" s="198"/>
      <c r="S19" s="198"/>
      <c r="T19" s="198"/>
      <c r="U19" s="198"/>
    </row>
    <row r="20" spans="1:21" s="12" customFormat="1" x14ac:dyDescent="0.25">
      <c r="A20" s="212" t="s">
        <v>2178</v>
      </c>
      <c r="B20" s="64">
        <v>7.29</v>
      </c>
      <c r="C20" s="64">
        <v>5.85</v>
      </c>
      <c r="D20" s="64">
        <v>8.91</v>
      </c>
      <c r="E20" s="64">
        <v>4.78</v>
      </c>
      <c r="F20" s="64">
        <v>2.33</v>
      </c>
      <c r="G20" s="64">
        <v>8.75</v>
      </c>
      <c r="H20" s="64">
        <v>2.79</v>
      </c>
      <c r="I20" s="64">
        <v>0.8</v>
      </c>
      <c r="J20" s="64">
        <v>0.17</v>
      </c>
      <c r="K20" s="64">
        <v>307.73</v>
      </c>
      <c r="L20" s="64">
        <v>23.85</v>
      </c>
      <c r="M20" s="64">
        <v>98.04</v>
      </c>
      <c r="N20" s="64">
        <v>43.8</v>
      </c>
      <c r="O20" s="64">
        <v>0</v>
      </c>
      <c r="P20" s="64">
        <v>0.19</v>
      </c>
      <c r="Q20" s="64">
        <v>9.48</v>
      </c>
      <c r="R20" s="198"/>
      <c r="S20" s="198"/>
      <c r="T20" s="198"/>
      <c r="U20" s="198"/>
    </row>
    <row r="21" spans="1:21" s="12" customFormat="1" x14ac:dyDescent="0.25">
      <c r="A21" s="212" t="s">
        <v>2179</v>
      </c>
      <c r="B21" s="64">
        <v>6.93</v>
      </c>
      <c r="C21" s="64">
        <v>6.22</v>
      </c>
      <c r="D21" s="64">
        <v>8.81</v>
      </c>
      <c r="E21" s="64">
        <v>4.68</v>
      </c>
      <c r="F21" s="64">
        <v>2.82</v>
      </c>
      <c r="G21" s="64">
        <v>7.85</v>
      </c>
      <c r="H21" s="64">
        <v>2.5299999999999998</v>
      </c>
      <c r="I21" s="64">
        <v>0.77</v>
      </c>
      <c r="J21" s="64">
        <v>0.13</v>
      </c>
      <c r="K21" s="64">
        <v>301.64</v>
      </c>
      <c r="L21" s="64">
        <v>23.76</v>
      </c>
      <c r="M21" s="64">
        <v>98.05</v>
      </c>
      <c r="N21" s="64">
        <v>43.8</v>
      </c>
      <c r="O21" s="64">
        <v>0</v>
      </c>
      <c r="P21" s="64">
        <v>0.19</v>
      </c>
      <c r="Q21" s="64">
        <v>9.4700000000000006</v>
      </c>
      <c r="R21" s="198"/>
      <c r="S21" s="198"/>
      <c r="T21" s="198"/>
      <c r="U21" s="198"/>
    </row>
    <row r="22" spans="1:21" s="12" customFormat="1" x14ac:dyDescent="0.25">
      <c r="A22" s="212" t="s">
        <v>2180</v>
      </c>
      <c r="B22" s="64">
        <v>6.55</v>
      </c>
      <c r="C22" s="64">
        <v>6.39</v>
      </c>
      <c r="D22" s="64">
        <v>8.59</v>
      </c>
      <c r="E22" s="64">
        <v>4.74</v>
      </c>
      <c r="F22" s="64">
        <v>3.03</v>
      </c>
      <c r="G22" s="64">
        <v>7.85</v>
      </c>
      <c r="H22" s="64">
        <v>2.5299999999999998</v>
      </c>
      <c r="I22" s="64">
        <v>0.77</v>
      </c>
      <c r="J22" s="64">
        <v>0.14000000000000001</v>
      </c>
      <c r="K22" s="64">
        <v>302.01</v>
      </c>
      <c r="L22" s="64">
        <v>23.7</v>
      </c>
      <c r="M22" s="64">
        <v>98.03</v>
      </c>
      <c r="N22" s="64">
        <v>44</v>
      </c>
      <c r="O22" s="64">
        <v>0</v>
      </c>
      <c r="P22" s="64">
        <v>0.19</v>
      </c>
      <c r="Q22" s="64">
        <v>9.49</v>
      </c>
      <c r="R22" s="198"/>
      <c r="S22" s="198"/>
      <c r="T22" s="198"/>
      <c r="U22" s="198"/>
    </row>
    <row r="23" spans="1:21" s="12" customFormat="1" x14ac:dyDescent="0.25">
      <c r="A23" s="212" t="s">
        <v>2181</v>
      </c>
      <c r="B23" s="64">
        <v>6.45</v>
      </c>
      <c r="C23" s="64">
        <v>6.17</v>
      </c>
      <c r="D23" s="64">
        <v>8.4</v>
      </c>
      <c r="E23" s="64">
        <v>4.47</v>
      </c>
      <c r="F23" s="64">
        <v>3.07</v>
      </c>
      <c r="G23" s="64">
        <v>7.85</v>
      </c>
      <c r="H23" s="64">
        <v>2.5299999999999998</v>
      </c>
      <c r="I23" s="64">
        <v>0.76</v>
      </c>
      <c r="J23" s="64">
        <v>0.11</v>
      </c>
      <c r="K23" s="64">
        <v>305.44</v>
      </c>
      <c r="L23" s="64">
        <v>23.55</v>
      </c>
      <c r="M23" s="64">
        <v>98.06</v>
      </c>
      <c r="N23" s="64">
        <v>43.8</v>
      </c>
      <c r="O23" s="64">
        <v>0</v>
      </c>
      <c r="P23" s="64">
        <v>0.16</v>
      </c>
      <c r="Q23" s="64">
        <v>9.49</v>
      </c>
      <c r="R23" s="198"/>
      <c r="S23" s="198"/>
      <c r="T23" s="198"/>
      <c r="U23" s="198"/>
    </row>
    <row r="24" spans="1:21" s="12" customFormat="1" x14ac:dyDescent="0.25">
      <c r="A24" s="212" t="s">
        <v>2182</v>
      </c>
      <c r="B24" s="64">
        <v>6.34</v>
      </c>
      <c r="C24" s="64">
        <v>6.35</v>
      </c>
      <c r="D24" s="64">
        <v>8.4</v>
      </c>
      <c r="E24" s="64">
        <v>4.5999999999999996</v>
      </c>
      <c r="F24" s="64">
        <v>2.7</v>
      </c>
      <c r="G24" s="64">
        <v>6.46</v>
      </c>
      <c r="H24" s="64">
        <v>3.15</v>
      </c>
      <c r="I24" s="64">
        <v>0.74</v>
      </c>
      <c r="J24" s="64">
        <v>0.16</v>
      </c>
      <c r="K24" s="64">
        <v>310.38</v>
      </c>
      <c r="L24" s="64">
        <v>23.54</v>
      </c>
      <c r="M24" s="64">
        <v>98.04</v>
      </c>
      <c r="N24" s="64">
        <v>43.8</v>
      </c>
      <c r="O24" s="64">
        <v>0</v>
      </c>
      <c r="P24" s="64">
        <v>0.17</v>
      </c>
      <c r="Q24" s="64">
        <v>9.49</v>
      </c>
      <c r="R24" s="198"/>
      <c r="S24" s="198"/>
      <c r="T24" s="198"/>
      <c r="U24" s="198"/>
    </row>
    <row r="25" spans="1:21" s="12" customFormat="1" x14ac:dyDescent="0.25">
      <c r="A25" s="212" t="s">
        <v>2183</v>
      </c>
      <c r="B25" s="64">
        <v>6.1</v>
      </c>
      <c r="C25" s="64">
        <v>6.51</v>
      </c>
      <c r="D25" s="64">
        <v>8.2899999999999991</v>
      </c>
      <c r="E25" s="64">
        <v>4.84</v>
      </c>
      <c r="F25" s="64">
        <v>2.63</v>
      </c>
      <c r="G25" s="64">
        <v>5.76</v>
      </c>
      <c r="H25" s="64">
        <v>3.46</v>
      </c>
      <c r="I25" s="64">
        <v>0.72</v>
      </c>
      <c r="J25" s="64">
        <v>0.2</v>
      </c>
      <c r="K25" s="64">
        <v>301.92</v>
      </c>
      <c r="L25" s="64">
        <v>23.61</v>
      </c>
      <c r="M25" s="64">
        <v>98.03</v>
      </c>
      <c r="N25" s="64">
        <v>43.8</v>
      </c>
      <c r="O25" s="64">
        <v>0</v>
      </c>
      <c r="P25" s="64">
        <v>0.17</v>
      </c>
      <c r="Q25" s="64">
        <v>9.48</v>
      </c>
      <c r="R25" s="198"/>
      <c r="S25" s="198"/>
      <c r="T25" s="198"/>
      <c r="U25" s="198"/>
    </row>
    <row r="26" spans="1:21" s="12" customFormat="1" x14ac:dyDescent="0.25">
      <c r="A26" s="212" t="s">
        <v>2184</v>
      </c>
      <c r="B26" s="64">
        <v>5.84</v>
      </c>
      <c r="C26" s="64">
        <v>6.66</v>
      </c>
      <c r="D26" s="64">
        <v>8.16</v>
      </c>
      <c r="E26" s="64">
        <v>4.41</v>
      </c>
      <c r="F26" s="64">
        <v>2.12</v>
      </c>
      <c r="G26" s="64">
        <v>5.76</v>
      </c>
      <c r="H26" s="64">
        <v>3.46</v>
      </c>
      <c r="I26" s="64">
        <v>0.71</v>
      </c>
      <c r="J26" s="64">
        <v>0.18</v>
      </c>
      <c r="K26" s="64">
        <v>287.7</v>
      </c>
      <c r="L26" s="64">
        <v>23.66</v>
      </c>
      <c r="M26" s="64">
        <v>98.03</v>
      </c>
      <c r="N26" s="64">
        <v>43.9</v>
      </c>
      <c r="O26" s="64">
        <v>0</v>
      </c>
      <c r="P26" s="64">
        <v>0.16</v>
      </c>
      <c r="Q26" s="64">
        <v>9.4600000000000009</v>
      </c>
      <c r="R26" s="198"/>
      <c r="S26" s="198"/>
      <c r="T26" s="198"/>
      <c r="U26" s="198"/>
    </row>
    <row r="27" spans="1:21" s="12" customFormat="1" x14ac:dyDescent="0.25">
      <c r="A27" s="212" t="s">
        <v>2185</v>
      </c>
      <c r="B27" s="64">
        <v>5.45</v>
      </c>
      <c r="C27" s="64">
        <v>6.84</v>
      </c>
      <c r="D27" s="64">
        <v>7.94</v>
      </c>
      <c r="E27" s="64">
        <v>4.76</v>
      </c>
      <c r="F27" s="64">
        <v>2.8</v>
      </c>
      <c r="G27" s="64">
        <v>5.76</v>
      </c>
      <c r="H27" s="64">
        <v>3.46</v>
      </c>
      <c r="I27" s="64">
        <v>0.68</v>
      </c>
      <c r="J27" s="64">
        <v>0.11</v>
      </c>
      <c r="K27" s="64">
        <v>281.14</v>
      </c>
      <c r="L27" s="64">
        <v>23.29</v>
      </c>
      <c r="M27" s="64">
        <v>98.08</v>
      </c>
      <c r="N27" s="64">
        <v>43.6</v>
      </c>
      <c r="O27" s="64">
        <v>0</v>
      </c>
      <c r="P27" s="64">
        <v>0.14000000000000001</v>
      </c>
      <c r="Q27" s="64">
        <v>9.4499999999999993</v>
      </c>
      <c r="R27" s="198"/>
      <c r="S27" s="198"/>
      <c r="T27" s="198"/>
      <c r="U27" s="198"/>
    </row>
    <row r="28" spans="1:21" s="12" customFormat="1" x14ac:dyDescent="0.25">
      <c r="A28" s="212" t="s">
        <v>2186</v>
      </c>
      <c r="B28" s="64">
        <v>5.21</v>
      </c>
      <c r="C28" s="64">
        <v>6.83</v>
      </c>
      <c r="D28" s="64">
        <v>7.74</v>
      </c>
      <c r="E28" s="64">
        <v>4.66</v>
      </c>
      <c r="F28" s="64">
        <v>3.12</v>
      </c>
      <c r="G28" s="64">
        <v>6.82</v>
      </c>
      <c r="H28" s="64">
        <v>3.45</v>
      </c>
      <c r="I28" s="64">
        <v>0.66</v>
      </c>
      <c r="J28" s="64">
        <v>0.04</v>
      </c>
      <c r="K28" s="64">
        <v>313.63</v>
      </c>
      <c r="L28" s="64">
        <v>22.93</v>
      </c>
      <c r="M28" s="64">
        <v>98.11</v>
      </c>
      <c r="N28" s="64">
        <v>43.3</v>
      </c>
      <c r="O28" s="64">
        <v>0</v>
      </c>
      <c r="P28" s="64">
        <v>0.13</v>
      </c>
      <c r="Q28" s="64">
        <v>9.4499999999999993</v>
      </c>
      <c r="R28" s="198"/>
      <c r="S28" s="198"/>
      <c r="T28" s="198"/>
      <c r="U28" s="198"/>
    </row>
    <row r="29" spans="1:21" s="12" customFormat="1" x14ac:dyDescent="0.25">
      <c r="A29" s="212" t="s">
        <v>2187</v>
      </c>
      <c r="B29" s="64">
        <v>5.31</v>
      </c>
      <c r="C29" s="64">
        <v>6.59</v>
      </c>
      <c r="D29" s="64">
        <v>7.7</v>
      </c>
      <c r="E29" s="64">
        <v>4.7</v>
      </c>
      <c r="F29" s="64">
        <v>2.4500000000000002</v>
      </c>
      <c r="G29" s="64">
        <v>7.36</v>
      </c>
      <c r="H29" s="64">
        <v>3.44</v>
      </c>
      <c r="I29" s="64">
        <v>0.64</v>
      </c>
      <c r="J29" s="64">
        <v>0.09</v>
      </c>
      <c r="K29" s="64">
        <v>295.61</v>
      </c>
      <c r="L29" s="64">
        <v>23</v>
      </c>
      <c r="M29" s="64">
        <v>98.12</v>
      </c>
      <c r="N29" s="64">
        <v>43.7</v>
      </c>
      <c r="O29" s="64">
        <v>0</v>
      </c>
      <c r="P29" s="64">
        <v>0.15</v>
      </c>
      <c r="Q29" s="64">
        <v>9.44</v>
      </c>
      <c r="R29" s="198"/>
      <c r="S29" s="198"/>
      <c r="T29" s="198"/>
      <c r="U29" s="198"/>
    </row>
    <row r="30" spans="1:21" s="12" customFormat="1" x14ac:dyDescent="0.25">
      <c r="A30" s="212" t="s">
        <v>2188</v>
      </c>
      <c r="B30" s="64">
        <v>5.42</v>
      </c>
      <c r="C30" s="64">
        <v>6.44</v>
      </c>
      <c r="D30" s="64">
        <v>7.71</v>
      </c>
      <c r="E30" s="64">
        <v>4.5999999999999996</v>
      </c>
      <c r="F30" s="64">
        <v>2.2400000000000002</v>
      </c>
      <c r="G30" s="64">
        <v>7.36</v>
      </c>
      <c r="H30" s="64">
        <v>3.44</v>
      </c>
      <c r="I30" s="64">
        <v>0.63</v>
      </c>
      <c r="J30" s="64">
        <v>0.14000000000000001</v>
      </c>
      <c r="K30" s="64">
        <v>317.5</v>
      </c>
      <c r="L30" s="64">
        <v>23.1</v>
      </c>
      <c r="M30" s="64">
        <v>98.13</v>
      </c>
      <c r="N30" s="64">
        <v>44</v>
      </c>
      <c r="O30" s="64">
        <v>0</v>
      </c>
      <c r="P30" s="64">
        <v>0.15</v>
      </c>
      <c r="Q30" s="64">
        <v>9.42</v>
      </c>
      <c r="R30" s="198"/>
      <c r="S30" s="198"/>
      <c r="T30" s="198"/>
      <c r="U30" s="198"/>
    </row>
    <row r="31" spans="1:21" s="12" customFormat="1" x14ac:dyDescent="0.25">
      <c r="A31" s="212" t="s">
        <v>2189</v>
      </c>
      <c r="B31" s="64">
        <v>5.36</v>
      </c>
      <c r="C31" s="64">
        <v>6.38</v>
      </c>
      <c r="D31" s="64">
        <v>7.63</v>
      </c>
      <c r="E31" s="64">
        <v>4.6500000000000004</v>
      </c>
      <c r="F31" s="64">
        <v>3.35</v>
      </c>
      <c r="G31" s="64">
        <v>7.36</v>
      </c>
      <c r="H31" s="64">
        <v>3.44</v>
      </c>
      <c r="I31" s="64">
        <v>0.62</v>
      </c>
      <c r="J31" s="64">
        <v>0.03</v>
      </c>
      <c r="K31" s="64">
        <v>277.60000000000002</v>
      </c>
      <c r="L31" s="64">
        <v>23.17</v>
      </c>
      <c r="M31" s="64">
        <v>98.13</v>
      </c>
      <c r="N31" s="64">
        <v>46</v>
      </c>
      <c r="O31" s="64">
        <v>0.2</v>
      </c>
      <c r="P31" s="64">
        <v>0.14000000000000001</v>
      </c>
      <c r="Q31" s="64">
        <v>9.42</v>
      </c>
      <c r="R31" s="198"/>
      <c r="S31" s="198"/>
      <c r="T31" s="198"/>
      <c r="U31" s="198"/>
    </row>
    <row r="32" spans="1:21" s="12" customFormat="1" x14ac:dyDescent="0.25">
      <c r="A32" s="212" t="s">
        <v>2190</v>
      </c>
      <c r="B32" s="64">
        <v>5.49</v>
      </c>
      <c r="C32" s="64">
        <v>6.51</v>
      </c>
      <c r="D32" s="64">
        <v>7.8</v>
      </c>
      <c r="E32" s="64">
        <v>4.33</v>
      </c>
      <c r="F32" s="64">
        <v>2.5499999999999998</v>
      </c>
      <c r="G32" s="64">
        <v>6.56</v>
      </c>
      <c r="H32" s="64">
        <v>2.89</v>
      </c>
      <c r="I32" s="64">
        <v>0.6</v>
      </c>
      <c r="J32" s="64">
        <v>0.13</v>
      </c>
      <c r="K32" s="64">
        <v>307.89</v>
      </c>
      <c r="L32" s="64">
        <v>23.31</v>
      </c>
      <c r="M32" s="64">
        <v>98.11</v>
      </c>
      <c r="N32" s="64">
        <v>57.9</v>
      </c>
      <c r="O32" s="64">
        <v>0</v>
      </c>
      <c r="P32" s="64">
        <v>0.15</v>
      </c>
      <c r="Q32" s="64">
        <v>9.42</v>
      </c>
      <c r="R32" s="198"/>
      <c r="S32" s="198"/>
      <c r="T32" s="198"/>
      <c r="U32" s="198"/>
    </row>
    <row r="33" spans="1:21" s="12" customFormat="1" x14ac:dyDescent="0.25">
      <c r="A33" s="212" t="s">
        <v>2191</v>
      </c>
      <c r="B33" s="64">
        <v>5.5</v>
      </c>
      <c r="C33" s="64">
        <v>6.37</v>
      </c>
      <c r="D33" s="64">
        <v>7.73</v>
      </c>
      <c r="E33" s="64">
        <v>4.53</v>
      </c>
      <c r="F33" s="64">
        <v>2.21</v>
      </c>
      <c r="G33" s="64">
        <v>6.16</v>
      </c>
      <c r="H33" s="64">
        <v>2.61</v>
      </c>
      <c r="I33" s="64">
        <v>0.59</v>
      </c>
      <c r="J33" s="64">
        <v>0.15</v>
      </c>
      <c r="K33" s="64">
        <v>296.88</v>
      </c>
      <c r="L33" s="64">
        <v>23.45</v>
      </c>
      <c r="M33" s="64">
        <v>98.12</v>
      </c>
      <c r="N33" s="64">
        <v>70.900000000000006</v>
      </c>
      <c r="O33" s="64">
        <v>0</v>
      </c>
      <c r="P33" s="64">
        <v>0.14000000000000001</v>
      </c>
      <c r="Q33" s="64">
        <v>9.41</v>
      </c>
      <c r="R33" s="198"/>
      <c r="S33" s="198"/>
      <c r="T33" s="198"/>
      <c r="U33" s="198"/>
    </row>
    <row r="34" spans="1:21" s="12" customFormat="1" x14ac:dyDescent="0.25">
      <c r="A34" s="212" t="s">
        <v>2192</v>
      </c>
      <c r="B34" s="64">
        <v>5.46</v>
      </c>
      <c r="C34" s="64">
        <v>6.73</v>
      </c>
      <c r="D34" s="64">
        <v>7.89</v>
      </c>
      <c r="E34" s="64">
        <v>4.6900000000000004</v>
      </c>
      <c r="F34" s="64">
        <v>2.92</v>
      </c>
      <c r="G34" s="64">
        <v>6.16</v>
      </c>
      <c r="H34" s="64">
        <v>2.61</v>
      </c>
      <c r="I34" s="64">
        <v>0.59</v>
      </c>
      <c r="J34" s="64">
        <v>0.1</v>
      </c>
      <c r="K34" s="64">
        <v>291.49</v>
      </c>
      <c r="L34" s="64">
        <v>23.57</v>
      </c>
      <c r="M34" s="64">
        <v>98.13</v>
      </c>
      <c r="N34" s="64">
        <v>87.4</v>
      </c>
      <c r="O34" s="64">
        <v>0</v>
      </c>
      <c r="P34" s="64">
        <v>0.14000000000000001</v>
      </c>
      <c r="Q34" s="64">
        <v>9.41</v>
      </c>
      <c r="R34" s="198"/>
      <c r="S34" s="198"/>
      <c r="T34" s="198"/>
      <c r="U34" s="198"/>
    </row>
    <row r="35" spans="1:21" s="12" customFormat="1" x14ac:dyDescent="0.25">
      <c r="A35" s="212" t="s">
        <v>2193</v>
      </c>
      <c r="B35" s="64">
        <v>6.92</v>
      </c>
      <c r="C35" s="64">
        <v>6.67</v>
      </c>
      <c r="D35" s="64">
        <v>9.0399999999999991</v>
      </c>
      <c r="E35" s="64">
        <v>4.76</v>
      </c>
      <c r="F35" s="64">
        <v>2.57</v>
      </c>
      <c r="G35" s="64">
        <v>6.16</v>
      </c>
      <c r="H35" s="64">
        <v>2.61</v>
      </c>
      <c r="I35" s="64">
        <v>0.6</v>
      </c>
      <c r="J35" s="64">
        <v>0.08</v>
      </c>
      <c r="K35" s="64">
        <v>286.93</v>
      </c>
      <c r="L35" s="64">
        <v>23.65</v>
      </c>
      <c r="M35" s="64">
        <v>98.13</v>
      </c>
      <c r="N35" s="64">
        <v>96.9</v>
      </c>
      <c r="O35" s="64">
        <v>0</v>
      </c>
      <c r="P35" s="64">
        <v>0.15</v>
      </c>
      <c r="Q35" s="64">
        <v>9.42</v>
      </c>
      <c r="R35" s="198"/>
      <c r="S35" s="198"/>
      <c r="T35" s="198"/>
      <c r="U35" s="198"/>
    </row>
    <row r="36" spans="1:21" s="12" customFormat="1" x14ac:dyDescent="0.25">
      <c r="A36" s="212" t="s">
        <v>2194</v>
      </c>
      <c r="B36" s="64">
        <v>6.12</v>
      </c>
      <c r="C36" s="64">
        <v>6.62</v>
      </c>
      <c r="D36" s="64">
        <v>8.3699999999999992</v>
      </c>
      <c r="E36" s="64">
        <v>4.8</v>
      </c>
      <c r="F36" s="64">
        <v>3.09</v>
      </c>
      <c r="G36" s="64">
        <v>7.83</v>
      </c>
      <c r="H36" s="64">
        <v>2.25</v>
      </c>
      <c r="I36" s="64">
        <v>0.61</v>
      </c>
      <c r="J36" s="64">
        <v>0.04</v>
      </c>
      <c r="K36" s="64">
        <v>245.48</v>
      </c>
      <c r="L36" s="64">
        <v>23.67</v>
      </c>
      <c r="M36" s="64">
        <v>98.13</v>
      </c>
      <c r="N36" s="64">
        <v>93.9</v>
      </c>
      <c r="O36" s="64">
        <v>0</v>
      </c>
      <c r="P36" s="64">
        <v>0.14000000000000001</v>
      </c>
      <c r="Q36" s="64">
        <v>9.42</v>
      </c>
      <c r="R36" s="198"/>
      <c r="S36" s="198"/>
      <c r="T36" s="198"/>
      <c r="U36" s="198"/>
    </row>
    <row r="37" spans="1:21" s="12" customFormat="1" x14ac:dyDescent="0.25">
      <c r="A37" s="212" t="s">
        <v>2195</v>
      </c>
      <c r="B37" s="64">
        <v>6.06</v>
      </c>
      <c r="C37" s="64">
        <v>6.28</v>
      </c>
      <c r="D37" s="64">
        <v>8.14</v>
      </c>
      <c r="E37" s="64">
        <v>4.45</v>
      </c>
      <c r="F37" s="64">
        <v>2.34</v>
      </c>
      <c r="G37" s="64">
        <v>8.66</v>
      </c>
      <c r="H37" s="64">
        <v>2.0699999999999998</v>
      </c>
      <c r="I37" s="64">
        <v>0.62</v>
      </c>
      <c r="J37" s="64">
        <v>0.11</v>
      </c>
      <c r="K37" s="64">
        <v>289.87</v>
      </c>
      <c r="L37" s="64">
        <v>23.66</v>
      </c>
      <c r="M37" s="64">
        <v>98.13</v>
      </c>
      <c r="N37" s="64">
        <v>95.1</v>
      </c>
      <c r="O37" s="64">
        <v>0</v>
      </c>
      <c r="P37" s="64">
        <v>0.13</v>
      </c>
      <c r="Q37" s="64">
        <v>9.42</v>
      </c>
      <c r="R37" s="198"/>
      <c r="S37" s="198"/>
      <c r="T37" s="198"/>
      <c r="U37" s="198"/>
    </row>
    <row r="38" spans="1:21" s="12" customFormat="1" x14ac:dyDescent="0.25">
      <c r="A38" s="212" t="s">
        <v>2196</v>
      </c>
      <c r="B38" s="64">
        <v>6</v>
      </c>
      <c r="C38" s="64">
        <v>6.2</v>
      </c>
      <c r="D38" s="64">
        <v>8.0500000000000007</v>
      </c>
      <c r="E38" s="64">
        <v>4.83</v>
      </c>
      <c r="F38" s="64">
        <v>2.2200000000000002</v>
      </c>
      <c r="G38" s="64">
        <v>8.66</v>
      </c>
      <c r="H38" s="64">
        <v>2.0699999999999998</v>
      </c>
      <c r="I38" s="64">
        <v>0.63</v>
      </c>
      <c r="J38" s="64">
        <v>0.17</v>
      </c>
      <c r="K38" s="64">
        <v>291.74</v>
      </c>
      <c r="L38" s="64">
        <v>23.77</v>
      </c>
      <c r="M38" s="64">
        <v>98.12</v>
      </c>
      <c r="N38" s="64">
        <v>124.3</v>
      </c>
      <c r="O38" s="64">
        <v>0</v>
      </c>
      <c r="P38" s="64">
        <v>0.15</v>
      </c>
      <c r="Q38" s="64">
        <v>9.42</v>
      </c>
      <c r="R38" s="198"/>
      <c r="S38" s="198"/>
      <c r="T38" s="198"/>
      <c r="U38" s="198"/>
    </row>
    <row r="39" spans="1:21" s="12" customFormat="1" x14ac:dyDescent="0.25">
      <c r="A39" s="212" t="s">
        <v>2197</v>
      </c>
      <c r="B39" s="64">
        <v>6.13</v>
      </c>
      <c r="C39" s="64">
        <v>7.05</v>
      </c>
      <c r="D39" s="64">
        <v>8.6</v>
      </c>
      <c r="E39" s="64">
        <v>3.63</v>
      </c>
      <c r="F39" s="64">
        <v>2.11</v>
      </c>
      <c r="G39" s="64">
        <v>8.66</v>
      </c>
      <c r="H39" s="64">
        <v>2.0699999999999998</v>
      </c>
      <c r="I39" s="64">
        <v>0.64</v>
      </c>
      <c r="J39" s="64">
        <v>0.21</v>
      </c>
      <c r="K39" s="64">
        <v>289.52</v>
      </c>
      <c r="L39" s="64">
        <v>24.21</v>
      </c>
      <c r="M39" s="64">
        <v>98.08</v>
      </c>
      <c r="N39" s="64">
        <v>189.8</v>
      </c>
      <c r="O39" s="64">
        <v>0</v>
      </c>
      <c r="P39" s="64">
        <v>0.16</v>
      </c>
      <c r="Q39" s="64">
        <v>9.43</v>
      </c>
      <c r="R39" s="198"/>
      <c r="S39" s="198"/>
      <c r="T39" s="198"/>
      <c r="U39" s="198"/>
    </row>
    <row r="40" spans="1:21" s="12" customFormat="1" x14ac:dyDescent="0.25">
      <c r="A40" s="212" t="s">
        <v>2198</v>
      </c>
      <c r="B40" s="64">
        <v>6.32</v>
      </c>
      <c r="C40" s="64">
        <v>7.17</v>
      </c>
      <c r="D40" s="64">
        <v>8.81</v>
      </c>
      <c r="E40" s="64">
        <v>3.32</v>
      </c>
      <c r="F40" s="64">
        <v>2.11</v>
      </c>
      <c r="G40" s="64">
        <v>7.97</v>
      </c>
      <c r="H40" s="64">
        <v>1.88</v>
      </c>
      <c r="I40" s="64">
        <v>0.66</v>
      </c>
      <c r="J40" s="64">
        <v>0.24</v>
      </c>
      <c r="K40" s="64">
        <v>292.89999999999998</v>
      </c>
      <c r="L40" s="64">
        <v>25.1</v>
      </c>
      <c r="M40" s="64">
        <v>98.03</v>
      </c>
      <c r="N40" s="64">
        <v>372.1</v>
      </c>
      <c r="O40" s="64">
        <v>0</v>
      </c>
      <c r="P40" s="64">
        <v>0.17</v>
      </c>
      <c r="Q40" s="64">
        <v>9.4499999999999993</v>
      </c>
      <c r="R40" s="198"/>
      <c r="S40" s="198"/>
      <c r="T40" s="198"/>
      <c r="U40" s="198"/>
    </row>
    <row r="41" spans="1:21" s="12" customFormat="1" x14ac:dyDescent="0.25">
      <c r="A41" s="212" t="s">
        <v>2199</v>
      </c>
      <c r="B41" s="64">
        <v>6.33</v>
      </c>
      <c r="C41" s="64">
        <v>7.23</v>
      </c>
      <c r="D41" s="64">
        <v>8.85</v>
      </c>
      <c r="E41" s="64">
        <v>4.01</v>
      </c>
      <c r="F41" s="64">
        <v>2.11</v>
      </c>
      <c r="G41" s="64">
        <v>7.63</v>
      </c>
      <c r="H41" s="64">
        <v>1.79</v>
      </c>
      <c r="I41" s="64">
        <v>0.67</v>
      </c>
      <c r="J41" s="64">
        <v>0.19</v>
      </c>
      <c r="K41" s="64">
        <v>297.26</v>
      </c>
      <c r="L41" s="64">
        <v>25.07</v>
      </c>
      <c r="M41" s="64">
        <v>98.02</v>
      </c>
      <c r="N41" s="64">
        <v>175.9</v>
      </c>
      <c r="O41" s="64">
        <v>0</v>
      </c>
      <c r="P41" s="64">
        <v>0.17</v>
      </c>
      <c r="Q41" s="64">
        <v>9.4700000000000006</v>
      </c>
      <c r="R41" s="198"/>
      <c r="S41" s="198"/>
      <c r="T41" s="198"/>
      <c r="U41" s="198"/>
    </row>
    <row r="42" spans="1:21" s="12" customFormat="1" x14ac:dyDescent="0.25">
      <c r="A42" s="212" t="s">
        <v>2200</v>
      </c>
      <c r="B42" s="64">
        <v>6.35</v>
      </c>
      <c r="C42" s="64">
        <v>7.45</v>
      </c>
      <c r="D42" s="64">
        <v>8.98</v>
      </c>
      <c r="E42" s="64">
        <v>4.0599999999999996</v>
      </c>
      <c r="F42" s="64">
        <v>2.15</v>
      </c>
      <c r="G42" s="64">
        <v>7.63</v>
      </c>
      <c r="H42" s="64">
        <v>1.79</v>
      </c>
      <c r="I42" s="64">
        <v>0.68</v>
      </c>
      <c r="J42" s="64">
        <v>0.16</v>
      </c>
      <c r="K42" s="64">
        <v>292.60000000000002</v>
      </c>
      <c r="L42" s="64">
        <v>24.86</v>
      </c>
      <c r="M42" s="64">
        <v>98.05</v>
      </c>
      <c r="N42" s="64">
        <v>188.7</v>
      </c>
      <c r="O42" s="64">
        <v>0</v>
      </c>
      <c r="P42" s="64">
        <v>0.17</v>
      </c>
      <c r="Q42" s="64">
        <v>9.48</v>
      </c>
      <c r="R42" s="198"/>
      <c r="S42" s="198"/>
      <c r="T42" s="198"/>
      <c r="U42" s="198"/>
    </row>
    <row r="43" spans="1:21" s="12" customFormat="1" x14ac:dyDescent="0.25">
      <c r="A43" s="212" t="s">
        <v>2201</v>
      </c>
      <c r="B43" s="64">
        <v>6.19</v>
      </c>
      <c r="C43" s="64">
        <v>7.41</v>
      </c>
      <c r="D43" s="64">
        <v>8.84</v>
      </c>
      <c r="E43" s="64">
        <v>4.1900000000000004</v>
      </c>
      <c r="F43" s="64">
        <v>2.1800000000000002</v>
      </c>
      <c r="G43" s="64">
        <v>7.63</v>
      </c>
      <c r="H43" s="64">
        <v>1.79</v>
      </c>
      <c r="I43" s="64">
        <v>0.69</v>
      </c>
      <c r="J43" s="64">
        <v>0.2</v>
      </c>
      <c r="K43" s="64">
        <v>279.82</v>
      </c>
      <c r="L43" s="64">
        <v>24.94</v>
      </c>
      <c r="M43" s="64">
        <v>98.03</v>
      </c>
      <c r="N43" s="64">
        <v>282.5</v>
      </c>
      <c r="O43" s="64">
        <v>0</v>
      </c>
      <c r="P43" s="64">
        <v>0.18</v>
      </c>
      <c r="Q43" s="64">
        <v>9.49</v>
      </c>
      <c r="R43" s="198"/>
      <c r="S43" s="198"/>
      <c r="T43" s="198"/>
      <c r="U43" s="198"/>
    </row>
    <row r="44" spans="1:21" s="12" customFormat="1" x14ac:dyDescent="0.25">
      <c r="A44" s="212" t="s">
        <v>2202</v>
      </c>
      <c r="B44" s="64">
        <v>6.17</v>
      </c>
      <c r="C44" s="64">
        <v>7.46</v>
      </c>
      <c r="D44" s="64">
        <v>8.85</v>
      </c>
      <c r="E44" s="64">
        <v>4.05</v>
      </c>
      <c r="F44" s="64">
        <v>2.31</v>
      </c>
      <c r="G44" s="64">
        <v>9.81</v>
      </c>
      <c r="H44" s="64">
        <v>1.64</v>
      </c>
      <c r="I44" s="64">
        <v>0.71</v>
      </c>
      <c r="J44" s="64">
        <v>0.25</v>
      </c>
      <c r="K44" s="64">
        <v>300.02999999999997</v>
      </c>
      <c r="L44" s="64">
        <v>25.86</v>
      </c>
      <c r="M44" s="64">
        <v>97.99</v>
      </c>
      <c r="N44" s="64">
        <v>454.7</v>
      </c>
      <c r="O44" s="64">
        <v>0</v>
      </c>
      <c r="P44" s="64">
        <v>0.17</v>
      </c>
      <c r="Q44" s="64">
        <v>9.49</v>
      </c>
      <c r="R44" s="198"/>
      <c r="S44" s="198"/>
      <c r="T44" s="198"/>
      <c r="U44" s="198"/>
    </row>
    <row r="45" spans="1:21" s="12" customFormat="1" x14ac:dyDescent="0.25">
      <c r="A45" s="212" t="s">
        <v>2203</v>
      </c>
      <c r="B45" s="64">
        <v>6.04</v>
      </c>
      <c r="C45" s="64">
        <v>7.46</v>
      </c>
      <c r="D45" s="64">
        <v>8.74</v>
      </c>
      <c r="E45" s="64">
        <v>4.08</v>
      </c>
      <c r="F45" s="64">
        <v>2.23</v>
      </c>
      <c r="G45" s="64">
        <v>10.91</v>
      </c>
      <c r="H45" s="64">
        <v>1.56</v>
      </c>
      <c r="I45" s="64">
        <v>0.72</v>
      </c>
      <c r="J45" s="64">
        <v>0.27</v>
      </c>
      <c r="K45" s="64">
        <v>288.33999999999997</v>
      </c>
      <c r="L45" s="64">
        <v>26.35</v>
      </c>
      <c r="M45" s="64">
        <v>97.47</v>
      </c>
      <c r="N45" s="64">
        <v>426.2</v>
      </c>
      <c r="O45" s="64">
        <v>0</v>
      </c>
      <c r="P45" s="64">
        <v>0.18</v>
      </c>
      <c r="Q45" s="64">
        <v>9.48</v>
      </c>
      <c r="R45" s="198"/>
      <c r="S45" s="198"/>
      <c r="T45" s="198"/>
      <c r="U45" s="198"/>
    </row>
    <row r="46" spans="1:21" s="12" customFormat="1" x14ac:dyDescent="0.25">
      <c r="A46" s="212" t="s">
        <v>2204</v>
      </c>
      <c r="B46" s="64">
        <v>6.07</v>
      </c>
      <c r="C46" s="64">
        <v>7.71</v>
      </c>
      <c r="D46" s="64">
        <v>8.89</v>
      </c>
      <c r="E46" s="64">
        <v>4.2300000000000004</v>
      </c>
      <c r="F46" s="64">
        <v>2.5099999999999998</v>
      </c>
      <c r="G46" s="64">
        <v>10.91</v>
      </c>
      <c r="H46" s="64">
        <v>1.56</v>
      </c>
      <c r="I46" s="64">
        <v>0.72</v>
      </c>
      <c r="J46" s="64">
        <v>0.31</v>
      </c>
      <c r="K46" s="64">
        <v>295.17</v>
      </c>
      <c r="L46" s="64">
        <v>26.9</v>
      </c>
      <c r="M46" s="64">
        <v>95.16</v>
      </c>
      <c r="N46" s="64">
        <v>271.89999999999998</v>
      </c>
      <c r="O46" s="64">
        <v>0</v>
      </c>
      <c r="P46" s="64">
        <v>0.19</v>
      </c>
      <c r="Q46" s="64">
        <v>9.48</v>
      </c>
      <c r="R46" s="198"/>
      <c r="S46" s="198"/>
      <c r="T46" s="198"/>
      <c r="U46" s="198"/>
    </row>
    <row r="47" spans="1:21" s="12" customFormat="1" x14ac:dyDescent="0.25">
      <c r="A47" s="212" t="s">
        <v>2205</v>
      </c>
      <c r="B47" s="64">
        <v>6.04</v>
      </c>
      <c r="C47" s="64">
        <v>7.89</v>
      </c>
      <c r="D47" s="64">
        <v>8.9700000000000006</v>
      </c>
      <c r="E47" s="64">
        <v>4.17</v>
      </c>
      <c r="F47" s="64">
        <v>2.48</v>
      </c>
      <c r="G47" s="64">
        <v>10.91</v>
      </c>
      <c r="H47" s="64">
        <v>1.56</v>
      </c>
      <c r="I47" s="64">
        <v>0.74</v>
      </c>
      <c r="J47" s="64">
        <v>0.31</v>
      </c>
      <c r="K47" s="64">
        <v>292.17</v>
      </c>
      <c r="L47" s="64">
        <v>26.78</v>
      </c>
      <c r="M47" s="64">
        <v>95.46</v>
      </c>
      <c r="N47" s="64">
        <v>320</v>
      </c>
      <c r="O47" s="64">
        <v>0</v>
      </c>
      <c r="P47" s="64">
        <v>0.21</v>
      </c>
      <c r="Q47" s="64">
        <v>9.49</v>
      </c>
      <c r="R47" s="198"/>
      <c r="S47" s="198"/>
      <c r="T47" s="198"/>
      <c r="U47" s="198"/>
    </row>
    <row r="48" spans="1:21" s="12" customFormat="1" x14ac:dyDescent="0.25">
      <c r="A48" s="212" t="s">
        <v>2206</v>
      </c>
      <c r="B48" s="64">
        <v>6.03</v>
      </c>
      <c r="C48" s="64">
        <v>7.92</v>
      </c>
      <c r="D48" s="64">
        <v>8.98</v>
      </c>
      <c r="E48" s="64">
        <v>4.3099999999999996</v>
      </c>
      <c r="F48" s="64">
        <v>2.14</v>
      </c>
      <c r="G48" s="64">
        <v>11.86</v>
      </c>
      <c r="H48" s="64">
        <v>3.02</v>
      </c>
      <c r="I48" s="64">
        <v>0.76</v>
      </c>
      <c r="J48" s="64">
        <v>0.34</v>
      </c>
      <c r="K48" s="64">
        <v>292.88</v>
      </c>
      <c r="L48" s="64">
        <v>26.99</v>
      </c>
      <c r="M48" s="64">
        <v>94.87</v>
      </c>
      <c r="N48" s="64">
        <v>199.1</v>
      </c>
      <c r="O48" s="64">
        <v>0</v>
      </c>
      <c r="P48" s="64">
        <v>0.22</v>
      </c>
      <c r="Q48" s="64">
        <v>9.48</v>
      </c>
      <c r="R48" s="198"/>
      <c r="S48" s="198"/>
      <c r="T48" s="198"/>
      <c r="U48" s="198"/>
    </row>
    <row r="49" spans="1:21" s="12" customFormat="1" x14ac:dyDescent="0.25">
      <c r="A49" s="212" t="s">
        <v>2207</v>
      </c>
      <c r="B49" s="64">
        <v>6.13</v>
      </c>
      <c r="C49" s="64">
        <v>7.98</v>
      </c>
      <c r="D49" s="64">
        <v>9.08</v>
      </c>
      <c r="E49" s="64">
        <v>4.16</v>
      </c>
      <c r="F49" s="64">
        <v>2.16</v>
      </c>
      <c r="G49" s="64">
        <v>12.34</v>
      </c>
      <c r="H49" s="64">
        <v>3.75</v>
      </c>
      <c r="I49" s="64">
        <v>0.76</v>
      </c>
      <c r="J49" s="64">
        <v>0.24</v>
      </c>
      <c r="K49" s="64">
        <v>293.29000000000002</v>
      </c>
      <c r="L49" s="64">
        <v>26.57</v>
      </c>
      <c r="M49" s="64">
        <v>96.45</v>
      </c>
      <c r="N49" s="64">
        <v>275</v>
      </c>
      <c r="O49" s="64">
        <v>0</v>
      </c>
      <c r="P49" s="64">
        <v>0.23</v>
      </c>
      <c r="Q49" s="64">
        <v>9.4600000000000009</v>
      </c>
      <c r="R49" s="198"/>
      <c r="S49" s="198"/>
      <c r="T49" s="198"/>
      <c r="U49" s="198"/>
    </row>
    <row r="50" spans="1:21" s="12" customFormat="1" x14ac:dyDescent="0.25">
      <c r="A50" s="212" t="s">
        <v>2208</v>
      </c>
      <c r="B50" s="64">
        <v>6.26</v>
      </c>
      <c r="C50" s="64">
        <v>8.0500000000000007</v>
      </c>
      <c r="D50" s="64">
        <v>9.23</v>
      </c>
      <c r="E50" s="64">
        <v>3.95</v>
      </c>
      <c r="F50" s="64">
        <v>2.1</v>
      </c>
      <c r="G50" s="64">
        <v>12.34</v>
      </c>
      <c r="H50" s="64">
        <v>3.75</v>
      </c>
      <c r="I50" s="64">
        <v>0.76</v>
      </c>
      <c r="J50" s="64">
        <v>0.23</v>
      </c>
      <c r="K50" s="64">
        <v>288.58</v>
      </c>
      <c r="L50" s="64">
        <v>26.44</v>
      </c>
      <c r="M50" s="64">
        <v>96.34</v>
      </c>
      <c r="N50" s="64">
        <v>304.2</v>
      </c>
      <c r="O50" s="64">
        <v>0</v>
      </c>
      <c r="P50" s="64">
        <v>0.23</v>
      </c>
      <c r="Q50" s="64">
        <v>9.4600000000000009</v>
      </c>
      <c r="R50" s="198"/>
      <c r="S50" s="198"/>
      <c r="T50" s="198"/>
      <c r="U50" s="198"/>
    </row>
    <row r="51" spans="1:21" s="12" customFormat="1" x14ac:dyDescent="0.25">
      <c r="A51" s="212" t="s">
        <v>2209</v>
      </c>
      <c r="B51" s="64">
        <v>6.23</v>
      </c>
      <c r="C51" s="64">
        <v>8.15</v>
      </c>
      <c r="D51" s="64">
        <v>9.26</v>
      </c>
      <c r="E51" s="64">
        <v>4.1399999999999997</v>
      </c>
      <c r="F51" s="64">
        <v>2.11</v>
      </c>
      <c r="G51" s="64">
        <v>12.34</v>
      </c>
      <c r="H51" s="64">
        <v>3.75</v>
      </c>
      <c r="I51" s="64">
        <v>0.78</v>
      </c>
      <c r="J51" s="64">
        <v>0.25</v>
      </c>
      <c r="K51" s="64">
        <v>293.94</v>
      </c>
      <c r="L51" s="64">
        <v>26.54</v>
      </c>
      <c r="M51" s="64">
        <v>95.52</v>
      </c>
      <c r="N51" s="64">
        <v>262</v>
      </c>
      <c r="O51" s="64">
        <v>0</v>
      </c>
      <c r="P51" s="64">
        <v>0.24</v>
      </c>
      <c r="Q51" s="64">
        <v>9.4700000000000006</v>
      </c>
      <c r="R51" s="198"/>
      <c r="S51" s="198"/>
      <c r="T51" s="198"/>
      <c r="U51" s="198"/>
    </row>
    <row r="52" spans="1:21" s="12" customFormat="1" x14ac:dyDescent="0.25">
      <c r="A52" s="212" t="s">
        <v>2210</v>
      </c>
      <c r="B52" s="64">
        <v>6.22</v>
      </c>
      <c r="C52" s="64">
        <v>8.19</v>
      </c>
      <c r="D52" s="64">
        <v>9.27</v>
      </c>
      <c r="E52" s="64">
        <v>4.13</v>
      </c>
      <c r="F52" s="64">
        <v>2.2400000000000002</v>
      </c>
      <c r="G52" s="64">
        <v>13.6</v>
      </c>
      <c r="H52" s="64">
        <v>3.04</v>
      </c>
      <c r="I52" s="64">
        <v>0.76</v>
      </c>
      <c r="J52" s="64">
        <v>0.18</v>
      </c>
      <c r="K52" s="64">
        <v>281.86</v>
      </c>
      <c r="L52" s="64">
        <v>26.93</v>
      </c>
      <c r="M52" s="64">
        <v>93.96</v>
      </c>
      <c r="N52" s="64">
        <v>683.1</v>
      </c>
      <c r="O52" s="64">
        <v>0</v>
      </c>
      <c r="P52" s="64">
        <v>0.25</v>
      </c>
      <c r="Q52" s="64">
        <v>9.4600000000000009</v>
      </c>
      <c r="R52" s="198"/>
      <c r="S52" s="198"/>
      <c r="T52" s="198"/>
      <c r="U52" s="198"/>
    </row>
    <row r="53" spans="1:21" s="12" customFormat="1" x14ac:dyDescent="0.25">
      <c r="A53" s="212" t="s">
        <v>2211</v>
      </c>
      <c r="B53" s="64">
        <v>6.19</v>
      </c>
      <c r="C53" s="64">
        <v>8.2200000000000006</v>
      </c>
      <c r="D53" s="64">
        <v>9.26</v>
      </c>
      <c r="E53" s="64">
        <v>4.0599999999999996</v>
      </c>
      <c r="F53" s="64">
        <v>2.19</v>
      </c>
      <c r="G53" s="64">
        <v>14.23</v>
      </c>
      <c r="H53" s="64">
        <v>2.69</v>
      </c>
      <c r="I53" s="64">
        <v>0.78</v>
      </c>
      <c r="J53" s="64">
        <v>0.27</v>
      </c>
      <c r="K53" s="64">
        <v>287.02999999999997</v>
      </c>
      <c r="L53" s="64">
        <v>27.77</v>
      </c>
      <c r="M53" s="64">
        <v>88.23</v>
      </c>
      <c r="N53" s="64">
        <v>756.7</v>
      </c>
      <c r="O53" s="64">
        <v>0</v>
      </c>
      <c r="P53" s="64">
        <v>0.25</v>
      </c>
      <c r="Q53" s="64">
        <v>9.4600000000000009</v>
      </c>
      <c r="R53" s="198"/>
      <c r="S53" s="198"/>
      <c r="T53" s="198"/>
      <c r="U53" s="198"/>
    </row>
    <row r="54" spans="1:21" s="12" customFormat="1" x14ac:dyDescent="0.25">
      <c r="A54" s="212" t="s">
        <v>2212</v>
      </c>
      <c r="B54" s="64">
        <v>5.9</v>
      </c>
      <c r="C54" s="64">
        <v>8.2799999999999994</v>
      </c>
      <c r="D54" s="64">
        <v>9.06</v>
      </c>
      <c r="E54" s="64">
        <v>3.55</v>
      </c>
      <c r="F54" s="64">
        <v>2.48</v>
      </c>
      <c r="G54" s="64">
        <v>14.23</v>
      </c>
      <c r="H54" s="64">
        <v>2.69</v>
      </c>
      <c r="I54" s="64">
        <v>0.84</v>
      </c>
      <c r="J54" s="64">
        <v>0.31</v>
      </c>
      <c r="K54" s="64">
        <v>293.38</v>
      </c>
      <c r="L54" s="64">
        <v>27.82</v>
      </c>
      <c r="M54" s="64">
        <v>86.82</v>
      </c>
      <c r="N54" s="64">
        <v>285.8</v>
      </c>
      <c r="O54" s="64">
        <v>0</v>
      </c>
      <c r="P54" s="64">
        <v>0.25</v>
      </c>
      <c r="Q54" s="64">
        <v>9.43</v>
      </c>
      <c r="R54" s="198"/>
      <c r="S54" s="198"/>
      <c r="T54" s="198"/>
      <c r="U54" s="198"/>
    </row>
    <row r="55" spans="1:21" s="12" customFormat="1" x14ac:dyDescent="0.25">
      <c r="A55" s="212" t="s">
        <v>2213</v>
      </c>
      <c r="B55" s="64">
        <v>5.99</v>
      </c>
      <c r="C55" s="64">
        <v>8.8000000000000007</v>
      </c>
      <c r="D55" s="64">
        <v>9.4</v>
      </c>
      <c r="E55" s="64">
        <v>3.77</v>
      </c>
      <c r="F55" s="64">
        <v>2.1800000000000002</v>
      </c>
      <c r="G55" s="64">
        <v>14.23</v>
      </c>
      <c r="H55" s="64">
        <v>2.69</v>
      </c>
      <c r="I55" s="64">
        <v>0.79</v>
      </c>
      <c r="J55" s="64">
        <v>0.27</v>
      </c>
      <c r="K55" s="64">
        <v>294.87</v>
      </c>
      <c r="L55" s="64">
        <v>27.83</v>
      </c>
      <c r="M55" s="64">
        <v>87.64</v>
      </c>
      <c r="N55" s="64">
        <v>397.6</v>
      </c>
      <c r="O55" s="64">
        <v>0</v>
      </c>
      <c r="P55" s="64">
        <v>0.26</v>
      </c>
      <c r="Q55" s="64">
        <v>9.44</v>
      </c>
      <c r="R55" s="198"/>
      <c r="S55" s="198"/>
      <c r="T55" s="198"/>
      <c r="U55" s="198"/>
    </row>
    <row r="56" spans="1:21" s="12" customFormat="1" x14ac:dyDescent="0.25">
      <c r="A56" s="212" t="s">
        <v>2214</v>
      </c>
      <c r="B56" s="64">
        <v>6.31</v>
      </c>
      <c r="C56" s="64">
        <v>8.6300000000000008</v>
      </c>
      <c r="D56" s="64">
        <v>9.57</v>
      </c>
      <c r="E56" s="64">
        <v>3.97</v>
      </c>
      <c r="F56" s="64">
        <v>2.2799999999999998</v>
      </c>
      <c r="G56" s="64">
        <v>15.55</v>
      </c>
      <c r="H56" s="64">
        <v>3.43</v>
      </c>
      <c r="I56" s="64">
        <v>0.74</v>
      </c>
      <c r="J56" s="64">
        <v>0.23</v>
      </c>
      <c r="K56" s="64">
        <v>291.26</v>
      </c>
      <c r="L56" s="64">
        <v>27.48</v>
      </c>
      <c r="M56" s="64">
        <v>89.02</v>
      </c>
      <c r="N56" s="64">
        <v>244.2</v>
      </c>
      <c r="O56" s="64">
        <v>0</v>
      </c>
      <c r="P56" s="64">
        <v>0.26</v>
      </c>
      <c r="Q56" s="64">
        <v>9.4499999999999993</v>
      </c>
      <c r="R56" s="198"/>
      <c r="S56" s="198"/>
      <c r="T56" s="198"/>
      <c r="U56" s="198"/>
    </row>
    <row r="57" spans="1:21" s="12" customFormat="1" x14ac:dyDescent="0.25">
      <c r="A57" s="212" t="s">
        <v>2215</v>
      </c>
      <c r="B57" s="64">
        <v>6.72</v>
      </c>
      <c r="C57" s="64">
        <v>7.81</v>
      </c>
      <c r="D57" s="64">
        <v>9.4700000000000006</v>
      </c>
      <c r="E57" s="64">
        <v>3.9</v>
      </c>
      <c r="F57" s="64">
        <v>2.4</v>
      </c>
      <c r="G57" s="64">
        <v>16.22</v>
      </c>
      <c r="H57" s="64">
        <v>3.82</v>
      </c>
      <c r="I57" s="64">
        <v>0.74</v>
      </c>
      <c r="J57" s="64">
        <v>0.23</v>
      </c>
      <c r="K57" s="64">
        <v>288.99</v>
      </c>
      <c r="L57" s="64">
        <v>27.7</v>
      </c>
      <c r="M57" s="64">
        <v>88.18</v>
      </c>
      <c r="N57" s="64">
        <v>567.70000000000005</v>
      </c>
      <c r="O57" s="64">
        <v>0</v>
      </c>
      <c r="P57" s="64">
        <v>0.26</v>
      </c>
      <c r="Q57" s="64">
        <v>9.4700000000000006</v>
      </c>
      <c r="R57" s="198"/>
      <c r="S57" s="198"/>
      <c r="T57" s="198"/>
      <c r="U57" s="198"/>
    </row>
    <row r="58" spans="1:21" s="12" customFormat="1" x14ac:dyDescent="0.25">
      <c r="A58" s="212" t="s">
        <v>2216</v>
      </c>
      <c r="B58" s="64">
        <v>6.63</v>
      </c>
      <c r="C58" s="64">
        <v>8.59</v>
      </c>
      <c r="D58" s="64">
        <v>9.81</v>
      </c>
      <c r="E58" s="64">
        <v>3.8</v>
      </c>
      <c r="F58" s="64">
        <v>2.41</v>
      </c>
      <c r="G58" s="64">
        <v>16.22</v>
      </c>
      <c r="H58" s="64">
        <v>3.82</v>
      </c>
      <c r="I58" s="64">
        <v>0.74</v>
      </c>
      <c r="J58" s="64">
        <v>0.24</v>
      </c>
      <c r="K58" s="64">
        <v>287.95</v>
      </c>
      <c r="L58" s="64">
        <v>27.84</v>
      </c>
      <c r="M58" s="64">
        <v>87.39</v>
      </c>
      <c r="N58" s="64">
        <v>584.6</v>
      </c>
      <c r="O58" s="64">
        <v>0</v>
      </c>
      <c r="P58" s="64">
        <v>0.26</v>
      </c>
      <c r="Q58" s="64">
        <v>9.49</v>
      </c>
      <c r="R58" s="198"/>
      <c r="S58" s="198"/>
      <c r="T58" s="198"/>
      <c r="U58" s="198"/>
    </row>
    <row r="59" spans="1:21" s="12" customFormat="1" x14ac:dyDescent="0.25">
      <c r="A59" s="212" t="s">
        <v>2217</v>
      </c>
      <c r="B59" s="64">
        <v>6.11</v>
      </c>
      <c r="C59" s="64">
        <v>8.6</v>
      </c>
      <c r="D59" s="64">
        <v>9.39</v>
      </c>
      <c r="E59" s="64">
        <v>3.86</v>
      </c>
      <c r="F59" s="64">
        <v>2.7</v>
      </c>
      <c r="G59" s="64">
        <v>16.22</v>
      </c>
      <c r="H59" s="64">
        <v>3.82</v>
      </c>
      <c r="I59" s="64">
        <v>0.75</v>
      </c>
      <c r="J59" s="64">
        <v>0.18</v>
      </c>
      <c r="K59" s="64">
        <v>287.26</v>
      </c>
      <c r="L59" s="64">
        <v>27.5</v>
      </c>
      <c r="M59" s="64">
        <v>88.2</v>
      </c>
      <c r="N59" s="64">
        <v>289.60000000000002</v>
      </c>
      <c r="O59" s="64">
        <v>0</v>
      </c>
      <c r="P59" s="64">
        <v>0.24</v>
      </c>
      <c r="Q59" s="64">
        <v>9.49</v>
      </c>
      <c r="R59" s="198"/>
      <c r="S59" s="198"/>
      <c r="T59" s="198"/>
      <c r="U59" s="198"/>
    </row>
    <row r="60" spans="1:21" s="12" customFormat="1" x14ac:dyDescent="0.25">
      <c r="A60" s="212" t="s">
        <v>2218</v>
      </c>
      <c r="B60" s="64">
        <v>6.13</v>
      </c>
      <c r="C60" s="64">
        <v>8.64</v>
      </c>
      <c r="D60" s="64">
        <v>9.43</v>
      </c>
      <c r="E60" s="64">
        <v>3.96</v>
      </c>
      <c r="F60" s="64">
        <v>3.45</v>
      </c>
      <c r="G60" s="64">
        <v>17.41</v>
      </c>
      <c r="H60" s="64">
        <v>3.71</v>
      </c>
      <c r="I60" s="64">
        <v>0.74</v>
      </c>
      <c r="J60" s="64">
        <v>0.28000000000000003</v>
      </c>
      <c r="K60" s="64">
        <v>295.26</v>
      </c>
      <c r="L60" s="64">
        <v>27.55</v>
      </c>
      <c r="M60" s="64">
        <v>90</v>
      </c>
      <c r="N60" s="64">
        <v>357.2</v>
      </c>
      <c r="O60" s="64">
        <v>0</v>
      </c>
      <c r="P60" s="64">
        <v>0.24</v>
      </c>
      <c r="Q60" s="64">
        <v>9.49</v>
      </c>
      <c r="R60" s="198"/>
      <c r="S60" s="198"/>
      <c r="T60" s="198"/>
      <c r="U60" s="198"/>
    </row>
    <row r="61" spans="1:21" s="12" customFormat="1" x14ac:dyDescent="0.25">
      <c r="A61" s="212" t="s">
        <v>2219</v>
      </c>
      <c r="B61" s="64">
        <v>6.11</v>
      </c>
      <c r="C61" s="64">
        <v>8.5299999999999994</v>
      </c>
      <c r="D61" s="64">
        <v>9.35</v>
      </c>
      <c r="E61" s="64">
        <v>4.25</v>
      </c>
      <c r="F61" s="64">
        <v>2.35</v>
      </c>
      <c r="G61" s="64">
        <v>18.010000000000002</v>
      </c>
      <c r="H61" s="64">
        <v>3.66</v>
      </c>
      <c r="I61" s="64">
        <v>0.73</v>
      </c>
      <c r="J61" s="64">
        <v>0.28000000000000003</v>
      </c>
      <c r="K61" s="64">
        <v>292.27999999999997</v>
      </c>
      <c r="L61" s="64">
        <v>28.06</v>
      </c>
      <c r="M61" s="64">
        <v>85.46</v>
      </c>
      <c r="N61" s="64">
        <v>223.6</v>
      </c>
      <c r="O61" s="64">
        <v>0</v>
      </c>
      <c r="P61" s="64">
        <v>0.26</v>
      </c>
      <c r="Q61" s="64">
        <v>9.49</v>
      </c>
      <c r="R61" s="198"/>
      <c r="S61" s="198"/>
      <c r="T61" s="198"/>
      <c r="U61" s="198"/>
    </row>
    <row r="62" spans="1:21" s="12" customFormat="1" x14ac:dyDescent="0.25">
      <c r="A62" s="212" t="s">
        <v>2220</v>
      </c>
      <c r="B62" s="64">
        <v>6.11</v>
      </c>
      <c r="C62" s="64">
        <v>8.4600000000000009</v>
      </c>
      <c r="D62" s="64">
        <v>9.32</v>
      </c>
      <c r="E62" s="64">
        <v>4</v>
      </c>
      <c r="F62" s="64">
        <v>2.89</v>
      </c>
      <c r="G62" s="64">
        <v>18.010000000000002</v>
      </c>
      <c r="H62" s="64">
        <v>3.66</v>
      </c>
      <c r="I62" s="64">
        <v>0.73</v>
      </c>
      <c r="J62" s="64">
        <v>0.19</v>
      </c>
      <c r="K62" s="64">
        <v>290.07</v>
      </c>
      <c r="L62" s="64">
        <v>27.42</v>
      </c>
      <c r="M62" s="64">
        <v>87.92</v>
      </c>
      <c r="N62" s="64">
        <v>203.2</v>
      </c>
      <c r="O62" s="64">
        <v>0</v>
      </c>
      <c r="P62" s="64">
        <v>0.27</v>
      </c>
      <c r="Q62" s="64">
        <v>9.49</v>
      </c>
      <c r="R62" s="198"/>
      <c r="S62" s="198"/>
      <c r="T62" s="198"/>
      <c r="U62" s="198"/>
    </row>
    <row r="63" spans="1:21" s="12" customFormat="1" x14ac:dyDescent="0.25">
      <c r="A63" s="212" t="s">
        <v>2221</v>
      </c>
      <c r="B63" s="64">
        <v>9.75</v>
      </c>
      <c r="C63" s="64">
        <v>9.34</v>
      </c>
      <c r="D63" s="64">
        <v>12.7</v>
      </c>
      <c r="E63" s="64">
        <v>3.96</v>
      </c>
      <c r="F63" s="64">
        <v>3.07</v>
      </c>
      <c r="G63" s="64">
        <v>18.010000000000002</v>
      </c>
      <c r="H63" s="64">
        <v>3.66</v>
      </c>
      <c r="I63" s="64">
        <v>0.74</v>
      </c>
      <c r="J63" s="64">
        <v>0.22</v>
      </c>
      <c r="K63" s="64">
        <v>292.22000000000003</v>
      </c>
      <c r="L63" s="64">
        <v>27.67</v>
      </c>
      <c r="M63" s="64">
        <v>88.5</v>
      </c>
      <c r="N63" s="64">
        <v>254.3</v>
      </c>
      <c r="O63" s="64">
        <v>0</v>
      </c>
      <c r="P63" s="64">
        <v>0.32</v>
      </c>
      <c r="Q63" s="64">
        <v>9.49</v>
      </c>
      <c r="R63" s="198"/>
      <c r="S63" s="198"/>
      <c r="T63" s="198"/>
      <c r="U63" s="198"/>
    </row>
    <row r="64" spans="1:21" s="12" customFormat="1" x14ac:dyDescent="0.25">
      <c r="A64" s="212" t="s">
        <v>2222</v>
      </c>
      <c r="B64" s="64">
        <v>6.73</v>
      </c>
      <c r="C64" s="64">
        <v>8.59</v>
      </c>
      <c r="D64" s="64">
        <v>9.8800000000000008</v>
      </c>
      <c r="E64" s="64">
        <v>4.3</v>
      </c>
      <c r="F64" s="64">
        <v>3.45</v>
      </c>
      <c r="G64" s="64">
        <v>19.149999999999999</v>
      </c>
      <c r="H64" s="64">
        <v>3.3</v>
      </c>
      <c r="I64" s="64">
        <v>0.75</v>
      </c>
      <c r="J64" s="64">
        <v>0.23</v>
      </c>
      <c r="K64" s="64">
        <v>279.69</v>
      </c>
      <c r="L64" s="64">
        <v>28.1</v>
      </c>
      <c r="M64" s="64">
        <v>84.1</v>
      </c>
      <c r="N64" s="64">
        <v>289.89999999999998</v>
      </c>
      <c r="O64" s="64">
        <v>0</v>
      </c>
      <c r="P64" s="64">
        <v>0.28000000000000003</v>
      </c>
      <c r="Q64" s="64">
        <v>9.49</v>
      </c>
      <c r="R64" s="198"/>
      <c r="S64" s="198"/>
      <c r="T64" s="198"/>
      <c r="U64" s="198"/>
    </row>
    <row r="65" spans="1:21" s="12" customFormat="1" x14ac:dyDescent="0.25">
      <c r="A65" s="212" t="s">
        <v>2223</v>
      </c>
      <c r="B65" s="64">
        <v>6.56</v>
      </c>
      <c r="C65" s="64">
        <v>8.67</v>
      </c>
      <c r="D65" s="64">
        <v>9.7899999999999991</v>
      </c>
      <c r="E65" s="64">
        <v>4.18</v>
      </c>
      <c r="F65" s="64">
        <v>2.5</v>
      </c>
      <c r="G65" s="64">
        <v>19.72</v>
      </c>
      <c r="H65" s="64">
        <v>3.12</v>
      </c>
      <c r="I65" s="64">
        <v>0.75</v>
      </c>
      <c r="J65" s="64">
        <v>0.19</v>
      </c>
      <c r="K65" s="64">
        <v>299.63</v>
      </c>
      <c r="L65" s="64">
        <v>27.88</v>
      </c>
      <c r="M65" s="64">
        <v>85.7</v>
      </c>
      <c r="N65" s="64">
        <v>243.5</v>
      </c>
      <c r="O65" s="64">
        <v>0</v>
      </c>
      <c r="P65" s="64">
        <v>0.28999999999999998</v>
      </c>
      <c r="Q65" s="64">
        <v>9.49</v>
      </c>
      <c r="R65" s="198"/>
      <c r="S65" s="198"/>
      <c r="T65" s="198"/>
      <c r="U65" s="198"/>
    </row>
    <row r="66" spans="1:21" s="12" customFormat="1" x14ac:dyDescent="0.25">
      <c r="A66" s="212" t="s">
        <v>2224</v>
      </c>
      <c r="B66" s="64">
        <v>6.22</v>
      </c>
      <c r="C66" s="64">
        <v>8.32</v>
      </c>
      <c r="D66" s="64">
        <v>9.34</v>
      </c>
      <c r="E66" s="64">
        <v>4.25</v>
      </c>
      <c r="F66" s="64">
        <v>2.42</v>
      </c>
      <c r="G66" s="64">
        <v>19.72</v>
      </c>
      <c r="H66" s="64">
        <v>3.12</v>
      </c>
      <c r="I66" s="64">
        <v>0.74</v>
      </c>
      <c r="J66" s="64">
        <v>0.23</v>
      </c>
      <c r="K66" s="64">
        <v>293.04000000000002</v>
      </c>
      <c r="L66" s="64">
        <v>28.6</v>
      </c>
      <c r="M66" s="64">
        <v>83.35</v>
      </c>
      <c r="N66" s="64">
        <v>195.5</v>
      </c>
      <c r="O66" s="64">
        <v>0</v>
      </c>
      <c r="P66" s="64">
        <v>0.27</v>
      </c>
      <c r="Q66" s="64">
        <v>9.4700000000000006</v>
      </c>
      <c r="R66" s="198"/>
      <c r="S66" s="198"/>
      <c r="T66" s="198"/>
      <c r="U66" s="198"/>
    </row>
    <row r="67" spans="1:21" s="12" customFormat="1" x14ac:dyDescent="0.25">
      <c r="A67" s="212" t="s">
        <v>2225</v>
      </c>
      <c r="B67" s="64">
        <v>5.93</v>
      </c>
      <c r="C67" s="64">
        <v>8.3699999999999992</v>
      </c>
      <c r="D67" s="64">
        <v>9.1300000000000008</v>
      </c>
      <c r="E67" s="64">
        <v>3.95</v>
      </c>
      <c r="F67" s="64">
        <v>3.38</v>
      </c>
      <c r="G67" s="64">
        <v>19.72</v>
      </c>
      <c r="H67" s="64">
        <v>3.12</v>
      </c>
      <c r="I67" s="64">
        <v>0.72</v>
      </c>
      <c r="J67" s="64">
        <v>0.2</v>
      </c>
      <c r="K67" s="64">
        <v>273.12</v>
      </c>
      <c r="L67" s="64">
        <v>27.84</v>
      </c>
      <c r="M67" s="64">
        <v>88.29</v>
      </c>
      <c r="N67" s="64">
        <v>241.5</v>
      </c>
      <c r="O67" s="64">
        <v>0</v>
      </c>
      <c r="P67" s="64">
        <v>0.27</v>
      </c>
      <c r="Q67" s="64">
        <v>9.4499999999999993</v>
      </c>
      <c r="R67" s="198"/>
      <c r="S67" s="198"/>
      <c r="T67" s="198"/>
      <c r="U67" s="198"/>
    </row>
    <row r="68" spans="1:21" s="12" customFormat="1" x14ac:dyDescent="0.25">
      <c r="A68" s="212" t="s">
        <v>2226</v>
      </c>
      <c r="B68" s="64">
        <v>5.89</v>
      </c>
      <c r="C68" s="64">
        <v>8.5299999999999994</v>
      </c>
      <c r="D68" s="64">
        <v>9.18</v>
      </c>
      <c r="E68" s="64">
        <v>3.63</v>
      </c>
      <c r="F68" s="64">
        <v>4.09</v>
      </c>
      <c r="G68" s="64">
        <v>23.68</v>
      </c>
      <c r="H68" s="64">
        <v>2.6</v>
      </c>
      <c r="I68" s="64">
        <v>0.71</v>
      </c>
      <c r="J68" s="64">
        <v>0.23</v>
      </c>
      <c r="K68" s="64">
        <v>292.68</v>
      </c>
      <c r="L68" s="64">
        <v>28.4</v>
      </c>
      <c r="M68" s="64">
        <v>86.51</v>
      </c>
      <c r="N68" s="64">
        <v>236.9</v>
      </c>
      <c r="O68" s="64">
        <v>0</v>
      </c>
      <c r="P68" s="64">
        <v>0.27</v>
      </c>
      <c r="Q68" s="64">
        <v>9.44</v>
      </c>
      <c r="R68" s="198"/>
      <c r="S68" s="198"/>
      <c r="T68" s="198"/>
      <c r="U68" s="198"/>
    </row>
    <row r="69" spans="1:21" s="12" customFormat="1" x14ac:dyDescent="0.25">
      <c r="A69" s="212" t="s">
        <v>2227</v>
      </c>
      <c r="B69" s="64">
        <v>5.71</v>
      </c>
      <c r="C69" s="64">
        <v>8.48</v>
      </c>
      <c r="D69" s="64">
        <v>9.01</v>
      </c>
      <c r="E69" s="64">
        <v>3.71</v>
      </c>
      <c r="F69" s="64">
        <v>2.34</v>
      </c>
      <c r="G69" s="64">
        <v>25.66</v>
      </c>
      <c r="H69" s="64">
        <v>2.34</v>
      </c>
      <c r="I69" s="64">
        <v>0.7</v>
      </c>
      <c r="J69" s="64">
        <v>0.23</v>
      </c>
      <c r="K69" s="64">
        <v>294.39999999999998</v>
      </c>
      <c r="L69" s="64">
        <v>28.29</v>
      </c>
      <c r="M69" s="64">
        <v>85.25</v>
      </c>
      <c r="N69" s="64">
        <v>133.9</v>
      </c>
      <c r="O69" s="64">
        <v>0</v>
      </c>
      <c r="P69" s="64">
        <v>0.27</v>
      </c>
      <c r="Q69" s="64">
        <v>9.44</v>
      </c>
      <c r="R69" s="198"/>
      <c r="S69" s="198"/>
      <c r="T69" s="198"/>
      <c r="U69" s="198"/>
    </row>
    <row r="70" spans="1:21" s="12" customFormat="1" x14ac:dyDescent="0.25">
      <c r="A70" s="212" t="s">
        <v>2228</v>
      </c>
      <c r="B70" s="64">
        <v>5.53</v>
      </c>
      <c r="C70" s="64">
        <v>8.41</v>
      </c>
      <c r="D70" s="64">
        <v>8.83</v>
      </c>
      <c r="E70" s="64">
        <v>4.04</v>
      </c>
      <c r="F70" s="64">
        <v>2.63</v>
      </c>
      <c r="G70" s="64">
        <v>25.66</v>
      </c>
      <c r="H70" s="64">
        <v>2.34</v>
      </c>
      <c r="I70" s="64">
        <v>0.7</v>
      </c>
      <c r="J70" s="64">
        <v>0.23</v>
      </c>
      <c r="K70" s="64">
        <v>287.95</v>
      </c>
      <c r="L70" s="64">
        <v>28.28</v>
      </c>
      <c r="M70" s="64">
        <v>85.2</v>
      </c>
      <c r="N70" s="64">
        <v>130.69999999999999</v>
      </c>
      <c r="O70" s="64">
        <v>0</v>
      </c>
      <c r="P70" s="64">
        <v>0.25</v>
      </c>
      <c r="Q70" s="64">
        <v>9.43</v>
      </c>
      <c r="R70" s="198"/>
      <c r="S70" s="198"/>
      <c r="T70" s="198"/>
      <c r="U70" s="198"/>
    </row>
    <row r="71" spans="1:21" s="12" customFormat="1" x14ac:dyDescent="0.25">
      <c r="A71" s="212" t="s">
        <v>2229</v>
      </c>
      <c r="B71" s="64">
        <v>5.46</v>
      </c>
      <c r="C71" s="64">
        <v>8.7200000000000006</v>
      </c>
      <c r="D71" s="64">
        <v>8.94</v>
      </c>
      <c r="E71" s="64">
        <v>4.3499999999999996</v>
      </c>
      <c r="F71" s="64">
        <v>2.33</v>
      </c>
      <c r="G71" s="64">
        <v>25.66</v>
      </c>
      <c r="H71" s="64">
        <v>2.34</v>
      </c>
      <c r="I71" s="64">
        <v>0.69</v>
      </c>
      <c r="J71" s="64">
        <v>0.19</v>
      </c>
      <c r="K71" s="64">
        <v>296.24</v>
      </c>
      <c r="L71" s="64">
        <v>28.19</v>
      </c>
      <c r="M71" s="64">
        <v>85.03</v>
      </c>
      <c r="N71" s="64">
        <v>126.1</v>
      </c>
      <c r="O71" s="64">
        <v>0</v>
      </c>
      <c r="P71" s="64">
        <v>0.26</v>
      </c>
      <c r="Q71" s="64">
        <v>9.42</v>
      </c>
      <c r="R71" s="198"/>
      <c r="S71" s="198"/>
      <c r="T71" s="198"/>
      <c r="U71" s="198"/>
    </row>
    <row r="72" spans="1:21" s="12" customFormat="1" x14ac:dyDescent="0.25">
      <c r="A72" s="212" t="s">
        <v>2230</v>
      </c>
      <c r="B72" s="64">
        <v>7.5</v>
      </c>
      <c r="C72" s="64">
        <v>9.26</v>
      </c>
      <c r="D72" s="64">
        <v>10.85</v>
      </c>
      <c r="E72" s="64">
        <v>4.5199999999999996</v>
      </c>
      <c r="F72" s="64">
        <v>3.59</v>
      </c>
      <c r="G72" s="64">
        <v>22.24</v>
      </c>
      <c r="H72" s="64">
        <v>2.68</v>
      </c>
      <c r="I72" s="64">
        <v>0.68</v>
      </c>
      <c r="J72" s="64">
        <v>0.16</v>
      </c>
      <c r="K72" s="64">
        <v>274.44</v>
      </c>
      <c r="L72" s="64">
        <v>27.96</v>
      </c>
      <c r="M72" s="64">
        <v>87.62</v>
      </c>
      <c r="N72" s="64">
        <v>121.7</v>
      </c>
      <c r="O72" s="64">
        <v>0</v>
      </c>
      <c r="P72" s="64">
        <v>0.24</v>
      </c>
      <c r="Q72" s="64">
        <v>9.43</v>
      </c>
      <c r="R72" s="198"/>
      <c r="S72" s="198"/>
      <c r="T72" s="198"/>
      <c r="U72" s="198"/>
    </row>
    <row r="73" spans="1:21" s="12" customFormat="1" x14ac:dyDescent="0.25">
      <c r="A73" s="212" t="s">
        <v>2231</v>
      </c>
      <c r="B73" s="64">
        <v>6.19</v>
      </c>
      <c r="C73" s="64">
        <v>8.66</v>
      </c>
      <c r="D73" s="64">
        <v>9.49</v>
      </c>
      <c r="E73" s="64">
        <v>4.18</v>
      </c>
      <c r="F73" s="64">
        <v>2.7</v>
      </c>
      <c r="G73" s="64">
        <v>20.53</v>
      </c>
      <c r="H73" s="64">
        <v>2.85</v>
      </c>
      <c r="I73" s="64">
        <v>0.67</v>
      </c>
      <c r="J73" s="64">
        <v>0.23</v>
      </c>
      <c r="K73" s="64">
        <v>285.8</v>
      </c>
      <c r="L73" s="64">
        <v>28.09</v>
      </c>
      <c r="M73" s="64">
        <v>84.03</v>
      </c>
      <c r="N73" s="64">
        <v>95.7</v>
      </c>
      <c r="O73" s="64">
        <v>0</v>
      </c>
      <c r="P73" s="64">
        <v>0.25</v>
      </c>
      <c r="Q73" s="64">
        <v>9.43</v>
      </c>
      <c r="R73" s="198"/>
      <c r="S73" s="198"/>
      <c r="T73" s="198"/>
      <c r="U73" s="198"/>
    </row>
    <row r="74" spans="1:21" s="12" customFormat="1" x14ac:dyDescent="0.25">
      <c r="A74" s="212" t="s">
        <v>2232</v>
      </c>
      <c r="B74" s="64">
        <v>5.59</v>
      </c>
      <c r="C74" s="64">
        <v>8.56</v>
      </c>
      <c r="D74" s="64">
        <v>8.9499999999999993</v>
      </c>
      <c r="E74" s="64">
        <v>4.29</v>
      </c>
      <c r="F74" s="64">
        <v>2.5499999999999998</v>
      </c>
      <c r="G74" s="64">
        <v>20.53</v>
      </c>
      <c r="H74" s="64">
        <v>2.85</v>
      </c>
      <c r="I74" s="64">
        <v>0.72</v>
      </c>
      <c r="J74" s="64">
        <v>0.18</v>
      </c>
      <c r="K74" s="64">
        <v>293.3</v>
      </c>
      <c r="L74" s="64">
        <v>28.16</v>
      </c>
      <c r="M74" s="64">
        <v>85.39</v>
      </c>
      <c r="N74" s="64">
        <v>93.7</v>
      </c>
      <c r="O74" s="64">
        <v>0</v>
      </c>
      <c r="P74" s="64">
        <v>0.25</v>
      </c>
      <c r="Q74" s="64">
        <v>9.44</v>
      </c>
      <c r="R74" s="198"/>
      <c r="S74" s="198"/>
      <c r="T74" s="198"/>
      <c r="U74" s="198"/>
    </row>
    <row r="75" spans="1:21" s="12" customFormat="1" x14ac:dyDescent="0.25">
      <c r="A75" s="212" t="s">
        <v>2233</v>
      </c>
      <c r="B75" s="64">
        <v>5.42</v>
      </c>
      <c r="C75" s="64">
        <v>8.4499999999999993</v>
      </c>
      <c r="D75" s="64">
        <v>8.76</v>
      </c>
      <c r="E75" s="64">
        <v>4.1399999999999997</v>
      </c>
      <c r="F75" s="64">
        <v>3.29</v>
      </c>
      <c r="G75" s="64">
        <v>20.53</v>
      </c>
      <c r="H75" s="64">
        <v>2.85</v>
      </c>
      <c r="I75" s="64">
        <v>0.71</v>
      </c>
      <c r="J75" s="64">
        <v>0.17</v>
      </c>
      <c r="K75" s="64">
        <v>298.97000000000003</v>
      </c>
      <c r="L75" s="64">
        <v>28.09</v>
      </c>
      <c r="M75" s="64">
        <v>86.09</v>
      </c>
      <c r="N75" s="64">
        <v>88.6</v>
      </c>
      <c r="O75" s="64">
        <v>0</v>
      </c>
      <c r="P75" s="64">
        <v>0.24</v>
      </c>
      <c r="Q75" s="64">
        <v>9.44</v>
      </c>
      <c r="R75" s="198"/>
      <c r="S75" s="198"/>
      <c r="T75" s="198"/>
      <c r="U75" s="198"/>
    </row>
    <row r="76" spans="1:21" s="12" customFormat="1" x14ac:dyDescent="0.25">
      <c r="A76" s="212" t="s">
        <v>2234</v>
      </c>
      <c r="B76" s="64">
        <v>5.36</v>
      </c>
      <c r="C76" s="64">
        <v>8.4</v>
      </c>
      <c r="D76" s="64">
        <v>8.69</v>
      </c>
      <c r="E76" s="64">
        <v>4.3499999999999996</v>
      </c>
      <c r="F76" s="64">
        <v>2.89</v>
      </c>
      <c r="G76" s="64">
        <v>20.81</v>
      </c>
      <c r="H76" s="64">
        <v>2.56</v>
      </c>
      <c r="I76" s="64">
        <v>0.65</v>
      </c>
      <c r="J76" s="64">
        <v>0.2</v>
      </c>
      <c r="K76" s="64">
        <v>303.06</v>
      </c>
      <c r="L76" s="64">
        <v>28.11</v>
      </c>
      <c r="M76" s="64">
        <v>84.44</v>
      </c>
      <c r="N76" s="64">
        <v>80.5</v>
      </c>
      <c r="O76" s="64">
        <v>0</v>
      </c>
      <c r="P76" s="64">
        <v>0.24</v>
      </c>
      <c r="Q76" s="64">
        <v>9.4499999999999993</v>
      </c>
      <c r="R76" s="198"/>
      <c r="S76" s="198"/>
      <c r="T76" s="198"/>
      <c r="U76" s="198"/>
    </row>
    <row r="77" spans="1:21" s="12" customFormat="1" x14ac:dyDescent="0.25">
      <c r="A77" s="212" t="s">
        <v>2235</v>
      </c>
      <c r="B77" s="64">
        <v>5.27</v>
      </c>
      <c r="C77" s="64">
        <v>8.58</v>
      </c>
      <c r="D77" s="64">
        <v>8.7100000000000009</v>
      </c>
      <c r="E77" s="64">
        <v>4.28</v>
      </c>
      <c r="F77" s="64">
        <v>3.47</v>
      </c>
      <c r="G77" s="64">
        <v>20.96</v>
      </c>
      <c r="H77" s="64">
        <v>2.41</v>
      </c>
      <c r="I77" s="64">
        <v>0.7</v>
      </c>
      <c r="J77" s="64">
        <v>0.18</v>
      </c>
      <c r="K77" s="64">
        <v>328.44</v>
      </c>
      <c r="L77" s="64">
        <v>27.87</v>
      </c>
      <c r="M77" s="64">
        <v>86.84</v>
      </c>
      <c r="N77" s="64">
        <v>74.900000000000006</v>
      </c>
      <c r="O77" s="64">
        <v>0</v>
      </c>
      <c r="P77" s="64">
        <v>0.24</v>
      </c>
      <c r="Q77" s="64">
        <v>9.4499999999999993</v>
      </c>
      <c r="R77" s="198"/>
      <c r="S77" s="198"/>
      <c r="T77" s="198"/>
      <c r="U77" s="198"/>
    </row>
    <row r="78" spans="1:21" s="12" customFormat="1" x14ac:dyDescent="0.25">
      <c r="A78" s="212" t="s">
        <v>2236</v>
      </c>
      <c r="B78" s="64">
        <v>5.98</v>
      </c>
      <c r="C78" s="64">
        <v>8.56</v>
      </c>
      <c r="D78" s="64">
        <v>9.27</v>
      </c>
      <c r="E78" s="64">
        <v>4.4000000000000004</v>
      </c>
      <c r="F78" s="64">
        <v>3.85</v>
      </c>
      <c r="G78" s="64">
        <v>20.96</v>
      </c>
      <c r="H78" s="64">
        <v>2.41</v>
      </c>
      <c r="I78" s="64">
        <v>0.7</v>
      </c>
      <c r="J78" s="64">
        <v>0.13</v>
      </c>
      <c r="K78" s="64">
        <v>323.73</v>
      </c>
      <c r="L78" s="64">
        <v>27.74</v>
      </c>
      <c r="M78" s="64">
        <v>87.52</v>
      </c>
      <c r="N78" s="64">
        <v>77.7</v>
      </c>
      <c r="O78" s="64">
        <v>0</v>
      </c>
      <c r="P78" s="64">
        <v>0.25</v>
      </c>
      <c r="Q78" s="64">
        <v>9.4600000000000009</v>
      </c>
      <c r="R78" s="198"/>
      <c r="S78" s="198"/>
      <c r="T78" s="198"/>
      <c r="U78" s="198"/>
    </row>
    <row r="79" spans="1:21" s="12" customFormat="1" x14ac:dyDescent="0.25">
      <c r="A79" s="212" t="s">
        <v>2237</v>
      </c>
      <c r="B79" s="64">
        <v>7.35</v>
      </c>
      <c r="C79" s="64">
        <v>9.89</v>
      </c>
      <c r="D79" s="64">
        <v>11.06</v>
      </c>
      <c r="E79" s="64">
        <v>4.34</v>
      </c>
      <c r="F79" s="64">
        <v>4.1500000000000004</v>
      </c>
      <c r="G79" s="64">
        <v>20.96</v>
      </c>
      <c r="H79" s="64">
        <v>2.41</v>
      </c>
      <c r="I79" s="64">
        <v>0.65</v>
      </c>
      <c r="J79" s="64">
        <v>0.14000000000000001</v>
      </c>
      <c r="K79" s="64">
        <v>329.83</v>
      </c>
      <c r="L79" s="64">
        <v>27.47</v>
      </c>
      <c r="M79" s="64">
        <v>89.99</v>
      </c>
      <c r="N79" s="64">
        <v>77.599999999999994</v>
      </c>
      <c r="O79" s="64">
        <v>0</v>
      </c>
      <c r="P79" s="64">
        <v>0.3</v>
      </c>
      <c r="Q79" s="64">
        <v>9.4600000000000009</v>
      </c>
      <c r="R79" s="198"/>
      <c r="S79" s="198"/>
      <c r="T79" s="198"/>
      <c r="U79" s="198"/>
    </row>
    <row r="80" spans="1:21" s="12" customFormat="1" x14ac:dyDescent="0.25">
      <c r="A80" s="212" t="s">
        <v>2238</v>
      </c>
      <c r="B80" s="64">
        <v>5.8</v>
      </c>
      <c r="C80" s="64">
        <v>9.15</v>
      </c>
      <c r="D80" s="64">
        <v>9.43</v>
      </c>
      <c r="E80" s="64">
        <v>4.2699999999999996</v>
      </c>
      <c r="F80" s="64">
        <v>5.64</v>
      </c>
      <c r="G80" s="64">
        <v>22.56</v>
      </c>
      <c r="H80" s="64">
        <v>2.16</v>
      </c>
      <c r="I80" s="64">
        <v>0.66</v>
      </c>
      <c r="J80" s="64">
        <v>0.09</v>
      </c>
      <c r="K80" s="64">
        <v>328.8</v>
      </c>
      <c r="L80" s="64">
        <v>27.28</v>
      </c>
      <c r="M80" s="64">
        <v>90.55</v>
      </c>
      <c r="N80" s="64">
        <v>62.2</v>
      </c>
      <c r="O80" s="64">
        <v>0</v>
      </c>
      <c r="P80" s="64">
        <v>0.28000000000000003</v>
      </c>
      <c r="Q80" s="64">
        <v>9.4700000000000006</v>
      </c>
      <c r="R80" s="198"/>
      <c r="S80" s="198"/>
      <c r="T80" s="198"/>
      <c r="U80" s="198"/>
    </row>
    <row r="81" spans="1:26" s="12" customFormat="1" x14ac:dyDescent="0.25">
      <c r="A81" s="212" t="s">
        <v>2239</v>
      </c>
      <c r="B81" s="64">
        <v>8.34</v>
      </c>
      <c r="C81" s="64">
        <v>8.98</v>
      </c>
      <c r="D81" s="64">
        <v>11.38</v>
      </c>
      <c r="E81" s="64">
        <v>4.5599999999999996</v>
      </c>
      <c r="F81" s="64">
        <v>5.63</v>
      </c>
      <c r="G81" s="64">
        <v>23.36</v>
      </c>
      <c r="H81" s="64">
        <v>2.0299999999999998</v>
      </c>
      <c r="I81" s="64">
        <v>0.75</v>
      </c>
      <c r="J81" s="64">
        <v>0.06</v>
      </c>
      <c r="K81" s="64">
        <v>301.95999999999998</v>
      </c>
      <c r="L81" s="64">
        <v>27.05</v>
      </c>
      <c r="M81" s="64">
        <v>92.71</v>
      </c>
      <c r="N81" s="64">
        <v>49.9</v>
      </c>
      <c r="O81" s="64">
        <v>0</v>
      </c>
      <c r="P81" s="64">
        <v>0.34</v>
      </c>
      <c r="Q81" s="64">
        <v>9.48</v>
      </c>
      <c r="R81" s="198"/>
      <c r="S81" s="198"/>
      <c r="T81" s="198"/>
      <c r="U81" s="198"/>
    </row>
    <row r="82" spans="1:26" s="12" customFormat="1" x14ac:dyDescent="0.25">
      <c r="A82" s="212" t="s">
        <v>2240</v>
      </c>
      <c r="B82" s="64">
        <v>7.06</v>
      </c>
      <c r="C82" s="64">
        <v>7.61</v>
      </c>
      <c r="D82" s="64">
        <v>9.64</v>
      </c>
      <c r="E82" s="64">
        <v>4.6100000000000003</v>
      </c>
      <c r="F82" s="64">
        <v>2.69</v>
      </c>
      <c r="G82" s="64">
        <v>23.36</v>
      </c>
      <c r="H82" s="64">
        <v>2.0299999999999998</v>
      </c>
      <c r="I82" s="64">
        <v>0.85</v>
      </c>
      <c r="J82" s="64">
        <v>0.14000000000000001</v>
      </c>
      <c r="K82" s="64">
        <v>339.84</v>
      </c>
      <c r="L82" s="64">
        <v>26.87</v>
      </c>
      <c r="M82" s="64">
        <v>91.64</v>
      </c>
      <c r="N82" s="64">
        <v>43.6</v>
      </c>
      <c r="O82" s="64">
        <v>0</v>
      </c>
      <c r="P82" s="64">
        <v>0.3</v>
      </c>
      <c r="Q82" s="64">
        <v>9.48</v>
      </c>
      <c r="R82" s="198"/>
      <c r="S82" s="198"/>
      <c r="T82" s="198"/>
      <c r="U82" s="198"/>
    </row>
    <row r="83" spans="1:26" s="12" customFormat="1" x14ac:dyDescent="0.25">
      <c r="A83" s="212" t="s">
        <v>2241</v>
      </c>
      <c r="B83" s="64">
        <v>6.24</v>
      </c>
      <c r="C83" s="64">
        <v>8.3699999999999992</v>
      </c>
      <c r="D83" s="64">
        <v>9.3699999999999992</v>
      </c>
      <c r="E83" s="64">
        <v>4.34</v>
      </c>
      <c r="F83" s="64">
        <v>4.5999999999999996</v>
      </c>
      <c r="G83" s="64">
        <v>23.36</v>
      </c>
      <c r="H83" s="64">
        <v>2.0299999999999998</v>
      </c>
      <c r="I83" s="64">
        <v>1.04</v>
      </c>
      <c r="J83" s="64">
        <v>0.11</v>
      </c>
      <c r="K83" s="64">
        <v>340.79</v>
      </c>
      <c r="L83" s="64">
        <v>26.64</v>
      </c>
      <c r="M83" s="64">
        <v>92.85</v>
      </c>
      <c r="N83" s="64">
        <v>42.6</v>
      </c>
      <c r="O83" s="64">
        <v>0</v>
      </c>
      <c r="P83" s="64">
        <v>0.32</v>
      </c>
      <c r="Q83" s="64">
        <v>9.4700000000000006</v>
      </c>
      <c r="R83" s="198"/>
      <c r="S83" s="198"/>
      <c r="T83" s="198"/>
      <c r="U83" s="198"/>
    </row>
    <row r="84" spans="1:26" s="12" customFormat="1" x14ac:dyDescent="0.25">
      <c r="A84" s="212" t="s">
        <v>2242</v>
      </c>
      <c r="B84" s="64">
        <v>6.76</v>
      </c>
      <c r="C84" s="64">
        <v>10.47</v>
      </c>
      <c r="D84" s="64">
        <v>10.89</v>
      </c>
      <c r="E84" s="64">
        <v>4.59</v>
      </c>
      <c r="F84" s="64">
        <v>5.41</v>
      </c>
      <c r="G84" s="64">
        <v>22.78</v>
      </c>
      <c r="H84" s="64">
        <v>1.86</v>
      </c>
      <c r="I84" s="64">
        <v>1.29</v>
      </c>
      <c r="J84" s="64">
        <v>0.11</v>
      </c>
      <c r="K84" s="64">
        <v>351.64</v>
      </c>
      <c r="L84" s="64">
        <v>26.48</v>
      </c>
      <c r="M84" s="64">
        <v>95.36</v>
      </c>
      <c r="N84" s="64">
        <v>42.3</v>
      </c>
      <c r="O84" s="64">
        <v>0</v>
      </c>
      <c r="P84" s="64">
        <v>0.36</v>
      </c>
      <c r="Q84" s="64">
        <v>9.4499999999999993</v>
      </c>
      <c r="R84" s="198"/>
      <c r="S84" s="198"/>
      <c r="T84" s="198"/>
      <c r="U84" s="198"/>
    </row>
    <row r="85" spans="1:26" s="12" customFormat="1" x14ac:dyDescent="0.25">
      <c r="A85" s="212" t="s">
        <v>2243</v>
      </c>
      <c r="B85" s="64">
        <v>7.31</v>
      </c>
      <c r="C85" s="64">
        <v>11.25</v>
      </c>
      <c r="D85" s="64">
        <v>11.74</v>
      </c>
      <c r="E85" s="64">
        <v>4.7300000000000004</v>
      </c>
      <c r="F85" s="64">
        <v>5.44</v>
      </c>
      <c r="G85" s="64">
        <v>22.49</v>
      </c>
      <c r="H85" s="64">
        <v>1.78</v>
      </c>
      <c r="I85" s="64">
        <v>1.38</v>
      </c>
      <c r="J85" s="64">
        <v>7.0000000000000007E-2</v>
      </c>
      <c r="K85" s="64">
        <v>355.87</v>
      </c>
      <c r="L85" s="64">
        <v>26.32</v>
      </c>
      <c r="M85" s="64">
        <v>97.72</v>
      </c>
      <c r="N85" s="64">
        <v>42.3</v>
      </c>
      <c r="O85" s="64">
        <v>0</v>
      </c>
      <c r="P85" s="64">
        <v>0.41</v>
      </c>
      <c r="Q85" s="64">
        <v>9.4600000000000009</v>
      </c>
      <c r="R85" s="198"/>
      <c r="S85" s="198"/>
      <c r="T85" s="198"/>
      <c r="U85" s="198"/>
    </row>
    <row r="86" spans="1:26" s="12" customFormat="1" x14ac:dyDescent="0.25">
      <c r="A86" s="212" t="s">
        <v>2244</v>
      </c>
      <c r="B86" s="64">
        <v>7.79</v>
      </c>
      <c r="C86" s="64">
        <v>13.27</v>
      </c>
      <c r="D86" s="64">
        <v>13.18</v>
      </c>
      <c r="E86" s="64">
        <v>4.57</v>
      </c>
      <c r="F86" s="64">
        <v>5.41</v>
      </c>
      <c r="G86" s="64">
        <v>22.49</v>
      </c>
      <c r="H86" s="64">
        <v>1.78</v>
      </c>
      <c r="I86" s="64">
        <v>1.43</v>
      </c>
      <c r="J86" s="64">
        <v>0.06</v>
      </c>
      <c r="K86" s="64">
        <v>354.69</v>
      </c>
      <c r="L86" s="64">
        <v>26.15</v>
      </c>
      <c r="M86" s="64">
        <v>98.02</v>
      </c>
      <c r="N86" s="64">
        <v>42.3</v>
      </c>
      <c r="O86" s="64">
        <v>0</v>
      </c>
      <c r="P86" s="64">
        <v>0.55000000000000004</v>
      </c>
      <c r="Q86" s="64">
        <v>9.4700000000000006</v>
      </c>
      <c r="R86" s="198"/>
      <c r="S86" s="198"/>
      <c r="T86" s="198"/>
      <c r="U86" s="198"/>
    </row>
    <row r="87" spans="1:26" s="12" customFormat="1" x14ac:dyDescent="0.25">
      <c r="A87" s="212" t="s">
        <v>2245</v>
      </c>
      <c r="B87" s="64">
        <v>8.48</v>
      </c>
      <c r="C87" s="64">
        <v>13.18</v>
      </c>
      <c r="D87" s="64">
        <v>13.69</v>
      </c>
      <c r="E87" s="64">
        <v>4.8499999999999996</v>
      </c>
      <c r="F87" s="64">
        <v>6.3</v>
      </c>
      <c r="G87" s="64">
        <v>22.49</v>
      </c>
      <c r="H87" s="64">
        <v>1.78</v>
      </c>
      <c r="I87" s="64">
        <v>1.47</v>
      </c>
      <c r="J87" s="64">
        <v>0.02</v>
      </c>
      <c r="K87" s="64">
        <v>279.83</v>
      </c>
      <c r="L87" s="64">
        <v>26.09</v>
      </c>
      <c r="M87" s="64">
        <v>98.03</v>
      </c>
      <c r="N87" s="64">
        <v>42.3</v>
      </c>
      <c r="O87" s="64">
        <v>0</v>
      </c>
      <c r="P87" s="64">
        <v>0.56999999999999995</v>
      </c>
      <c r="Q87" s="64">
        <v>9.48</v>
      </c>
      <c r="R87" s="198"/>
      <c r="S87" s="198"/>
      <c r="T87" s="198"/>
      <c r="U87" s="198"/>
    </row>
    <row r="88" spans="1:26" s="12" customFormat="1" x14ac:dyDescent="0.25">
      <c r="A88" s="212" t="s">
        <v>2246</v>
      </c>
      <c r="B88" s="64">
        <v>9.2100000000000009</v>
      </c>
      <c r="C88" s="64">
        <v>11.38</v>
      </c>
      <c r="D88" s="64">
        <v>13.33</v>
      </c>
      <c r="E88" s="64">
        <v>4.6900000000000004</v>
      </c>
      <c r="F88" s="64">
        <v>6.03</v>
      </c>
      <c r="G88" s="64">
        <v>24.08</v>
      </c>
      <c r="H88" s="64">
        <v>1.72</v>
      </c>
      <c r="I88" s="64">
        <v>1.5</v>
      </c>
      <c r="J88" s="64">
        <v>7.0000000000000007E-2</v>
      </c>
      <c r="K88" s="64">
        <v>327.39</v>
      </c>
      <c r="L88" s="64">
        <v>26.02</v>
      </c>
      <c r="M88" s="64">
        <v>98.05</v>
      </c>
      <c r="N88" s="64">
        <v>42.3</v>
      </c>
      <c r="O88" s="64">
        <v>0</v>
      </c>
      <c r="P88" s="64">
        <v>0.45</v>
      </c>
      <c r="Q88" s="64">
        <v>9.48</v>
      </c>
      <c r="R88" s="198"/>
      <c r="S88" s="198"/>
      <c r="T88" s="198"/>
      <c r="U88" s="198"/>
    </row>
    <row r="89" spans="1:26" s="12" customFormat="1" x14ac:dyDescent="0.25">
      <c r="A89" s="212" t="s">
        <v>2247</v>
      </c>
      <c r="B89" s="64">
        <v>8.56</v>
      </c>
      <c r="C89" s="64">
        <v>10.43</v>
      </c>
      <c r="D89" s="64">
        <v>12.32</v>
      </c>
      <c r="E89" s="64">
        <v>4.72</v>
      </c>
      <c r="F89" s="64">
        <v>4.8</v>
      </c>
      <c r="G89" s="64">
        <v>24.87</v>
      </c>
      <c r="H89" s="64">
        <v>1.69</v>
      </c>
      <c r="I89" s="64">
        <v>1.52</v>
      </c>
      <c r="J89" s="64">
        <v>0.12</v>
      </c>
      <c r="K89" s="64">
        <v>345.2</v>
      </c>
      <c r="L89" s="64">
        <v>26</v>
      </c>
      <c r="M89" s="64">
        <v>98.05</v>
      </c>
      <c r="N89" s="64">
        <v>42.2</v>
      </c>
      <c r="O89" s="64">
        <v>0</v>
      </c>
      <c r="P89" s="64">
        <v>0.46</v>
      </c>
      <c r="Q89" s="64">
        <v>9.48</v>
      </c>
      <c r="R89" s="198"/>
      <c r="S89" s="198"/>
      <c r="T89" s="198"/>
      <c r="U89" s="198"/>
    </row>
    <row r="90" spans="1:26" s="12" customFormat="1" x14ac:dyDescent="0.25">
      <c r="A90" s="212" t="s">
        <v>2248</v>
      </c>
      <c r="B90" s="64">
        <v>7.73</v>
      </c>
      <c r="C90" s="64">
        <v>8.8000000000000007</v>
      </c>
      <c r="D90" s="64">
        <v>10.79</v>
      </c>
      <c r="E90" s="64">
        <v>4.63</v>
      </c>
      <c r="F90" s="64">
        <v>4.63</v>
      </c>
      <c r="G90" s="64">
        <v>24.87</v>
      </c>
      <c r="H90" s="64">
        <v>1.69</v>
      </c>
      <c r="I90" s="64">
        <v>1.52</v>
      </c>
      <c r="J90" s="64">
        <v>0.17</v>
      </c>
      <c r="K90" s="64">
        <v>330.58</v>
      </c>
      <c r="L90" s="64">
        <v>26.09</v>
      </c>
      <c r="M90" s="64">
        <v>98.03</v>
      </c>
      <c r="N90" s="64">
        <v>42.3</v>
      </c>
      <c r="O90" s="64">
        <v>0</v>
      </c>
      <c r="P90" s="64">
        <v>0.4</v>
      </c>
      <c r="Q90" s="64">
        <v>9.5</v>
      </c>
      <c r="R90" s="198"/>
      <c r="S90" s="198"/>
      <c r="T90" s="198"/>
      <c r="U90" s="198"/>
    </row>
    <row r="91" spans="1:26" s="12" customFormat="1" x14ac:dyDescent="0.25">
      <c r="A91" s="212" t="s">
        <v>2249</v>
      </c>
      <c r="B91" s="64">
        <v>7.57</v>
      </c>
      <c r="C91" s="64">
        <v>9.0399999999999991</v>
      </c>
      <c r="D91" s="64">
        <v>10.79</v>
      </c>
      <c r="E91" s="64">
        <v>4.72</v>
      </c>
      <c r="F91" s="64">
        <v>4.21</v>
      </c>
      <c r="G91" s="64">
        <v>24.87</v>
      </c>
      <c r="H91" s="64">
        <v>1.69</v>
      </c>
      <c r="I91" s="64">
        <v>1.53</v>
      </c>
      <c r="J91" s="64">
        <v>0.12</v>
      </c>
      <c r="K91" s="64">
        <v>335.45</v>
      </c>
      <c r="L91" s="64">
        <v>26.02</v>
      </c>
      <c r="M91" s="64">
        <v>98.06</v>
      </c>
      <c r="N91" s="64">
        <v>42.2</v>
      </c>
      <c r="O91" s="64">
        <v>0</v>
      </c>
      <c r="P91" s="64">
        <v>0.41</v>
      </c>
      <c r="Q91" s="64">
        <v>9.5</v>
      </c>
      <c r="R91" s="198"/>
      <c r="S91" s="198"/>
      <c r="T91" s="198"/>
      <c r="U91" s="198"/>
    </row>
    <row r="92" spans="1:26" s="12" customFormat="1" x14ac:dyDescent="0.25">
      <c r="A92" s="212" t="s">
        <v>2250</v>
      </c>
      <c r="B92" s="64">
        <v>7.11</v>
      </c>
      <c r="C92" s="64">
        <v>9.18</v>
      </c>
      <c r="D92" s="64">
        <v>10.49</v>
      </c>
      <c r="E92" s="64">
        <v>4.87</v>
      </c>
      <c r="F92" s="64">
        <v>4.8600000000000003</v>
      </c>
      <c r="G92" s="64">
        <v>24.87</v>
      </c>
      <c r="H92" s="64">
        <v>1.57</v>
      </c>
      <c r="I92" s="64">
        <v>1.52</v>
      </c>
      <c r="J92" s="64">
        <v>0.09</v>
      </c>
      <c r="K92" s="64">
        <v>330.58</v>
      </c>
      <c r="L92" s="64">
        <v>25.95</v>
      </c>
      <c r="M92" s="64">
        <v>98.07</v>
      </c>
      <c r="N92" s="64">
        <v>42.3</v>
      </c>
      <c r="O92" s="64">
        <v>0</v>
      </c>
      <c r="P92" s="64">
        <v>0.4</v>
      </c>
      <c r="Q92" s="64">
        <v>9.5</v>
      </c>
      <c r="R92" s="198"/>
      <c r="S92" s="198"/>
      <c r="T92" s="198"/>
      <c r="U92" s="198"/>
    </row>
    <row r="93" spans="1:26" s="12" customFormat="1" x14ac:dyDescent="0.25">
      <c r="A93" s="212" t="s">
        <v>2251</v>
      </c>
      <c r="B93" s="64">
        <v>8.42</v>
      </c>
      <c r="C93" s="64">
        <v>9.52</v>
      </c>
      <c r="D93" s="64">
        <v>11.73</v>
      </c>
      <c r="E93" s="64">
        <v>4.54</v>
      </c>
      <c r="F93" s="64">
        <v>6.88</v>
      </c>
      <c r="G93" s="64">
        <v>24.87</v>
      </c>
      <c r="H93" s="64">
        <v>1.52</v>
      </c>
      <c r="I93" s="64">
        <v>1.51</v>
      </c>
      <c r="J93" s="64">
        <v>0.08</v>
      </c>
      <c r="K93" s="64">
        <v>319.99</v>
      </c>
      <c r="L93" s="64">
        <v>25.82</v>
      </c>
      <c r="M93" s="64">
        <v>98.06</v>
      </c>
      <c r="N93" s="64">
        <v>42.3</v>
      </c>
      <c r="O93" s="64">
        <v>0</v>
      </c>
      <c r="P93" s="64">
        <v>0.4</v>
      </c>
      <c r="Q93" s="64">
        <v>9.52</v>
      </c>
      <c r="R93" s="198"/>
      <c r="S93" s="198"/>
      <c r="T93" s="198"/>
      <c r="U93" s="198"/>
    </row>
    <row r="94" spans="1:26" s="12" customFormat="1" x14ac:dyDescent="0.25">
      <c r="A94" s="212" t="s">
        <v>2252</v>
      </c>
      <c r="B94" s="64">
        <v>10.039999999999999</v>
      </c>
      <c r="C94" s="64">
        <v>8.75</v>
      </c>
      <c r="D94" s="64">
        <v>12.62</v>
      </c>
      <c r="E94" s="64">
        <v>4.55</v>
      </c>
      <c r="F94" s="64">
        <v>5.33</v>
      </c>
      <c r="G94" s="64">
        <v>24.87</v>
      </c>
      <c r="H94" s="64">
        <v>1.52</v>
      </c>
      <c r="I94" s="64">
        <v>1.49</v>
      </c>
      <c r="J94" s="64">
        <v>0.1</v>
      </c>
      <c r="K94" s="64">
        <v>325.45</v>
      </c>
      <c r="L94" s="64">
        <v>25.53</v>
      </c>
      <c r="M94" s="64">
        <v>98.1</v>
      </c>
      <c r="N94" s="64">
        <v>41.9</v>
      </c>
      <c r="O94" s="64">
        <v>0</v>
      </c>
      <c r="P94" s="64">
        <v>0.41</v>
      </c>
      <c r="Q94" s="64">
        <v>9.5399999999999991</v>
      </c>
      <c r="R94" s="198"/>
      <c r="S94" s="198"/>
      <c r="T94" s="198"/>
      <c r="U94" s="198"/>
    </row>
    <row r="95" spans="1:26" s="12" customFormat="1" x14ac:dyDescent="0.25">
      <c r="A95" s="212" t="s">
        <v>2253</v>
      </c>
      <c r="B95" s="64">
        <v>9.76</v>
      </c>
      <c r="C95" s="64">
        <v>9.2799999999999994</v>
      </c>
      <c r="D95" s="64">
        <v>12.67</v>
      </c>
      <c r="E95" s="64">
        <v>4.42</v>
      </c>
      <c r="F95" s="64">
        <v>4.03</v>
      </c>
      <c r="G95" s="64">
        <v>24.87</v>
      </c>
      <c r="H95" s="64">
        <v>1.52</v>
      </c>
      <c r="I95" s="64">
        <v>1.47</v>
      </c>
      <c r="J95" s="64">
        <v>0.11</v>
      </c>
      <c r="K95" s="64">
        <v>319.82</v>
      </c>
      <c r="L95" s="64">
        <v>25.43</v>
      </c>
      <c r="M95" s="64">
        <v>98.1</v>
      </c>
      <c r="N95" s="64">
        <v>41.6</v>
      </c>
      <c r="O95" s="64">
        <v>0</v>
      </c>
      <c r="P95" s="64">
        <v>0.4</v>
      </c>
      <c r="Q95" s="64">
        <v>9.5500000000000007</v>
      </c>
      <c r="R95" s="198"/>
      <c r="S95" s="198"/>
      <c r="T95" s="198"/>
      <c r="U95" s="198"/>
    </row>
    <row r="96" spans="1:26" s="12" customFormat="1" x14ac:dyDescent="0.25">
      <c r="A96" s="212" t="s">
        <v>2254</v>
      </c>
      <c r="B96" s="64">
        <v>8.0399999999999991</v>
      </c>
      <c r="C96" s="64">
        <v>8.3800000000000008</v>
      </c>
      <c r="D96" s="64">
        <v>10.83</v>
      </c>
      <c r="E96" s="64">
        <v>4.5</v>
      </c>
      <c r="F96" s="64">
        <v>3.53</v>
      </c>
      <c r="G96" s="64">
        <v>25.6</v>
      </c>
      <c r="H96" s="64">
        <v>2.5</v>
      </c>
      <c r="I96" s="64">
        <v>1.46</v>
      </c>
      <c r="J96" s="64">
        <v>0.21</v>
      </c>
      <c r="K96" s="64">
        <v>323.93</v>
      </c>
      <c r="L96" s="64">
        <v>25.1</v>
      </c>
      <c r="M96" s="64">
        <v>98.11</v>
      </c>
      <c r="N96" s="64">
        <v>41.8</v>
      </c>
      <c r="O96" s="64">
        <v>0</v>
      </c>
      <c r="P96" s="64">
        <v>0.38</v>
      </c>
      <c r="Q96" s="64">
        <v>9.56</v>
      </c>
      <c r="R96" s="198"/>
      <c r="S96" s="198"/>
      <c r="T96" s="198"/>
      <c r="U96" s="198"/>
      <c r="Z96" s="109"/>
    </row>
    <row r="97" spans="1:33" s="12" customFormat="1" x14ac:dyDescent="0.25">
      <c r="A97" s="212" t="s">
        <v>2255</v>
      </c>
      <c r="B97" s="64">
        <v>7.97</v>
      </c>
      <c r="C97" s="64">
        <v>8.42</v>
      </c>
      <c r="D97" s="64">
        <v>10.79</v>
      </c>
      <c r="E97" s="64">
        <v>4.53</v>
      </c>
      <c r="F97" s="64">
        <v>4.51</v>
      </c>
      <c r="G97" s="64">
        <v>25.97</v>
      </c>
      <c r="H97" s="64">
        <v>2.99</v>
      </c>
      <c r="I97" s="64">
        <v>1.45</v>
      </c>
      <c r="J97" s="64">
        <v>0.1</v>
      </c>
      <c r="K97" s="64">
        <v>323.86</v>
      </c>
      <c r="L97" s="64">
        <v>24.46</v>
      </c>
      <c r="M97" s="64">
        <v>98.17</v>
      </c>
      <c r="N97" s="64">
        <v>42.6</v>
      </c>
      <c r="O97" s="64">
        <v>0</v>
      </c>
      <c r="P97" s="64">
        <v>0.35</v>
      </c>
      <c r="Q97" s="64">
        <v>9.57</v>
      </c>
      <c r="R97" s="198"/>
      <c r="S97" s="198"/>
      <c r="T97" s="198"/>
      <c r="U97" s="198"/>
    </row>
    <row r="98" spans="1:33" s="12" customFormat="1" x14ac:dyDescent="0.25">
      <c r="A98" s="212" t="s">
        <v>2256</v>
      </c>
      <c r="B98" s="64">
        <v>8.83</v>
      </c>
      <c r="C98" s="64">
        <v>8.2100000000000009</v>
      </c>
      <c r="D98" s="64">
        <v>11.37</v>
      </c>
      <c r="E98" s="64">
        <v>4.9400000000000004</v>
      </c>
      <c r="F98" s="64">
        <v>3.56</v>
      </c>
      <c r="G98" s="64">
        <v>25.97</v>
      </c>
      <c r="H98" s="64">
        <v>2.99</v>
      </c>
      <c r="I98" s="64">
        <v>1.41</v>
      </c>
      <c r="J98" s="64">
        <v>0.18</v>
      </c>
      <c r="K98" s="64">
        <v>330.08</v>
      </c>
      <c r="L98" s="64">
        <v>24.15</v>
      </c>
      <c r="M98" s="64">
        <v>98.2</v>
      </c>
      <c r="N98" s="64">
        <v>42.6</v>
      </c>
      <c r="O98" s="64">
        <v>0</v>
      </c>
      <c r="P98" s="64">
        <v>0.38</v>
      </c>
      <c r="Q98" s="64">
        <v>9.57</v>
      </c>
      <c r="R98" s="198"/>
      <c r="S98" s="198"/>
      <c r="T98" s="198"/>
      <c r="U98" s="198"/>
    </row>
    <row r="99" spans="1:33" s="12" customFormat="1" x14ac:dyDescent="0.25">
      <c r="A99" s="212" t="s">
        <v>2257</v>
      </c>
      <c r="B99" s="64">
        <v>7.79</v>
      </c>
      <c r="C99" s="64">
        <v>7.67</v>
      </c>
      <c r="D99" s="64">
        <v>10.25</v>
      </c>
      <c r="E99" s="64">
        <v>4.8099999999999996</v>
      </c>
      <c r="F99" s="64">
        <v>2.41</v>
      </c>
      <c r="G99" s="64">
        <v>25.97</v>
      </c>
      <c r="H99" s="64">
        <v>2.99</v>
      </c>
      <c r="I99" s="64">
        <v>1.38</v>
      </c>
      <c r="J99" s="64">
        <v>0.24</v>
      </c>
      <c r="K99" s="64">
        <v>318.52999999999997</v>
      </c>
      <c r="L99" s="64">
        <v>24</v>
      </c>
      <c r="M99" s="64">
        <v>98.18</v>
      </c>
      <c r="N99" s="64">
        <v>42.9</v>
      </c>
      <c r="O99" s="64">
        <v>0</v>
      </c>
      <c r="P99" s="64">
        <v>0.36</v>
      </c>
      <c r="Q99" s="64">
        <v>9.57</v>
      </c>
      <c r="R99" s="198"/>
      <c r="S99" s="198"/>
      <c r="T99" s="198"/>
      <c r="U99" s="198"/>
    </row>
    <row r="100" spans="1:33" s="12" customFormat="1" x14ac:dyDescent="0.25">
      <c r="A100" s="212" t="s">
        <v>2258</v>
      </c>
      <c r="B100" s="64">
        <v>7.52</v>
      </c>
      <c r="C100" s="64">
        <v>7.76</v>
      </c>
      <c r="D100" s="64">
        <v>10.08</v>
      </c>
      <c r="E100" s="64">
        <v>4.49</v>
      </c>
      <c r="F100" s="64">
        <v>3.14</v>
      </c>
      <c r="G100" s="64">
        <v>22.79</v>
      </c>
      <c r="H100" s="64">
        <v>3.39</v>
      </c>
      <c r="I100" s="64">
        <v>1.35</v>
      </c>
      <c r="J100" s="64">
        <v>0.22</v>
      </c>
      <c r="K100" s="64">
        <v>318.39999999999998</v>
      </c>
      <c r="L100" s="64">
        <v>23.84</v>
      </c>
      <c r="M100" s="64">
        <v>98.18</v>
      </c>
      <c r="N100" s="64">
        <v>42.4</v>
      </c>
      <c r="O100" s="64">
        <v>0</v>
      </c>
      <c r="P100" s="64">
        <v>0.39</v>
      </c>
      <c r="Q100" s="64">
        <v>9.5500000000000007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2" t="s">
        <v>2259</v>
      </c>
      <c r="B101" s="64">
        <v>10.47</v>
      </c>
      <c r="C101" s="64">
        <v>8.6199999999999992</v>
      </c>
      <c r="D101" s="64">
        <v>12.9</v>
      </c>
      <c r="E101" s="64">
        <v>4.9000000000000004</v>
      </c>
      <c r="F101" s="64">
        <v>2.42</v>
      </c>
      <c r="G101" s="64">
        <v>21.2</v>
      </c>
      <c r="H101" s="64">
        <v>3.59</v>
      </c>
      <c r="I101" s="64">
        <v>1.33</v>
      </c>
      <c r="J101" s="64">
        <v>0.12</v>
      </c>
      <c r="K101" s="64">
        <v>325.45</v>
      </c>
      <c r="L101" s="64">
        <v>23.68</v>
      </c>
      <c r="M101" s="64">
        <v>98.23</v>
      </c>
      <c r="N101" s="64">
        <v>42.2</v>
      </c>
      <c r="O101" s="64">
        <v>0</v>
      </c>
      <c r="P101" s="64">
        <v>0.66</v>
      </c>
      <c r="Q101" s="64">
        <v>9.5299999999999994</v>
      </c>
      <c r="R101" s="198"/>
      <c r="S101" s="198"/>
      <c r="T101" s="198"/>
      <c r="U101" s="198"/>
    </row>
    <row r="102" spans="1:33" s="12" customFormat="1" x14ac:dyDescent="0.25">
      <c r="A102" s="212" t="s">
        <v>2260</v>
      </c>
      <c r="B102" s="64">
        <v>9.1300000000000008</v>
      </c>
      <c r="C102" s="64">
        <v>8.48</v>
      </c>
      <c r="D102" s="64">
        <v>11.75</v>
      </c>
      <c r="E102" s="64">
        <v>4.4400000000000004</v>
      </c>
      <c r="F102" s="64">
        <v>2.1800000000000002</v>
      </c>
      <c r="G102" s="64">
        <v>21.2</v>
      </c>
      <c r="H102" s="64">
        <v>3.59</v>
      </c>
      <c r="I102" s="64">
        <v>1.42</v>
      </c>
      <c r="J102" s="64">
        <v>0.12</v>
      </c>
      <c r="K102" s="64">
        <v>334.05</v>
      </c>
      <c r="L102" s="64">
        <v>23.48</v>
      </c>
      <c r="M102" s="64">
        <v>98.23</v>
      </c>
      <c r="N102" s="64">
        <v>42.3</v>
      </c>
      <c r="O102" s="64">
        <v>0</v>
      </c>
      <c r="P102" s="64">
        <v>0.56000000000000005</v>
      </c>
      <c r="Q102" s="64">
        <v>9.5299999999999994</v>
      </c>
      <c r="R102" s="198"/>
      <c r="S102" s="198"/>
      <c r="T102" s="198"/>
      <c r="U102" s="198"/>
    </row>
    <row r="103" spans="1:33" s="12" customFormat="1" x14ac:dyDescent="0.25">
      <c r="A103" s="212" t="s">
        <v>2261</v>
      </c>
      <c r="B103" s="64">
        <v>7.75</v>
      </c>
      <c r="C103" s="64">
        <v>7.65</v>
      </c>
      <c r="D103" s="64">
        <v>10.220000000000001</v>
      </c>
      <c r="E103" s="64">
        <v>4.38</v>
      </c>
      <c r="F103" s="64">
        <v>4.41</v>
      </c>
      <c r="G103" s="64">
        <v>21.2</v>
      </c>
      <c r="H103" s="64">
        <v>3.59</v>
      </c>
      <c r="I103" s="64">
        <v>1.7</v>
      </c>
      <c r="J103" s="64">
        <v>7.0000000000000007E-2</v>
      </c>
      <c r="K103" s="64">
        <v>318.64999999999998</v>
      </c>
      <c r="L103" s="64">
        <v>23.36</v>
      </c>
      <c r="M103" s="64">
        <v>98.25</v>
      </c>
      <c r="N103" s="64">
        <v>42.3</v>
      </c>
      <c r="O103" s="64">
        <v>0</v>
      </c>
      <c r="P103" s="64">
        <v>0.49</v>
      </c>
      <c r="Q103" s="64">
        <v>9.5299999999999994</v>
      </c>
      <c r="R103" s="198"/>
      <c r="S103" s="198"/>
      <c r="T103" s="198"/>
      <c r="U103" s="198"/>
    </row>
    <row r="104" spans="1:33" s="12" customFormat="1" x14ac:dyDescent="0.25">
      <c r="A104" s="212" t="s">
        <v>2262</v>
      </c>
      <c r="B104" s="64">
        <v>6.98</v>
      </c>
      <c r="C104" s="64">
        <v>7.47</v>
      </c>
      <c r="D104" s="64">
        <v>9.5</v>
      </c>
      <c r="E104" s="64">
        <v>5.0599999999999996</v>
      </c>
      <c r="F104" s="64">
        <v>5.49</v>
      </c>
      <c r="G104" s="64">
        <v>23.62</v>
      </c>
      <c r="H104" s="64">
        <v>4.2</v>
      </c>
      <c r="I104" s="64">
        <v>1.92</v>
      </c>
      <c r="J104" s="64">
        <v>0.01</v>
      </c>
      <c r="K104" s="64">
        <v>312.32</v>
      </c>
      <c r="L104" s="64">
        <v>23.36</v>
      </c>
      <c r="M104" s="64">
        <v>98.25</v>
      </c>
      <c r="N104" s="64">
        <v>42.2</v>
      </c>
      <c r="O104" s="64">
        <v>0</v>
      </c>
      <c r="P104" s="64">
        <v>0.38</v>
      </c>
      <c r="Q104" s="64">
        <v>9.5299999999999994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5.21</v>
      </c>
      <c r="C106" s="67">
        <f>MIN(C9:C104)</f>
        <v>4.75</v>
      </c>
      <c r="D106" s="67">
        <f t="shared" ref="D106:Q106" si="0">MIN(D9:D104)</f>
        <v>7.63</v>
      </c>
      <c r="E106" s="67">
        <f t="shared" si="0"/>
        <v>3.32</v>
      </c>
      <c r="F106" s="67">
        <f t="shared" si="0"/>
        <v>2.1</v>
      </c>
      <c r="G106" s="67">
        <f t="shared" si="0"/>
        <v>5.76</v>
      </c>
      <c r="H106" s="67">
        <f t="shared" si="0"/>
        <v>1.52</v>
      </c>
      <c r="I106" s="67">
        <f t="shared" si="0"/>
        <v>0.59</v>
      </c>
      <c r="J106" s="67">
        <f t="shared" si="0"/>
        <v>0.01</v>
      </c>
      <c r="K106" s="67">
        <f t="shared" si="0"/>
        <v>37.880000000000003</v>
      </c>
      <c r="L106" s="67">
        <f t="shared" si="0"/>
        <v>22.93</v>
      </c>
      <c r="M106" s="67">
        <f t="shared" si="0"/>
        <v>83.35</v>
      </c>
      <c r="N106" s="67">
        <f t="shared" si="0"/>
        <v>41.6</v>
      </c>
      <c r="O106" s="67">
        <f t="shared" si="0"/>
        <v>0</v>
      </c>
      <c r="P106" s="67">
        <f t="shared" si="0"/>
        <v>0.13</v>
      </c>
      <c r="Q106" s="67">
        <f t="shared" si="0"/>
        <v>9.41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10.47</v>
      </c>
      <c r="C107" s="66">
        <f t="shared" ref="C107:Q107" si="1">MAX(C9:C104)</f>
        <v>13.27</v>
      </c>
      <c r="D107" s="66">
        <f t="shared" si="1"/>
        <v>13.69</v>
      </c>
      <c r="E107" s="66">
        <f t="shared" si="1"/>
        <v>5.14</v>
      </c>
      <c r="F107" s="66">
        <f t="shared" si="1"/>
        <v>7.6</v>
      </c>
      <c r="G107" s="66">
        <f t="shared" si="1"/>
        <v>25.97</v>
      </c>
      <c r="H107" s="66">
        <f t="shared" si="1"/>
        <v>4.2</v>
      </c>
      <c r="I107" s="66">
        <f t="shared" si="1"/>
        <v>1.92</v>
      </c>
      <c r="J107" s="66">
        <f t="shared" si="1"/>
        <v>0.34</v>
      </c>
      <c r="K107" s="66">
        <f t="shared" si="1"/>
        <v>355.87</v>
      </c>
      <c r="L107" s="66">
        <f t="shared" si="1"/>
        <v>28.6</v>
      </c>
      <c r="M107" s="66">
        <f t="shared" si="1"/>
        <v>98.25</v>
      </c>
      <c r="N107" s="66">
        <f t="shared" si="1"/>
        <v>756.7</v>
      </c>
      <c r="O107" s="66">
        <f t="shared" si="1"/>
        <v>0.2</v>
      </c>
      <c r="P107" s="66">
        <f t="shared" si="1"/>
        <v>0.66</v>
      </c>
      <c r="Q107" s="66">
        <f t="shared" si="1"/>
        <v>9.59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6.744062500000001</v>
      </c>
      <c r="C108" s="67">
        <f t="shared" ref="C108:Q108" si="2">AVERAGE(C9:C104)</f>
        <v>7.820208333333329</v>
      </c>
      <c r="D108" s="67">
        <f t="shared" si="2"/>
        <v>9.4939583333333353</v>
      </c>
      <c r="E108" s="67">
        <f t="shared" si="2"/>
        <v>4.4135416666666671</v>
      </c>
      <c r="F108" s="67">
        <f t="shared" si="2"/>
        <v>3.3957291666666656</v>
      </c>
      <c r="G108" s="67">
        <f t="shared" si="2"/>
        <v>16.052708333333324</v>
      </c>
      <c r="H108" s="67">
        <f t="shared" si="2"/>
        <v>2.7902083333333327</v>
      </c>
      <c r="I108" s="67">
        <f t="shared" si="2"/>
        <v>0.89843750000000011</v>
      </c>
      <c r="J108" s="67">
        <f t="shared" si="2"/>
        <v>0.15791666666666662</v>
      </c>
      <c r="K108" s="67">
        <f t="shared" si="2"/>
        <v>287.11322916666683</v>
      </c>
      <c r="L108" s="67">
        <f t="shared" si="2"/>
        <v>25.61333333333334</v>
      </c>
      <c r="M108" s="67">
        <f t="shared" si="2"/>
        <v>94.420625000000044</v>
      </c>
      <c r="N108" s="67">
        <f t="shared" si="2"/>
        <v>141.65729166666668</v>
      </c>
      <c r="O108" s="67">
        <f t="shared" si="2"/>
        <v>2.0833333333333333E-3</v>
      </c>
      <c r="P108" s="67">
        <f t="shared" si="2"/>
        <v>0.2658333333333332</v>
      </c>
      <c r="Q108" s="67">
        <f t="shared" si="2"/>
        <v>9.4820833333333372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1.1562394380740924</v>
      </c>
      <c r="C109" s="67">
        <f t="shared" ref="C109:Q109" si="3">STDEV(C9:C104)</f>
        <v>1.6168455182312973</v>
      </c>
      <c r="D109" s="67">
        <f t="shared" si="3"/>
        <v>1.4261486444758524</v>
      </c>
      <c r="E109" s="67">
        <f t="shared" si="3"/>
        <v>0.37813664800096203</v>
      </c>
      <c r="F109" s="67">
        <f t="shared" si="3"/>
        <v>1.3601135748177484</v>
      </c>
      <c r="G109" s="67">
        <f t="shared" si="3"/>
        <v>6.7860473696776538</v>
      </c>
      <c r="H109" s="67">
        <f t="shared" si="3"/>
        <v>0.78557250885368068</v>
      </c>
      <c r="I109" s="67">
        <f t="shared" si="3"/>
        <v>0.32383663238380583</v>
      </c>
      <c r="J109" s="67">
        <f t="shared" si="3"/>
        <v>7.7322518905068E-2</v>
      </c>
      <c r="K109" s="67">
        <f t="shared" si="3"/>
        <v>58.449795542296677</v>
      </c>
      <c r="L109" s="67">
        <f t="shared" si="3"/>
        <v>1.853479042612435</v>
      </c>
      <c r="M109" s="67">
        <f t="shared" si="3"/>
        <v>5.1024866615777604</v>
      </c>
      <c r="N109" s="67">
        <f t="shared" si="3"/>
        <v>151.06265534872858</v>
      </c>
      <c r="O109" s="67">
        <f t="shared" si="3"/>
        <v>2.0412414523193152E-2</v>
      </c>
      <c r="P109" s="67">
        <f t="shared" si="3"/>
        <v>0.10980045697025692</v>
      </c>
      <c r="Q109" s="67">
        <f t="shared" si="3"/>
        <v>4.539688527842476E-2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>COUNT(C9:C104)</f>
        <v>96</v>
      </c>
      <c r="D110" s="66">
        <f>COUNT(D9:D104)</f>
        <v>96</v>
      </c>
      <c r="E110" s="66">
        <f t="shared" ref="E110:Q110" si="4">COUNT(E9:E104)</f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216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22/08/2025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2" t="s">
        <v>2263</v>
      </c>
      <c r="B9" s="64">
        <v>6.62</v>
      </c>
      <c r="C9" s="64">
        <v>6.97</v>
      </c>
      <c r="D9" s="64">
        <v>8.9499999999999993</v>
      </c>
      <c r="E9" s="64">
        <v>5.14</v>
      </c>
      <c r="F9" s="64">
        <v>7.43</v>
      </c>
      <c r="G9" s="64">
        <v>24.83</v>
      </c>
      <c r="H9" s="64">
        <v>4.51</v>
      </c>
      <c r="I9" s="64">
        <v>1.91</v>
      </c>
      <c r="J9" s="64">
        <v>0.04</v>
      </c>
      <c r="K9" s="64">
        <v>344.87</v>
      </c>
      <c r="L9" s="64">
        <v>23.38</v>
      </c>
      <c r="M9" s="64">
        <v>98.25</v>
      </c>
      <c r="N9" s="64">
        <v>42.3</v>
      </c>
      <c r="O9" s="64">
        <v>0</v>
      </c>
      <c r="P9" s="64">
        <v>0.4</v>
      </c>
      <c r="Q9" s="64">
        <v>9.5299999999999994</v>
      </c>
      <c r="R9" s="198"/>
      <c r="S9" s="198"/>
      <c r="T9" s="198"/>
      <c r="U9" s="198"/>
    </row>
    <row r="10" spans="1:21" s="12" customFormat="1" x14ac:dyDescent="0.25">
      <c r="A10" s="212" t="s">
        <v>2264</v>
      </c>
      <c r="B10" s="64">
        <v>6.87</v>
      </c>
      <c r="C10" s="64">
        <v>6.53</v>
      </c>
      <c r="D10" s="64">
        <v>8.92</v>
      </c>
      <c r="E10" s="64">
        <v>5.08</v>
      </c>
      <c r="F10" s="64">
        <v>3.11</v>
      </c>
      <c r="G10" s="64">
        <v>24.83</v>
      </c>
      <c r="H10" s="64">
        <v>4.51</v>
      </c>
      <c r="I10" s="64">
        <v>1.86</v>
      </c>
      <c r="J10" s="64">
        <v>0.05</v>
      </c>
      <c r="K10" s="64">
        <v>321.89</v>
      </c>
      <c r="L10" s="64">
        <v>23.41</v>
      </c>
      <c r="M10" s="64">
        <v>98.25</v>
      </c>
      <c r="N10" s="64">
        <v>42.3</v>
      </c>
      <c r="O10" s="64">
        <v>0</v>
      </c>
      <c r="P10" s="64">
        <v>0.45</v>
      </c>
      <c r="Q10" s="64">
        <v>9.52</v>
      </c>
      <c r="R10" s="198"/>
      <c r="S10" s="198"/>
      <c r="T10" s="198"/>
      <c r="U10" s="198"/>
    </row>
    <row r="11" spans="1:21" s="12" customFormat="1" x14ac:dyDescent="0.25">
      <c r="A11" s="212" t="s">
        <v>2265</v>
      </c>
      <c r="B11" s="64">
        <v>7.11</v>
      </c>
      <c r="C11" s="64">
        <v>6.39</v>
      </c>
      <c r="D11" s="64">
        <v>9.0399999999999991</v>
      </c>
      <c r="E11" s="64">
        <v>5.03</v>
      </c>
      <c r="F11" s="64">
        <v>4.29</v>
      </c>
      <c r="G11" s="64">
        <v>24.83</v>
      </c>
      <c r="H11" s="64">
        <v>4.51</v>
      </c>
      <c r="I11" s="64">
        <v>1.8</v>
      </c>
      <c r="J11" s="64">
        <v>0.06</v>
      </c>
      <c r="K11" s="64">
        <v>316.52</v>
      </c>
      <c r="L11" s="64">
        <v>23.44</v>
      </c>
      <c r="M11" s="64">
        <v>98.25</v>
      </c>
      <c r="N11" s="64">
        <v>42.5</v>
      </c>
      <c r="O11" s="64">
        <v>0</v>
      </c>
      <c r="P11" s="64">
        <v>0.38</v>
      </c>
      <c r="Q11" s="64">
        <v>9.52</v>
      </c>
      <c r="R11" s="198"/>
      <c r="S11" s="198"/>
      <c r="T11" s="198"/>
      <c r="U11" s="198"/>
    </row>
    <row r="12" spans="1:21" s="12" customFormat="1" x14ac:dyDescent="0.25">
      <c r="A12" s="212" t="s">
        <v>2266</v>
      </c>
      <c r="B12" s="64">
        <v>7.2</v>
      </c>
      <c r="C12" s="64">
        <v>6.15</v>
      </c>
      <c r="D12" s="64">
        <v>8.98</v>
      </c>
      <c r="E12" s="64">
        <v>5.2</v>
      </c>
      <c r="F12" s="64">
        <v>3.43</v>
      </c>
      <c r="G12" s="64">
        <v>22.17</v>
      </c>
      <c r="H12" s="64">
        <v>3.77</v>
      </c>
      <c r="I12" s="64">
        <v>1.75</v>
      </c>
      <c r="J12" s="64">
        <v>0.02</v>
      </c>
      <c r="K12" s="64">
        <v>328.95</v>
      </c>
      <c r="L12" s="64">
        <v>23.45</v>
      </c>
      <c r="M12" s="64">
        <v>98.25</v>
      </c>
      <c r="N12" s="64">
        <v>42.6</v>
      </c>
      <c r="O12" s="64">
        <v>0</v>
      </c>
      <c r="P12" s="64">
        <v>0.44</v>
      </c>
      <c r="Q12" s="64">
        <v>9.51</v>
      </c>
      <c r="R12" s="198"/>
      <c r="S12" s="198"/>
      <c r="T12" s="198"/>
      <c r="U12" s="198"/>
    </row>
    <row r="13" spans="1:21" s="12" customFormat="1" x14ac:dyDescent="0.25">
      <c r="A13" s="212" t="s">
        <v>2267</v>
      </c>
      <c r="B13" s="64">
        <v>6.93</v>
      </c>
      <c r="C13" s="64">
        <v>6.17</v>
      </c>
      <c r="D13" s="64">
        <v>8.7799999999999994</v>
      </c>
      <c r="E13" s="64">
        <v>5.14</v>
      </c>
      <c r="F13" s="64">
        <v>3.56</v>
      </c>
      <c r="G13" s="64">
        <v>20.84</v>
      </c>
      <c r="H13" s="64">
        <v>3.4</v>
      </c>
      <c r="I13" s="64">
        <v>1.7</v>
      </c>
      <c r="J13" s="64">
        <v>0.06</v>
      </c>
      <c r="K13" s="64">
        <v>325</v>
      </c>
      <c r="L13" s="64">
        <v>23.4</v>
      </c>
      <c r="M13" s="64">
        <v>98.25</v>
      </c>
      <c r="N13" s="64">
        <v>42.4</v>
      </c>
      <c r="O13" s="64">
        <v>0</v>
      </c>
      <c r="P13" s="64">
        <v>0.37</v>
      </c>
      <c r="Q13" s="64">
        <v>9.51</v>
      </c>
      <c r="R13" s="198"/>
      <c r="S13" s="198"/>
      <c r="T13" s="198"/>
      <c r="U13" s="198"/>
    </row>
    <row r="14" spans="1:21" s="12" customFormat="1" x14ac:dyDescent="0.25">
      <c r="A14" s="212" t="s">
        <v>2268</v>
      </c>
      <c r="B14" s="64">
        <v>6.29</v>
      </c>
      <c r="C14" s="64">
        <v>6.15</v>
      </c>
      <c r="D14" s="64">
        <v>8.26</v>
      </c>
      <c r="E14" s="64">
        <v>5.0999999999999996</v>
      </c>
      <c r="F14" s="64">
        <v>6.55</v>
      </c>
      <c r="G14" s="64">
        <v>20.84</v>
      </c>
      <c r="H14" s="64">
        <v>3.4</v>
      </c>
      <c r="I14" s="64">
        <v>1.66</v>
      </c>
      <c r="J14" s="64">
        <v>0.02</v>
      </c>
      <c r="K14" s="64">
        <v>167.88</v>
      </c>
      <c r="L14" s="64">
        <v>23.38</v>
      </c>
      <c r="M14" s="64">
        <v>98.25</v>
      </c>
      <c r="N14" s="64">
        <v>42.3</v>
      </c>
      <c r="O14" s="64">
        <v>0</v>
      </c>
      <c r="P14" s="64">
        <v>0.28999999999999998</v>
      </c>
      <c r="Q14" s="64">
        <v>9.5299999999999994</v>
      </c>
      <c r="R14" s="198"/>
      <c r="S14" s="198"/>
      <c r="T14" s="198"/>
      <c r="U14" s="198"/>
    </row>
    <row r="15" spans="1:21" s="12" customFormat="1" x14ac:dyDescent="0.25">
      <c r="A15" s="212" t="s">
        <v>2269</v>
      </c>
      <c r="B15" s="64">
        <v>5.6</v>
      </c>
      <c r="C15" s="64">
        <v>6.12</v>
      </c>
      <c r="D15" s="64">
        <v>7.69</v>
      </c>
      <c r="E15" s="64">
        <v>5.53</v>
      </c>
      <c r="F15" s="64">
        <v>7.58</v>
      </c>
      <c r="G15" s="64">
        <v>20.84</v>
      </c>
      <c r="H15" s="64">
        <v>3.4</v>
      </c>
      <c r="I15" s="64">
        <v>1.61</v>
      </c>
      <c r="J15" s="64">
        <v>0.04</v>
      </c>
      <c r="K15" s="64">
        <v>101.84</v>
      </c>
      <c r="L15" s="64">
        <v>23.37</v>
      </c>
      <c r="M15" s="64">
        <v>98.25</v>
      </c>
      <c r="N15" s="64">
        <v>42.3</v>
      </c>
      <c r="O15" s="64">
        <v>0</v>
      </c>
      <c r="P15" s="64">
        <v>0.25</v>
      </c>
      <c r="Q15" s="64">
        <v>9.5399999999999991</v>
      </c>
      <c r="R15" s="198"/>
      <c r="S15" s="198"/>
      <c r="T15" s="198"/>
      <c r="U15" s="198"/>
    </row>
    <row r="16" spans="1:21" s="12" customFormat="1" x14ac:dyDescent="0.25">
      <c r="A16" s="212" t="s">
        <v>2270</v>
      </c>
      <c r="B16" s="64">
        <v>5.25</v>
      </c>
      <c r="C16" s="64">
        <v>5.82</v>
      </c>
      <c r="D16" s="64">
        <v>7.25</v>
      </c>
      <c r="E16" s="64">
        <v>5.32</v>
      </c>
      <c r="F16" s="64">
        <v>6.7</v>
      </c>
      <c r="G16" s="64">
        <v>16.940000000000001</v>
      </c>
      <c r="H16" s="64">
        <v>2.95</v>
      </c>
      <c r="I16" s="64">
        <v>1.56</v>
      </c>
      <c r="J16" s="64">
        <v>0.04</v>
      </c>
      <c r="K16" s="64">
        <v>212.2</v>
      </c>
      <c r="L16" s="64">
        <v>23.32</v>
      </c>
      <c r="M16" s="64">
        <v>98.25</v>
      </c>
      <c r="N16" s="64">
        <v>42.3</v>
      </c>
      <c r="O16" s="64">
        <v>0</v>
      </c>
      <c r="P16" s="64">
        <v>0.21</v>
      </c>
      <c r="Q16" s="64">
        <v>9.5500000000000007</v>
      </c>
      <c r="R16" s="198"/>
      <c r="S16" s="198"/>
      <c r="T16" s="198"/>
      <c r="U16" s="198"/>
    </row>
    <row r="17" spans="1:21" s="12" customFormat="1" x14ac:dyDescent="0.25">
      <c r="A17" s="212" t="s">
        <v>2271</v>
      </c>
      <c r="B17" s="64">
        <v>5.66</v>
      </c>
      <c r="C17" s="64">
        <v>5.88</v>
      </c>
      <c r="D17" s="64">
        <v>7.61</v>
      </c>
      <c r="E17" s="64">
        <v>5.53</v>
      </c>
      <c r="F17" s="64">
        <v>5.13</v>
      </c>
      <c r="G17" s="64">
        <v>14.98</v>
      </c>
      <c r="H17" s="64">
        <v>2.73</v>
      </c>
      <c r="I17" s="64">
        <v>1.51</v>
      </c>
      <c r="J17" s="64">
        <v>0.04</v>
      </c>
      <c r="K17" s="64">
        <v>300.83999999999997</v>
      </c>
      <c r="L17" s="64">
        <v>23.36</v>
      </c>
      <c r="M17" s="64">
        <v>98.25</v>
      </c>
      <c r="N17" s="64">
        <v>42.3</v>
      </c>
      <c r="O17" s="64">
        <v>0</v>
      </c>
      <c r="P17" s="64">
        <v>0.27</v>
      </c>
      <c r="Q17" s="64">
        <v>9.56</v>
      </c>
      <c r="R17" s="198"/>
      <c r="S17" s="198"/>
      <c r="T17" s="198"/>
      <c r="U17" s="198"/>
    </row>
    <row r="18" spans="1:21" s="12" customFormat="1" x14ac:dyDescent="0.25">
      <c r="A18" s="212" t="s">
        <v>2272</v>
      </c>
      <c r="B18" s="64">
        <v>6.1</v>
      </c>
      <c r="C18" s="64">
        <v>5.6</v>
      </c>
      <c r="D18" s="64">
        <v>7.82</v>
      </c>
      <c r="E18" s="64">
        <v>5.46</v>
      </c>
      <c r="F18" s="64">
        <v>7.29</v>
      </c>
      <c r="G18" s="64">
        <v>14.98</v>
      </c>
      <c r="H18" s="64">
        <v>2.73</v>
      </c>
      <c r="I18" s="64">
        <v>1.49</v>
      </c>
      <c r="J18" s="64">
        <v>0.02</v>
      </c>
      <c r="K18" s="64">
        <v>157.13</v>
      </c>
      <c r="L18" s="64">
        <v>23.4</v>
      </c>
      <c r="M18" s="64">
        <v>98.25</v>
      </c>
      <c r="N18" s="64">
        <v>42.4</v>
      </c>
      <c r="O18" s="64">
        <v>0</v>
      </c>
      <c r="P18" s="64">
        <v>0.26</v>
      </c>
      <c r="Q18" s="64">
        <v>9.56</v>
      </c>
      <c r="R18" s="198"/>
      <c r="S18" s="198"/>
      <c r="T18" s="198"/>
      <c r="U18" s="198"/>
    </row>
    <row r="19" spans="1:21" s="12" customFormat="1" x14ac:dyDescent="0.25">
      <c r="A19" s="212" t="s">
        <v>2273</v>
      </c>
      <c r="B19" s="64">
        <v>5.99</v>
      </c>
      <c r="C19" s="64">
        <v>5.57</v>
      </c>
      <c r="D19" s="64">
        <v>7.71</v>
      </c>
      <c r="E19" s="64">
        <v>5.58</v>
      </c>
      <c r="F19" s="64">
        <v>5.83</v>
      </c>
      <c r="G19" s="64">
        <v>14.98</v>
      </c>
      <c r="H19" s="64">
        <v>2.73</v>
      </c>
      <c r="I19" s="64">
        <v>1.47</v>
      </c>
      <c r="J19" s="64">
        <v>0.04</v>
      </c>
      <c r="K19" s="64">
        <v>245.77</v>
      </c>
      <c r="L19" s="64">
        <v>23.42</v>
      </c>
      <c r="M19" s="64">
        <v>98.25</v>
      </c>
      <c r="N19" s="64">
        <v>42.6</v>
      </c>
      <c r="O19" s="64">
        <v>0</v>
      </c>
      <c r="P19" s="64">
        <v>0.24</v>
      </c>
      <c r="Q19" s="64">
        <v>9.57</v>
      </c>
      <c r="R19" s="198"/>
      <c r="S19" s="198"/>
      <c r="T19" s="198"/>
      <c r="U19" s="198"/>
    </row>
    <row r="20" spans="1:21" s="12" customFormat="1" x14ac:dyDescent="0.25">
      <c r="A20" s="212" t="s">
        <v>2274</v>
      </c>
      <c r="B20" s="64">
        <v>6.43</v>
      </c>
      <c r="C20" s="64">
        <v>5.62</v>
      </c>
      <c r="D20" s="64">
        <v>8.09</v>
      </c>
      <c r="E20" s="64">
        <v>5.58</v>
      </c>
      <c r="F20" s="64">
        <v>5.77</v>
      </c>
      <c r="G20" s="64">
        <v>12.45</v>
      </c>
      <c r="H20" s="64">
        <v>2.2599999999999998</v>
      </c>
      <c r="I20" s="64">
        <v>1.45</v>
      </c>
      <c r="J20" s="64">
        <v>0.08</v>
      </c>
      <c r="K20" s="64">
        <v>317.66000000000003</v>
      </c>
      <c r="L20" s="64">
        <v>23.48</v>
      </c>
      <c r="M20" s="64">
        <v>98.25</v>
      </c>
      <c r="N20" s="64">
        <v>42.5</v>
      </c>
      <c r="O20" s="64">
        <v>0</v>
      </c>
      <c r="P20" s="64">
        <v>0.27</v>
      </c>
      <c r="Q20" s="64">
        <v>9.56</v>
      </c>
      <c r="R20" s="198"/>
      <c r="S20" s="198"/>
      <c r="T20" s="198"/>
      <c r="U20" s="198"/>
    </row>
    <row r="21" spans="1:21" s="12" customFormat="1" x14ac:dyDescent="0.25">
      <c r="A21" s="212" t="s">
        <v>2275</v>
      </c>
      <c r="B21" s="64">
        <v>6.91</v>
      </c>
      <c r="C21" s="64">
        <v>5.42</v>
      </c>
      <c r="D21" s="64">
        <v>8.3699999999999992</v>
      </c>
      <c r="E21" s="64">
        <v>5.48</v>
      </c>
      <c r="F21" s="64">
        <v>4.16</v>
      </c>
      <c r="G21" s="64">
        <v>11.18</v>
      </c>
      <c r="H21" s="64">
        <v>2.02</v>
      </c>
      <c r="I21" s="64">
        <v>1.42</v>
      </c>
      <c r="J21" s="64">
        <v>0.1</v>
      </c>
      <c r="K21" s="64">
        <v>328.76</v>
      </c>
      <c r="L21" s="64">
        <v>23.52</v>
      </c>
      <c r="M21" s="64">
        <v>98.26</v>
      </c>
      <c r="N21" s="64">
        <v>42.5</v>
      </c>
      <c r="O21" s="64">
        <v>0</v>
      </c>
      <c r="P21" s="64">
        <v>0.31</v>
      </c>
      <c r="Q21" s="64">
        <v>9.56</v>
      </c>
      <c r="R21" s="198"/>
      <c r="S21" s="198"/>
      <c r="T21" s="198"/>
      <c r="U21" s="198"/>
    </row>
    <row r="22" spans="1:21" s="12" customFormat="1" x14ac:dyDescent="0.25">
      <c r="A22" s="212" t="s">
        <v>2276</v>
      </c>
      <c r="B22" s="64">
        <v>7.75</v>
      </c>
      <c r="C22" s="64">
        <v>5.19</v>
      </c>
      <c r="D22" s="64">
        <v>8.93</v>
      </c>
      <c r="E22" s="64">
        <v>5.64</v>
      </c>
      <c r="F22" s="64">
        <v>2.2400000000000002</v>
      </c>
      <c r="G22" s="64">
        <v>11.18</v>
      </c>
      <c r="H22" s="64">
        <v>2.02</v>
      </c>
      <c r="I22" s="64">
        <v>1.39</v>
      </c>
      <c r="J22" s="64">
        <v>0.11</v>
      </c>
      <c r="K22" s="64">
        <v>312.89</v>
      </c>
      <c r="L22" s="64">
        <v>23.47</v>
      </c>
      <c r="M22" s="64">
        <v>98.27</v>
      </c>
      <c r="N22" s="64">
        <v>42.6</v>
      </c>
      <c r="O22" s="64">
        <v>0</v>
      </c>
      <c r="P22" s="64">
        <v>0.36</v>
      </c>
      <c r="Q22" s="64">
        <v>9.5399999999999991</v>
      </c>
      <c r="R22" s="198"/>
      <c r="S22" s="198"/>
      <c r="T22" s="198"/>
      <c r="U22" s="198"/>
    </row>
    <row r="23" spans="1:21" s="12" customFormat="1" x14ac:dyDescent="0.25">
      <c r="A23" s="212" t="s">
        <v>2277</v>
      </c>
      <c r="B23" s="64">
        <v>7.74</v>
      </c>
      <c r="C23" s="64">
        <v>5.21</v>
      </c>
      <c r="D23" s="64">
        <v>8.93</v>
      </c>
      <c r="E23" s="64">
        <v>5.33</v>
      </c>
      <c r="F23" s="64">
        <v>2.92</v>
      </c>
      <c r="G23" s="64">
        <v>11.18</v>
      </c>
      <c r="H23" s="64">
        <v>2.02</v>
      </c>
      <c r="I23" s="64">
        <v>1.36</v>
      </c>
      <c r="J23" s="64">
        <v>0.14000000000000001</v>
      </c>
      <c r="K23" s="64">
        <v>316.12</v>
      </c>
      <c r="L23" s="64">
        <v>23.43</v>
      </c>
      <c r="M23" s="64">
        <v>98.28</v>
      </c>
      <c r="N23" s="64">
        <v>42.8</v>
      </c>
      <c r="O23" s="64">
        <v>0</v>
      </c>
      <c r="P23" s="64">
        <v>0.35</v>
      </c>
      <c r="Q23" s="64">
        <v>9.5299999999999994</v>
      </c>
      <c r="R23" s="198"/>
      <c r="S23" s="198"/>
      <c r="T23" s="198"/>
      <c r="U23" s="198"/>
    </row>
    <row r="24" spans="1:21" s="12" customFormat="1" x14ac:dyDescent="0.25">
      <c r="A24" s="212" t="s">
        <v>2278</v>
      </c>
      <c r="B24" s="64">
        <v>7.24</v>
      </c>
      <c r="C24" s="64">
        <v>5.41</v>
      </c>
      <c r="D24" s="64">
        <v>8.6300000000000008</v>
      </c>
      <c r="E24" s="64">
        <v>5.38</v>
      </c>
      <c r="F24" s="64">
        <v>3.3</v>
      </c>
      <c r="G24" s="64">
        <v>11.02</v>
      </c>
      <c r="H24" s="64">
        <v>1.68</v>
      </c>
      <c r="I24" s="64">
        <v>1.29</v>
      </c>
      <c r="J24" s="64">
        <v>0.12</v>
      </c>
      <c r="K24" s="64">
        <v>313.58</v>
      </c>
      <c r="L24" s="64">
        <v>23.46</v>
      </c>
      <c r="M24" s="64">
        <v>98.28</v>
      </c>
      <c r="N24" s="64">
        <v>42.9</v>
      </c>
      <c r="O24" s="64">
        <v>0</v>
      </c>
      <c r="P24" s="64">
        <v>0.32</v>
      </c>
      <c r="Q24" s="64">
        <v>9.51</v>
      </c>
      <c r="R24" s="198"/>
      <c r="S24" s="198"/>
      <c r="T24" s="198"/>
      <c r="U24" s="198"/>
    </row>
    <row r="25" spans="1:21" s="12" customFormat="1" x14ac:dyDescent="0.25">
      <c r="A25" s="212" t="s">
        <v>2279</v>
      </c>
      <c r="B25" s="64">
        <v>7.21</v>
      </c>
      <c r="C25" s="64">
        <v>5.49</v>
      </c>
      <c r="D25" s="64">
        <v>8.65</v>
      </c>
      <c r="E25" s="64">
        <v>5.42</v>
      </c>
      <c r="F25" s="64">
        <v>2.38</v>
      </c>
      <c r="G25" s="64">
        <v>10.94</v>
      </c>
      <c r="H25" s="64">
        <v>1.52</v>
      </c>
      <c r="I25" s="64">
        <v>1.23</v>
      </c>
      <c r="J25" s="64">
        <v>0.12</v>
      </c>
      <c r="K25" s="64">
        <v>321.14</v>
      </c>
      <c r="L25" s="64">
        <v>23.41</v>
      </c>
      <c r="M25" s="64">
        <v>98.27</v>
      </c>
      <c r="N25" s="64">
        <v>42.5</v>
      </c>
      <c r="O25" s="64">
        <v>0</v>
      </c>
      <c r="P25" s="64">
        <v>0.32</v>
      </c>
      <c r="Q25" s="64">
        <v>9.49</v>
      </c>
      <c r="R25" s="198"/>
      <c r="S25" s="198"/>
      <c r="T25" s="198"/>
      <c r="U25" s="198"/>
    </row>
    <row r="26" spans="1:21" s="12" customFormat="1" x14ac:dyDescent="0.25">
      <c r="A26" s="212" t="s">
        <v>2280</v>
      </c>
      <c r="B26" s="64">
        <v>6.85</v>
      </c>
      <c r="C26" s="64">
        <v>5.9</v>
      </c>
      <c r="D26" s="64">
        <v>8.57</v>
      </c>
      <c r="E26" s="64">
        <v>5.49</v>
      </c>
      <c r="F26" s="64">
        <v>3.67</v>
      </c>
      <c r="G26" s="64">
        <v>10.94</v>
      </c>
      <c r="H26" s="64">
        <v>1.52</v>
      </c>
      <c r="I26" s="64">
        <v>1.18</v>
      </c>
      <c r="J26" s="64">
        <v>0.14000000000000001</v>
      </c>
      <c r="K26" s="64">
        <v>315.16000000000003</v>
      </c>
      <c r="L26" s="64">
        <v>23.4</v>
      </c>
      <c r="M26" s="64">
        <v>97.72</v>
      </c>
      <c r="N26" s="64">
        <v>42.8</v>
      </c>
      <c r="O26" s="64">
        <v>0</v>
      </c>
      <c r="P26" s="64">
        <v>0.28999999999999998</v>
      </c>
      <c r="Q26" s="64">
        <v>9.48</v>
      </c>
      <c r="R26" s="198"/>
      <c r="S26" s="198"/>
      <c r="T26" s="198"/>
      <c r="U26" s="198"/>
    </row>
    <row r="27" spans="1:21" s="12" customFormat="1" x14ac:dyDescent="0.25">
      <c r="A27" s="212" t="s">
        <v>2281</v>
      </c>
      <c r="B27" s="64">
        <v>6.91</v>
      </c>
      <c r="C27" s="64">
        <v>5.9</v>
      </c>
      <c r="D27" s="64">
        <v>8.6300000000000008</v>
      </c>
      <c r="E27" s="64">
        <v>5.17</v>
      </c>
      <c r="F27" s="64">
        <v>2.42</v>
      </c>
      <c r="G27" s="64">
        <v>10.94</v>
      </c>
      <c r="H27" s="64">
        <v>1.52</v>
      </c>
      <c r="I27" s="64">
        <v>1.1299999999999999</v>
      </c>
      <c r="J27" s="64">
        <v>0.15</v>
      </c>
      <c r="K27" s="64">
        <v>307.12</v>
      </c>
      <c r="L27" s="64">
        <v>23.25</v>
      </c>
      <c r="M27" s="64">
        <v>98.25</v>
      </c>
      <c r="N27" s="64">
        <v>42.7</v>
      </c>
      <c r="O27" s="64">
        <v>0</v>
      </c>
      <c r="P27" s="64">
        <v>0.31</v>
      </c>
      <c r="Q27" s="64">
        <v>9.4700000000000006</v>
      </c>
      <c r="R27" s="198"/>
      <c r="S27" s="198"/>
      <c r="T27" s="198"/>
      <c r="U27" s="198"/>
    </row>
    <row r="28" spans="1:21" s="12" customFormat="1" x14ac:dyDescent="0.25">
      <c r="A28" s="212" t="s">
        <v>2282</v>
      </c>
      <c r="B28" s="64">
        <v>6.75</v>
      </c>
      <c r="C28" s="64">
        <v>6</v>
      </c>
      <c r="D28" s="64">
        <v>8.5500000000000007</v>
      </c>
      <c r="E28" s="64">
        <v>5.48</v>
      </c>
      <c r="F28" s="64">
        <v>2.44</v>
      </c>
      <c r="G28" s="64">
        <v>8.9700000000000006</v>
      </c>
      <c r="H28" s="64">
        <v>1.34</v>
      </c>
      <c r="I28" s="64">
        <v>1.08</v>
      </c>
      <c r="J28" s="64">
        <v>0.13</v>
      </c>
      <c r="K28" s="64">
        <v>309.45999999999998</v>
      </c>
      <c r="L28" s="64">
        <v>23.17</v>
      </c>
      <c r="M28" s="64">
        <v>97.74</v>
      </c>
      <c r="N28" s="64">
        <v>42.5</v>
      </c>
      <c r="O28" s="64">
        <v>0</v>
      </c>
      <c r="P28" s="64">
        <v>0.3</v>
      </c>
      <c r="Q28" s="64">
        <v>9.4600000000000009</v>
      </c>
      <c r="R28" s="198"/>
      <c r="S28" s="198"/>
      <c r="T28" s="198"/>
      <c r="U28" s="198"/>
    </row>
    <row r="29" spans="1:21" s="12" customFormat="1" x14ac:dyDescent="0.25">
      <c r="A29" s="212" t="s">
        <v>2283</v>
      </c>
      <c r="B29" s="64">
        <v>6.58</v>
      </c>
      <c r="C29" s="64">
        <v>6.2</v>
      </c>
      <c r="D29" s="64">
        <v>8.51</v>
      </c>
      <c r="E29" s="64">
        <v>5.28</v>
      </c>
      <c r="F29" s="64">
        <v>2.94</v>
      </c>
      <c r="G29" s="64">
        <v>7.99</v>
      </c>
      <c r="H29" s="64">
        <v>1.25</v>
      </c>
      <c r="I29" s="64">
        <v>1.04</v>
      </c>
      <c r="J29" s="64">
        <v>0.12</v>
      </c>
      <c r="K29" s="64">
        <v>300.87</v>
      </c>
      <c r="L29" s="64">
        <v>23.19</v>
      </c>
      <c r="M29" s="64">
        <v>97.72</v>
      </c>
      <c r="N29" s="64">
        <v>42.5</v>
      </c>
      <c r="O29" s="64">
        <v>0</v>
      </c>
      <c r="P29" s="64">
        <v>0.27</v>
      </c>
      <c r="Q29" s="64">
        <v>9.4600000000000009</v>
      </c>
      <c r="R29" s="198"/>
      <c r="S29" s="198"/>
      <c r="T29" s="198"/>
      <c r="U29" s="198"/>
    </row>
    <row r="30" spans="1:21" s="12" customFormat="1" x14ac:dyDescent="0.25">
      <c r="A30" s="212" t="s">
        <v>2284</v>
      </c>
      <c r="B30" s="64">
        <v>6.72</v>
      </c>
      <c r="C30" s="64">
        <v>6.37</v>
      </c>
      <c r="D30" s="64">
        <v>8.7200000000000006</v>
      </c>
      <c r="E30" s="64">
        <v>5.3</v>
      </c>
      <c r="F30" s="64">
        <v>2.13</v>
      </c>
      <c r="G30" s="64">
        <v>7.99</v>
      </c>
      <c r="H30" s="64">
        <v>1.25</v>
      </c>
      <c r="I30" s="64">
        <v>1.01</v>
      </c>
      <c r="J30" s="64">
        <v>0.09</v>
      </c>
      <c r="K30" s="64">
        <v>309.01</v>
      </c>
      <c r="L30" s="64">
        <v>23.19</v>
      </c>
      <c r="M30" s="64">
        <v>97.73</v>
      </c>
      <c r="N30" s="64">
        <v>42.6</v>
      </c>
      <c r="O30" s="64">
        <v>0</v>
      </c>
      <c r="P30" s="64">
        <v>0.27</v>
      </c>
      <c r="Q30" s="64">
        <v>9.4600000000000009</v>
      </c>
      <c r="R30" s="198"/>
      <c r="S30" s="198"/>
      <c r="T30" s="198"/>
      <c r="U30" s="198"/>
    </row>
    <row r="31" spans="1:21" s="12" customFormat="1" x14ac:dyDescent="0.25">
      <c r="A31" s="212" t="s">
        <v>2285</v>
      </c>
      <c r="B31" s="64">
        <v>6.61</v>
      </c>
      <c r="C31" s="64">
        <v>6.65</v>
      </c>
      <c r="D31" s="64">
        <v>8.7799999999999994</v>
      </c>
      <c r="E31" s="64">
        <v>5.58</v>
      </c>
      <c r="F31" s="64">
        <v>3.15</v>
      </c>
      <c r="G31" s="64">
        <v>7.99</v>
      </c>
      <c r="H31" s="64">
        <v>1.25</v>
      </c>
      <c r="I31" s="64">
        <v>0.98</v>
      </c>
      <c r="J31" s="64">
        <v>0.13</v>
      </c>
      <c r="K31" s="64">
        <v>310.57</v>
      </c>
      <c r="L31" s="64">
        <v>23.03</v>
      </c>
      <c r="M31" s="64">
        <v>98.25</v>
      </c>
      <c r="N31" s="64">
        <v>43.2</v>
      </c>
      <c r="O31" s="64">
        <v>0</v>
      </c>
      <c r="P31" s="64">
        <v>0.25</v>
      </c>
      <c r="Q31" s="64">
        <v>9.4600000000000009</v>
      </c>
      <c r="R31" s="198"/>
      <c r="S31" s="198"/>
      <c r="T31" s="198"/>
      <c r="U31" s="198"/>
    </row>
    <row r="32" spans="1:21" s="12" customFormat="1" x14ac:dyDescent="0.25">
      <c r="A32" s="212" t="s">
        <v>2286</v>
      </c>
      <c r="B32" s="64">
        <v>6.47</v>
      </c>
      <c r="C32" s="64">
        <v>6.82</v>
      </c>
      <c r="D32" s="64">
        <v>8.75</v>
      </c>
      <c r="E32" s="64">
        <v>5.4</v>
      </c>
      <c r="F32" s="64">
        <v>3.77</v>
      </c>
      <c r="G32" s="64">
        <v>6.78</v>
      </c>
      <c r="H32" s="64">
        <v>1.1599999999999999</v>
      </c>
      <c r="I32" s="64">
        <v>0.96</v>
      </c>
      <c r="J32" s="64">
        <v>0.1</v>
      </c>
      <c r="K32" s="64">
        <v>295.42</v>
      </c>
      <c r="L32" s="64">
        <v>22.91</v>
      </c>
      <c r="M32" s="64">
        <v>97.75</v>
      </c>
      <c r="N32" s="64">
        <v>45.6</v>
      </c>
      <c r="O32" s="64">
        <v>0</v>
      </c>
      <c r="P32" s="64">
        <v>0.24</v>
      </c>
      <c r="Q32" s="64">
        <v>9.4600000000000009</v>
      </c>
      <c r="R32" s="198"/>
      <c r="S32" s="198"/>
      <c r="T32" s="198"/>
      <c r="U32" s="198"/>
    </row>
    <row r="33" spans="1:21" s="12" customFormat="1" x14ac:dyDescent="0.25">
      <c r="A33" s="212" t="s">
        <v>2287</v>
      </c>
      <c r="B33" s="64">
        <v>8.19</v>
      </c>
      <c r="C33" s="64">
        <v>6.56</v>
      </c>
      <c r="D33" s="64">
        <v>9.99</v>
      </c>
      <c r="E33" s="64">
        <v>5.19</v>
      </c>
      <c r="F33" s="64">
        <v>2.5499999999999998</v>
      </c>
      <c r="G33" s="64">
        <v>6.18</v>
      </c>
      <c r="H33" s="64">
        <v>1.1200000000000001</v>
      </c>
      <c r="I33" s="64">
        <v>0.93</v>
      </c>
      <c r="J33" s="64">
        <v>0.11</v>
      </c>
      <c r="K33" s="64">
        <v>294.33</v>
      </c>
      <c r="L33" s="64">
        <v>22.9</v>
      </c>
      <c r="M33" s="64">
        <v>97.73</v>
      </c>
      <c r="N33" s="64">
        <v>52.2</v>
      </c>
      <c r="O33" s="64">
        <v>0</v>
      </c>
      <c r="P33" s="64">
        <v>0.25</v>
      </c>
      <c r="Q33" s="64">
        <v>9.4700000000000006</v>
      </c>
      <c r="R33" s="198"/>
      <c r="S33" s="198"/>
      <c r="T33" s="198"/>
      <c r="U33" s="198"/>
    </row>
    <row r="34" spans="1:21" s="12" customFormat="1" x14ac:dyDescent="0.25">
      <c r="A34" s="212" t="s">
        <v>2288</v>
      </c>
      <c r="B34" s="64">
        <v>6.89</v>
      </c>
      <c r="C34" s="64">
        <v>6.35</v>
      </c>
      <c r="D34" s="64">
        <v>8.84</v>
      </c>
      <c r="E34" s="64">
        <v>5.72</v>
      </c>
      <c r="F34" s="64">
        <v>2.6</v>
      </c>
      <c r="G34" s="64">
        <v>6.18</v>
      </c>
      <c r="H34" s="64">
        <v>1.1200000000000001</v>
      </c>
      <c r="I34" s="64">
        <v>0.91</v>
      </c>
      <c r="J34" s="64">
        <v>0.12</v>
      </c>
      <c r="K34" s="64">
        <v>317.43</v>
      </c>
      <c r="L34" s="64">
        <v>22.94</v>
      </c>
      <c r="M34" s="64">
        <v>97.73</v>
      </c>
      <c r="N34" s="64">
        <v>56.4</v>
      </c>
      <c r="O34" s="64">
        <v>0</v>
      </c>
      <c r="P34" s="64">
        <v>0.25</v>
      </c>
      <c r="Q34" s="64">
        <v>9.48</v>
      </c>
      <c r="R34" s="198"/>
      <c r="S34" s="198"/>
      <c r="T34" s="198"/>
      <c r="U34" s="198"/>
    </row>
    <row r="35" spans="1:21" s="12" customFormat="1" x14ac:dyDescent="0.25">
      <c r="A35" s="212" t="s">
        <v>2289</v>
      </c>
      <c r="B35" s="64">
        <v>6.72</v>
      </c>
      <c r="C35" s="64">
        <v>6.62</v>
      </c>
      <c r="D35" s="64">
        <v>8.85</v>
      </c>
      <c r="E35" s="64">
        <v>5.47</v>
      </c>
      <c r="F35" s="64">
        <v>3.01</v>
      </c>
      <c r="G35" s="64">
        <v>6.18</v>
      </c>
      <c r="H35" s="64">
        <v>1.1200000000000001</v>
      </c>
      <c r="I35" s="64">
        <v>0.91</v>
      </c>
      <c r="J35" s="64">
        <v>0.1</v>
      </c>
      <c r="K35" s="64">
        <v>302.10000000000002</v>
      </c>
      <c r="L35" s="64">
        <v>22.92</v>
      </c>
      <c r="M35" s="64">
        <v>98.24</v>
      </c>
      <c r="N35" s="64">
        <v>62</v>
      </c>
      <c r="O35" s="64">
        <v>0</v>
      </c>
      <c r="P35" s="64">
        <v>0.25</v>
      </c>
      <c r="Q35" s="64">
        <v>9.48</v>
      </c>
      <c r="R35" s="198"/>
      <c r="S35" s="198"/>
      <c r="T35" s="198"/>
      <c r="U35" s="198"/>
    </row>
    <row r="36" spans="1:21" s="12" customFormat="1" x14ac:dyDescent="0.25">
      <c r="A36" s="212" t="s">
        <v>2290</v>
      </c>
      <c r="B36" s="64">
        <v>6.68</v>
      </c>
      <c r="C36" s="64">
        <v>6.64</v>
      </c>
      <c r="D36" s="64">
        <v>8.83</v>
      </c>
      <c r="E36" s="64">
        <v>5.43</v>
      </c>
      <c r="F36" s="64">
        <v>2.71</v>
      </c>
      <c r="G36" s="64">
        <v>6.64</v>
      </c>
      <c r="H36" s="64">
        <v>1.1200000000000001</v>
      </c>
      <c r="I36" s="64">
        <v>0.9</v>
      </c>
      <c r="J36" s="64">
        <v>0.13</v>
      </c>
      <c r="K36" s="64">
        <v>298.82</v>
      </c>
      <c r="L36" s="64">
        <v>23.01</v>
      </c>
      <c r="M36" s="64">
        <v>97.76</v>
      </c>
      <c r="N36" s="64">
        <v>85.8</v>
      </c>
      <c r="O36" s="64">
        <v>0</v>
      </c>
      <c r="P36" s="64">
        <v>0.25</v>
      </c>
      <c r="Q36" s="64">
        <v>9.48</v>
      </c>
      <c r="R36" s="198"/>
      <c r="S36" s="198"/>
      <c r="T36" s="198"/>
      <c r="U36" s="198"/>
    </row>
    <row r="37" spans="1:21" s="12" customFormat="1" x14ac:dyDescent="0.25">
      <c r="A37" s="212" t="s">
        <v>2291</v>
      </c>
      <c r="B37" s="64">
        <v>6.88</v>
      </c>
      <c r="C37" s="64">
        <v>6.88</v>
      </c>
      <c r="D37" s="64">
        <v>9.1199999999999992</v>
      </c>
      <c r="E37" s="64">
        <v>5.46</v>
      </c>
      <c r="F37" s="64">
        <v>2.4300000000000002</v>
      </c>
      <c r="G37" s="64">
        <v>6.87</v>
      </c>
      <c r="H37" s="64">
        <v>1.1200000000000001</v>
      </c>
      <c r="I37" s="64">
        <v>0.89</v>
      </c>
      <c r="J37" s="64">
        <v>0.14000000000000001</v>
      </c>
      <c r="K37" s="64">
        <v>302.11</v>
      </c>
      <c r="L37" s="64">
        <v>23.18</v>
      </c>
      <c r="M37" s="64">
        <v>97.72</v>
      </c>
      <c r="N37" s="64">
        <v>97.2</v>
      </c>
      <c r="O37" s="64">
        <v>0</v>
      </c>
      <c r="P37" s="64">
        <v>0.24</v>
      </c>
      <c r="Q37" s="64">
        <v>9.5</v>
      </c>
      <c r="R37" s="198"/>
      <c r="S37" s="198"/>
      <c r="T37" s="198"/>
      <c r="U37" s="198"/>
    </row>
    <row r="38" spans="1:21" s="12" customFormat="1" x14ac:dyDescent="0.25">
      <c r="A38" s="212" t="s">
        <v>2292</v>
      </c>
      <c r="B38" s="64">
        <v>7.1</v>
      </c>
      <c r="C38" s="64">
        <v>6.75</v>
      </c>
      <c r="D38" s="64">
        <v>9.2200000000000006</v>
      </c>
      <c r="E38" s="64">
        <v>5.37</v>
      </c>
      <c r="F38" s="64">
        <v>2.13</v>
      </c>
      <c r="G38" s="64">
        <v>6.87</v>
      </c>
      <c r="H38" s="64">
        <v>1.1200000000000001</v>
      </c>
      <c r="I38" s="64">
        <v>0.91</v>
      </c>
      <c r="J38" s="64">
        <v>0.2</v>
      </c>
      <c r="K38" s="64">
        <v>311.33999999999997</v>
      </c>
      <c r="L38" s="64">
        <v>23.49</v>
      </c>
      <c r="M38" s="64">
        <v>97.68</v>
      </c>
      <c r="N38" s="64">
        <v>113.9</v>
      </c>
      <c r="O38" s="64">
        <v>0</v>
      </c>
      <c r="P38" s="64">
        <v>0.27</v>
      </c>
      <c r="Q38" s="64">
        <v>9.5</v>
      </c>
      <c r="R38" s="198"/>
      <c r="S38" s="198"/>
      <c r="T38" s="198"/>
      <c r="U38" s="198"/>
    </row>
    <row r="39" spans="1:21" s="12" customFormat="1" x14ac:dyDescent="0.25">
      <c r="A39" s="212" t="s">
        <v>2293</v>
      </c>
      <c r="B39" s="64">
        <v>7.7</v>
      </c>
      <c r="C39" s="64">
        <v>6.7</v>
      </c>
      <c r="D39" s="64">
        <v>9.68</v>
      </c>
      <c r="E39" s="64">
        <v>4.7699999999999996</v>
      </c>
      <c r="F39" s="64">
        <v>2.67</v>
      </c>
      <c r="G39" s="64">
        <v>6.87</v>
      </c>
      <c r="H39" s="64">
        <v>1.1200000000000001</v>
      </c>
      <c r="I39" s="64">
        <v>0.93</v>
      </c>
      <c r="J39" s="64">
        <v>0.19</v>
      </c>
      <c r="K39" s="64">
        <v>298.76</v>
      </c>
      <c r="L39" s="64">
        <v>23.64</v>
      </c>
      <c r="M39" s="64">
        <v>98.18</v>
      </c>
      <c r="N39" s="64">
        <v>117.7</v>
      </c>
      <c r="O39" s="64">
        <v>0</v>
      </c>
      <c r="P39" s="64">
        <v>0.28000000000000003</v>
      </c>
      <c r="Q39" s="64">
        <v>9.5</v>
      </c>
      <c r="R39" s="198"/>
      <c r="S39" s="198"/>
      <c r="T39" s="198"/>
      <c r="U39" s="198"/>
    </row>
    <row r="40" spans="1:21" s="12" customFormat="1" x14ac:dyDescent="0.25">
      <c r="A40" s="212" t="s">
        <v>2294</v>
      </c>
      <c r="B40" s="64">
        <v>7.65</v>
      </c>
      <c r="C40" s="64">
        <v>6.58</v>
      </c>
      <c r="D40" s="64">
        <v>9.57</v>
      </c>
      <c r="E40" s="64">
        <v>3.55</v>
      </c>
      <c r="F40" s="64">
        <v>2.14</v>
      </c>
      <c r="G40" s="64">
        <v>6.33</v>
      </c>
      <c r="H40" s="64">
        <v>1.1200000000000001</v>
      </c>
      <c r="I40" s="64">
        <v>0.94</v>
      </c>
      <c r="J40" s="64">
        <v>0.16</v>
      </c>
      <c r="K40" s="64">
        <v>303.38</v>
      </c>
      <c r="L40" s="64">
        <v>23.77</v>
      </c>
      <c r="M40" s="64">
        <v>97.75</v>
      </c>
      <c r="N40" s="64">
        <v>141.1</v>
      </c>
      <c r="O40" s="64">
        <v>0</v>
      </c>
      <c r="P40" s="64">
        <v>0.28999999999999998</v>
      </c>
      <c r="Q40" s="64">
        <v>9.51</v>
      </c>
      <c r="R40" s="198"/>
      <c r="S40" s="198"/>
      <c r="T40" s="198"/>
      <c r="U40" s="198"/>
    </row>
    <row r="41" spans="1:21" s="12" customFormat="1" x14ac:dyDescent="0.25">
      <c r="A41" s="212" t="s">
        <v>2295</v>
      </c>
      <c r="B41" s="64">
        <v>7.81</v>
      </c>
      <c r="C41" s="64">
        <v>6.51</v>
      </c>
      <c r="D41" s="64">
        <v>9.67</v>
      </c>
      <c r="E41" s="64">
        <v>3.74</v>
      </c>
      <c r="F41" s="64">
        <v>2.1800000000000002</v>
      </c>
      <c r="G41" s="64">
        <v>6.06</v>
      </c>
      <c r="H41" s="64">
        <v>1.1200000000000001</v>
      </c>
      <c r="I41" s="64">
        <v>0.94</v>
      </c>
      <c r="J41" s="64">
        <v>0.21</v>
      </c>
      <c r="K41" s="64">
        <v>287.87</v>
      </c>
      <c r="L41" s="64">
        <v>24.03</v>
      </c>
      <c r="M41" s="64">
        <v>97.67</v>
      </c>
      <c r="N41" s="64">
        <v>156</v>
      </c>
      <c r="O41" s="64">
        <v>0</v>
      </c>
      <c r="P41" s="64">
        <v>0.28999999999999998</v>
      </c>
      <c r="Q41" s="64">
        <v>9.52</v>
      </c>
      <c r="R41" s="198"/>
      <c r="S41" s="198"/>
      <c r="T41" s="198"/>
      <c r="U41" s="198"/>
    </row>
    <row r="42" spans="1:21" s="12" customFormat="1" x14ac:dyDescent="0.25">
      <c r="A42" s="212" t="s">
        <v>2296</v>
      </c>
      <c r="B42" s="64">
        <v>8.09</v>
      </c>
      <c r="C42" s="64">
        <v>6.45</v>
      </c>
      <c r="D42" s="64">
        <v>9.85</v>
      </c>
      <c r="E42" s="64">
        <v>3.84</v>
      </c>
      <c r="F42" s="64">
        <v>2.2200000000000002</v>
      </c>
      <c r="G42" s="64">
        <v>6.06</v>
      </c>
      <c r="H42" s="64">
        <v>1.1200000000000001</v>
      </c>
      <c r="I42" s="64">
        <v>0.95</v>
      </c>
      <c r="J42" s="64">
        <v>0.24</v>
      </c>
      <c r="K42" s="64">
        <v>297.31</v>
      </c>
      <c r="L42" s="64">
        <v>24.39</v>
      </c>
      <c r="M42" s="64">
        <v>97.66</v>
      </c>
      <c r="N42" s="64">
        <v>175.8</v>
      </c>
      <c r="O42" s="64">
        <v>0</v>
      </c>
      <c r="P42" s="64">
        <v>0.31</v>
      </c>
      <c r="Q42" s="64">
        <v>9.52</v>
      </c>
      <c r="R42" s="198"/>
      <c r="S42" s="198"/>
      <c r="T42" s="198"/>
      <c r="U42" s="198"/>
    </row>
    <row r="43" spans="1:21" s="12" customFormat="1" x14ac:dyDescent="0.25">
      <c r="A43" s="212" t="s">
        <v>2297</v>
      </c>
      <c r="B43" s="64">
        <v>8.32</v>
      </c>
      <c r="C43" s="64">
        <v>6.59</v>
      </c>
      <c r="D43" s="64">
        <v>10.119999999999999</v>
      </c>
      <c r="E43" s="64">
        <v>3.78</v>
      </c>
      <c r="F43" s="64">
        <v>2.8</v>
      </c>
      <c r="G43" s="64">
        <v>6.06</v>
      </c>
      <c r="H43" s="64">
        <v>1.1200000000000001</v>
      </c>
      <c r="I43" s="64">
        <v>0.98</v>
      </c>
      <c r="J43" s="64">
        <v>0.23</v>
      </c>
      <c r="K43" s="64">
        <v>305.16000000000003</v>
      </c>
      <c r="L43" s="64">
        <v>24.41</v>
      </c>
      <c r="M43" s="64">
        <v>98.2</v>
      </c>
      <c r="N43" s="64">
        <v>171.2</v>
      </c>
      <c r="O43" s="64">
        <v>0</v>
      </c>
      <c r="P43" s="64">
        <v>0.34</v>
      </c>
      <c r="Q43" s="64">
        <v>9.5299999999999994</v>
      </c>
      <c r="R43" s="198"/>
      <c r="S43" s="198"/>
      <c r="T43" s="198"/>
      <c r="U43" s="198"/>
    </row>
    <row r="44" spans="1:21" s="12" customFormat="1" x14ac:dyDescent="0.25">
      <c r="A44" s="212" t="s">
        <v>2298</v>
      </c>
      <c r="B44" s="64">
        <v>8.42</v>
      </c>
      <c r="C44" s="64">
        <v>6.91</v>
      </c>
      <c r="D44" s="64">
        <v>10.36</v>
      </c>
      <c r="E44" s="64">
        <v>3.54</v>
      </c>
      <c r="F44" s="64">
        <v>2.1</v>
      </c>
      <c r="G44" s="64">
        <v>7.72</v>
      </c>
      <c r="H44" s="64">
        <v>1.1599999999999999</v>
      </c>
      <c r="I44" s="64">
        <v>1.07</v>
      </c>
      <c r="J44" s="64">
        <v>0.23</v>
      </c>
      <c r="K44" s="64">
        <v>297.76</v>
      </c>
      <c r="L44" s="64">
        <v>24.64</v>
      </c>
      <c r="M44" s="64">
        <v>98.18</v>
      </c>
      <c r="N44" s="64">
        <v>155.9</v>
      </c>
      <c r="O44" s="64">
        <v>0</v>
      </c>
      <c r="P44" s="64">
        <v>0.33</v>
      </c>
      <c r="Q44" s="64">
        <v>9.5299999999999994</v>
      </c>
      <c r="R44" s="198"/>
      <c r="S44" s="198"/>
      <c r="T44" s="198"/>
      <c r="U44" s="198"/>
    </row>
    <row r="45" spans="1:21" s="12" customFormat="1" x14ac:dyDescent="0.25">
      <c r="A45" s="212" t="s">
        <v>2299</v>
      </c>
      <c r="B45" s="64">
        <v>8.4</v>
      </c>
      <c r="C45" s="64">
        <v>7.24</v>
      </c>
      <c r="D45" s="64">
        <v>10.51</v>
      </c>
      <c r="E45" s="64">
        <v>3.57</v>
      </c>
      <c r="F45" s="64">
        <v>2.17</v>
      </c>
      <c r="G45" s="64">
        <v>8.5500000000000007</v>
      </c>
      <c r="H45" s="64">
        <v>1.18</v>
      </c>
      <c r="I45" s="64">
        <v>1.1499999999999999</v>
      </c>
      <c r="J45" s="64">
        <v>0.2</v>
      </c>
      <c r="K45" s="64">
        <v>292.27</v>
      </c>
      <c r="L45" s="64">
        <v>24.62</v>
      </c>
      <c r="M45" s="64">
        <v>98.2</v>
      </c>
      <c r="N45" s="64">
        <v>132.30000000000001</v>
      </c>
      <c r="O45" s="64">
        <v>0</v>
      </c>
      <c r="P45" s="64">
        <v>0.35</v>
      </c>
      <c r="Q45" s="64">
        <v>9.5299999999999994</v>
      </c>
      <c r="R45" s="198"/>
      <c r="S45" s="198"/>
      <c r="T45" s="198"/>
      <c r="U45" s="198"/>
    </row>
    <row r="46" spans="1:21" s="12" customFormat="1" x14ac:dyDescent="0.25">
      <c r="A46" s="212" t="s">
        <v>2300</v>
      </c>
      <c r="B46" s="64">
        <v>8.4499999999999993</v>
      </c>
      <c r="C46" s="64">
        <v>7.34</v>
      </c>
      <c r="D46" s="64">
        <v>10.61</v>
      </c>
      <c r="E46" s="64">
        <v>3.51</v>
      </c>
      <c r="F46" s="64">
        <v>2.21</v>
      </c>
      <c r="G46" s="64">
        <v>8.5500000000000007</v>
      </c>
      <c r="H46" s="64">
        <v>1.18</v>
      </c>
      <c r="I46" s="64">
        <v>1.18</v>
      </c>
      <c r="J46" s="64">
        <v>0.21</v>
      </c>
      <c r="K46" s="64">
        <v>297.13</v>
      </c>
      <c r="L46" s="64">
        <v>24.48</v>
      </c>
      <c r="M46" s="64">
        <v>98.2</v>
      </c>
      <c r="N46" s="64">
        <v>120.4</v>
      </c>
      <c r="O46" s="64">
        <v>0</v>
      </c>
      <c r="P46" s="64">
        <v>0.35</v>
      </c>
      <c r="Q46" s="64">
        <v>9.5399999999999991</v>
      </c>
      <c r="R46" s="198"/>
      <c r="S46" s="198"/>
      <c r="T46" s="198"/>
      <c r="U46" s="198"/>
    </row>
    <row r="47" spans="1:21" s="12" customFormat="1" x14ac:dyDescent="0.25">
      <c r="A47" s="212" t="s">
        <v>2301</v>
      </c>
      <c r="B47" s="64">
        <v>8.66</v>
      </c>
      <c r="C47" s="64">
        <v>7.42</v>
      </c>
      <c r="D47" s="64">
        <v>10.82</v>
      </c>
      <c r="E47" s="64">
        <v>3.75</v>
      </c>
      <c r="F47" s="64">
        <v>2.1</v>
      </c>
      <c r="G47" s="64">
        <v>8.5500000000000007</v>
      </c>
      <c r="H47" s="64">
        <v>1.18</v>
      </c>
      <c r="I47" s="64">
        <v>1.18</v>
      </c>
      <c r="J47" s="64">
        <v>0.23</v>
      </c>
      <c r="K47" s="64">
        <v>296.67</v>
      </c>
      <c r="L47" s="64">
        <v>24.82</v>
      </c>
      <c r="M47" s="64">
        <v>98.19</v>
      </c>
      <c r="N47" s="64">
        <v>159.69999999999999</v>
      </c>
      <c r="O47" s="64">
        <v>0</v>
      </c>
      <c r="P47" s="64">
        <v>0.37</v>
      </c>
      <c r="Q47" s="64">
        <v>9.5399999999999991</v>
      </c>
      <c r="R47" s="198"/>
      <c r="S47" s="198"/>
      <c r="T47" s="198"/>
      <c r="U47" s="198"/>
    </row>
    <row r="48" spans="1:21" s="12" customFormat="1" x14ac:dyDescent="0.25">
      <c r="A48" s="212" t="s">
        <v>2302</v>
      </c>
      <c r="B48" s="64">
        <v>8.7899999999999991</v>
      </c>
      <c r="C48" s="64">
        <v>7.47</v>
      </c>
      <c r="D48" s="64">
        <v>10.95</v>
      </c>
      <c r="E48" s="64">
        <v>3.72</v>
      </c>
      <c r="F48" s="64">
        <v>2.21</v>
      </c>
      <c r="G48" s="64">
        <v>12.98</v>
      </c>
      <c r="H48" s="64">
        <v>1.92</v>
      </c>
      <c r="I48" s="64">
        <v>1.19</v>
      </c>
      <c r="J48" s="64">
        <v>0.21</v>
      </c>
      <c r="K48" s="64">
        <v>290.11</v>
      </c>
      <c r="L48" s="64">
        <v>25.31</v>
      </c>
      <c r="M48" s="64">
        <v>98.15</v>
      </c>
      <c r="N48" s="64">
        <v>239.6</v>
      </c>
      <c r="O48" s="64">
        <v>0</v>
      </c>
      <c r="P48" s="64">
        <v>0.38</v>
      </c>
      <c r="Q48" s="64">
        <v>9.5500000000000007</v>
      </c>
      <c r="R48" s="198"/>
      <c r="S48" s="198"/>
      <c r="T48" s="198"/>
      <c r="U48" s="198"/>
    </row>
    <row r="49" spans="1:21" s="12" customFormat="1" x14ac:dyDescent="0.25">
      <c r="A49" s="212" t="s">
        <v>2303</v>
      </c>
      <c r="B49" s="64">
        <v>8.73</v>
      </c>
      <c r="C49" s="64">
        <v>7.7</v>
      </c>
      <c r="D49" s="64">
        <v>11.03</v>
      </c>
      <c r="E49" s="64">
        <v>3.67</v>
      </c>
      <c r="F49" s="64">
        <v>2.35</v>
      </c>
      <c r="G49" s="64">
        <v>15.2</v>
      </c>
      <c r="H49" s="64">
        <v>2.29</v>
      </c>
      <c r="I49" s="64">
        <v>1.19</v>
      </c>
      <c r="J49" s="64">
        <v>0.21</v>
      </c>
      <c r="K49" s="64">
        <v>294.43</v>
      </c>
      <c r="L49" s="64">
        <v>25.78</v>
      </c>
      <c r="M49" s="64">
        <v>98.13</v>
      </c>
      <c r="N49" s="64">
        <v>194.6</v>
      </c>
      <c r="O49" s="64">
        <v>0</v>
      </c>
      <c r="P49" s="64">
        <v>0.41</v>
      </c>
      <c r="Q49" s="64">
        <v>9.5500000000000007</v>
      </c>
      <c r="R49" s="198"/>
      <c r="S49" s="198"/>
      <c r="T49" s="198"/>
      <c r="U49" s="198"/>
    </row>
    <row r="50" spans="1:21" s="12" customFormat="1" x14ac:dyDescent="0.25">
      <c r="A50" s="212" t="s">
        <v>2304</v>
      </c>
      <c r="B50" s="64">
        <v>8.9600000000000009</v>
      </c>
      <c r="C50" s="64">
        <v>7.81</v>
      </c>
      <c r="D50" s="64">
        <v>11.27</v>
      </c>
      <c r="E50" s="64">
        <v>3.59</v>
      </c>
      <c r="F50" s="64">
        <v>2.21</v>
      </c>
      <c r="G50" s="64">
        <v>15.2</v>
      </c>
      <c r="H50" s="64">
        <v>2.29</v>
      </c>
      <c r="I50" s="64">
        <v>1.21</v>
      </c>
      <c r="J50" s="64">
        <v>0.19</v>
      </c>
      <c r="K50" s="64">
        <v>285.62</v>
      </c>
      <c r="L50" s="64">
        <v>25.75</v>
      </c>
      <c r="M50" s="64">
        <v>98.13</v>
      </c>
      <c r="N50" s="64">
        <v>185.2</v>
      </c>
      <c r="O50" s="64">
        <v>0</v>
      </c>
      <c r="P50" s="64">
        <v>0.41</v>
      </c>
      <c r="Q50" s="64">
        <v>9.56</v>
      </c>
      <c r="R50" s="198"/>
      <c r="S50" s="198"/>
      <c r="T50" s="198"/>
      <c r="U50" s="198"/>
    </row>
    <row r="51" spans="1:21" s="12" customFormat="1" x14ac:dyDescent="0.25">
      <c r="A51" s="212" t="s">
        <v>2305</v>
      </c>
      <c r="B51" s="64">
        <v>8.32</v>
      </c>
      <c r="C51" s="64">
        <v>7.87</v>
      </c>
      <c r="D51" s="64">
        <v>10.78</v>
      </c>
      <c r="E51" s="64">
        <v>3.02</v>
      </c>
      <c r="F51" s="64">
        <v>2.19</v>
      </c>
      <c r="G51" s="64">
        <v>15.2</v>
      </c>
      <c r="H51" s="64">
        <v>2.29</v>
      </c>
      <c r="I51" s="64">
        <v>1.27</v>
      </c>
      <c r="J51" s="64">
        <v>0.2</v>
      </c>
      <c r="K51" s="64">
        <v>290.54000000000002</v>
      </c>
      <c r="L51" s="64">
        <v>25.55</v>
      </c>
      <c r="M51" s="64">
        <v>98.13</v>
      </c>
      <c r="N51" s="64">
        <v>174.9</v>
      </c>
      <c r="O51" s="64">
        <v>0</v>
      </c>
      <c r="P51" s="64">
        <v>0.42</v>
      </c>
      <c r="Q51" s="64">
        <v>9.56</v>
      </c>
      <c r="R51" s="198"/>
      <c r="S51" s="198"/>
      <c r="T51" s="198"/>
      <c r="U51" s="198"/>
    </row>
    <row r="52" spans="1:21" s="12" customFormat="1" x14ac:dyDescent="0.25">
      <c r="A52" s="212" t="s">
        <v>2306</v>
      </c>
      <c r="B52" s="64">
        <v>7.89</v>
      </c>
      <c r="C52" s="64">
        <v>8.31</v>
      </c>
      <c r="D52" s="64">
        <v>10.67</v>
      </c>
      <c r="E52" s="64">
        <v>3.79</v>
      </c>
      <c r="F52" s="64">
        <v>2.33</v>
      </c>
      <c r="G52" s="64">
        <v>12.34</v>
      </c>
      <c r="H52" s="64">
        <v>3.88</v>
      </c>
      <c r="I52" s="64">
        <v>1.37</v>
      </c>
      <c r="J52" s="64">
        <v>0.19</v>
      </c>
      <c r="K52" s="64">
        <v>298.54000000000002</v>
      </c>
      <c r="L52" s="64">
        <v>25.89</v>
      </c>
      <c r="M52" s="64">
        <v>98.12</v>
      </c>
      <c r="N52" s="64">
        <v>255.5</v>
      </c>
      <c r="O52" s="64">
        <v>0</v>
      </c>
      <c r="P52" s="64">
        <v>0.39</v>
      </c>
      <c r="Q52" s="64">
        <v>9.5500000000000007</v>
      </c>
      <c r="R52" s="198"/>
      <c r="S52" s="198"/>
      <c r="T52" s="198"/>
      <c r="U52" s="198"/>
    </row>
    <row r="53" spans="1:21" s="12" customFormat="1" x14ac:dyDescent="0.25">
      <c r="A53" s="212" t="s">
        <v>2307</v>
      </c>
      <c r="B53" s="210" t="s">
        <v>40</v>
      </c>
      <c r="C53" s="210" t="s">
        <v>40</v>
      </c>
      <c r="D53" s="210" t="s">
        <v>40</v>
      </c>
      <c r="E53" s="64">
        <v>3.57</v>
      </c>
      <c r="F53" s="64">
        <v>2.6</v>
      </c>
      <c r="G53" s="64">
        <v>10.91</v>
      </c>
      <c r="H53" s="64">
        <v>4.67</v>
      </c>
      <c r="I53" s="64">
        <v>1.37</v>
      </c>
      <c r="J53" s="64">
        <v>0.27</v>
      </c>
      <c r="K53" s="64">
        <v>295.01</v>
      </c>
      <c r="L53" s="64">
        <v>26.33</v>
      </c>
      <c r="M53" s="64">
        <v>98.08</v>
      </c>
      <c r="N53" s="64">
        <v>397.2</v>
      </c>
      <c r="O53" s="64">
        <v>0</v>
      </c>
      <c r="P53" s="64">
        <v>0.39</v>
      </c>
      <c r="Q53" s="64">
        <v>9.5299999999999994</v>
      </c>
      <c r="R53" s="198"/>
      <c r="S53" s="198"/>
      <c r="T53" s="198"/>
      <c r="U53" s="198"/>
    </row>
    <row r="54" spans="1:21" s="12" customFormat="1" x14ac:dyDescent="0.25">
      <c r="A54" s="212" t="s">
        <v>2308</v>
      </c>
      <c r="B54" s="210" t="s">
        <v>40</v>
      </c>
      <c r="C54" s="210" t="s">
        <v>40</v>
      </c>
      <c r="D54" s="210" t="s">
        <v>40</v>
      </c>
      <c r="E54" s="64">
        <v>3.41</v>
      </c>
      <c r="F54" s="64">
        <v>2.59</v>
      </c>
      <c r="G54" s="64">
        <v>10.91</v>
      </c>
      <c r="H54" s="64">
        <v>4.67</v>
      </c>
      <c r="I54" s="64">
        <v>1.28</v>
      </c>
      <c r="J54" s="64">
        <v>0.26</v>
      </c>
      <c r="K54" s="64">
        <v>289.77999999999997</v>
      </c>
      <c r="L54" s="64">
        <v>26.64</v>
      </c>
      <c r="M54" s="64">
        <v>98.03</v>
      </c>
      <c r="N54" s="64">
        <v>481.7</v>
      </c>
      <c r="O54" s="64">
        <v>0</v>
      </c>
      <c r="P54" s="64">
        <v>0.38</v>
      </c>
      <c r="Q54" s="64">
        <v>9.5299999999999994</v>
      </c>
      <c r="R54" s="198"/>
      <c r="S54" s="198"/>
      <c r="T54" s="198"/>
      <c r="U54" s="198"/>
    </row>
    <row r="55" spans="1:21" s="12" customFormat="1" x14ac:dyDescent="0.25">
      <c r="A55" s="212" t="s">
        <v>2309</v>
      </c>
      <c r="B55" s="64">
        <v>5.22</v>
      </c>
      <c r="C55" s="64">
        <v>21.37</v>
      </c>
      <c r="D55" s="64">
        <v>15.35</v>
      </c>
      <c r="E55" s="64">
        <v>3.44</v>
      </c>
      <c r="F55" s="64">
        <v>2.4900000000000002</v>
      </c>
      <c r="G55" s="64">
        <v>10.91</v>
      </c>
      <c r="H55" s="64">
        <v>4.67</v>
      </c>
      <c r="I55" s="64">
        <v>1.28</v>
      </c>
      <c r="J55" s="64">
        <v>0.28000000000000003</v>
      </c>
      <c r="K55" s="64">
        <v>291.29000000000002</v>
      </c>
      <c r="L55" s="64">
        <v>27.82</v>
      </c>
      <c r="M55" s="64">
        <v>93.83</v>
      </c>
      <c r="N55" s="64">
        <v>496.7</v>
      </c>
      <c r="O55" s="64">
        <v>0</v>
      </c>
      <c r="P55" s="64">
        <v>0.39</v>
      </c>
      <c r="Q55" s="64">
        <v>9.5399999999999991</v>
      </c>
      <c r="R55" s="198"/>
      <c r="S55" s="198"/>
      <c r="T55" s="198"/>
      <c r="U55" s="198"/>
    </row>
    <row r="56" spans="1:21" s="12" customFormat="1" x14ac:dyDescent="0.25">
      <c r="A56" s="212" t="s">
        <v>2310</v>
      </c>
      <c r="B56" s="64">
        <v>6.01</v>
      </c>
      <c r="C56" s="64">
        <v>22.95</v>
      </c>
      <c r="D56" s="64">
        <v>16.809999999999999</v>
      </c>
      <c r="E56" s="64">
        <v>3.72</v>
      </c>
      <c r="F56" s="64">
        <v>2.4500000000000002</v>
      </c>
      <c r="G56" s="64">
        <v>10.39</v>
      </c>
      <c r="H56" s="64">
        <v>4.07</v>
      </c>
      <c r="I56" s="64">
        <v>1.23</v>
      </c>
      <c r="J56" s="64">
        <v>0.31</v>
      </c>
      <c r="K56" s="64">
        <v>284.43</v>
      </c>
      <c r="L56" s="64">
        <v>27.67</v>
      </c>
      <c r="M56" s="64">
        <v>92.89</v>
      </c>
      <c r="N56" s="64">
        <v>368</v>
      </c>
      <c r="O56" s="64">
        <v>0</v>
      </c>
      <c r="P56" s="64">
        <v>0.37</v>
      </c>
      <c r="Q56" s="64">
        <v>9.52</v>
      </c>
      <c r="R56" s="198"/>
      <c r="S56" s="198"/>
      <c r="T56" s="198"/>
      <c r="U56" s="198"/>
    </row>
    <row r="57" spans="1:21" s="12" customFormat="1" x14ac:dyDescent="0.25">
      <c r="A57" s="212" t="s">
        <v>2311</v>
      </c>
      <c r="B57" s="64">
        <v>5.68</v>
      </c>
      <c r="C57" s="64">
        <v>15.85</v>
      </c>
      <c r="D57" s="64">
        <v>12.83</v>
      </c>
      <c r="E57" s="64">
        <v>3.74</v>
      </c>
      <c r="F57" s="64">
        <v>2.79</v>
      </c>
      <c r="G57" s="64">
        <v>10.130000000000001</v>
      </c>
      <c r="H57" s="64">
        <v>3.77</v>
      </c>
      <c r="I57" s="64">
        <v>1.1100000000000001</v>
      </c>
      <c r="J57" s="64">
        <v>0.24</v>
      </c>
      <c r="K57" s="64">
        <v>298.76</v>
      </c>
      <c r="L57" s="64">
        <v>27.07</v>
      </c>
      <c r="M57" s="64">
        <v>96.62</v>
      </c>
      <c r="N57" s="64">
        <v>365.5</v>
      </c>
      <c r="O57" s="64">
        <v>0</v>
      </c>
      <c r="P57" s="64">
        <v>0.36</v>
      </c>
      <c r="Q57" s="64">
        <v>9.5</v>
      </c>
      <c r="R57" s="198"/>
      <c r="S57" s="198"/>
      <c r="T57" s="198"/>
      <c r="U57" s="198"/>
    </row>
    <row r="58" spans="1:21" s="12" customFormat="1" x14ac:dyDescent="0.25">
      <c r="A58" s="212" t="s">
        <v>2312</v>
      </c>
      <c r="B58" s="64">
        <v>5.43</v>
      </c>
      <c r="C58" s="64">
        <v>12.45</v>
      </c>
      <c r="D58" s="64">
        <v>10.86</v>
      </c>
      <c r="E58" s="64">
        <v>3.62</v>
      </c>
      <c r="F58" s="64">
        <v>3.62</v>
      </c>
      <c r="G58" s="64">
        <v>10.130000000000001</v>
      </c>
      <c r="H58" s="64">
        <v>3.77</v>
      </c>
      <c r="I58" s="64">
        <v>1.07</v>
      </c>
      <c r="J58" s="64">
        <v>0.18</v>
      </c>
      <c r="K58" s="64">
        <v>297.20999999999998</v>
      </c>
      <c r="L58" s="64">
        <v>27.57</v>
      </c>
      <c r="M58" s="64">
        <v>95.12</v>
      </c>
      <c r="N58" s="64">
        <v>368.7</v>
      </c>
      <c r="O58" s="64">
        <v>0</v>
      </c>
      <c r="P58" s="64">
        <v>0.35</v>
      </c>
      <c r="Q58" s="64">
        <v>9.48</v>
      </c>
      <c r="R58" s="198"/>
      <c r="S58" s="198"/>
      <c r="T58" s="198"/>
      <c r="U58" s="198"/>
    </row>
    <row r="59" spans="1:21" s="12" customFormat="1" x14ac:dyDescent="0.25">
      <c r="A59" s="212" t="s">
        <v>2313</v>
      </c>
      <c r="B59" s="64">
        <v>5.53</v>
      </c>
      <c r="C59" s="64">
        <v>13.09</v>
      </c>
      <c r="D59" s="64">
        <v>11.27</v>
      </c>
      <c r="E59" s="64">
        <v>3.31</v>
      </c>
      <c r="F59" s="64">
        <v>2.5299999999999998</v>
      </c>
      <c r="G59" s="64">
        <v>10.130000000000001</v>
      </c>
      <c r="H59" s="64">
        <v>3.77</v>
      </c>
      <c r="I59" s="64">
        <v>1.04</v>
      </c>
      <c r="J59" s="64">
        <v>0.23</v>
      </c>
      <c r="K59" s="64">
        <v>290.12</v>
      </c>
      <c r="L59" s="64">
        <v>27.6</v>
      </c>
      <c r="M59" s="64">
        <v>93.81</v>
      </c>
      <c r="N59" s="64">
        <v>343.9</v>
      </c>
      <c r="O59" s="64">
        <v>0</v>
      </c>
      <c r="P59" s="64">
        <v>0.34</v>
      </c>
      <c r="Q59" s="64">
        <v>9.49</v>
      </c>
      <c r="R59" s="198"/>
      <c r="S59" s="198"/>
      <c r="T59" s="198"/>
      <c r="U59" s="198"/>
    </row>
    <row r="60" spans="1:21" s="12" customFormat="1" x14ac:dyDescent="0.25">
      <c r="A60" s="212" t="s">
        <v>2314</v>
      </c>
      <c r="B60" s="64">
        <v>6.13</v>
      </c>
      <c r="C60" s="64">
        <v>11.6</v>
      </c>
      <c r="D60" s="64">
        <v>10.98</v>
      </c>
      <c r="E60" s="64">
        <v>3.54</v>
      </c>
      <c r="F60" s="64">
        <v>2.64</v>
      </c>
      <c r="G60" s="64">
        <v>13.51</v>
      </c>
      <c r="H60" s="64">
        <v>3.11</v>
      </c>
      <c r="I60" s="64">
        <v>1.01</v>
      </c>
      <c r="J60" s="64">
        <v>0.19</v>
      </c>
      <c r="K60" s="64">
        <v>287.35000000000002</v>
      </c>
      <c r="L60" s="64">
        <v>27.65</v>
      </c>
      <c r="M60" s="64">
        <v>93.87</v>
      </c>
      <c r="N60" s="64">
        <v>333.5</v>
      </c>
      <c r="O60" s="64">
        <v>0</v>
      </c>
      <c r="P60" s="64">
        <v>0.33</v>
      </c>
      <c r="Q60" s="64">
        <v>9.5</v>
      </c>
      <c r="R60" s="198"/>
      <c r="S60" s="198"/>
      <c r="T60" s="198"/>
      <c r="U60" s="198"/>
    </row>
    <row r="61" spans="1:21" s="12" customFormat="1" x14ac:dyDescent="0.25">
      <c r="A61" s="212" t="s">
        <v>2315</v>
      </c>
      <c r="B61" s="64">
        <v>5.88</v>
      </c>
      <c r="C61" s="64">
        <v>11.33</v>
      </c>
      <c r="D61" s="64">
        <v>10.63</v>
      </c>
      <c r="E61" s="64">
        <v>3.74</v>
      </c>
      <c r="F61" s="64">
        <v>2.77</v>
      </c>
      <c r="G61" s="64">
        <v>15.2</v>
      </c>
      <c r="H61" s="64">
        <v>2.77</v>
      </c>
      <c r="I61" s="64">
        <v>0.98</v>
      </c>
      <c r="J61" s="64">
        <v>0.19</v>
      </c>
      <c r="K61" s="64">
        <v>296.06</v>
      </c>
      <c r="L61" s="64">
        <v>27.25</v>
      </c>
      <c r="M61" s="64">
        <v>95.2</v>
      </c>
      <c r="N61" s="64">
        <v>281</v>
      </c>
      <c r="O61" s="64">
        <v>0</v>
      </c>
      <c r="P61" s="64">
        <v>0.3</v>
      </c>
      <c r="Q61" s="64">
        <v>9.5</v>
      </c>
      <c r="R61" s="198"/>
      <c r="S61" s="198"/>
      <c r="T61" s="198"/>
      <c r="U61" s="198"/>
    </row>
    <row r="62" spans="1:21" s="12" customFormat="1" x14ac:dyDescent="0.25">
      <c r="A62" s="212" t="s">
        <v>2316</v>
      </c>
      <c r="B62" s="64">
        <v>5.24</v>
      </c>
      <c r="C62" s="64">
        <v>11.33</v>
      </c>
      <c r="D62" s="64">
        <v>10.119999999999999</v>
      </c>
      <c r="E62" s="64">
        <v>3.52</v>
      </c>
      <c r="F62" s="64">
        <v>3.01</v>
      </c>
      <c r="G62" s="64">
        <v>15.2</v>
      </c>
      <c r="H62" s="64">
        <v>2.77</v>
      </c>
      <c r="I62" s="64">
        <v>0.97</v>
      </c>
      <c r="J62" s="64">
        <v>0.18</v>
      </c>
      <c r="K62" s="64">
        <v>283.37</v>
      </c>
      <c r="L62" s="64">
        <v>26.43</v>
      </c>
      <c r="M62" s="64">
        <v>97.55</v>
      </c>
      <c r="N62" s="64">
        <v>112.4</v>
      </c>
      <c r="O62" s="64">
        <v>0</v>
      </c>
      <c r="P62" s="64">
        <v>0.31</v>
      </c>
      <c r="Q62" s="64">
        <v>9.51</v>
      </c>
      <c r="R62" s="198"/>
      <c r="S62" s="198"/>
      <c r="T62" s="198"/>
      <c r="U62" s="198"/>
    </row>
    <row r="63" spans="1:21" s="12" customFormat="1" x14ac:dyDescent="0.25">
      <c r="A63" s="212" t="s">
        <v>2317</v>
      </c>
      <c r="B63" s="64">
        <v>6.91</v>
      </c>
      <c r="C63" s="64">
        <v>11.28</v>
      </c>
      <c r="D63" s="64">
        <v>11.44</v>
      </c>
      <c r="E63" s="64">
        <v>4.18</v>
      </c>
      <c r="F63" s="64">
        <v>5.35</v>
      </c>
      <c r="G63" s="64">
        <v>15.2</v>
      </c>
      <c r="H63" s="64">
        <v>2.77</v>
      </c>
      <c r="I63" s="64">
        <v>0.94</v>
      </c>
      <c r="J63" s="64">
        <v>0.1</v>
      </c>
      <c r="K63" s="64">
        <v>295.39999999999998</v>
      </c>
      <c r="L63" s="64">
        <v>26.05</v>
      </c>
      <c r="M63" s="64">
        <v>98.16</v>
      </c>
      <c r="N63" s="64">
        <v>317.60000000000002</v>
      </c>
      <c r="O63" s="64">
        <v>0</v>
      </c>
      <c r="P63" s="64">
        <v>0.33</v>
      </c>
      <c r="Q63" s="64">
        <v>9.5</v>
      </c>
      <c r="R63" s="198"/>
      <c r="S63" s="198"/>
      <c r="T63" s="198"/>
      <c r="U63" s="198"/>
    </row>
    <row r="64" spans="1:21" s="12" customFormat="1" x14ac:dyDescent="0.25">
      <c r="A64" s="212" t="s">
        <v>2318</v>
      </c>
      <c r="B64" s="64">
        <v>7.52</v>
      </c>
      <c r="C64" s="64">
        <v>11.7</v>
      </c>
      <c r="D64" s="64">
        <v>12.14</v>
      </c>
      <c r="E64" s="64">
        <v>3.65</v>
      </c>
      <c r="F64" s="64">
        <v>6.05</v>
      </c>
      <c r="G64" s="64">
        <v>16.18</v>
      </c>
      <c r="H64" s="64">
        <v>2.44</v>
      </c>
      <c r="I64" s="64">
        <v>0.92</v>
      </c>
      <c r="J64" s="64">
        <v>0.15</v>
      </c>
      <c r="K64" s="64">
        <v>287.33</v>
      </c>
      <c r="L64" s="64">
        <v>27.29</v>
      </c>
      <c r="M64" s="64">
        <v>97.94</v>
      </c>
      <c r="N64" s="64">
        <v>334.2</v>
      </c>
      <c r="O64" s="64">
        <v>0</v>
      </c>
      <c r="P64" s="64">
        <v>0.34</v>
      </c>
      <c r="Q64" s="64">
        <v>9.52</v>
      </c>
      <c r="R64" s="198"/>
      <c r="S64" s="198"/>
      <c r="T64" s="198"/>
      <c r="U64" s="198"/>
    </row>
    <row r="65" spans="1:21" s="12" customFormat="1" x14ac:dyDescent="0.25">
      <c r="A65" s="212" t="s">
        <v>2319</v>
      </c>
      <c r="B65" s="64">
        <v>6.31</v>
      </c>
      <c r="C65" s="64">
        <v>10.89</v>
      </c>
      <c r="D65" s="64">
        <v>10.75</v>
      </c>
      <c r="E65" s="64">
        <v>3.87</v>
      </c>
      <c r="F65" s="64">
        <v>3.01</v>
      </c>
      <c r="G65" s="64">
        <v>16.670000000000002</v>
      </c>
      <c r="H65" s="64">
        <v>2.27</v>
      </c>
      <c r="I65" s="64">
        <v>0.93</v>
      </c>
      <c r="J65" s="64">
        <v>0.33</v>
      </c>
      <c r="K65" s="64">
        <v>302.60000000000002</v>
      </c>
      <c r="L65" s="64">
        <v>27.63</v>
      </c>
      <c r="M65" s="64">
        <v>96.58</v>
      </c>
      <c r="N65" s="64">
        <v>218.8</v>
      </c>
      <c r="O65" s="64">
        <v>0</v>
      </c>
      <c r="P65" s="64">
        <v>0.32</v>
      </c>
      <c r="Q65" s="64">
        <v>9.5299999999999994</v>
      </c>
      <c r="R65" s="198"/>
      <c r="S65" s="198"/>
      <c r="T65" s="198"/>
      <c r="U65" s="198"/>
    </row>
    <row r="66" spans="1:21" s="12" customFormat="1" x14ac:dyDescent="0.25">
      <c r="A66" s="212" t="s">
        <v>2320</v>
      </c>
      <c r="B66" s="64">
        <v>6.35</v>
      </c>
      <c r="C66" s="64">
        <v>9.98</v>
      </c>
      <c r="D66" s="64">
        <v>10.31</v>
      </c>
      <c r="E66" s="64">
        <v>3.92</v>
      </c>
      <c r="F66" s="64">
        <v>2.1</v>
      </c>
      <c r="G66" s="64">
        <v>16.670000000000002</v>
      </c>
      <c r="H66" s="64">
        <v>2.27</v>
      </c>
      <c r="I66" s="64">
        <v>0.96</v>
      </c>
      <c r="J66" s="64">
        <v>0.26</v>
      </c>
      <c r="K66" s="64">
        <v>289.3</v>
      </c>
      <c r="L66" s="64">
        <v>27.33</v>
      </c>
      <c r="M66" s="64">
        <v>96.85</v>
      </c>
      <c r="N66" s="64">
        <v>215.6</v>
      </c>
      <c r="O66" s="64">
        <v>0</v>
      </c>
      <c r="P66" s="64">
        <v>0.33</v>
      </c>
      <c r="Q66" s="64">
        <v>9.5399999999999991</v>
      </c>
      <c r="R66" s="198"/>
      <c r="S66" s="198"/>
      <c r="T66" s="198"/>
      <c r="U66" s="198"/>
    </row>
    <row r="67" spans="1:21" s="12" customFormat="1" x14ac:dyDescent="0.25">
      <c r="A67" s="212" t="s">
        <v>2321</v>
      </c>
      <c r="B67" s="64">
        <v>6.61</v>
      </c>
      <c r="C67" s="64">
        <v>9.64</v>
      </c>
      <c r="D67" s="64">
        <v>10.34</v>
      </c>
      <c r="E67" s="64">
        <v>3.88</v>
      </c>
      <c r="F67" s="64">
        <v>2.74</v>
      </c>
      <c r="G67" s="64">
        <v>16.670000000000002</v>
      </c>
      <c r="H67" s="64">
        <v>2.27</v>
      </c>
      <c r="I67" s="64">
        <v>0.95</v>
      </c>
      <c r="J67" s="64">
        <v>0.21</v>
      </c>
      <c r="K67" s="64">
        <v>295.26</v>
      </c>
      <c r="L67" s="64">
        <v>26.88</v>
      </c>
      <c r="M67" s="64">
        <v>98.05</v>
      </c>
      <c r="N67" s="64">
        <v>269.3</v>
      </c>
      <c r="O67" s="64">
        <v>0</v>
      </c>
      <c r="P67" s="64">
        <v>0.31</v>
      </c>
      <c r="Q67" s="64">
        <v>9.5299999999999994</v>
      </c>
      <c r="R67" s="198"/>
      <c r="S67" s="198"/>
      <c r="T67" s="198"/>
      <c r="U67" s="198"/>
    </row>
    <row r="68" spans="1:21" s="12" customFormat="1" x14ac:dyDescent="0.25">
      <c r="A68" s="212" t="s">
        <v>2322</v>
      </c>
      <c r="B68" s="64">
        <v>6.33</v>
      </c>
      <c r="C68" s="64">
        <v>9.15</v>
      </c>
      <c r="D68" s="64">
        <v>9.86</v>
      </c>
      <c r="E68" s="64">
        <v>3.33</v>
      </c>
      <c r="F68" s="64">
        <v>2.66</v>
      </c>
      <c r="G68" s="64">
        <v>30.07</v>
      </c>
      <c r="H68" s="64">
        <v>2.42</v>
      </c>
      <c r="I68" s="64">
        <v>0.91</v>
      </c>
      <c r="J68" s="64">
        <v>0.27</v>
      </c>
      <c r="K68" s="64">
        <v>286.58999999999997</v>
      </c>
      <c r="L68" s="64">
        <v>27.2</v>
      </c>
      <c r="M68" s="64">
        <v>97.35</v>
      </c>
      <c r="N68" s="64">
        <v>263.8</v>
      </c>
      <c r="O68" s="64">
        <v>0</v>
      </c>
      <c r="P68" s="64">
        <v>0.31</v>
      </c>
      <c r="Q68" s="64">
        <v>9.51</v>
      </c>
      <c r="R68" s="198"/>
      <c r="S68" s="198"/>
      <c r="T68" s="198"/>
      <c r="U68" s="198"/>
    </row>
    <row r="69" spans="1:21" s="12" customFormat="1" x14ac:dyDescent="0.25">
      <c r="A69" s="212" t="s">
        <v>2323</v>
      </c>
      <c r="B69" s="64">
        <v>5.9</v>
      </c>
      <c r="C69" s="64">
        <v>9.51</v>
      </c>
      <c r="D69" s="64">
        <v>9.6999999999999993</v>
      </c>
      <c r="E69" s="64">
        <v>3.37</v>
      </c>
      <c r="F69" s="64">
        <v>2.23</v>
      </c>
      <c r="G69" s="64">
        <v>36.78</v>
      </c>
      <c r="H69" s="64">
        <v>2.4900000000000002</v>
      </c>
      <c r="I69" s="64">
        <v>0.86</v>
      </c>
      <c r="J69" s="64">
        <v>0.28999999999999998</v>
      </c>
      <c r="K69" s="64">
        <v>288.98</v>
      </c>
      <c r="L69" s="64">
        <v>27.33</v>
      </c>
      <c r="M69" s="64">
        <v>95.93</v>
      </c>
      <c r="N69" s="64">
        <v>249</v>
      </c>
      <c r="O69" s="64">
        <v>0</v>
      </c>
      <c r="P69" s="64">
        <v>0.28999999999999998</v>
      </c>
      <c r="Q69" s="64">
        <v>9.5</v>
      </c>
      <c r="R69" s="198"/>
      <c r="S69" s="198"/>
      <c r="T69" s="198"/>
      <c r="U69" s="198"/>
    </row>
    <row r="70" spans="1:21" s="12" customFormat="1" x14ac:dyDescent="0.25">
      <c r="A70" s="212" t="s">
        <v>2324</v>
      </c>
      <c r="B70" s="64">
        <v>5.54</v>
      </c>
      <c r="C70" s="64">
        <v>10.19</v>
      </c>
      <c r="D70" s="64">
        <v>9.77</v>
      </c>
      <c r="E70" s="64">
        <v>3.51</v>
      </c>
      <c r="F70" s="64">
        <v>2.67</v>
      </c>
      <c r="G70" s="64">
        <v>36.78</v>
      </c>
      <c r="H70" s="64">
        <v>2.4900000000000002</v>
      </c>
      <c r="I70" s="64">
        <v>0.81</v>
      </c>
      <c r="J70" s="64">
        <v>0.31</v>
      </c>
      <c r="K70" s="64">
        <v>290.11</v>
      </c>
      <c r="L70" s="64">
        <v>27.43</v>
      </c>
      <c r="M70" s="64">
        <v>93.24</v>
      </c>
      <c r="N70" s="64">
        <v>248.7</v>
      </c>
      <c r="O70" s="64">
        <v>0</v>
      </c>
      <c r="P70" s="64">
        <v>0.27</v>
      </c>
      <c r="Q70" s="64">
        <v>9.48</v>
      </c>
      <c r="R70" s="198"/>
      <c r="S70" s="198"/>
      <c r="T70" s="198"/>
      <c r="U70" s="198"/>
    </row>
    <row r="71" spans="1:21" s="12" customFormat="1" x14ac:dyDescent="0.25">
      <c r="A71" s="212" t="s">
        <v>2325</v>
      </c>
      <c r="B71" s="64">
        <v>4.9800000000000004</v>
      </c>
      <c r="C71" s="64">
        <v>10.68</v>
      </c>
      <c r="D71" s="64">
        <v>9.58</v>
      </c>
      <c r="E71" s="64">
        <v>3.15</v>
      </c>
      <c r="F71" s="64">
        <v>2.87</v>
      </c>
      <c r="G71" s="64">
        <v>36.78</v>
      </c>
      <c r="H71" s="64">
        <v>2.4900000000000002</v>
      </c>
      <c r="I71" s="64">
        <v>0.76</v>
      </c>
      <c r="J71" s="64">
        <v>0.27</v>
      </c>
      <c r="K71" s="64">
        <v>291.31</v>
      </c>
      <c r="L71" s="64">
        <v>27.33</v>
      </c>
      <c r="M71" s="64">
        <v>92.54</v>
      </c>
      <c r="N71" s="64">
        <v>207.5</v>
      </c>
      <c r="O71" s="64">
        <v>0</v>
      </c>
      <c r="P71" s="64">
        <v>0.25</v>
      </c>
      <c r="Q71" s="64">
        <v>9.4700000000000006</v>
      </c>
      <c r="R71" s="198"/>
      <c r="S71" s="198"/>
      <c r="T71" s="198"/>
      <c r="U71" s="198"/>
    </row>
    <row r="72" spans="1:21" s="12" customFormat="1" x14ac:dyDescent="0.25">
      <c r="A72" s="212" t="s">
        <v>2326</v>
      </c>
      <c r="B72" s="64">
        <v>4.55</v>
      </c>
      <c r="C72" s="64">
        <v>10.77</v>
      </c>
      <c r="D72" s="64">
        <v>9.2799999999999994</v>
      </c>
      <c r="E72" s="64">
        <v>4.18</v>
      </c>
      <c r="F72" s="64">
        <v>2.56</v>
      </c>
      <c r="G72" s="64">
        <v>27.21</v>
      </c>
      <c r="H72" s="64">
        <v>2.0699999999999998</v>
      </c>
      <c r="I72" s="64">
        <v>0.75</v>
      </c>
      <c r="J72" s="64">
        <v>0.27</v>
      </c>
      <c r="K72" s="64">
        <v>301.27999999999997</v>
      </c>
      <c r="L72" s="64">
        <v>27.2</v>
      </c>
      <c r="M72" s="64">
        <v>94.55</v>
      </c>
      <c r="N72" s="64">
        <v>189.1</v>
      </c>
      <c r="O72" s="64">
        <v>0</v>
      </c>
      <c r="P72" s="64">
        <v>0.27</v>
      </c>
      <c r="Q72" s="64">
        <v>9.4600000000000009</v>
      </c>
      <c r="R72" s="198"/>
      <c r="S72" s="198"/>
      <c r="T72" s="198"/>
      <c r="U72" s="198"/>
    </row>
    <row r="73" spans="1:21" s="12" customFormat="1" x14ac:dyDescent="0.25">
      <c r="A73" s="212" t="s">
        <v>2327</v>
      </c>
      <c r="B73" s="64">
        <v>4.59</v>
      </c>
      <c r="C73" s="64">
        <v>10.199999999999999</v>
      </c>
      <c r="D73" s="64">
        <v>9.01</v>
      </c>
      <c r="E73" s="64">
        <v>4.1100000000000003</v>
      </c>
      <c r="F73" s="64">
        <v>2.35</v>
      </c>
      <c r="G73" s="64">
        <v>22.43</v>
      </c>
      <c r="H73" s="64">
        <v>1.85</v>
      </c>
      <c r="I73" s="64">
        <v>0.7</v>
      </c>
      <c r="J73" s="64">
        <v>0.23</v>
      </c>
      <c r="K73" s="64">
        <v>303.49</v>
      </c>
      <c r="L73" s="64">
        <v>26.98</v>
      </c>
      <c r="M73" s="64">
        <v>94.79</v>
      </c>
      <c r="N73" s="64">
        <v>161.4</v>
      </c>
      <c r="O73" s="64">
        <v>0</v>
      </c>
      <c r="P73" s="64">
        <v>0.27</v>
      </c>
      <c r="Q73" s="64">
        <v>9.4600000000000009</v>
      </c>
      <c r="R73" s="198"/>
      <c r="S73" s="198"/>
      <c r="T73" s="198"/>
      <c r="U73" s="198"/>
    </row>
    <row r="74" spans="1:21" s="12" customFormat="1" x14ac:dyDescent="0.25">
      <c r="A74" s="212" t="s">
        <v>2328</v>
      </c>
      <c r="B74" s="64">
        <v>4.82</v>
      </c>
      <c r="C74" s="64">
        <v>9.68</v>
      </c>
      <c r="D74" s="64">
        <v>8.92</v>
      </c>
      <c r="E74" s="64">
        <v>4.01</v>
      </c>
      <c r="F74" s="64">
        <v>2.5299999999999998</v>
      </c>
      <c r="G74" s="64">
        <v>22.43</v>
      </c>
      <c r="H74" s="64">
        <v>1.85</v>
      </c>
      <c r="I74" s="64">
        <v>0.66</v>
      </c>
      <c r="J74" s="64">
        <v>0.26</v>
      </c>
      <c r="K74" s="64">
        <v>302.24</v>
      </c>
      <c r="L74" s="64">
        <v>26.95</v>
      </c>
      <c r="M74" s="64">
        <v>95.73</v>
      </c>
      <c r="N74" s="64">
        <v>146</v>
      </c>
      <c r="O74" s="64">
        <v>0</v>
      </c>
      <c r="P74" s="64">
        <v>0.26</v>
      </c>
      <c r="Q74" s="64">
        <v>9.4600000000000009</v>
      </c>
      <c r="R74" s="198"/>
      <c r="S74" s="198"/>
      <c r="T74" s="198"/>
      <c r="U74" s="198"/>
    </row>
    <row r="75" spans="1:21" s="12" customFormat="1" x14ac:dyDescent="0.25">
      <c r="A75" s="212" t="s">
        <v>2329</v>
      </c>
      <c r="B75" s="64">
        <v>5.12</v>
      </c>
      <c r="C75" s="64">
        <v>9.4499999999999993</v>
      </c>
      <c r="D75" s="64">
        <v>9.0399999999999991</v>
      </c>
      <c r="E75" s="64">
        <v>4.04</v>
      </c>
      <c r="F75" s="64">
        <v>2.5299999999999998</v>
      </c>
      <c r="G75" s="64">
        <v>22.43</v>
      </c>
      <c r="H75" s="64">
        <v>1.85</v>
      </c>
      <c r="I75" s="64">
        <v>0.66</v>
      </c>
      <c r="J75" s="64">
        <v>0.25</v>
      </c>
      <c r="K75" s="64">
        <v>301.97000000000003</v>
      </c>
      <c r="L75" s="64">
        <v>26.96</v>
      </c>
      <c r="M75" s="64">
        <v>96.84</v>
      </c>
      <c r="N75" s="64">
        <v>129</v>
      </c>
      <c r="O75" s="64">
        <v>0</v>
      </c>
      <c r="P75" s="64">
        <v>0.27</v>
      </c>
      <c r="Q75" s="64">
        <v>9.4600000000000009</v>
      </c>
      <c r="R75" s="198"/>
      <c r="S75" s="198"/>
      <c r="T75" s="198"/>
      <c r="U75" s="198"/>
    </row>
    <row r="76" spans="1:21" s="12" customFormat="1" x14ac:dyDescent="0.25">
      <c r="A76" s="212" t="s">
        <v>2330</v>
      </c>
      <c r="B76" s="64">
        <v>5.08</v>
      </c>
      <c r="C76" s="64">
        <v>9.2899999999999991</v>
      </c>
      <c r="D76" s="64">
        <v>8.93</v>
      </c>
      <c r="E76" s="64">
        <v>3.93</v>
      </c>
      <c r="F76" s="64">
        <v>2.67</v>
      </c>
      <c r="G76" s="64">
        <v>22.93</v>
      </c>
      <c r="H76" s="64">
        <v>4.28</v>
      </c>
      <c r="I76" s="64">
        <v>0.66</v>
      </c>
      <c r="J76" s="64">
        <v>0.22</v>
      </c>
      <c r="K76" s="64">
        <v>297.11</v>
      </c>
      <c r="L76" s="64">
        <v>26.66</v>
      </c>
      <c r="M76" s="64">
        <v>97.8</v>
      </c>
      <c r="N76" s="64">
        <v>111.9</v>
      </c>
      <c r="O76" s="64">
        <v>0</v>
      </c>
      <c r="P76" s="64">
        <v>0.28000000000000003</v>
      </c>
      <c r="Q76" s="64">
        <v>9.48</v>
      </c>
      <c r="R76" s="198"/>
      <c r="S76" s="198"/>
      <c r="T76" s="198"/>
      <c r="U76" s="198"/>
    </row>
    <row r="77" spans="1:21" s="12" customFormat="1" x14ac:dyDescent="0.25">
      <c r="A77" s="212" t="s">
        <v>2331</v>
      </c>
      <c r="B77" s="64">
        <v>6.2</v>
      </c>
      <c r="C77" s="64">
        <v>10.220000000000001</v>
      </c>
      <c r="D77" s="64">
        <v>10.31</v>
      </c>
      <c r="E77" s="64">
        <v>3.98</v>
      </c>
      <c r="F77" s="64">
        <v>3.24</v>
      </c>
      <c r="G77" s="64">
        <v>23.18</v>
      </c>
      <c r="H77" s="64">
        <v>5.5</v>
      </c>
      <c r="I77" s="64">
        <v>0.66</v>
      </c>
      <c r="J77" s="64">
        <v>0.16</v>
      </c>
      <c r="K77" s="64">
        <v>309.5</v>
      </c>
      <c r="L77" s="64">
        <v>26.56</v>
      </c>
      <c r="M77" s="64">
        <v>98.08</v>
      </c>
      <c r="N77" s="64">
        <v>96.2</v>
      </c>
      <c r="O77" s="64">
        <v>0</v>
      </c>
      <c r="P77" s="64">
        <v>0.28999999999999998</v>
      </c>
      <c r="Q77" s="64">
        <v>9.5</v>
      </c>
      <c r="R77" s="198"/>
      <c r="S77" s="198"/>
      <c r="T77" s="198"/>
      <c r="U77" s="198"/>
    </row>
    <row r="78" spans="1:21" s="12" customFormat="1" x14ac:dyDescent="0.25">
      <c r="A78" s="212" t="s">
        <v>2332</v>
      </c>
      <c r="B78" s="64">
        <v>7.97</v>
      </c>
      <c r="C78" s="64">
        <v>9.68</v>
      </c>
      <c r="D78" s="64">
        <v>11.45</v>
      </c>
      <c r="E78" s="64">
        <v>4.13</v>
      </c>
      <c r="F78" s="64">
        <v>3.15</v>
      </c>
      <c r="G78" s="64">
        <v>23.18</v>
      </c>
      <c r="H78" s="64">
        <v>5.5</v>
      </c>
      <c r="I78" s="64">
        <v>0.74</v>
      </c>
      <c r="J78" s="64">
        <v>0.16</v>
      </c>
      <c r="K78" s="64">
        <v>316.86</v>
      </c>
      <c r="L78" s="64">
        <v>26.39</v>
      </c>
      <c r="M78" s="64">
        <v>98.13</v>
      </c>
      <c r="N78" s="64">
        <v>68</v>
      </c>
      <c r="O78" s="64">
        <v>0</v>
      </c>
      <c r="P78" s="64">
        <v>0.31</v>
      </c>
      <c r="Q78" s="64">
        <v>9.52</v>
      </c>
      <c r="R78" s="198"/>
      <c r="S78" s="198"/>
      <c r="T78" s="198"/>
      <c r="U78" s="198"/>
    </row>
    <row r="79" spans="1:21" s="12" customFormat="1" x14ac:dyDescent="0.25">
      <c r="A79" s="212" t="s">
        <v>2333</v>
      </c>
      <c r="B79" s="64">
        <v>6.17</v>
      </c>
      <c r="C79" s="64">
        <v>9.23</v>
      </c>
      <c r="D79" s="64">
        <v>9.77</v>
      </c>
      <c r="E79" s="64">
        <v>4.45</v>
      </c>
      <c r="F79" s="64">
        <v>2.13</v>
      </c>
      <c r="G79" s="64">
        <v>23.18</v>
      </c>
      <c r="H79" s="64">
        <v>5.5</v>
      </c>
      <c r="I79" s="64">
        <v>0.76</v>
      </c>
      <c r="J79" s="64">
        <v>0.37</v>
      </c>
      <c r="K79" s="64">
        <v>307.02</v>
      </c>
      <c r="L79" s="64">
        <v>26.16</v>
      </c>
      <c r="M79" s="64">
        <v>98.14</v>
      </c>
      <c r="N79" s="64">
        <v>61.3</v>
      </c>
      <c r="O79" s="64">
        <v>0</v>
      </c>
      <c r="P79" s="64">
        <v>0.3</v>
      </c>
      <c r="Q79" s="64">
        <v>9.5399999999999991</v>
      </c>
      <c r="R79" s="198"/>
      <c r="S79" s="198"/>
      <c r="T79" s="198"/>
      <c r="U79" s="198"/>
    </row>
    <row r="80" spans="1:21" s="12" customFormat="1" x14ac:dyDescent="0.25">
      <c r="A80" s="212" t="s">
        <v>2334</v>
      </c>
      <c r="B80" s="64">
        <v>7.8</v>
      </c>
      <c r="C80" s="64">
        <v>9.11</v>
      </c>
      <c r="D80" s="64">
        <v>11.01</v>
      </c>
      <c r="E80" s="64">
        <v>4.17</v>
      </c>
      <c r="F80" s="64">
        <v>3.17</v>
      </c>
      <c r="G80" s="64">
        <v>27.16</v>
      </c>
      <c r="H80" s="64">
        <v>4.6100000000000003</v>
      </c>
      <c r="I80" s="64">
        <v>0.75</v>
      </c>
      <c r="J80" s="64">
        <v>0.51</v>
      </c>
      <c r="K80" s="64">
        <v>320.26</v>
      </c>
      <c r="L80" s="64">
        <v>25.71</v>
      </c>
      <c r="M80" s="64">
        <v>98.14</v>
      </c>
      <c r="N80" s="64">
        <v>54.4</v>
      </c>
      <c r="O80" s="64">
        <v>0</v>
      </c>
      <c r="P80" s="64">
        <v>0.31</v>
      </c>
      <c r="Q80" s="64">
        <v>9.5399999999999991</v>
      </c>
      <c r="R80" s="198"/>
      <c r="S80" s="198"/>
      <c r="T80" s="198"/>
      <c r="U80" s="198"/>
    </row>
    <row r="81" spans="1:26" s="12" customFormat="1" x14ac:dyDescent="0.25">
      <c r="A81" s="212" t="s">
        <v>2335</v>
      </c>
      <c r="B81" s="64">
        <v>6.88</v>
      </c>
      <c r="C81" s="64">
        <v>9.1</v>
      </c>
      <c r="D81" s="64">
        <v>10.27</v>
      </c>
      <c r="E81" s="64">
        <v>4.5599999999999996</v>
      </c>
      <c r="F81" s="64">
        <v>2.41</v>
      </c>
      <c r="G81" s="64">
        <v>29.15</v>
      </c>
      <c r="H81" s="64">
        <v>4.17</v>
      </c>
      <c r="I81" s="64">
        <v>0.78</v>
      </c>
      <c r="J81" s="64">
        <v>0.45</v>
      </c>
      <c r="K81" s="64">
        <v>315.60000000000002</v>
      </c>
      <c r="L81" s="64">
        <v>24.91</v>
      </c>
      <c r="M81" s="64">
        <v>98.22</v>
      </c>
      <c r="N81" s="64">
        <v>46.1</v>
      </c>
      <c r="O81" s="64">
        <v>0</v>
      </c>
      <c r="P81" s="64">
        <v>0.31</v>
      </c>
      <c r="Q81" s="64">
        <v>9.56</v>
      </c>
      <c r="R81" s="198"/>
      <c r="S81" s="198"/>
      <c r="T81" s="198"/>
      <c r="U81" s="198"/>
    </row>
    <row r="82" spans="1:26" s="12" customFormat="1" x14ac:dyDescent="0.25">
      <c r="A82" s="212" t="s">
        <v>2336</v>
      </c>
      <c r="B82" s="64">
        <v>7.72</v>
      </c>
      <c r="C82" s="64">
        <v>8.76</v>
      </c>
      <c r="D82" s="64">
        <v>10.77</v>
      </c>
      <c r="E82" s="64">
        <v>4.2</v>
      </c>
      <c r="F82" s="64">
        <v>2.5099999999999998</v>
      </c>
      <c r="G82" s="64">
        <v>29.15</v>
      </c>
      <c r="H82" s="64">
        <v>4.17</v>
      </c>
      <c r="I82" s="64">
        <v>0.8</v>
      </c>
      <c r="J82" s="64">
        <v>0.41</v>
      </c>
      <c r="K82" s="64">
        <v>309.45</v>
      </c>
      <c r="L82" s="64">
        <v>24.28</v>
      </c>
      <c r="M82" s="64">
        <v>98.25</v>
      </c>
      <c r="N82" s="64">
        <v>43.2</v>
      </c>
      <c r="O82" s="64">
        <v>0</v>
      </c>
      <c r="P82" s="64">
        <v>0.34</v>
      </c>
      <c r="Q82" s="64">
        <v>9.57</v>
      </c>
      <c r="R82" s="198"/>
      <c r="S82" s="198"/>
      <c r="T82" s="198"/>
      <c r="U82" s="198"/>
    </row>
    <row r="83" spans="1:26" s="12" customFormat="1" x14ac:dyDescent="0.25">
      <c r="A83" s="212" t="s">
        <v>2337</v>
      </c>
      <c r="B83" s="64">
        <v>6.83</v>
      </c>
      <c r="C83" s="64">
        <v>8.61</v>
      </c>
      <c r="D83" s="64">
        <v>9.98</v>
      </c>
      <c r="E83" s="64">
        <v>3.98</v>
      </c>
      <c r="F83" s="64">
        <v>2.4700000000000002</v>
      </c>
      <c r="G83" s="64">
        <v>29.15</v>
      </c>
      <c r="H83" s="64">
        <v>4.17</v>
      </c>
      <c r="I83" s="64">
        <v>0.83</v>
      </c>
      <c r="J83" s="64">
        <v>0.28999999999999998</v>
      </c>
      <c r="K83" s="64">
        <v>309.49</v>
      </c>
      <c r="L83" s="64">
        <v>23.83</v>
      </c>
      <c r="M83" s="64">
        <v>98.29</v>
      </c>
      <c r="N83" s="64">
        <v>42.7</v>
      </c>
      <c r="O83" s="64">
        <v>0</v>
      </c>
      <c r="P83" s="64">
        <v>0.41</v>
      </c>
      <c r="Q83" s="64">
        <v>9.5500000000000007</v>
      </c>
      <c r="R83" s="198"/>
      <c r="S83" s="198"/>
      <c r="T83" s="198"/>
      <c r="U83" s="198"/>
    </row>
    <row r="84" spans="1:26" s="12" customFormat="1" x14ac:dyDescent="0.25">
      <c r="A84" s="212" t="s">
        <v>2338</v>
      </c>
      <c r="B84" s="64">
        <v>6.76</v>
      </c>
      <c r="C84" s="64">
        <v>8.75</v>
      </c>
      <c r="D84" s="64">
        <v>9.99</v>
      </c>
      <c r="E84" s="64">
        <v>4.28</v>
      </c>
      <c r="F84" s="64">
        <v>2.1</v>
      </c>
      <c r="G84" s="64">
        <v>26.65</v>
      </c>
      <c r="H84" s="64">
        <v>3.42</v>
      </c>
      <c r="I84" s="64">
        <v>0.87</v>
      </c>
      <c r="J84" s="64">
        <v>0.24</v>
      </c>
      <c r="K84" s="64">
        <v>310.5</v>
      </c>
      <c r="L84" s="64">
        <v>23.66</v>
      </c>
      <c r="M84" s="64">
        <v>98.29</v>
      </c>
      <c r="N84" s="64">
        <v>42.5</v>
      </c>
      <c r="O84" s="64">
        <v>0</v>
      </c>
      <c r="P84" s="64">
        <v>0.47</v>
      </c>
      <c r="Q84" s="64">
        <v>9.5500000000000007</v>
      </c>
      <c r="R84" s="198"/>
      <c r="S84" s="198"/>
      <c r="T84" s="198"/>
      <c r="U84" s="198"/>
    </row>
    <row r="85" spans="1:26" s="12" customFormat="1" x14ac:dyDescent="0.25">
      <c r="A85" s="212" t="s">
        <v>2339</v>
      </c>
      <c r="B85" s="64">
        <v>6.81</v>
      </c>
      <c r="C85" s="64">
        <v>9.0399999999999991</v>
      </c>
      <c r="D85" s="64">
        <v>10.19</v>
      </c>
      <c r="E85" s="64">
        <v>4.43</v>
      </c>
      <c r="F85" s="64">
        <v>2.11</v>
      </c>
      <c r="G85" s="64">
        <v>25.4</v>
      </c>
      <c r="H85" s="64">
        <v>3.05</v>
      </c>
      <c r="I85" s="64">
        <v>0.94</v>
      </c>
      <c r="J85" s="64">
        <v>0.35</v>
      </c>
      <c r="K85" s="64">
        <v>307.41000000000003</v>
      </c>
      <c r="L85" s="64">
        <v>23.59</v>
      </c>
      <c r="M85" s="64">
        <v>98.28</v>
      </c>
      <c r="N85" s="64">
        <v>42.6</v>
      </c>
      <c r="O85" s="64">
        <v>0</v>
      </c>
      <c r="P85" s="64">
        <v>0.41</v>
      </c>
      <c r="Q85" s="64">
        <v>9.56</v>
      </c>
      <c r="R85" s="198"/>
      <c r="S85" s="198"/>
      <c r="T85" s="198"/>
      <c r="U85" s="198"/>
    </row>
    <row r="86" spans="1:26" s="12" customFormat="1" x14ac:dyDescent="0.25">
      <c r="A86" s="212" t="s">
        <v>2340</v>
      </c>
      <c r="B86" s="64">
        <v>6.73</v>
      </c>
      <c r="C86" s="64">
        <v>9.3800000000000008</v>
      </c>
      <c r="D86" s="64">
        <v>10.3</v>
      </c>
      <c r="E86" s="64">
        <v>4.2</v>
      </c>
      <c r="F86" s="64">
        <v>2.17</v>
      </c>
      <c r="G86" s="64">
        <v>25.4</v>
      </c>
      <c r="H86" s="64">
        <v>3.05</v>
      </c>
      <c r="I86" s="64">
        <v>1.04</v>
      </c>
      <c r="J86" s="64">
        <v>0.31</v>
      </c>
      <c r="K86" s="64">
        <v>313.87</v>
      </c>
      <c r="L86" s="64">
        <v>23.38</v>
      </c>
      <c r="M86" s="64">
        <v>98.26</v>
      </c>
      <c r="N86" s="64">
        <v>42.8</v>
      </c>
      <c r="O86" s="64">
        <v>0</v>
      </c>
      <c r="P86" s="64">
        <v>0.43</v>
      </c>
      <c r="Q86" s="64">
        <v>9.5399999999999991</v>
      </c>
      <c r="R86" s="198"/>
      <c r="S86" s="198"/>
      <c r="T86" s="198"/>
      <c r="U86" s="198"/>
    </row>
    <row r="87" spans="1:26" s="12" customFormat="1" x14ac:dyDescent="0.25">
      <c r="A87" s="212" t="s">
        <v>2341</v>
      </c>
      <c r="B87" s="64">
        <v>6.87</v>
      </c>
      <c r="C87" s="64">
        <v>9.8000000000000007</v>
      </c>
      <c r="D87" s="64">
        <v>10.63</v>
      </c>
      <c r="E87" s="64">
        <v>4.1500000000000004</v>
      </c>
      <c r="F87" s="64">
        <v>2.27</v>
      </c>
      <c r="G87" s="64">
        <v>25.4</v>
      </c>
      <c r="H87" s="64">
        <v>3.05</v>
      </c>
      <c r="I87" s="64">
        <v>1.1000000000000001</v>
      </c>
      <c r="J87" s="64">
        <v>0.27</v>
      </c>
      <c r="K87" s="64">
        <v>307.12</v>
      </c>
      <c r="L87" s="64">
        <v>23.14</v>
      </c>
      <c r="M87" s="64">
        <v>98.26</v>
      </c>
      <c r="N87" s="64">
        <v>42.7</v>
      </c>
      <c r="O87" s="64">
        <v>0</v>
      </c>
      <c r="P87" s="64">
        <v>0.45</v>
      </c>
      <c r="Q87" s="64">
        <v>9.5500000000000007</v>
      </c>
      <c r="R87" s="198"/>
      <c r="S87" s="198"/>
      <c r="T87" s="198"/>
      <c r="U87" s="198"/>
    </row>
    <row r="88" spans="1:26" s="12" customFormat="1" x14ac:dyDescent="0.25">
      <c r="A88" s="212" t="s">
        <v>2342</v>
      </c>
      <c r="B88" s="64">
        <v>7.05</v>
      </c>
      <c r="C88" s="64">
        <v>10.24</v>
      </c>
      <c r="D88" s="64">
        <v>11</v>
      </c>
      <c r="E88" s="64">
        <v>3.92</v>
      </c>
      <c r="F88" s="64">
        <v>2.1</v>
      </c>
      <c r="G88" s="64">
        <v>22.54</v>
      </c>
      <c r="H88" s="64">
        <v>2.66</v>
      </c>
      <c r="I88" s="64">
        <v>1.1299999999999999</v>
      </c>
      <c r="J88" s="64">
        <v>0.28999999999999998</v>
      </c>
      <c r="K88" s="64">
        <v>301.29000000000002</v>
      </c>
      <c r="L88" s="64">
        <v>22.93</v>
      </c>
      <c r="M88" s="64">
        <v>98.24</v>
      </c>
      <c r="N88" s="64">
        <v>42.6</v>
      </c>
      <c r="O88" s="64">
        <v>0</v>
      </c>
      <c r="P88" s="64">
        <v>0.46</v>
      </c>
      <c r="Q88" s="64">
        <v>9.5500000000000007</v>
      </c>
      <c r="R88" s="198"/>
      <c r="S88" s="198"/>
      <c r="T88" s="198"/>
      <c r="U88" s="198"/>
    </row>
    <row r="89" spans="1:26" s="12" customFormat="1" x14ac:dyDescent="0.25">
      <c r="A89" s="212" t="s">
        <v>2343</v>
      </c>
      <c r="B89" s="64">
        <v>6.99</v>
      </c>
      <c r="C89" s="64">
        <v>10.48</v>
      </c>
      <c r="D89" s="64">
        <v>11.08</v>
      </c>
      <c r="E89" s="64">
        <v>4.1500000000000004</v>
      </c>
      <c r="F89" s="64">
        <v>2.2000000000000002</v>
      </c>
      <c r="G89" s="64">
        <v>21.11</v>
      </c>
      <c r="H89" s="64">
        <v>2.46</v>
      </c>
      <c r="I89" s="64">
        <v>1.19</v>
      </c>
      <c r="J89" s="64">
        <v>0.3</v>
      </c>
      <c r="K89" s="64">
        <v>312.89</v>
      </c>
      <c r="L89" s="64">
        <v>22.77</v>
      </c>
      <c r="M89" s="64">
        <v>98.28</v>
      </c>
      <c r="N89" s="64">
        <v>42.3</v>
      </c>
      <c r="O89" s="64">
        <v>0</v>
      </c>
      <c r="P89" s="64">
        <v>0.43</v>
      </c>
      <c r="Q89" s="64">
        <v>9.56</v>
      </c>
      <c r="R89" s="198"/>
      <c r="S89" s="198"/>
      <c r="T89" s="198"/>
      <c r="U89" s="198"/>
    </row>
    <row r="90" spans="1:26" s="12" customFormat="1" x14ac:dyDescent="0.25">
      <c r="A90" s="212" t="s">
        <v>2344</v>
      </c>
      <c r="B90" s="64">
        <v>7.18</v>
      </c>
      <c r="C90" s="64">
        <v>10.3</v>
      </c>
      <c r="D90" s="64">
        <v>11.14</v>
      </c>
      <c r="E90" s="64">
        <v>4.1900000000000004</v>
      </c>
      <c r="F90" s="64">
        <v>2.1</v>
      </c>
      <c r="G90" s="64">
        <v>21.11</v>
      </c>
      <c r="H90" s="64">
        <v>2.46</v>
      </c>
      <c r="I90" s="64">
        <v>1.19</v>
      </c>
      <c r="J90" s="64">
        <v>0.25</v>
      </c>
      <c r="K90" s="64">
        <v>313.33999999999997</v>
      </c>
      <c r="L90" s="64">
        <v>22.84</v>
      </c>
      <c r="M90" s="64">
        <v>98.29</v>
      </c>
      <c r="N90" s="64">
        <v>42.3</v>
      </c>
      <c r="O90" s="64">
        <v>0</v>
      </c>
      <c r="P90" s="64">
        <v>0.44</v>
      </c>
      <c r="Q90" s="64">
        <v>9.56</v>
      </c>
      <c r="R90" s="198"/>
      <c r="S90" s="198"/>
      <c r="T90" s="198"/>
      <c r="U90" s="198"/>
    </row>
    <row r="91" spans="1:26" s="12" customFormat="1" x14ac:dyDescent="0.25">
      <c r="A91" s="212" t="s">
        <v>2345</v>
      </c>
      <c r="B91" s="64">
        <v>7.99</v>
      </c>
      <c r="C91" s="64">
        <v>9.7200000000000006</v>
      </c>
      <c r="D91" s="64">
        <v>11.48</v>
      </c>
      <c r="E91" s="64">
        <v>4.21</v>
      </c>
      <c r="F91" s="64">
        <v>2.13</v>
      </c>
      <c r="G91" s="64">
        <v>21.11</v>
      </c>
      <c r="H91" s="64">
        <v>2.46</v>
      </c>
      <c r="I91" s="64">
        <v>1.1599999999999999</v>
      </c>
      <c r="J91" s="64">
        <v>0.26</v>
      </c>
      <c r="K91" s="64">
        <v>313.29000000000002</v>
      </c>
      <c r="L91" s="64">
        <v>22.87</v>
      </c>
      <c r="M91" s="64">
        <v>98.28</v>
      </c>
      <c r="N91" s="64">
        <v>42.5</v>
      </c>
      <c r="O91" s="64">
        <v>0</v>
      </c>
      <c r="P91" s="64">
        <v>0.44</v>
      </c>
      <c r="Q91" s="64">
        <v>9.59</v>
      </c>
      <c r="R91" s="198"/>
      <c r="S91" s="198"/>
      <c r="T91" s="198"/>
      <c r="U91" s="198"/>
    </row>
    <row r="92" spans="1:26" s="12" customFormat="1" x14ac:dyDescent="0.25">
      <c r="A92" s="212" t="s">
        <v>2346</v>
      </c>
      <c r="B92" s="64">
        <v>8.24</v>
      </c>
      <c r="C92" s="64">
        <v>9.33</v>
      </c>
      <c r="D92" s="64">
        <v>11.48</v>
      </c>
      <c r="E92" s="64">
        <v>4.34</v>
      </c>
      <c r="F92" s="64">
        <v>2.11</v>
      </c>
      <c r="G92" s="64">
        <v>17.170000000000002</v>
      </c>
      <c r="H92" s="64">
        <v>2.0499999999999998</v>
      </c>
      <c r="I92" s="64">
        <v>1.1499999999999999</v>
      </c>
      <c r="J92" s="64">
        <v>0.23</v>
      </c>
      <c r="K92" s="64">
        <v>316.94</v>
      </c>
      <c r="L92" s="64">
        <v>22.99</v>
      </c>
      <c r="M92" s="64">
        <v>98.29</v>
      </c>
      <c r="N92" s="64">
        <v>42.5</v>
      </c>
      <c r="O92" s="64">
        <v>0</v>
      </c>
      <c r="P92" s="64">
        <v>0.43</v>
      </c>
      <c r="Q92" s="64">
        <v>9.6</v>
      </c>
      <c r="R92" s="198"/>
      <c r="S92" s="198"/>
      <c r="T92" s="198"/>
      <c r="U92" s="198"/>
    </row>
    <row r="93" spans="1:26" s="12" customFormat="1" x14ac:dyDescent="0.25">
      <c r="A93" s="212" t="s">
        <v>2347</v>
      </c>
      <c r="B93" s="64">
        <v>8.17</v>
      </c>
      <c r="C93" s="64">
        <v>9.17</v>
      </c>
      <c r="D93" s="64">
        <v>11.34</v>
      </c>
      <c r="E93" s="64">
        <v>4.5199999999999996</v>
      </c>
      <c r="F93" s="64">
        <v>2.21</v>
      </c>
      <c r="G93" s="64">
        <v>15.2</v>
      </c>
      <c r="H93" s="64">
        <v>1.84</v>
      </c>
      <c r="I93" s="64">
        <v>1.1299999999999999</v>
      </c>
      <c r="J93" s="64">
        <v>0.17</v>
      </c>
      <c r="K93" s="64">
        <v>327.02999999999997</v>
      </c>
      <c r="L93" s="64">
        <v>23.11</v>
      </c>
      <c r="M93" s="64">
        <v>98.3</v>
      </c>
      <c r="N93" s="64">
        <v>42.3</v>
      </c>
      <c r="O93" s="64">
        <v>0</v>
      </c>
      <c r="P93" s="64">
        <v>0.42</v>
      </c>
      <c r="Q93" s="64">
        <v>9.61</v>
      </c>
      <c r="R93" s="198"/>
      <c r="S93" s="198"/>
      <c r="T93" s="198"/>
      <c r="U93" s="198"/>
    </row>
    <row r="94" spans="1:26" s="12" customFormat="1" x14ac:dyDescent="0.25">
      <c r="A94" s="212" t="s">
        <v>2348</v>
      </c>
      <c r="B94" s="64">
        <v>8.85</v>
      </c>
      <c r="C94" s="64">
        <v>9.25</v>
      </c>
      <c r="D94" s="64">
        <v>11.93</v>
      </c>
      <c r="E94" s="64">
        <v>4.25</v>
      </c>
      <c r="F94" s="64">
        <v>2.39</v>
      </c>
      <c r="G94" s="64">
        <v>15.2</v>
      </c>
      <c r="H94" s="64">
        <v>1.84</v>
      </c>
      <c r="I94" s="64">
        <v>1.1200000000000001</v>
      </c>
      <c r="J94" s="64">
        <v>0.15</v>
      </c>
      <c r="K94" s="64">
        <v>311.08</v>
      </c>
      <c r="L94" s="64">
        <v>23.16</v>
      </c>
      <c r="M94" s="64">
        <v>98.3</v>
      </c>
      <c r="N94" s="64">
        <v>42.4</v>
      </c>
      <c r="O94" s="64">
        <v>0</v>
      </c>
      <c r="P94" s="64">
        <v>0.43</v>
      </c>
      <c r="Q94" s="64">
        <v>9.61</v>
      </c>
      <c r="R94" s="198"/>
      <c r="S94" s="198"/>
      <c r="T94" s="198"/>
      <c r="U94" s="198"/>
    </row>
    <row r="95" spans="1:26" s="12" customFormat="1" x14ac:dyDescent="0.25">
      <c r="A95" s="212" t="s">
        <v>2349</v>
      </c>
      <c r="B95" s="64">
        <v>10.57</v>
      </c>
      <c r="C95" s="64">
        <v>9.84</v>
      </c>
      <c r="D95" s="64">
        <v>13.61</v>
      </c>
      <c r="E95" s="64">
        <v>4.18</v>
      </c>
      <c r="F95" s="64">
        <v>2.64</v>
      </c>
      <c r="G95" s="64">
        <v>15.2</v>
      </c>
      <c r="H95" s="64">
        <v>1.84</v>
      </c>
      <c r="I95" s="64">
        <v>1.1200000000000001</v>
      </c>
      <c r="J95" s="64">
        <v>0.13</v>
      </c>
      <c r="K95" s="64">
        <v>328.7</v>
      </c>
      <c r="L95" s="64">
        <v>23.24</v>
      </c>
      <c r="M95" s="64">
        <v>98.27</v>
      </c>
      <c r="N95" s="64">
        <v>42.7</v>
      </c>
      <c r="O95" s="64">
        <v>0</v>
      </c>
      <c r="P95" s="64">
        <v>0.44</v>
      </c>
      <c r="Q95" s="64">
        <v>9.6199999999999992</v>
      </c>
      <c r="R95" s="198"/>
      <c r="S95" s="198"/>
      <c r="T95" s="198"/>
      <c r="U95" s="198"/>
    </row>
    <row r="96" spans="1:26" s="12" customFormat="1" x14ac:dyDescent="0.25">
      <c r="A96" s="212" t="s">
        <v>2350</v>
      </c>
      <c r="B96" s="64">
        <v>9.31</v>
      </c>
      <c r="C96" s="64">
        <v>10.48</v>
      </c>
      <c r="D96" s="64">
        <v>12.94</v>
      </c>
      <c r="E96" s="64">
        <v>4.28</v>
      </c>
      <c r="F96" s="64">
        <v>2.96</v>
      </c>
      <c r="G96" s="64">
        <v>12.59</v>
      </c>
      <c r="H96" s="64">
        <v>2.4900000000000002</v>
      </c>
      <c r="I96" s="64">
        <v>1.1200000000000001</v>
      </c>
      <c r="J96" s="64">
        <v>0.12</v>
      </c>
      <c r="K96" s="64">
        <v>332.54</v>
      </c>
      <c r="L96" s="64">
        <v>23.24</v>
      </c>
      <c r="M96" s="64">
        <v>98.27</v>
      </c>
      <c r="N96" s="64">
        <v>43</v>
      </c>
      <c r="O96" s="64">
        <v>0</v>
      </c>
      <c r="P96" s="64">
        <v>0.39</v>
      </c>
      <c r="Q96" s="64">
        <v>9.61</v>
      </c>
      <c r="R96" s="198"/>
      <c r="S96" s="198"/>
      <c r="T96" s="198"/>
      <c r="U96" s="198"/>
      <c r="Z96" s="109"/>
    </row>
    <row r="97" spans="1:33" s="12" customFormat="1" x14ac:dyDescent="0.25">
      <c r="A97" s="212" t="s">
        <v>2351</v>
      </c>
      <c r="B97" s="64">
        <v>11.17</v>
      </c>
      <c r="C97" s="64">
        <v>9.6999999999999993</v>
      </c>
      <c r="D97" s="64">
        <v>14.03</v>
      </c>
      <c r="E97" s="64">
        <v>4.37</v>
      </c>
      <c r="F97" s="64">
        <v>2.73</v>
      </c>
      <c r="G97" s="64">
        <v>11.28</v>
      </c>
      <c r="H97" s="64">
        <v>2.81</v>
      </c>
      <c r="I97" s="64">
        <v>1.1299999999999999</v>
      </c>
      <c r="J97" s="64">
        <v>0.1</v>
      </c>
      <c r="K97" s="64">
        <v>319.51</v>
      </c>
      <c r="L97" s="64">
        <v>23.26</v>
      </c>
      <c r="M97" s="64">
        <v>98.28</v>
      </c>
      <c r="N97" s="64">
        <v>43.2</v>
      </c>
      <c r="O97" s="64">
        <v>0</v>
      </c>
      <c r="P97" s="64">
        <v>0.39</v>
      </c>
      <c r="Q97" s="64">
        <v>9.61</v>
      </c>
      <c r="R97" s="198"/>
      <c r="S97" s="198"/>
      <c r="T97" s="198"/>
      <c r="U97" s="198"/>
    </row>
    <row r="98" spans="1:33" s="12" customFormat="1" x14ac:dyDescent="0.25">
      <c r="A98" s="212" t="s">
        <v>2352</v>
      </c>
      <c r="B98" s="64">
        <v>9.26</v>
      </c>
      <c r="C98" s="64">
        <v>8.36</v>
      </c>
      <c r="D98" s="64">
        <v>11.8</v>
      </c>
      <c r="E98" s="64">
        <v>4.54</v>
      </c>
      <c r="F98" s="64">
        <v>2.7</v>
      </c>
      <c r="G98" s="64">
        <v>11.28</v>
      </c>
      <c r="H98" s="64">
        <v>2.81</v>
      </c>
      <c r="I98" s="64">
        <v>1.1499999999999999</v>
      </c>
      <c r="J98" s="64">
        <v>0.1</v>
      </c>
      <c r="K98" s="64">
        <v>314.39</v>
      </c>
      <c r="L98" s="64">
        <v>23.25</v>
      </c>
      <c r="M98" s="64">
        <v>98.27</v>
      </c>
      <c r="N98" s="64">
        <v>43.1</v>
      </c>
      <c r="O98" s="64">
        <v>0</v>
      </c>
      <c r="P98" s="64">
        <v>0.4</v>
      </c>
      <c r="Q98" s="64">
        <v>9.61</v>
      </c>
      <c r="R98" s="198"/>
      <c r="S98" s="198"/>
      <c r="T98" s="198"/>
      <c r="U98" s="198"/>
    </row>
    <row r="99" spans="1:33" s="12" customFormat="1" x14ac:dyDescent="0.25">
      <c r="A99" s="212" t="s">
        <v>2353</v>
      </c>
      <c r="B99" s="64">
        <v>10.44</v>
      </c>
      <c r="C99" s="64">
        <v>8.69</v>
      </c>
      <c r="D99" s="64">
        <v>12.91</v>
      </c>
      <c r="E99" s="64">
        <v>4.4400000000000004</v>
      </c>
      <c r="F99" s="64">
        <v>3.29</v>
      </c>
      <c r="G99" s="64">
        <v>11.28</v>
      </c>
      <c r="H99" s="64">
        <v>2.81</v>
      </c>
      <c r="I99" s="64">
        <v>1.1499999999999999</v>
      </c>
      <c r="J99" s="64">
        <v>0.1</v>
      </c>
      <c r="K99" s="64">
        <v>311.67</v>
      </c>
      <c r="L99" s="64">
        <v>23.23</v>
      </c>
      <c r="M99" s="64">
        <v>98.28</v>
      </c>
      <c r="N99" s="64">
        <v>43</v>
      </c>
      <c r="O99" s="64">
        <v>0</v>
      </c>
      <c r="P99" s="64">
        <v>0.39</v>
      </c>
      <c r="Q99" s="64">
        <v>9.6300000000000008</v>
      </c>
      <c r="R99" s="198"/>
      <c r="S99" s="198"/>
      <c r="T99" s="198"/>
      <c r="U99" s="198"/>
    </row>
    <row r="100" spans="1:33" s="12" customFormat="1" x14ac:dyDescent="0.25">
      <c r="A100" s="212" t="s">
        <v>2354</v>
      </c>
      <c r="B100" s="64">
        <v>9.27</v>
      </c>
      <c r="C100" s="64">
        <v>8.0399999999999991</v>
      </c>
      <c r="D100" s="64">
        <v>11.63</v>
      </c>
      <c r="E100" s="64">
        <v>4.25</v>
      </c>
      <c r="F100" s="64">
        <v>2.88</v>
      </c>
      <c r="G100" s="64">
        <v>9.2799999999999994</v>
      </c>
      <c r="H100" s="64">
        <v>2.48</v>
      </c>
      <c r="I100" s="64">
        <v>1.1499999999999999</v>
      </c>
      <c r="J100" s="64">
        <v>0.09</v>
      </c>
      <c r="K100" s="64">
        <v>313.32</v>
      </c>
      <c r="L100" s="64">
        <v>23.21</v>
      </c>
      <c r="M100" s="64">
        <v>98.29</v>
      </c>
      <c r="N100" s="64">
        <v>43</v>
      </c>
      <c r="O100" s="64">
        <v>0</v>
      </c>
      <c r="P100" s="64">
        <v>0.39</v>
      </c>
      <c r="Q100" s="64">
        <v>9.6300000000000008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2" t="s">
        <v>2355</v>
      </c>
      <c r="B101" s="64">
        <v>9.4700000000000006</v>
      </c>
      <c r="C101" s="64">
        <v>6.94</v>
      </c>
      <c r="D101" s="64">
        <v>11.22</v>
      </c>
      <c r="E101" s="64">
        <v>4.4000000000000004</v>
      </c>
      <c r="F101" s="64">
        <v>2.29</v>
      </c>
      <c r="G101" s="64">
        <v>8.2799999999999994</v>
      </c>
      <c r="H101" s="64">
        <v>2.3199999999999998</v>
      </c>
      <c r="I101" s="64">
        <v>1.1499999999999999</v>
      </c>
      <c r="J101" s="64">
        <v>0.11</v>
      </c>
      <c r="K101" s="64">
        <v>314.20999999999998</v>
      </c>
      <c r="L101" s="64">
        <v>23.16</v>
      </c>
      <c r="M101" s="64">
        <v>98.32</v>
      </c>
      <c r="N101" s="64">
        <v>42.8</v>
      </c>
      <c r="O101" s="64">
        <v>0</v>
      </c>
      <c r="P101" s="64">
        <v>0.41</v>
      </c>
      <c r="Q101" s="64">
        <v>9.6199999999999992</v>
      </c>
      <c r="R101" s="198"/>
      <c r="S101" s="198"/>
      <c r="T101" s="198"/>
      <c r="U101" s="198"/>
    </row>
    <row r="102" spans="1:33" s="12" customFormat="1" x14ac:dyDescent="0.25">
      <c r="A102" s="212" t="s">
        <v>2356</v>
      </c>
      <c r="B102" s="64">
        <v>8.85</v>
      </c>
      <c r="C102" s="64">
        <v>6.9</v>
      </c>
      <c r="D102" s="64">
        <v>10.7</v>
      </c>
      <c r="E102" s="64">
        <v>4.3600000000000003</v>
      </c>
      <c r="F102" s="64">
        <v>2.4900000000000002</v>
      </c>
      <c r="G102" s="64">
        <v>8.2799999999999994</v>
      </c>
      <c r="H102" s="64">
        <v>2.3199999999999998</v>
      </c>
      <c r="I102" s="64">
        <v>1.1200000000000001</v>
      </c>
      <c r="J102" s="64">
        <v>0.1</v>
      </c>
      <c r="K102" s="64">
        <v>315.19</v>
      </c>
      <c r="L102" s="64">
        <v>23.09</v>
      </c>
      <c r="M102" s="64">
        <v>98.31</v>
      </c>
      <c r="N102" s="64">
        <v>42.9</v>
      </c>
      <c r="O102" s="64">
        <v>0</v>
      </c>
      <c r="P102" s="64">
        <v>0.36</v>
      </c>
      <c r="Q102" s="64">
        <v>9.6300000000000008</v>
      </c>
      <c r="R102" s="198"/>
      <c r="S102" s="198"/>
      <c r="T102" s="198"/>
      <c r="U102" s="198"/>
    </row>
    <row r="103" spans="1:33" s="12" customFormat="1" x14ac:dyDescent="0.25">
      <c r="A103" s="212" t="s">
        <v>2357</v>
      </c>
      <c r="B103" s="64">
        <v>8.9600000000000009</v>
      </c>
      <c r="C103" s="64">
        <v>6.46</v>
      </c>
      <c r="D103" s="64">
        <v>10.56</v>
      </c>
      <c r="E103" s="64">
        <v>4.53</v>
      </c>
      <c r="F103" s="64">
        <v>2.39</v>
      </c>
      <c r="G103" s="64">
        <v>8.2799999999999994</v>
      </c>
      <c r="H103" s="64">
        <v>2.3199999999999998</v>
      </c>
      <c r="I103" s="64">
        <v>1.0900000000000001</v>
      </c>
      <c r="J103" s="64">
        <v>7.0000000000000007E-2</v>
      </c>
      <c r="K103" s="64">
        <v>297.67</v>
      </c>
      <c r="L103" s="64">
        <v>23.06</v>
      </c>
      <c r="M103" s="64">
        <v>98.35</v>
      </c>
      <c r="N103" s="64">
        <v>42.9</v>
      </c>
      <c r="O103" s="64">
        <v>0</v>
      </c>
      <c r="P103" s="64">
        <v>0.38</v>
      </c>
      <c r="Q103" s="64">
        <v>9.6199999999999992</v>
      </c>
      <c r="R103" s="198"/>
      <c r="S103" s="198"/>
      <c r="T103" s="198"/>
      <c r="U103" s="198"/>
    </row>
    <row r="104" spans="1:33" s="12" customFormat="1" x14ac:dyDescent="0.25">
      <c r="A104" s="212" t="s">
        <v>2358</v>
      </c>
      <c r="B104" s="64">
        <v>8.25</v>
      </c>
      <c r="C104" s="64">
        <v>6.74</v>
      </c>
      <c r="D104" s="64">
        <v>10.14</v>
      </c>
      <c r="E104" s="64">
        <v>3.78</v>
      </c>
      <c r="F104" s="64">
        <v>4.38</v>
      </c>
      <c r="G104" s="64">
        <v>9.02</v>
      </c>
      <c r="H104" s="64">
        <v>2.0099999999999998</v>
      </c>
      <c r="I104" s="64">
        <v>1.07</v>
      </c>
      <c r="J104" s="64">
        <v>7.0000000000000007E-2</v>
      </c>
      <c r="K104" s="64">
        <v>305.63</v>
      </c>
      <c r="L104" s="64">
        <v>23.1</v>
      </c>
      <c r="M104" s="64">
        <v>98.34</v>
      </c>
      <c r="N104" s="64">
        <v>42.7</v>
      </c>
      <c r="O104" s="64">
        <v>0</v>
      </c>
      <c r="P104" s="64">
        <v>0.32</v>
      </c>
      <c r="Q104" s="64">
        <v>9.61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4.55</v>
      </c>
      <c r="C106" s="67">
        <f>MIN(C9:C104)</f>
        <v>5.19</v>
      </c>
      <c r="D106" s="67">
        <f t="shared" ref="D106:Q106" si="0">MIN(D9:D104)</f>
        <v>7.25</v>
      </c>
      <c r="E106" s="67">
        <f t="shared" si="0"/>
        <v>3.02</v>
      </c>
      <c r="F106" s="67">
        <f t="shared" si="0"/>
        <v>2.1</v>
      </c>
      <c r="G106" s="67">
        <f t="shared" si="0"/>
        <v>6.06</v>
      </c>
      <c r="H106" s="67">
        <f t="shared" si="0"/>
        <v>1.1200000000000001</v>
      </c>
      <c r="I106" s="67">
        <f t="shared" si="0"/>
        <v>0.66</v>
      </c>
      <c r="J106" s="67">
        <f t="shared" si="0"/>
        <v>0.02</v>
      </c>
      <c r="K106" s="67">
        <f t="shared" si="0"/>
        <v>101.84</v>
      </c>
      <c r="L106" s="67">
        <f t="shared" si="0"/>
        <v>22.77</v>
      </c>
      <c r="M106" s="67">
        <f t="shared" si="0"/>
        <v>92.54</v>
      </c>
      <c r="N106" s="67">
        <f t="shared" si="0"/>
        <v>42.3</v>
      </c>
      <c r="O106" s="67">
        <f t="shared" si="0"/>
        <v>0</v>
      </c>
      <c r="P106" s="67">
        <f t="shared" si="0"/>
        <v>0.21</v>
      </c>
      <c r="Q106" s="67">
        <f t="shared" si="0"/>
        <v>9.4600000000000009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11.17</v>
      </c>
      <c r="C107" s="66">
        <f t="shared" ref="C107:Q107" si="1">MAX(C9:C104)</f>
        <v>22.95</v>
      </c>
      <c r="D107" s="66">
        <f t="shared" si="1"/>
        <v>16.809999999999999</v>
      </c>
      <c r="E107" s="66">
        <f t="shared" si="1"/>
        <v>5.72</v>
      </c>
      <c r="F107" s="66">
        <f t="shared" si="1"/>
        <v>7.58</v>
      </c>
      <c r="G107" s="66">
        <f t="shared" si="1"/>
        <v>36.78</v>
      </c>
      <c r="H107" s="66">
        <f t="shared" si="1"/>
        <v>5.5</v>
      </c>
      <c r="I107" s="66">
        <f t="shared" si="1"/>
        <v>1.91</v>
      </c>
      <c r="J107" s="66">
        <f t="shared" si="1"/>
        <v>0.51</v>
      </c>
      <c r="K107" s="66">
        <f t="shared" si="1"/>
        <v>344.87</v>
      </c>
      <c r="L107" s="66">
        <f t="shared" si="1"/>
        <v>27.82</v>
      </c>
      <c r="M107" s="66">
        <f t="shared" si="1"/>
        <v>98.35</v>
      </c>
      <c r="N107" s="66">
        <f t="shared" si="1"/>
        <v>496.7</v>
      </c>
      <c r="O107" s="66">
        <f t="shared" si="1"/>
        <v>0</v>
      </c>
      <c r="P107" s="66">
        <f t="shared" si="1"/>
        <v>0.47</v>
      </c>
      <c r="Q107" s="66">
        <f t="shared" si="1"/>
        <v>9.6300000000000008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7.1375531914893608</v>
      </c>
      <c r="C108" s="67">
        <f t="shared" ref="C108:Q108" si="2">AVERAGE(C9:C104)</f>
        <v>8.4992553191489364</v>
      </c>
      <c r="D108" s="67">
        <f t="shared" si="2"/>
        <v>10.164255319148936</v>
      </c>
      <c r="E108" s="67">
        <f t="shared" si="2"/>
        <v>4.3864583333333318</v>
      </c>
      <c r="F108" s="67">
        <f t="shared" si="2"/>
        <v>3.0315624999999984</v>
      </c>
      <c r="G108" s="67">
        <f t="shared" si="2"/>
        <v>15.698541666666666</v>
      </c>
      <c r="H108" s="67">
        <f t="shared" si="2"/>
        <v>2.5745833333333343</v>
      </c>
      <c r="I108" s="67">
        <f t="shared" si="2"/>
        <v>1.1066666666666667</v>
      </c>
      <c r="J108" s="67">
        <f t="shared" si="2"/>
        <v>0.18302083333333341</v>
      </c>
      <c r="K108" s="67">
        <f t="shared" si="2"/>
        <v>298.58802083333336</v>
      </c>
      <c r="L108" s="67">
        <f t="shared" si="2"/>
        <v>24.595104166666662</v>
      </c>
      <c r="M108" s="67">
        <f t="shared" si="2"/>
        <v>97.582500000000024</v>
      </c>
      <c r="N108" s="67">
        <f t="shared" si="2"/>
        <v>122.81874999999998</v>
      </c>
      <c r="O108" s="67">
        <f t="shared" si="2"/>
        <v>0</v>
      </c>
      <c r="P108" s="67">
        <f t="shared" si="2"/>
        <v>0.33770833333333328</v>
      </c>
      <c r="Q108" s="67">
        <f t="shared" si="2"/>
        <v>9.5311458333333317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1.3502605771378022</v>
      </c>
      <c r="C109" s="67">
        <f t="shared" ref="C109:Q109" si="3">STDEV(C9:C104)</f>
        <v>2.9079373169804672</v>
      </c>
      <c r="D109" s="67">
        <f t="shared" si="3"/>
        <v>1.6185002279501339</v>
      </c>
      <c r="E109" s="67">
        <f t="shared" si="3"/>
        <v>0.75030797770216939</v>
      </c>
      <c r="F109" s="67">
        <f t="shared" si="3"/>
        <v>1.2736390698558073</v>
      </c>
      <c r="G109" s="67">
        <f t="shared" si="3"/>
        <v>7.806838834491165</v>
      </c>
      <c r="H109" s="67">
        <f t="shared" si="3"/>
        <v>1.1653559805499378</v>
      </c>
      <c r="I109" s="67">
        <f t="shared" si="3"/>
        <v>0.27419803318679981</v>
      </c>
      <c r="J109" s="67">
        <f t="shared" si="3"/>
        <v>9.8184785954762002E-2</v>
      </c>
      <c r="K109" s="67">
        <f t="shared" si="3"/>
        <v>33.119069228587584</v>
      </c>
      <c r="L109" s="67">
        <f t="shared" si="3"/>
        <v>1.7042016156927635</v>
      </c>
      <c r="M109" s="67">
        <f t="shared" si="3"/>
        <v>1.351715479249278</v>
      </c>
      <c r="N109" s="67">
        <f t="shared" si="3"/>
        <v>113.14553489108386</v>
      </c>
      <c r="O109" s="67">
        <f t="shared" si="3"/>
        <v>0</v>
      </c>
      <c r="P109" s="67">
        <f t="shared" si="3"/>
        <v>6.4701405933910258E-2</v>
      </c>
      <c r="Q109" s="67">
        <f t="shared" si="3"/>
        <v>4.6359460322608279E-2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COUNT(B9:B104)+2</f>
        <v>96</v>
      </c>
      <c r="C110" s="66">
        <f t="shared" ref="C110:D110" si="4">COUNT(C9:C104)+2</f>
        <v>96</v>
      </c>
      <c r="D110" s="66">
        <f t="shared" si="4"/>
        <v>96</v>
      </c>
      <c r="E110" s="66">
        <f t="shared" ref="E110:Q110" si="5">COUNT(E9:E104)</f>
        <v>96</v>
      </c>
      <c r="F110" s="66">
        <f t="shared" si="5"/>
        <v>96</v>
      </c>
      <c r="G110" s="66">
        <f t="shared" si="5"/>
        <v>96</v>
      </c>
      <c r="H110" s="66">
        <f t="shared" si="5"/>
        <v>96</v>
      </c>
      <c r="I110" s="66">
        <f t="shared" si="5"/>
        <v>96</v>
      </c>
      <c r="J110" s="66">
        <f t="shared" si="5"/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 t="shared" si="5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/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216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0" sqref="I110:J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23/08/2025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2" t="s">
        <v>2359</v>
      </c>
      <c r="B9" s="64">
        <v>8.07</v>
      </c>
      <c r="C9" s="64">
        <v>6.62</v>
      </c>
      <c r="D9" s="64">
        <v>9.93</v>
      </c>
      <c r="E9" s="64">
        <v>3.74</v>
      </c>
      <c r="F9" s="64">
        <v>3.06</v>
      </c>
      <c r="G9" s="64">
        <v>9.39</v>
      </c>
      <c r="H9" s="64">
        <v>1.86</v>
      </c>
      <c r="I9" s="64">
        <v>1.04</v>
      </c>
      <c r="J9" s="64">
        <v>0.1</v>
      </c>
      <c r="K9" s="64">
        <v>307.45999999999998</v>
      </c>
      <c r="L9" s="64">
        <v>23.16</v>
      </c>
      <c r="M9" s="64">
        <v>98.35</v>
      </c>
      <c r="N9" s="64">
        <v>42.7</v>
      </c>
      <c r="O9" s="64">
        <v>0</v>
      </c>
      <c r="P9" s="64">
        <v>0.31</v>
      </c>
      <c r="Q9" s="64">
        <v>9.6</v>
      </c>
      <c r="S9" s="198"/>
      <c r="T9" s="198"/>
      <c r="U9" s="198"/>
    </row>
    <row r="10" spans="1:21" s="12" customFormat="1" x14ac:dyDescent="0.25">
      <c r="A10" s="212" t="s">
        <v>2360</v>
      </c>
      <c r="B10" s="64">
        <v>7.89</v>
      </c>
      <c r="C10" s="64">
        <v>6.75</v>
      </c>
      <c r="D10" s="64">
        <v>9.86</v>
      </c>
      <c r="E10" s="64">
        <v>3.94</v>
      </c>
      <c r="F10" s="64">
        <v>2.99</v>
      </c>
      <c r="G10" s="64">
        <v>9.39</v>
      </c>
      <c r="H10" s="64">
        <v>1.86</v>
      </c>
      <c r="I10" s="64">
        <v>1.02</v>
      </c>
      <c r="J10" s="64">
        <v>0.09</v>
      </c>
      <c r="K10" s="64">
        <v>320.41000000000003</v>
      </c>
      <c r="L10" s="64">
        <v>23.26</v>
      </c>
      <c r="M10" s="64">
        <v>98.35</v>
      </c>
      <c r="N10" s="64">
        <v>42.7</v>
      </c>
      <c r="O10" s="64">
        <v>0</v>
      </c>
      <c r="P10" s="64">
        <v>0.3</v>
      </c>
      <c r="Q10" s="64">
        <v>9.59</v>
      </c>
      <c r="S10" s="198"/>
      <c r="T10" s="198"/>
      <c r="U10" s="198"/>
    </row>
    <row r="11" spans="1:21" s="12" customFormat="1" x14ac:dyDescent="0.25">
      <c r="A11" s="212" t="s">
        <v>2361</v>
      </c>
      <c r="B11" s="64">
        <v>7.98</v>
      </c>
      <c r="C11" s="64">
        <v>6.38</v>
      </c>
      <c r="D11" s="64">
        <v>9.73</v>
      </c>
      <c r="E11" s="64">
        <v>3.47</v>
      </c>
      <c r="F11" s="64">
        <v>3.06</v>
      </c>
      <c r="G11" s="64">
        <v>9.39</v>
      </c>
      <c r="H11" s="64">
        <v>1.86</v>
      </c>
      <c r="I11" s="64">
        <v>1</v>
      </c>
      <c r="J11" s="64">
        <v>0.08</v>
      </c>
      <c r="K11" s="64">
        <v>311.35000000000002</v>
      </c>
      <c r="L11" s="64">
        <v>23.34</v>
      </c>
      <c r="M11" s="64">
        <v>98.35</v>
      </c>
      <c r="N11" s="64">
        <v>42.6</v>
      </c>
      <c r="O11" s="64">
        <v>0</v>
      </c>
      <c r="P11" s="64">
        <v>0.3</v>
      </c>
      <c r="Q11" s="64">
        <v>9.58</v>
      </c>
      <c r="S11" s="198"/>
      <c r="T11" s="198"/>
      <c r="U11" s="198"/>
    </row>
    <row r="12" spans="1:21" s="12" customFormat="1" x14ac:dyDescent="0.25">
      <c r="A12" s="212" t="s">
        <v>2362</v>
      </c>
      <c r="B12" s="64">
        <v>8.16</v>
      </c>
      <c r="C12" s="64">
        <v>6.31</v>
      </c>
      <c r="D12" s="64">
        <v>9.84</v>
      </c>
      <c r="E12" s="64">
        <v>3.46</v>
      </c>
      <c r="F12" s="64">
        <v>2.11</v>
      </c>
      <c r="G12" s="64">
        <v>8.6</v>
      </c>
      <c r="H12" s="64">
        <v>1.75</v>
      </c>
      <c r="I12" s="64">
        <v>0.97</v>
      </c>
      <c r="J12" s="64">
        <v>0.13</v>
      </c>
      <c r="K12" s="64">
        <v>329.88</v>
      </c>
      <c r="L12" s="64">
        <v>23.46</v>
      </c>
      <c r="M12" s="64">
        <v>98.35</v>
      </c>
      <c r="N12" s="64">
        <v>42.5</v>
      </c>
      <c r="O12" s="64">
        <v>0</v>
      </c>
      <c r="P12" s="64">
        <v>0.32</v>
      </c>
      <c r="Q12" s="64">
        <v>9.57</v>
      </c>
      <c r="S12" s="198"/>
      <c r="T12" s="198"/>
      <c r="U12" s="198"/>
    </row>
    <row r="13" spans="1:21" s="12" customFormat="1" x14ac:dyDescent="0.25">
      <c r="A13" s="212" t="s">
        <v>2363</v>
      </c>
      <c r="B13" s="64">
        <v>7.98</v>
      </c>
      <c r="C13" s="64">
        <v>6.53</v>
      </c>
      <c r="D13" s="64">
        <v>9.81</v>
      </c>
      <c r="E13" s="64">
        <v>3.7</v>
      </c>
      <c r="F13" s="64">
        <v>2.17</v>
      </c>
      <c r="G13" s="64">
        <v>8.1999999999999993</v>
      </c>
      <c r="H13" s="64">
        <v>1.7</v>
      </c>
      <c r="I13" s="64">
        <v>0.94</v>
      </c>
      <c r="J13" s="64">
        <v>0.18</v>
      </c>
      <c r="K13" s="64">
        <v>298.36</v>
      </c>
      <c r="L13" s="64">
        <v>23.6</v>
      </c>
      <c r="M13" s="64">
        <v>98.31</v>
      </c>
      <c r="N13" s="64">
        <v>42.7</v>
      </c>
      <c r="O13" s="64">
        <v>0</v>
      </c>
      <c r="P13" s="64">
        <v>0.28999999999999998</v>
      </c>
      <c r="Q13" s="64">
        <v>9.5500000000000007</v>
      </c>
      <c r="S13" s="198"/>
      <c r="T13" s="198"/>
      <c r="U13" s="198"/>
    </row>
    <row r="14" spans="1:21" s="12" customFormat="1" x14ac:dyDescent="0.25">
      <c r="A14" s="212" t="s">
        <v>2364</v>
      </c>
      <c r="B14" s="64">
        <v>7.16</v>
      </c>
      <c r="C14" s="64">
        <v>6.83</v>
      </c>
      <c r="D14" s="64">
        <v>9.31</v>
      </c>
      <c r="E14" s="64">
        <v>3.8</v>
      </c>
      <c r="F14" s="64">
        <v>2.12</v>
      </c>
      <c r="G14" s="64">
        <v>8.1999999999999993</v>
      </c>
      <c r="H14" s="64">
        <v>1.7</v>
      </c>
      <c r="I14" s="64">
        <v>0.97</v>
      </c>
      <c r="J14" s="64">
        <v>0.19</v>
      </c>
      <c r="K14" s="64">
        <v>315.68</v>
      </c>
      <c r="L14" s="64">
        <v>23.43</v>
      </c>
      <c r="M14" s="64">
        <v>98.25</v>
      </c>
      <c r="N14" s="64">
        <v>42.7</v>
      </c>
      <c r="O14" s="64">
        <v>0</v>
      </c>
      <c r="P14" s="64">
        <v>0.28999999999999998</v>
      </c>
      <c r="Q14" s="64">
        <v>9.5299999999999994</v>
      </c>
      <c r="S14" s="198"/>
      <c r="T14" s="198"/>
      <c r="U14" s="198"/>
    </row>
    <row r="15" spans="1:21" s="12" customFormat="1" x14ac:dyDescent="0.25">
      <c r="A15" s="212" t="s">
        <v>2365</v>
      </c>
      <c r="B15" s="64">
        <v>6.33</v>
      </c>
      <c r="C15" s="64">
        <v>7.08</v>
      </c>
      <c r="D15" s="64">
        <v>8.7799999999999994</v>
      </c>
      <c r="E15" s="64">
        <v>3.43</v>
      </c>
      <c r="F15" s="64">
        <v>2.37</v>
      </c>
      <c r="G15" s="64">
        <v>8.1999999999999993</v>
      </c>
      <c r="H15" s="64">
        <v>1.7</v>
      </c>
      <c r="I15" s="64">
        <v>0.97</v>
      </c>
      <c r="J15" s="64">
        <v>0.21</v>
      </c>
      <c r="K15" s="64">
        <v>296.74</v>
      </c>
      <c r="L15" s="64">
        <v>23.28</v>
      </c>
      <c r="M15" s="64">
        <v>98.25</v>
      </c>
      <c r="N15" s="64">
        <v>42.7</v>
      </c>
      <c r="O15" s="64">
        <v>0</v>
      </c>
      <c r="P15" s="64">
        <v>0.26</v>
      </c>
      <c r="Q15" s="64">
        <v>9.52</v>
      </c>
      <c r="S15" s="198"/>
      <c r="T15" s="198"/>
      <c r="U15" s="198"/>
    </row>
    <row r="16" spans="1:21" s="12" customFormat="1" x14ac:dyDescent="0.25">
      <c r="A16" s="212" t="s">
        <v>2366</v>
      </c>
      <c r="B16" s="64">
        <v>5.72</v>
      </c>
      <c r="C16" s="64">
        <v>7.39</v>
      </c>
      <c r="D16" s="64">
        <v>8.44</v>
      </c>
      <c r="E16" s="64">
        <v>3.67</v>
      </c>
      <c r="F16" s="64">
        <v>2.2799999999999998</v>
      </c>
      <c r="G16" s="64">
        <v>7.07</v>
      </c>
      <c r="H16" s="64">
        <v>1.5</v>
      </c>
      <c r="I16" s="64">
        <v>0.89</v>
      </c>
      <c r="J16" s="64">
        <v>0.18</v>
      </c>
      <c r="K16" s="64">
        <v>313.31</v>
      </c>
      <c r="L16" s="64">
        <v>23.16</v>
      </c>
      <c r="M16" s="64">
        <v>98.25</v>
      </c>
      <c r="N16" s="64">
        <v>42.5</v>
      </c>
      <c r="O16" s="64">
        <v>0</v>
      </c>
      <c r="P16" s="64">
        <v>0.24</v>
      </c>
      <c r="Q16" s="64">
        <v>9.51</v>
      </c>
      <c r="S16" s="198"/>
      <c r="T16" s="198"/>
      <c r="U16" s="198"/>
    </row>
    <row r="17" spans="1:21" s="12" customFormat="1" x14ac:dyDescent="0.25">
      <c r="A17" s="212" t="s">
        <v>2367</v>
      </c>
      <c r="B17" s="64">
        <v>5.21</v>
      </c>
      <c r="C17" s="64">
        <v>7.48</v>
      </c>
      <c r="D17" s="64">
        <v>8.09</v>
      </c>
      <c r="E17" s="64">
        <v>4.09</v>
      </c>
      <c r="F17" s="64">
        <v>2.25</v>
      </c>
      <c r="G17" s="64">
        <v>6.5</v>
      </c>
      <c r="H17" s="64">
        <v>1.4</v>
      </c>
      <c r="I17" s="64">
        <v>0.83</v>
      </c>
      <c r="J17" s="64">
        <v>0.17</v>
      </c>
      <c r="K17" s="64">
        <v>307.07</v>
      </c>
      <c r="L17" s="64">
        <v>22.93</v>
      </c>
      <c r="M17" s="64">
        <v>98.28</v>
      </c>
      <c r="N17" s="64">
        <v>42.2</v>
      </c>
      <c r="O17" s="64">
        <v>0</v>
      </c>
      <c r="P17" s="64">
        <v>0.22</v>
      </c>
      <c r="Q17" s="64">
        <v>9.5</v>
      </c>
      <c r="S17" s="198"/>
      <c r="T17" s="198"/>
      <c r="U17" s="198"/>
    </row>
    <row r="18" spans="1:21" s="12" customFormat="1" x14ac:dyDescent="0.25">
      <c r="A18" s="212" t="s">
        <v>2368</v>
      </c>
      <c r="B18" s="64">
        <v>5</v>
      </c>
      <c r="C18" s="64">
        <v>7.42</v>
      </c>
      <c r="D18" s="64">
        <v>7.89</v>
      </c>
      <c r="E18" s="64">
        <v>3.57</v>
      </c>
      <c r="F18" s="64">
        <v>2.33</v>
      </c>
      <c r="G18" s="64">
        <v>6.5</v>
      </c>
      <c r="H18" s="64">
        <v>1.4</v>
      </c>
      <c r="I18" s="64">
        <v>0.79</v>
      </c>
      <c r="J18" s="64">
        <v>0.16</v>
      </c>
      <c r="K18" s="64">
        <v>298.13</v>
      </c>
      <c r="L18" s="64">
        <v>22.83</v>
      </c>
      <c r="M18" s="64">
        <v>98.29</v>
      </c>
      <c r="N18" s="64">
        <v>42.2</v>
      </c>
      <c r="O18" s="64">
        <v>0</v>
      </c>
      <c r="P18" s="64">
        <v>0.21</v>
      </c>
      <c r="Q18" s="64">
        <v>9.48</v>
      </c>
      <c r="S18" s="198"/>
      <c r="T18" s="198"/>
      <c r="U18" s="198"/>
    </row>
    <row r="19" spans="1:21" s="12" customFormat="1" x14ac:dyDescent="0.25">
      <c r="A19" s="212" t="s">
        <v>2369</v>
      </c>
      <c r="B19" s="64">
        <v>4.8099999999999996</v>
      </c>
      <c r="C19" s="64">
        <v>7.38</v>
      </c>
      <c r="D19" s="64">
        <v>7.71</v>
      </c>
      <c r="E19" s="64">
        <v>3.52</v>
      </c>
      <c r="F19" s="64">
        <v>2.2999999999999998</v>
      </c>
      <c r="G19" s="64">
        <v>6.5</v>
      </c>
      <c r="H19" s="64">
        <v>1.4</v>
      </c>
      <c r="I19" s="64">
        <v>0.77</v>
      </c>
      <c r="J19" s="64">
        <v>0.16</v>
      </c>
      <c r="K19" s="64">
        <v>297.26</v>
      </c>
      <c r="L19" s="64">
        <v>22.72</v>
      </c>
      <c r="M19" s="64">
        <v>98.3</v>
      </c>
      <c r="N19" s="64">
        <v>42.3</v>
      </c>
      <c r="O19" s="64">
        <v>0</v>
      </c>
      <c r="P19" s="64">
        <v>0.2</v>
      </c>
      <c r="Q19" s="64">
        <v>9.48</v>
      </c>
      <c r="S19" s="198"/>
      <c r="T19" s="198"/>
      <c r="U19" s="198"/>
    </row>
    <row r="20" spans="1:21" s="12" customFormat="1" x14ac:dyDescent="0.25">
      <c r="A20" s="212" t="s">
        <v>2370</v>
      </c>
      <c r="B20" s="64">
        <v>4.58</v>
      </c>
      <c r="C20" s="64">
        <v>7.09</v>
      </c>
      <c r="D20" s="64">
        <v>7.38</v>
      </c>
      <c r="E20" s="64">
        <v>3.66</v>
      </c>
      <c r="F20" s="64">
        <v>2.96</v>
      </c>
      <c r="G20" s="64">
        <v>5.71</v>
      </c>
      <c r="H20" s="64">
        <v>1.41</v>
      </c>
      <c r="I20" s="64">
        <v>0.74</v>
      </c>
      <c r="J20" s="64">
        <v>0.14000000000000001</v>
      </c>
      <c r="K20" s="64">
        <v>306.14999999999998</v>
      </c>
      <c r="L20" s="64">
        <v>22.65</v>
      </c>
      <c r="M20" s="64">
        <v>98.3</v>
      </c>
      <c r="N20" s="64">
        <v>42.3</v>
      </c>
      <c r="O20" s="64">
        <v>0</v>
      </c>
      <c r="P20" s="64">
        <v>0.19</v>
      </c>
      <c r="Q20" s="64">
        <v>9.48</v>
      </c>
      <c r="S20" s="198"/>
      <c r="T20" s="198"/>
      <c r="U20" s="198"/>
    </row>
    <row r="21" spans="1:21" s="12" customFormat="1" x14ac:dyDescent="0.25">
      <c r="A21" s="212" t="s">
        <v>2371</v>
      </c>
      <c r="B21" s="64">
        <v>4.6100000000000003</v>
      </c>
      <c r="C21" s="64">
        <v>7.09</v>
      </c>
      <c r="D21" s="64">
        <v>7.4</v>
      </c>
      <c r="E21" s="64">
        <v>3.81</v>
      </c>
      <c r="F21" s="64">
        <v>2.2799999999999998</v>
      </c>
      <c r="G21" s="64">
        <v>5.32</v>
      </c>
      <c r="H21" s="64">
        <v>1.41</v>
      </c>
      <c r="I21" s="64">
        <v>0.72</v>
      </c>
      <c r="J21" s="64">
        <v>0.1</v>
      </c>
      <c r="K21" s="64">
        <v>297.91000000000003</v>
      </c>
      <c r="L21" s="64">
        <v>22.59</v>
      </c>
      <c r="M21" s="64">
        <v>98.31</v>
      </c>
      <c r="N21" s="64">
        <v>42.3</v>
      </c>
      <c r="O21" s="64">
        <v>0</v>
      </c>
      <c r="P21" s="64">
        <v>0.18</v>
      </c>
      <c r="Q21" s="64">
        <v>9.4600000000000009</v>
      </c>
      <c r="S21" s="198"/>
      <c r="T21" s="198"/>
      <c r="U21" s="198"/>
    </row>
    <row r="22" spans="1:21" s="12" customFormat="1" x14ac:dyDescent="0.25">
      <c r="A22" s="212" t="s">
        <v>2372</v>
      </c>
      <c r="B22" s="64">
        <v>4.5999999999999996</v>
      </c>
      <c r="C22" s="64">
        <v>7.04</v>
      </c>
      <c r="D22" s="64">
        <v>7.37</v>
      </c>
      <c r="E22" s="64">
        <v>3.82</v>
      </c>
      <c r="F22" s="64">
        <v>2.1</v>
      </c>
      <c r="G22" s="64">
        <v>5.32</v>
      </c>
      <c r="H22" s="64">
        <v>1.41</v>
      </c>
      <c r="I22" s="64">
        <v>0.71</v>
      </c>
      <c r="J22" s="64">
        <v>0.18</v>
      </c>
      <c r="K22" s="64">
        <v>307.45999999999998</v>
      </c>
      <c r="L22" s="64">
        <v>22.49</v>
      </c>
      <c r="M22" s="64">
        <v>98.33</v>
      </c>
      <c r="N22" s="64">
        <v>42.5</v>
      </c>
      <c r="O22" s="64">
        <v>0</v>
      </c>
      <c r="P22" s="64">
        <v>0.19</v>
      </c>
      <c r="Q22" s="64">
        <v>9.4600000000000009</v>
      </c>
      <c r="S22" s="198"/>
      <c r="T22" s="198"/>
      <c r="U22" s="198"/>
    </row>
    <row r="23" spans="1:21" s="12" customFormat="1" x14ac:dyDescent="0.25">
      <c r="A23" s="212" t="s">
        <v>2373</v>
      </c>
      <c r="B23" s="64">
        <v>4.54</v>
      </c>
      <c r="C23" s="64">
        <v>7.1</v>
      </c>
      <c r="D23" s="64">
        <v>7.35</v>
      </c>
      <c r="E23" s="64">
        <v>4.1100000000000003</v>
      </c>
      <c r="F23" s="64">
        <v>2.2799999999999998</v>
      </c>
      <c r="G23" s="64">
        <v>5.32</v>
      </c>
      <c r="H23" s="64">
        <v>1.41</v>
      </c>
      <c r="I23" s="64">
        <v>0.69</v>
      </c>
      <c r="J23" s="64">
        <v>0.18</v>
      </c>
      <c r="K23" s="64">
        <v>307.94</v>
      </c>
      <c r="L23" s="64">
        <v>22.36</v>
      </c>
      <c r="M23" s="64">
        <v>98.33</v>
      </c>
      <c r="N23" s="64">
        <v>42.8</v>
      </c>
      <c r="O23" s="64">
        <v>0</v>
      </c>
      <c r="P23" s="64">
        <v>0.18</v>
      </c>
      <c r="Q23" s="64">
        <v>9.44</v>
      </c>
      <c r="S23" s="198"/>
      <c r="T23" s="198"/>
      <c r="U23" s="198"/>
    </row>
    <row r="24" spans="1:21" s="12" customFormat="1" x14ac:dyDescent="0.25">
      <c r="A24" s="212" t="s">
        <v>2374</v>
      </c>
      <c r="B24" s="64">
        <v>4.47</v>
      </c>
      <c r="C24" s="64">
        <v>7.06</v>
      </c>
      <c r="D24" s="64">
        <v>7.28</v>
      </c>
      <c r="E24" s="64">
        <v>3.87</v>
      </c>
      <c r="F24" s="64">
        <v>2.52</v>
      </c>
      <c r="G24" s="64">
        <v>4.5999999999999996</v>
      </c>
      <c r="H24" s="64">
        <v>1.32</v>
      </c>
      <c r="I24" s="64">
        <v>0.65</v>
      </c>
      <c r="J24" s="64">
        <v>0.2</v>
      </c>
      <c r="K24" s="64">
        <v>300.32</v>
      </c>
      <c r="L24" s="64">
        <v>22.24</v>
      </c>
      <c r="M24" s="64">
        <v>98.38</v>
      </c>
      <c r="N24" s="64">
        <v>42.9</v>
      </c>
      <c r="O24" s="64">
        <v>0</v>
      </c>
      <c r="P24" s="64">
        <v>0.18</v>
      </c>
      <c r="Q24" s="64">
        <v>9.41</v>
      </c>
      <c r="S24" s="198"/>
      <c r="T24" s="198"/>
      <c r="U24" s="198"/>
    </row>
    <row r="25" spans="1:21" s="12" customFormat="1" x14ac:dyDescent="0.25">
      <c r="A25" s="212" t="s">
        <v>2375</v>
      </c>
      <c r="B25" s="64">
        <v>4.38</v>
      </c>
      <c r="C25" s="64">
        <v>7.06</v>
      </c>
      <c r="D25" s="64">
        <v>7.21</v>
      </c>
      <c r="E25" s="64">
        <v>4.0599999999999996</v>
      </c>
      <c r="F25" s="64">
        <v>2.1</v>
      </c>
      <c r="G25" s="64">
        <v>4.24</v>
      </c>
      <c r="H25" s="64">
        <v>1.27</v>
      </c>
      <c r="I25" s="64">
        <v>0.63</v>
      </c>
      <c r="J25" s="64">
        <v>0.21</v>
      </c>
      <c r="K25" s="64">
        <v>311.19</v>
      </c>
      <c r="L25" s="64">
        <v>22.16</v>
      </c>
      <c r="M25" s="64">
        <v>98.33</v>
      </c>
      <c r="N25" s="64">
        <v>42.8</v>
      </c>
      <c r="O25" s="64">
        <v>0</v>
      </c>
      <c r="P25" s="64">
        <v>0.16</v>
      </c>
      <c r="Q25" s="64">
        <v>9.41</v>
      </c>
      <c r="S25" s="198"/>
      <c r="T25" s="198"/>
      <c r="U25" s="198"/>
    </row>
    <row r="26" spans="1:21" s="12" customFormat="1" x14ac:dyDescent="0.25">
      <c r="A26" s="212" t="s">
        <v>2376</v>
      </c>
      <c r="B26" s="64">
        <v>4.3099999999999996</v>
      </c>
      <c r="C26" s="64">
        <v>7.06</v>
      </c>
      <c r="D26" s="64">
        <v>7.14</v>
      </c>
      <c r="E26" s="64">
        <v>3.8</v>
      </c>
      <c r="F26" s="64">
        <v>2.12</v>
      </c>
      <c r="G26" s="64">
        <v>4.24</v>
      </c>
      <c r="H26" s="64">
        <v>1.27</v>
      </c>
      <c r="I26" s="64">
        <v>0.59</v>
      </c>
      <c r="J26" s="64">
        <v>0.17</v>
      </c>
      <c r="K26" s="64">
        <v>309.73</v>
      </c>
      <c r="L26" s="64">
        <v>22.11</v>
      </c>
      <c r="M26" s="64">
        <v>98.34</v>
      </c>
      <c r="N26" s="64">
        <v>42.6</v>
      </c>
      <c r="O26" s="64">
        <v>0</v>
      </c>
      <c r="P26" s="64">
        <v>0.17</v>
      </c>
      <c r="Q26" s="64">
        <v>9.4</v>
      </c>
      <c r="S26" s="198"/>
      <c r="T26" s="198"/>
      <c r="U26" s="198"/>
    </row>
    <row r="27" spans="1:21" s="12" customFormat="1" x14ac:dyDescent="0.25">
      <c r="A27" s="212" t="s">
        <v>2377</v>
      </c>
      <c r="B27" s="64">
        <v>4.28</v>
      </c>
      <c r="C27" s="64">
        <v>6.97</v>
      </c>
      <c r="D27" s="64">
        <v>7.07</v>
      </c>
      <c r="E27" s="64">
        <v>3.89</v>
      </c>
      <c r="F27" s="64">
        <v>2.58</v>
      </c>
      <c r="G27" s="64">
        <v>4.24</v>
      </c>
      <c r="H27" s="64">
        <v>1.27</v>
      </c>
      <c r="I27" s="64">
        <v>0.56999999999999995</v>
      </c>
      <c r="J27" s="64">
        <v>0.21</v>
      </c>
      <c r="K27" s="64">
        <v>310.93</v>
      </c>
      <c r="L27" s="64">
        <v>22.09</v>
      </c>
      <c r="M27" s="64">
        <v>98.33</v>
      </c>
      <c r="N27" s="64">
        <v>42.6</v>
      </c>
      <c r="O27" s="64">
        <v>0</v>
      </c>
      <c r="P27" s="64">
        <v>0.15</v>
      </c>
      <c r="Q27" s="64">
        <v>9.4</v>
      </c>
      <c r="S27" s="198"/>
      <c r="T27" s="198"/>
      <c r="U27" s="198"/>
    </row>
    <row r="28" spans="1:21" s="12" customFormat="1" x14ac:dyDescent="0.25">
      <c r="A28" s="212" t="s">
        <v>2378</v>
      </c>
      <c r="B28" s="64">
        <v>4.2699999999999996</v>
      </c>
      <c r="C28" s="64">
        <v>7.02</v>
      </c>
      <c r="D28" s="64">
        <v>7.09</v>
      </c>
      <c r="E28" s="64">
        <v>3.7</v>
      </c>
      <c r="F28" s="64">
        <v>2.34</v>
      </c>
      <c r="G28" s="64">
        <v>4.1399999999999997</v>
      </c>
      <c r="H28" s="64">
        <v>1.27</v>
      </c>
      <c r="I28" s="64">
        <v>0.55000000000000004</v>
      </c>
      <c r="J28" s="64">
        <v>0.15</v>
      </c>
      <c r="K28" s="64">
        <v>305.49</v>
      </c>
      <c r="L28" s="64">
        <v>22.04</v>
      </c>
      <c r="M28" s="64">
        <v>98.34</v>
      </c>
      <c r="N28" s="64">
        <v>42.7</v>
      </c>
      <c r="O28" s="64">
        <v>0</v>
      </c>
      <c r="P28" s="64">
        <v>0.16</v>
      </c>
      <c r="Q28" s="64">
        <v>9.39</v>
      </c>
      <c r="S28" s="198"/>
      <c r="T28" s="198"/>
      <c r="U28" s="198"/>
    </row>
    <row r="29" spans="1:21" s="12" customFormat="1" x14ac:dyDescent="0.25">
      <c r="A29" s="212" t="s">
        <v>2379</v>
      </c>
      <c r="B29" s="64">
        <v>4.25</v>
      </c>
      <c r="C29" s="64">
        <v>7.08</v>
      </c>
      <c r="D29" s="64">
        <v>7.11</v>
      </c>
      <c r="E29" s="64">
        <v>3.59</v>
      </c>
      <c r="F29" s="64">
        <v>2.2799999999999998</v>
      </c>
      <c r="G29" s="64">
        <v>4.08</v>
      </c>
      <c r="H29" s="64">
        <v>1.26</v>
      </c>
      <c r="I29" s="64">
        <v>0.54</v>
      </c>
      <c r="J29" s="64">
        <v>0.1</v>
      </c>
      <c r="K29" s="64">
        <v>307.79000000000002</v>
      </c>
      <c r="L29" s="64">
        <v>21.98</v>
      </c>
      <c r="M29" s="64">
        <v>98.33</v>
      </c>
      <c r="N29" s="64">
        <v>42.6</v>
      </c>
      <c r="O29" s="64">
        <v>0</v>
      </c>
      <c r="P29" s="64">
        <v>0.15</v>
      </c>
      <c r="Q29" s="64">
        <v>9.39</v>
      </c>
      <c r="S29" s="198"/>
      <c r="T29" s="198"/>
      <c r="U29" s="198"/>
    </row>
    <row r="30" spans="1:21" s="12" customFormat="1" x14ac:dyDescent="0.25">
      <c r="A30" s="212" t="s">
        <v>2380</v>
      </c>
      <c r="B30" s="64">
        <v>4.32</v>
      </c>
      <c r="C30" s="64">
        <v>7.1</v>
      </c>
      <c r="D30" s="64">
        <v>7.17</v>
      </c>
      <c r="E30" s="64">
        <v>3.7</v>
      </c>
      <c r="F30" s="64">
        <v>2.31</v>
      </c>
      <c r="G30" s="64">
        <v>4.08</v>
      </c>
      <c r="H30" s="64">
        <v>1.26</v>
      </c>
      <c r="I30" s="64">
        <v>0.54</v>
      </c>
      <c r="J30" s="64">
        <v>0.1</v>
      </c>
      <c r="K30" s="64">
        <v>309.44</v>
      </c>
      <c r="L30" s="64">
        <v>21.93</v>
      </c>
      <c r="M30" s="64">
        <v>98.36</v>
      </c>
      <c r="N30" s="64">
        <v>42.7</v>
      </c>
      <c r="O30" s="64">
        <v>0</v>
      </c>
      <c r="P30" s="64">
        <v>0.15</v>
      </c>
      <c r="Q30" s="64">
        <v>9.39</v>
      </c>
      <c r="S30" s="198"/>
      <c r="T30" s="198"/>
      <c r="U30" s="198"/>
    </row>
    <row r="31" spans="1:21" s="12" customFormat="1" x14ac:dyDescent="0.25">
      <c r="A31" s="212" t="s">
        <v>2381</v>
      </c>
      <c r="B31" s="64">
        <v>4.45</v>
      </c>
      <c r="C31" s="64">
        <v>6.9</v>
      </c>
      <c r="D31" s="64">
        <v>7.18</v>
      </c>
      <c r="E31" s="64">
        <v>3.7</v>
      </c>
      <c r="F31" s="64">
        <v>2.56</v>
      </c>
      <c r="G31" s="64">
        <v>4.08</v>
      </c>
      <c r="H31" s="64">
        <v>1.26</v>
      </c>
      <c r="I31" s="64">
        <v>0.54</v>
      </c>
      <c r="J31" s="64">
        <v>0.12</v>
      </c>
      <c r="K31" s="64">
        <v>304.83</v>
      </c>
      <c r="L31" s="64">
        <v>22</v>
      </c>
      <c r="M31" s="64">
        <v>98.38</v>
      </c>
      <c r="N31" s="64">
        <v>43.6</v>
      </c>
      <c r="O31" s="64">
        <v>0</v>
      </c>
      <c r="P31" s="64">
        <v>0.16</v>
      </c>
      <c r="Q31" s="64">
        <v>9.39</v>
      </c>
      <c r="S31" s="198"/>
      <c r="T31" s="198"/>
      <c r="U31" s="198"/>
    </row>
    <row r="32" spans="1:21" s="12" customFormat="1" x14ac:dyDescent="0.25">
      <c r="A32" s="212" t="s">
        <v>2382</v>
      </c>
      <c r="B32" s="64">
        <v>5.66</v>
      </c>
      <c r="C32" s="64">
        <v>8.09</v>
      </c>
      <c r="D32" s="64">
        <v>8.76</v>
      </c>
      <c r="E32" s="64">
        <v>3.79</v>
      </c>
      <c r="F32" s="64">
        <v>2.2799999999999998</v>
      </c>
      <c r="G32" s="64">
        <v>3.63</v>
      </c>
      <c r="H32" s="64">
        <v>1.22</v>
      </c>
      <c r="I32" s="64">
        <v>0.54</v>
      </c>
      <c r="J32" s="64">
        <v>0.1</v>
      </c>
      <c r="K32" s="64">
        <v>305.42</v>
      </c>
      <c r="L32" s="64">
        <v>22.1</v>
      </c>
      <c r="M32" s="64">
        <v>98.38</v>
      </c>
      <c r="N32" s="64">
        <v>48.8</v>
      </c>
      <c r="O32" s="64">
        <v>0</v>
      </c>
      <c r="P32" s="64">
        <v>0.16</v>
      </c>
      <c r="Q32" s="64">
        <v>9.41</v>
      </c>
      <c r="S32" s="198"/>
      <c r="T32" s="198"/>
      <c r="U32" s="198"/>
    </row>
    <row r="33" spans="1:21" s="12" customFormat="1" x14ac:dyDescent="0.25">
      <c r="A33" s="212" t="s">
        <v>2383</v>
      </c>
      <c r="B33" s="64">
        <v>5.84</v>
      </c>
      <c r="C33" s="64">
        <v>7.79</v>
      </c>
      <c r="D33" s="64">
        <v>8.76</v>
      </c>
      <c r="E33" s="64">
        <v>3.65</v>
      </c>
      <c r="F33" s="64">
        <v>2.42</v>
      </c>
      <c r="G33" s="64">
        <v>3.4</v>
      </c>
      <c r="H33" s="64">
        <v>1.2</v>
      </c>
      <c r="I33" s="64">
        <v>0.54</v>
      </c>
      <c r="J33" s="64">
        <v>0.14000000000000001</v>
      </c>
      <c r="K33" s="64">
        <v>309.31</v>
      </c>
      <c r="L33" s="64">
        <v>22.28</v>
      </c>
      <c r="M33" s="64">
        <v>98.38</v>
      </c>
      <c r="N33" s="64">
        <v>58.7</v>
      </c>
      <c r="O33" s="64">
        <v>0</v>
      </c>
      <c r="P33" s="64">
        <v>0.14000000000000001</v>
      </c>
      <c r="Q33" s="64">
        <v>9.44</v>
      </c>
      <c r="S33" s="198"/>
      <c r="T33" s="198"/>
      <c r="U33" s="198"/>
    </row>
    <row r="34" spans="1:21" s="12" customFormat="1" x14ac:dyDescent="0.25">
      <c r="A34" s="212" t="s">
        <v>2384</v>
      </c>
      <c r="B34" s="64">
        <v>5.61</v>
      </c>
      <c r="C34" s="64">
        <v>7.29</v>
      </c>
      <c r="D34" s="64">
        <v>8.3000000000000007</v>
      </c>
      <c r="E34" s="64">
        <v>3.7</v>
      </c>
      <c r="F34" s="64">
        <v>2.13</v>
      </c>
      <c r="G34" s="64">
        <v>3.4</v>
      </c>
      <c r="H34" s="64">
        <v>1.2</v>
      </c>
      <c r="I34" s="64">
        <v>0.54</v>
      </c>
      <c r="J34" s="64">
        <v>0.15</v>
      </c>
      <c r="K34" s="64">
        <v>306.91000000000003</v>
      </c>
      <c r="L34" s="64">
        <v>22.51</v>
      </c>
      <c r="M34" s="64">
        <v>98.38</v>
      </c>
      <c r="N34" s="64">
        <v>65.400000000000006</v>
      </c>
      <c r="O34" s="64">
        <v>0</v>
      </c>
      <c r="P34" s="64">
        <v>0.15</v>
      </c>
      <c r="Q34" s="64">
        <v>9.4499999999999993</v>
      </c>
      <c r="S34" s="198"/>
      <c r="T34" s="198"/>
      <c r="U34" s="198"/>
    </row>
    <row r="35" spans="1:21" s="12" customFormat="1" x14ac:dyDescent="0.25">
      <c r="A35" s="212" t="s">
        <v>2385</v>
      </c>
      <c r="B35" s="64">
        <v>6.45</v>
      </c>
      <c r="C35" s="64">
        <v>7.75</v>
      </c>
      <c r="D35" s="64">
        <v>9.23</v>
      </c>
      <c r="E35" s="64">
        <v>3.68</v>
      </c>
      <c r="F35" s="64">
        <v>2.12</v>
      </c>
      <c r="G35" s="64">
        <v>3.4</v>
      </c>
      <c r="H35" s="64">
        <v>1.2</v>
      </c>
      <c r="I35" s="64">
        <v>0.56000000000000005</v>
      </c>
      <c r="J35" s="64">
        <v>0.19</v>
      </c>
      <c r="K35" s="64">
        <v>294.68</v>
      </c>
      <c r="L35" s="64">
        <v>22.73</v>
      </c>
      <c r="M35" s="64">
        <v>98.36</v>
      </c>
      <c r="N35" s="64">
        <v>75.400000000000006</v>
      </c>
      <c r="O35" s="64">
        <v>0</v>
      </c>
      <c r="P35" s="64">
        <v>0.15</v>
      </c>
      <c r="Q35" s="64">
        <v>9.4700000000000006</v>
      </c>
      <c r="S35" s="198"/>
      <c r="T35" s="198"/>
      <c r="U35" s="198"/>
    </row>
    <row r="36" spans="1:21" s="12" customFormat="1" x14ac:dyDescent="0.25">
      <c r="A36" s="212" t="s">
        <v>2386</v>
      </c>
      <c r="B36" s="64">
        <v>5.98</v>
      </c>
      <c r="C36" s="64">
        <v>7.45</v>
      </c>
      <c r="D36" s="64">
        <v>8.68</v>
      </c>
      <c r="E36" s="64">
        <v>3.76</v>
      </c>
      <c r="F36" s="64">
        <v>2.2000000000000002</v>
      </c>
      <c r="G36" s="64">
        <v>3.22</v>
      </c>
      <c r="H36" s="64">
        <v>1.19</v>
      </c>
      <c r="I36" s="64">
        <v>0.57999999999999996</v>
      </c>
      <c r="J36" s="64">
        <v>0.21</v>
      </c>
      <c r="K36" s="64">
        <v>295.54000000000002</v>
      </c>
      <c r="L36" s="64">
        <v>22.89</v>
      </c>
      <c r="M36" s="64">
        <v>98.35</v>
      </c>
      <c r="N36" s="64">
        <v>85.9</v>
      </c>
      <c r="O36" s="64">
        <v>0</v>
      </c>
      <c r="P36" s="64">
        <v>0.16</v>
      </c>
      <c r="Q36" s="64">
        <v>9.49</v>
      </c>
      <c r="S36" s="198"/>
      <c r="T36" s="198"/>
      <c r="U36" s="198"/>
    </row>
    <row r="37" spans="1:21" s="12" customFormat="1" x14ac:dyDescent="0.25">
      <c r="A37" s="212" t="s">
        <v>2387</v>
      </c>
      <c r="B37" s="64">
        <v>5.91</v>
      </c>
      <c r="C37" s="64">
        <v>7.56</v>
      </c>
      <c r="D37" s="64">
        <v>8.68</v>
      </c>
      <c r="E37" s="64">
        <v>3.61</v>
      </c>
      <c r="F37" s="64">
        <v>2.27</v>
      </c>
      <c r="G37" s="64">
        <v>3.13</v>
      </c>
      <c r="H37" s="64">
        <v>1.18</v>
      </c>
      <c r="I37" s="64">
        <v>0.59</v>
      </c>
      <c r="J37" s="64">
        <v>0.19</v>
      </c>
      <c r="K37" s="64">
        <v>289.52999999999997</v>
      </c>
      <c r="L37" s="64">
        <v>22.97</v>
      </c>
      <c r="M37" s="64">
        <v>98.34</v>
      </c>
      <c r="N37" s="64">
        <v>104.4</v>
      </c>
      <c r="O37" s="64">
        <v>0</v>
      </c>
      <c r="P37" s="64">
        <v>0.18</v>
      </c>
      <c r="Q37" s="64">
        <v>9.5</v>
      </c>
      <c r="S37" s="198"/>
      <c r="T37" s="198"/>
      <c r="U37" s="198"/>
    </row>
    <row r="38" spans="1:21" s="12" customFormat="1" x14ac:dyDescent="0.25">
      <c r="A38" s="212" t="s">
        <v>2388</v>
      </c>
      <c r="B38" s="64">
        <v>6.08</v>
      </c>
      <c r="C38" s="64">
        <v>7.67</v>
      </c>
      <c r="D38" s="64">
        <v>8.8800000000000008</v>
      </c>
      <c r="E38" s="64">
        <v>4.24</v>
      </c>
      <c r="F38" s="64">
        <v>2.59</v>
      </c>
      <c r="G38" s="64">
        <v>3.13</v>
      </c>
      <c r="H38" s="64">
        <v>1.18</v>
      </c>
      <c r="I38" s="64">
        <v>0.61</v>
      </c>
      <c r="J38" s="64">
        <v>0.2</v>
      </c>
      <c r="K38" s="64">
        <v>301.05</v>
      </c>
      <c r="L38" s="64">
        <v>23.09</v>
      </c>
      <c r="M38" s="64">
        <v>98.35</v>
      </c>
      <c r="N38" s="64">
        <v>125.3</v>
      </c>
      <c r="O38" s="64">
        <v>0</v>
      </c>
      <c r="P38" s="64">
        <v>0.21</v>
      </c>
      <c r="Q38" s="64">
        <v>9.51</v>
      </c>
      <c r="S38" s="198"/>
      <c r="T38" s="198"/>
      <c r="U38" s="198"/>
    </row>
    <row r="39" spans="1:21" s="12" customFormat="1" x14ac:dyDescent="0.25">
      <c r="A39" s="212" t="s">
        <v>2389</v>
      </c>
      <c r="B39" s="64">
        <v>6.04</v>
      </c>
      <c r="C39" s="64">
        <v>7.7</v>
      </c>
      <c r="D39" s="64">
        <v>8.8699999999999992</v>
      </c>
      <c r="E39" s="64">
        <v>3.96</v>
      </c>
      <c r="F39" s="64">
        <v>2.11</v>
      </c>
      <c r="G39" s="64">
        <v>3.13</v>
      </c>
      <c r="H39" s="64">
        <v>1.18</v>
      </c>
      <c r="I39" s="64">
        <v>0.63</v>
      </c>
      <c r="J39" s="64">
        <v>0.19</v>
      </c>
      <c r="K39" s="64">
        <v>299.52999999999997</v>
      </c>
      <c r="L39" s="64">
        <v>23.21</v>
      </c>
      <c r="M39" s="64">
        <v>98.33</v>
      </c>
      <c r="N39" s="64">
        <v>138.6</v>
      </c>
      <c r="O39" s="64">
        <v>0</v>
      </c>
      <c r="P39" s="64">
        <v>0.21</v>
      </c>
      <c r="Q39" s="64">
        <v>9.51</v>
      </c>
      <c r="S39" s="198"/>
      <c r="T39" s="198"/>
      <c r="U39" s="198"/>
    </row>
    <row r="40" spans="1:21" s="12" customFormat="1" x14ac:dyDescent="0.25">
      <c r="A40" s="212" t="s">
        <v>2390</v>
      </c>
      <c r="B40" s="64">
        <v>6.09</v>
      </c>
      <c r="C40" s="64">
        <v>7.64</v>
      </c>
      <c r="D40" s="64">
        <v>8.89</v>
      </c>
      <c r="E40" s="64">
        <v>4.5599999999999996</v>
      </c>
      <c r="F40" s="64">
        <v>2.12</v>
      </c>
      <c r="G40" s="64">
        <v>2.6</v>
      </c>
      <c r="H40" s="64">
        <v>1.1000000000000001</v>
      </c>
      <c r="I40" s="64">
        <v>0.63</v>
      </c>
      <c r="J40" s="64">
        <v>0.22</v>
      </c>
      <c r="K40" s="64">
        <v>295.77</v>
      </c>
      <c r="L40" s="64">
        <v>23.46</v>
      </c>
      <c r="M40" s="64">
        <v>98.31</v>
      </c>
      <c r="N40" s="64">
        <v>161.6</v>
      </c>
      <c r="O40" s="64">
        <v>0</v>
      </c>
      <c r="P40" s="64">
        <v>0.22</v>
      </c>
      <c r="Q40" s="64">
        <v>9.5</v>
      </c>
      <c r="S40" s="198"/>
      <c r="T40" s="198"/>
      <c r="U40" s="198"/>
    </row>
    <row r="41" spans="1:21" s="12" customFormat="1" x14ac:dyDescent="0.25">
      <c r="A41" s="212" t="s">
        <v>2391</v>
      </c>
      <c r="B41" s="64">
        <v>6.23</v>
      </c>
      <c r="C41" s="64">
        <v>7.52</v>
      </c>
      <c r="D41" s="64">
        <v>8.92</v>
      </c>
      <c r="E41" s="64">
        <v>4.4400000000000004</v>
      </c>
      <c r="F41" s="64">
        <v>2.1</v>
      </c>
      <c r="G41" s="64">
        <v>2.6</v>
      </c>
      <c r="H41" s="64">
        <v>1.1000000000000001</v>
      </c>
      <c r="I41" s="64">
        <v>0.65</v>
      </c>
      <c r="J41" s="64">
        <v>0.24</v>
      </c>
      <c r="K41" s="64">
        <v>289.87</v>
      </c>
      <c r="L41" s="64">
        <v>23.56</v>
      </c>
      <c r="M41" s="64">
        <v>98.29</v>
      </c>
      <c r="N41" s="64">
        <v>169.7</v>
      </c>
      <c r="O41" s="64">
        <v>0</v>
      </c>
      <c r="P41" s="64">
        <v>0.23</v>
      </c>
      <c r="Q41" s="64">
        <v>9.49</v>
      </c>
      <c r="S41" s="198"/>
      <c r="T41" s="198"/>
      <c r="U41" s="198"/>
    </row>
    <row r="42" spans="1:21" s="12" customFormat="1" x14ac:dyDescent="0.25">
      <c r="A42" s="212" t="s">
        <v>2392</v>
      </c>
      <c r="B42" s="64">
        <v>6.35</v>
      </c>
      <c r="C42" s="64">
        <v>7.48</v>
      </c>
      <c r="D42" s="64">
        <v>9</v>
      </c>
      <c r="E42" s="64">
        <v>4.68</v>
      </c>
      <c r="F42" s="64">
        <v>2.11</v>
      </c>
      <c r="G42" s="64">
        <v>2.6</v>
      </c>
      <c r="H42" s="64">
        <v>1.1000000000000001</v>
      </c>
      <c r="I42" s="64">
        <v>0.68</v>
      </c>
      <c r="J42" s="64">
        <v>0.28999999999999998</v>
      </c>
      <c r="K42" s="64">
        <v>292.20999999999998</v>
      </c>
      <c r="L42" s="64">
        <v>23.74</v>
      </c>
      <c r="M42" s="64">
        <v>98.3</v>
      </c>
      <c r="N42" s="64">
        <v>196.3</v>
      </c>
      <c r="O42" s="64">
        <v>0</v>
      </c>
      <c r="P42" s="64">
        <v>0.24</v>
      </c>
      <c r="Q42" s="64">
        <v>9.48</v>
      </c>
      <c r="S42" s="198"/>
      <c r="T42" s="198"/>
      <c r="U42" s="198"/>
    </row>
    <row r="43" spans="1:21" s="12" customFormat="1" x14ac:dyDescent="0.25">
      <c r="A43" s="212" t="s">
        <v>2393</v>
      </c>
      <c r="B43" s="64">
        <v>6.51</v>
      </c>
      <c r="C43" s="64">
        <v>7.5</v>
      </c>
      <c r="D43" s="64">
        <v>9.14</v>
      </c>
      <c r="E43" s="64">
        <v>4.5</v>
      </c>
      <c r="F43" s="64">
        <v>2.4300000000000002</v>
      </c>
      <c r="G43" s="64">
        <v>2.6</v>
      </c>
      <c r="H43" s="64">
        <v>1.1000000000000001</v>
      </c>
      <c r="I43" s="64">
        <v>0.7</v>
      </c>
      <c r="J43" s="64">
        <v>0.27</v>
      </c>
      <c r="K43" s="64">
        <v>297.2</v>
      </c>
      <c r="L43" s="64">
        <v>23.8</v>
      </c>
      <c r="M43" s="64">
        <v>98.28</v>
      </c>
      <c r="N43" s="64">
        <v>206.1</v>
      </c>
      <c r="O43" s="64">
        <v>0</v>
      </c>
      <c r="P43" s="64">
        <v>0.24</v>
      </c>
      <c r="Q43" s="64">
        <v>9.48</v>
      </c>
      <c r="S43" s="198"/>
      <c r="T43" s="198"/>
      <c r="U43" s="198"/>
    </row>
    <row r="44" spans="1:21" s="12" customFormat="1" x14ac:dyDescent="0.25">
      <c r="A44" s="212" t="s">
        <v>2394</v>
      </c>
      <c r="B44" s="64">
        <v>6.4</v>
      </c>
      <c r="C44" s="64">
        <v>7.69</v>
      </c>
      <c r="D44" s="64">
        <v>9.15</v>
      </c>
      <c r="E44" s="64">
        <v>4.42</v>
      </c>
      <c r="F44" s="64">
        <v>2.1</v>
      </c>
      <c r="G44" s="64">
        <v>2.46</v>
      </c>
      <c r="H44" s="64">
        <v>1.06</v>
      </c>
      <c r="I44" s="64">
        <v>0.71</v>
      </c>
      <c r="J44" s="64">
        <v>0.26</v>
      </c>
      <c r="K44" s="64">
        <v>296.85000000000002</v>
      </c>
      <c r="L44" s="64">
        <v>24</v>
      </c>
      <c r="M44" s="64">
        <v>98.25</v>
      </c>
      <c r="N44" s="64">
        <v>265.5</v>
      </c>
      <c r="O44" s="64">
        <v>0</v>
      </c>
      <c r="P44" s="64">
        <v>0.24</v>
      </c>
      <c r="Q44" s="64">
        <v>9.49</v>
      </c>
      <c r="S44" s="198"/>
      <c r="T44" s="198"/>
      <c r="U44" s="198"/>
    </row>
    <row r="45" spans="1:21" s="12" customFormat="1" x14ac:dyDescent="0.25">
      <c r="A45" s="212" t="s">
        <v>2395</v>
      </c>
      <c r="B45" s="64">
        <v>6.21</v>
      </c>
      <c r="C45" s="64">
        <v>7.95</v>
      </c>
      <c r="D45" s="64">
        <v>9.1300000000000008</v>
      </c>
      <c r="E45" s="64">
        <v>4.68</v>
      </c>
      <c r="F45" s="64">
        <v>2.1</v>
      </c>
      <c r="G45" s="64">
        <v>2.39</v>
      </c>
      <c r="H45" s="64">
        <v>1.04</v>
      </c>
      <c r="I45" s="64">
        <v>0.7</v>
      </c>
      <c r="J45" s="64">
        <v>0.28000000000000003</v>
      </c>
      <c r="K45" s="64">
        <v>299.24</v>
      </c>
      <c r="L45" s="64">
        <v>24.14</v>
      </c>
      <c r="M45" s="64">
        <v>98.25</v>
      </c>
      <c r="N45" s="64">
        <v>213.9</v>
      </c>
      <c r="O45" s="64">
        <v>0</v>
      </c>
      <c r="P45" s="64">
        <v>0.25</v>
      </c>
      <c r="Q45" s="64">
        <v>9.49</v>
      </c>
      <c r="S45" s="198"/>
      <c r="T45" s="198"/>
      <c r="U45" s="198"/>
    </row>
    <row r="46" spans="1:21" s="12" customFormat="1" x14ac:dyDescent="0.25">
      <c r="A46" s="212" t="s">
        <v>2396</v>
      </c>
      <c r="B46" s="64">
        <v>6.09</v>
      </c>
      <c r="C46" s="64">
        <v>8</v>
      </c>
      <c r="D46" s="64">
        <v>9.06</v>
      </c>
      <c r="E46" s="64">
        <v>4.68</v>
      </c>
      <c r="F46" s="64">
        <v>2.15</v>
      </c>
      <c r="G46" s="64">
        <v>2.39</v>
      </c>
      <c r="H46" s="64">
        <v>1.04</v>
      </c>
      <c r="I46" s="64">
        <v>0.7</v>
      </c>
      <c r="J46" s="64">
        <v>0.26</v>
      </c>
      <c r="K46" s="64">
        <v>291.27999999999997</v>
      </c>
      <c r="L46" s="64">
        <v>24.15</v>
      </c>
      <c r="M46" s="64">
        <v>98.22</v>
      </c>
      <c r="N46" s="64">
        <v>201.2</v>
      </c>
      <c r="O46" s="64">
        <v>0</v>
      </c>
      <c r="P46" s="64">
        <v>0.25</v>
      </c>
      <c r="Q46" s="64">
        <v>9.48</v>
      </c>
      <c r="S46" s="198"/>
      <c r="T46" s="198"/>
      <c r="U46" s="198"/>
    </row>
    <row r="47" spans="1:21" s="12" customFormat="1" x14ac:dyDescent="0.25">
      <c r="A47" s="212" t="s">
        <v>2397</v>
      </c>
      <c r="B47" s="64">
        <v>5.87</v>
      </c>
      <c r="C47" s="64">
        <v>8.06</v>
      </c>
      <c r="D47" s="64">
        <v>8.92</v>
      </c>
      <c r="E47" s="64">
        <v>4.3</v>
      </c>
      <c r="F47" s="64">
        <v>2.2400000000000002</v>
      </c>
      <c r="G47" s="64">
        <v>2.39</v>
      </c>
      <c r="H47" s="64">
        <v>1.04</v>
      </c>
      <c r="I47" s="64">
        <v>0.71</v>
      </c>
      <c r="J47" s="64">
        <v>0.24</v>
      </c>
      <c r="K47" s="64">
        <v>291.70999999999998</v>
      </c>
      <c r="L47" s="64">
        <v>23.99</v>
      </c>
      <c r="M47" s="64">
        <v>98.25</v>
      </c>
      <c r="N47" s="64">
        <v>147.5</v>
      </c>
      <c r="O47" s="64">
        <v>0</v>
      </c>
      <c r="P47" s="64">
        <v>0.25</v>
      </c>
      <c r="Q47" s="64">
        <v>9.48</v>
      </c>
      <c r="S47" s="198"/>
      <c r="T47" s="198"/>
      <c r="U47" s="198"/>
    </row>
    <row r="48" spans="1:21" s="12" customFormat="1" x14ac:dyDescent="0.25">
      <c r="A48" s="212" t="s">
        <v>2398</v>
      </c>
      <c r="B48" s="64">
        <v>5.74</v>
      </c>
      <c r="C48" s="64">
        <v>8.0299999999999994</v>
      </c>
      <c r="D48" s="64">
        <v>8.8000000000000007</v>
      </c>
      <c r="E48" s="64">
        <v>4.57</v>
      </c>
      <c r="F48" s="64">
        <v>2.1</v>
      </c>
      <c r="G48" s="64">
        <v>7.31</v>
      </c>
      <c r="H48" s="64">
        <v>1.1000000000000001</v>
      </c>
      <c r="I48" s="64">
        <v>0.71</v>
      </c>
      <c r="J48" s="64">
        <v>0.22</v>
      </c>
      <c r="K48" s="64">
        <v>300.41000000000003</v>
      </c>
      <c r="L48" s="64">
        <v>23.84</v>
      </c>
      <c r="M48" s="64">
        <v>98.24</v>
      </c>
      <c r="N48" s="64">
        <v>174.1</v>
      </c>
      <c r="O48" s="64">
        <v>0</v>
      </c>
      <c r="P48" s="64">
        <v>0.25</v>
      </c>
      <c r="Q48" s="64">
        <v>9.48</v>
      </c>
      <c r="S48" s="198"/>
      <c r="T48" s="198"/>
      <c r="U48" s="198"/>
    </row>
    <row r="49" spans="1:21" s="12" customFormat="1" x14ac:dyDescent="0.25">
      <c r="A49" s="212" t="s">
        <v>2399</v>
      </c>
      <c r="B49" s="64">
        <v>5.56</v>
      </c>
      <c r="C49" s="64">
        <v>8.07</v>
      </c>
      <c r="D49" s="64">
        <v>8.68</v>
      </c>
      <c r="E49" s="64">
        <v>4.53</v>
      </c>
      <c r="F49" s="64">
        <v>2.15</v>
      </c>
      <c r="G49" s="64">
        <v>9.77</v>
      </c>
      <c r="H49" s="64">
        <v>1.1399999999999999</v>
      </c>
      <c r="I49" s="64">
        <v>0.71</v>
      </c>
      <c r="J49" s="64">
        <v>0.22</v>
      </c>
      <c r="K49" s="64">
        <v>290.8</v>
      </c>
      <c r="L49" s="64">
        <v>23.95</v>
      </c>
      <c r="M49" s="64">
        <v>98.25</v>
      </c>
      <c r="N49" s="64">
        <v>190.4</v>
      </c>
      <c r="O49" s="64">
        <v>0</v>
      </c>
      <c r="P49" s="64">
        <v>0.26</v>
      </c>
      <c r="Q49" s="64">
        <v>9.4600000000000009</v>
      </c>
      <c r="S49" s="198"/>
      <c r="T49" s="198"/>
      <c r="U49" s="198"/>
    </row>
    <row r="50" spans="1:21" s="12" customFormat="1" x14ac:dyDescent="0.25">
      <c r="A50" s="212" t="s">
        <v>2400</v>
      </c>
      <c r="B50" s="64">
        <v>5.56</v>
      </c>
      <c r="C50" s="64">
        <v>8.2100000000000009</v>
      </c>
      <c r="D50" s="64">
        <v>8.75</v>
      </c>
      <c r="E50" s="64">
        <v>4.53</v>
      </c>
      <c r="F50" s="64">
        <v>2.1</v>
      </c>
      <c r="G50" s="64">
        <v>9.77</v>
      </c>
      <c r="H50" s="64">
        <v>1.1399999999999999</v>
      </c>
      <c r="I50" s="64">
        <v>0.73</v>
      </c>
      <c r="J50" s="64">
        <v>0.24</v>
      </c>
      <c r="K50" s="64">
        <v>286.97000000000003</v>
      </c>
      <c r="L50" s="64">
        <v>23.89</v>
      </c>
      <c r="M50" s="64">
        <v>98.29</v>
      </c>
      <c r="N50" s="64">
        <v>217.5</v>
      </c>
      <c r="O50" s="64">
        <v>0</v>
      </c>
      <c r="P50" s="64">
        <v>0.28999999999999998</v>
      </c>
      <c r="Q50" s="64">
        <v>9.4600000000000009</v>
      </c>
      <c r="S50" s="198"/>
      <c r="T50" s="198"/>
      <c r="U50" s="198"/>
    </row>
    <row r="51" spans="1:21" s="12" customFormat="1" x14ac:dyDescent="0.25">
      <c r="A51" s="212" t="s">
        <v>2401</v>
      </c>
      <c r="B51" s="64">
        <v>5.58</v>
      </c>
      <c r="C51" s="64">
        <v>8.59</v>
      </c>
      <c r="D51" s="64">
        <v>8.9600000000000009</v>
      </c>
      <c r="E51" s="64">
        <v>4.68</v>
      </c>
      <c r="F51" s="64">
        <v>2.1</v>
      </c>
      <c r="G51" s="64">
        <v>9.77</v>
      </c>
      <c r="H51" s="64">
        <v>1.1399999999999999</v>
      </c>
      <c r="I51" s="64">
        <v>0.7</v>
      </c>
      <c r="J51" s="64">
        <v>0.25</v>
      </c>
      <c r="K51" s="64">
        <v>290.99</v>
      </c>
      <c r="L51" s="64">
        <v>23.75</v>
      </c>
      <c r="M51" s="64">
        <v>98.29</v>
      </c>
      <c r="N51" s="64">
        <v>183</v>
      </c>
      <c r="O51" s="64">
        <v>0</v>
      </c>
      <c r="P51" s="64">
        <v>0.31</v>
      </c>
      <c r="Q51" s="64">
        <v>9.4700000000000006</v>
      </c>
      <c r="S51" s="198"/>
      <c r="T51" s="198"/>
      <c r="U51" s="198"/>
    </row>
    <row r="52" spans="1:21" s="12" customFormat="1" x14ac:dyDescent="0.25">
      <c r="A52" s="212" t="s">
        <v>2402</v>
      </c>
      <c r="B52" s="64">
        <v>5.59</v>
      </c>
      <c r="C52" s="64">
        <v>8.57</v>
      </c>
      <c r="D52" s="64">
        <v>8.9600000000000009</v>
      </c>
      <c r="E52" s="64">
        <v>4.3899999999999997</v>
      </c>
      <c r="F52" s="64">
        <v>2.11</v>
      </c>
      <c r="G52" s="64">
        <v>8.33</v>
      </c>
      <c r="H52" s="64">
        <v>1.1200000000000001</v>
      </c>
      <c r="I52" s="64">
        <v>0.69</v>
      </c>
      <c r="J52" s="64">
        <v>0.23</v>
      </c>
      <c r="K52" s="64">
        <v>293.52</v>
      </c>
      <c r="L52" s="64">
        <v>23.69</v>
      </c>
      <c r="M52" s="64">
        <v>98.14</v>
      </c>
      <c r="N52" s="64">
        <v>176.9</v>
      </c>
      <c r="O52" s="64">
        <v>0</v>
      </c>
      <c r="P52" s="64">
        <v>0.28999999999999998</v>
      </c>
      <c r="Q52" s="64">
        <v>9.4700000000000006</v>
      </c>
      <c r="S52" s="198"/>
      <c r="T52" s="198"/>
      <c r="U52" s="198"/>
    </row>
    <row r="53" spans="1:21" s="12" customFormat="1" x14ac:dyDescent="0.25">
      <c r="A53" s="212" t="s">
        <v>2403</v>
      </c>
      <c r="B53" s="64">
        <v>5.62</v>
      </c>
      <c r="C53" s="64">
        <v>8.6300000000000008</v>
      </c>
      <c r="D53" s="64">
        <v>9.01</v>
      </c>
      <c r="E53" s="64">
        <v>4.47</v>
      </c>
      <c r="F53" s="64">
        <v>2.1800000000000002</v>
      </c>
      <c r="G53" s="64">
        <v>7.61</v>
      </c>
      <c r="H53" s="64">
        <v>1.1100000000000001</v>
      </c>
      <c r="I53" s="64">
        <v>0.76</v>
      </c>
      <c r="J53" s="64">
        <v>0.2</v>
      </c>
      <c r="K53" s="64">
        <v>293.10000000000002</v>
      </c>
      <c r="L53" s="64">
        <v>23.86</v>
      </c>
      <c r="M53" s="64">
        <v>98.18</v>
      </c>
      <c r="N53" s="64">
        <v>179.9</v>
      </c>
      <c r="O53" s="64">
        <v>0</v>
      </c>
      <c r="P53" s="64">
        <v>0.3</v>
      </c>
      <c r="Q53" s="64">
        <v>9.4700000000000006</v>
      </c>
      <c r="S53" s="198"/>
      <c r="T53" s="198"/>
      <c r="U53" s="198"/>
    </row>
    <row r="54" spans="1:21" s="12" customFormat="1" x14ac:dyDescent="0.25">
      <c r="A54" s="212" t="s">
        <v>2404</v>
      </c>
      <c r="B54" s="64">
        <v>5.73</v>
      </c>
      <c r="C54" s="64">
        <v>8.59</v>
      </c>
      <c r="D54" s="64">
        <v>9.09</v>
      </c>
      <c r="E54" s="64">
        <v>4.7</v>
      </c>
      <c r="F54" s="64">
        <v>2.1</v>
      </c>
      <c r="G54" s="64">
        <v>7.61</v>
      </c>
      <c r="H54" s="64">
        <v>1.1100000000000001</v>
      </c>
      <c r="I54" s="64">
        <v>0.82</v>
      </c>
      <c r="J54" s="64">
        <v>0.19</v>
      </c>
      <c r="K54" s="64">
        <v>295.36</v>
      </c>
      <c r="L54" s="64">
        <v>23.82</v>
      </c>
      <c r="M54" s="64">
        <v>98.17</v>
      </c>
      <c r="N54" s="64">
        <v>162.69999999999999</v>
      </c>
      <c r="O54" s="64">
        <v>0</v>
      </c>
      <c r="P54" s="64">
        <v>0.31</v>
      </c>
      <c r="Q54" s="64">
        <v>9.4700000000000006</v>
      </c>
      <c r="S54" s="198"/>
      <c r="T54" s="198"/>
      <c r="U54" s="198"/>
    </row>
    <row r="55" spans="1:21" s="12" customFormat="1" x14ac:dyDescent="0.25">
      <c r="A55" s="212" t="s">
        <v>2405</v>
      </c>
      <c r="B55" s="64">
        <v>5.85</v>
      </c>
      <c r="C55" s="64">
        <v>8.57</v>
      </c>
      <c r="D55" s="64">
        <v>9.17</v>
      </c>
      <c r="E55" s="64">
        <v>4.51</v>
      </c>
      <c r="F55" s="64">
        <v>2.11</v>
      </c>
      <c r="G55" s="64">
        <v>7.61</v>
      </c>
      <c r="H55" s="64">
        <v>1.1100000000000001</v>
      </c>
      <c r="I55" s="64">
        <v>0.86</v>
      </c>
      <c r="J55" s="64">
        <v>0.19</v>
      </c>
      <c r="K55" s="64">
        <v>292.58999999999997</v>
      </c>
      <c r="L55" s="64">
        <v>23.65</v>
      </c>
      <c r="M55" s="64">
        <v>98.11</v>
      </c>
      <c r="N55" s="64">
        <v>161.30000000000001</v>
      </c>
      <c r="O55" s="64">
        <v>0</v>
      </c>
      <c r="P55" s="64">
        <v>0.31</v>
      </c>
      <c r="Q55" s="64">
        <v>9.4600000000000009</v>
      </c>
      <c r="S55" s="198"/>
      <c r="T55" s="198"/>
      <c r="U55" s="198"/>
    </row>
    <row r="56" spans="1:21" s="12" customFormat="1" x14ac:dyDescent="0.25">
      <c r="A56" s="212" t="s">
        <v>2406</v>
      </c>
      <c r="B56" s="64">
        <v>5.87</v>
      </c>
      <c r="C56" s="64">
        <v>8.59</v>
      </c>
      <c r="D56" s="64">
        <v>9.19</v>
      </c>
      <c r="E56" s="64">
        <v>4.38</v>
      </c>
      <c r="F56" s="64">
        <v>2.21</v>
      </c>
      <c r="G56" s="64">
        <v>7.66</v>
      </c>
      <c r="H56" s="64">
        <v>1.1000000000000001</v>
      </c>
      <c r="I56" s="64">
        <v>0.89</v>
      </c>
      <c r="J56" s="64">
        <v>0.17</v>
      </c>
      <c r="K56" s="64">
        <v>285.01</v>
      </c>
      <c r="L56" s="64">
        <v>23.67</v>
      </c>
      <c r="M56" s="64">
        <v>98.11</v>
      </c>
      <c r="N56" s="64">
        <v>155.30000000000001</v>
      </c>
      <c r="O56" s="64">
        <v>0</v>
      </c>
      <c r="P56" s="64">
        <v>0.31</v>
      </c>
      <c r="Q56" s="64">
        <v>9.4600000000000009</v>
      </c>
      <c r="S56" s="198"/>
      <c r="T56" s="198"/>
      <c r="U56" s="198"/>
    </row>
    <row r="57" spans="1:21" s="12" customFormat="1" x14ac:dyDescent="0.25">
      <c r="A57" s="212" t="s">
        <v>2407</v>
      </c>
      <c r="B57" s="64">
        <v>6.04</v>
      </c>
      <c r="C57" s="64">
        <v>8.4600000000000009</v>
      </c>
      <c r="D57" s="64">
        <v>9.26</v>
      </c>
      <c r="E57" s="64">
        <v>4.37</v>
      </c>
      <c r="F57" s="64">
        <v>2.1</v>
      </c>
      <c r="G57" s="64">
        <v>7.69</v>
      </c>
      <c r="H57" s="64">
        <v>1.0900000000000001</v>
      </c>
      <c r="I57" s="64">
        <v>0.83</v>
      </c>
      <c r="J57" s="64">
        <v>0.19</v>
      </c>
      <c r="K57" s="64">
        <v>300.04000000000002</v>
      </c>
      <c r="L57" s="64">
        <v>23.52</v>
      </c>
      <c r="M57" s="64">
        <v>98.13</v>
      </c>
      <c r="N57" s="64">
        <v>147.69999999999999</v>
      </c>
      <c r="O57" s="64">
        <v>0</v>
      </c>
      <c r="P57" s="64">
        <v>0.31</v>
      </c>
      <c r="Q57" s="64">
        <v>9.4700000000000006</v>
      </c>
      <c r="S57" s="198"/>
      <c r="T57" s="198"/>
      <c r="U57" s="198"/>
    </row>
    <row r="58" spans="1:21" s="12" customFormat="1" x14ac:dyDescent="0.25">
      <c r="A58" s="212" t="s">
        <v>2408</v>
      </c>
      <c r="B58" s="64">
        <v>6.83</v>
      </c>
      <c r="C58" s="64">
        <v>8.5399999999999991</v>
      </c>
      <c r="D58" s="64">
        <v>9.94</v>
      </c>
      <c r="E58" s="64">
        <v>4.5</v>
      </c>
      <c r="F58" s="64">
        <v>2.2000000000000002</v>
      </c>
      <c r="G58" s="64">
        <v>7.69</v>
      </c>
      <c r="H58" s="64">
        <v>1.0900000000000001</v>
      </c>
      <c r="I58" s="64">
        <v>0.79</v>
      </c>
      <c r="J58" s="64">
        <v>0.21</v>
      </c>
      <c r="K58" s="64">
        <v>310.11</v>
      </c>
      <c r="L58" s="64">
        <v>23.45</v>
      </c>
      <c r="M58" s="64">
        <v>98.12</v>
      </c>
      <c r="N58" s="64">
        <v>172.7</v>
      </c>
      <c r="O58" s="64">
        <v>0</v>
      </c>
      <c r="P58" s="64">
        <v>0.31</v>
      </c>
      <c r="Q58" s="64">
        <v>9.48</v>
      </c>
      <c r="S58" s="198"/>
      <c r="T58" s="198"/>
      <c r="U58" s="198"/>
    </row>
    <row r="59" spans="1:21" s="12" customFormat="1" x14ac:dyDescent="0.25">
      <c r="A59" s="212" t="s">
        <v>2409</v>
      </c>
      <c r="B59" s="64">
        <v>6.72</v>
      </c>
      <c r="C59" s="64">
        <v>8.44</v>
      </c>
      <c r="D59" s="64">
        <v>9.8000000000000007</v>
      </c>
      <c r="E59" s="64">
        <v>4.5</v>
      </c>
      <c r="F59" s="64">
        <v>2.1</v>
      </c>
      <c r="G59" s="64">
        <v>7.69</v>
      </c>
      <c r="H59" s="64">
        <v>1.0900000000000001</v>
      </c>
      <c r="I59" s="64">
        <v>0.8</v>
      </c>
      <c r="J59" s="64">
        <v>0.16</v>
      </c>
      <c r="K59" s="64">
        <v>292.77</v>
      </c>
      <c r="L59" s="64">
        <v>23.26</v>
      </c>
      <c r="M59" s="64">
        <v>98.14</v>
      </c>
      <c r="N59" s="64">
        <v>149.4</v>
      </c>
      <c r="O59" s="64">
        <v>0.2</v>
      </c>
      <c r="P59" s="64">
        <v>0.32</v>
      </c>
      <c r="Q59" s="64">
        <v>9.5</v>
      </c>
      <c r="S59" s="198"/>
      <c r="T59" s="198"/>
      <c r="U59" s="198"/>
    </row>
    <row r="60" spans="1:21" s="12" customFormat="1" x14ac:dyDescent="0.25">
      <c r="A60" s="212" t="s">
        <v>2410</v>
      </c>
      <c r="B60" s="64">
        <v>7.29</v>
      </c>
      <c r="C60" s="64">
        <v>8.52</v>
      </c>
      <c r="D60" s="64">
        <v>10.3</v>
      </c>
      <c r="E60" s="64">
        <v>4.51</v>
      </c>
      <c r="F60" s="64">
        <v>2.12</v>
      </c>
      <c r="G60" s="64">
        <v>8.09</v>
      </c>
      <c r="H60" s="64">
        <v>1.18</v>
      </c>
      <c r="I60" s="64">
        <v>0.87</v>
      </c>
      <c r="J60" s="64">
        <v>0.19</v>
      </c>
      <c r="K60" s="64">
        <v>295.95999999999998</v>
      </c>
      <c r="L60" s="64">
        <v>23.21</v>
      </c>
      <c r="M60" s="64">
        <v>98.15</v>
      </c>
      <c r="N60" s="64">
        <v>142</v>
      </c>
      <c r="O60" s="64">
        <v>0</v>
      </c>
      <c r="P60" s="64">
        <v>0.32</v>
      </c>
      <c r="Q60" s="64">
        <v>9.52</v>
      </c>
      <c r="S60" s="198"/>
      <c r="T60" s="198"/>
      <c r="U60" s="198"/>
    </row>
    <row r="61" spans="1:21" s="12" customFormat="1" x14ac:dyDescent="0.25">
      <c r="A61" s="212" t="s">
        <v>2411</v>
      </c>
      <c r="B61" s="64">
        <v>7.27</v>
      </c>
      <c r="C61" s="64">
        <v>8.2899999999999991</v>
      </c>
      <c r="D61" s="64">
        <v>10.16</v>
      </c>
      <c r="E61" s="64">
        <v>4.29</v>
      </c>
      <c r="F61" s="64">
        <v>2.11</v>
      </c>
      <c r="G61" s="64">
        <v>8.2899999999999991</v>
      </c>
      <c r="H61" s="64">
        <v>1.23</v>
      </c>
      <c r="I61" s="64">
        <v>0.86</v>
      </c>
      <c r="J61" s="64">
        <v>0.24</v>
      </c>
      <c r="K61" s="64">
        <v>298.41000000000003</v>
      </c>
      <c r="L61" s="64">
        <v>23.13</v>
      </c>
      <c r="M61" s="64">
        <v>98.12</v>
      </c>
      <c r="N61" s="64">
        <v>107.3</v>
      </c>
      <c r="O61" s="64">
        <v>0</v>
      </c>
      <c r="P61" s="64">
        <v>0.3</v>
      </c>
      <c r="Q61" s="64">
        <v>9.5299999999999994</v>
      </c>
      <c r="S61" s="198"/>
      <c r="T61" s="198"/>
      <c r="U61" s="198"/>
    </row>
    <row r="62" spans="1:21" s="12" customFormat="1" x14ac:dyDescent="0.25">
      <c r="A62" s="212" t="s">
        <v>2412</v>
      </c>
      <c r="B62" s="64">
        <v>7.09</v>
      </c>
      <c r="C62" s="64">
        <v>8.23</v>
      </c>
      <c r="D62" s="64">
        <v>9.98</v>
      </c>
      <c r="E62" s="64">
        <v>4.2300000000000004</v>
      </c>
      <c r="F62" s="64">
        <v>2.14</v>
      </c>
      <c r="G62" s="64">
        <v>8.2899999999999991</v>
      </c>
      <c r="H62" s="64">
        <v>1.23</v>
      </c>
      <c r="I62" s="64">
        <v>0.8</v>
      </c>
      <c r="J62" s="64">
        <v>0.27</v>
      </c>
      <c r="K62" s="64">
        <v>305.81</v>
      </c>
      <c r="L62" s="64">
        <v>22.42</v>
      </c>
      <c r="M62" s="64">
        <v>98.11</v>
      </c>
      <c r="N62" s="64">
        <v>89.4</v>
      </c>
      <c r="O62" s="64">
        <v>0.2</v>
      </c>
      <c r="P62" s="64">
        <v>0.32</v>
      </c>
      <c r="Q62" s="64">
        <v>9.5500000000000007</v>
      </c>
      <c r="S62" s="198"/>
      <c r="T62" s="198"/>
      <c r="U62" s="198"/>
    </row>
    <row r="63" spans="1:21" s="12" customFormat="1" x14ac:dyDescent="0.25">
      <c r="A63" s="212" t="s">
        <v>2413</v>
      </c>
      <c r="B63" s="64">
        <v>7.03</v>
      </c>
      <c r="C63" s="64">
        <v>8.68</v>
      </c>
      <c r="D63" s="64">
        <v>10.17</v>
      </c>
      <c r="E63" s="64">
        <v>4.9800000000000004</v>
      </c>
      <c r="F63" s="64">
        <v>2.14</v>
      </c>
      <c r="G63" s="64">
        <v>8.2899999999999991</v>
      </c>
      <c r="H63" s="64">
        <v>1.23</v>
      </c>
      <c r="I63" s="64">
        <v>0.8</v>
      </c>
      <c r="J63" s="64">
        <v>0.2</v>
      </c>
      <c r="K63" s="64">
        <v>301.79000000000002</v>
      </c>
      <c r="L63" s="64">
        <v>21.78</v>
      </c>
      <c r="M63" s="64">
        <v>98.15</v>
      </c>
      <c r="N63" s="64">
        <v>104.8</v>
      </c>
      <c r="O63" s="64">
        <v>0.2</v>
      </c>
      <c r="P63" s="64">
        <v>0.31</v>
      </c>
      <c r="Q63" s="64">
        <v>9.56</v>
      </c>
      <c r="S63" s="198"/>
      <c r="T63" s="198"/>
      <c r="U63" s="198"/>
    </row>
    <row r="64" spans="1:21" s="12" customFormat="1" x14ac:dyDescent="0.25">
      <c r="A64" s="212" t="s">
        <v>2414</v>
      </c>
      <c r="B64" s="64">
        <v>9.0299999999999994</v>
      </c>
      <c r="C64" s="64">
        <v>8.92</v>
      </c>
      <c r="D64" s="64">
        <v>11.9</v>
      </c>
      <c r="E64" s="64">
        <v>4.8600000000000003</v>
      </c>
      <c r="F64" s="64">
        <v>2.2799999999999998</v>
      </c>
      <c r="G64" s="64">
        <v>7.95</v>
      </c>
      <c r="H64" s="64">
        <v>1.31</v>
      </c>
      <c r="I64" s="64">
        <v>0.78</v>
      </c>
      <c r="J64" s="64">
        <v>0.12</v>
      </c>
      <c r="K64" s="64">
        <v>312.42</v>
      </c>
      <c r="L64" s="64">
        <v>22</v>
      </c>
      <c r="M64" s="64">
        <v>98.15</v>
      </c>
      <c r="N64" s="64">
        <v>114.2</v>
      </c>
      <c r="O64" s="64">
        <v>0.2</v>
      </c>
      <c r="P64" s="64">
        <v>0.33</v>
      </c>
      <c r="Q64" s="64">
        <v>9.57</v>
      </c>
      <c r="S64" s="198"/>
      <c r="T64" s="198"/>
      <c r="U64" s="198"/>
    </row>
    <row r="65" spans="1:21" s="12" customFormat="1" x14ac:dyDescent="0.25">
      <c r="A65" s="212" t="s">
        <v>2415</v>
      </c>
      <c r="B65" s="64">
        <v>9.1</v>
      </c>
      <c r="C65" s="64">
        <v>8.7899999999999991</v>
      </c>
      <c r="D65" s="64">
        <v>11.89</v>
      </c>
      <c r="E65" s="64">
        <v>4.32</v>
      </c>
      <c r="F65" s="64">
        <v>2.2999999999999998</v>
      </c>
      <c r="G65" s="64">
        <v>7.78</v>
      </c>
      <c r="H65" s="64">
        <v>1.34</v>
      </c>
      <c r="I65" s="64">
        <v>0.83</v>
      </c>
      <c r="J65" s="64">
        <v>7.0000000000000007E-2</v>
      </c>
      <c r="K65" s="64">
        <v>323.22000000000003</v>
      </c>
      <c r="L65" s="64">
        <v>22.23</v>
      </c>
      <c r="M65" s="64">
        <v>98.15</v>
      </c>
      <c r="N65" s="64">
        <v>122.4</v>
      </c>
      <c r="O65" s="64">
        <v>0</v>
      </c>
      <c r="P65" s="64">
        <v>0.33</v>
      </c>
      <c r="Q65" s="64">
        <v>9.58</v>
      </c>
      <c r="S65" s="198"/>
      <c r="T65" s="198"/>
      <c r="U65" s="198"/>
    </row>
    <row r="66" spans="1:21" s="12" customFormat="1" x14ac:dyDescent="0.25">
      <c r="A66" s="212" t="s">
        <v>2416</v>
      </c>
      <c r="B66" s="64">
        <v>8.25</v>
      </c>
      <c r="C66" s="64">
        <v>8.08</v>
      </c>
      <c r="D66" s="64">
        <v>10.83</v>
      </c>
      <c r="E66" s="64">
        <v>4.57</v>
      </c>
      <c r="F66" s="64">
        <v>3.09</v>
      </c>
      <c r="G66" s="64">
        <v>7.78</v>
      </c>
      <c r="H66" s="64">
        <v>1.34</v>
      </c>
      <c r="I66" s="64">
        <v>0.89</v>
      </c>
      <c r="J66" s="64">
        <v>7.0000000000000007E-2</v>
      </c>
      <c r="K66" s="64">
        <v>280.31</v>
      </c>
      <c r="L66" s="64">
        <v>22.53</v>
      </c>
      <c r="M66" s="64">
        <v>98.15</v>
      </c>
      <c r="N66" s="64">
        <v>127.5</v>
      </c>
      <c r="O66" s="64">
        <v>0</v>
      </c>
      <c r="P66" s="64">
        <v>0.33</v>
      </c>
      <c r="Q66" s="64">
        <v>9.58</v>
      </c>
      <c r="S66" s="198"/>
      <c r="T66" s="198"/>
      <c r="U66" s="198"/>
    </row>
    <row r="67" spans="1:21" s="12" customFormat="1" x14ac:dyDescent="0.25">
      <c r="A67" s="212" t="s">
        <v>2417</v>
      </c>
      <c r="B67" s="64">
        <v>8.1300000000000008</v>
      </c>
      <c r="C67" s="64">
        <v>7.87</v>
      </c>
      <c r="D67" s="64">
        <v>10.63</v>
      </c>
      <c r="E67" s="64">
        <v>4.66</v>
      </c>
      <c r="F67" s="64">
        <v>3.24</v>
      </c>
      <c r="G67" s="64">
        <v>7.78</v>
      </c>
      <c r="H67" s="64">
        <v>1.34</v>
      </c>
      <c r="I67" s="64">
        <v>0.9</v>
      </c>
      <c r="J67" s="64">
        <v>0.01</v>
      </c>
      <c r="K67" s="64">
        <v>227.44</v>
      </c>
      <c r="L67" s="64">
        <v>22.76</v>
      </c>
      <c r="M67" s="64">
        <v>98.07</v>
      </c>
      <c r="N67" s="64">
        <v>107.9</v>
      </c>
      <c r="O67" s="64">
        <v>0</v>
      </c>
      <c r="P67" s="64">
        <v>0.32</v>
      </c>
      <c r="Q67" s="64">
        <v>9.6</v>
      </c>
      <c r="S67" s="198"/>
      <c r="T67" s="198"/>
      <c r="U67" s="198"/>
    </row>
    <row r="68" spans="1:21" s="12" customFormat="1" x14ac:dyDescent="0.25">
      <c r="A68" s="212" t="s">
        <v>2418</v>
      </c>
      <c r="B68" s="64">
        <v>8.61</v>
      </c>
      <c r="C68" s="64">
        <v>8.34</v>
      </c>
      <c r="D68" s="64">
        <v>11.27</v>
      </c>
      <c r="E68" s="64">
        <v>4.79</v>
      </c>
      <c r="F68" s="64">
        <v>2.87</v>
      </c>
      <c r="G68" s="64">
        <v>6.61</v>
      </c>
      <c r="H68" s="64">
        <v>1.32</v>
      </c>
      <c r="I68" s="64">
        <v>0.93</v>
      </c>
      <c r="J68" s="64">
        <v>0.08</v>
      </c>
      <c r="K68" s="64">
        <v>273.41000000000003</v>
      </c>
      <c r="L68" s="64">
        <v>22.85</v>
      </c>
      <c r="M68" s="64">
        <v>98.03</v>
      </c>
      <c r="N68" s="64">
        <v>95.2</v>
      </c>
      <c r="O68" s="64">
        <v>0</v>
      </c>
      <c r="P68" s="64">
        <v>0.33</v>
      </c>
      <c r="Q68" s="64">
        <v>9.61</v>
      </c>
      <c r="S68" s="198"/>
      <c r="T68" s="198"/>
      <c r="U68" s="198"/>
    </row>
    <row r="69" spans="1:21" s="12" customFormat="1" x14ac:dyDescent="0.25">
      <c r="A69" s="212" t="s">
        <v>2419</v>
      </c>
      <c r="B69" s="64">
        <v>8.5399999999999991</v>
      </c>
      <c r="C69" s="64">
        <v>6.93</v>
      </c>
      <c r="D69" s="64">
        <v>10.47</v>
      </c>
      <c r="E69" s="64">
        <v>4.8</v>
      </c>
      <c r="F69" s="64">
        <v>2.1</v>
      </c>
      <c r="G69" s="64">
        <v>6.02</v>
      </c>
      <c r="H69" s="64">
        <v>1.31</v>
      </c>
      <c r="I69" s="64">
        <v>0.96</v>
      </c>
      <c r="J69" s="64">
        <v>0.08</v>
      </c>
      <c r="K69" s="64">
        <v>308.48</v>
      </c>
      <c r="L69" s="64">
        <v>22.89</v>
      </c>
      <c r="M69" s="64">
        <v>98.02</v>
      </c>
      <c r="N69" s="64">
        <v>104.4</v>
      </c>
      <c r="O69" s="64">
        <v>0</v>
      </c>
      <c r="P69" s="64">
        <v>0.34</v>
      </c>
      <c r="Q69" s="64">
        <v>9.6</v>
      </c>
      <c r="S69" s="198"/>
      <c r="T69" s="198"/>
      <c r="U69" s="198"/>
    </row>
    <row r="70" spans="1:21" s="12" customFormat="1" x14ac:dyDescent="0.25">
      <c r="A70" s="212" t="s">
        <v>2420</v>
      </c>
      <c r="B70" s="64">
        <v>8.83</v>
      </c>
      <c r="C70" s="64">
        <v>6.83</v>
      </c>
      <c r="D70" s="64">
        <v>10.65</v>
      </c>
      <c r="E70" s="64">
        <v>5</v>
      </c>
      <c r="F70" s="64">
        <v>2.19</v>
      </c>
      <c r="G70" s="64">
        <v>6.02</v>
      </c>
      <c r="H70" s="64">
        <v>1.31</v>
      </c>
      <c r="I70" s="64">
        <v>0.9</v>
      </c>
      <c r="J70" s="64">
        <v>0.08</v>
      </c>
      <c r="K70" s="64">
        <v>289.91000000000003</v>
      </c>
      <c r="L70" s="64">
        <v>22.9</v>
      </c>
      <c r="M70" s="64">
        <v>98</v>
      </c>
      <c r="N70" s="64">
        <v>77</v>
      </c>
      <c r="O70" s="64">
        <v>0</v>
      </c>
      <c r="P70" s="64">
        <v>0.33</v>
      </c>
      <c r="Q70" s="64">
        <v>9.6</v>
      </c>
      <c r="S70" s="198"/>
      <c r="T70" s="198"/>
      <c r="U70" s="198"/>
    </row>
    <row r="71" spans="1:21" s="12" customFormat="1" x14ac:dyDescent="0.25">
      <c r="A71" s="212" t="s">
        <v>2421</v>
      </c>
      <c r="B71" s="64">
        <v>8.86</v>
      </c>
      <c r="C71" s="64">
        <v>6.48</v>
      </c>
      <c r="D71" s="64">
        <v>10.49</v>
      </c>
      <c r="E71" s="64">
        <v>4.74</v>
      </c>
      <c r="F71" s="64">
        <v>2.12</v>
      </c>
      <c r="G71" s="64">
        <v>6.02</v>
      </c>
      <c r="H71" s="64">
        <v>1.31</v>
      </c>
      <c r="I71" s="64">
        <v>0.84</v>
      </c>
      <c r="J71" s="64">
        <v>0.23</v>
      </c>
      <c r="K71" s="64">
        <v>307.04000000000002</v>
      </c>
      <c r="L71" s="64">
        <v>22.71</v>
      </c>
      <c r="M71" s="64">
        <v>98.03</v>
      </c>
      <c r="N71" s="64">
        <v>77</v>
      </c>
      <c r="O71" s="64">
        <v>0</v>
      </c>
      <c r="P71" s="64">
        <v>0.34</v>
      </c>
      <c r="Q71" s="64">
        <v>9.59</v>
      </c>
      <c r="S71" s="198"/>
      <c r="T71" s="198"/>
      <c r="U71" s="198"/>
    </row>
    <row r="72" spans="1:21" s="12" customFormat="1" x14ac:dyDescent="0.25">
      <c r="A72" s="212" t="s">
        <v>2422</v>
      </c>
      <c r="B72" s="64">
        <v>8.74</v>
      </c>
      <c r="C72" s="64">
        <v>6.76</v>
      </c>
      <c r="D72" s="64">
        <v>10.54</v>
      </c>
      <c r="E72" s="64">
        <v>4.1900000000000004</v>
      </c>
      <c r="F72" s="64">
        <v>2.17</v>
      </c>
      <c r="G72" s="64">
        <v>6.48</v>
      </c>
      <c r="H72" s="64">
        <v>1.29</v>
      </c>
      <c r="I72" s="64">
        <v>0.84</v>
      </c>
      <c r="J72" s="64">
        <v>0.23</v>
      </c>
      <c r="K72" s="64">
        <v>303.72000000000003</v>
      </c>
      <c r="L72" s="64">
        <v>22.54</v>
      </c>
      <c r="M72" s="64">
        <v>97.96</v>
      </c>
      <c r="N72" s="64">
        <v>79.900000000000006</v>
      </c>
      <c r="O72" s="64">
        <v>0</v>
      </c>
      <c r="P72" s="64">
        <v>0.32</v>
      </c>
      <c r="Q72" s="64">
        <v>9.57</v>
      </c>
      <c r="S72" s="198"/>
      <c r="T72" s="198"/>
      <c r="U72" s="198"/>
    </row>
    <row r="73" spans="1:21" s="12" customFormat="1" x14ac:dyDescent="0.25">
      <c r="A73" s="212" t="s">
        <v>2423</v>
      </c>
      <c r="B73" s="64">
        <v>8.69</v>
      </c>
      <c r="C73" s="64">
        <v>6.99</v>
      </c>
      <c r="D73" s="64">
        <v>10.62</v>
      </c>
      <c r="E73" s="64">
        <v>4.2</v>
      </c>
      <c r="F73" s="64">
        <v>2.14</v>
      </c>
      <c r="G73" s="64">
        <v>6.72</v>
      </c>
      <c r="H73" s="64">
        <v>1.28</v>
      </c>
      <c r="I73" s="64">
        <v>0.82</v>
      </c>
      <c r="J73" s="64">
        <v>0.11</v>
      </c>
      <c r="K73" s="64">
        <v>319.23</v>
      </c>
      <c r="L73" s="64">
        <v>22.34</v>
      </c>
      <c r="M73" s="64">
        <v>98.01</v>
      </c>
      <c r="N73" s="64">
        <v>72.2</v>
      </c>
      <c r="O73" s="64">
        <v>0</v>
      </c>
      <c r="P73" s="64">
        <v>0.33</v>
      </c>
      <c r="Q73" s="64">
        <v>9.57</v>
      </c>
      <c r="S73" s="198"/>
      <c r="T73" s="198"/>
      <c r="U73" s="198"/>
    </row>
    <row r="74" spans="1:21" s="12" customFormat="1" x14ac:dyDescent="0.25">
      <c r="A74" s="212" t="s">
        <v>2424</v>
      </c>
      <c r="B74" s="64">
        <v>8.77</v>
      </c>
      <c r="C74" s="64">
        <v>7.16</v>
      </c>
      <c r="D74" s="64">
        <v>10.77</v>
      </c>
      <c r="E74" s="64">
        <v>4</v>
      </c>
      <c r="F74" s="64">
        <v>2.12</v>
      </c>
      <c r="G74" s="64">
        <v>6.72</v>
      </c>
      <c r="H74" s="64">
        <v>1.28</v>
      </c>
      <c r="I74" s="64">
        <v>0.8</v>
      </c>
      <c r="J74" s="64">
        <v>0.11</v>
      </c>
      <c r="K74" s="64">
        <v>309.07</v>
      </c>
      <c r="L74" s="64">
        <v>22.32</v>
      </c>
      <c r="M74" s="64">
        <v>98.05</v>
      </c>
      <c r="N74" s="64">
        <v>72</v>
      </c>
      <c r="O74" s="64">
        <v>0</v>
      </c>
      <c r="P74" s="64">
        <v>0.31</v>
      </c>
      <c r="Q74" s="64">
        <v>9.58</v>
      </c>
      <c r="S74" s="198"/>
      <c r="T74" s="198"/>
      <c r="U74" s="198"/>
    </row>
    <row r="75" spans="1:21" s="12" customFormat="1" x14ac:dyDescent="0.25">
      <c r="A75" s="212" t="s">
        <v>2425</v>
      </c>
      <c r="B75" s="64">
        <v>8.59</v>
      </c>
      <c r="C75" s="64">
        <v>7.12</v>
      </c>
      <c r="D75" s="64">
        <v>10.61</v>
      </c>
      <c r="E75" s="64">
        <v>4.0199999999999996</v>
      </c>
      <c r="F75" s="64">
        <v>2.1</v>
      </c>
      <c r="G75" s="64">
        <v>6.72</v>
      </c>
      <c r="H75" s="64">
        <v>1.28</v>
      </c>
      <c r="I75" s="64">
        <v>0.85</v>
      </c>
      <c r="J75" s="64">
        <v>0.12</v>
      </c>
      <c r="K75" s="64">
        <v>316.61</v>
      </c>
      <c r="L75" s="64">
        <v>22.36</v>
      </c>
      <c r="M75" s="64">
        <v>98.06</v>
      </c>
      <c r="N75" s="64">
        <v>68</v>
      </c>
      <c r="O75" s="64">
        <v>0</v>
      </c>
      <c r="P75" s="64">
        <v>0.34</v>
      </c>
      <c r="Q75" s="64">
        <v>9.58</v>
      </c>
      <c r="S75" s="198"/>
      <c r="T75" s="198"/>
      <c r="U75" s="198"/>
    </row>
    <row r="76" spans="1:21" s="12" customFormat="1" x14ac:dyDescent="0.25">
      <c r="A76" s="212" t="s">
        <v>2426</v>
      </c>
      <c r="B76" s="64">
        <v>8.61</v>
      </c>
      <c r="C76" s="64">
        <v>7.13</v>
      </c>
      <c r="D76" s="64">
        <v>10.63</v>
      </c>
      <c r="E76" s="64">
        <v>4.05</v>
      </c>
      <c r="F76" s="64">
        <v>2.17</v>
      </c>
      <c r="G76" s="64">
        <v>5.8</v>
      </c>
      <c r="H76" s="64">
        <v>1.29</v>
      </c>
      <c r="I76" s="64">
        <v>0.85</v>
      </c>
      <c r="J76" s="64">
        <v>0.1</v>
      </c>
      <c r="K76" s="64">
        <v>313.75</v>
      </c>
      <c r="L76" s="64">
        <v>22.36</v>
      </c>
      <c r="M76" s="64">
        <v>98.06</v>
      </c>
      <c r="N76" s="64">
        <v>72.3</v>
      </c>
      <c r="O76" s="64">
        <v>0</v>
      </c>
      <c r="P76" s="64">
        <v>0.33</v>
      </c>
      <c r="Q76" s="64">
        <v>9.58</v>
      </c>
      <c r="S76" s="198"/>
      <c r="T76" s="198"/>
      <c r="U76" s="198"/>
    </row>
    <row r="77" spans="1:21" s="12" customFormat="1" x14ac:dyDescent="0.25">
      <c r="A77" s="212" t="s">
        <v>2427</v>
      </c>
      <c r="B77" s="64">
        <v>8.64</v>
      </c>
      <c r="C77" s="64">
        <v>6.89</v>
      </c>
      <c r="D77" s="64">
        <v>10.53</v>
      </c>
      <c r="E77" s="64">
        <v>4.17</v>
      </c>
      <c r="F77" s="64">
        <v>2.25</v>
      </c>
      <c r="G77" s="64">
        <v>5.34</v>
      </c>
      <c r="H77" s="64">
        <v>1.29</v>
      </c>
      <c r="I77" s="64">
        <v>0.81</v>
      </c>
      <c r="J77" s="64">
        <v>0.09</v>
      </c>
      <c r="K77" s="64">
        <v>305.41000000000003</v>
      </c>
      <c r="L77" s="64">
        <v>22.43</v>
      </c>
      <c r="M77" s="64">
        <v>98.08</v>
      </c>
      <c r="N77" s="64">
        <v>69.900000000000006</v>
      </c>
      <c r="O77" s="64">
        <v>0</v>
      </c>
      <c r="P77" s="64">
        <v>0.34</v>
      </c>
      <c r="Q77" s="64">
        <v>9.58</v>
      </c>
      <c r="S77" s="198"/>
      <c r="T77" s="198"/>
      <c r="U77" s="198"/>
    </row>
    <row r="78" spans="1:21" s="12" customFormat="1" x14ac:dyDescent="0.25">
      <c r="A78" s="212" t="s">
        <v>2428</v>
      </c>
      <c r="B78" s="64">
        <v>8.69</v>
      </c>
      <c r="C78" s="64">
        <v>7.23</v>
      </c>
      <c r="D78" s="64">
        <v>10.75</v>
      </c>
      <c r="E78" s="64">
        <v>4.2699999999999996</v>
      </c>
      <c r="F78" s="64">
        <v>2.42</v>
      </c>
      <c r="G78" s="64">
        <v>5.34</v>
      </c>
      <c r="H78" s="64">
        <v>1.29</v>
      </c>
      <c r="I78" s="64">
        <v>0.83</v>
      </c>
      <c r="J78" s="64">
        <v>0.06</v>
      </c>
      <c r="K78" s="64">
        <v>262.36</v>
      </c>
      <c r="L78" s="64">
        <v>22.51</v>
      </c>
      <c r="M78" s="64">
        <v>98.08</v>
      </c>
      <c r="N78" s="64">
        <v>63.3</v>
      </c>
      <c r="O78" s="64">
        <v>0</v>
      </c>
      <c r="P78" s="64">
        <v>0.33</v>
      </c>
      <c r="Q78" s="64">
        <v>9.58</v>
      </c>
      <c r="S78" s="198"/>
      <c r="T78" s="198"/>
      <c r="U78" s="198"/>
    </row>
    <row r="79" spans="1:21" s="12" customFormat="1" x14ac:dyDescent="0.25">
      <c r="A79" s="212" t="s">
        <v>2429</v>
      </c>
      <c r="B79" s="64">
        <v>9.14</v>
      </c>
      <c r="C79" s="64">
        <v>7.39</v>
      </c>
      <c r="D79" s="64">
        <v>11.19</v>
      </c>
      <c r="E79" s="64">
        <v>4.38</v>
      </c>
      <c r="F79" s="64">
        <v>2.1800000000000002</v>
      </c>
      <c r="G79" s="64">
        <v>5.34</v>
      </c>
      <c r="H79" s="64">
        <v>1.29</v>
      </c>
      <c r="I79" s="64">
        <v>0.83</v>
      </c>
      <c r="J79" s="64">
        <v>0.04</v>
      </c>
      <c r="K79" s="64">
        <v>279.95</v>
      </c>
      <c r="L79" s="64">
        <v>22.55</v>
      </c>
      <c r="M79" s="64">
        <v>98.08</v>
      </c>
      <c r="N79" s="64">
        <v>56</v>
      </c>
      <c r="O79" s="64">
        <v>0</v>
      </c>
      <c r="P79" s="64">
        <v>0.35</v>
      </c>
      <c r="Q79" s="64">
        <v>9.59</v>
      </c>
      <c r="S79" s="198"/>
      <c r="T79" s="198"/>
      <c r="U79" s="198"/>
    </row>
    <row r="80" spans="1:21" s="12" customFormat="1" x14ac:dyDescent="0.25">
      <c r="A80" s="212" t="s">
        <v>2430</v>
      </c>
      <c r="B80" s="64">
        <v>9.76</v>
      </c>
      <c r="C80" s="64">
        <v>7.94</v>
      </c>
      <c r="D80" s="64">
        <v>11.98</v>
      </c>
      <c r="E80" s="64">
        <v>4.47</v>
      </c>
      <c r="F80" s="64">
        <v>2.1</v>
      </c>
      <c r="G80" s="64">
        <v>5.91</v>
      </c>
      <c r="H80" s="64">
        <v>1.29</v>
      </c>
      <c r="I80" s="64">
        <v>0.84</v>
      </c>
      <c r="J80" s="64">
        <v>0.02</v>
      </c>
      <c r="K80" s="64">
        <v>188.18</v>
      </c>
      <c r="L80" s="64">
        <v>22.53</v>
      </c>
      <c r="M80" s="64">
        <v>98.08</v>
      </c>
      <c r="N80" s="64">
        <v>50.2</v>
      </c>
      <c r="O80" s="64">
        <v>0</v>
      </c>
      <c r="P80" s="64">
        <v>0.34</v>
      </c>
      <c r="Q80" s="64">
        <v>9.58</v>
      </c>
      <c r="S80" s="198"/>
      <c r="T80" s="198"/>
      <c r="U80" s="198"/>
    </row>
    <row r="81" spans="1:26" s="12" customFormat="1" x14ac:dyDescent="0.25">
      <c r="A81" s="212" t="s">
        <v>2431</v>
      </c>
      <c r="B81" s="64">
        <v>9.6300000000000008</v>
      </c>
      <c r="C81" s="64">
        <v>7.29</v>
      </c>
      <c r="D81" s="64">
        <v>11.54</v>
      </c>
      <c r="E81" s="64">
        <v>4.25</v>
      </c>
      <c r="F81" s="64">
        <v>2.41</v>
      </c>
      <c r="G81" s="64">
        <v>6.2</v>
      </c>
      <c r="H81" s="64">
        <v>1.29</v>
      </c>
      <c r="I81" s="64">
        <v>0.85</v>
      </c>
      <c r="J81" s="64">
        <v>0.06</v>
      </c>
      <c r="K81" s="64">
        <v>321.22000000000003</v>
      </c>
      <c r="L81" s="64">
        <v>22.55</v>
      </c>
      <c r="M81" s="64">
        <v>98.08</v>
      </c>
      <c r="N81" s="64">
        <v>46</v>
      </c>
      <c r="O81" s="64">
        <v>0</v>
      </c>
      <c r="P81" s="64">
        <v>0.35</v>
      </c>
      <c r="Q81" s="64">
        <v>9.59</v>
      </c>
      <c r="S81" s="198"/>
      <c r="T81" s="198"/>
      <c r="U81" s="198"/>
    </row>
    <row r="82" spans="1:26" s="12" customFormat="1" x14ac:dyDescent="0.25">
      <c r="A82" s="212" t="s">
        <v>2432</v>
      </c>
      <c r="B82" s="64">
        <v>8.27</v>
      </c>
      <c r="C82" s="64">
        <v>7.78</v>
      </c>
      <c r="D82" s="64">
        <v>10.69</v>
      </c>
      <c r="E82" s="64">
        <v>3.95</v>
      </c>
      <c r="F82" s="64">
        <v>2.58</v>
      </c>
      <c r="G82" s="64">
        <v>6.2</v>
      </c>
      <c r="H82" s="64">
        <v>1.29</v>
      </c>
      <c r="I82" s="64">
        <v>0.86</v>
      </c>
      <c r="J82" s="64">
        <v>0.04</v>
      </c>
      <c r="K82" s="64">
        <v>258.2</v>
      </c>
      <c r="L82" s="64">
        <v>22.52</v>
      </c>
      <c r="M82" s="64">
        <v>98.08</v>
      </c>
      <c r="N82" s="64">
        <v>43.6</v>
      </c>
      <c r="O82" s="64">
        <v>0</v>
      </c>
      <c r="P82" s="64">
        <v>0.35</v>
      </c>
      <c r="Q82" s="64">
        <v>9.59</v>
      </c>
      <c r="S82" s="198"/>
      <c r="T82" s="198"/>
      <c r="U82" s="198"/>
    </row>
    <row r="83" spans="1:26" s="12" customFormat="1" x14ac:dyDescent="0.25">
      <c r="A83" s="212" t="s">
        <v>2433</v>
      </c>
      <c r="B83" s="64">
        <v>10.7</v>
      </c>
      <c r="C83" s="64">
        <v>7.99</v>
      </c>
      <c r="D83" s="64">
        <v>12.76</v>
      </c>
      <c r="E83" s="64">
        <v>4.13</v>
      </c>
      <c r="F83" s="64">
        <v>2.42</v>
      </c>
      <c r="G83" s="64">
        <v>6.2</v>
      </c>
      <c r="H83" s="64">
        <v>1.29</v>
      </c>
      <c r="I83" s="64">
        <v>0.86</v>
      </c>
      <c r="J83" s="64">
        <v>0.04</v>
      </c>
      <c r="K83" s="64">
        <v>275.73</v>
      </c>
      <c r="L83" s="64">
        <v>22.56</v>
      </c>
      <c r="M83" s="64">
        <v>98.08</v>
      </c>
      <c r="N83" s="64">
        <v>43</v>
      </c>
      <c r="O83" s="64">
        <v>0</v>
      </c>
      <c r="P83" s="64">
        <v>0.42</v>
      </c>
      <c r="Q83" s="64">
        <v>9.6</v>
      </c>
      <c r="S83" s="198"/>
      <c r="T83" s="198"/>
      <c r="U83" s="198"/>
    </row>
    <row r="84" spans="1:26" s="12" customFormat="1" x14ac:dyDescent="0.25">
      <c r="A84" s="212" t="s">
        <v>2434</v>
      </c>
      <c r="B84" s="64">
        <v>12.27</v>
      </c>
      <c r="C84" s="64">
        <v>9.09</v>
      </c>
      <c r="D84" s="64">
        <v>14.59</v>
      </c>
      <c r="E84" s="64">
        <v>3.99</v>
      </c>
      <c r="F84" s="64">
        <v>2.58</v>
      </c>
      <c r="G84" s="64">
        <v>5.71</v>
      </c>
      <c r="H84" s="64">
        <v>1.27</v>
      </c>
      <c r="I84" s="64">
        <v>0.88</v>
      </c>
      <c r="J84" s="64">
        <v>0.04</v>
      </c>
      <c r="K84" s="64">
        <v>200.48</v>
      </c>
      <c r="L84" s="64">
        <v>22.59</v>
      </c>
      <c r="M84" s="64">
        <v>98.08</v>
      </c>
      <c r="N84" s="64">
        <v>43</v>
      </c>
      <c r="O84" s="64">
        <v>0</v>
      </c>
      <c r="P84" s="64">
        <v>0.41</v>
      </c>
      <c r="Q84" s="64">
        <v>9.6</v>
      </c>
      <c r="S84" s="198"/>
      <c r="T84" s="198"/>
      <c r="U84" s="198"/>
    </row>
    <row r="85" spans="1:26" s="12" customFormat="1" x14ac:dyDescent="0.25">
      <c r="A85" s="212" t="s">
        <v>2435</v>
      </c>
      <c r="B85" s="64">
        <v>10.51</v>
      </c>
      <c r="C85" s="64">
        <v>7.04</v>
      </c>
      <c r="D85" s="64">
        <v>12.11</v>
      </c>
      <c r="E85" s="64">
        <v>4.03</v>
      </c>
      <c r="F85" s="64">
        <v>2.13</v>
      </c>
      <c r="G85" s="64">
        <v>5.46</v>
      </c>
      <c r="H85" s="64">
        <v>1.26</v>
      </c>
      <c r="I85" s="64">
        <v>0.89</v>
      </c>
      <c r="J85" s="64">
        <v>0.04</v>
      </c>
      <c r="K85" s="64">
        <v>278.45999999999998</v>
      </c>
      <c r="L85" s="64">
        <v>22.58</v>
      </c>
      <c r="M85" s="64">
        <v>98.08</v>
      </c>
      <c r="N85" s="64">
        <v>43</v>
      </c>
      <c r="O85" s="64">
        <v>0</v>
      </c>
      <c r="P85" s="64">
        <v>0.34</v>
      </c>
      <c r="Q85" s="64">
        <v>9.61</v>
      </c>
      <c r="S85" s="198"/>
      <c r="T85" s="198"/>
      <c r="U85" s="198"/>
    </row>
    <row r="86" spans="1:26" s="12" customFormat="1" x14ac:dyDescent="0.25">
      <c r="A86" s="212" t="s">
        <v>2436</v>
      </c>
      <c r="B86" s="64">
        <v>9.9700000000000006</v>
      </c>
      <c r="C86" s="64">
        <v>8.08</v>
      </c>
      <c r="D86" s="64">
        <v>12.22</v>
      </c>
      <c r="E86" s="64">
        <v>4.21</v>
      </c>
      <c r="F86" s="64">
        <v>2.78</v>
      </c>
      <c r="G86" s="64">
        <v>5.46</v>
      </c>
      <c r="H86" s="64">
        <v>1.26</v>
      </c>
      <c r="I86" s="64">
        <v>0.91</v>
      </c>
      <c r="J86" s="64">
        <v>0.04</v>
      </c>
      <c r="K86" s="64">
        <v>173.76</v>
      </c>
      <c r="L86" s="64">
        <v>22.62</v>
      </c>
      <c r="M86" s="64">
        <v>98.05</v>
      </c>
      <c r="N86" s="64">
        <v>43</v>
      </c>
      <c r="O86" s="64">
        <v>0</v>
      </c>
      <c r="P86" s="64">
        <v>0.37</v>
      </c>
      <c r="Q86" s="64">
        <v>9.61</v>
      </c>
      <c r="S86" s="198"/>
      <c r="T86" s="198"/>
      <c r="U86" s="198"/>
    </row>
    <row r="87" spans="1:26" s="12" customFormat="1" x14ac:dyDescent="0.25">
      <c r="A87" s="212" t="s">
        <v>2437</v>
      </c>
      <c r="B87" s="64">
        <v>10.27</v>
      </c>
      <c r="C87" s="64">
        <v>7.02</v>
      </c>
      <c r="D87" s="64">
        <v>11.9</v>
      </c>
      <c r="E87" s="64">
        <v>4.1500000000000004</v>
      </c>
      <c r="F87" s="64">
        <v>2.74</v>
      </c>
      <c r="G87" s="64">
        <v>5.46</v>
      </c>
      <c r="H87" s="64">
        <v>1.26</v>
      </c>
      <c r="I87" s="64">
        <v>0.93</v>
      </c>
      <c r="J87" s="64">
        <v>0.04</v>
      </c>
      <c r="K87" s="64">
        <v>167.63</v>
      </c>
      <c r="L87" s="64">
        <v>22.65</v>
      </c>
      <c r="M87" s="64">
        <v>98.07</v>
      </c>
      <c r="N87" s="64">
        <v>43</v>
      </c>
      <c r="O87" s="64">
        <v>0</v>
      </c>
      <c r="P87" s="64">
        <v>0.37</v>
      </c>
      <c r="Q87" s="64">
        <v>9.6300000000000008</v>
      </c>
      <c r="S87" s="198"/>
      <c r="T87" s="198"/>
      <c r="U87" s="198"/>
    </row>
    <row r="88" spans="1:26" s="12" customFormat="1" x14ac:dyDescent="0.25">
      <c r="A88" s="212" t="s">
        <v>2438</v>
      </c>
      <c r="B88" s="64">
        <v>9.32</v>
      </c>
      <c r="C88" s="64">
        <v>7.98</v>
      </c>
      <c r="D88" s="64">
        <v>11.64</v>
      </c>
      <c r="E88" s="64">
        <v>4.25</v>
      </c>
      <c r="F88" s="64">
        <v>3.75</v>
      </c>
      <c r="G88" s="64">
        <v>7.74</v>
      </c>
      <c r="H88" s="64">
        <v>1.24</v>
      </c>
      <c r="I88" s="64">
        <v>0.94</v>
      </c>
      <c r="J88" s="64">
        <v>0.05</v>
      </c>
      <c r="K88" s="64">
        <v>231.61</v>
      </c>
      <c r="L88" s="64">
        <v>22.69</v>
      </c>
      <c r="M88" s="64">
        <v>98.08</v>
      </c>
      <c r="N88" s="64">
        <v>43</v>
      </c>
      <c r="O88" s="64">
        <v>0</v>
      </c>
      <c r="P88" s="64">
        <v>0.39</v>
      </c>
      <c r="Q88" s="64">
        <v>9.6300000000000008</v>
      </c>
      <c r="S88" s="198"/>
      <c r="T88" s="198"/>
      <c r="U88" s="198"/>
    </row>
    <row r="89" spans="1:26" s="12" customFormat="1" x14ac:dyDescent="0.25">
      <c r="A89" s="212" t="s">
        <v>2439</v>
      </c>
      <c r="B89" s="64">
        <v>12.35</v>
      </c>
      <c r="C89" s="64">
        <v>7.07</v>
      </c>
      <c r="D89" s="64">
        <v>13.56</v>
      </c>
      <c r="E89" s="64">
        <v>4.47</v>
      </c>
      <c r="F89" s="64">
        <v>2.64</v>
      </c>
      <c r="G89" s="64">
        <v>8.8800000000000008</v>
      </c>
      <c r="H89" s="64">
        <v>1.24</v>
      </c>
      <c r="I89" s="64">
        <v>0.95</v>
      </c>
      <c r="J89" s="64">
        <v>0.02</v>
      </c>
      <c r="K89" s="64">
        <v>257.39999999999998</v>
      </c>
      <c r="L89" s="64">
        <v>22.72</v>
      </c>
      <c r="M89" s="64">
        <v>98.09</v>
      </c>
      <c r="N89" s="64">
        <v>43</v>
      </c>
      <c r="O89" s="64">
        <v>0</v>
      </c>
      <c r="P89" s="64">
        <v>0.47</v>
      </c>
      <c r="Q89" s="64">
        <v>9.6300000000000008</v>
      </c>
      <c r="S89" s="198"/>
      <c r="T89" s="198"/>
      <c r="U89" s="198"/>
    </row>
    <row r="90" spans="1:26" s="12" customFormat="1" x14ac:dyDescent="0.25">
      <c r="A90" s="212" t="s">
        <v>2440</v>
      </c>
      <c r="B90" s="64">
        <v>12.15</v>
      </c>
      <c r="C90" s="64">
        <v>8.7200000000000006</v>
      </c>
      <c r="D90" s="64">
        <v>14.3</v>
      </c>
      <c r="E90" s="64">
        <v>4.3099999999999996</v>
      </c>
      <c r="F90" s="64">
        <v>2.94</v>
      </c>
      <c r="G90" s="64">
        <v>8.8800000000000008</v>
      </c>
      <c r="H90" s="64">
        <v>1.24</v>
      </c>
      <c r="I90" s="64">
        <v>0.97</v>
      </c>
      <c r="J90" s="64">
        <v>0.03</v>
      </c>
      <c r="K90" s="64">
        <v>187.52</v>
      </c>
      <c r="L90" s="64">
        <v>22.76</v>
      </c>
      <c r="M90" s="64">
        <v>98.1</v>
      </c>
      <c r="N90" s="64">
        <v>43.1</v>
      </c>
      <c r="O90" s="64">
        <v>0</v>
      </c>
      <c r="P90" s="64">
        <v>0.44</v>
      </c>
      <c r="Q90" s="64">
        <v>9.64</v>
      </c>
      <c r="S90" s="198"/>
      <c r="T90" s="198"/>
      <c r="U90" s="198"/>
    </row>
    <row r="91" spans="1:26" s="12" customFormat="1" x14ac:dyDescent="0.25">
      <c r="A91" s="212" t="s">
        <v>2441</v>
      </c>
      <c r="B91" s="64">
        <v>10.63</v>
      </c>
      <c r="C91" s="64">
        <v>7.97</v>
      </c>
      <c r="D91" s="64">
        <v>12.69</v>
      </c>
      <c r="E91" s="64">
        <v>4.26</v>
      </c>
      <c r="F91" s="64">
        <v>3.44</v>
      </c>
      <c r="G91" s="64">
        <v>8.8800000000000008</v>
      </c>
      <c r="H91" s="64">
        <v>1.24</v>
      </c>
      <c r="I91" s="64">
        <v>0.98</v>
      </c>
      <c r="J91" s="64">
        <v>0.04</v>
      </c>
      <c r="K91" s="64">
        <v>299.11</v>
      </c>
      <c r="L91" s="64">
        <v>22.86</v>
      </c>
      <c r="M91" s="64">
        <v>98.09</v>
      </c>
      <c r="N91" s="64">
        <v>43.3</v>
      </c>
      <c r="O91" s="64">
        <v>0</v>
      </c>
      <c r="P91" s="64">
        <v>0.4</v>
      </c>
      <c r="Q91" s="64">
        <v>9.6300000000000008</v>
      </c>
      <c r="S91" s="198"/>
      <c r="T91" s="198"/>
      <c r="U91" s="198"/>
    </row>
    <row r="92" spans="1:26" s="12" customFormat="1" x14ac:dyDescent="0.25">
      <c r="A92" s="212" t="s">
        <v>2442</v>
      </c>
      <c r="B92" s="64">
        <v>10.23</v>
      </c>
      <c r="C92" s="64">
        <v>8.33</v>
      </c>
      <c r="D92" s="64">
        <v>12.55</v>
      </c>
      <c r="E92" s="64">
        <v>4.4800000000000004</v>
      </c>
      <c r="F92" s="64">
        <v>3.56</v>
      </c>
      <c r="G92" s="64">
        <v>8.77</v>
      </c>
      <c r="H92" s="64">
        <v>1.22</v>
      </c>
      <c r="I92" s="64">
        <v>0.98</v>
      </c>
      <c r="J92" s="64">
        <v>0.04</v>
      </c>
      <c r="K92" s="64">
        <v>246.71</v>
      </c>
      <c r="L92" s="64">
        <v>22.92</v>
      </c>
      <c r="M92" s="64">
        <v>98.08</v>
      </c>
      <c r="N92" s="64">
        <v>43.3</v>
      </c>
      <c r="O92" s="64">
        <v>0</v>
      </c>
      <c r="P92" s="64">
        <v>0.39</v>
      </c>
      <c r="Q92" s="64">
        <v>9.6300000000000008</v>
      </c>
      <c r="S92" s="198"/>
      <c r="T92" s="198"/>
      <c r="U92" s="198"/>
    </row>
    <row r="93" spans="1:26" s="12" customFormat="1" x14ac:dyDescent="0.25">
      <c r="A93" s="212" t="s">
        <v>2443</v>
      </c>
      <c r="B93" s="64">
        <v>10.15</v>
      </c>
      <c r="C93" s="64">
        <v>8.09</v>
      </c>
      <c r="D93" s="64">
        <v>12.36</v>
      </c>
      <c r="E93" s="64">
        <v>4.3600000000000003</v>
      </c>
      <c r="F93" s="64">
        <v>3.12</v>
      </c>
      <c r="G93" s="64">
        <v>8.7200000000000006</v>
      </c>
      <c r="H93" s="64">
        <v>1.21</v>
      </c>
      <c r="I93" s="64">
        <v>0.99</v>
      </c>
      <c r="J93" s="64">
        <v>0.09</v>
      </c>
      <c r="K93" s="64">
        <v>300.61</v>
      </c>
      <c r="L93" s="64">
        <v>22.96</v>
      </c>
      <c r="M93" s="64">
        <v>98.1</v>
      </c>
      <c r="N93" s="64">
        <v>43.4</v>
      </c>
      <c r="O93" s="64">
        <v>0</v>
      </c>
      <c r="P93" s="64">
        <v>0.41</v>
      </c>
      <c r="Q93" s="64">
        <v>9.6199999999999992</v>
      </c>
      <c r="S93" s="198"/>
      <c r="T93" s="198"/>
      <c r="U93" s="198"/>
    </row>
    <row r="94" spans="1:26" s="12" customFormat="1" x14ac:dyDescent="0.25">
      <c r="A94" s="212" t="s">
        <v>2444</v>
      </c>
      <c r="B94" s="64">
        <v>11</v>
      </c>
      <c r="C94" s="64">
        <v>7.26</v>
      </c>
      <c r="D94" s="64">
        <v>12.61</v>
      </c>
      <c r="E94" s="64">
        <v>4.57</v>
      </c>
      <c r="F94" s="64">
        <v>3.79</v>
      </c>
      <c r="G94" s="64">
        <v>8.7200000000000006</v>
      </c>
      <c r="H94" s="64">
        <v>1.21</v>
      </c>
      <c r="I94" s="64">
        <v>0.99</v>
      </c>
      <c r="J94" s="64">
        <v>0.08</v>
      </c>
      <c r="K94" s="64">
        <v>270.47000000000003</v>
      </c>
      <c r="L94" s="64">
        <v>22.98</v>
      </c>
      <c r="M94" s="64">
        <v>98.1</v>
      </c>
      <c r="N94" s="64">
        <v>43.4</v>
      </c>
      <c r="O94" s="64">
        <v>0</v>
      </c>
      <c r="P94" s="64">
        <v>0.37</v>
      </c>
      <c r="Q94" s="64">
        <v>9.6300000000000008</v>
      </c>
      <c r="S94" s="198"/>
      <c r="T94" s="198"/>
      <c r="U94" s="198"/>
    </row>
    <row r="95" spans="1:26" s="12" customFormat="1" x14ac:dyDescent="0.25">
      <c r="A95" s="212" t="s">
        <v>2445</v>
      </c>
      <c r="B95" s="64">
        <v>10.23</v>
      </c>
      <c r="C95" s="64">
        <v>6.87</v>
      </c>
      <c r="D95" s="64">
        <v>11.8</v>
      </c>
      <c r="E95" s="64">
        <v>4.7300000000000004</v>
      </c>
      <c r="F95" s="64">
        <v>4.1100000000000003</v>
      </c>
      <c r="G95" s="64">
        <v>8.7200000000000006</v>
      </c>
      <c r="H95" s="64">
        <v>1.21</v>
      </c>
      <c r="I95" s="64">
        <v>1</v>
      </c>
      <c r="J95" s="64">
        <v>0.06</v>
      </c>
      <c r="K95" s="64">
        <v>283.68</v>
      </c>
      <c r="L95" s="64">
        <v>22.99</v>
      </c>
      <c r="M95" s="64">
        <v>98.09</v>
      </c>
      <c r="N95" s="64">
        <v>43.4</v>
      </c>
      <c r="O95" s="64">
        <v>0</v>
      </c>
      <c r="P95" s="64">
        <v>0.37</v>
      </c>
      <c r="Q95" s="64">
        <v>9.65</v>
      </c>
      <c r="S95" s="198"/>
      <c r="T95" s="198"/>
      <c r="U95" s="198"/>
    </row>
    <row r="96" spans="1:26" s="12" customFormat="1" x14ac:dyDescent="0.25">
      <c r="A96" s="212" t="s">
        <v>2446</v>
      </c>
      <c r="B96" s="64">
        <v>10.91</v>
      </c>
      <c r="C96" s="64">
        <v>6.66</v>
      </c>
      <c r="D96" s="64">
        <v>12.23</v>
      </c>
      <c r="E96" s="64">
        <v>4.4800000000000004</v>
      </c>
      <c r="F96" s="64">
        <v>3.84</v>
      </c>
      <c r="G96" s="64">
        <v>7.38</v>
      </c>
      <c r="H96" s="64">
        <v>1.19</v>
      </c>
      <c r="I96" s="64">
        <v>1</v>
      </c>
      <c r="J96" s="64">
        <v>0.1</v>
      </c>
      <c r="K96" s="64">
        <v>316.75</v>
      </c>
      <c r="L96" s="64">
        <v>23.03</v>
      </c>
      <c r="M96" s="64">
        <v>98.07</v>
      </c>
      <c r="N96" s="64">
        <v>43.6</v>
      </c>
      <c r="O96" s="64">
        <v>0</v>
      </c>
      <c r="P96" s="64">
        <v>0.36</v>
      </c>
      <c r="Q96" s="64">
        <v>9.64</v>
      </c>
      <c r="S96" s="198"/>
      <c r="T96" s="198"/>
      <c r="U96" s="198"/>
      <c r="Z96" s="109"/>
    </row>
    <row r="97" spans="1:33" s="12" customFormat="1" x14ac:dyDescent="0.25">
      <c r="A97" s="212" t="s">
        <v>2447</v>
      </c>
      <c r="B97" s="64">
        <v>10.09</v>
      </c>
      <c r="C97" s="64">
        <v>5.97</v>
      </c>
      <c r="D97" s="64">
        <v>11.21</v>
      </c>
      <c r="E97" s="64">
        <v>4.32</v>
      </c>
      <c r="F97" s="64">
        <v>3</v>
      </c>
      <c r="G97" s="64">
        <v>6.71</v>
      </c>
      <c r="H97" s="64">
        <v>1.18</v>
      </c>
      <c r="I97" s="64">
        <v>1</v>
      </c>
      <c r="J97" s="64">
        <v>0.13</v>
      </c>
      <c r="K97" s="64">
        <v>305.44</v>
      </c>
      <c r="L97" s="64">
        <v>23.19</v>
      </c>
      <c r="M97" s="64">
        <v>98.05</v>
      </c>
      <c r="N97" s="64">
        <v>43.8</v>
      </c>
      <c r="O97" s="64">
        <v>0</v>
      </c>
      <c r="P97" s="64">
        <v>0.36</v>
      </c>
      <c r="Q97" s="64">
        <v>9.6300000000000008</v>
      </c>
      <c r="S97" s="198"/>
      <c r="T97" s="198"/>
      <c r="U97" s="198"/>
    </row>
    <row r="98" spans="1:33" s="12" customFormat="1" x14ac:dyDescent="0.25">
      <c r="A98" s="212" t="s">
        <v>2448</v>
      </c>
      <c r="B98" s="64">
        <v>10.27</v>
      </c>
      <c r="C98" s="64">
        <v>5.89</v>
      </c>
      <c r="D98" s="64">
        <v>11.31</v>
      </c>
      <c r="E98" s="64">
        <v>4.33</v>
      </c>
      <c r="F98" s="64">
        <v>2.81</v>
      </c>
      <c r="G98" s="64">
        <v>6.71</v>
      </c>
      <c r="H98" s="64">
        <v>1.18</v>
      </c>
      <c r="I98" s="64">
        <v>0.99</v>
      </c>
      <c r="J98" s="64">
        <v>0.2</v>
      </c>
      <c r="K98" s="64">
        <v>309.06</v>
      </c>
      <c r="L98" s="64">
        <v>23.25</v>
      </c>
      <c r="M98" s="64">
        <v>98.03</v>
      </c>
      <c r="N98" s="64">
        <v>44.1</v>
      </c>
      <c r="O98" s="64">
        <v>0</v>
      </c>
      <c r="P98" s="64">
        <v>0.37</v>
      </c>
      <c r="Q98" s="64">
        <v>9.65</v>
      </c>
      <c r="S98" s="198"/>
      <c r="T98" s="198"/>
      <c r="U98" s="198"/>
    </row>
    <row r="99" spans="1:33" s="12" customFormat="1" x14ac:dyDescent="0.25">
      <c r="A99" s="212" t="s">
        <v>2449</v>
      </c>
      <c r="B99" s="64">
        <v>10.19</v>
      </c>
      <c r="C99" s="64">
        <v>6.08</v>
      </c>
      <c r="D99" s="64">
        <v>11.34</v>
      </c>
      <c r="E99" s="64">
        <v>4.26</v>
      </c>
      <c r="F99" s="64">
        <v>2.39</v>
      </c>
      <c r="G99" s="64">
        <v>6.71</v>
      </c>
      <c r="H99" s="64">
        <v>1.18</v>
      </c>
      <c r="I99" s="64">
        <v>0.98</v>
      </c>
      <c r="J99" s="64">
        <v>0.15</v>
      </c>
      <c r="K99" s="64">
        <v>306.19</v>
      </c>
      <c r="L99" s="64">
        <v>23.28</v>
      </c>
      <c r="M99" s="64">
        <v>98.04</v>
      </c>
      <c r="N99" s="64">
        <v>44.1</v>
      </c>
      <c r="O99" s="64">
        <v>0</v>
      </c>
      <c r="P99" s="64">
        <v>0.37</v>
      </c>
      <c r="Q99" s="64">
        <v>9.6199999999999992</v>
      </c>
      <c r="S99" s="198"/>
      <c r="T99" s="198"/>
      <c r="U99" s="198"/>
    </row>
    <row r="100" spans="1:33" s="12" customFormat="1" x14ac:dyDescent="0.25">
      <c r="A100" s="212" t="s">
        <v>2450</v>
      </c>
      <c r="B100" s="64">
        <v>9.56</v>
      </c>
      <c r="C100" s="64">
        <v>6.44</v>
      </c>
      <c r="D100" s="64">
        <v>11.03</v>
      </c>
      <c r="E100" s="64">
        <v>4.5599999999999996</v>
      </c>
      <c r="F100" s="64">
        <v>2.44</v>
      </c>
      <c r="G100" s="64">
        <v>7.92</v>
      </c>
      <c r="H100" s="64">
        <v>1.19</v>
      </c>
      <c r="I100" s="64">
        <v>0.94</v>
      </c>
      <c r="J100" s="64">
        <v>0.15</v>
      </c>
      <c r="K100" s="64">
        <v>309.47000000000003</v>
      </c>
      <c r="L100" s="64">
        <v>23.29</v>
      </c>
      <c r="M100" s="64">
        <v>98.01</v>
      </c>
      <c r="N100" s="64">
        <v>44.1</v>
      </c>
      <c r="O100" s="64">
        <v>0</v>
      </c>
      <c r="P100" s="64">
        <v>0.34</v>
      </c>
      <c r="Q100" s="64">
        <v>9.6300000000000008</v>
      </c>
      <c r="S100" s="198"/>
      <c r="T100" s="198"/>
      <c r="U100" s="198"/>
      <c r="AB100" s="110"/>
      <c r="AG100" s="109"/>
    </row>
    <row r="101" spans="1:33" s="12" customFormat="1" x14ac:dyDescent="0.25">
      <c r="A101" s="212" t="s">
        <v>2451</v>
      </c>
      <c r="B101" s="64">
        <v>8.98</v>
      </c>
      <c r="C101" s="64">
        <v>6.56</v>
      </c>
      <c r="D101" s="64">
        <v>10.63</v>
      </c>
      <c r="E101" s="64">
        <v>4.43</v>
      </c>
      <c r="F101" s="64">
        <v>2.17</v>
      </c>
      <c r="G101" s="64">
        <v>8.52</v>
      </c>
      <c r="H101" s="64">
        <v>1.19</v>
      </c>
      <c r="I101" s="64">
        <v>0.88</v>
      </c>
      <c r="J101" s="64">
        <v>0.19</v>
      </c>
      <c r="K101" s="64">
        <v>298.10000000000002</v>
      </c>
      <c r="L101" s="64">
        <v>23.32</v>
      </c>
      <c r="M101" s="64">
        <v>98.01</v>
      </c>
      <c r="N101" s="64">
        <v>44.4</v>
      </c>
      <c r="O101" s="64">
        <v>0</v>
      </c>
      <c r="P101" s="64">
        <v>0.34</v>
      </c>
      <c r="Q101" s="64">
        <v>9.6</v>
      </c>
      <c r="S101" s="198"/>
      <c r="T101" s="198"/>
      <c r="U101" s="198"/>
    </row>
    <row r="102" spans="1:33" s="12" customFormat="1" x14ac:dyDescent="0.25">
      <c r="A102" s="212" t="s">
        <v>2452</v>
      </c>
      <c r="B102" s="64">
        <v>8.2799999999999994</v>
      </c>
      <c r="C102" s="64">
        <v>6.93</v>
      </c>
      <c r="D102" s="64">
        <v>10.26</v>
      </c>
      <c r="E102" s="64">
        <v>4.67</v>
      </c>
      <c r="F102" s="64">
        <v>2.2799999999999998</v>
      </c>
      <c r="G102" s="64">
        <v>8.52</v>
      </c>
      <c r="H102" s="64">
        <v>1.19</v>
      </c>
      <c r="I102" s="64">
        <v>0.85</v>
      </c>
      <c r="J102" s="64">
        <v>0.18</v>
      </c>
      <c r="K102" s="64">
        <v>296.52</v>
      </c>
      <c r="L102" s="64">
        <v>23.28</v>
      </c>
      <c r="M102" s="64">
        <v>98.01</v>
      </c>
      <c r="N102" s="64">
        <v>44.2</v>
      </c>
      <c r="O102" s="64">
        <v>0</v>
      </c>
      <c r="P102" s="64">
        <v>0.32</v>
      </c>
      <c r="Q102" s="64">
        <v>9.57</v>
      </c>
      <c r="S102" s="198"/>
      <c r="T102" s="198"/>
      <c r="U102" s="198"/>
    </row>
    <row r="103" spans="1:33" s="12" customFormat="1" x14ac:dyDescent="0.25">
      <c r="A103" s="212" t="s">
        <v>2453</v>
      </c>
      <c r="B103" s="64">
        <v>7.58</v>
      </c>
      <c r="C103" s="64">
        <v>7.34</v>
      </c>
      <c r="D103" s="64">
        <v>9.91</v>
      </c>
      <c r="E103" s="64">
        <v>4.24</v>
      </c>
      <c r="F103" s="64">
        <v>2.1</v>
      </c>
      <c r="G103" s="64">
        <v>8.52</v>
      </c>
      <c r="H103" s="64">
        <v>1.19</v>
      </c>
      <c r="I103" s="64">
        <v>0.82</v>
      </c>
      <c r="J103" s="64">
        <v>0.19</v>
      </c>
      <c r="K103" s="64">
        <v>294.97000000000003</v>
      </c>
      <c r="L103" s="64">
        <v>23.21</v>
      </c>
      <c r="M103" s="64">
        <v>98.01</v>
      </c>
      <c r="N103" s="64">
        <v>43.9</v>
      </c>
      <c r="O103" s="64">
        <v>0</v>
      </c>
      <c r="P103" s="64">
        <v>0.3</v>
      </c>
      <c r="Q103" s="64">
        <v>9.5399999999999991</v>
      </c>
      <c r="S103" s="198"/>
      <c r="T103" s="198"/>
      <c r="U103" s="198"/>
    </row>
    <row r="104" spans="1:33" s="12" customFormat="1" x14ac:dyDescent="0.25">
      <c r="A104" s="212" t="s">
        <v>2454</v>
      </c>
      <c r="B104" s="64">
        <v>6.98</v>
      </c>
      <c r="C104" s="64">
        <v>7.55</v>
      </c>
      <c r="D104" s="64">
        <v>9.5399999999999991</v>
      </c>
      <c r="E104" s="64">
        <v>4.4000000000000004</v>
      </c>
      <c r="F104" s="64">
        <v>2.2200000000000002</v>
      </c>
      <c r="G104" s="64">
        <v>7.11</v>
      </c>
      <c r="H104" s="64">
        <v>1.19</v>
      </c>
      <c r="I104" s="64">
        <v>0.77</v>
      </c>
      <c r="J104" s="64">
        <v>0.16</v>
      </c>
      <c r="K104" s="64">
        <v>313.77999999999997</v>
      </c>
      <c r="L104" s="64">
        <v>23.13</v>
      </c>
      <c r="M104" s="64">
        <v>98</v>
      </c>
      <c r="N104" s="64">
        <v>43.8</v>
      </c>
      <c r="O104" s="64">
        <v>0</v>
      </c>
      <c r="P104" s="64">
        <v>0.3</v>
      </c>
      <c r="Q104" s="64">
        <v>9.52</v>
      </c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4.25</v>
      </c>
      <c r="C106" s="67">
        <f>MIN(C9:C104)</f>
        <v>5.89</v>
      </c>
      <c r="D106" s="67">
        <f t="shared" ref="D106:Q106" si="0">MIN(D9:D104)</f>
        <v>7.07</v>
      </c>
      <c r="E106" s="67">
        <f t="shared" si="0"/>
        <v>3.43</v>
      </c>
      <c r="F106" s="67">
        <f t="shared" si="0"/>
        <v>2.1</v>
      </c>
      <c r="G106" s="67">
        <f t="shared" si="0"/>
        <v>2.39</v>
      </c>
      <c r="H106" s="67">
        <f t="shared" si="0"/>
        <v>1.04</v>
      </c>
      <c r="I106" s="67">
        <f t="shared" si="0"/>
        <v>0.54</v>
      </c>
      <c r="J106" s="67">
        <f t="shared" si="0"/>
        <v>0.01</v>
      </c>
      <c r="K106" s="67">
        <f t="shared" si="0"/>
        <v>167.63</v>
      </c>
      <c r="L106" s="67">
        <f t="shared" si="0"/>
        <v>21.78</v>
      </c>
      <c r="M106" s="67">
        <f t="shared" si="0"/>
        <v>97.96</v>
      </c>
      <c r="N106" s="67">
        <f t="shared" si="0"/>
        <v>42.2</v>
      </c>
      <c r="O106" s="67">
        <f t="shared" si="0"/>
        <v>0</v>
      </c>
      <c r="P106" s="67">
        <f t="shared" si="0"/>
        <v>0.14000000000000001</v>
      </c>
      <c r="Q106" s="67">
        <f t="shared" si="0"/>
        <v>9.39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12.35</v>
      </c>
      <c r="C107" s="66">
        <f t="shared" ref="C107:Q107" si="1">MAX(C9:C104)</f>
        <v>9.09</v>
      </c>
      <c r="D107" s="66">
        <f t="shared" si="1"/>
        <v>14.59</v>
      </c>
      <c r="E107" s="66">
        <f t="shared" si="1"/>
        <v>5</v>
      </c>
      <c r="F107" s="66">
        <f t="shared" si="1"/>
        <v>4.1100000000000003</v>
      </c>
      <c r="G107" s="66">
        <f t="shared" si="1"/>
        <v>9.77</v>
      </c>
      <c r="H107" s="66">
        <f t="shared" si="1"/>
        <v>1.86</v>
      </c>
      <c r="I107" s="66">
        <f t="shared" si="1"/>
        <v>1.04</v>
      </c>
      <c r="J107" s="66">
        <f t="shared" si="1"/>
        <v>0.28999999999999998</v>
      </c>
      <c r="K107" s="66">
        <f t="shared" si="1"/>
        <v>329.88</v>
      </c>
      <c r="L107" s="66">
        <f t="shared" si="1"/>
        <v>24.15</v>
      </c>
      <c r="M107" s="66">
        <f t="shared" si="1"/>
        <v>98.38</v>
      </c>
      <c r="N107" s="66">
        <f t="shared" si="1"/>
        <v>265.5</v>
      </c>
      <c r="O107" s="66">
        <f t="shared" si="1"/>
        <v>0.2</v>
      </c>
      <c r="P107" s="66">
        <f t="shared" si="1"/>
        <v>0.47</v>
      </c>
      <c r="Q107" s="66">
        <f t="shared" si="1"/>
        <v>9.65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7.4329166666666673</v>
      </c>
      <c r="C108" s="67">
        <f t="shared" ref="C108:Q108" si="2">AVERAGE(C9:C104)</f>
        <v>7.5181250000000013</v>
      </c>
      <c r="D108" s="67">
        <f t="shared" si="2"/>
        <v>9.8881249999999987</v>
      </c>
      <c r="E108" s="67">
        <f t="shared" si="2"/>
        <v>4.2105208333333328</v>
      </c>
      <c r="F108" s="67">
        <f t="shared" si="2"/>
        <v>2.4280208333333326</v>
      </c>
      <c r="G108" s="67">
        <f t="shared" si="2"/>
        <v>6.3508333333333331</v>
      </c>
      <c r="H108" s="67">
        <f t="shared" si="2"/>
        <v>1.2693750000000008</v>
      </c>
      <c r="I108" s="67">
        <f t="shared" si="2"/>
        <v>0.8027083333333328</v>
      </c>
      <c r="J108" s="67">
        <f t="shared" si="2"/>
        <v>0.14677083333333321</v>
      </c>
      <c r="K108" s="67">
        <f t="shared" si="2"/>
        <v>291.54114583333336</v>
      </c>
      <c r="L108" s="67">
        <f t="shared" si="2"/>
        <v>22.93812500000001</v>
      </c>
      <c r="M108" s="67">
        <f t="shared" si="2"/>
        <v>98.183854166666677</v>
      </c>
      <c r="N108" s="67">
        <f t="shared" si="2"/>
        <v>85.77916666666664</v>
      </c>
      <c r="O108" s="67">
        <f t="shared" si="2"/>
        <v>8.3333333333333332E-3</v>
      </c>
      <c r="P108" s="67">
        <f t="shared" si="2"/>
        <v>0.28760416666666683</v>
      </c>
      <c r="Q108" s="67">
        <f t="shared" si="2"/>
        <v>9.5316666666666752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2.1235431745163766</v>
      </c>
      <c r="C109" s="67">
        <f t="shared" ref="C109:Q109" si="3">STDEV(C9:C104)</f>
        <v>0.72587415539725897</v>
      </c>
      <c r="D109" s="67">
        <f t="shared" si="3"/>
        <v>1.7120153175040291</v>
      </c>
      <c r="E109" s="67">
        <f t="shared" si="3"/>
        <v>0.38637143239624971</v>
      </c>
      <c r="F109" s="67">
        <f t="shared" si="3"/>
        <v>0.45278464682839364</v>
      </c>
      <c r="G109" s="67">
        <f t="shared" si="3"/>
        <v>2.1059612965237884</v>
      </c>
      <c r="H109" s="67">
        <f t="shared" si="3"/>
        <v>0.17185558502784457</v>
      </c>
      <c r="I109" s="67">
        <f t="shared" si="3"/>
        <v>0.14012384872839062</v>
      </c>
      <c r="J109" s="67">
        <f t="shared" si="3"/>
        <v>7.2612813015576913E-2</v>
      </c>
      <c r="K109" s="67">
        <f t="shared" si="3"/>
        <v>30.860658241428862</v>
      </c>
      <c r="L109" s="67">
        <f t="shared" si="3"/>
        <v>0.57923599862686626</v>
      </c>
      <c r="M109" s="67">
        <f t="shared" si="3"/>
        <v>0.12658568798844758</v>
      </c>
      <c r="N109" s="67">
        <f t="shared" si="3"/>
        <v>56.715921679276569</v>
      </c>
      <c r="O109" s="67">
        <f t="shared" si="3"/>
        <v>4.0175055540960972E-2</v>
      </c>
      <c r="P109" s="67">
        <f t="shared" si="3"/>
        <v>7.8213537550351403E-2</v>
      </c>
      <c r="Q109" s="67">
        <f t="shared" si="3"/>
        <v>7.3680200392130787E-2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216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24/08/2025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2" t="s">
        <v>2455</v>
      </c>
      <c r="B9" s="64">
        <v>6.58</v>
      </c>
      <c r="C9" s="64">
        <v>7.59</v>
      </c>
      <c r="D9" s="64">
        <v>9.24</v>
      </c>
      <c r="E9" s="64">
        <v>4.8600000000000003</v>
      </c>
      <c r="F9" s="64">
        <v>2.1</v>
      </c>
      <c r="G9" s="64">
        <v>6.36</v>
      </c>
      <c r="H9" s="64">
        <v>1.19</v>
      </c>
      <c r="I9" s="64">
        <v>0.73</v>
      </c>
      <c r="J9" s="64">
        <v>0.15</v>
      </c>
      <c r="K9" s="64">
        <v>300.19</v>
      </c>
      <c r="L9" s="64">
        <v>23.05</v>
      </c>
      <c r="M9" s="64">
        <v>98</v>
      </c>
      <c r="N9" s="64">
        <v>43.7</v>
      </c>
      <c r="O9" s="64">
        <v>0</v>
      </c>
      <c r="P9" s="64">
        <v>0.28000000000000003</v>
      </c>
      <c r="Q9" s="64">
        <v>9.49</v>
      </c>
      <c r="R9" s="198"/>
      <c r="S9" s="198"/>
      <c r="T9" s="198"/>
      <c r="U9" s="198"/>
    </row>
    <row r="10" spans="1:21" s="12" customFormat="1" x14ac:dyDescent="0.25">
      <c r="A10" s="212" t="s">
        <v>2456</v>
      </c>
      <c r="B10" s="64">
        <v>6.28</v>
      </c>
      <c r="C10" s="64">
        <v>7.4</v>
      </c>
      <c r="D10" s="64">
        <v>8.91</v>
      </c>
      <c r="E10" s="64">
        <v>4.91</v>
      </c>
      <c r="F10" s="64">
        <v>2.2200000000000002</v>
      </c>
      <c r="G10" s="64">
        <v>6.36</v>
      </c>
      <c r="H10" s="64">
        <v>1.19</v>
      </c>
      <c r="I10" s="64">
        <v>0.7</v>
      </c>
      <c r="J10" s="64">
        <v>0.18</v>
      </c>
      <c r="K10" s="64">
        <v>303.14999999999998</v>
      </c>
      <c r="L10" s="64">
        <v>23</v>
      </c>
      <c r="M10" s="64">
        <v>98.01</v>
      </c>
      <c r="N10" s="64">
        <v>43.4</v>
      </c>
      <c r="O10" s="64">
        <v>0</v>
      </c>
      <c r="P10" s="64">
        <v>0.27</v>
      </c>
      <c r="Q10" s="64">
        <v>9.49</v>
      </c>
      <c r="R10" s="198"/>
      <c r="S10" s="198"/>
      <c r="T10" s="198"/>
      <c r="U10" s="198"/>
    </row>
    <row r="11" spans="1:21" s="12" customFormat="1" x14ac:dyDescent="0.25">
      <c r="A11" s="212" t="s">
        <v>2457</v>
      </c>
      <c r="B11" s="64">
        <v>5.87</v>
      </c>
      <c r="C11" s="64">
        <v>7.52</v>
      </c>
      <c r="D11" s="64">
        <v>8.64</v>
      </c>
      <c r="E11" s="64">
        <v>4.72</v>
      </c>
      <c r="F11" s="64">
        <v>2.1</v>
      </c>
      <c r="G11" s="64">
        <v>6.36</v>
      </c>
      <c r="H11" s="64">
        <v>1.19</v>
      </c>
      <c r="I11" s="64">
        <v>0.73</v>
      </c>
      <c r="J11" s="64">
        <v>0.21</v>
      </c>
      <c r="K11" s="64">
        <v>301.48</v>
      </c>
      <c r="L11" s="64">
        <v>22.96</v>
      </c>
      <c r="M11" s="64">
        <v>97.94</v>
      </c>
      <c r="N11" s="64">
        <v>43.4</v>
      </c>
      <c r="O11" s="64">
        <v>0</v>
      </c>
      <c r="P11" s="64">
        <v>0.26</v>
      </c>
      <c r="Q11" s="64">
        <v>9.4700000000000006</v>
      </c>
      <c r="R11" s="198"/>
      <c r="S11" s="198"/>
      <c r="T11" s="198"/>
      <c r="U11" s="198"/>
    </row>
    <row r="12" spans="1:21" s="12" customFormat="1" x14ac:dyDescent="0.25">
      <c r="A12" s="212" t="s">
        <v>2458</v>
      </c>
      <c r="B12" s="64">
        <v>5.41</v>
      </c>
      <c r="C12" s="64">
        <v>7.5</v>
      </c>
      <c r="D12" s="64">
        <v>8.25</v>
      </c>
      <c r="E12" s="64">
        <v>4.8099999999999996</v>
      </c>
      <c r="F12" s="64">
        <v>2.5099999999999998</v>
      </c>
      <c r="G12" s="64">
        <v>5.72</v>
      </c>
      <c r="H12" s="64">
        <v>1.19</v>
      </c>
      <c r="I12" s="64">
        <v>0.75</v>
      </c>
      <c r="J12" s="64">
        <v>0.24</v>
      </c>
      <c r="K12" s="64">
        <v>292.88</v>
      </c>
      <c r="L12" s="64">
        <v>22.95</v>
      </c>
      <c r="M12" s="64">
        <v>97.95</v>
      </c>
      <c r="N12" s="64">
        <v>43.2</v>
      </c>
      <c r="O12" s="64">
        <v>0</v>
      </c>
      <c r="P12" s="64">
        <v>0.24</v>
      </c>
      <c r="Q12" s="64">
        <v>9.4499999999999993</v>
      </c>
      <c r="R12" s="198"/>
      <c r="S12" s="198"/>
      <c r="T12" s="198"/>
      <c r="U12" s="198"/>
    </row>
    <row r="13" spans="1:21" s="12" customFormat="1" x14ac:dyDescent="0.25">
      <c r="A13" s="212" t="s">
        <v>2459</v>
      </c>
      <c r="B13" s="64">
        <v>4.93</v>
      </c>
      <c r="C13" s="64">
        <v>7.54</v>
      </c>
      <c r="D13" s="64">
        <v>7.89</v>
      </c>
      <c r="E13" s="64">
        <v>4.8899999999999997</v>
      </c>
      <c r="F13" s="64">
        <v>2.33</v>
      </c>
      <c r="G13" s="64">
        <v>5.4</v>
      </c>
      <c r="H13" s="64">
        <v>1.19</v>
      </c>
      <c r="I13" s="64">
        <v>0.7</v>
      </c>
      <c r="J13" s="64">
        <v>0.21</v>
      </c>
      <c r="K13" s="64">
        <v>285.85000000000002</v>
      </c>
      <c r="L13" s="64">
        <v>22.91</v>
      </c>
      <c r="M13" s="64">
        <v>97.93</v>
      </c>
      <c r="N13" s="64">
        <v>43.2</v>
      </c>
      <c r="O13" s="64">
        <v>0</v>
      </c>
      <c r="P13" s="64">
        <v>0.2</v>
      </c>
      <c r="Q13" s="64">
        <v>9.4499999999999993</v>
      </c>
      <c r="R13" s="198"/>
      <c r="S13" s="198"/>
      <c r="T13" s="198"/>
      <c r="U13" s="198"/>
    </row>
    <row r="14" spans="1:21" s="12" customFormat="1" x14ac:dyDescent="0.25">
      <c r="A14" s="212" t="s">
        <v>2460</v>
      </c>
      <c r="B14" s="64">
        <v>4.5999999999999996</v>
      </c>
      <c r="C14" s="64">
        <v>7.52</v>
      </c>
      <c r="D14" s="64">
        <v>7.61</v>
      </c>
      <c r="E14" s="64">
        <v>4.7</v>
      </c>
      <c r="F14" s="64">
        <v>2.12</v>
      </c>
      <c r="G14" s="64">
        <v>5.4</v>
      </c>
      <c r="H14" s="64">
        <v>1.19</v>
      </c>
      <c r="I14" s="64">
        <v>0.64</v>
      </c>
      <c r="J14" s="64">
        <v>0.25</v>
      </c>
      <c r="K14" s="64">
        <v>292.19</v>
      </c>
      <c r="L14" s="64">
        <v>22.86</v>
      </c>
      <c r="M14" s="64">
        <v>97.93</v>
      </c>
      <c r="N14" s="64">
        <v>43.3</v>
      </c>
      <c r="O14" s="64">
        <v>0</v>
      </c>
      <c r="P14" s="64">
        <v>0.21</v>
      </c>
      <c r="Q14" s="64">
        <v>9.44</v>
      </c>
      <c r="R14" s="198"/>
      <c r="S14" s="198"/>
      <c r="T14" s="198"/>
      <c r="U14" s="198"/>
    </row>
    <row r="15" spans="1:21" s="12" customFormat="1" x14ac:dyDescent="0.25">
      <c r="A15" s="212" t="s">
        <v>2461</v>
      </c>
      <c r="B15" s="64">
        <v>4.3099999999999996</v>
      </c>
      <c r="C15" s="64">
        <v>7.53</v>
      </c>
      <c r="D15" s="64">
        <v>7.39</v>
      </c>
      <c r="E15" s="64">
        <v>4.88</v>
      </c>
      <c r="F15" s="64">
        <v>2.2599999999999998</v>
      </c>
      <c r="G15" s="64">
        <v>5.4</v>
      </c>
      <c r="H15" s="64">
        <v>1.19</v>
      </c>
      <c r="I15" s="64">
        <v>0.6</v>
      </c>
      <c r="J15" s="64">
        <v>0.19</v>
      </c>
      <c r="K15" s="64">
        <v>298.36</v>
      </c>
      <c r="L15" s="64">
        <v>22.77</v>
      </c>
      <c r="M15" s="64">
        <v>97.95</v>
      </c>
      <c r="N15" s="64">
        <v>43.2</v>
      </c>
      <c r="O15" s="64">
        <v>0</v>
      </c>
      <c r="P15" s="64">
        <v>0.2</v>
      </c>
      <c r="Q15" s="64">
        <v>9.43</v>
      </c>
      <c r="R15" s="198"/>
      <c r="S15" s="198"/>
      <c r="T15" s="198"/>
      <c r="U15" s="198"/>
    </row>
    <row r="16" spans="1:21" s="12" customFormat="1" x14ac:dyDescent="0.25">
      <c r="A16" s="212" t="s">
        <v>2462</v>
      </c>
      <c r="B16" s="64">
        <v>4.1100000000000003</v>
      </c>
      <c r="C16" s="64">
        <v>7.46</v>
      </c>
      <c r="D16" s="64">
        <v>7.2</v>
      </c>
      <c r="E16" s="64">
        <v>4.95</v>
      </c>
      <c r="F16" s="64">
        <v>2.2799999999999998</v>
      </c>
      <c r="G16" s="64">
        <v>7.13</v>
      </c>
      <c r="H16" s="64">
        <v>1.18</v>
      </c>
      <c r="I16" s="64">
        <v>0.56000000000000005</v>
      </c>
      <c r="J16" s="64">
        <v>0.23</v>
      </c>
      <c r="K16" s="64">
        <v>289.95</v>
      </c>
      <c r="L16" s="64">
        <v>22.68</v>
      </c>
      <c r="M16" s="64">
        <v>97.95</v>
      </c>
      <c r="N16" s="64">
        <v>43.2</v>
      </c>
      <c r="O16" s="64">
        <v>0</v>
      </c>
      <c r="P16" s="64">
        <v>0.19</v>
      </c>
      <c r="Q16" s="64">
        <v>9.43</v>
      </c>
      <c r="R16" s="198"/>
      <c r="S16" s="198"/>
      <c r="T16" s="198"/>
      <c r="U16" s="198"/>
    </row>
    <row r="17" spans="1:21" s="12" customFormat="1" x14ac:dyDescent="0.25">
      <c r="A17" s="212" t="s">
        <v>2463</v>
      </c>
      <c r="B17" s="64">
        <v>3.95</v>
      </c>
      <c r="C17" s="64">
        <v>7.38</v>
      </c>
      <c r="D17" s="64">
        <v>7.02</v>
      </c>
      <c r="E17" s="64">
        <v>5.0999999999999996</v>
      </c>
      <c r="F17" s="64">
        <v>2.31</v>
      </c>
      <c r="G17" s="64">
        <v>8</v>
      </c>
      <c r="H17" s="64">
        <v>1.18</v>
      </c>
      <c r="I17" s="64">
        <v>0.53</v>
      </c>
      <c r="J17" s="64">
        <v>0.21</v>
      </c>
      <c r="K17" s="64">
        <v>288.23</v>
      </c>
      <c r="L17" s="64">
        <v>22.64</v>
      </c>
      <c r="M17" s="64">
        <v>97.95</v>
      </c>
      <c r="N17" s="64">
        <v>43</v>
      </c>
      <c r="O17" s="64">
        <v>0</v>
      </c>
      <c r="P17" s="64">
        <v>0.19</v>
      </c>
      <c r="Q17" s="64">
        <v>9.43</v>
      </c>
      <c r="R17" s="198"/>
      <c r="S17" s="198"/>
      <c r="T17" s="198"/>
      <c r="U17" s="198"/>
    </row>
    <row r="18" spans="1:21" s="12" customFormat="1" x14ac:dyDescent="0.25">
      <c r="A18" s="212" t="s">
        <v>2464</v>
      </c>
      <c r="B18" s="64">
        <v>3.86</v>
      </c>
      <c r="C18" s="64">
        <v>7.19</v>
      </c>
      <c r="D18" s="64">
        <v>6.86</v>
      </c>
      <c r="E18" s="64">
        <v>4.93</v>
      </c>
      <c r="F18" s="64">
        <v>2.2000000000000002</v>
      </c>
      <c r="G18" s="64">
        <v>8</v>
      </c>
      <c r="H18" s="64">
        <v>1.18</v>
      </c>
      <c r="I18" s="64">
        <v>0.5</v>
      </c>
      <c r="J18" s="64">
        <v>0.24</v>
      </c>
      <c r="K18" s="64">
        <v>292.64</v>
      </c>
      <c r="L18" s="64">
        <v>22.61</v>
      </c>
      <c r="M18" s="64">
        <v>97.95</v>
      </c>
      <c r="N18" s="64">
        <v>43.1</v>
      </c>
      <c r="O18" s="64">
        <v>0</v>
      </c>
      <c r="P18" s="64">
        <v>0.17</v>
      </c>
      <c r="Q18" s="64">
        <v>9.42</v>
      </c>
      <c r="R18" s="198"/>
      <c r="S18" s="198"/>
      <c r="T18" s="198"/>
      <c r="U18" s="198"/>
    </row>
    <row r="19" spans="1:21" s="12" customFormat="1" x14ac:dyDescent="0.25">
      <c r="A19" s="212" t="s">
        <v>2465</v>
      </c>
      <c r="B19" s="64">
        <v>3.83</v>
      </c>
      <c r="C19" s="64">
        <v>7.07</v>
      </c>
      <c r="D19" s="64">
        <v>6.77</v>
      </c>
      <c r="E19" s="64">
        <v>4.95</v>
      </c>
      <c r="F19" s="64">
        <v>2.33</v>
      </c>
      <c r="G19" s="64">
        <v>8</v>
      </c>
      <c r="H19" s="64">
        <v>1.18</v>
      </c>
      <c r="I19" s="64">
        <v>0.48</v>
      </c>
      <c r="J19" s="64">
        <v>0.28000000000000003</v>
      </c>
      <c r="K19" s="64">
        <v>305.02999999999997</v>
      </c>
      <c r="L19" s="64">
        <v>22.61</v>
      </c>
      <c r="M19" s="64">
        <v>97.95</v>
      </c>
      <c r="N19" s="64">
        <v>43.1</v>
      </c>
      <c r="O19" s="64">
        <v>0</v>
      </c>
      <c r="P19" s="64">
        <v>0.16</v>
      </c>
      <c r="Q19" s="64">
        <v>9.41</v>
      </c>
      <c r="R19" s="198"/>
      <c r="S19" s="198"/>
      <c r="T19" s="198"/>
      <c r="U19" s="198"/>
    </row>
    <row r="20" spans="1:21" s="12" customFormat="1" x14ac:dyDescent="0.25">
      <c r="A20" s="212" t="s">
        <v>2466</v>
      </c>
      <c r="B20" s="64">
        <v>3.81</v>
      </c>
      <c r="C20" s="64">
        <v>6.91</v>
      </c>
      <c r="D20" s="64">
        <v>6.67</v>
      </c>
      <c r="E20" s="64">
        <v>4.9400000000000004</v>
      </c>
      <c r="F20" s="64">
        <v>2.48</v>
      </c>
      <c r="G20" s="64">
        <v>7.27</v>
      </c>
      <c r="H20" s="64">
        <v>1.18</v>
      </c>
      <c r="I20" s="64">
        <v>0.46</v>
      </c>
      <c r="J20" s="64">
        <v>0.25</v>
      </c>
      <c r="K20" s="64">
        <v>300.54000000000002</v>
      </c>
      <c r="L20" s="64">
        <v>22.61</v>
      </c>
      <c r="M20" s="64">
        <v>97.96</v>
      </c>
      <c r="N20" s="64">
        <v>43.1</v>
      </c>
      <c r="O20" s="64">
        <v>0</v>
      </c>
      <c r="P20" s="64">
        <v>0.16</v>
      </c>
      <c r="Q20" s="64">
        <v>9.41</v>
      </c>
      <c r="R20" s="198"/>
      <c r="S20" s="198"/>
      <c r="T20" s="198"/>
      <c r="U20" s="198"/>
    </row>
    <row r="21" spans="1:21" s="12" customFormat="1" x14ac:dyDescent="0.25">
      <c r="A21" s="212" t="s">
        <v>2467</v>
      </c>
      <c r="B21" s="64">
        <v>3.8</v>
      </c>
      <c r="C21" s="64">
        <v>6.88</v>
      </c>
      <c r="D21" s="64">
        <v>6.65</v>
      </c>
      <c r="E21" s="64">
        <v>5.03</v>
      </c>
      <c r="F21" s="64">
        <v>2.21</v>
      </c>
      <c r="G21" s="64">
        <v>6.91</v>
      </c>
      <c r="H21" s="64">
        <v>1.18</v>
      </c>
      <c r="I21" s="64">
        <v>0.44</v>
      </c>
      <c r="J21" s="64">
        <v>0.24</v>
      </c>
      <c r="K21" s="64">
        <v>291.62</v>
      </c>
      <c r="L21" s="64">
        <v>22.58</v>
      </c>
      <c r="M21" s="64">
        <v>97.99</v>
      </c>
      <c r="N21" s="64">
        <v>43.2</v>
      </c>
      <c r="O21" s="64">
        <v>0</v>
      </c>
      <c r="P21" s="64">
        <v>0.17</v>
      </c>
      <c r="Q21" s="64">
        <v>9.39</v>
      </c>
      <c r="R21" s="198"/>
      <c r="S21" s="198"/>
      <c r="T21" s="198"/>
      <c r="U21" s="198"/>
    </row>
    <row r="22" spans="1:21" s="12" customFormat="1" x14ac:dyDescent="0.25">
      <c r="A22" s="212" t="s">
        <v>2468</v>
      </c>
      <c r="B22" s="64">
        <v>3.78</v>
      </c>
      <c r="C22" s="64">
        <v>6.7</v>
      </c>
      <c r="D22" s="64">
        <v>6.53</v>
      </c>
      <c r="E22" s="64">
        <v>5.04</v>
      </c>
      <c r="F22" s="64">
        <v>2.67</v>
      </c>
      <c r="G22" s="64">
        <v>6.91</v>
      </c>
      <c r="H22" s="64">
        <v>1.18</v>
      </c>
      <c r="I22" s="64">
        <v>0.41</v>
      </c>
      <c r="J22" s="64">
        <v>0.22</v>
      </c>
      <c r="K22" s="64">
        <v>299.39</v>
      </c>
      <c r="L22" s="64">
        <v>22.6</v>
      </c>
      <c r="M22" s="64">
        <v>98.03</v>
      </c>
      <c r="N22" s="64">
        <v>43.2</v>
      </c>
      <c r="O22" s="64">
        <v>0</v>
      </c>
      <c r="P22" s="64">
        <v>0.16</v>
      </c>
      <c r="Q22" s="64">
        <v>9.39</v>
      </c>
      <c r="R22" s="198"/>
      <c r="S22" s="198"/>
      <c r="T22" s="198"/>
      <c r="U22" s="198"/>
    </row>
    <row r="23" spans="1:21" s="12" customFormat="1" x14ac:dyDescent="0.25">
      <c r="A23" s="212" t="s">
        <v>2469</v>
      </c>
      <c r="B23" s="64">
        <v>3.74</v>
      </c>
      <c r="C23" s="64">
        <v>6.68</v>
      </c>
      <c r="D23" s="64">
        <v>6.49</v>
      </c>
      <c r="E23" s="64">
        <v>4.84</v>
      </c>
      <c r="F23" s="64">
        <v>2.15</v>
      </c>
      <c r="G23" s="64">
        <v>6.91</v>
      </c>
      <c r="H23" s="64">
        <v>1.18</v>
      </c>
      <c r="I23" s="64">
        <v>0.39</v>
      </c>
      <c r="J23" s="64">
        <v>0.25</v>
      </c>
      <c r="K23" s="64">
        <v>298.69</v>
      </c>
      <c r="L23" s="64">
        <v>22.62</v>
      </c>
      <c r="M23" s="64">
        <v>98.05</v>
      </c>
      <c r="N23" s="64">
        <v>43.1</v>
      </c>
      <c r="O23" s="64">
        <v>0</v>
      </c>
      <c r="P23" s="64">
        <v>0.14000000000000001</v>
      </c>
      <c r="Q23" s="64">
        <v>9.3699999999999992</v>
      </c>
      <c r="R23" s="198"/>
      <c r="S23" s="198"/>
      <c r="T23" s="198"/>
      <c r="U23" s="198"/>
    </row>
    <row r="24" spans="1:21" s="12" customFormat="1" x14ac:dyDescent="0.25">
      <c r="A24" s="212" t="s">
        <v>2470</v>
      </c>
      <c r="B24" s="64">
        <v>3.74</v>
      </c>
      <c r="C24" s="64">
        <v>6.63</v>
      </c>
      <c r="D24" s="64">
        <v>6.46</v>
      </c>
      <c r="E24" s="64">
        <v>4.91</v>
      </c>
      <c r="F24" s="64">
        <v>2.48</v>
      </c>
      <c r="G24" s="64">
        <v>6.19</v>
      </c>
      <c r="H24" s="64">
        <v>1.17</v>
      </c>
      <c r="I24" s="64">
        <v>0.38</v>
      </c>
      <c r="J24" s="64">
        <v>0.18</v>
      </c>
      <c r="K24" s="64">
        <v>302.72000000000003</v>
      </c>
      <c r="L24" s="64">
        <v>22.62</v>
      </c>
      <c r="M24" s="64">
        <v>98.03</v>
      </c>
      <c r="N24" s="64">
        <v>43.3</v>
      </c>
      <c r="O24" s="64">
        <v>0</v>
      </c>
      <c r="P24" s="64">
        <v>0.14000000000000001</v>
      </c>
      <c r="Q24" s="64">
        <v>9.3699999999999992</v>
      </c>
      <c r="R24" s="198"/>
      <c r="S24" s="198"/>
      <c r="T24" s="198"/>
      <c r="U24" s="198"/>
    </row>
    <row r="25" spans="1:21" s="12" customFormat="1" x14ac:dyDescent="0.25">
      <c r="A25" s="212" t="s">
        <v>2471</v>
      </c>
      <c r="B25" s="64">
        <v>3.79</v>
      </c>
      <c r="C25" s="64">
        <v>6.68</v>
      </c>
      <c r="D25" s="64">
        <v>6.52</v>
      </c>
      <c r="E25" s="64">
        <v>4.9000000000000004</v>
      </c>
      <c r="F25" s="64">
        <v>2.11</v>
      </c>
      <c r="G25" s="64">
        <v>5.83</v>
      </c>
      <c r="H25" s="64">
        <v>1.17</v>
      </c>
      <c r="I25" s="64">
        <v>0.37</v>
      </c>
      <c r="J25" s="64">
        <v>0.2</v>
      </c>
      <c r="K25" s="64">
        <v>294.74</v>
      </c>
      <c r="L25" s="64">
        <v>22.61</v>
      </c>
      <c r="M25" s="64">
        <v>98.01</v>
      </c>
      <c r="N25" s="64">
        <v>43.3</v>
      </c>
      <c r="O25" s="64">
        <v>0</v>
      </c>
      <c r="P25" s="64">
        <v>0.14000000000000001</v>
      </c>
      <c r="Q25" s="64">
        <v>9.3699999999999992</v>
      </c>
      <c r="R25" s="198"/>
      <c r="S25" s="198"/>
      <c r="T25" s="198"/>
      <c r="U25" s="198"/>
    </row>
    <row r="26" spans="1:21" s="12" customFormat="1" x14ac:dyDescent="0.25">
      <c r="A26" s="212" t="s">
        <v>2472</v>
      </c>
      <c r="B26" s="64">
        <v>3.81</v>
      </c>
      <c r="C26" s="64">
        <v>6.68</v>
      </c>
      <c r="D26" s="64">
        <v>6.54</v>
      </c>
      <c r="E26" s="64">
        <v>4.96</v>
      </c>
      <c r="F26" s="64">
        <v>2.2999999999999998</v>
      </c>
      <c r="G26" s="64">
        <v>5.83</v>
      </c>
      <c r="H26" s="64">
        <v>1.17</v>
      </c>
      <c r="I26" s="64">
        <v>0.37</v>
      </c>
      <c r="J26" s="64">
        <v>0.24</v>
      </c>
      <c r="K26" s="64">
        <v>301.10000000000002</v>
      </c>
      <c r="L26" s="64">
        <v>22.63</v>
      </c>
      <c r="M26" s="64">
        <v>98.04</v>
      </c>
      <c r="N26" s="64">
        <v>43.2</v>
      </c>
      <c r="O26" s="64">
        <v>0</v>
      </c>
      <c r="P26" s="64">
        <v>0.14000000000000001</v>
      </c>
      <c r="Q26" s="64">
        <v>9.36</v>
      </c>
      <c r="R26" s="198"/>
      <c r="S26" s="198"/>
      <c r="T26" s="198"/>
      <c r="U26" s="198"/>
    </row>
    <row r="27" spans="1:21" s="12" customFormat="1" x14ac:dyDescent="0.25">
      <c r="A27" s="212" t="s">
        <v>2473</v>
      </c>
      <c r="B27" s="64">
        <v>3.84</v>
      </c>
      <c r="C27" s="64">
        <v>6.82</v>
      </c>
      <c r="D27" s="64">
        <v>6.64</v>
      </c>
      <c r="E27" s="64">
        <v>4.88</v>
      </c>
      <c r="F27" s="64">
        <v>2.14</v>
      </c>
      <c r="G27" s="64">
        <v>5.83</v>
      </c>
      <c r="H27" s="64">
        <v>1.17</v>
      </c>
      <c r="I27" s="64">
        <v>0.36</v>
      </c>
      <c r="J27" s="64">
        <v>0.22</v>
      </c>
      <c r="K27" s="64">
        <v>296.69</v>
      </c>
      <c r="L27" s="64">
        <v>22.64</v>
      </c>
      <c r="M27" s="64">
        <v>98.05</v>
      </c>
      <c r="N27" s="64">
        <v>43.3</v>
      </c>
      <c r="O27" s="64">
        <v>0</v>
      </c>
      <c r="P27" s="64">
        <v>0.13</v>
      </c>
      <c r="Q27" s="64">
        <v>9.36</v>
      </c>
      <c r="R27" s="198"/>
      <c r="S27" s="198"/>
      <c r="T27" s="198"/>
      <c r="U27" s="198"/>
    </row>
    <row r="28" spans="1:21" s="12" customFormat="1" x14ac:dyDescent="0.25">
      <c r="A28" s="212" t="s">
        <v>2474</v>
      </c>
      <c r="B28" s="64">
        <v>3.93</v>
      </c>
      <c r="C28" s="64">
        <v>6.92</v>
      </c>
      <c r="D28" s="64">
        <v>6.76</v>
      </c>
      <c r="E28" s="64">
        <v>5</v>
      </c>
      <c r="F28" s="64">
        <v>2.39</v>
      </c>
      <c r="G28" s="64">
        <v>7.08</v>
      </c>
      <c r="H28" s="64">
        <v>1.24</v>
      </c>
      <c r="I28" s="64">
        <v>0.35</v>
      </c>
      <c r="J28" s="64">
        <v>0.22</v>
      </c>
      <c r="K28" s="64">
        <v>295.88</v>
      </c>
      <c r="L28" s="64">
        <v>22.66</v>
      </c>
      <c r="M28" s="64">
        <v>98.04</v>
      </c>
      <c r="N28" s="64">
        <v>43.3</v>
      </c>
      <c r="O28" s="64">
        <v>0</v>
      </c>
      <c r="P28" s="64">
        <v>0.14000000000000001</v>
      </c>
      <c r="Q28" s="64">
        <v>9.36</v>
      </c>
      <c r="R28" s="198"/>
      <c r="S28" s="198"/>
      <c r="T28" s="198"/>
      <c r="U28" s="198"/>
    </row>
    <row r="29" spans="1:21" s="12" customFormat="1" x14ac:dyDescent="0.25">
      <c r="A29" s="212" t="s">
        <v>2475</v>
      </c>
      <c r="B29" s="64">
        <v>4.07</v>
      </c>
      <c r="C29" s="64">
        <v>7.06</v>
      </c>
      <c r="D29" s="64">
        <v>6.95</v>
      </c>
      <c r="E29" s="64">
        <v>4.87</v>
      </c>
      <c r="F29" s="64">
        <v>2.15</v>
      </c>
      <c r="G29" s="64">
        <v>7.7</v>
      </c>
      <c r="H29" s="64">
        <v>1.28</v>
      </c>
      <c r="I29" s="64">
        <v>0.34</v>
      </c>
      <c r="J29" s="64">
        <v>0.2</v>
      </c>
      <c r="K29" s="64">
        <v>292.72000000000003</v>
      </c>
      <c r="L29" s="64">
        <v>22.69</v>
      </c>
      <c r="M29" s="64">
        <v>98.03</v>
      </c>
      <c r="N29" s="64">
        <v>43.2</v>
      </c>
      <c r="O29" s="64">
        <v>0</v>
      </c>
      <c r="P29" s="64">
        <v>0.12</v>
      </c>
      <c r="Q29" s="64">
        <v>9.3699999999999992</v>
      </c>
      <c r="R29" s="198"/>
      <c r="S29" s="198"/>
      <c r="T29" s="198"/>
      <c r="U29" s="198"/>
    </row>
    <row r="30" spans="1:21" s="12" customFormat="1" x14ac:dyDescent="0.25">
      <c r="A30" s="212" t="s">
        <v>2476</v>
      </c>
      <c r="B30" s="64">
        <v>4.24</v>
      </c>
      <c r="C30" s="64">
        <v>7.19</v>
      </c>
      <c r="D30" s="64">
        <v>7.15</v>
      </c>
      <c r="E30" s="64">
        <v>5.26</v>
      </c>
      <c r="F30" s="64">
        <v>2.21</v>
      </c>
      <c r="G30" s="64">
        <v>7.7</v>
      </c>
      <c r="H30" s="64">
        <v>1.28</v>
      </c>
      <c r="I30" s="64">
        <v>0.34</v>
      </c>
      <c r="J30" s="64">
        <v>0.2</v>
      </c>
      <c r="K30" s="64">
        <v>297.07</v>
      </c>
      <c r="L30" s="64">
        <v>22.66</v>
      </c>
      <c r="M30" s="64">
        <v>98.03</v>
      </c>
      <c r="N30" s="64">
        <v>43.4</v>
      </c>
      <c r="O30" s="64">
        <v>0</v>
      </c>
      <c r="P30" s="64">
        <v>0.14000000000000001</v>
      </c>
      <c r="Q30" s="64">
        <v>9.39</v>
      </c>
      <c r="R30" s="198"/>
      <c r="S30" s="198"/>
      <c r="T30" s="198"/>
      <c r="U30" s="198"/>
    </row>
    <row r="31" spans="1:21" s="12" customFormat="1" x14ac:dyDescent="0.25">
      <c r="A31" s="212" t="s">
        <v>2477</v>
      </c>
      <c r="B31" s="64">
        <v>4.28</v>
      </c>
      <c r="C31" s="64">
        <v>7.23</v>
      </c>
      <c r="D31" s="64">
        <v>7.21</v>
      </c>
      <c r="E31" s="64">
        <v>4.96</v>
      </c>
      <c r="F31" s="64">
        <v>2.2200000000000002</v>
      </c>
      <c r="G31" s="64">
        <v>7.7</v>
      </c>
      <c r="H31" s="64">
        <v>1.28</v>
      </c>
      <c r="I31" s="64">
        <v>0.35</v>
      </c>
      <c r="J31" s="64">
        <v>0.21</v>
      </c>
      <c r="K31" s="64">
        <v>294.83999999999997</v>
      </c>
      <c r="L31" s="64">
        <v>22.72</v>
      </c>
      <c r="M31" s="64">
        <v>98.03</v>
      </c>
      <c r="N31" s="64">
        <v>44</v>
      </c>
      <c r="O31" s="64">
        <v>0</v>
      </c>
      <c r="P31" s="64">
        <v>0.13</v>
      </c>
      <c r="Q31" s="64">
        <v>9.41</v>
      </c>
      <c r="R31" s="198"/>
      <c r="S31" s="198"/>
      <c r="T31" s="198"/>
      <c r="U31" s="198"/>
    </row>
    <row r="32" spans="1:21" s="12" customFormat="1" x14ac:dyDescent="0.25">
      <c r="A32" s="212" t="s">
        <v>2478</v>
      </c>
      <c r="B32" s="64">
        <v>4.3499999999999996</v>
      </c>
      <c r="C32" s="64">
        <v>7.28</v>
      </c>
      <c r="D32" s="64">
        <v>7.29</v>
      </c>
      <c r="E32" s="64">
        <v>4.8600000000000003</v>
      </c>
      <c r="F32" s="64">
        <v>2.79</v>
      </c>
      <c r="G32" s="64">
        <v>7.03</v>
      </c>
      <c r="H32" s="64">
        <v>1.28</v>
      </c>
      <c r="I32" s="64">
        <v>0.36</v>
      </c>
      <c r="J32" s="64">
        <v>0.15</v>
      </c>
      <c r="K32" s="64">
        <v>290.36</v>
      </c>
      <c r="L32" s="64">
        <v>22.67</v>
      </c>
      <c r="M32" s="64">
        <v>98.03</v>
      </c>
      <c r="N32" s="64">
        <v>47.2</v>
      </c>
      <c r="O32" s="64">
        <v>0</v>
      </c>
      <c r="P32" s="64">
        <v>0.14000000000000001</v>
      </c>
      <c r="Q32" s="64">
        <v>9.42</v>
      </c>
      <c r="R32" s="198"/>
      <c r="S32" s="198"/>
      <c r="T32" s="198"/>
      <c r="U32" s="198"/>
    </row>
    <row r="33" spans="1:21" s="12" customFormat="1" x14ac:dyDescent="0.25">
      <c r="A33" s="212" t="s">
        <v>2479</v>
      </c>
      <c r="B33" s="64">
        <v>4.4400000000000004</v>
      </c>
      <c r="C33" s="64">
        <v>7.34</v>
      </c>
      <c r="D33" s="64">
        <v>7.39</v>
      </c>
      <c r="E33" s="64">
        <v>4.7699999999999996</v>
      </c>
      <c r="F33" s="64">
        <v>2.2400000000000002</v>
      </c>
      <c r="G33" s="64">
        <v>6.69</v>
      </c>
      <c r="H33" s="64">
        <v>1.28</v>
      </c>
      <c r="I33" s="64">
        <v>0.35</v>
      </c>
      <c r="J33" s="64">
        <v>0.2</v>
      </c>
      <c r="K33" s="64">
        <v>303.97000000000003</v>
      </c>
      <c r="L33" s="64">
        <v>22.68</v>
      </c>
      <c r="M33" s="64">
        <v>98.03</v>
      </c>
      <c r="N33" s="64">
        <v>49.1</v>
      </c>
      <c r="O33" s="64">
        <v>0</v>
      </c>
      <c r="P33" s="64">
        <v>0.15</v>
      </c>
      <c r="Q33" s="64">
        <v>9.43</v>
      </c>
      <c r="R33" s="198"/>
      <c r="S33" s="198"/>
      <c r="T33" s="198"/>
      <c r="U33" s="198"/>
    </row>
    <row r="34" spans="1:21" s="12" customFormat="1" x14ac:dyDescent="0.25">
      <c r="A34" s="212" t="s">
        <v>2480</v>
      </c>
      <c r="B34" s="64">
        <v>4.57</v>
      </c>
      <c r="C34" s="64">
        <v>7.3</v>
      </c>
      <c r="D34" s="64">
        <v>7.48</v>
      </c>
      <c r="E34" s="64">
        <v>5.0199999999999996</v>
      </c>
      <c r="F34" s="64">
        <v>2.2000000000000002</v>
      </c>
      <c r="G34" s="64">
        <v>6.69</v>
      </c>
      <c r="H34" s="64">
        <v>1.28</v>
      </c>
      <c r="I34" s="64">
        <v>0.38</v>
      </c>
      <c r="J34" s="64">
        <v>0.24</v>
      </c>
      <c r="K34" s="64">
        <v>296.89999999999998</v>
      </c>
      <c r="L34" s="64">
        <v>22.76</v>
      </c>
      <c r="M34" s="64">
        <v>98.01</v>
      </c>
      <c r="N34" s="64">
        <v>53.6</v>
      </c>
      <c r="O34" s="64">
        <v>0</v>
      </c>
      <c r="P34" s="64">
        <v>0.15</v>
      </c>
      <c r="Q34" s="64">
        <v>9.44</v>
      </c>
      <c r="R34" s="198"/>
      <c r="S34" s="198"/>
      <c r="T34" s="198"/>
      <c r="U34" s="198"/>
    </row>
    <row r="35" spans="1:21" s="12" customFormat="1" x14ac:dyDescent="0.25">
      <c r="A35" s="212" t="s">
        <v>2481</v>
      </c>
      <c r="B35" s="64">
        <v>4.7300000000000004</v>
      </c>
      <c r="C35" s="64">
        <v>7.32</v>
      </c>
      <c r="D35" s="64">
        <v>7.62</v>
      </c>
      <c r="E35" s="64">
        <v>4.76</v>
      </c>
      <c r="F35" s="64">
        <v>2.25</v>
      </c>
      <c r="G35" s="64">
        <v>6.69</v>
      </c>
      <c r="H35" s="64">
        <v>1.28</v>
      </c>
      <c r="I35" s="64">
        <v>0.4</v>
      </c>
      <c r="J35" s="64">
        <v>0.21</v>
      </c>
      <c r="K35" s="64">
        <v>293.52</v>
      </c>
      <c r="L35" s="64">
        <v>22.78</v>
      </c>
      <c r="M35" s="64">
        <v>98</v>
      </c>
      <c r="N35" s="64">
        <v>60.8</v>
      </c>
      <c r="O35" s="64">
        <v>0</v>
      </c>
      <c r="P35" s="64">
        <v>0.14000000000000001</v>
      </c>
      <c r="Q35" s="64">
        <v>9.44</v>
      </c>
      <c r="R35" s="198"/>
      <c r="S35" s="198"/>
      <c r="T35" s="198"/>
      <c r="U35" s="198"/>
    </row>
    <row r="36" spans="1:21" s="12" customFormat="1" x14ac:dyDescent="0.25">
      <c r="A36" s="212" t="s">
        <v>2482</v>
      </c>
      <c r="B36" s="64">
        <v>4.96</v>
      </c>
      <c r="C36" s="64">
        <v>7.42</v>
      </c>
      <c r="D36" s="64">
        <v>7.85</v>
      </c>
      <c r="E36" s="64">
        <v>5.01</v>
      </c>
      <c r="F36" s="64">
        <v>2.31</v>
      </c>
      <c r="G36" s="64">
        <v>8.2200000000000006</v>
      </c>
      <c r="H36" s="64">
        <v>1.26</v>
      </c>
      <c r="I36" s="64">
        <v>0.41</v>
      </c>
      <c r="J36" s="64">
        <v>0.27</v>
      </c>
      <c r="K36" s="64">
        <v>300.16000000000003</v>
      </c>
      <c r="L36" s="64">
        <v>22.82</v>
      </c>
      <c r="M36" s="64">
        <v>97.99</v>
      </c>
      <c r="N36" s="64">
        <v>63.9</v>
      </c>
      <c r="O36" s="64">
        <v>0</v>
      </c>
      <c r="P36" s="64">
        <v>0.16</v>
      </c>
      <c r="Q36" s="64">
        <v>9.4499999999999993</v>
      </c>
      <c r="R36" s="198"/>
      <c r="S36" s="198"/>
      <c r="T36" s="198"/>
      <c r="U36" s="198"/>
    </row>
    <row r="37" spans="1:21" s="12" customFormat="1" x14ac:dyDescent="0.25">
      <c r="A37" s="212" t="s">
        <v>2483</v>
      </c>
      <c r="B37" s="64">
        <v>5.09</v>
      </c>
      <c r="C37" s="64">
        <v>7.54</v>
      </c>
      <c r="D37" s="64">
        <v>8.02</v>
      </c>
      <c r="E37" s="64">
        <v>4.99</v>
      </c>
      <c r="F37" s="64">
        <v>2.2200000000000002</v>
      </c>
      <c r="G37" s="64">
        <v>8.98</v>
      </c>
      <c r="H37" s="64">
        <v>1.25</v>
      </c>
      <c r="I37" s="64">
        <v>0.43</v>
      </c>
      <c r="J37" s="64">
        <v>0.18</v>
      </c>
      <c r="K37" s="64">
        <v>297.83</v>
      </c>
      <c r="L37" s="64">
        <v>22.79</v>
      </c>
      <c r="M37" s="64">
        <v>97.98</v>
      </c>
      <c r="N37" s="64">
        <v>81.400000000000006</v>
      </c>
      <c r="O37" s="64">
        <v>0</v>
      </c>
      <c r="P37" s="64">
        <v>0.16</v>
      </c>
      <c r="Q37" s="64">
        <v>9.4600000000000009</v>
      </c>
      <c r="R37" s="198"/>
      <c r="S37" s="198"/>
      <c r="T37" s="198"/>
      <c r="U37" s="198"/>
    </row>
    <row r="38" spans="1:21" s="12" customFormat="1" x14ac:dyDescent="0.25">
      <c r="A38" s="212" t="s">
        <v>2484</v>
      </c>
      <c r="B38" s="64">
        <v>5.12</v>
      </c>
      <c r="C38" s="64">
        <v>7.59</v>
      </c>
      <c r="D38" s="64">
        <v>8.07</v>
      </c>
      <c r="E38" s="64">
        <v>4.83</v>
      </c>
      <c r="F38" s="64">
        <v>2.17</v>
      </c>
      <c r="G38" s="64">
        <v>8.98</v>
      </c>
      <c r="H38" s="64">
        <v>1.25</v>
      </c>
      <c r="I38" s="64">
        <v>0.44</v>
      </c>
      <c r="J38" s="64">
        <v>0.25</v>
      </c>
      <c r="K38" s="64">
        <v>293.63</v>
      </c>
      <c r="L38" s="64">
        <v>22.92</v>
      </c>
      <c r="M38" s="64">
        <v>98</v>
      </c>
      <c r="N38" s="64">
        <v>109.9</v>
      </c>
      <c r="O38" s="64">
        <v>0</v>
      </c>
      <c r="P38" s="64">
        <v>0.17</v>
      </c>
      <c r="Q38" s="64">
        <v>9.4600000000000009</v>
      </c>
      <c r="R38" s="198"/>
      <c r="S38" s="198"/>
      <c r="T38" s="198"/>
      <c r="U38" s="198"/>
    </row>
    <row r="39" spans="1:21" s="12" customFormat="1" x14ac:dyDescent="0.25">
      <c r="A39" s="212" t="s">
        <v>2485</v>
      </c>
      <c r="B39" s="64">
        <v>5.22</v>
      </c>
      <c r="C39" s="64">
        <v>7.51</v>
      </c>
      <c r="D39" s="64">
        <v>8.11</v>
      </c>
      <c r="E39" s="64">
        <v>4.93</v>
      </c>
      <c r="F39" s="64">
        <v>2.4300000000000002</v>
      </c>
      <c r="G39" s="64">
        <v>8.98</v>
      </c>
      <c r="H39" s="64">
        <v>1.25</v>
      </c>
      <c r="I39" s="64">
        <v>0.45</v>
      </c>
      <c r="J39" s="64">
        <v>0.27</v>
      </c>
      <c r="K39" s="64">
        <v>292.48</v>
      </c>
      <c r="L39" s="64">
        <v>23.02</v>
      </c>
      <c r="M39" s="64">
        <v>97.99</v>
      </c>
      <c r="N39" s="64">
        <v>108.8</v>
      </c>
      <c r="O39" s="64">
        <v>0</v>
      </c>
      <c r="P39" s="64">
        <v>0.18</v>
      </c>
      <c r="Q39" s="64">
        <v>9.44</v>
      </c>
      <c r="R39" s="198"/>
      <c r="S39" s="198"/>
      <c r="T39" s="198"/>
      <c r="U39" s="198"/>
    </row>
    <row r="40" spans="1:21" s="12" customFormat="1" x14ac:dyDescent="0.25">
      <c r="A40" s="212" t="s">
        <v>2486</v>
      </c>
      <c r="B40" s="64">
        <v>5.31</v>
      </c>
      <c r="C40" s="64">
        <v>7.37</v>
      </c>
      <c r="D40" s="64">
        <v>8.11</v>
      </c>
      <c r="E40" s="64">
        <v>3.95</v>
      </c>
      <c r="F40" s="64">
        <v>2.4300000000000002</v>
      </c>
      <c r="G40" s="64">
        <v>9.59</v>
      </c>
      <c r="H40" s="64">
        <v>1.23</v>
      </c>
      <c r="I40" s="64">
        <v>0.46</v>
      </c>
      <c r="J40" s="64">
        <v>0.27</v>
      </c>
      <c r="K40" s="64">
        <v>287.58999999999997</v>
      </c>
      <c r="L40" s="64">
        <v>23.03</v>
      </c>
      <c r="M40" s="64">
        <v>97.98</v>
      </c>
      <c r="N40" s="64">
        <v>94.8</v>
      </c>
      <c r="O40" s="64">
        <v>0</v>
      </c>
      <c r="P40" s="64">
        <v>0.2</v>
      </c>
      <c r="Q40" s="64">
        <v>9.44</v>
      </c>
      <c r="R40" s="198"/>
      <c r="S40" s="198"/>
      <c r="T40" s="198"/>
      <c r="U40" s="198"/>
    </row>
    <row r="41" spans="1:21" s="12" customFormat="1" x14ac:dyDescent="0.25">
      <c r="A41" s="212" t="s">
        <v>2487</v>
      </c>
      <c r="B41" s="64">
        <v>5.45</v>
      </c>
      <c r="C41" s="64">
        <v>7.45</v>
      </c>
      <c r="D41" s="64">
        <v>8.26</v>
      </c>
      <c r="E41" s="64">
        <v>3.8</v>
      </c>
      <c r="F41" s="64">
        <v>2.1</v>
      </c>
      <c r="G41" s="64">
        <v>9.89</v>
      </c>
      <c r="H41" s="64">
        <v>1.22</v>
      </c>
      <c r="I41" s="64">
        <v>0.49</v>
      </c>
      <c r="J41" s="64">
        <v>0.23</v>
      </c>
      <c r="K41" s="64">
        <v>291.04000000000002</v>
      </c>
      <c r="L41" s="64">
        <v>23.02</v>
      </c>
      <c r="M41" s="64">
        <v>97.98</v>
      </c>
      <c r="N41" s="64">
        <v>98.3</v>
      </c>
      <c r="O41" s="64">
        <v>0</v>
      </c>
      <c r="P41" s="64">
        <v>0.19</v>
      </c>
      <c r="Q41" s="64">
        <v>9.4499999999999993</v>
      </c>
      <c r="R41" s="198"/>
      <c r="S41" s="198"/>
      <c r="T41" s="198"/>
      <c r="U41" s="198"/>
    </row>
    <row r="42" spans="1:21" s="12" customFormat="1" x14ac:dyDescent="0.25">
      <c r="A42" s="212" t="s">
        <v>2488</v>
      </c>
      <c r="B42" s="64">
        <v>5.5</v>
      </c>
      <c r="C42" s="64">
        <v>7.52</v>
      </c>
      <c r="D42" s="64">
        <v>8.34</v>
      </c>
      <c r="E42" s="64">
        <v>3.88</v>
      </c>
      <c r="F42" s="64">
        <v>2.1</v>
      </c>
      <c r="G42" s="64">
        <v>9.89</v>
      </c>
      <c r="H42" s="64">
        <v>1.22</v>
      </c>
      <c r="I42" s="64">
        <v>0.5</v>
      </c>
      <c r="J42" s="64">
        <v>0.26</v>
      </c>
      <c r="K42" s="64">
        <v>290.13</v>
      </c>
      <c r="L42" s="64">
        <v>23.06</v>
      </c>
      <c r="M42" s="64">
        <v>97.98</v>
      </c>
      <c r="N42" s="64">
        <v>132</v>
      </c>
      <c r="O42" s="64">
        <v>0</v>
      </c>
      <c r="P42" s="64">
        <v>0.21</v>
      </c>
      <c r="Q42" s="64">
        <v>9.44</v>
      </c>
      <c r="R42" s="198"/>
      <c r="S42" s="198"/>
      <c r="T42" s="198"/>
      <c r="U42" s="198"/>
    </row>
    <row r="43" spans="1:21" s="12" customFormat="1" x14ac:dyDescent="0.25">
      <c r="A43" s="212" t="s">
        <v>2489</v>
      </c>
      <c r="B43" s="64">
        <v>5.56</v>
      </c>
      <c r="C43" s="64">
        <v>7.59</v>
      </c>
      <c r="D43" s="64">
        <v>8.43</v>
      </c>
      <c r="E43" s="64">
        <v>4.0999999999999996</v>
      </c>
      <c r="F43" s="64">
        <v>2.25</v>
      </c>
      <c r="G43" s="64">
        <v>9.89</v>
      </c>
      <c r="H43" s="64">
        <v>1.22</v>
      </c>
      <c r="I43" s="64">
        <v>0.52</v>
      </c>
      <c r="J43" s="64">
        <v>0.25</v>
      </c>
      <c r="K43" s="64">
        <v>295.42</v>
      </c>
      <c r="L43" s="64">
        <v>23.08</v>
      </c>
      <c r="M43" s="64">
        <v>98</v>
      </c>
      <c r="N43" s="64">
        <v>164.9</v>
      </c>
      <c r="O43" s="64">
        <v>0</v>
      </c>
      <c r="P43" s="64">
        <v>0.22</v>
      </c>
      <c r="Q43" s="64">
        <v>9.4499999999999993</v>
      </c>
      <c r="R43" s="198"/>
      <c r="S43" s="198"/>
      <c r="T43" s="198"/>
      <c r="U43" s="198"/>
    </row>
    <row r="44" spans="1:21" s="12" customFormat="1" x14ac:dyDescent="0.25">
      <c r="A44" s="212" t="s">
        <v>2490</v>
      </c>
      <c r="B44" s="64">
        <v>5.64</v>
      </c>
      <c r="C44" s="64">
        <v>7.67</v>
      </c>
      <c r="D44" s="64">
        <v>8.5299999999999994</v>
      </c>
      <c r="E44" s="64">
        <v>3.73</v>
      </c>
      <c r="F44" s="64">
        <v>2.11</v>
      </c>
      <c r="G44" s="64">
        <v>11.49</v>
      </c>
      <c r="H44" s="64">
        <v>1.31</v>
      </c>
      <c r="I44" s="64">
        <v>0.54</v>
      </c>
      <c r="J44" s="64">
        <v>0.22</v>
      </c>
      <c r="K44" s="64">
        <v>293.23</v>
      </c>
      <c r="L44" s="64">
        <v>23.16</v>
      </c>
      <c r="M44" s="64">
        <v>97.99</v>
      </c>
      <c r="N44" s="64">
        <v>151.19999999999999</v>
      </c>
      <c r="O44" s="64">
        <v>0</v>
      </c>
      <c r="P44" s="64">
        <v>0.22</v>
      </c>
      <c r="Q44" s="64">
        <v>9.4600000000000009</v>
      </c>
      <c r="R44" s="198"/>
      <c r="S44" s="198"/>
      <c r="T44" s="198"/>
      <c r="U44" s="198"/>
    </row>
    <row r="45" spans="1:21" s="12" customFormat="1" x14ac:dyDescent="0.25">
      <c r="A45" s="212" t="s">
        <v>2491</v>
      </c>
      <c r="B45" s="64">
        <v>5.85</v>
      </c>
      <c r="C45" s="64">
        <v>7.72</v>
      </c>
      <c r="D45" s="64">
        <v>8.7200000000000006</v>
      </c>
      <c r="E45" s="64">
        <v>4.05</v>
      </c>
      <c r="F45" s="64">
        <v>2.29</v>
      </c>
      <c r="G45" s="64">
        <v>12.29</v>
      </c>
      <c r="H45" s="64">
        <v>1.36</v>
      </c>
      <c r="I45" s="64">
        <v>0.55000000000000004</v>
      </c>
      <c r="J45" s="64">
        <v>0.26</v>
      </c>
      <c r="K45" s="64">
        <v>292.41000000000003</v>
      </c>
      <c r="L45" s="64">
        <v>23.37</v>
      </c>
      <c r="M45" s="64">
        <v>97.96</v>
      </c>
      <c r="N45" s="64">
        <v>140.69999999999999</v>
      </c>
      <c r="O45" s="64">
        <v>0</v>
      </c>
      <c r="P45" s="64">
        <v>0.24</v>
      </c>
      <c r="Q45" s="64">
        <v>9.4600000000000009</v>
      </c>
      <c r="R45" s="198"/>
      <c r="S45" s="198"/>
      <c r="T45" s="198"/>
      <c r="U45" s="198"/>
    </row>
    <row r="46" spans="1:21" s="12" customFormat="1" x14ac:dyDescent="0.25">
      <c r="A46" s="212" t="s">
        <v>2492</v>
      </c>
      <c r="B46" s="64">
        <v>5.98</v>
      </c>
      <c r="C46" s="64">
        <v>7.77</v>
      </c>
      <c r="D46" s="64">
        <v>8.85</v>
      </c>
      <c r="E46" s="64">
        <v>4.24</v>
      </c>
      <c r="F46" s="64">
        <v>2.17</v>
      </c>
      <c r="G46" s="64">
        <v>12.29</v>
      </c>
      <c r="H46" s="64">
        <v>1.36</v>
      </c>
      <c r="I46" s="64">
        <v>0.56999999999999995</v>
      </c>
      <c r="J46" s="64">
        <v>0.32</v>
      </c>
      <c r="K46" s="64">
        <v>292.35000000000002</v>
      </c>
      <c r="L46" s="64">
        <v>23.46</v>
      </c>
      <c r="M46" s="64">
        <v>97.95</v>
      </c>
      <c r="N46" s="64">
        <v>143</v>
      </c>
      <c r="O46" s="64">
        <v>0</v>
      </c>
      <c r="P46" s="64">
        <v>0.23</v>
      </c>
      <c r="Q46" s="64">
        <v>9.4700000000000006</v>
      </c>
      <c r="R46" s="198"/>
      <c r="S46" s="198"/>
      <c r="T46" s="198"/>
      <c r="U46" s="198"/>
    </row>
    <row r="47" spans="1:21" s="12" customFormat="1" x14ac:dyDescent="0.25">
      <c r="A47" s="212" t="s">
        <v>2493</v>
      </c>
      <c r="B47" s="64">
        <v>5.94</v>
      </c>
      <c r="C47" s="64">
        <v>7.78</v>
      </c>
      <c r="D47" s="64">
        <v>8.82</v>
      </c>
      <c r="E47" s="64">
        <v>3.94</v>
      </c>
      <c r="F47" s="64">
        <v>2.2200000000000002</v>
      </c>
      <c r="G47" s="64">
        <v>12.29</v>
      </c>
      <c r="H47" s="64">
        <v>1.36</v>
      </c>
      <c r="I47" s="64">
        <v>0.59</v>
      </c>
      <c r="J47" s="64">
        <v>0.26</v>
      </c>
      <c r="K47" s="64">
        <v>293.56</v>
      </c>
      <c r="L47" s="64">
        <v>23.53</v>
      </c>
      <c r="M47" s="64">
        <v>97.95</v>
      </c>
      <c r="N47" s="64">
        <v>135.1</v>
      </c>
      <c r="O47" s="64">
        <v>0</v>
      </c>
      <c r="P47" s="64">
        <v>0.25</v>
      </c>
      <c r="Q47" s="64">
        <v>9.4700000000000006</v>
      </c>
      <c r="R47" s="198"/>
      <c r="S47" s="198"/>
      <c r="T47" s="198"/>
      <c r="U47" s="198"/>
    </row>
    <row r="48" spans="1:21" s="12" customFormat="1" x14ac:dyDescent="0.25">
      <c r="A48" s="212" t="s">
        <v>2494</v>
      </c>
      <c r="B48" s="64">
        <v>5.96</v>
      </c>
      <c r="C48" s="64">
        <v>7.86</v>
      </c>
      <c r="D48" s="64">
        <v>8.8800000000000008</v>
      </c>
      <c r="E48" s="64">
        <v>4.09</v>
      </c>
      <c r="F48" s="64">
        <v>2.13</v>
      </c>
      <c r="G48" s="64">
        <v>13.18</v>
      </c>
      <c r="H48" s="64">
        <v>1.35</v>
      </c>
      <c r="I48" s="64">
        <v>0.6</v>
      </c>
      <c r="J48" s="64">
        <v>0.27</v>
      </c>
      <c r="K48" s="64">
        <v>295.48</v>
      </c>
      <c r="L48" s="64">
        <v>23.56</v>
      </c>
      <c r="M48" s="64">
        <v>97.95</v>
      </c>
      <c r="N48" s="64">
        <v>171.6</v>
      </c>
      <c r="O48" s="64">
        <v>0</v>
      </c>
      <c r="P48" s="64">
        <v>0.24</v>
      </c>
      <c r="Q48" s="64">
        <v>9.48</v>
      </c>
      <c r="R48" s="198"/>
      <c r="S48" s="198"/>
      <c r="T48" s="198"/>
      <c r="U48" s="198"/>
    </row>
    <row r="49" spans="1:21" s="12" customFormat="1" x14ac:dyDescent="0.25">
      <c r="A49" s="212" t="s">
        <v>2495</v>
      </c>
      <c r="B49" s="64">
        <v>5.9</v>
      </c>
      <c r="C49" s="64">
        <v>8.16</v>
      </c>
      <c r="D49" s="64">
        <v>8.99</v>
      </c>
      <c r="E49" s="64">
        <v>4.33</v>
      </c>
      <c r="F49" s="64">
        <v>2.17</v>
      </c>
      <c r="G49" s="64">
        <v>13.63</v>
      </c>
      <c r="H49" s="64">
        <v>1.35</v>
      </c>
      <c r="I49" s="64">
        <v>0.59</v>
      </c>
      <c r="J49" s="64">
        <v>0.28999999999999998</v>
      </c>
      <c r="K49" s="64">
        <v>299.45</v>
      </c>
      <c r="L49" s="64">
        <v>23.92</v>
      </c>
      <c r="M49" s="64">
        <v>97.94</v>
      </c>
      <c r="N49" s="64">
        <v>227</v>
      </c>
      <c r="O49" s="64">
        <v>0</v>
      </c>
      <c r="P49" s="64">
        <v>0.24</v>
      </c>
      <c r="Q49" s="64">
        <v>9.49</v>
      </c>
      <c r="R49" s="198"/>
      <c r="S49" s="198"/>
      <c r="T49" s="198"/>
      <c r="U49" s="198"/>
    </row>
    <row r="50" spans="1:21" s="12" customFormat="1" x14ac:dyDescent="0.25">
      <c r="A50" s="212" t="s">
        <v>2496</v>
      </c>
      <c r="B50" s="64">
        <v>5.84</v>
      </c>
      <c r="C50" s="64">
        <v>8.3699999999999992</v>
      </c>
      <c r="D50" s="64">
        <v>9.06</v>
      </c>
      <c r="E50" s="64">
        <v>3.81</v>
      </c>
      <c r="F50" s="64">
        <v>2.2200000000000002</v>
      </c>
      <c r="G50" s="64">
        <v>13.63</v>
      </c>
      <c r="H50" s="64">
        <v>1.35</v>
      </c>
      <c r="I50" s="64">
        <v>0.6</v>
      </c>
      <c r="J50" s="64">
        <v>0.28999999999999998</v>
      </c>
      <c r="K50" s="64">
        <v>294.63</v>
      </c>
      <c r="L50" s="64">
        <v>24.24</v>
      </c>
      <c r="M50" s="64">
        <v>97.92</v>
      </c>
      <c r="N50" s="64">
        <v>245.3</v>
      </c>
      <c r="O50" s="64">
        <v>0</v>
      </c>
      <c r="P50" s="64">
        <v>0.26</v>
      </c>
      <c r="Q50" s="64">
        <v>9.51</v>
      </c>
      <c r="R50" s="198"/>
      <c r="S50" s="198"/>
      <c r="T50" s="198"/>
      <c r="U50" s="198"/>
    </row>
    <row r="51" spans="1:21" s="12" customFormat="1" x14ac:dyDescent="0.25">
      <c r="A51" s="212" t="s">
        <v>2497</v>
      </c>
      <c r="B51" s="64">
        <v>5.68</v>
      </c>
      <c r="C51" s="64">
        <v>8.4700000000000006</v>
      </c>
      <c r="D51" s="64">
        <v>8.98</v>
      </c>
      <c r="E51" s="64">
        <v>4</v>
      </c>
      <c r="F51" s="64">
        <v>2.1</v>
      </c>
      <c r="G51" s="64">
        <v>13.63</v>
      </c>
      <c r="H51" s="64">
        <v>1.35</v>
      </c>
      <c r="I51" s="64">
        <v>0.63</v>
      </c>
      <c r="J51" s="64">
        <v>0.25</v>
      </c>
      <c r="K51" s="64">
        <v>287.11</v>
      </c>
      <c r="L51" s="64">
        <v>24.24</v>
      </c>
      <c r="M51" s="64">
        <v>97.92</v>
      </c>
      <c r="N51" s="64">
        <v>229.2</v>
      </c>
      <c r="O51" s="64">
        <v>0</v>
      </c>
      <c r="P51" s="64">
        <v>0.27</v>
      </c>
      <c r="Q51" s="64">
        <v>9.51</v>
      </c>
      <c r="R51" s="198"/>
      <c r="S51" s="198"/>
      <c r="T51" s="198"/>
      <c r="U51" s="198"/>
    </row>
    <row r="52" spans="1:21" s="12" customFormat="1" x14ac:dyDescent="0.25">
      <c r="A52" s="212" t="s">
        <v>2498</v>
      </c>
      <c r="B52" s="64">
        <v>5.66</v>
      </c>
      <c r="C52" s="64">
        <v>8.48</v>
      </c>
      <c r="D52" s="64">
        <v>8.9700000000000006</v>
      </c>
      <c r="E52" s="64">
        <v>4.21</v>
      </c>
      <c r="F52" s="64">
        <v>2.1</v>
      </c>
      <c r="G52" s="64">
        <v>12.14</v>
      </c>
      <c r="H52" s="64">
        <v>1.35</v>
      </c>
      <c r="I52" s="64">
        <v>0.66</v>
      </c>
      <c r="J52" s="64">
        <v>0.28999999999999998</v>
      </c>
      <c r="K52" s="64">
        <v>289.39</v>
      </c>
      <c r="L52" s="64">
        <v>24.49</v>
      </c>
      <c r="M52" s="64">
        <v>97.9</v>
      </c>
      <c r="N52" s="64">
        <v>156.80000000000001</v>
      </c>
      <c r="O52" s="64">
        <v>0</v>
      </c>
      <c r="P52" s="64">
        <v>0.27</v>
      </c>
      <c r="Q52" s="64">
        <v>9.49</v>
      </c>
      <c r="R52" s="198"/>
      <c r="S52" s="198"/>
      <c r="T52" s="198"/>
      <c r="U52" s="198"/>
    </row>
    <row r="53" spans="1:21" s="12" customFormat="1" x14ac:dyDescent="0.25">
      <c r="A53" s="212" t="s">
        <v>2499</v>
      </c>
      <c r="B53" s="64">
        <v>6.08</v>
      </c>
      <c r="C53" s="64">
        <v>8.0299999999999994</v>
      </c>
      <c r="D53" s="64">
        <v>9.08</v>
      </c>
      <c r="E53" s="64">
        <v>4.32</v>
      </c>
      <c r="F53" s="64">
        <v>2.13</v>
      </c>
      <c r="G53" s="64">
        <v>11.4</v>
      </c>
      <c r="H53" s="64">
        <v>1.36</v>
      </c>
      <c r="I53" s="64">
        <v>0.67</v>
      </c>
      <c r="J53" s="64">
        <v>0.26</v>
      </c>
      <c r="K53" s="64">
        <v>284.93</v>
      </c>
      <c r="L53" s="64">
        <v>24.32</v>
      </c>
      <c r="M53" s="64">
        <v>97.93</v>
      </c>
      <c r="N53" s="64">
        <v>170</v>
      </c>
      <c r="O53" s="64">
        <v>0</v>
      </c>
      <c r="P53" s="64">
        <v>0.28000000000000003</v>
      </c>
      <c r="Q53" s="64">
        <v>9.5</v>
      </c>
      <c r="R53" s="198"/>
      <c r="S53" s="198"/>
      <c r="T53" s="198"/>
      <c r="U53" s="198"/>
    </row>
    <row r="54" spans="1:21" s="12" customFormat="1" x14ac:dyDescent="0.25">
      <c r="A54" s="212" t="s">
        <v>2500</v>
      </c>
      <c r="B54" s="64">
        <v>5.97</v>
      </c>
      <c r="C54" s="64">
        <v>8.58</v>
      </c>
      <c r="D54" s="64">
        <v>9.2799999999999994</v>
      </c>
      <c r="E54" s="64">
        <v>4.0599999999999996</v>
      </c>
      <c r="F54" s="64">
        <v>2.1800000000000002</v>
      </c>
      <c r="G54" s="64">
        <v>11.4</v>
      </c>
      <c r="H54" s="64">
        <v>1.36</v>
      </c>
      <c r="I54" s="64">
        <v>0.7</v>
      </c>
      <c r="J54" s="64">
        <v>0.24</v>
      </c>
      <c r="K54" s="64">
        <v>289.81</v>
      </c>
      <c r="L54" s="64">
        <v>24.38</v>
      </c>
      <c r="M54" s="64">
        <v>97.91</v>
      </c>
      <c r="N54" s="64">
        <v>224.1</v>
      </c>
      <c r="O54" s="64">
        <v>0</v>
      </c>
      <c r="P54" s="64">
        <v>0.28999999999999998</v>
      </c>
      <c r="Q54" s="64">
        <v>9.52</v>
      </c>
      <c r="R54" s="198"/>
      <c r="S54" s="198"/>
      <c r="T54" s="198"/>
      <c r="U54" s="198"/>
    </row>
    <row r="55" spans="1:21" s="12" customFormat="1" x14ac:dyDescent="0.25">
      <c r="A55" s="212" t="s">
        <v>2501</v>
      </c>
      <c r="B55" s="64">
        <v>6.07</v>
      </c>
      <c r="C55" s="64">
        <v>8.61</v>
      </c>
      <c r="D55" s="64">
        <v>9.3699999999999992</v>
      </c>
      <c r="E55" s="64">
        <v>4.03</v>
      </c>
      <c r="F55" s="64">
        <v>2.2200000000000002</v>
      </c>
      <c r="G55" s="64">
        <v>11.4</v>
      </c>
      <c r="H55" s="64">
        <v>1.36</v>
      </c>
      <c r="I55" s="64">
        <v>0.69</v>
      </c>
      <c r="J55" s="64">
        <v>0.26</v>
      </c>
      <c r="K55" s="64">
        <v>288.14999999999998</v>
      </c>
      <c r="L55" s="64">
        <v>25.17</v>
      </c>
      <c r="M55" s="64">
        <v>97.51</v>
      </c>
      <c r="N55" s="64">
        <v>350.9</v>
      </c>
      <c r="O55" s="64">
        <v>0</v>
      </c>
      <c r="P55" s="64">
        <v>0.3</v>
      </c>
      <c r="Q55" s="64">
        <v>9.51</v>
      </c>
      <c r="R55" s="198"/>
      <c r="S55" s="198"/>
      <c r="T55" s="198"/>
      <c r="U55" s="198"/>
    </row>
    <row r="56" spans="1:21" s="12" customFormat="1" x14ac:dyDescent="0.25">
      <c r="A56" s="212" t="s">
        <v>2502</v>
      </c>
      <c r="B56" s="64">
        <v>6.18</v>
      </c>
      <c r="C56" s="64">
        <v>8.59</v>
      </c>
      <c r="D56" s="64">
        <v>9.44</v>
      </c>
      <c r="E56" s="64">
        <v>4.4400000000000004</v>
      </c>
      <c r="F56" s="64">
        <v>2.15</v>
      </c>
      <c r="G56" s="64">
        <v>14.39</v>
      </c>
      <c r="H56" s="64">
        <v>2.17</v>
      </c>
      <c r="I56" s="64">
        <v>0.67</v>
      </c>
      <c r="J56" s="64">
        <v>0.25</v>
      </c>
      <c r="K56" s="64">
        <v>283.14</v>
      </c>
      <c r="L56" s="64">
        <v>25.23</v>
      </c>
      <c r="M56" s="64">
        <v>97.65</v>
      </c>
      <c r="N56" s="64">
        <v>243.1</v>
      </c>
      <c r="O56" s="64">
        <v>0</v>
      </c>
      <c r="P56" s="64">
        <v>0.31</v>
      </c>
      <c r="Q56" s="64">
        <v>9.5</v>
      </c>
      <c r="R56" s="198"/>
      <c r="S56" s="198"/>
      <c r="T56" s="198"/>
      <c r="U56" s="198"/>
    </row>
    <row r="57" spans="1:21" s="12" customFormat="1" x14ac:dyDescent="0.25">
      <c r="A57" s="212" t="s">
        <v>2503</v>
      </c>
      <c r="B57" s="64">
        <v>6.35</v>
      </c>
      <c r="C57" s="64">
        <v>8.5</v>
      </c>
      <c r="D57" s="64">
        <v>9.5399999999999991</v>
      </c>
      <c r="E57" s="64">
        <v>4.3099999999999996</v>
      </c>
      <c r="F57" s="64">
        <v>2.11</v>
      </c>
      <c r="G57" s="64">
        <v>15.88</v>
      </c>
      <c r="H57" s="64">
        <v>2.58</v>
      </c>
      <c r="I57" s="64">
        <v>0.69</v>
      </c>
      <c r="J57" s="64">
        <v>0.23</v>
      </c>
      <c r="K57" s="64">
        <v>296.06</v>
      </c>
      <c r="L57" s="64">
        <v>24.99</v>
      </c>
      <c r="M57" s="64">
        <v>97.91</v>
      </c>
      <c r="N57" s="64">
        <v>171.3</v>
      </c>
      <c r="O57" s="64">
        <v>0</v>
      </c>
      <c r="P57" s="64">
        <v>0.32</v>
      </c>
      <c r="Q57" s="64">
        <v>9.5</v>
      </c>
      <c r="R57" s="198"/>
      <c r="S57" s="198"/>
      <c r="T57" s="198"/>
      <c r="U57" s="198"/>
    </row>
    <row r="58" spans="1:21" s="12" customFormat="1" x14ac:dyDescent="0.25">
      <c r="A58" s="212" t="s">
        <v>2504</v>
      </c>
      <c r="B58" s="64">
        <v>6.63</v>
      </c>
      <c r="C58" s="64">
        <v>8.31</v>
      </c>
      <c r="D58" s="64">
        <v>9.66</v>
      </c>
      <c r="E58" s="64">
        <v>3.81</v>
      </c>
      <c r="F58" s="64">
        <v>2.1</v>
      </c>
      <c r="G58" s="64">
        <v>15.88</v>
      </c>
      <c r="H58" s="64">
        <v>2.58</v>
      </c>
      <c r="I58" s="64">
        <v>0.69</v>
      </c>
      <c r="J58" s="64">
        <v>0.24</v>
      </c>
      <c r="K58" s="64">
        <v>294.55</v>
      </c>
      <c r="L58" s="64">
        <v>24.69</v>
      </c>
      <c r="M58" s="64">
        <v>97.93</v>
      </c>
      <c r="N58" s="64">
        <v>172.1</v>
      </c>
      <c r="O58" s="64">
        <v>0</v>
      </c>
      <c r="P58" s="64">
        <v>0.34</v>
      </c>
      <c r="Q58" s="64">
        <v>9.49</v>
      </c>
      <c r="R58" s="198"/>
      <c r="S58" s="198"/>
      <c r="T58" s="198"/>
      <c r="U58" s="198"/>
    </row>
    <row r="59" spans="1:21" s="12" customFormat="1" x14ac:dyDescent="0.25">
      <c r="A59" s="212" t="s">
        <v>2505</v>
      </c>
      <c r="B59" s="64">
        <v>6.88</v>
      </c>
      <c r="C59" s="64">
        <v>8.06</v>
      </c>
      <c r="D59" s="64">
        <v>9.73</v>
      </c>
      <c r="E59" s="64">
        <v>3.96</v>
      </c>
      <c r="F59" s="64">
        <v>2.2200000000000002</v>
      </c>
      <c r="G59" s="64">
        <v>15.88</v>
      </c>
      <c r="H59" s="64">
        <v>2.58</v>
      </c>
      <c r="I59" s="64">
        <v>0.7</v>
      </c>
      <c r="J59" s="64">
        <v>0.3</v>
      </c>
      <c r="K59" s="64">
        <v>299.24</v>
      </c>
      <c r="L59" s="64">
        <v>24.8</v>
      </c>
      <c r="M59" s="64">
        <v>97.92</v>
      </c>
      <c r="N59" s="64">
        <v>135.6</v>
      </c>
      <c r="O59" s="64">
        <v>0</v>
      </c>
      <c r="P59" s="64">
        <v>0.34</v>
      </c>
      <c r="Q59" s="64">
        <v>9.51</v>
      </c>
      <c r="R59" s="198"/>
      <c r="S59" s="198"/>
      <c r="T59" s="198"/>
      <c r="U59" s="198"/>
    </row>
    <row r="60" spans="1:21" s="12" customFormat="1" x14ac:dyDescent="0.25">
      <c r="A60" s="212" t="s">
        <v>2506</v>
      </c>
      <c r="B60" s="64">
        <v>7.27</v>
      </c>
      <c r="C60" s="64">
        <v>8.1199999999999992</v>
      </c>
      <c r="D60" s="64">
        <v>10.07</v>
      </c>
      <c r="E60" s="64">
        <v>4.03</v>
      </c>
      <c r="F60" s="64">
        <v>2.1</v>
      </c>
      <c r="G60" s="64">
        <v>17.77</v>
      </c>
      <c r="H60" s="64">
        <v>2.54</v>
      </c>
      <c r="I60" s="64">
        <v>0.73</v>
      </c>
      <c r="J60" s="64">
        <v>0.28999999999999998</v>
      </c>
      <c r="K60" s="64">
        <v>299.41000000000003</v>
      </c>
      <c r="L60" s="64">
        <v>24.88</v>
      </c>
      <c r="M60" s="64">
        <v>97.9</v>
      </c>
      <c r="N60" s="64">
        <v>149.30000000000001</v>
      </c>
      <c r="O60" s="64">
        <v>0</v>
      </c>
      <c r="P60" s="64">
        <v>0.34</v>
      </c>
      <c r="Q60" s="64">
        <v>9.51</v>
      </c>
      <c r="R60" s="198"/>
      <c r="S60" s="198"/>
      <c r="T60" s="198"/>
      <c r="U60" s="198"/>
    </row>
    <row r="61" spans="1:21" s="12" customFormat="1" x14ac:dyDescent="0.25">
      <c r="A61" s="212" t="s">
        <v>2507</v>
      </c>
      <c r="B61" s="64">
        <v>7.59</v>
      </c>
      <c r="C61" s="64">
        <v>7.91</v>
      </c>
      <c r="D61" s="64">
        <v>10.220000000000001</v>
      </c>
      <c r="E61" s="64">
        <v>4.01</v>
      </c>
      <c r="F61" s="64">
        <v>2.13</v>
      </c>
      <c r="G61" s="64">
        <v>18.72</v>
      </c>
      <c r="H61" s="64">
        <v>2.52</v>
      </c>
      <c r="I61" s="64">
        <v>0.75</v>
      </c>
      <c r="J61" s="64">
        <v>0.21</v>
      </c>
      <c r="K61" s="64">
        <v>294.2</v>
      </c>
      <c r="L61" s="64">
        <v>24.95</v>
      </c>
      <c r="M61" s="64">
        <v>97.92</v>
      </c>
      <c r="N61" s="64">
        <v>185.6</v>
      </c>
      <c r="O61" s="64">
        <v>0</v>
      </c>
      <c r="P61" s="64">
        <v>0.28999999999999998</v>
      </c>
      <c r="Q61" s="64">
        <v>9.5299999999999994</v>
      </c>
      <c r="R61" s="198"/>
      <c r="S61" s="198"/>
      <c r="T61" s="198"/>
      <c r="U61" s="198"/>
    </row>
    <row r="62" spans="1:21" s="12" customFormat="1" x14ac:dyDescent="0.25">
      <c r="A62" s="212" t="s">
        <v>2508</v>
      </c>
      <c r="B62" s="64">
        <v>7.76</v>
      </c>
      <c r="C62" s="64">
        <v>8.6</v>
      </c>
      <c r="D62" s="64">
        <v>10.72</v>
      </c>
      <c r="E62" s="64">
        <v>3.52</v>
      </c>
      <c r="F62" s="64">
        <v>2.1</v>
      </c>
      <c r="G62" s="64">
        <v>18.72</v>
      </c>
      <c r="H62" s="64">
        <v>2.52</v>
      </c>
      <c r="I62" s="64">
        <v>0.77</v>
      </c>
      <c r="J62" s="64">
        <v>0.19</v>
      </c>
      <c r="K62" s="64">
        <v>287.08999999999997</v>
      </c>
      <c r="L62" s="64">
        <v>24.75</v>
      </c>
      <c r="M62" s="64">
        <v>97.94</v>
      </c>
      <c r="N62" s="64">
        <v>133.1</v>
      </c>
      <c r="O62" s="64">
        <v>0</v>
      </c>
      <c r="P62" s="64">
        <v>0.32</v>
      </c>
      <c r="Q62" s="64">
        <v>9.5399999999999991</v>
      </c>
      <c r="R62" s="198"/>
      <c r="S62" s="198"/>
      <c r="T62" s="198"/>
      <c r="U62" s="198"/>
    </row>
    <row r="63" spans="1:21" s="12" customFormat="1" x14ac:dyDescent="0.25">
      <c r="A63" s="212" t="s">
        <v>2509</v>
      </c>
      <c r="B63" s="64">
        <v>7.99</v>
      </c>
      <c r="C63" s="64">
        <v>7.72</v>
      </c>
      <c r="D63" s="64">
        <v>10.44</v>
      </c>
      <c r="E63" s="64">
        <v>4.12</v>
      </c>
      <c r="F63" s="64">
        <v>2.14</v>
      </c>
      <c r="G63" s="64">
        <v>18.72</v>
      </c>
      <c r="H63" s="64">
        <v>2.52</v>
      </c>
      <c r="I63" s="64">
        <v>0.78</v>
      </c>
      <c r="J63" s="64">
        <v>0.22</v>
      </c>
      <c r="K63" s="64">
        <v>290.61</v>
      </c>
      <c r="L63" s="64">
        <v>24.64</v>
      </c>
      <c r="M63" s="64">
        <v>97.94</v>
      </c>
      <c r="N63" s="64">
        <v>128.5</v>
      </c>
      <c r="O63" s="64">
        <v>0</v>
      </c>
      <c r="P63" s="64">
        <v>0.33</v>
      </c>
      <c r="Q63" s="64">
        <v>9.5399999999999991</v>
      </c>
      <c r="R63" s="198"/>
      <c r="S63" s="198"/>
      <c r="T63" s="198"/>
      <c r="U63" s="198"/>
    </row>
    <row r="64" spans="1:21" s="12" customFormat="1" x14ac:dyDescent="0.25">
      <c r="A64" s="212" t="s">
        <v>2510</v>
      </c>
      <c r="B64" s="64">
        <v>8.08</v>
      </c>
      <c r="C64" s="64">
        <v>7.84</v>
      </c>
      <c r="D64" s="64">
        <v>10.57</v>
      </c>
      <c r="E64" s="64">
        <v>3.89</v>
      </c>
      <c r="F64" s="64">
        <v>2.17</v>
      </c>
      <c r="G64" s="64">
        <v>21.05</v>
      </c>
      <c r="H64" s="64">
        <v>2.44</v>
      </c>
      <c r="I64" s="64">
        <v>0.8</v>
      </c>
      <c r="J64" s="64">
        <v>0.17</v>
      </c>
      <c r="K64" s="64">
        <v>293.41000000000003</v>
      </c>
      <c r="L64" s="64">
        <v>25.12</v>
      </c>
      <c r="M64" s="64">
        <v>97.91</v>
      </c>
      <c r="N64" s="64">
        <v>213.7</v>
      </c>
      <c r="O64" s="64">
        <v>0</v>
      </c>
      <c r="P64" s="64">
        <v>0.31</v>
      </c>
      <c r="Q64" s="64">
        <v>9.5399999999999991</v>
      </c>
      <c r="R64" s="198"/>
      <c r="S64" s="198"/>
      <c r="T64" s="198"/>
      <c r="U64" s="198"/>
    </row>
    <row r="65" spans="1:21" s="12" customFormat="1" x14ac:dyDescent="0.25">
      <c r="A65" s="212" t="s">
        <v>2511</v>
      </c>
      <c r="B65" s="64">
        <v>8.18</v>
      </c>
      <c r="C65" s="64">
        <v>7.92</v>
      </c>
      <c r="D65" s="64">
        <v>10.7</v>
      </c>
      <c r="E65" s="64">
        <v>3.97</v>
      </c>
      <c r="F65" s="64">
        <v>2.16</v>
      </c>
      <c r="G65" s="64">
        <v>22.22</v>
      </c>
      <c r="H65" s="64">
        <v>2.4</v>
      </c>
      <c r="I65" s="64">
        <v>0.81</v>
      </c>
      <c r="J65" s="64">
        <v>0.23</v>
      </c>
      <c r="K65" s="64">
        <v>293.54000000000002</v>
      </c>
      <c r="L65" s="64">
        <v>25.47</v>
      </c>
      <c r="M65" s="64">
        <v>97.88</v>
      </c>
      <c r="N65" s="64">
        <v>230.7</v>
      </c>
      <c r="O65" s="64">
        <v>0</v>
      </c>
      <c r="P65" s="64">
        <v>0.33</v>
      </c>
      <c r="Q65" s="64">
        <v>9.5500000000000007</v>
      </c>
      <c r="R65" s="198"/>
      <c r="S65" s="198"/>
      <c r="T65" s="198"/>
      <c r="U65" s="198"/>
    </row>
    <row r="66" spans="1:21" s="12" customFormat="1" x14ac:dyDescent="0.25">
      <c r="A66" s="212" t="s">
        <v>2512</v>
      </c>
      <c r="B66" s="64">
        <v>10.15</v>
      </c>
      <c r="C66" s="64">
        <v>8.6199999999999992</v>
      </c>
      <c r="D66" s="64">
        <v>12.64</v>
      </c>
      <c r="E66" s="64">
        <v>4.2</v>
      </c>
      <c r="F66" s="64">
        <v>3.29</v>
      </c>
      <c r="G66" s="64">
        <v>22.22</v>
      </c>
      <c r="H66" s="64">
        <v>2.4</v>
      </c>
      <c r="I66" s="64">
        <v>0.82</v>
      </c>
      <c r="J66" s="64">
        <v>0.18</v>
      </c>
      <c r="K66" s="64">
        <v>291.77999999999997</v>
      </c>
      <c r="L66" s="64">
        <v>25.86</v>
      </c>
      <c r="M66" s="64">
        <v>97.21</v>
      </c>
      <c r="N66" s="64">
        <v>184.6</v>
      </c>
      <c r="O66" s="64">
        <v>0</v>
      </c>
      <c r="P66" s="64">
        <v>0.36</v>
      </c>
      <c r="Q66" s="64">
        <v>9.58</v>
      </c>
      <c r="R66" s="198"/>
      <c r="S66" s="198"/>
      <c r="T66" s="198"/>
      <c r="U66" s="198"/>
    </row>
    <row r="67" spans="1:21" s="12" customFormat="1" x14ac:dyDescent="0.25">
      <c r="A67" s="212" t="s">
        <v>2513</v>
      </c>
      <c r="B67" s="64">
        <v>8.94</v>
      </c>
      <c r="C67" s="64">
        <v>8.61</v>
      </c>
      <c r="D67" s="64">
        <v>11.67</v>
      </c>
      <c r="E67" s="64">
        <v>4.26</v>
      </c>
      <c r="F67" s="64">
        <v>2.63</v>
      </c>
      <c r="G67" s="64">
        <v>22.22</v>
      </c>
      <c r="H67" s="64">
        <v>2.4</v>
      </c>
      <c r="I67" s="64">
        <v>0.84</v>
      </c>
      <c r="J67" s="64">
        <v>0.19</v>
      </c>
      <c r="K67" s="64">
        <v>293.86</v>
      </c>
      <c r="L67" s="64">
        <v>25.64</v>
      </c>
      <c r="M67" s="64">
        <v>97.67</v>
      </c>
      <c r="N67" s="64">
        <v>221.4</v>
      </c>
      <c r="O67" s="64">
        <v>0</v>
      </c>
      <c r="P67" s="64">
        <v>0.35</v>
      </c>
      <c r="Q67" s="64">
        <v>9.6199999999999992</v>
      </c>
      <c r="R67" s="198"/>
      <c r="S67" s="198"/>
      <c r="T67" s="198"/>
      <c r="U67" s="198"/>
    </row>
    <row r="68" spans="1:21" s="12" customFormat="1" x14ac:dyDescent="0.25">
      <c r="A68" s="212" t="s">
        <v>2514</v>
      </c>
      <c r="B68" s="64">
        <v>9.34</v>
      </c>
      <c r="C68" s="64">
        <v>8.59</v>
      </c>
      <c r="D68" s="64">
        <v>11.97</v>
      </c>
      <c r="E68" s="64">
        <v>4.03</v>
      </c>
      <c r="F68" s="64">
        <v>2.2799999999999998</v>
      </c>
      <c r="G68" s="64">
        <v>22.92</v>
      </c>
      <c r="H68" s="64">
        <v>2.19</v>
      </c>
      <c r="I68" s="64">
        <v>0.86</v>
      </c>
      <c r="J68" s="64">
        <v>0.2</v>
      </c>
      <c r="K68" s="64">
        <v>298.64</v>
      </c>
      <c r="L68" s="64">
        <v>25.66</v>
      </c>
      <c r="M68" s="64">
        <v>97.85</v>
      </c>
      <c r="N68" s="64">
        <v>147.69999999999999</v>
      </c>
      <c r="O68" s="64">
        <v>0</v>
      </c>
      <c r="P68" s="64">
        <v>0.34</v>
      </c>
      <c r="Q68" s="64">
        <v>9.61</v>
      </c>
      <c r="R68" s="198"/>
      <c r="S68" s="198"/>
      <c r="T68" s="198"/>
      <c r="U68" s="198"/>
    </row>
    <row r="69" spans="1:21" s="12" customFormat="1" x14ac:dyDescent="0.25">
      <c r="A69" s="212" t="s">
        <v>2515</v>
      </c>
      <c r="B69" s="64">
        <v>9.48</v>
      </c>
      <c r="C69" s="64">
        <v>7.59</v>
      </c>
      <c r="D69" s="64">
        <v>11.57</v>
      </c>
      <c r="E69" s="64">
        <v>4.5599999999999996</v>
      </c>
      <c r="F69" s="64">
        <v>2.16</v>
      </c>
      <c r="G69" s="64">
        <v>23.27</v>
      </c>
      <c r="H69" s="64">
        <v>2.09</v>
      </c>
      <c r="I69" s="64">
        <v>0.92</v>
      </c>
      <c r="J69" s="64">
        <v>0.28000000000000003</v>
      </c>
      <c r="K69" s="64">
        <v>294.67</v>
      </c>
      <c r="L69" s="64">
        <v>24.95</v>
      </c>
      <c r="M69" s="64">
        <v>97.92</v>
      </c>
      <c r="N69" s="64">
        <v>171</v>
      </c>
      <c r="O69" s="64">
        <v>0</v>
      </c>
      <c r="P69" s="64">
        <v>0.35</v>
      </c>
      <c r="Q69" s="64">
        <v>9.61</v>
      </c>
      <c r="R69" s="198"/>
      <c r="S69" s="198"/>
      <c r="T69" s="198"/>
      <c r="U69" s="198"/>
    </row>
    <row r="70" spans="1:21" s="12" customFormat="1" x14ac:dyDescent="0.25">
      <c r="A70" s="212" t="s">
        <v>2516</v>
      </c>
      <c r="B70" s="64">
        <v>8.48</v>
      </c>
      <c r="C70" s="64">
        <v>8.36</v>
      </c>
      <c r="D70" s="64">
        <v>11.17</v>
      </c>
      <c r="E70" s="64">
        <v>4.22</v>
      </c>
      <c r="F70" s="64">
        <v>2.34</v>
      </c>
      <c r="G70" s="64">
        <v>23.27</v>
      </c>
      <c r="H70" s="64">
        <v>2.09</v>
      </c>
      <c r="I70" s="64">
        <v>0.91</v>
      </c>
      <c r="J70" s="64">
        <v>0.22</v>
      </c>
      <c r="K70" s="64">
        <v>299.11</v>
      </c>
      <c r="L70" s="64">
        <v>25.24</v>
      </c>
      <c r="M70" s="64">
        <v>97.87</v>
      </c>
      <c r="N70" s="64">
        <v>218</v>
      </c>
      <c r="O70" s="64">
        <v>0</v>
      </c>
      <c r="P70" s="64">
        <v>0.32</v>
      </c>
      <c r="Q70" s="64">
        <v>9.6</v>
      </c>
      <c r="R70" s="198"/>
      <c r="S70" s="198"/>
      <c r="T70" s="198"/>
      <c r="U70" s="198"/>
    </row>
    <row r="71" spans="1:21" s="12" customFormat="1" x14ac:dyDescent="0.25">
      <c r="A71" s="212" t="s">
        <v>2517</v>
      </c>
      <c r="B71" s="64">
        <v>8</v>
      </c>
      <c r="C71" s="64">
        <v>8.74</v>
      </c>
      <c r="D71" s="64">
        <v>10.98</v>
      </c>
      <c r="E71" s="64">
        <v>3.87</v>
      </c>
      <c r="F71" s="64">
        <v>2.39</v>
      </c>
      <c r="G71" s="64">
        <v>23.27</v>
      </c>
      <c r="H71" s="64">
        <v>2.09</v>
      </c>
      <c r="I71" s="64">
        <v>0.85</v>
      </c>
      <c r="J71" s="64">
        <v>0.16</v>
      </c>
      <c r="K71" s="64">
        <v>291.52999999999997</v>
      </c>
      <c r="L71" s="64">
        <v>25.36</v>
      </c>
      <c r="M71" s="64">
        <v>97.9</v>
      </c>
      <c r="N71" s="64">
        <v>163.1</v>
      </c>
      <c r="O71" s="64">
        <v>0</v>
      </c>
      <c r="P71" s="64">
        <v>0.31</v>
      </c>
      <c r="Q71" s="64">
        <v>9.6199999999999992</v>
      </c>
      <c r="R71" s="198"/>
      <c r="S71" s="198"/>
      <c r="T71" s="198"/>
      <c r="U71" s="198"/>
    </row>
    <row r="72" spans="1:21" s="12" customFormat="1" x14ac:dyDescent="0.25">
      <c r="A72" s="212" t="s">
        <v>2518</v>
      </c>
      <c r="B72" s="64">
        <v>7.66</v>
      </c>
      <c r="C72" s="64">
        <v>8.9499999999999993</v>
      </c>
      <c r="D72" s="64">
        <v>10.82</v>
      </c>
      <c r="E72" s="64">
        <v>3.34</v>
      </c>
      <c r="F72" s="64">
        <v>2.5299999999999998</v>
      </c>
      <c r="G72" s="64">
        <v>25.38</v>
      </c>
      <c r="H72" s="64">
        <v>2.23</v>
      </c>
      <c r="I72" s="64">
        <v>0.89</v>
      </c>
      <c r="J72" s="64">
        <v>0.18</v>
      </c>
      <c r="K72" s="64">
        <v>295.62</v>
      </c>
      <c r="L72" s="64">
        <v>25.12</v>
      </c>
      <c r="M72" s="64">
        <v>97.92</v>
      </c>
      <c r="N72" s="64">
        <v>144</v>
      </c>
      <c r="O72" s="64">
        <v>0</v>
      </c>
      <c r="P72" s="64">
        <v>0.32</v>
      </c>
      <c r="Q72" s="64">
        <v>9.61</v>
      </c>
      <c r="R72" s="198"/>
      <c r="S72" s="198"/>
      <c r="T72" s="198"/>
      <c r="U72" s="198"/>
    </row>
    <row r="73" spans="1:21" s="12" customFormat="1" x14ac:dyDescent="0.25">
      <c r="A73" s="212" t="s">
        <v>2519</v>
      </c>
      <c r="B73" s="64">
        <v>7.49</v>
      </c>
      <c r="C73" s="64">
        <v>9</v>
      </c>
      <c r="D73" s="64">
        <v>10.71</v>
      </c>
      <c r="E73" s="64">
        <v>3.79</v>
      </c>
      <c r="F73" s="64">
        <v>2.1</v>
      </c>
      <c r="G73" s="64">
        <v>26.44</v>
      </c>
      <c r="H73" s="64">
        <v>2.31</v>
      </c>
      <c r="I73" s="64">
        <v>0.87</v>
      </c>
      <c r="J73" s="64">
        <v>0.18</v>
      </c>
      <c r="K73" s="64">
        <v>311.61</v>
      </c>
      <c r="L73" s="64">
        <v>25.19</v>
      </c>
      <c r="M73" s="64">
        <v>97.92</v>
      </c>
      <c r="N73" s="64">
        <v>144.9</v>
      </c>
      <c r="O73" s="64">
        <v>0</v>
      </c>
      <c r="P73" s="64">
        <v>0.32</v>
      </c>
      <c r="Q73" s="64">
        <v>9.59</v>
      </c>
      <c r="R73" s="198"/>
      <c r="S73" s="198"/>
      <c r="T73" s="198"/>
      <c r="U73" s="198"/>
    </row>
    <row r="74" spans="1:21" s="12" customFormat="1" x14ac:dyDescent="0.25">
      <c r="A74" s="212" t="s">
        <v>2520</v>
      </c>
      <c r="B74" s="64">
        <v>7.63</v>
      </c>
      <c r="C74" s="64">
        <v>8.9</v>
      </c>
      <c r="D74" s="64">
        <v>10.77</v>
      </c>
      <c r="E74" s="64">
        <v>4.2</v>
      </c>
      <c r="F74" s="64">
        <v>2.2599999999999998</v>
      </c>
      <c r="G74" s="64">
        <v>26.44</v>
      </c>
      <c r="H74" s="64">
        <v>2.31</v>
      </c>
      <c r="I74" s="64">
        <v>0.82</v>
      </c>
      <c r="J74" s="64">
        <v>0.17</v>
      </c>
      <c r="K74" s="64">
        <v>317.10000000000002</v>
      </c>
      <c r="L74" s="64">
        <v>25.18</v>
      </c>
      <c r="M74" s="64">
        <v>97.93</v>
      </c>
      <c r="N74" s="64">
        <v>143.5</v>
      </c>
      <c r="O74" s="64">
        <v>0</v>
      </c>
      <c r="P74" s="64">
        <v>0.33</v>
      </c>
      <c r="Q74" s="64">
        <v>9.57</v>
      </c>
      <c r="R74" s="198"/>
      <c r="S74" s="198"/>
      <c r="T74" s="198"/>
      <c r="U74" s="198"/>
    </row>
    <row r="75" spans="1:21" s="12" customFormat="1" x14ac:dyDescent="0.25">
      <c r="A75" s="212" t="s">
        <v>2521</v>
      </c>
      <c r="B75" s="64">
        <v>7.67</v>
      </c>
      <c r="C75" s="64">
        <v>8.69</v>
      </c>
      <c r="D75" s="64">
        <v>10.69</v>
      </c>
      <c r="E75" s="64">
        <v>3.98</v>
      </c>
      <c r="F75" s="64">
        <v>2.7</v>
      </c>
      <c r="G75" s="64">
        <v>26.44</v>
      </c>
      <c r="H75" s="64">
        <v>2.31</v>
      </c>
      <c r="I75" s="64">
        <v>0.82</v>
      </c>
      <c r="J75" s="64">
        <v>0.16</v>
      </c>
      <c r="K75" s="64">
        <v>306</v>
      </c>
      <c r="L75" s="64">
        <v>25.13</v>
      </c>
      <c r="M75" s="64">
        <v>97.93</v>
      </c>
      <c r="N75" s="64">
        <v>143.19999999999999</v>
      </c>
      <c r="O75" s="64">
        <v>0</v>
      </c>
      <c r="P75" s="64">
        <v>0.33</v>
      </c>
      <c r="Q75" s="64">
        <v>9.56</v>
      </c>
      <c r="R75" s="198"/>
      <c r="S75" s="198"/>
      <c r="T75" s="198"/>
      <c r="U75" s="198"/>
    </row>
    <row r="76" spans="1:21" s="12" customFormat="1" x14ac:dyDescent="0.25">
      <c r="A76" s="212" t="s">
        <v>2522</v>
      </c>
      <c r="B76" s="64">
        <v>7.53</v>
      </c>
      <c r="C76" s="64">
        <v>8.8800000000000008</v>
      </c>
      <c r="D76" s="64">
        <v>10.68</v>
      </c>
      <c r="E76" s="64">
        <v>3.95</v>
      </c>
      <c r="F76" s="64">
        <v>2.93</v>
      </c>
      <c r="G76" s="64">
        <v>26.42</v>
      </c>
      <c r="H76" s="64">
        <v>3.02</v>
      </c>
      <c r="I76" s="64">
        <v>0.82</v>
      </c>
      <c r="J76" s="64">
        <v>0.11</v>
      </c>
      <c r="K76" s="64">
        <v>294.77999999999997</v>
      </c>
      <c r="L76" s="64">
        <v>25.01</v>
      </c>
      <c r="M76" s="64">
        <v>97.93</v>
      </c>
      <c r="N76" s="64">
        <v>119.7</v>
      </c>
      <c r="O76" s="64">
        <v>0</v>
      </c>
      <c r="P76" s="64">
        <v>0.32</v>
      </c>
      <c r="Q76" s="64">
        <v>9.56</v>
      </c>
      <c r="R76" s="198"/>
      <c r="S76" s="198"/>
      <c r="T76" s="198"/>
      <c r="U76" s="198"/>
    </row>
    <row r="77" spans="1:21" s="12" customFormat="1" x14ac:dyDescent="0.25">
      <c r="A77" s="212" t="s">
        <v>2523</v>
      </c>
      <c r="B77" s="64">
        <v>8.16</v>
      </c>
      <c r="C77" s="64">
        <v>8.35</v>
      </c>
      <c r="D77" s="64">
        <v>10.91</v>
      </c>
      <c r="E77" s="64">
        <v>3.9</v>
      </c>
      <c r="F77" s="64">
        <v>2.4</v>
      </c>
      <c r="G77" s="64">
        <v>26.41</v>
      </c>
      <c r="H77" s="64">
        <v>3.37</v>
      </c>
      <c r="I77" s="64">
        <v>0.82</v>
      </c>
      <c r="J77" s="64">
        <v>0.17</v>
      </c>
      <c r="K77" s="64">
        <v>311.61</v>
      </c>
      <c r="L77" s="64">
        <v>24.87</v>
      </c>
      <c r="M77" s="64">
        <v>97.94</v>
      </c>
      <c r="N77" s="64">
        <v>101.7</v>
      </c>
      <c r="O77" s="64">
        <v>0</v>
      </c>
      <c r="P77" s="64">
        <v>0.33</v>
      </c>
      <c r="Q77" s="64">
        <v>9.5399999999999991</v>
      </c>
      <c r="R77" s="198"/>
      <c r="S77" s="198"/>
      <c r="T77" s="198"/>
      <c r="U77" s="198"/>
    </row>
    <row r="78" spans="1:21" s="12" customFormat="1" x14ac:dyDescent="0.25">
      <c r="A78" s="212" t="s">
        <v>2524</v>
      </c>
      <c r="B78" s="64">
        <v>7.63</v>
      </c>
      <c r="C78" s="64">
        <v>8.31</v>
      </c>
      <c r="D78" s="64">
        <v>10.46</v>
      </c>
      <c r="E78" s="64">
        <v>3.72</v>
      </c>
      <c r="F78" s="64">
        <v>2.1</v>
      </c>
      <c r="G78" s="64">
        <v>26.41</v>
      </c>
      <c r="H78" s="64">
        <v>3.37</v>
      </c>
      <c r="I78" s="64">
        <v>0.87</v>
      </c>
      <c r="J78" s="64">
        <v>0.12</v>
      </c>
      <c r="K78" s="64">
        <v>329.7</v>
      </c>
      <c r="L78" s="64">
        <v>24.66</v>
      </c>
      <c r="M78" s="64">
        <v>97.95</v>
      </c>
      <c r="N78" s="64">
        <v>84.2</v>
      </c>
      <c r="O78" s="64">
        <v>0</v>
      </c>
      <c r="P78" s="64">
        <v>0.32</v>
      </c>
      <c r="Q78" s="64">
        <v>9.5500000000000007</v>
      </c>
      <c r="R78" s="198"/>
      <c r="S78" s="198"/>
      <c r="T78" s="198"/>
      <c r="U78" s="198"/>
    </row>
    <row r="79" spans="1:21" s="12" customFormat="1" x14ac:dyDescent="0.25">
      <c r="A79" s="212" t="s">
        <v>2525</v>
      </c>
      <c r="B79" s="64">
        <v>7.61</v>
      </c>
      <c r="C79" s="64">
        <v>8.3699999999999992</v>
      </c>
      <c r="D79" s="64">
        <v>10.47</v>
      </c>
      <c r="E79" s="64">
        <v>3.73</v>
      </c>
      <c r="F79" s="64">
        <v>2.2200000000000002</v>
      </c>
      <c r="G79" s="64">
        <v>26.41</v>
      </c>
      <c r="H79" s="64">
        <v>3.37</v>
      </c>
      <c r="I79" s="64">
        <v>0.93</v>
      </c>
      <c r="J79" s="64">
        <v>0.09</v>
      </c>
      <c r="K79" s="64">
        <v>330.63</v>
      </c>
      <c r="L79" s="64">
        <v>24.53</v>
      </c>
      <c r="M79" s="64">
        <v>97.96</v>
      </c>
      <c r="N79" s="64">
        <v>69.8</v>
      </c>
      <c r="O79" s="64">
        <v>0</v>
      </c>
      <c r="P79" s="64">
        <v>0.34</v>
      </c>
      <c r="Q79" s="64">
        <v>9.5399999999999991</v>
      </c>
      <c r="R79" s="198"/>
      <c r="S79" s="198"/>
      <c r="T79" s="198"/>
      <c r="U79" s="198"/>
    </row>
    <row r="80" spans="1:21" s="12" customFormat="1" x14ac:dyDescent="0.25">
      <c r="A80" s="212" t="s">
        <v>2526</v>
      </c>
      <c r="B80" s="64">
        <v>8.66</v>
      </c>
      <c r="C80" s="64">
        <v>9.58</v>
      </c>
      <c r="D80" s="64">
        <v>11.95</v>
      </c>
      <c r="E80" s="64">
        <v>3.83</v>
      </c>
      <c r="F80" s="64">
        <v>3.39</v>
      </c>
      <c r="G80" s="64">
        <v>26.98</v>
      </c>
      <c r="H80" s="64">
        <v>2.92</v>
      </c>
      <c r="I80" s="64">
        <v>0.89</v>
      </c>
      <c r="J80" s="64">
        <v>0.12</v>
      </c>
      <c r="K80" s="64">
        <v>326.27</v>
      </c>
      <c r="L80" s="64">
        <v>24.39</v>
      </c>
      <c r="M80" s="64">
        <v>97.95</v>
      </c>
      <c r="N80" s="64">
        <v>59.4</v>
      </c>
      <c r="O80" s="64">
        <v>0</v>
      </c>
      <c r="P80" s="64">
        <v>0.35</v>
      </c>
      <c r="Q80" s="64">
        <v>9.5399999999999991</v>
      </c>
      <c r="R80" s="198"/>
      <c r="S80" s="198"/>
      <c r="T80" s="198"/>
      <c r="U80" s="198"/>
    </row>
    <row r="81" spans="1:26" s="12" customFormat="1" x14ac:dyDescent="0.25">
      <c r="A81" s="212" t="s">
        <v>2527</v>
      </c>
      <c r="B81" s="64">
        <v>8.06</v>
      </c>
      <c r="C81" s="64">
        <v>8.6199999999999992</v>
      </c>
      <c r="D81" s="64">
        <v>10.97</v>
      </c>
      <c r="E81" s="64">
        <v>4</v>
      </c>
      <c r="F81" s="64">
        <v>2.5099999999999998</v>
      </c>
      <c r="G81" s="64">
        <v>27.26</v>
      </c>
      <c r="H81" s="64">
        <v>2.69</v>
      </c>
      <c r="I81" s="64">
        <v>0.85</v>
      </c>
      <c r="J81" s="64">
        <v>0.17</v>
      </c>
      <c r="K81" s="64">
        <v>309.99</v>
      </c>
      <c r="L81" s="64">
        <v>24.27</v>
      </c>
      <c r="M81" s="64">
        <v>97.96</v>
      </c>
      <c r="N81" s="64">
        <v>48.8</v>
      </c>
      <c r="O81" s="64">
        <v>0</v>
      </c>
      <c r="P81" s="64">
        <v>0.34</v>
      </c>
      <c r="Q81" s="64">
        <v>9.5399999999999991</v>
      </c>
      <c r="R81" s="198"/>
      <c r="S81" s="198"/>
      <c r="T81" s="198"/>
      <c r="U81" s="198"/>
    </row>
    <row r="82" spans="1:26" s="12" customFormat="1" x14ac:dyDescent="0.25">
      <c r="A82" s="212" t="s">
        <v>2528</v>
      </c>
      <c r="B82" s="64">
        <v>8.67</v>
      </c>
      <c r="C82" s="64">
        <v>8.19</v>
      </c>
      <c r="D82" s="64">
        <v>11.23</v>
      </c>
      <c r="E82" s="64">
        <v>3.87</v>
      </c>
      <c r="F82" s="64">
        <v>2.1</v>
      </c>
      <c r="G82" s="64">
        <v>27.26</v>
      </c>
      <c r="H82" s="64">
        <v>2.69</v>
      </c>
      <c r="I82" s="64">
        <v>0.86</v>
      </c>
      <c r="J82" s="64">
        <v>0.2</v>
      </c>
      <c r="K82" s="64">
        <v>323.88</v>
      </c>
      <c r="L82" s="64">
        <v>24.14</v>
      </c>
      <c r="M82" s="64">
        <v>97.97</v>
      </c>
      <c r="N82" s="64">
        <v>44.3</v>
      </c>
      <c r="O82" s="64">
        <v>0</v>
      </c>
      <c r="P82" s="64">
        <v>0.35</v>
      </c>
      <c r="Q82" s="64">
        <v>9.5500000000000007</v>
      </c>
      <c r="R82" s="198"/>
      <c r="S82" s="198"/>
      <c r="T82" s="198"/>
      <c r="U82" s="198"/>
    </row>
    <row r="83" spans="1:26" s="12" customFormat="1" x14ac:dyDescent="0.25">
      <c r="A83" s="212" t="s">
        <v>2529</v>
      </c>
      <c r="B83" s="64">
        <v>7.95</v>
      </c>
      <c r="C83" s="64">
        <v>8.2899999999999991</v>
      </c>
      <c r="D83" s="64">
        <v>10.7</v>
      </c>
      <c r="E83" s="64">
        <v>3.92</v>
      </c>
      <c r="F83" s="64">
        <v>2.16</v>
      </c>
      <c r="G83" s="64">
        <v>27.26</v>
      </c>
      <c r="H83" s="64">
        <v>2.69</v>
      </c>
      <c r="I83" s="64">
        <v>0.93</v>
      </c>
      <c r="J83" s="64">
        <v>0.15</v>
      </c>
      <c r="K83" s="64">
        <v>331.49</v>
      </c>
      <c r="L83" s="64">
        <v>24.02</v>
      </c>
      <c r="M83" s="64">
        <v>97.98</v>
      </c>
      <c r="N83" s="64">
        <v>43.8</v>
      </c>
      <c r="O83" s="64">
        <v>0</v>
      </c>
      <c r="P83" s="64">
        <v>0.35</v>
      </c>
      <c r="Q83" s="64">
        <v>9.56</v>
      </c>
      <c r="R83" s="198"/>
      <c r="S83" s="198"/>
      <c r="T83" s="198"/>
      <c r="U83" s="198"/>
    </row>
    <row r="84" spans="1:26" s="12" customFormat="1" x14ac:dyDescent="0.25">
      <c r="A84" s="212" t="s">
        <v>2530</v>
      </c>
      <c r="B84" s="64">
        <v>8.0299999999999994</v>
      </c>
      <c r="C84" s="64">
        <v>9.83</v>
      </c>
      <c r="D84" s="64">
        <v>11.57</v>
      </c>
      <c r="E84" s="64">
        <v>4.16</v>
      </c>
      <c r="F84" s="64">
        <v>3.5</v>
      </c>
      <c r="G84" s="64">
        <v>21.47</v>
      </c>
      <c r="H84" s="64">
        <v>2.4300000000000002</v>
      </c>
      <c r="I84" s="64">
        <v>1</v>
      </c>
      <c r="J84" s="64">
        <v>0.08</v>
      </c>
      <c r="K84" s="64">
        <v>291.95999999999998</v>
      </c>
      <c r="L84" s="64">
        <v>23.89</v>
      </c>
      <c r="M84" s="64">
        <v>98</v>
      </c>
      <c r="N84" s="64">
        <v>43.8</v>
      </c>
      <c r="O84" s="64">
        <v>0</v>
      </c>
      <c r="P84" s="64">
        <v>0.37</v>
      </c>
      <c r="Q84" s="64">
        <v>9.56</v>
      </c>
      <c r="R84" s="198"/>
      <c r="S84" s="198"/>
      <c r="T84" s="198"/>
      <c r="U84" s="198"/>
    </row>
    <row r="85" spans="1:26" s="12" customFormat="1" x14ac:dyDescent="0.25">
      <c r="A85" s="212" t="s">
        <v>2531</v>
      </c>
      <c r="B85" s="64">
        <v>7.86</v>
      </c>
      <c r="C85" s="64">
        <v>9.0500000000000007</v>
      </c>
      <c r="D85" s="64">
        <v>11.04</v>
      </c>
      <c r="E85" s="64">
        <v>4.18</v>
      </c>
      <c r="F85" s="64">
        <v>2.56</v>
      </c>
      <c r="G85" s="64">
        <v>18.579999999999998</v>
      </c>
      <c r="H85" s="64">
        <v>2.2999999999999998</v>
      </c>
      <c r="I85" s="64">
        <v>1.01</v>
      </c>
      <c r="J85" s="64">
        <v>0.11</v>
      </c>
      <c r="K85" s="64">
        <v>328.61</v>
      </c>
      <c r="L85" s="64">
        <v>23.76</v>
      </c>
      <c r="M85" s="64">
        <v>98</v>
      </c>
      <c r="N85" s="64">
        <v>43.7</v>
      </c>
      <c r="O85" s="64">
        <v>0</v>
      </c>
      <c r="P85" s="64">
        <v>0.35</v>
      </c>
      <c r="Q85" s="64">
        <v>9.58</v>
      </c>
      <c r="R85" s="198"/>
      <c r="S85" s="198"/>
      <c r="T85" s="198"/>
      <c r="U85" s="198"/>
    </row>
    <row r="86" spans="1:26" s="12" customFormat="1" x14ac:dyDescent="0.25">
      <c r="A86" s="212" t="s">
        <v>2532</v>
      </c>
      <c r="B86" s="64">
        <v>8.7799999999999994</v>
      </c>
      <c r="C86" s="64">
        <v>9.49</v>
      </c>
      <c r="D86" s="64">
        <v>12</v>
      </c>
      <c r="E86" s="64">
        <v>3.93</v>
      </c>
      <c r="F86" s="64">
        <v>2.91</v>
      </c>
      <c r="G86" s="64">
        <v>18.579999999999998</v>
      </c>
      <c r="H86" s="64">
        <v>2.2999999999999998</v>
      </c>
      <c r="I86" s="64">
        <v>1.02</v>
      </c>
      <c r="J86" s="64">
        <v>0.05</v>
      </c>
      <c r="K86" s="64">
        <v>260.06</v>
      </c>
      <c r="L86" s="64">
        <v>23.61</v>
      </c>
      <c r="M86" s="64">
        <v>98.03</v>
      </c>
      <c r="N86" s="64">
        <v>43.6</v>
      </c>
      <c r="O86" s="64">
        <v>0</v>
      </c>
      <c r="P86" s="64">
        <v>0.4</v>
      </c>
      <c r="Q86" s="64">
        <v>9.58</v>
      </c>
      <c r="R86" s="198"/>
      <c r="S86" s="198"/>
      <c r="T86" s="198"/>
      <c r="U86" s="198"/>
    </row>
    <row r="87" spans="1:26" s="12" customFormat="1" x14ac:dyDescent="0.25">
      <c r="A87" s="212" t="s">
        <v>2533</v>
      </c>
      <c r="B87" s="64">
        <v>7.7</v>
      </c>
      <c r="C87" s="64">
        <v>8.8699999999999992</v>
      </c>
      <c r="D87" s="64">
        <v>10.81</v>
      </c>
      <c r="E87" s="64">
        <v>3.87</v>
      </c>
      <c r="F87" s="64">
        <v>3.96</v>
      </c>
      <c r="G87" s="64">
        <v>18.579999999999998</v>
      </c>
      <c r="H87" s="64">
        <v>2.2999999999999998</v>
      </c>
      <c r="I87" s="64">
        <v>0.97</v>
      </c>
      <c r="J87" s="64">
        <v>0.02</v>
      </c>
      <c r="K87" s="64">
        <v>265.58</v>
      </c>
      <c r="L87" s="64">
        <v>23.59</v>
      </c>
      <c r="M87" s="64">
        <v>98.03</v>
      </c>
      <c r="N87" s="64">
        <v>43.5</v>
      </c>
      <c r="O87" s="64">
        <v>0</v>
      </c>
      <c r="P87" s="64">
        <v>0.34</v>
      </c>
      <c r="Q87" s="64">
        <v>9.58</v>
      </c>
      <c r="R87" s="198"/>
      <c r="S87" s="198"/>
      <c r="T87" s="198"/>
      <c r="U87" s="198"/>
    </row>
    <row r="88" spans="1:26" s="12" customFormat="1" x14ac:dyDescent="0.25">
      <c r="A88" s="212" t="s">
        <v>2534</v>
      </c>
      <c r="B88" s="64">
        <v>7.63</v>
      </c>
      <c r="C88" s="64">
        <v>8.17</v>
      </c>
      <c r="D88" s="64">
        <v>10.38</v>
      </c>
      <c r="E88" s="64">
        <v>4.16</v>
      </c>
      <c r="F88" s="64">
        <v>2.67</v>
      </c>
      <c r="G88" s="64">
        <v>29.12</v>
      </c>
      <c r="H88" s="64">
        <v>2.76</v>
      </c>
      <c r="I88" s="64">
        <v>0.95</v>
      </c>
      <c r="J88" s="64">
        <v>7.0000000000000007E-2</v>
      </c>
      <c r="K88" s="64">
        <v>342.2</v>
      </c>
      <c r="L88" s="64">
        <v>23.59</v>
      </c>
      <c r="M88" s="64">
        <v>98.03</v>
      </c>
      <c r="N88" s="64">
        <v>43.6</v>
      </c>
      <c r="O88" s="64">
        <v>0</v>
      </c>
      <c r="P88" s="64">
        <v>0.36</v>
      </c>
      <c r="Q88" s="64">
        <v>9.59</v>
      </c>
      <c r="R88" s="198"/>
      <c r="S88" s="198"/>
      <c r="T88" s="198"/>
      <c r="U88" s="198"/>
    </row>
    <row r="89" spans="1:26" s="12" customFormat="1" x14ac:dyDescent="0.25">
      <c r="A89" s="212" t="s">
        <v>2535</v>
      </c>
      <c r="B89" s="64">
        <v>9.2899999999999991</v>
      </c>
      <c r="C89" s="64">
        <v>8.2799999999999994</v>
      </c>
      <c r="D89" s="64">
        <v>11.78</v>
      </c>
      <c r="E89" s="64">
        <v>4.0199999999999996</v>
      </c>
      <c r="F89" s="64">
        <v>2.97</v>
      </c>
      <c r="G89" s="64">
        <v>34.39</v>
      </c>
      <c r="H89" s="64">
        <v>2.99</v>
      </c>
      <c r="I89" s="64">
        <v>0.96</v>
      </c>
      <c r="J89" s="64">
        <v>0.14000000000000001</v>
      </c>
      <c r="K89" s="64">
        <v>331.74</v>
      </c>
      <c r="L89" s="64">
        <v>23.67</v>
      </c>
      <c r="M89" s="64">
        <v>98.04</v>
      </c>
      <c r="N89" s="64">
        <v>43.5</v>
      </c>
      <c r="O89" s="64">
        <v>0</v>
      </c>
      <c r="P89" s="64">
        <v>0.41</v>
      </c>
      <c r="Q89" s="64">
        <v>9.59</v>
      </c>
      <c r="R89" s="198"/>
      <c r="S89" s="198"/>
      <c r="T89" s="198"/>
      <c r="U89" s="198"/>
    </row>
    <row r="90" spans="1:26" s="12" customFormat="1" x14ac:dyDescent="0.25">
      <c r="A90" s="212" t="s">
        <v>2536</v>
      </c>
      <c r="B90" s="64">
        <v>8.33</v>
      </c>
      <c r="C90" s="64">
        <v>7.59</v>
      </c>
      <c r="D90" s="64">
        <v>10.65</v>
      </c>
      <c r="E90" s="64">
        <v>3.96</v>
      </c>
      <c r="F90" s="64">
        <v>2.4300000000000002</v>
      </c>
      <c r="G90" s="64">
        <v>34.39</v>
      </c>
      <c r="H90" s="64">
        <v>2.99</v>
      </c>
      <c r="I90" s="64">
        <v>1.04</v>
      </c>
      <c r="J90" s="64">
        <v>7.0000000000000007E-2</v>
      </c>
      <c r="K90" s="64">
        <v>331.7</v>
      </c>
      <c r="L90" s="64">
        <v>23.68</v>
      </c>
      <c r="M90" s="64">
        <v>98.05</v>
      </c>
      <c r="N90" s="64">
        <v>43.7</v>
      </c>
      <c r="O90" s="64">
        <v>0</v>
      </c>
      <c r="P90" s="64">
        <v>0.36</v>
      </c>
      <c r="Q90" s="64">
        <v>9.6</v>
      </c>
      <c r="R90" s="198"/>
      <c r="S90" s="198"/>
      <c r="T90" s="198"/>
      <c r="U90" s="198"/>
    </row>
    <row r="91" spans="1:26" s="12" customFormat="1" x14ac:dyDescent="0.25">
      <c r="A91" s="212" t="s">
        <v>2537</v>
      </c>
      <c r="B91" s="64">
        <v>8.2899999999999991</v>
      </c>
      <c r="C91" s="64">
        <v>6.97</v>
      </c>
      <c r="D91" s="64">
        <v>10.28</v>
      </c>
      <c r="E91" s="64">
        <v>4.3</v>
      </c>
      <c r="F91" s="64">
        <v>2.61</v>
      </c>
      <c r="G91" s="64">
        <v>34.39</v>
      </c>
      <c r="H91" s="64">
        <v>2.99</v>
      </c>
      <c r="I91" s="64">
        <v>1.05</v>
      </c>
      <c r="J91" s="64">
        <v>0.05</v>
      </c>
      <c r="K91" s="64">
        <v>329.26</v>
      </c>
      <c r="L91" s="64">
        <v>23.72</v>
      </c>
      <c r="M91" s="64">
        <v>98.05</v>
      </c>
      <c r="N91" s="64">
        <v>43.7</v>
      </c>
      <c r="O91" s="64">
        <v>0</v>
      </c>
      <c r="P91" s="64">
        <v>0.37</v>
      </c>
      <c r="Q91" s="64">
        <v>9.6</v>
      </c>
      <c r="R91" s="198"/>
      <c r="S91" s="198"/>
      <c r="T91" s="198"/>
      <c r="U91" s="198"/>
    </row>
    <row r="92" spans="1:26" s="12" customFormat="1" x14ac:dyDescent="0.25">
      <c r="A92" s="212" t="s">
        <v>2538</v>
      </c>
      <c r="B92" s="64">
        <v>9.1300000000000008</v>
      </c>
      <c r="C92" s="64">
        <v>6.57</v>
      </c>
      <c r="D92" s="64">
        <v>10.76</v>
      </c>
      <c r="E92" s="64">
        <v>4.16</v>
      </c>
      <c r="F92" s="64">
        <v>2.15</v>
      </c>
      <c r="G92" s="64">
        <v>34.61</v>
      </c>
      <c r="H92" s="64">
        <v>2.58</v>
      </c>
      <c r="I92" s="64">
        <v>0.99</v>
      </c>
      <c r="J92" s="64">
        <v>0.09</v>
      </c>
      <c r="K92" s="64">
        <v>328.51</v>
      </c>
      <c r="L92" s="64">
        <v>23.73</v>
      </c>
      <c r="M92" s="64">
        <v>98.04</v>
      </c>
      <c r="N92" s="64">
        <v>43.7</v>
      </c>
      <c r="O92" s="64">
        <v>0</v>
      </c>
      <c r="P92" s="64">
        <v>0.37</v>
      </c>
      <c r="Q92" s="64">
        <v>9.59</v>
      </c>
      <c r="R92" s="198"/>
      <c r="S92" s="198"/>
      <c r="T92" s="198"/>
      <c r="U92" s="198"/>
    </row>
    <row r="93" spans="1:26" s="12" customFormat="1" x14ac:dyDescent="0.25">
      <c r="A93" s="212" t="s">
        <v>2539</v>
      </c>
      <c r="B93" s="64">
        <v>9.56</v>
      </c>
      <c r="C93" s="64">
        <v>6.11</v>
      </c>
      <c r="D93" s="64">
        <v>10.86</v>
      </c>
      <c r="E93" s="64">
        <v>4.12</v>
      </c>
      <c r="F93" s="64">
        <v>2.2400000000000002</v>
      </c>
      <c r="G93" s="64">
        <v>34.72</v>
      </c>
      <c r="H93" s="64">
        <v>2.37</v>
      </c>
      <c r="I93" s="64">
        <v>1.03</v>
      </c>
      <c r="J93" s="64">
        <v>0.16</v>
      </c>
      <c r="K93" s="64">
        <v>334.23</v>
      </c>
      <c r="L93" s="64">
        <v>23.76</v>
      </c>
      <c r="M93" s="64">
        <v>98.02</v>
      </c>
      <c r="N93" s="64">
        <v>43.7</v>
      </c>
      <c r="O93" s="64">
        <v>0</v>
      </c>
      <c r="P93" s="64">
        <v>0.37</v>
      </c>
      <c r="Q93" s="64">
        <v>9.58</v>
      </c>
      <c r="R93" s="198"/>
      <c r="S93" s="198"/>
      <c r="T93" s="198"/>
      <c r="U93" s="198"/>
    </row>
    <row r="94" spans="1:26" s="12" customFormat="1" x14ac:dyDescent="0.25">
      <c r="A94" s="212" t="s">
        <v>2540</v>
      </c>
      <c r="B94" s="64">
        <v>8.82</v>
      </c>
      <c r="C94" s="64">
        <v>6.71</v>
      </c>
      <c r="D94" s="64">
        <v>10.58</v>
      </c>
      <c r="E94" s="64">
        <v>4.01</v>
      </c>
      <c r="F94" s="64">
        <v>2.12</v>
      </c>
      <c r="G94" s="64">
        <v>34.72</v>
      </c>
      <c r="H94" s="64">
        <v>2.37</v>
      </c>
      <c r="I94" s="64">
        <v>1.01</v>
      </c>
      <c r="J94" s="64">
        <v>0.09</v>
      </c>
      <c r="K94" s="64">
        <v>340.29</v>
      </c>
      <c r="L94" s="64">
        <v>23.67</v>
      </c>
      <c r="M94" s="64">
        <v>98.04</v>
      </c>
      <c r="N94" s="64">
        <v>43.7</v>
      </c>
      <c r="O94" s="64">
        <v>0</v>
      </c>
      <c r="P94" s="64">
        <v>0.36</v>
      </c>
      <c r="Q94" s="64">
        <v>9.57</v>
      </c>
      <c r="R94" s="198"/>
      <c r="S94" s="198"/>
      <c r="T94" s="198"/>
      <c r="U94" s="198"/>
    </row>
    <row r="95" spans="1:26" s="12" customFormat="1" x14ac:dyDescent="0.25">
      <c r="A95" s="212" t="s">
        <v>2541</v>
      </c>
      <c r="B95" s="64">
        <v>8.9600000000000009</v>
      </c>
      <c r="C95" s="64">
        <v>7.11</v>
      </c>
      <c r="D95" s="64">
        <v>10.9</v>
      </c>
      <c r="E95" s="64">
        <v>4.16</v>
      </c>
      <c r="F95" s="64">
        <v>2.33</v>
      </c>
      <c r="G95" s="64">
        <v>34.72</v>
      </c>
      <c r="H95" s="64">
        <v>2.37</v>
      </c>
      <c r="I95" s="64">
        <v>0.96</v>
      </c>
      <c r="J95" s="64">
        <v>0.11</v>
      </c>
      <c r="K95" s="64">
        <v>331.06</v>
      </c>
      <c r="L95" s="64">
        <v>23.61</v>
      </c>
      <c r="M95" s="64">
        <v>98.05</v>
      </c>
      <c r="N95" s="64">
        <v>43.6</v>
      </c>
      <c r="O95" s="64">
        <v>0</v>
      </c>
      <c r="P95" s="64">
        <v>0.37</v>
      </c>
      <c r="Q95" s="64">
        <v>9.57</v>
      </c>
      <c r="R95" s="198"/>
      <c r="S95" s="198"/>
      <c r="T95" s="198"/>
      <c r="U95" s="198"/>
    </row>
    <row r="96" spans="1:26" s="12" customFormat="1" x14ac:dyDescent="0.25">
      <c r="A96" s="212" t="s">
        <v>2542</v>
      </c>
      <c r="B96" s="64">
        <v>8.3699999999999992</v>
      </c>
      <c r="C96" s="64">
        <v>7.36</v>
      </c>
      <c r="D96" s="64">
        <v>10.56</v>
      </c>
      <c r="E96" s="64">
        <v>4.04</v>
      </c>
      <c r="F96" s="64">
        <v>2.35</v>
      </c>
      <c r="G96" s="64">
        <v>35.590000000000003</v>
      </c>
      <c r="H96" s="64">
        <v>4.6399999999999997</v>
      </c>
      <c r="I96" s="64">
        <v>1.02</v>
      </c>
      <c r="J96" s="64">
        <v>0.1</v>
      </c>
      <c r="K96" s="64">
        <v>329.03</v>
      </c>
      <c r="L96" s="64">
        <v>23.55</v>
      </c>
      <c r="M96" s="64">
        <v>98.03</v>
      </c>
      <c r="N96" s="64">
        <v>43.7</v>
      </c>
      <c r="O96" s="64">
        <v>0</v>
      </c>
      <c r="P96" s="64">
        <v>0.34</v>
      </c>
      <c r="Q96" s="64">
        <v>9.56</v>
      </c>
      <c r="R96" s="198"/>
      <c r="S96" s="198"/>
      <c r="T96" s="198"/>
      <c r="U96" s="198"/>
      <c r="Z96" s="109"/>
    </row>
    <row r="97" spans="1:33" s="12" customFormat="1" x14ac:dyDescent="0.25">
      <c r="A97" s="212" t="s">
        <v>2543</v>
      </c>
      <c r="B97" s="64">
        <v>8.5</v>
      </c>
      <c r="C97" s="64">
        <v>7.07</v>
      </c>
      <c r="D97" s="64">
        <v>10.51</v>
      </c>
      <c r="E97" s="64">
        <v>4.2699999999999996</v>
      </c>
      <c r="F97" s="64">
        <v>2.12</v>
      </c>
      <c r="G97" s="64">
        <v>36.03</v>
      </c>
      <c r="H97" s="64">
        <v>5.77</v>
      </c>
      <c r="I97" s="64">
        <v>1.08</v>
      </c>
      <c r="J97" s="64">
        <v>0.05</v>
      </c>
      <c r="K97" s="64">
        <v>306.31</v>
      </c>
      <c r="L97" s="64">
        <v>23.53</v>
      </c>
      <c r="M97" s="64">
        <v>98.04</v>
      </c>
      <c r="N97" s="64">
        <v>43.5</v>
      </c>
      <c r="O97" s="64">
        <v>0</v>
      </c>
      <c r="P97" s="64">
        <v>0.35</v>
      </c>
      <c r="Q97" s="64">
        <v>9.57</v>
      </c>
      <c r="R97" s="198"/>
      <c r="S97" s="198"/>
      <c r="T97" s="198"/>
      <c r="U97" s="198"/>
    </row>
    <row r="98" spans="1:33" s="12" customFormat="1" x14ac:dyDescent="0.25">
      <c r="A98" s="212" t="s">
        <v>2544</v>
      </c>
      <c r="B98" s="64">
        <v>8.48</v>
      </c>
      <c r="C98" s="64">
        <v>6.78</v>
      </c>
      <c r="D98" s="64">
        <v>10.34</v>
      </c>
      <c r="E98" s="64">
        <v>4.3499999999999996</v>
      </c>
      <c r="F98" s="64">
        <v>2.21</v>
      </c>
      <c r="G98" s="64">
        <v>36.03</v>
      </c>
      <c r="H98" s="64">
        <v>5.77</v>
      </c>
      <c r="I98" s="64">
        <v>1.01</v>
      </c>
      <c r="J98" s="64">
        <v>7.0000000000000007E-2</v>
      </c>
      <c r="K98" s="64">
        <v>324.58</v>
      </c>
      <c r="L98" s="64">
        <v>23.51</v>
      </c>
      <c r="M98" s="64">
        <v>98.05</v>
      </c>
      <c r="N98" s="64">
        <v>43.7</v>
      </c>
      <c r="O98" s="64">
        <v>0</v>
      </c>
      <c r="P98" s="64">
        <v>0.34</v>
      </c>
      <c r="Q98" s="64">
        <v>9.58</v>
      </c>
      <c r="R98" s="198"/>
      <c r="S98" s="198"/>
      <c r="T98" s="198"/>
      <c r="U98" s="198"/>
    </row>
    <row r="99" spans="1:33" s="12" customFormat="1" x14ac:dyDescent="0.25">
      <c r="A99" s="212" t="s">
        <v>2545</v>
      </c>
      <c r="B99" s="64">
        <v>8.09</v>
      </c>
      <c r="C99" s="64">
        <v>6.59</v>
      </c>
      <c r="D99" s="64">
        <v>9.93</v>
      </c>
      <c r="E99" s="64">
        <v>4.21</v>
      </c>
      <c r="F99" s="64">
        <v>2.5499999999999998</v>
      </c>
      <c r="G99" s="64">
        <v>36.03</v>
      </c>
      <c r="H99" s="64">
        <v>5.77</v>
      </c>
      <c r="I99" s="64">
        <v>0.95</v>
      </c>
      <c r="J99" s="64">
        <v>0.06</v>
      </c>
      <c r="K99" s="64">
        <v>336.11</v>
      </c>
      <c r="L99" s="64">
        <v>23.48</v>
      </c>
      <c r="M99" s="64">
        <v>98.05</v>
      </c>
      <c r="N99" s="64">
        <v>43.8</v>
      </c>
      <c r="O99" s="64">
        <v>0</v>
      </c>
      <c r="P99" s="64">
        <v>0.32</v>
      </c>
      <c r="Q99" s="64">
        <v>9.57</v>
      </c>
      <c r="R99" s="198"/>
      <c r="S99" s="198"/>
      <c r="T99" s="198"/>
      <c r="U99" s="198"/>
    </row>
    <row r="100" spans="1:33" s="12" customFormat="1" x14ac:dyDescent="0.25">
      <c r="A100" s="212" t="s">
        <v>2546</v>
      </c>
      <c r="B100" s="64">
        <v>7.97</v>
      </c>
      <c r="C100" s="64">
        <v>6.51</v>
      </c>
      <c r="D100" s="64">
        <v>9.7899999999999991</v>
      </c>
      <c r="E100" s="64">
        <v>4.17</v>
      </c>
      <c r="F100" s="64">
        <v>2.54</v>
      </c>
      <c r="G100" s="64">
        <v>30.94</v>
      </c>
      <c r="H100" s="64">
        <v>4.83</v>
      </c>
      <c r="I100" s="64">
        <v>1</v>
      </c>
      <c r="J100" s="64">
        <v>0.08</v>
      </c>
      <c r="K100" s="64">
        <v>328.78</v>
      </c>
      <c r="L100" s="64">
        <v>23.45</v>
      </c>
      <c r="M100" s="64">
        <v>98.05</v>
      </c>
      <c r="N100" s="64">
        <v>43.7</v>
      </c>
      <c r="O100" s="64">
        <v>0</v>
      </c>
      <c r="P100" s="64">
        <v>0.32</v>
      </c>
      <c r="Q100" s="64">
        <v>9.57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2" t="s">
        <v>2547</v>
      </c>
      <c r="B101" s="64">
        <v>7.44</v>
      </c>
      <c r="C101" s="64">
        <v>6.65</v>
      </c>
      <c r="D101" s="64">
        <v>9.44</v>
      </c>
      <c r="E101" s="64">
        <v>4.09</v>
      </c>
      <c r="F101" s="64">
        <v>3.46</v>
      </c>
      <c r="G101" s="64">
        <v>28.39</v>
      </c>
      <c r="H101" s="64">
        <v>4.3600000000000003</v>
      </c>
      <c r="I101" s="64">
        <v>0.97</v>
      </c>
      <c r="J101" s="64">
        <v>0.01</v>
      </c>
      <c r="K101" s="64">
        <v>323.58999999999997</v>
      </c>
      <c r="L101" s="64">
        <v>23.49</v>
      </c>
      <c r="M101" s="64">
        <v>98.05</v>
      </c>
      <c r="N101" s="64">
        <v>43.7</v>
      </c>
      <c r="O101" s="64">
        <v>0</v>
      </c>
      <c r="P101" s="64">
        <v>0.26</v>
      </c>
      <c r="Q101" s="64">
        <v>9.58</v>
      </c>
      <c r="R101" s="198"/>
      <c r="S101" s="198"/>
      <c r="T101" s="198"/>
      <c r="U101" s="198"/>
    </row>
    <row r="102" spans="1:33" s="12" customFormat="1" x14ac:dyDescent="0.25">
      <c r="A102" s="212" t="s">
        <v>2548</v>
      </c>
      <c r="B102" s="64">
        <v>6.97</v>
      </c>
      <c r="C102" s="64">
        <v>6.81</v>
      </c>
      <c r="D102" s="64">
        <v>9.15</v>
      </c>
      <c r="E102" s="64">
        <v>4.22</v>
      </c>
      <c r="F102" s="64">
        <v>4.3600000000000003</v>
      </c>
      <c r="G102" s="64">
        <v>28.39</v>
      </c>
      <c r="H102" s="64">
        <v>4.3600000000000003</v>
      </c>
      <c r="I102" s="64">
        <v>0.9</v>
      </c>
      <c r="J102" s="64">
        <v>0.01</v>
      </c>
      <c r="K102" s="64">
        <v>315.85000000000002</v>
      </c>
      <c r="L102" s="64">
        <v>23.46</v>
      </c>
      <c r="M102" s="64">
        <v>98.05</v>
      </c>
      <c r="N102" s="64">
        <v>43.7</v>
      </c>
      <c r="O102" s="64">
        <v>0</v>
      </c>
      <c r="P102" s="64">
        <v>0.26</v>
      </c>
      <c r="Q102" s="64">
        <v>9.58</v>
      </c>
      <c r="R102" s="198"/>
      <c r="S102" s="198"/>
      <c r="T102" s="198"/>
      <c r="U102" s="198"/>
    </row>
    <row r="103" spans="1:33" s="12" customFormat="1" x14ac:dyDescent="0.25">
      <c r="A103" s="212" t="s">
        <v>2549</v>
      </c>
      <c r="B103" s="64">
        <v>7.46</v>
      </c>
      <c r="C103" s="64">
        <v>6.81</v>
      </c>
      <c r="D103" s="64">
        <v>9.5399999999999991</v>
      </c>
      <c r="E103" s="64">
        <v>4.07</v>
      </c>
      <c r="F103" s="64">
        <v>4.2300000000000004</v>
      </c>
      <c r="G103" s="64">
        <v>28.39</v>
      </c>
      <c r="H103" s="64">
        <v>4.3600000000000003</v>
      </c>
      <c r="I103" s="64">
        <v>0.87</v>
      </c>
      <c r="J103" s="64">
        <v>0.08</v>
      </c>
      <c r="K103" s="64">
        <v>315.77999999999997</v>
      </c>
      <c r="L103" s="64">
        <v>23.38</v>
      </c>
      <c r="M103" s="64">
        <v>98.05</v>
      </c>
      <c r="N103" s="64">
        <v>43.8</v>
      </c>
      <c r="O103" s="64">
        <v>0</v>
      </c>
      <c r="P103" s="64">
        <v>0.26</v>
      </c>
      <c r="Q103" s="64">
        <v>9.58</v>
      </c>
      <c r="R103" s="198"/>
      <c r="S103" s="198"/>
      <c r="T103" s="198"/>
      <c r="U103" s="198"/>
    </row>
    <row r="104" spans="1:33" s="12" customFormat="1" x14ac:dyDescent="0.25">
      <c r="A104" s="212" t="s">
        <v>2550</v>
      </c>
      <c r="B104" s="64">
        <v>7.16</v>
      </c>
      <c r="C104" s="64">
        <v>6.86</v>
      </c>
      <c r="D104" s="64">
        <v>9.33</v>
      </c>
      <c r="E104" s="64">
        <v>6.27</v>
      </c>
      <c r="F104" s="64">
        <v>3.77</v>
      </c>
      <c r="G104" s="64">
        <v>25.3</v>
      </c>
      <c r="H104" s="64">
        <v>5.72</v>
      </c>
      <c r="I104" s="64">
        <v>0.86</v>
      </c>
      <c r="J104" s="64">
        <v>0.05</v>
      </c>
      <c r="K104" s="64">
        <v>288.89999999999998</v>
      </c>
      <c r="L104" s="64">
        <v>23.35</v>
      </c>
      <c r="M104" s="64">
        <v>98.05</v>
      </c>
      <c r="N104" s="64">
        <v>43.7</v>
      </c>
      <c r="O104" s="64">
        <v>0</v>
      </c>
      <c r="P104" s="64">
        <v>0.25</v>
      </c>
      <c r="Q104" s="64">
        <v>9.59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3.74</v>
      </c>
      <c r="C106" s="67">
        <f>MIN(C9:C104)</f>
        <v>6.11</v>
      </c>
      <c r="D106" s="67">
        <f t="shared" ref="D106:Q106" si="0">MIN(D9:D104)</f>
        <v>6.46</v>
      </c>
      <c r="E106" s="67">
        <f t="shared" si="0"/>
        <v>3.34</v>
      </c>
      <c r="F106" s="67">
        <f t="shared" si="0"/>
        <v>2.1</v>
      </c>
      <c r="G106" s="67">
        <f t="shared" si="0"/>
        <v>5.4</v>
      </c>
      <c r="H106" s="67">
        <f t="shared" si="0"/>
        <v>1.17</v>
      </c>
      <c r="I106" s="67">
        <f t="shared" si="0"/>
        <v>0.34</v>
      </c>
      <c r="J106" s="67">
        <f t="shared" si="0"/>
        <v>0.01</v>
      </c>
      <c r="K106" s="67">
        <f t="shared" si="0"/>
        <v>260.06</v>
      </c>
      <c r="L106" s="67">
        <f t="shared" si="0"/>
        <v>22.58</v>
      </c>
      <c r="M106" s="67">
        <f t="shared" si="0"/>
        <v>97.21</v>
      </c>
      <c r="N106" s="67">
        <f t="shared" si="0"/>
        <v>43</v>
      </c>
      <c r="O106" s="67">
        <f t="shared" si="0"/>
        <v>0</v>
      </c>
      <c r="P106" s="67">
        <f t="shared" si="0"/>
        <v>0.12</v>
      </c>
      <c r="Q106" s="67">
        <f t="shared" si="0"/>
        <v>9.36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10.15</v>
      </c>
      <c r="C107" s="66">
        <f t="shared" ref="C107:Q107" si="1">MAX(C9:C104)</f>
        <v>9.83</v>
      </c>
      <c r="D107" s="66">
        <f t="shared" si="1"/>
        <v>12.64</v>
      </c>
      <c r="E107" s="66">
        <f t="shared" si="1"/>
        <v>6.27</v>
      </c>
      <c r="F107" s="66">
        <f t="shared" si="1"/>
        <v>4.3600000000000003</v>
      </c>
      <c r="G107" s="66">
        <f t="shared" si="1"/>
        <v>36.03</v>
      </c>
      <c r="H107" s="66">
        <f t="shared" si="1"/>
        <v>5.77</v>
      </c>
      <c r="I107" s="66">
        <f t="shared" si="1"/>
        <v>1.08</v>
      </c>
      <c r="J107" s="66">
        <f t="shared" si="1"/>
        <v>0.32</v>
      </c>
      <c r="K107" s="66">
        <f t="shared" si="1"/>
        <v>342.2</v>
      </c>
      <c r="L107" s="66">
        <f t="shared" si="1"/>
        <v>25.86</v>
      </c>
      <c r="M107" s="66">
        <f t="shared" si="1"/>
        <v>98.05</v>
      </c>
      <c r="N107" s="66">
        <f t="shared" si="1"/>
        <v>350.9</v>
      </c>
      <c r="O107" s="66">
        <f t="shared" si="1"/>
        <v>0</v>
      </c>
      <c r="P107" s="66">
        <f t="shared" si="1"/>
        <v>0.41</v>
      </c>
      <c r="Q107" s="66">
        <f t="shared" si="1"/>
        <v>9.6199999999999992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6.5236458333333358</v>
      </c>
      <c r="C108" s="67">
        <f t="shared" ref="C108:Q108" si="2">AVERAGE(C9:C104)</f>
        <v>7.7417708333333346</v>
      </c>
      <c r="D108" s="67">
        <f t="shared" si="2"/>
        <v>9.2760416666666679</v>
      </c>
      <c r="E108" s="67">
        <f t="shared" si="2"/>
        <v>4.3453125000000012</v>
      </c>
      <c r="F108" s="67">
        <f t="shared" si="2"/>
        <v>2.4136458333333333</v>
      </c>
      <c r="G108" s="67">
        <f t="shared" si="2"/>
        <v>17.428645833333334</v>
      </c>
      <c r="H108" s="67">
        <f t="shared" si="2"/>
        <v>2.1509375000000022</v>
      </c>
      <c r="I108" s="67">
        <f t="shared" si="2"/>
        <v>0.7048958333333335</v>
      </c>
      <c r="J108" s="67">
        <f t="shared" si="2"/>
        <v>0.18687499999999993</v>
      </c>
      <c r="K108" s="67">
        <f t="shared" si="2"/>
        <v>302.32427083333334</v>
      </c>
      <c r="L108" s="67">
        <f t="shared" si="2"/>
        <v>23.74343750000001</v>
      </c>
      <c r="M108" s="67">
        <f t="shared" si="2"/>
        <v>97.958958333333285</v>
      </c>
      <c r="N108" s="67">
        <f t="shared" si="2"/>
        <v>97.272916666666717</v>
      </c>
      <c r="O108" s="67">
        <f t="shared" si="2"/>
        <v>0</v>
      </c>
      <c r="P108" s="67">
        <f t="shared" si="2"/>
        <v>0.26697916666666682</v>
      </c>
      <c r="Q108" s="67">
        <f t="shared" si="2"/>
        <v>9.5039583333333368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1.7904213675125709</v>
      </c>
      <c r="C109" s="67">
        <f t="shared" ref="C109:Q109" si="3">STDEV(C9:C104)</f>
        <v>0.78947150182444525</v>
      </c>
      <c r="D109" s="67">
        <f t="shared" si="3"/>
        <v>1.6427118010787713</v>
      </c>
      <c r="E109" s="67">
        <f t="shared" si="3"/>
        <v>0.49345815825391526</v>
      </c>
      <c r="F109" s="67">
        <f t="shared" si="3"/>
        <v>0.46270627216220928</v>
      </c>
      <c r="G109" s="67">
        <f t="shared" si="3"/>
        <v>9.9457973795644392</v>
      </c>
      <c r="H109" s="67">
        <f t="shared" si="3"/>
        <v>1.1675093400956222</v>
      </c>
      <c r="I109" s="67">
        <f t="shared" si="3"/>
        <v>0.22264909749207382</v>
      </c>
      <c r="J109" s="67">
        <f t="shared" si="3"/>
        <v>7.5370139277679951E-2</v>
      </c>
      <c r="K109" s="67">
        <f t="shared" si="3"/>
        <v>16.345779287490426</v>
      </c>
      <c r="L109" s="67">
        <f t="shared" si="3"/>
        <v>0.9473740195375514</v>
      </c>
      <c r="M109" s="67">
        <f t="shared" si="3"/>
        <v>0.11362430398528453</v>
      </c>
      <c r="N109" s="67">
        <f t="shared" si="3"/>
        <v>68.793147576693656</v>
      </c>
      <c r="O109" s="67">
        <f t="shared" si="3"/>
        <v>0</v>
      </c>
      <c r="P109" s="67">
        <f t="shared" si="3"/>
        <v>8.150065923745789E-2</v>
      </c>
      <c r="Q109" s="67">
        <f t="shared" si="3"/>
        <v>7.4204258165044432E-2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216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25/08/2025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2" t="s">
        <v>2551</v>
      </c>
      <c r="B9" s="64">
        <v>6.48</v>
      </c>
      <c r="C9" s="64">
        <v>6.79</v>
      </c>
      <c r="D9" s="64">
        <v>8.74</v>
      </c>
      <c r="E9" s="64">
        <v>5.94</v>
      </c>
      <c r="F9" s="64">
        <v>5.39</v>
      </c>
      <c r="G9" s="64">
        <v>23.75</v>
      </c>
      <c r="H9" s="64">
        <v>6.4</v>
      </c>
      <c r="I9" s="64">
        <v>0.86</v>
      </c>
      <c r="J9" s="64">
        <v>0.04</v>
      </c>
      <c r="K9" s="64">
        <v>120.79</v>
      </c>
      <c r="L9" s="64">
        <v>23.23</v>
      </c>
      <c r="M9" s="64">
        <v>98.09</v>
      </c>
      <c r="N9" s="64">
        <v>43.7</v>
      </c>
      <c r="O9" s="64">
        <v>0</v>
      </c>
      <c r="P9" s="64">
        <v>0.21</v>
      </c>
      <c r="Q9" s="64">
        <v>9.59</v>
      </c>
      <c r="R9" s="198"/>
      <c r="S9" s="198"/>
      <c r="T9" s="198"/>
      <c r="U9" s="198"/>
    </row>
    <row r="10" spans="1:21" s="12" customFormat="1" x14ac:dyDescent="0.25">
      <c r="A10" s="212" t="s">
        <v>2552</v>
      </c>
      <c r="B10" s="64">
        <v>6.13</v>
      </c>
      <c r="C10" s="64">
        <v>6.46</v>
      </c>
      <c r="D10" s="64">
        <v>8.2899999999999991</v>
      </c>
      <c r="E10" s="64">
        <v>5.99</v>
      </c>
      <c r="F10" s="64">
        <v>5.0599999999999996</v>
      </c>
      <c r="G10" s="64">
        <v>23.75</v>
      </c>
      <c r="H10" s="64">
        <v>6.4</v>
      </c>
      <c r="I10" s="64">
        <v>0.85</v>
      </c>
      <c r="J10" s="64">
        <v>0.09</v>
      </c>
      <c r="K10" s="64">
        <v>114.41</v>
      </c>
      <c r="L10" s="64">
        <v>23.09</v>
      </c>
      <c r="M10" s="64">
        <v>98.1</v>
      </c>
      <c r="N10" s="64">
        <v>43.8</v>
      </c>
      <c r="O10" s="64">
        <v>0</v>
      </c>
      <c r="P10" s="64">
        <v>0.21</v>
      </c>
      <c r="Q10" s="64">
        <v>9.59</v>
      </c>
      <c r="R10" s="198"/>
      <c r="S10" s="198"/>
      <c r="T10" s="198"/>
      <c r="U10" s="198"/>
    </row>
    <row r="11" spans="1:21" s="12" customFormat="1" x14ac:dyDescent="0.25">
      <c r="A11" s="212" t="s">
        <v>2553</v>
      </c>
      <c r="B11" s="64">
        <v>6.26</v>
      </c>
      <c r="C11" s="64">
        <v>7.01</v>
      </c>
      <c r="D11" s="64">
        <v>8.68</v>
      </c>
      <c r="E11" s="64">
        <v>6.06</v>
      </c>
      <c r="F11" s="64">
        <v>4.74</v>
      </c>
      <c r="G11" s="64">
        <v>23.75</v>
      </c>
      <c r="H11" s="64">
        <v>6.4</v>
      </c>
      <c r="I11" s="64">
        <v>0.85</v>
      </c>
      <c r="J11" s="64">
        <v>0.12</v>
      </c>
      <c r="K11" s="64">
        <v>116.17</v>
      </c>
      <c r="L11" s="64">
        <v>22.92</v>
      </c>
      <c r="M11" s="64">
        <v>98.11</v>
      </c>
      <c r="N11" s="64">
        <v>43.8</v>
      </c>
      <c r="O11" s="64">
        <v>0</v>
      </c>
      <c r="P11" s="64">
        <v>0.21</v>
      </c>
      <c r="Q11" s="64">
        <v>9.59</v>
      </c>
      <c r="R11" s="198"/>
      <c r="S11" s="198"/>
      <c r="T11" s="198"/>
      <c r="U11" s="198"/>
    </row>
    <row r="12" spans="1:21" s="12" customFormat="1" x14ac:dyDescent="0.25">
      <c r="A12" s="212" t="s">
        <v>2554</v>
      </c>
      <c r="B12" s="64">
        <v>6.95</v>
      </c>
      <c r="C12" s="64">
        <v>6.81</v>
      </c>
      <c r="D12" s="64">
        <v>9.14</v>
      </c>
      <c r="E12" s="64">
        <v>5.69</v>
      </c>
      <c r="F12" s="64">
        <v>3.54</v>
      </c>
      <c r="G12" s="64">
        <v>23.39</v>
      </c>
      <c r="H12" s="64">
        <v>5.25</v>
      </c>
      <c r="I12" s="64">
        <v>0.85</v>
      </c>
      <c r="J12" s="64">
        <v>0.01</v>
      </c>
      <c r="K12" s="64">
        <v>156.87</v>
      </c>
      <c r="L12" s="64">
        <v>22.89</v>
      </c>
      <c r="M12" s="64">
        <v>98.1</v>
      </c>
      <c r="N12" s="64">
        <v>43.7</v>
      </c>
      <c r="O12" s="64">
        <v>0</v>
      </c>
      <c r="P12" s="64">
        <v>0.22</v>
      </c>
      <c r="Q12" s="64">
        <v>9.59</v>
      </c>
      <c r="R12" s="198"/>
      <c r="S12" s="198"/>
      <c r="T12" s="198"/>
      <c r="U12" s="198"/>
    </row>
    <row r="13" spans="1:21" s="12" customFormat="1" x14ac:dyDescent="0.25">
      <c r="A13" s="212" t="s">
        <v>2555</v>
      </c>
      <c r="B13" s="64">
        <v>8.4</v>
      </c>
      <c r="C13" s="64">
        <v>5.81</v>
      </c>
      <c r="D13" s="64">
        <v>9.77</v>
      </c>
      <c r="E13" s="64">
        <v>6.01</v>
      </c>
      <c r="F13" s="64">
        <v>2.54</v>
      </c>
      <c r="G13" s="64">
        <v>23.21</v>
      </c>
      <c r="H13" s="64">
        <v>4.68</v>
      </c>
      <c r="I13" s="64">
        <v>0.84</v>
      </c>
      <c r="J13" s="64">
        <v>0.04</v>
      </c>
      <c r="K13" s="64">
        <v>306.24</v>
      </c>
      <c r="L13" s="64">
        <v>22.94</v>
      </c>
      <c r="M13" s="64">
        <v>98.1</v>
      </c>
      <c r="N13" s="64">
        <v>43.5</v>
      </c>
      <c r="O13" s="64">
        <v>0</v>
      </c>
      <c r="P13" s="64">
        <v>0.26</v>
      </c>
      <c r="Q13" s="64">
        <v>9.58</v>
      </c>
      <c r="R13" s="198"/>
      <c r="S13" s="198"/>
      <c r="T13" s="198"/>
      <c r="U13" s="198"/>
    </row>
    <row r="14" spans="1:21" s="12" customFormat="1" x14ac:dyDescent="0.25">
      <c r="A14" s="212" t="s">
        <v>2556</v>
      </c>
      <c r="B14" s="64">
        <v>8.2200000000000006</v>
      </c>
      <c r="C14" s="64">
        <v>5.54</v>
      </c>
      <c r="D14" s="64">
        <v>9.48</v>
      </c>
      <c r="E14" s="64">
        <v>6.16</v>
      </c>
      <c r="F14" s="64">
        <v>2.52</v>
      </c>
      <c r="G14" s="64">
        <v>23.21</v>
      </c>
      <c r="H14" s="64">
        <v>4.68</v>
      </c>
      <c r="I14" s="64">
        <v>0.82</v>
      </c>
      <c r="J14" s="64">
        <v>0.01</v>
      </c>
      <c r="K14" s="64">
        <v>275.44</v>
      </c>
      <c r="L14" s="64">
        <v>23.03</v>
      </c>
      <c r="M14" s="64">
        <v>98.09</v>
      </c>
      <c r="N14" s="64">
        <v>43.5</v>
      </c>
      <c r="O14" s="64">
        <v>0</v>
      </c>
      <c r="P14" s="64">
        <v>0.26</v>
      </c>
      <c r="Q14" s="64">
        <v>9.57</v>
      </c>
      <c r="R14" s="198"/>
      <c r="S14" s="198"/>
      <c r="T14" s="198"/>
      <c r="U14" s="198"/>
    </row>
    <row r="15" spans="1:21" s="12" customFormat="1" x14ac:dyDescent="0.25">
      <c r="A15" s="212" t="s">
        <v>2557</v>
      </c>
      <c r="B15" s="64">
        <v>8.27</v>
      </c>
      <c r="C15" s="64">
        <v>5.49</v>
      </c>
      <c r="D15" s="64">
        <v>9.5</v>
      </c>
      <c r="E15" s="64">
        <v>6.01</v>
      </c>
      <c r="F15" s="64">
        <v>2.77</v>
      </c>
      <c r="G15" s="64">
        <v>23.21</v>
      </c>
      <c r="H15" s="64">
        <v>4.68</v>
      </c>
      <c r="I15" s="64">
        <v>0.8</v>
      </c>
      <c r="J15" s="64">
        <v>0.04</v>
      </c>
      <c r="K15" s="64">
        <v>199.39</v>
      </c>
      <c r="L15" s="64">
        <v>23</v>
      </c>
      <c r="M15" s="64">
        <v>98.1</v>
      </c>
      <c r="N15" s="64">
        <v>43.5</v>
      </c>
      <c r="O15" s="64">
        <v>0</v>
      </c>
      <c r="P15" s="64">
        <v>0.25</v>
      </c>
      <c r="Q15" s="64">
        <v>9.57</v>
      </c>
      <c r="R15" s="198"/>
      <c r="S15" s="198"/>
      <c r="T15" s="198"/>
      <c r="U15" s="198"/>
    </row>
    <row r="16" spans="1:21" s="12" customFormat="1" x14ac:dyDescent="0.25">
      <c r="A16" s="212" t="s">
        <v>2558</v>
      </c>
      <c r="B16" s="64">
        <v>6.74</v>
      </c>
      <c r="C16" s="64">
        <v>5.66</v>
      </c>
      <c r="D16" s="64">
        <v>8.36</v>
      </c>
      <c r="E16" s="64">
        <v>5.97</v>
      </c>
      <c r="F16" s="64">
        <v>5.68</v>
      </c>
      <c r="G16" s="64">
        <v>20.11</v>
      </c>
      <c r="H16" s="64">
        <v>4.17</v>
      </c>
      <c r="I16" s="64">
        <v>0.79</v>
      </c>
      <c r="J16" s="64">
        <v>0</v>
      </c>
      <c r="K16" s="64">
        <v>298.85000000000002</v>
      </c>
      <c r="L16" s="64">
        <v>22.98</v>
      </c>
      <c r="M16" s="64">
        <v>98.1</v>
      </c>
      <c r="N16" s="64">
        <v>43.7</v>
      </c>
      <c r="O16" s="64">
        <v>0</v>
      </c>
      <c r="P16" s="64">
        <v>0.18</v>
      </c>
      <c r="Q16" s="64">
        <v>9.56</v>
      </c>
      <c r="R16" s="198"/>
      <c r="S16" s="198"/>
      <c r="T16" s="198"/>
      <c r="U16" s="198"/>
    </row>
    <row r="17" spans="1:21" s="12" customFormat="1" x14ac:dyDescent="0.25">
      <c r="A17" s="212" t="s">
        <v>2559</v>
      </c>
      <c r="B17" s="64">
        <v>8</v>
      </c>
      <c r="C17" s="64">
        <v>5.52</v>
      </c>
      <c r="D17" s="64">
        <v>9.3000000000000007</v>
      </c>
      <c r="E17" s="64">
        <v>5.98</v>
      </c>
      <c r="F17" s="64">
        <v>2.4300000000000002</v>
      </c>
      <c r="G17" s="64">
        <v>18.57</v>
      </c>
      <c r="H17" s="64">
        <v>3.91</v>
      </c>
      <c r="I17" s="64">
        <v>0.77</v>
      </c>
      <c r="J17" s="64">
        <v>0.03</v>
      </c>
      <c r="K17" s="64">
        <v>219.96</v>
      </c>
      <c r="L17" s="64">
        <v>22.95</v>
      </c>
      <c r="M17" s="64">
        <v>98.1</v>
      </c>
      <c r="N17" s="64">
        <v>43.8</v>
      </c>
      <c r="O17" s="64">
        <v>0</v>
      </c>
      <c r="P17" s="64">
        <v>0.26</v>
      </c>
      <c r="Q17" s="64">
        <v>9.56</v>
      </c>
      <c r="R17" s="198"/>
      <c r="S17" s="198"/>
      <c r="T17" s="198"/>
      <c r="U17" s="198"/>
    </row>
    <row r="18" spans="1:21" s="12" customFormat="1" x14ac:dyDescent="0.25">
      <c r="A18" s="212" t="s">
        <v>2560</v>
      </c>
      <c r="B18" s="64">
        <v>7.87</v>
      </c>
      <c r="C18" s="64">
        <v>5.52</v>
      </c>
      <c r="D18" s="64">
        <v>9.1999999999999993</v>
      </c>
      <c r="E18" s="64">
        <v>6.29</v>
      </c>
      <c r="F18" s="64">
        <v>3.18</v>
      </c>
      <c r="G18" s="64">
        <v>18.57</v>
      </c>
      <c r="H18" s="64">
        <v>3.91</v>
      </c>
      <c r="I18" s="64">
        <v>0.76</v>
      </c>
      <c r="J18" s="64">
        <v>7.0000000000000007E-2</v>
      </c>
      <c r="K18" s="64">
        <v>323.74</v>
      </c>
      <c r="L18" s="64">
        <v>22.92</v>
      </c>
      <c r="M18" s="64">
        <v>98.1</v>
      </c>
      <c r="N18" s="64">
        <v>43.8</v>
      </c>
      <c r="O18" s="64">
        <v>0</v>
      </c>
      <c r="P18" s="64">
        <v>0.23</v>
      </c>
      <c r="Q18" s="64">
        <v>9.56</v>
      </c>
      <c r="R18" s="198"/>
      <c r="S18" s="198"/>
      <c r="T18" s="198"/>
      <c r="U18" s="198"/>
    </row>
    <row r="19" spans="1:21" s="12" customFormat="1" x14ac:dyDescent="0.25">
      <c r="A19" s="212" t="s">
        <v>2561</v>
      </c>
      <c r="B19" s="64">
        <v>8.32</v>
      </c>
      <c r="C19" s="64">
        <v>5.53</v>
      </c>
      <c r="D19" s="64">
        <v>9.56</v>
      </c>
      <c r="E19" s="64">
        <v>6.04</v>
      </c>
      <c r="F19" s="64">
        <v>2.46</v>
      </c>
      <c r="G19" s="64">
        <v>18.57</v>
      </c>
      <c r="H19" s="64">
        <v>3.91</v>
      </c>
      <c r="I19" s="64">
        <v>0.75</v>
      </c>
      <c r="J19" s="64">
        <v>0.05</v>
      </c>
      <c r="K19" s="64">
        <v>281.47000000000003</v>
      </c>
      <c r="L19" s="64">
        <v>22.95</v>
      </c>
      <c r="M19" s="64">
        <v>98.1</v>
      </c>
      <c r="N19" s="64">
        <v>43.8</v>
      </c>
      <c r="O19" s="64">
        <v>0</v>
      </c>
      <c r="P19" s="64">
        <v>0.24</v>
      </c>
      <c r="Q19" s="64">
        <v>9.56</v>
      </c>
      <c r="R19" s="198"/>
      <c r="S19" s="198"/>
      <c r="T19" s="198"/>
      <c r="U19" s="198"/>
    </row>
    <row r="20" spans="1:21" s="12" customFormat="1" x14ac:dyDescent="0.25">
      <c r="A20" s="212" t="s">
        <v>2562</v>
      </c>
      <c r="B20" s="64">
        <v>7.98</v>
      </c>
      <c r="C20" s="64">
        <v>5.64</v>
      </c>
      <c r="D20" s="64">
        <v>9.35</v>
      </c>
      <c r="E20" s="64">
        <v>6.29</v>
      </c>
      <c r="F20" s="64">
        <v>3.41</v>
      </c>
      <c r="G20" s="64">
        <v>15.99</v>
      </c>
      <c r="H20" s="64">
        <v>5.07</v>
      </c>
      <c r="I20" s="64">
        <v>0.81</v>
      </c>
      <c r="J20" s="64">
        <v>0.09</v>
      </c>
      <c r="K20" s="64">
        <v>307.10000000000002</v>
      </c>
      <c r="L20" s="64">
        <v>23.03</v>
      </c>
      <c r="M20" s="64">
        <v>98.1</v>
      </c>
      <c r="N20" s="64">
        <v>43.7</v>
      </c>
      <c r="O20" s="64">
        <v>0</v>
      </c>
      <c r="P20" s="64">
        <v>0.22</v>
      </c>
      <c r="Q20" s="64">
        <v>9.5500000000000007</v>
      </c>
      <c r="R20" s="198"/>
      <c r="S20" s="198"/>
      <c r="T20" s="198"/>
      <c r="U20" s="198"/>
    </row>
    <row r="21" spans="1:21" s="12" customFormat="1" x14ac:dyDescent="0.25">
      <c r="A21" s="212" t="s">
        <v>2563</v>
      </c>
      <c r="B21" s="64">
        <v>8.5500000000000007</v>
      </c>
      <c r="C21" s="64">
        <v>5.69</v>
      </c>
      <c r="D21" s="64">
        <v>9.83</v>
      </c>
      <c r="E21" s="64">
        <v>6.11</v>
      </c>
      <c r="F21" s="64">
        <v>2.36</v>
      </c>
      <c r="G21" s="64">
        <v>14.7</v>
      </c>
      <c r="H21" s="64">
        <v>5.65</v>
      </c>
      <c r="I21" s="64">
        <v>0.79</v>
      </c>
      <c r="J21" s="64">
        <v>0.1</v>
      </c>
      <c r="K21" s="64">
        <v>308.89999999999998</v>
      </c>
      <c r="L21" s="64">
        <v>23.08</v>
      </c>
      <c r="M21" s="64">
        <v>98.1</v>
      </c>
      <c r="N21" s="64">
        <v>43.8</v>
      </c>
      <c r="O21" s="64">
        <v>0</v>
      </c>
      <c r="P21" s="64">
        <v>0.24</v>
      </c>
      <c r="Q21" s="64">
        <v>9.5500000000000007</v>
      </c>
      <c r="R21" s="198"/>
      <c r="S21" s="198"/>
      <c r="T21" s="198"/>
      <c r="U21" s="198"/>
    </row>
    <row r="22" spans="1:21" s="12" customFormat="1" x14ac:dyDescent="0.25">
      <c r="A22" s="212" t="s">
        <v>2564</v>
      </c>
      <c r="B22" s="64">
        <v>8.0500000000000007</v>
      </c>
      <c r="C22" s="64">
        <v>5.92</v>
      </c>
      <c r="D22" s="64">
        <v>9.5500000000000007</v>
      </c>
      <c r="E22" s="64">
        <v>5.9</v>
      </c>
      <c r="F22" s="64">
        <v>2.86</v>
      </c>
      <c r="G22" s="64">
        <v>14.7</v>
      </c>
      <c r="H22" s="64">
        <v>5.65</v>
      </c>
      <c r="I22" s="64">
        <v>0.78</v>
      </c>
      <c r="J22" s="64">
        <v>0.12</v>
      </c>
      <c r="K22" s="64">
        <v>306.51</v>
      </c>
      <c r="L22" s="64">
        <v>23.14</v>
      </c>
      <c r="M22" s="64">
        <v>98.1</v>
      </c>
      <c r="N22" s="64">
        <v>43.8</v>
      </c>
      <c r="O22" s="64">
        <v>0</v>
      </c>
      <c r="P22" s="64">
        <v>0.21</v>
      </c>
      <c r="Q22" s="64">
        <v>9.5500000000000007</v>
      </c>
      <c r="R22" s="198"/>
      <c r="S22" s="198"/>
      <c r="T22" s="198"/>
      <c r="U22" s="198"/>
    </row>
    <row r="23" spans="1:21" s="12" customFormat="1" x14ac:dyDescent="0.25">
      <c r="A23" s="212" t="s">
        <v>2565</v>
      </c>
      <c r="B23" s="64">
        <v>7.76</v>
      </c>
      <c r="C23" s="64">
        <v>6.2</v>
      </c>
      <c r="D23" s="64">
        <v>9.4600000000000009</v>
      </c>
      <c r="E23" s="64">
        <v>5.87</v>
      </c>
      <c r="F23" s="64">
        <v>3.09</v>
      </c>
      <c r="G23" s="64">
        <v>14.7</v>
      </c>
      <c r="H23" s="64">
        <v>5.65</v>
      </c>
      <c r="I23" s="64">
        <v>0.8</v>
      </c>
      <c r="J23" s="64">
        <v>0.12</v>
      </c>
      <c r="K23" s="64">
        <v>308.14</v>
      </c>
      <c r="L23" s="64">
        <v>23.12</v>
      </c>
      <c r="M23" s="64">
        <v>98.1</v>
      </c>
      <c r="N23" s="64">
        <v>43.8</v>
      </c>
      <c r="O23" s="64">
        <v>0</v>
      </c>
      <c r="P23" s="64">
        <v>0.2</v>
      </c>
      <c r="Q23" s="64">
        <v>9.56</v>
      </c>
      <c r="R23" s="198"/>
      <c r="S23" s="198"/>
      <c r="T23" s="198"/>
      <c r="U23" s="198"/>
    </row>
    <row r="24" spans="1:21" s="12" customFormat="1" x14ac:dyDescent="0.25">
      <c r="A24" s="212" t="s">
        <v>2566</v>
      </c>
      <c r="B24" s="64">
        <v>7.72</v>
      </c>
      <c r="C24" s="64">
        <v>6.43</v>
      </c>
      <c r="D24" s="64">
        <v>9.5500000000000007</v>
      </c>
      <c r="E24" s="64">
        <v>5.84</v>
      </c>
      <c r="F24" s="64">
        <v>2.11</v>
      </c>
      <c r="G24" s="64">
        <v>16.89</v>
      </c>
      <c r="H24" s="64">
        <v>4.9000000000000004</v>
      </c>
      <c r="I24" s="64">
        <v>0.77</v>
      </c>
      <c r="J24" s="64">
        <v>0.14000000000000001</v>
      </c>
      <c r="K24" s="64">
        <v>305.55</v>
      </c>
      <c r="L24" s="64">
        <v>23.09</v>
      </c>
      <c r="M24" s="64">
        <v>98.1</v>
      </c>
      <c r="N24" s="64">
        <v>43.8</v>
      </c>
      <c r="O24" s="64">
        <v>0</v>
      </c>
      <c r="P24" s="64">
        <v>0.21</v>
      </c>
      <c r="Q24" s="64">
        <v>9.5500000000000007</v>
      </c>
      <c r="R24" s="198"/>
      <c r="S24" s="198"/>
      <c r="T24" s="198"/>
      <c r="U24" s="198"/>
    </row>
    <row r="25" spans="1:21" s="12" customFormat="1" x14ac:dyDescent="0.25">
      <c r="A25" s="212" t="s">
        <v>2567</v>
      </c>
      <c r="B25" s="64">
        <v>7.63</v>
      </c>
      <c r="C25" s="64">
        <v>6.65</v>
      </c>
      <c r="D25" s="64">
        <v>9.59</v>
      </c>
      <c r="E25" s="64">
        <v>5.83</v>
      </c>
      <c r="F25" s="64">
        <v>2.1</v>
      </c>
      <c r="G25" s="64">
        <v>17.98</v>
      </c>
      <c r="H25" s="64">
        <v>4.53</v>
      </c>
      <c r="I25" s="64">
        <v>0.75</v>
      </c>
      <c r="J25" s="64">
        <v>0.18</v>
      </c>
      <c r="K25" s="64">
        <v>302.91000000000003</v>
      </c>
      <c r="L25" s="64">
        <v>23.1</v>
      </c>
      <c r="M25" s="64">
        <v>98.1</v>
      </c>
      <c r="N25" s="64">
        <v>43.8</v>
      </c>
      <c r="O25" s="64">
        <v>0</v>
      </c>
      <c r="P25" s="64">
        <v>0.21</v>
      </c>
      <c r="Q25" s="64">
        <v>9.5500000000000007</v>
      </c>
      <c r="R25" s="198"/>
      <c r="S25" s="198"/>
      <c r="T25" s="198"/>
      <c r="U25" s="198"/>
    </row>
    <row r="26" spans="1:21" s="12" customFormat="1" x14ac:dyDescent="0.25">
      <c r="A26" s="212" t="s">
        <v>2568</v>
      </c>
      <c r="B26" s="64">
        <v>7.26</v>
      </c>
      <c r="C26" s="64">
        <v>6.77</v>
      </c>
      <c r="D26" s="64">
        <v>9.36</v>
      </c>
      <c r="E26" s="64">
        <v>5.62</v>
      </c>
      <c r="F26" s="64">
        <v>2.15</v>
      </c>
      <c r="G26" s="64">
        <v>17.98</v>
      </c>
      <c r="H26" s="64">
        <v>4.53</v>
      </c>
      <c r="I26" s="64">
        <v>0.73</v>
      </c>
      <c r="J26" s="64">
        <v>0.13</v>
      </c>
      <c r="K26" s="64">
        <v>297.39999999999998</v>
      </c>
      <c r="L26" s="64">
        <v>23.09</v>
      </c>
      <c r="M26" s="64">
        <v>98.1</v>
      </c>
      <c r="N26" s="64">
        <v>43.8</v>
      </c>
      <c r="O26" s="64">
        <v>0</v>
      </c>
      <c r="P26" s="64">
        <v>0.2</v>
      </c>
      <c r="Q26" s="64">
        <v>9.5399999999999991</v>
      </c>
      <c r="R26" s="198"/>
      <c r="S26" s="198"/>
      <c r="T26" s="198"/>
      <c r="U26" s="198"/>
    </row>
    <row r="27" spans="1:21" s="12" customFormat="1" x14ac:dyDescent="0.25">
      <c r="A27" s="212" t="s">
        <v>2569</v>
      </c>
      <c r="B27" s="64">
        <v>6.69</v>
      </c>
      <c r="C27" s="64">
        <v>6.84</v>
      </c>
      <c r="D27" s="64">
        <v>8.94</v>
      </c>
      <c r="E27" s="64">
        <v>6.02</v>
      </c>
      <c r="F27" s="64">
        <v>2.62</v>
      </c>
      <c r="G27" s="64">
        <v>17.98</v>
      </c>
      <c r="H27" s="64">
        <v>4.53</v>
      </c>
      <c r="I27" s="64">
        <v>0.71</v>
      </c>
      <c r="J27" s="64">
        <v>0.09</v>
      </c>
      <c r="K27" s="64">
        <v>295.45999999999998</v>
      </c>
      <c r="L27" s="64">
        <v>23.04</v>
      </c>
      <c r="M27" s="64">
        <v>98.1</v>
      </c>
      <c r="N27" s="64">
        <v>43.8</v>
      </c>
      <c r="O27" s="64">
        <v>0</v>
      </c>
      <c r="P27" s="64">
        <v>0.18</v>
      </c>
      <c r="Q27" s="64">
        <v>9.5299999999999994</v>
      </c>
      <c r="R27" s="198"/>
      <c r="S27" s="198"/>
      <c r="T27" s="198"/>
      <c r="U27" s="198"/>
    </row>
    <row r="28" spans="1:21" s="12" customFormat="1" x14ac:dyDescent="0.25">
      <c r="A28" s="212" t="s">
        <v>2570</v>
      </c>
      <c r="B28" s="64">
        <v>6.51</v>
      </c>
      <c r="C28" s="64">
        <v>6.8</v>
      </c>
      <c r="D28" s="64">
        <v>8.7799999999999994</v>
      </c>
      <c r="E28" s="64">
        <v>5.77</v>
      </c>
      <c r="F28" s="64">
        <v>2.8</v>
      </c>
      <c r="G28" s="64">
        <v>18.39</v>
      </c>
      <c r="H28" s="64">
        <v>4.07</v>
      </c>
      <c r="I28" s="64">
        <v>0.7</v>
      </c>
      <c r="J28" s="64">
        <v>0.09</v>
      </c>
      <c r="K28" s="64">
        <v>282.25</v>
      </c>
      <c r="L28" s="64">
        <v>22.96</v>
      </c>
      <c r="M28" s="64">
        <v>98.1</v>
      </c>
      <c r="N28" s="64">
        <v>43.8</v>
      </c>
      <c r="O28" s="64">
        <v>0</v>
      </c>
      <c r="P28" s="64">
        <v>0.18</v>
      </c>
      <c r="Q28" s="64">
        <v>9.5399999999999991</v>
      </c>
      <c r="R28" s="198"/>
      <c r="S28" s="198"/>
      <c r="T28" s="198"/>
      <c r="U28" s="198"/>
    </row>
    <row r="29" spans="1:21" s="12" customFormat="1" x14ac:dyDescent="0.25">
      <c r="A29" s="212" t="s">
        <v>2571</v>
      </c>
      <c r="B29" s="64">
        <v>6.64</v>
      </c>
      <c r="C29" s="64">
        <v>6.72</v>
      </c>
      <c r="D29" s="64">
        <v>8.83</v>
      </c>
      <c r="E29" s="64">
        <v>6.09</v>
      </c>
      <c r="F29" s="64">
        <v>3.51</v>
      </c>
      <c r="G29" s="64">
        <v>18.59</v>
      </c>
      <c r="H29" s="64">
        <v>3.84</v>
      </c>
      <c r="I29" s="64">
        <v>0.69</v>
      </c>
      <c r="J29" s="64">
        <v>0.08</v>
      </c>
      <c r="K29" s="64">
        <v>301.5</v>
      </c>
      <c r="L29" s="64">
        <v>22.85</v>
      </c>
      <c r="M29" s="64">
        <v>98.11</v>
      </c>
      <c r="N29" s="64">
        <v>43.8</v>
      </c>
      <c r="O29" s="64">
        <v>0</v>
      </c>
      <c r="P29" s="64">
        <v>0.18</v>
      </c>
      <c r="Q29" s="64">
        <v>9.5299999999999994</v>
      </c>
      <c r="R29" s="198"/>
      <c r="S29" s="198"/>
      <c r="T29" s="198"/>
      <c r="U29" s="198"/>
    </row>
    <row r="30" spans="1:21" s="12" customFormat="1" x14ac:dyDescent="0.25">
      <c r="A30" s="212" t="s">
        <v>2572</v>
      </c>
      <c r="B30" s="64">
        <v>6.71</v>
      </c>
      <c r="C30" s="64">
        <v>6.58</v>
      </c>
      <c r="D30" s="64">
        <v>8.82</v>
      </c>
      <c r="E30" s="64">
        <v>6.12</v>
      </c>
      <c r="F30" s="64">
        <v>2.41</v>
      </c>
      <c r="G30" s="64">
        <v>18.59</v>
      </c>
      <c r="H30" s="64">
        <v>3.84</v>
      </c>
      <c r="I30" s="64">
        <v>0.68</v>
      </c>
      <c r="J30" s="64">
        <v>0.11</v>
      </c>
      <c r="K30" s="64">
        <v>297.06</v>
      </c>
      <c r="L30" s="64">
        <v>22.82</v>
      </c>
      <c r="M30" s="64">
        <v>98.12</v>
      </c>
      <c r="N30" s="64">
        <v>43.9</v>
      </c>
      <c r="O30" s="64">
        <v>0</v>
      </c>
      <c r="P30" s="64">
        <v>0.19</v>
      </c>
      <c r="Q30" s="64">
        <v>9.5299999999999994</v>
      </c>
      <c r="R30" s="198"/>
      <c r="S30" s="198"/>
      <c r="T30" s="198"/>
      <c r="U30" s="198"/>
    </row>
    <row r="31" spans="1:21" s="12" customFormat="1" x14ac:dyDescent="0.25">
      <c r="A31" s="212" t="s">
        <v>2573</v>
      </c>
      <c r="B31" s="64">
        <v>6.92</v>
      </c>
      <c r="C31" s="64">
        <v>6.54</v>
      </c>
      <c r="D31" s="64">
        <v>8.9700000000000006</v>
      </c>
      <c r="E31" s="64">
        <v>5.96</v>
      </c>
      <c r="F31" s="64">
        <v>2.2400000000000002</v>
      </c>
      <c r="G31" s="64">
        <v>18.59</v>
      </c>
      <c r="H31" s="64">
        <v>3.84</v>
      </c>
      <c r="I31" s="64">
        <v>0.68</v>
      </c>
      <c r="J31" s="64">
        <v>0.09</v>
      </c>
      <c r="K31" s="64">
        <v>296.18</v>
      </c>
      <c r="L31" s="64">
        <v>22.8</v>
      </c>
      <c r="M31" s="64">
        <v>98.13</v>
      </c>
      <c r="N31" s="64">
        <v>44.8</v>
      </c>
      <c r="O31" s="64">
        <v>0</v>
      </c>
      <c r="P31" s="64">
        <v>0.2</v>
      </c>
      <c r="Q31" s="64">
        <v>9.51</v>
      </c>
      <c r="R31" s="198"/>
      <c r="S31" s="198"/>
      <c r="T31" s="198"/>
      <c r="U31" s="198"/>
    </row>
    <row r="32" spans="1:21" s="12" customFormat="1" x14ac:dyDescent="0.25">
      <c r="A32" s="212" t="s">
        <v>2574</v>
      </c>
      <c r="B32" s="64">
        <v>6.98</v>
      </c>
      <c r="C32" s="64">
        <v>7.33</v>
      </c>
      <c r="D32" s="64">
        <v>9.43</v>
      </c>
      <c r="E32" s="64">
        <v>6.29</v>
      </c>
      <c r="F32" s="64">
        <v>3.05</v>
      </c>
      <c r="G32" s="64">
        <v>15.57</v>
      </c>
      <c r="H32" s="64">
        <v>3.52</v>
      </c>
      <c r="I32" s="64">
        <v>0.67</v>
      </c>
      <c r="J32" s="64">
        <v>7.0000000000000007E-2</v>
      </c>
      <c r="K32" s="64">
        <v>285.93</v>
      </c>
      <c r="L32" s="64">
        <v>22.79</v>
      </c>
      <c r="M32" s="64">
        <v>98.11</v>
      </c>
      <c r="N32" s="64">
        <v>47.8</v>
      </c>
      <c r="O32" s="64">
        <v>0</v>
      </c>
      <c r="P32" s="64">
        <v>0.18</v>
      </c>
      <c r="Q32" s="64">
        <v>9.51</v>
      </c>
      <c r="R32" s="198"/>
      <c r="S32" s="198"/>
      <c r="T32" s="198"/>
      <c r="U32" s="198"/>
    </row>
    <row r="33" spans="1:21" s="12" customFormat="1" x14ac:dyDescent="0.25">
      <c r="A33" s="212" t="s">
        <v>2575</v>
      </c>
      <c r="B33" s="64">
        <v>7.15</v>
      </c>
      <c r="C33" s="64">
        <v>6.52</v>
      </c>
      <c r="D33" s="64">
        <v>9.14</v>
      </c>
      <c r="E33" s="64">
        <v>5.97</v>
      </c>
      <c r="F33" s="64">
        <v>2.2799999999999998</v>
      </c>
      <c r="G33" s="64">
        <v>14.07</v>
      </c>
      <c r="H33" s="64">
        <v>3.36</v>
      </c>
      <c r="I33" s="64">
        <v>0.64</v>
      </c>
      <c r="J33" s="64">
        <v>0.09</v>
      </c>
      <c r="K33" s="64">
        <v>285.98</v>
      </c>
      <c r="L33" s="64">
        <v>22.78</v>
      </c>
      <c r="M33" s="64">
        <v>98.13</v>
      </c>
      <c r="N33" s="64">
        <v>53.6</v>
      </c>
      <c r="O33" s="64">
        <v>0</v>
      </c>
      <c r="P33" s="64">
        <v>0.19</v>
      </c>
      <c r="Q33" s="64">
        <v>9.49</v>
      </c>
      <c r="R33" s="198"/>
      <c r="S33" s="198"/>
      <c r="T33" s="198"/>
      <c r="U33" s="198"/>
    </row>
    <row r="34" spans="1:21" s="12" customFormat="1" x14ac:dyDescent="0.25">
      <c r="A34" s="212" t="s">
        <v>2576</v>
      </c>
      <c r="B34" s="64">
        <v>7.04</v>
      </c>
      <c r="C34" s="64">
        <v>6.44</v>
      </c>
      <c r="D34" s="64">
        <v>9.01</v>
      </c>
      <c r="E34" s="64">
        <v>6</v>
      </c>
      <c r="F34" s="64">
        <v>2.67</v>
      </c>
      <c r="G34" s="64">
        <v>14.07</v>
      </c>
      <c r="H34" s="64">
        <v>3.36</v>
      </c>
      <c r="I34" s="64">
        <v>0.64</v>
      </c>
      <c r="J34" s="64">
        <v>0.09</v>
      </c>
      <c r="K34" s="64">
        <v>299.82</v>
      </c>
      <c r="L34" s="64">
        <v>22.8</v>
      </c>
      <c r="M34" s="64">
        <v>98.13</v>
      </c>
      <c r="N34" s="64">
        <v>60.9</v>
      </c>
      <c r="O34" s="64">
        <v>0</v>
      </c>
      <c r="P34" s="64">
        <v>0.18</v>
      </c>
      <c r="Q34" s="64">
        <v>9.5</v>
      </c>
      <c r="R34" s="198"/>
      <c r="S34" s="198"/>
      <c r="T34" s="198"/>
      <c r="U34" s="198"/>
    </row>
    <row r="35" spans="1:21" s="12" customFormat="1" x14ac:dyDescent="0.25">
      <c r="A35" s="212" t="s">
        <v>2577</v>
      </c>
      <c r="B35" s="64">
        <v>7.28</v>
      </c>
      <c r="C35" s="64">
        <v>6.43</v>
      </c>
      <c r="D35" s="64">
        <v>9.1999999999999993</v>
      </c>
      <c r="E35" s="64">
        <v>6.08</v>
      </c>
      <c r="F35" s="64">
        <v>2.2000000000000002</v>
      </c>
      <c r="G35" s="64">
        <v>14.07</v>
      </c>
      <c r="H35" s="64">
        <v>3.36</v>
      </c>
      <c r="I35" s="64">
        <v>0.64</v>
      </c>
      <c r="J35" s="64">
        <v>0.12</v>
      </c>
      <c r="K35" s="64">
        <v>297.39999999999998</v>
      </c>
      <c r="L35" s="64">
        <v>22.91</v>
      </c>
      <c r="M35" s="64">
        <v>98.13</v>
      </c>
      <c r="N35" s="64">
        <v>69.8</v>
      </c>
      <c r="O35" s="64">
        <v>0</v>
      </c>
      <c r="P35" s="64">
        <v>0.2</v>
      </c>
      <c r="Q35" s="64">
        <v>9.5</v>
      </c>
      <c r="R35" s="198"/>
      <c r="S35" s="198"/>
      <c r="T35" s="198"/>
      <c r="U35" s="198"/>
    </row>
    <row r="36" spans="1:21" s="12" customFormat="1" x14ac:dyDescent="0.25">
      <c r="A36" s="212" t="s">
        <v>2578</v>
      </c>
      <c r="B36" s="64">
        <v>7.41</v>
      </c>
      <c r="C36" s="64">
        <v>6.52</v>
      </c>
      <c r="D36" s="64">
        <v>9.35</v>
      </c>
      <c r="E36" s="64">
        <v>5.84</v>
      </c>
      <c r="F36" s="64">
        <v>2.1</v>
      </c>
      <c r="G36" s="64">
        <v>15.58</v>
      </c>
      <c r="H36" s="64">
        <v>4.7300000000000004</v>
      </c>
      <c r="I36" s="64">
        <v>0.64</v>
      </c>
      <c r="J36" s="64">
        <v>0.12</v>
      </c>
      <c r="K36" s="64">
        <v>286.11</v>
      </c>
      <c r="L36" s="64">
        <v>23.05</v>
      </c>
      <c r="M36" s="64">
        <v>98.11</v>
      </c>
      <c r="N36" s="64">
        <v>83.3</v>
      </c>
      <c r="O36" s="64">
        <v>0</v>
      </c>
      <c r="P36" s="64">
        <v>0.19</v>
      </c>
      <c r="Q36" s="64">
        <v>9.5</v>
      </c>
      <c r="R36" s="198"/>
      <c r="S36" s="198"/>
      <c r="T36" s="198"/>
      <c r="U36" s="198"/>
    </row>
    <row r="37" spans="1:21" s="12" customFormat="1" x14ac:dyDescent="0.25">
      <c r="A37" s="212" t="s">
        <v>2579</v>
      </c>
      <c r="B37" s="64">
        <v>7.43</v>
      </c>
      <c r="C37" s="64">
        <v>6.65</v>
      </c>
      <c r="D37" s="64">
        <v>9.44</v>
      </c>
      <c r="E37" s="64">
        <v>5.94</v>
      </c>
      <c r="F37" s="64">
        <v>2.11</v>
      </c>
      <c r="G37" s="64">
        <v>16.34</v>
      </c>
      <c r="H37" s="64">
        <v>5.42</v>
      </c>
      <c r="I37" s="64">
        <v>0.66</v>
      </c>
      <c r="J37" s="64">
        <v>0.11</v>
      </c>
      <c r="K37" s="64">
        <v>285.08999999999997</v>
      </c>
      <c r="L37" s="64">
        <v>23.17</v>
      </c>
      <c r="M37" s="64">
        <v>98.12</v>
      </c>
      <c r="N37" s="64">
        <v>107.4</v>
      </c>
      <c r="O37" s="64">
        <v>0</v>
      </c>
      <c r="P37" s="64">
        <v>0.19</v>
      </c>
      <c r="Q37" s="64">
        <v>9.5</v>
      </c>
      <c r="R37" s="198"/>
      <c r="S37" s="198"/>
      <c r="T37" s="198"/>
      <c r="U37" s="198"/>
    </row>
    <row r="38" spans="1:21" s="12" customFormat="1" x14ac:dyDescent="0.25">
      <c r="A38" s="212" t="s">
        <v>2580</v>
      </c>
      <c r="B38" s="64">
        <v>7.41</v>
      </c>
      <c r="C38" s="64">
        <v>6.83</v>
      </c>
      <c r="D38" s="64">
        <v>9.51</v>
      </c>
      <c r="E38" s="64">
        <v>6.15</v>
      </c>
      <c r="F38" s="64">
        <v>2.46</v>
      </c>
      <c r="G38" s="64">
        <v>16.34</v>
      </c>
      <c r="H38" s="64">
        <v>5.42</v>
      </c>
      <c r="I38" s="64">
        <v>0.67</v>
      </c>
      <c r="J38" s="64">
        <v>0.06</v>
      </c>
      <c r="K38" s="64">
        <v>308.82</v>
      </c>
      <c r="L38" s="64">
        <v>23.44</v>
      </c>
      <c r="M38" s="64">
        <v>98.08</v>
      </c>
      <c r="N38" s="64">
        <v>131.69999999999999</v>
      </c>
      <c r="O38" s="64">
        <v>0</v>
      </c>
      <c r="P38" s="64">
        <v>0.19</v>
      </c>
      <c r="Q38" s="64">
        <v>9.51</v>
      </c>
      <c r="R38" s="198"/>
      <c r="S38" s="198"/>
      <c r="T38" s="198"/>
      <c r="U38" s="198"/>
    </row>
    <row r="39" spans="1:21" s="12" customFormat="1" x14ac:dyDescent="0.25">
      <c r="A39" s="212" t="s">
        <v>2581</v>
      </c>
      <c r="B39" s="64">
        <v>7.67</v>
      </c>
      <c r="C39" s="64">
        <v>6.72</v>
      </c>
      <c r="D39" s="64">
        <v>9.66</v>
      </c>
      <c r="E39" s="64">
        <v>5.46</v>
      </c>
      <c r="F39" s="64">
        <v>2.11</v>
      </c>
      <c r="G39" s="64">
        <v>16.34</v>
      </c>
      <c r="H39" s="64">
        <v>5.42</v>
      </c>
      <c r="I39" s="64">
        <v>0.67</v>
      </c>
      <c r="J39" s="64">
        <v>0.14000000000000001</v>
      </c>
      <c r="K39" s="64">
        <v>286.24</v>
      </c>
      <c r="L39" s="64">
        <v>23.73</v>
      </c>
      <c r="M39" s="64">
        <v>98.07</v>
      </c>
      <c r="N39" s="64">
        <v>159.9</v>
      </c>
      <c r="O39" s="64">
        <v>0</v>
      </c>
      <c r="P39" s="64">
        <v>0.21</v>
      </c>
      <c r="Q39" s="64">
        <v>9.52</v>
      </c>
      <c r="R39" s="198"/>
      <c r="S39" s="198"/>
      <c r="T39" s="198"/>
      <c r="U39" s="198"/>
    </row>
    <row r="40" spans="1:21" s="12" customFormat="1" x14ac:dyDescent="0.25">
      <c r="A40" s="212" t="s">
        <v>2582</v>
      </c>
      <c r="B40" s="64">
        <v>7.72</v>
      </c>
      <c r="C40" s="64">
        <v>6.86</v>
      </c>
      <c r="D40" s="64">
        <v>9.77</v>
      </c>
      <c r="E40" s="64">
        <v>3.88</v>
      </c>
      <c r="F40" s="64">
        <v>2.6</v>
      </c>
      <c r="G40" s="64">
        <v>16.57</v>
      </c>
      <c r="H40" s="64">
        <v>4.8099999999999996</v>
      </c>
      <c r="I40" s="64">
        <v>0.69</v>
      </c>
      <c r="J40" s="64">
        <v>0.16</v>
      </c>
      <c r="K40" s="64">
        <v>294.36</v>
      </c>
      <c r="L40" s="64">
        <v>24</v>
      </c>
      <c r="M40" s="64">
        <v>98.05</v>
      </c>
      <c r="N40" s="64">
        <v>220.2</v>
      </c>
      <c r="O40" s="64">
        <v>0</v>
      </c>
      <c r="P40" s="64">
        <v>0.21</v>
      </c>
      <c r="Q40" s="64">
        <v>9.5299999999999994</v>
      </c>
      <c r="R40" s="198"/>
      <c r="S40" s="198"/>
      <c r="T40" s="198"/>
      <c r="U40" s="198"/>
    </row>
    <row r="41" spans="1:21" s="12" customFormat="1" x14ac:dyDescent="0.25">
      <c r="A41" s="212" t="s">
        <v>2583</v>
      </c>
      <c r="B41" s="64">
        <v>7.76</v>
      </c>
      <c r="C41" s="64">
        <v>6.98</v>
      </c>
      <c r="D41" s="64">
        <v>9.8699999999999992</v>
      </c>
      <c r="E41" s="64">
        <v>3.92</v>
      </c>
      <c r="F41" s="64">
        <v>2.11</v>
      </c>
      <c r="G41" s="64">
        <v>16.68</v>
      </c>
      <c r="H41" s="64">
        <v>4.5</v>
      </c>
      <c r="I41" s="64">
        <v>0.71</v>
      </c>
      <c r="J41" s="64">
        <v>0.18</v>
      </c>
      <c r="K41" s="64">
        <v>287.58</v>
      </c>
      <c r="L41" s="64">
        <v>24.69</v>
      </c>
      <c r="M41" s="64">
        <v>98.01</v>
      </c>
      <c r="N41" s="64">
        <v>303.10000000000002</v>
      </c>
      <c r="O41" s="64">
        <v>0</v>
      </c>
      <c r="P41" s="64">
        <v>0.21</v>
      </c>
      <c r="Q41" s="64">
        <v>9.5399999999999991</v>
      </c>
      <c r="R41" s="198"/>
      <c r="S41" s="198"/>
      <c r="T41" s="198"/>
      <c r="U41" s="198"/>
    </row>
    <row r="42" spans="1:21" s="12" customFormat="1" x14ac:dyDescent="0.25">
      <c r="A42" s="212" t="s">
        <v>2584</v>
      </c>
      <c r="B42" s="64">
        <v>7.88</v>
      </c>
      <c r="C42" s="64">
        <v>7.28</v>
      </c>
      <c r="D42" s="64">
        <v>10.130000000000001</v>
      </c>
      <c r="E42" s="64">
        <v>4.3600000000000003</v>
      </c>
      <c r="F42" s="64">
        <v>2.1</v>
      </c>
      <c r="G42" s="64">
        <v>16.68</v>
      </c>
      <c r="H42" s="64">
        <v>4.5</v>
      </c>
      <c r="I42" s="64">
        <v>0.73</v>
      </c>
      <c r="J42" s="64">
        <v>0.24</v>
      </c>
      <c r="K42" s="64">
        <v>289.99</v>
      </c>
      <c r="L42" s="64">
        <v>25.47</v>
      </c>
      <c r="M42" s="64">
        <v>97.83</v>
      </c>
      <c r="N42" s="64">
        <v>358.5</v>
      </c>
      <c r="O42" s="64">
        <v>0</v>
      </c>
      <c r="P42" s="64">
        <v>0.22</v>
      </c>
      <c r="Q42" s="64">
        <v>9.56</v>
      </c>
      <c r="R42" s="198"/>
      <c r="S42" s="198"/>
      <c r="T42" s="198"/>
      <c r="U42" s="198"/>
    </row>
    <row r="43" spans="1:21" s="12" customFormat="1" x14ac:dyDescent="0.25">
      <c r="A43" s="212" t="s">
        <v>2585</v>
      </c>
      <c r="B43" s="64">
        <v>7.93</v>
      </c>
      <c r="C43" s="64">
        <v>7.64</v>
      </c>
      <c r="D43" s="64">
        <v>10.35</v>
      </c>
      <c r="E43" s="64">
        <v>4.43</v>
      </c>
      <c r="F43" s="64">
        <v>2.1</v>
      </c>
      <c r="G43" s="64">
        <v>16.68</v>
      </c>
      <c r="H43" s="64">
        <v>4.5</v>
      </c>
      <c r="I43" s="64">
        <v>0.74</v>
      </c>
      <c r="J43" s="64">
        <v>0.25</v>
      </c>
      <c r="K43" s="64">
        <v>302.75</v>
      </c>
      <c r="L43" s="64">
        <v>26.34</v>
      </c>
      <c r="M43" s="64">
        <v>95.12</v>
      </c>
      <c r="N43" s="64">
        <v>508.4</v>
      </c>
      <c r="O43" s="64">
        <v>0</v>
      </c>
      <c r="P43" s="64">
        <v>0.23</v>
      </c>
      <c r="Q43" s="64">
        <v>9.57</v>
      </c>
      <c r="R43" s="198"/>
      <c r="S43" s="198"/>
      <c r="T43" s="198"/>
      <c r="U43" s="198"/>
    </row>
    <row r="44" spans="1:21" s="12" customFormat="1" x14ac:dyDescent="0.25">
      <c r="A44" s="212" t="s">
        <v>2586</v>
      </c>
      <c r="B44" s="64">
        <v>7.89</v>
      </c>
      <c r="C44" s="64">
        <v>8.58</v>
      </c>
      <c r="D44" s="64">
        <v>10.81</v>
      </c>
      <c r="E44" s="64">
        <v>4.38</v>
      </c>
      <c r="F44" s="64">
        <v>2.2000000000000002</v>
      </c>
      <c r="G44" s="64">
        <v>25.65</v>
      </c>
      <c r="H44" s="64">
        <v>3.71</v>
      </c>
      <c r="I44" s="64">
        <v>0.76</v>
      </c>
      <c r="J44" s="64">
        <v>0.28000000000000003</v>
      </c>
      <c r="K44" s="64">
        <v>301.37</v>
      </c>
      <c r="L44" s="64">
        <v>27.41</v>
      </c>
      <c r="M44" s="64">
        <v>89.5</v>
      </c>
      <c r="N44" s="64">
        <v>550.5</v>
      </c>
      <c r="O44" s="64">
        <v>0</v>
      </c>
      <c r="P44" s="64">
        <v>0.24</v>
      </c>
      <c r="Q44" s="64">
        <v>9.57</v>
      </c>
      <c r="R44" s="198"/>
      <c r="S44" s="198"/>
      <c r="T44" s="198"/>
      <c r="U44" s="198"/>
    </row>
    <row r="45" spans="1:21" s="12" customFormat="1" x14ac:dyDescent="0.25">
      <c r="A45" s="212" t="s">
        <v>2587</v>
      </c>
      <c r="B45" s="64">
        <v>7.94</v>
      </c>
      <c r="C45" s="64">
        <v>8.15</v>
      </c>
      <c r="D45" s="64">
        <v>10.63</v>
      </c>
      <c r="E45" s="64">
        <v>4.43</v>
      </c>
      <c r="F45" s="64">
        <v>2.1</v>
      </c>
      <c r="G45" s="64">
        <v>30.14</v>
      </c>
      <c r="H45" s="64">
        <v>3.32</v>
      </c>
      <c r="I45" s="64">
        <v>0.78</v>
      </c>
      <c r="J45" s="64">
        <v>0.22</v>
      </c>
      <c r="K45" s="64">
        <v>285.77</v>
      </c>
      <c r="L45" s="64">
        <v>27.57</v>
      </c>
      <c r="M45" s="64">
        <v>88.44</v>
      </c>
      <c r="N45" s="64">
        <v>662.4</v>
      </c>
      <c r="O45" s="64">
        <v>0</v>
      </c>
      <c r="P45" s="64">
        <v>0.25</v>
      </c>
      <c r="Q45" s="64">
        <v>9.58</v>
      </c>
      <c r="R45" s="198"/>
      <c r="S45" s="198"/>
      <c r="T45" s="198"/>
      <c r="U45" s="198"/>
    </row>
    <row r="46" spans="1:21" s="12" customFormat="1" x14ac:dyDescent="0.25">
      <c r="A46" s="212" t="s">
        <v>2588</v>
      </c>
      <c r="B46" s="64">
        <v>7.93</v>
      </c>
      <c r="C46" s="64">
        <v>8.32</v>
      </c>
      <c r="D46" s="64">
        <v>10.7</v>
      </c>
      <c r="E46" s="64">
        <v>4.38</v>
      </c>
      <c r="F46" s="64">
        <v>2.1</v>
      </c>
      <c r="G46" s="64">
        <v>30.14</v>
      </c>
      <c r="H46" s="64">
        <v>3.32</v>
      </c>
      <c r="I46" s="64">
        <v>0.79</v>
      </c>
      <c r="J46" s="64">
        <v>0.23</v>
      </c>
      <c r="K46" s="64">
        <v>292.57</v>
      </c>
      <c r="L46" s="64">
        <v>27.66</v>
      </c>
      <c r="M46" s="64">
        <v>88.21</v>
      </c>
      <c r="N46" s="64">
        <v>585.5</v>
      </c>
      <c r="O46" s="64">
        <v>0</v>
      </c>
      <c r="P46" s="64">
        <v>0.26</v>
      </c>
      <c r="Q46" s="64">
        <v>9.57</v>
      </c>
      <c r="R46" s="198"/>
      <c r="S46" s="198"/>
      <c r="T46" s="198"/>
      <c r="U46" s="198"/>
    </row>
    <row r="47" spans="1:21" s="12" customFormat="1" x14ac:dyDescent="0.25">
      <c r="A47" s="212" t="s">
        <v>2589</v>
      </c>
      <c r="B47" s="64">
        <v>7.67</v>
      </c>
      <c r="C47" s="64">
        <v>8.52</v>
      </c>
      <c r="D47" s="64">
        <v>10.6</v>
      </c>
      <c r="E47" s="64">
        <v>4.38</v>
      </c>
      <c r="F47" s="64">
        <v>2.27</v>
      </c>
      <c r="G47" s="64">
        <v>30.14</v>
      </c>
      <c r="H47" s="64">
        <v>3.32</v>
      </c>
      <c r="I47" s="64">
        <v>0.84</v>
      </c>
      <c r="J47" s="64">
        <v>0.27</v>
      </c>
      <c r="K47" s="64">
        <v>299.89</v>
      </c>
      <c r="L47" s="64">
        <v>26.89</v>
      </c>
      <c r="M47" s="64">
        <v>91.11</v>
      </c>
      <c r="N47" s="64">
        <v>464.6</v>
      </c>
      <c r="O47" s="64">
        <v>0</v>
      </c>
      <c r="P47" s="64">
        <v>0.27</v>
      </c>
      <c r="Q47" s="64">
        <v>9.58</v>
      </c>
      <c r="R47" s="198"/>
      <c r="S47" s="198"/>
      <c r="T47" s="198"/>
      <c r="U47" s="198"/>
    </row>
    <row r="48" spans="1:21" s="12" customFormat="1" x14ac:dyDescent="0.25">
      <c r="A48" s="212" t="s">
        <v>2590</v>
      </c>
      <c r="B48" s="64">
        <v>7.56</v>
      </c>
      <c r="C48" s="64">
        <v>8.75</v>
      </c>
      <c r="D48" s="64">
        <v>10.64</v>
      </c>
      <c r="E48" s="64">
        <v>4.2300000000000004</v>
      </c>
      <c r="F48" s="64">
        <v>2.5499999999999998</v>
      </c>
      <c r="G48" s="64">
        <v>32.82</v>
      </c>
      <c r="H48" s="64">
        <v>6.27</v>
      </c>
      <c r="I48" s="64">
        <v>0.88</v>
      </c>
      <c r="J48" s="64">
        <v>0.27</v>
      </c>
      <c r="K48" s="64">
        <v>290.51</v>
      </c>
      <c r="L48" s="64">
        <v>27.45</v>
      </c>
      <c r="M48" s="64">
        <v>87.66</v>
      </c>
      <c r="N48" s="64">
        <v>506.7</v>
      </c>
      <c r="O48" s="64">
        <v>0</v>
      </c>
      <c r="P48" s="64">
        <v>0.3</v>
      </c>
      <c r="Q48" s="64">
        <v>9.56</v>
      </c>
      <c r="R48" s="198"/>
      <c r="S48" s="198"/>
      <c r="T48" s="198"/>
      <c r="U48" s="198"/>
    </row>
    <row r="49" spans="1:21" s="12" customFormat="1" x14ac:dyDescent="0.25">
      <c r="A49" s="212" t="s">
        <v>2591</v>
      </c>
      <c r="B49" s="64">
        <v>8.02</v>
      </c>
      <c r="C49" s="64">
        <v>9.15</v>
      </c>
      <c r="D49" s="64">
        <v>11.21</v>
      </c>
      <c r="E49" s="64">
        <v>4.2699999999999996</v>
      </c>
      <c r="F49" s="64">
        <v>2.1</v>
      </c>
      <c r="G49" s="64">
        <v>34.159999999999997</v>
      </c>
      <c r="H49" s="64">
        <v>7.75</v>
      </c>
      <c r="I49" s="64">
        <v>0.9</v>
      </c>
      <c r="J49" s="64">
        <v>0.31</v>
      </c>
      <c r="K49" s="64">
        <v>291.05</v>
      </c>
      <c r="L49" s="64">
        <v>27.73</v>
      </c>
      <c r="M49" s="64">
        <v>86.86</v>
      </c>
      <c r="N49" s="64">
        <v>596.4</v>
      </c>
      <c r="O49" s="64">
        <v>0</v>
      </c>
      <c r="P49" s="64">
        <v>0.32</v>
      </c>
      <c r="Q49" s="64">
        <v>9.57</v>
      </c>
      <c r="R49" s="198"/>
      <c r="S49" s="198"/>
      <c r="T49" s="198"/>
      <c r="U49" s="198"/>
    </row>
    <row r="50" spans="1:21" s="12" customFormat="1" x14ac:dyDescent="0.25">
      <c r="A50" s="212" t="s">
        <v>2592</v>
      </c>
      <c r="B50" s="64">
        <v>7.93</v>
      </c>
      <c r="C50" s="64">
        <v>8.82</v>
      </c>
      <c r="D50" s="64">
        <v>10.97</v>
      </c>
      <c r="E50" s="64">
        <v>4.3099999999999996</v>
      </c>
      <c r="F50" s="64">
        <v>2.2999999999999998</v>
      </c>
      <c r="G50" s="64">
        <v>34.159999999999997</v>
      </c>
      <c r="H50" s="64">
        <v>7.75</v>
      </c>
      <c r="I50" s="64">
        <v>0.92</v>
      </c>
      <c r="J50" s="64">
        <v>0.23</v>
      </c>
      <c r="K50" s="64">
        <v>285.89</v>
      </c>
      <c r="L50" s="64">
        <v>27.85</v>
      </c>
      <c r="M50" s="64">
        <v>85.13</v>
      </c>
      <c r="N50" s="64">
        <v>415</v>
      </c>
      <c r="O50" s="64">
        <v>0</v>
      </c>
      <c r="P50" s="64">
        <v>0.34</v>
      </c>
      <c r="Q50" s="64">
        <v>9.57</v>
      </c>
      <c r="R50" s="198"/>
      <c r="S50" s="198"/>
      <c r="T50" s="198"/>
      <c r="U50" s="198"/>
    </row>
    <row r="51" spans="1:21" s="12" customFormat="1" x14ac:dyDescent="0.25">
      <c r="A51" s="212" t="s">
        <v>2593</v>
      </c>
      <c r="B51" s="64">
        <v>7.9</v>
      </c>
      <c r="C51" s="64">
        <v>9.6</v>
      </c>
      <c r="D51" s="64">
        <v>11.35</v>
      </c>
      <c r="E51" s="64">
        <v>4.2300000000000004</v>
      </c>
      <c r="F51" s="64">
        <v>2.1800000000000002</v>
      </c>
      <c r="G51" s="64">
        <v>34.159999999999997</v>
      </c>
      <c r="H51" s="64">
        <v>7.75</v>
      </c>
      <c r="I51" s="64">
        <v>0.95</v>
      </c>
      <c r="J51" s="64">
        <v>0.31</v>
      </c>
      <c r="K51" s="64">
        <v>305.41000000000003</v>
      </c>
      <c r="L51" s="64">
        <v>27.43</v>
      </c>
      <c r="M51" s="64">
        <v>87.92</v>
      </c>
      <c r="N51" s="64">
        <v>286.10000000000002</v>
      </c>
      <c r="O51" s="64">
        <v>0</v>
      </c>
      <c r="P51" s="64">
        <v>0.35</v>
      </c>
      <c r="Q51" s="64">
        <v>9.56</v>
      </c>
      <c r="R51" s="198"/>
      <c r="S51" s="198"/>
      <c r="T51" s="198"/>
      <c r="U51" s="198"/>
    </row>
    <row r="52" spans="1:21" s="12" customFormat="1" x14ac:dyDescent="0.25">
      <c r="A52" s="212" t="s">
        <v>2594</v>
      </c>
      <c r="B52" s="64">
        <v>7.94</v>
      </c>
      <c r="C52" s="64">
        <v>9.5299999999999994</v>
      </c>
      <c r="D52" s="64">
        <v>11.35</v>
      </c>
      <c r="E52" s="64">
        <v>4.3600000000000003</v>
      </c>
      <c r="F52" s="64">
        <v>2.23</v>
      </c>
      <c r="G52" s="64">
        <v>38.869999999999997</v>
      </c>
      <c r="H52" s="64">
        <v>6.39</v>
      </c>
      <c r="I52" s="64">
        <v>1.04</v>
      </c>
      <c r="J52" s="64">
        <v>0.23</v>
      </c>
      <c r="K52" s="64">
        <v>302.60000000000002</v>
      </c>
      <c r="L52" s="64">
        <v>26.81</v>
      </c>
      <c r="M52" s="64">
        <v>89.98</v>
      </c>
      <c r="N52" s="64">
        <v>261.5</v>
      </c>
      <c r="O52" s="64">
        <v>0</v>
      </c>
      <c r="P52" s="64">
        <v>0.39</v>
      </c>
      <c r="Q52" s="64">
        <v>9.56</v>
      </c>
      <c r="R52" s="198"/>
      <c r="S52" s="198"/>
      <c r="T52" s="198"/>
      <c r="U52" s="198"/>
    </row>
    <row r="53" spans="1:21" s="12" customFormat="1" x14ac:dyDescent="0.25">
      <c r="A53" s="212" t="s">
        <v>2595</v>
      </c>
      <c r="B53" s="64">
        <v>8.02</v>
      </c>
      <c r="C53" s="64">
        <v>10.47</v>
      </c>
      <c r="D53" s="64">
        <v>11.92</v>
      </c>
      <c r="E53" s="64">
        <v>4.3600000000000003</v>
      </c>
      <c r="F53" s="64">
        <v>2.1</v>
      </c>
      <c r="G53" s="64">
        <v>41.23</v>
      </c>
      <c r="H53" s="64">
        <v>5.71</v>
      </c>
      <c r="I53" s="64">
        <v>1.24</v>
      </c>
      <c r="J53" s="64">
        <v>0.2</v>
      </c>
      <c r="K53" s="64">
        <v>297.77</v>
      </c>
      <c r="L53" s="64">
        <v>27.09</v>
      </c>
      <c r="M53" s="64">
        <v>89.49</v>
      </c>
      <c r="N53" s="64">
        <v>333.5</v>
      </c>
      <c r="O53" s="64">
        <v>0</v>
      </c>
      <c r="P53" s="64">
        <v>0.41</v>
      </c>
      <c r="Q53" s="64">
        <v>9.56</v>
      </c>
      <c r="R53" s="198"/>
      <c r="S53" s="198"/>
      <c r="T53" s="198"/>
      <c r="U53" s="198"/>
    </row>
    <row r="54" spans="1:21" s="12" customFormat="1" x14ac:dyDescent="0.25">
      <c r="A54" s="212" t="s">
        <v>2596</v>
      </c>
      <c r="B54" s="64">
        <v>7.45</v>
      </c>
      <c r="C54" s="64">
        <v>11.65</v>
      </c>
      <c r="D54" s="64">
        <v>12.06</v>
      </c>
      <c r="E54" s="64">
        <v>4.12</v>
      </c>
      <c r="F54" s="64">
        <v>3.15</v>
      </c>
      <c r="G54" s="64">
        <v>41.23</v>
      </c>
      <c r="H54" s="64">
        <v>5.71</v>
      </c>
      <c r="I54" s="64">
        <v>1.36</v>
      </c>
      <c r="J54" s="64">
        <v>0.23</v>
      </c>
      <c r="K54" s="64">
        <v>286.05</v>
      </c>
      <c r="L54" s="64">
        <v>27</v>
      </c>
      <c r="M54" s="64">
        <v>90.46</v>
      </c>
      <c r="N54" s="64">
        <v>349.8</v>
      </c>
      <c r="O54" s="64">
        <v>0</v>
      </c>
      <c r="P54" s="64">
        <v>0.41</v>
      </c>
      <c r="Q54" s="64">
        <v>9.5500000000000007</v>
      </c>
      <c r="R54" s="198"/>
      <c r="S54" s="198"/>
      <c r="T54" s="198"/>
      <c r="U54" s="198"/>
    </row>
    <row r="55" spans="1:21" s="12" customFormat="1" x14ac:dyDescent="0.25">
      <c r="A55" s="212" t="s">
        <v>2597</v>
      </c>
      <c r="B55" s="64">
        <v>6.44</v>
      </c>
      <c r="C55" s="64">
        <v>12.29</v>
      </c>
      <c r="D55" s="64">
        <v>11.58</v>
      </c>
      <c r="E55" s="64">
        <v>4.3899999999999997</v>
      </c>
      <c r="F55" s="64">
        <v>2.4300000000000002</v>
      </c>
      <c r="G55" s="64">
        <v>41.23</v>
      </c>
      <c r="H55" s="64">
        <v>5.71</v>
      </c>
      <c r="I55" s="64">
        <v>1.53</v>
      </c>
      <c r="J55" s="64">
        <v>0.28999999999999998</v>
      </c>
      <c r="K55" s="64">
        <v>294.7</v>
      </c>
      <c r="L55" s="64">
        <v>27.13</v>
      </c>
      <c r="M55" s="64">
        <v>90.59</v>
      </c>
      <c r="N55" s="64">
        <v>376.5</v>
      </c>
      <c r="O55" s="64">
        <v>0</v>
      </c>
      <c r="P55" s="64">
        <v>0.41</v>
      </c>
      <c r="Q55" s="64">
        <v>9.5299999999999994</v>
      </c>
      <c r="R55" s="198"/>
      <c r="S55" s="198"/>
      <c r="T55" s="198"/>
      <c r="U55" s="198"/>
    </row>
    <row r="56" spans="1:21" s="12" customFormat="1" x14ac:dyDescent="0.25">
      <c r="A56" s="212" t="s">
        <v>2598</v>
      </c>
      <c r="B56" s="64">
        <v>6.14</v>
      </c>
      <c r="C56" s="64">
        <v>12.23</v>
      </c>
      <c r="D56" s="64">
        <v>11.31</v>
      </c>
      <c r="E56" s="64">
        <v>4.01</v>
      </c>
      <c r="F56" s="64">
        <v>2.72</v>
      </c>
      <c r="G56" s="64">
        <v>35.03</v>
      </c>
      <c r="H56" s="64">
        <v>4.79</v>
      </c>
      <c r="I56" s="64">
        <v>1.62</v>
      </c>
      <c r="J56" s="64">
        <v>0.17</v>
      </c>
      <c r="K56" s="64">
        <v>287.54000000000002</v>
      </c>
      <c r="L56" s="64">
        <v>27.3</v>
      </c>
      <c r="M56" s="64">
        <v>90.3</v>
      </c>
      <c r="N56" s="64">
        <v>294.39999999999998</v>
      </c>
      <c r="O56" s="64">
        <v>0</v>
      </c>
      <c r="P56" s="64">
        <v>0.43</v>
      </c>
      <c r="Q56" s="64">
        <v>9.51</v>
      </c>
      <c r="R56" s="198"/>
      <c r="S56" s="198"/>
      <c r="T56" s="198"/>
      <c r="U56" s="198"/>
    </row>
    <row r="57" spans="1:21" s="12" customFormat="1" x14ac:dyDescent="0.25">
      <c r="A57" s="212" t="s">
        <v>2599</v>
      </c>
      <c r="B57" s="64">
        <v>6.48</v>
      </c>
      <c r="C57" s="64">
        <v>12.98</v>
      </c>
      <c r="D57" s="64">
        <v>11.98</v>
      </c>
      <c r="E57" s="64">
        <v>3.78</v>
      </c>
      <c r="F57" s="64">
        <v>3.66</v>
      </c>
      <c r="G57" s="64">
        <v>31.93</v>
      </c>
      <c r="H57" s="64">
        <v>4.33</v>
      </c>
      <c r="I57" s="64">
        <v>1.64</v>
      </c>
      <c r="J57" s="64">
        <v>0.31</v>
      </c>
      <c r="K57" s="64">
        <v>302.56</v>
      </c>
      <c r="L57" s="64">
        <v>27</v>
      </c>
      <c r="M57" s="64">
        <v>91.33</v>
      </c>
      <c r="N57" s="64">
        <v>323.2</v>
      </c>
      <c r="O57" s="64">
        <v>0</v>
      </c>
      <c r="P57" s="64">
        <v>0.42</v>
      </c>
      <c r="Q57" s="64">
        <v>9.51</v>
      </c>
      <c r="R57" s="198"/>
      <c r="S57" s="198"/>
      <c r="T57" s="198"/>
      <c r="U57" s="198"/>
    </row>
    <row r="58" spans="1:21" s="12" customFormat="1" x14ac:dyDescent="0.25">
      <c r="A58" s="212" t="s">
        <v>2600</v>
      </c>
      <c r="B58" s="64">
        <v>7.31</v>
      </c>
      <c r="C58" s="64">
        <v>13.02</v>
      </c>
      <c r="D58" s="64">
        <v>12.67</v>
      </c>
      <c r="E58" s="64">
        <v>4.03</v>
      </c>
      <c r="F58" s="64">
        <v>2.25</v>
      </c>
      <c r="G58" s="64">
        <v>31.93</v>
      </c>
      <c r="H58" s="64">
        <v>4.33</v>
      </c>
      <c r="I58" s="64">
        <v>1.62</v>
      </c>
      <c r="J58" s="64">
        <v>0.25</v>
      </c>
      <c r="K58" s="64">
        <v>295.54000000000002</v>
      </c>
      <c r="L58" s="64">
        <v>27.13</v>
      </c>
      <c r="M58" s="64">
        <v>89.47</v>
      </c>
      <c r="N58" s="64">
        <v>406.6</v>
      </c>
      <c r="O58" s="64">
        <v>0</v>
      </c>
      <c r="P58" s="64">
        <v>0.43</v>
      </c>
      <c r="Q58" s="64">
        <v>9.5399999999999991</v>
      </c>
      <c r="R58" s="198"/>
      <c r="S58" s="198"/>
      <c r="T58" s="198"/>
      <c r="U58" s="198"/>
    </row>
    <row r="59" spans="1:21" s="12" customFormat="1" x14ac:dyDescent="0.25">
      <c r="A59" s="212" t="s">
        <v>2601</v>
      </c>
      <c r="B59" s="64">
        <v>7.11</v>
      </c>
      <c r="C59" s="64">
        <v>12.63</v>
      </c>
      <c r="D59" s="64">
        <v>12.3</v>
      </c>
      <c r="E59" s="64">
        <v>4.24</v>
      </c>
      <c r="F59" s="64">
        <v>2.7</v>
      </c>
      <c r="G59" s="64">
        <v>31.93</v>
      </c>
      <c r="H59" s="64">
        <v>4.33</v>
      </c>
      <c r="I59" s="64">
        <v>1.49</v>
      </c>
      <c r="J59" s="64">
        <v>0.25</v>
      </c>
      <c r="K59" s="64">
        <v>286.16000000000003</v>
      </c>
      <c r="L59" s="64">
        <v>27.21</v>
      </c>
      <c r="M59" s="64">
        <v>87.44</v>
      </c>
      <c r="N59" s="64">
        <v>269.60000000000002</v>
      </c>
      <c r="O59" s="64">
        <v>0</v>
      </c>
      <c r="P59" s="64">
        <v>0.45</v>
      </c>
      <c r="Q59" s="64">
        <v>9.56</v>
      </c>
      <c r="R59" s="198"/>
      <c r="S59" s="198"/>
      <c r="T59" s="198"/>
      <c r="U59" s="198"/>
    </row>
    <row r="60" spans="1:21" s="12" customFormat="1" x14ac:dyDescent="0.25">
      <c r="A60" s="212" t="s">
        <v>2602</v>
      </c>
      <c r="B60" s="64">
        <v>8.57</v>
      </c>
      <c r="C60" s="64">
        <v>13.42</v>
      </c>
      <c r="D60" s="64">
        <v>13.88</v>
      </c>
      <c r="E60" s="64">
        <v>4.3499999999999996</v>
      </c>
      <c r="F60" s="64">
        <v>2.5</v>
      </c>
      <c r="G60" s="64">
        <v>46.42</v>
      </c>
      <c r="H60" s="64">
        <v>9.42</v>
      </c>
      <c r="I60" s="64">
        <v>1.55</v>
      </c>
      <c r="J60" s="64">
        <v>0.2</v>
      </c>
      <c r="K60" s="64">
        <v>289.27999999999997</v>
      </c>
      <c r="L60" s="64">
        <v>26.45</v>
      </c>
      <c r="M60" s="64">
        <v>92.58</v>
      </c>
      <c r="N60" s="64">
        <v>204.6</v>
      </c>
      <c r="O60" s="64">
        <v>0</v>
      </c>
      <c r="P60" s="64">
        <v>0.5</v>
      </c>
      <c r="Q60" s="64">
        <v>9.56</v>
      </c>
      <c r="R60" s="198"/>
      <c r="S60" s="198"/>
      <c r="T60" s="198"/>
      <c r="U60" s="198"/>
    </row>
    <row r="61" spans="1:21" s="12" customFormat="1" x14ac:dyDescent="0.25">
      <c r="A61" s="212" t="s">
        <v>2603</v>
      </c>
      <c r="B61" s="64">
        <v>7.84</v>
      </c>
      <c r="C61" s="64">
        <v>13.6</v>
      </c>
      <c r="D61" s="64">
        <v>13.39</v>
      </c>
      <c r="E61" s="64">
        <v>4.24</v>
      </c>
      <c r="F61" s="64">
        <v>2.1</v>
      </c>
      <c r="G61" s="64">
        <v>53.67</v>
      </c>
      <c r="H61" s="64">
        <v>11.96</v>
      </c>
      <c r="I61" s="64">
        <v>2.0099999999999998</v>
      </c>
      <c r="J61" s="64">
        <v>0.24</v>
      </c>
      <c r="K61" s="64">
        <v>291.23</v>
      </c>
      <c r="L61" s="64">
        <v>26.93</v>
      </c>
      <c r="M61" s="64">
        <v>89.74</v>
      </c>
      <c r="N61" s="64">
        <v>388.7</v>
      </c>
      <c r="O61" s="64">
        <v>0</v>
      </c>
      <c r="P61" s="64">
        <v>0.47</v>
      </c>
      <c r="Q61" s="64">
        <v>9.57</v>
      </c>
      <c r="R61" s="198"/>
      <c r="S61" s="198"/>
      <c r="T61" s="198"/>
      <c r="U61" s="198"/>
    </row>
    <row r="62" spans="1:21" s="12" customFormat="1" x14ac:dyDescent="0.25">
      <c r="A62" s="212" t="s">
        <v>2604</v>
      </c>
      <c r="B62" s="64">
        <v>7.37</v>
      </c>
      <c r="C62" s="64">
        <v>12.8</v>
      </c>
      <c r="D62" s="64">
        <v>12.6</v>
      </c>
      <c r="E62" s="64">
        <v>4.03</v>
      </c>
      <c r="F62" s="64">
        <v>2.2400000000000002</v>
      </c>
      <c r="G62" s="64">
        <v>53.67</v>
      </c>
      <c r="H62" s="64">
        <v>11.96</v>
      </c>
      <c r="I62" s="64">
        <v>2.2799999999999998</v>
      </c>
      <c r="J62" s="64">
        <v>0.16</v>
      </c>
      <c r="K62" s="64">
        <v>290.39</v>
      </c>
      <c r="L62" s="64">
        <v>26.75</v>
      </c>
      <c r="M62" s="64">
        <v>91.62</v>
      </c>
      <c r="N62" s="64">
        <v>244.3</v>
      </c>
      <c r="O62" s="64">
        <v>0</v>
      </c>
      <c r="P62" s="64">
        <v>0.48</v>
      </c>
      <c r="Q62" s="64">
        <v>9.58</v>
      </c>
      <c r="R62" s="198"/>
      <c r="S62" s="198"/>
      <c r="T62" s="198"/>
      <c r="U62" s="198"/>
    </row>
    <row r="63" spans="1:21" s="12" customFormat="1" x14ac:dyDescent="0.25">
      <c r="A63" s="212" t="s">
        <v>2605</v>
      </c>
      <c r="B63" s="64">
        <v>8.2200000000000006</v>
      </c>
      <c r="C63" s="64">
        <v>11.6</v>
      </c>
      <c r="D63" s="64">
        <v>12.66</v>
      </c>
      <c r="E63" s="64">
        <v>4.3099999999999996</v>
      </c>
      <c r="F63" s="64">
        <v>2.5299999999999998</v>
      </c>
      <c r="G63" s="64">
        <v>53.67</v>
      </c>
      <c r="H63" s="64">
        <v>11.96</v>
      </c>
      <c r="I63" s="64">
        <v>2.2400000000000002</v>
      </c>
      <c r="J63" s="64">
        <v>0.21</v>
      </c>
      <c r="K63" s="64">
        <v>292.97000000000003</v>
      </c>
      <c r="L63" s="64">
        <v>27.12</v>
      </c>
      <c r="M63" s="64">
        <v>90.34</v>
      </c>
      <c r="N63" s="64">
        <v>263.60000000000002</v>
      </c>
      <c r="O63" s="64">
        <v>0</v>
      </c>
      <c r="P63" s="64">
        <v>0.48</v>
      </c>
      <c r="Q63" s="64">
        <v>9.57</v>
      </c>
      <c r="R63" s="198"/>
      <c r="S63" s="198"/>
      <c r="T63" s="198"/>
      <c r="U63" s="198"/>
    </row>
    <row r="64" spans="1:21" s="12" customFormat="1" x14ac:dyDescent="0.25">
      <c r="A64" s="212" t="s">
        <v>2606</v>
      </c>
      <c r="B64" s="64">
        <v>7.72</v>
      </c>
      <c r="C64" s="64">
        <v>11.77</v>
      </c>
      <c r="D64" s="64">
        <v>12.34</v>
      </c>
      <c r="E64" s="64">
        <v>4.25</v>
      </c>
      <c r="F64" s="64">
        <v>2.73</v>
      </c>
      <c r="G64" s="64">
        <v>52.78</v>
      </c>
      <c r="H64" s="64">
        <v>9.98</v>
      </c>
      <c r="I64" s="64">
        <v>2.1800000000000002</v>
      </c>
      <c r="J64" s="64">
        <v>0.24</v>
      </c>
      <c r="K64" s="64">
        <v>296.75</v>
      </c>
      <c r="L64" s="64">
        <v>27.36</v>
      </c>
      <c r="M64" s="64">
        <v>88.67</v>
      </c>
      <c r="N64" s="64">
        <v>227.2</v>
      </c>
      <c r="O64" s="64">
        <v>0</v>
      </c>
      <c r="P64" s="64">
        <v>0.49</v>
      </c>
      <c r="Q64" s="64">
        <v>9.58</v>
      </c>
      <c r="R64" s="198"/>
      <c r="S64" s="198"/>
      <c r="T64" s="198"/>
      <c r="U64" s="198"/>
    </row>
    <row r="65" spans="1:21" s="12" customFormat="1" x14ac:dyDescent="0.25">
      <c r="A65" s="212" t="s">
        <v>2607</v>
      </c>
      <c r="B65" s="64">
        <v>7.66</v>
      </c>
      <c r="C65" s="64">
        <v>11.92</v>
      </c>
      <c r="D65" s="64">
        <v>12.37</v>
      </c>
      <c r="E65" s="64">
        <v>4.42</v>
      </c>
      <c r="F65" s="64">
        <v>2.31</v>
      </c>
      <c r="G65" s="64">
        <v>52.34</v>
      </c>
      <c r="H65" s="64">
        <v>8.98</v>
      </c>
      <c r="I65" s="64">
        <v>2.15</v>
      </c>
      <c r="J65" s="64">
        <v>0.24</v>
      </c>
      <c r="K65" s="64">
        <v>309.69</v>
      </c>
      <c r="L65" s="64">
        <v>27.35</v>
      </c>
      <c r="M65" s="64">
        <v>89.74</v>
      </c>
      <c r="N65" s="64">
        <v>150.5</v>
      </c>
      <c r="O65" s="64">
        <v>0</v>
      </c>
      <c r="P65" s="64">
        <v>0.49</v>
      </c>
      <c r="Q65" s="64">
        <v>9.59</v>
      </c>
      <c r="R65" s="198"/>
      <c r="S65" s="198"/>
      <c r="T65" s="198"/>
      <c r="U65" s="198"/>
    </row>
    <row r="66" spans="1:21" s="12" customFormat="1" x14ac:dyDescent="0.25">
      <c r="A66" s="212" t="s">
        <v>2608</v>
      </c>
      <c r="B66" s="64">
        <v>7.6</v>
      </c>
      <c r="C66" s="64">
        <v>11.24</v>
      </c>
      <c r="D66" s="64">
        <v>11.97</v>
      </c>
      <c r="E66" s="64">
        <v>4.4000000000000004</v>
      </c>
      <c r="F66" s="64">
        <v>2.1</v>
      </c>
      <c r="G66" s="64">
        <v>52.34</v>
      </c>
      <c r="H66" s="64">
        <v>8.98</v>
      </c>
      <c r="I66" s="64">
        <v>2.15</v>
      </c>
      <c r="J66" s="64">
        <v>0.18</v>
      </c>
      <c r="K66" s="64">
        <v>294.95999999999998</v>
      </c>
      <c r="L66" s="64">
        <v>26.55</v>
      </c>
      <c r="M66" s="64">
        <v>93.57</v>
      </c>
      <c r="N66" s="64">
        <v>130.4</v>
      </c>
      <c r="O66" s="64">
        <v>0</v>
      </c>
      <c r="P66" s="64">
        <v>0.52</v>
      </c>
      <c r="Q66" s="64">
        <v>9.56</v>
      </c>
      <c r="R66" s="198"/>
      <c r="S66" s="198"/>
      <c r="T66" s="198"/>
      <c r="U66" s="198"/>
    </row>
    <row r="67" spans="1:21" s="12" customFormat="1" x14ac:dyDescent="0.25">
      <c r="A67" s="212" t="s">
        <v>2609</v>
      </c>
      <c r="B67" s="64">
        <v>10.47</v>
      </c>
      <c r="C67" s="64">
        <v>10.53</v>
      </c>
      <c r="D67" s="64">
        <v>13.86</v>
      </c>
      <c r="E67" s="64">
        <v>4.53</v>
      </c>
      <c r="F67" s="64">
        <v>3.26</v>
      </c>
      <c r="G67" s="64">
        <v>52.34</v>
      </c>
      <c r="H67" s="64">
        <v>8.98</v>
      </c>
      <c r="I67" s="64">
        <v>2.04</v>
      </c>
      <c r="J67" s="64">
        <v>0.2</v>
      </c>
      <c r="K67" s="64">
        <v>308.81</v>
      </c>
      <c r="L67" s="64">
        <v>26.87</v>
      </c>
      <c r="M67" s="64">
        <v>92.13</v>
      </c>
      <c r="N67" s="64">
        <v>202.6</v>
      </c>
      <c r="O67" s="64">
        <v>0</v>
      </c>
      <c r="P67" s="64">
        <v>0.55000000000000004</v>
      </c>
      <c r="Q67" s="64">
        <v>9.56</v>
      </c>
      <c r="R67" s="198"/>
      <c r="S67" s="198"/>
      <c r="T67" s="198"/>
      <c r="U67" s="198"/>
    </row>
    <row r="68" spans="1:21" s="12" customFormat="1" x14ac:dyDescent="0.25">
      <c r="A68" s="212" t="s">
        <v>2610</v>
      </c>
      <c r="B68" s="64">
        <v>9.49</v>
      </c>
      <c r="C68" s="64">
        <v>9.9700000000000006</v>
      </c>
      <c r="D68" s="64">
        <v>12.82</v>
      </c>
      <c r="E68" s="64">
        <v>4.5999999999999996</v>
      </c>
      <c r="F68" s="64">
        <v>2.64</v>
      </c>
      <c r="G68" s="64">
        <v>54.54</v>
      </c>
      <c r="H68" s="64">
        <v>10.220000000000001</v>
      </c>
      <c r="I68" s="64">
        <v>2.0499999999999998</v>
      </c>
      <c r="J68" s="64">
        <v>0.16</v>
      </c>
      <c r="K68" s="64">
        <v>292.72000000000003</v>
      </c>
      <c r="L68" s="64">
        <v>26.82</v>
      </c>
      <c r="M68" s="64">
        <v>91.35</v>
      </c>
      <c r="N68" s="64">
        <v>165.9</v>
      </c>
      <c r="O68" s="64">
        <v>0</v>
      </c>
      <c r="P68" s="64">
        <v>0.51</v>
      </c>
      <c r="Q68" s="64">
        <v>9.61</v>
      </c>
      <c r="R68" s="198"/>
      <c r="S68" s="198"/>
      <c r="T68" s="198"/>
      <c r="U68" s="198"/>
    </row>
    <row r="69" spans="1:21" s="12" customFormat="1" x14ac:dyDescent="0.25">
      <c r="A69" s="212" t="s">
        <v>2611</v>
      </c>
      <c r="B69" s="64">
        <v>9.98</v>
      </c>
      <c r="C69" s="64">
        <v>10.87</v>
      </c>
      <c r="D69" s="64">
        <v>13.68</v>
      </c>
      <c r="E69" s="64">
        <v>4.16</v>
      </c>
      <c r="F69" s="64">
        <v>2.72</v>
      </c>
      <c r="G69" s="64">
        <v>55.64</v>
      </c>
      <c r="H69" s="64">
        <v>10.85</v>
      </c>
      <c r="I69" s="64">
        <v>2.11</v>
      </c>
      <c r="J69" s="64">
        <v>0.15</v>
      </c>
      <c r="K69" s="64">
        <v>289.62</v>
      </c>
      <c r="L69" s="64">
        <v>26.72</v>
      </c>
      <c r="M69" s="64">
        <v>93.19</v>
      </c>
      <c r="N69" s="64">
        <v>169.8</v>
      </c>
      <c r="O69" s="64">
        <v>0</v>
      </c>
      <c r="P69" s="64">
        <v>0.53</v>
      </c>
      <c r="Q69" s="64">
        <v>9.61</v>
      </c>
      <c r="R69" s="198"/>
      <c r="S69" s="198"/>
      <c r="T69" s="198"/>
      <c r="U69" s="198"/>
    </row>
    <row r="70" spans="1:21" s="12" customFormat="1" x14ac:dyDescent="0.25">
      <c r="A70" s="212" t="s">
        <v>2612</v>
      </c>
      <c r="B70" s="64">
        <v>10.19</v>
      </c>
      <c r="C70" s="64">
        <v>10.64</v>
      </c>
      <c r="D70" s="64">
        <v>13.73</v>
      </c>
      <c r="E70" s="64">
        <v>4.26</v>
      </c>
      <c r="F70" s="64">
        <v>2.52</v>
      </c>
      <c r="G70" s="64">
        <v>55.64</v>
      </c>
      <c r="H70" s="64">
        <v>10.85</v>
      </c>
      <c r="I70" s="64">
        <v>2.0499999999999998</v>
      </c>
      <c r="J70" s="64">
        <v>0.11</v>
      </c>
      <c r="K70" s="64">
        <v>307.43</v>
      </c>
      <c r="L70" s="64">
        <v>27.12</v>
      </c>
      <c r="M70" s="64">
        <v>91.44</v>
      </c>
      <c r="N70" s="64">
        <v>206.8</v>
      </c>
      <c r="O70" s="64">
        <v>0</v>
      </c>
      <c r="P70" s="64">
        <v>0.53</v>
      </c>
      <c r="Q70" s="64">
        <v>9.58</v>
      </c>
      <c r="R70" s="198"/>
      <c r="S70" s="198"/>
      <c r="T70" s="198"/>
      <c r="U70" s="198"/>
    </row>
    <row r="71" spans="1:21" s="12" customFormat="1" x14ac:dyDescent="0.25">
      <c r="A71" s="212" t="s">
        <v>2613</v>
      </c>
      <c r="B71" s="64">
        <v>9.11</v>
      </c>
      <c r="C71" s="64">
        <v>9.7899999999999991</v>
      </c>
      <c r="D71" s="64">
        <v>12.42</v>
      </c>
      <c r="E71" s="64">
        <v>4.04</v>
      </c>
      <c r="F71" s="64">
        <v>2.4700000000000002</v>
      </c>
      <c r="G71" s="64">
        <v>55.64</v>
      </c>
      <c r="H71" s="64">
        <v>10.85</v>
      </c>
      <c r="I71" s="64">
        <v>2.0099999999999998</v>
      </c>
      <c r="J71" s="64">
        <v>0.24</v>
      </c>
      <c r="K71" s="64">
        <v>297.95</v>
      </c>
      <c r="L71" s="64">
        <v>26.45</v>
      </c>
      <c r="M71" s="64">
        <v>95.32</v>
      </c>
      <c r="N71" s="64">
        <v>71.099999999999994</v>
      </c>
      <c r="O71" s="64">
        <v>0</v>
      </c>
      <c r="P71" s="64">
        <v>0.48</v>
      </c>
      <c r="Q71" s="64">
        <v>9.59</v>
      </c>
      <c r="R71" s="198"/>
      <c r="S71" s="198"/>
      <c r="T71" s="198"/>
      <c r="U71" s="198"/>
    </row>
    <row r="72" spans="1:21" s="12" customFormat="1" x14ac:dyDescent="0.25">
      <c r="A72" s="212" t="s">
        <v>2614</v>
      </c>
      <c r="B72" s="64">
        <v>8.74</v>
      </c>
      <c r="C72" s="64">
        <v>9.1999999999999993</v>
      </c>
      <c r="D72" s="64">
        <v>11.81</v>
      </c>
      <c r="E72" s="64">
        <v>4.66</v>
      </c>
      <c r="F72" s="64">
        <v>2.23</v>
      </c>
      <c r="G72" s="64">
        <v>54.93</v>
      </c>
      <c r="H72" s="64">
        <v>11.55</v>
      </c>
      <c r="I72" s="64">
        <v>1.89</v>
      </c>
      <c r="J72" s="64">
        <v>0.13</v>
      </c>
      <c r="K72" s="64">
        <v>281.27999999999997</v>
      </c>
      <c r="L72" s="64">
        <v>25.14</v>
      </c>
      <c r="M72" s="64">
        <v>97.98</v>
      </c>
      <c r="N72" s="64">
        <v>135.19999999999999</v>
      </c>
      <c r="O72" s="64">
        <v>0</v>
      </c>
      <c r="P72" s="64">
        <v>0.49</v>
      </c>
      <c r="Q72" s="64">
        <v>9.6</v>
      </c>
      <c r="R72" s="198"/>
      <c r="S72" s="198"/>
      <c r="T72" s="198"/>
      <c r="U72" s="198"/>
    </row>
    <row r="73" spans="1:21" s="12" customFormat="1" x14ac:dyDescent="0.25">
      <c r="A73" s="212" t="s">
        <v>2615</v>
      </c>
      <c r="B73" s="64">
        <v>8.1</v>
      </c>
      <c r="C73" s="64">
        <v>9.18</v>
      </c>
      <c r="D73" s="64">
        <v>11.29</v>
      </c>
      <c r="E73" s="64">
        <v>4.42</v>
      </c>
      <c r="F73" s="64">
        <v>3.05</v>
      </c>
      <c r="G73" s="64">
        <v>54.58</v>
      </c>
      <c r="H73" s="64">
        <v>11.9</v>
      </c>
      <c r="I73" s="64">
        <v>1.74</v>
      </c>
      <c r="J73" s="64">
        <v>0.06</v>
      </c>
      <c r="K73" s="64">
        <v>273.37</v>
      </c>
      <c r="L73" s="64">
        <v>25.12</v>
      </c>
      <c r="M73" s="64">
        <v>98.03</v>
      </c>
      <c r="N73" s="64">
        <v>137.1</v>
      </c>
      <c r="O73" s="64">
        <v>0</v>
      </c>
      <c r="P73" s="64">
        <v>0.45</v>
      </c>
      <c r="Q73" s="64">
        <v>9.59</v>
      </c>
      <c r="R73" s="198"/>
      <c r="S73" s="198"/>
      <c r="T73" s="198"/>
      <c r="U73" s="198"/>
    </row>
    <row r="74" spans="1:21" s="12" customFormat="1" x14ac:dyDescent="0.25">
      <c r="A74" s="212" t="s">
        <v>2616</v>
      </c>
      <c r="B74" s="64">
        <v>8.32</v>
      </c>
      <c r="C74" s="64">
        <v>8.77</v>
      </c>
      <c r="D74" s="64">
        <v>11.26</v>
      </c>
      <c r="E74" s="64">
        <v>4.5599999999999996</v>
      </c>
      <c r="F74" s="64">
        <v>2.4900000000000002</v>
      </c>
      <c r="G74" s="64">
        <v>54.58</v>
      </c>
      <c r="H74" s="64">
        <v>11.9</v>
      </c>
      <c r="I74" s="64">
        <v>1.76</v>
      </c>
      <c r="J74" s="64">
        <v>0.09</v>
      </c>
      <c r="K74" s="64">
        <v>293.41000000000003</v>
      </c>
      <c r="L74" s="64">
        <v>25.1</v>
      </c>
      <c r="M74" s="64">
        <v>98.03</v>
      </c>
      <c r="N74" s="64">
        <v>80.7</v>
      </c>
      <c r="O74" s="64">
        <v>0</v>
      </c>
      <c r="P74" s="64">
        <v>0.47</v>
      </c>
      <c r="Q74" s="64">
        <v>9.6</v>
      </c>
      <c r="R74" s="198"/>
      <c r="S74" s="198"/>
      <c r="T74" s="198"/>
      <c r="U74" s="198"/>
    </row>
    <row r="75" spans="1:21" s="12" customFormat="1" x14ac:dyDescent="0.25">
      <c r="A75" s="212" t="s">
        <v>2617</v>
      </c>
      <c r="B75" s="64">
        <v>8.5</v>
      </c>
      <c r="C75" s="64">
        <v>8.76</v>
      </c>
      <c r="D75" s="64">
        <v>11.39</v>
      </c>
      <c r="E75" s="64">
        <v>4.32</v>
      </c>
      <c r="F75" s="64">
        <v>2.3199999999999998</v>
      </c>
      <c r="G75" s="64">
        <v>54.58</v>
      </c>
      <c r="H75" s="64">
        <v>11.9</v>
      </c>
      <c r="I75" s="64">
        <v>1.7</v>
      </c>
      <c r="J75" s="64">
        <v>0.15</v>
      </c>
      <c r="K75" s="64">
        <v>303.98</v>
      </c>
      <c r="L75" s="64">
        <v>25.17</v>
      </c>
      <c r="M75" s="64">
        <v>98.02</v>
      </c>
      <c r="N75" s="64">
        <v>104.6</v>
      </c>
      <c r="O75" s="64">
        <v>0</v>
      </c>
      <c r="P75" s="64">
        <v>0.48</v>
      </c>
      <c r="Q75" s="64">
        <v>9.59</v>
      </c>
      <c r="R75" s="198"/>
      <c r="S75" s="198"/>
      <c r="T75" s="198"/>
      <c r="U75" s="198"/>
    </row>
    <row r="76" spans="1:21" s="12" customFormat="1" x14ac:dyDescent="0.25">
      <c r="A76" s="212" t="s">
        <v>2618</v>
      </c>
      <c r="B76" s="64">
        <v>8.67</v>
      </c>
      <c r="C76" s="64">
        <v>8.8800000000000008</v>
      </c>
      <c r="D76" s="64">
        <v>11.59</v>
      </c>
      <c r="E76" s="64">
        <v>4.26</v>
      </c>
      <c r="F76" s="64">
        <v>2.37</v>
      </c>
      <c r="G76" s="64">
        <v>51.45</v>
      </c>
      <c r="H76" s="64">
        <v>9.94</v>
      </c>
      <c r="I76" s="64">
        <v>1.59</v>
      </c>
      <c r="J76" s="64">
        <v>0.16</v>
      </c>
      <c r="K76" s="64">
        <v>296.33</v>
      </c>
      <c r="L76" s="64">
        <v>25.38</v>
      </c>
      <c r="M76" s="64">
        <v>97.99</v>
      </c>
      <c r="N76" s="64">
        <v>117.8</v>
      </c>
      <c r="O76" s="64">
        <v>0</v>
      </c>
      <c r="P76" s="64">
        <v>0.45</v>
      </c>
      <c r="Q76" s="64">
        <v>9.59</v>
      </c>
      <c r="R76" s="198"/>
      <c r="S76" s="198"/>
      <c r="T76" s="198"/>
      <c r="U76" s="198"/>
    </row>
    <row r="77" spans="1:21" s="12" customFormat="1" x14ac:dyDescent="0.25">
      <c r="A77" s="212" t="s">
        <v>2619</v>
      </c>
      <c r="B77" s="64">
        <v>8.73</v>
      </c>
      <c r="C77" s="64">
        <v>9.1999999999999993</v>
      </c>
      <c r="D77" s="64">
        <v>11.81</v>
      </c>
      <c r="E77" s="64">
        <v>4.57</v>
      </c>
      <c r="F77" s="64">
        <v>4.08</v>
      </c>
      <c r="G77" s="64">
        <v>49.89</v>
      </c>
      <c r="H77" s="64">
        <v>8.9600000000000009</v>
      </c>
      <c r="I77" s="64">
        <v>1.55</v>
      </c>
      <c r="J77" s="64">
        <v>0.12</v>
      </c>
      <c r="K77" s="64">
        <v>303.35000000000002</v>
      </c>
      <c r="L77" s="64">
        <v>25.45</v>
      </c>
      <c r="M77" s="64">
        <v>97.98</v>
      </c>
      <c r="N77" s="64">
        <v>96.4</v>
      </c>
      <c r="O77" s="64">
        <v>0</v>
      </c>
      <c r="P77" s="64">
        <v>0.44</v>
      </c>
      <c r="Q77" s="64">
        <v>9.58</v>
      </c>
      <c r="R77" s="198"/>
      <c r="S77" s="198"/>
      <c r="T77" s="198"/>
      <c r="U77" s="198"/>
    </row>
    <row r="78" spans="1:21" s="12" customFormat="1" x14ac:dyDescent="0.25">
      <c r="A78" s="212" t="s">
        <v>2620</v>
      </c>
      <c r="B78" s="64">
        <v>8.3800000000000008</v>
      </c>
      <c r="C78" s="64">
        <v>9.8699999999999992</v>
      </c>
      <c r="D78" s="64">
        <v>11.88</v>
      </c>
      <c r="E78" s="64">
        <v>4.29</v>
      </c>
      <c r="F78" s="64">
        <v>3.46</v>
      </c>
      <c r="G78" s="64">
        <v>49.89</v>
      </c>
      <c r="H78" s="64">
        <v>8.9600000000000009</v>
      </c>
      <c r="I78" s="64">
        <v>1.5</v>
      </c>
      <c r="J78" s="64">
        <v>0.11</v>
      </c>
      <c r="K78" s="64">
        <v>315.36</v>
      </c>
      <c r="L78" s="64">
        <v>25.56</v>
      </c>
      <c r="M78" s="64">
        <v>97.99</v>
      </c>
      <c r="N78" s="64">
        <v>82.3</v>
      </c>
      <c r="O78" s="64">
        <v>0</v>
      </c>
      <c r="P78" s="64">
        <v>0.45</v>
      </c>
      <c r="Q78" s="64">
        <v>9.6</v>
      </c>
      <c r="R78" s="198"/>
      <c r="S78" s="198"/>
      <c r="T78" s="198"/>
      <c r="U78" s="198"/>
    </row>
    <row r="79" spans="1:21" s="12" customFormat="1" x14ac:dyDescent="0.25">
      <c r="A79" s="212" t="s">
        <v>2621</v>
      </c>
      <c r="B79" s="64">
        <v>10.85</v>
      </c>
      <c r="C79" s="64">
        <v>9.98</v>
      </c>
      <c r="D79" s="64">
        <v>13.92</v>
      </c>
      <c r="E79" s="64">
        <v>4.51</v>
      </c>
      <c r="F79" s="64">
        <v>3.06</v>
      </c>
      <c r="G79" s="64">
        <v>49.89</v>
      </c>
      <c r="H79" s="64">
        <v>8.9600000000000009</v>
      </c>
      <c r="I79" s="64">
        <v>1.47</v>
      </c>
      <c r="J79" s="64">
        <v>0.14000000000000001</v>
      </c>
      <c r="K79" s="64">
        <v>299.66000000000003</v>
      </c>
      <c r="L79" s="64">
        <v>25.4</v>
      </c>
      <c r="M79" s="64">
        <v>98.01</v>
      </c>
      <c r="N79" s="64">
        <v>67.900000000000006</v>
      </c>
      <c r="O79" s="64">
        <v>0</v>
      </c>
      <c r="P79" s="64">
        <v>0.46</v>
      </c>
      <c r="Q79" s="64">
        <v>9.6</v>
      </c>
      <c r="R79" s="198"/>
      <c r="S79" s="198"/>
      <c r="T79" s="198"/>
      <c r="U79" s="198"/>
    </row>
    <row r="80" spans="1:21" s="12" customFormat="1" x14ac:dyDescent="0.25">
      <c r="A80" s="212" t="s">
        <v>2622</v>
      </c>
      <c r="B80" s="64">
        <v>9.23</v>
      </c>
      <c r="C80" s="64">
        <v>9.31</v>
      </c>
      <c r="D80" s="64">
        <v>12.27</v>
      </c>
      <c r="E80" s="64">
        <v>4.3600000000000003</v>
      </c>
      <c r="F80" s="64">
        <v>3.2</v>
      </c>
      <c r="G80" s="64">
        <v>50.81</v>
      </c>
      <c r="H80" s="64">
        <v>7.69</v>
      </c>
      <c r="I80" s="64">
        <v>1.46</v>
      </c>
      <c r="J80" s="64">
        <v>0.12</v>
      </c>
      <c r="K80" s="64">
        <v>308.64999999999998</v>
      </c>
      <c r="L80" s="64">
        <v>25.24</v>
      </c>
      <c r="M80" s="64">
        <v>97.98</v>
      </c>
      <c r="N80" s="64">
        <v>54.4</v>
      </c>
      <c r="O80" s="64">
        <v>0</v>
      </c>
      <c r="P80" s="64">
        <v>0.45</v>
      </c>
      <c r="Q80" s="64">
        <v>9.6</v>
      </c>
      <c r="R80" s="198"/>
      <c r="S80" s="198"/>
      <c r="T80" s="198"/>
      <c r="U80" s="198"/>
    </row>
    <row r="81" spans="1:26" s="12" customFormat="1" x14ac:dyDescent="0.25">
      <c r="A81" s="212" t="s">
        <v>2623</v>
      </c>
      <c r="B81" s="64">
        <v>9.16</v>
      </c>
      <c r="C81" s="64">
        <v>11.71</v>
      </c>
      <c r="D81" s="64">
        <v>13.47</v>
      </c>
      <c r="E81" s="64">
        <v>4.3099999999999996</v>
      </c>
      <c r="F81" s="64">
        <v>2.64</v>
      </c>
      <c r="G81" s="64">
        <v>51.27</v>
      </c>
      <c r="H81" s="64">
        <v>7.06</v>
      </c>
      <c r="I81" s="64">
        <v>1.45</v>
      </c>
      <c r="J81" s="64">
        <v>0.1</v>
      </c>
      <c r="K81" s="64">
        <v>299.76</v>
      </c>
      <c r="L81" s="64">
        <v>25.05</v>
      </c>
      <c r="M81" s="64">
        <v>98.02</v>
      </c>
      <c r="N81" s="64">
        <v>47.8</v>
      </c>
      <c r="O81" s="64">
        <v>0</v>
      </c>
      <c r="P81" s="64">
        <v>0.48</v>
      </c>
      <c r="Q81" s="64">
        <v>9.61</v>
      </c>
      <c r="R81" s="198"/>
      <c r="S81" s="198"/>
      <c r="T81" s="198"/>
      <c r="U81" s="198"/>
    </row>
    <row r="82" spans="1:26" s="12" customFormat="1" x14ac:dyDescent="0.25">
      <c r="A82" s="212" t="s">
        <v>2624</v>
      </c>
      <c r="B82" s="64">
        <v>9.89</v>
      </c>
      <c r="C82" s="64">
        <v>11.39</v>
      </c>
      <c r="D82" s="64">
        <v>13.88</v>
      </c>
      <c r="E82" s="64">
        <v>4.3099999999999996</v>
      </c>
      <c r="F82" s="64">
        <v>3.14</v>
      </c>
      <c r="G82" s="64">
        <v>51.27</v>
      </c>
      <c r="H82" s="64">
        <v>7.06</v>
      </c>
      <c r="I82" s="64">
        <v>1.45</v>
      </c>
      <c r="J82" s="64">
        <v>0.1</v>
      </c>
      <c r="K82" s="64">
        <v>309.56</v>
      </c>
      <c r="L82" s="64">
        <v>24.85</v>
      </c>
      <c r="M82" s="64">
        <v>98.03</v>
      </c>
      <c r="N82" s="64">
        <v>42.3</v>
      </c>
      <c r="O82" s="64">
        <v>0</v>
      </c>
      <c r="P82" s="64">
        <v>0.48</v>
      </c>
      <c r="Q82" s="64">
        <v>9.61</v>
      </c>
      <c r="R82" s="198"/>
      <c r="S82" s="198"/>
      <c r="T82" s="198"/>
      <c r="U82" s="198"/>
    </row>
    <row r="83" spans="1:26" s="12" customFormat="1" x14ac:dyDescent="0.25">
      <c r="A83" s="212" t="s">
        <v>2625</v>
      </c>
      <c r="B83" s="64">
        <v>9.8000000000000007</v>
      </c>
      <c r="C83" s="64">
        <v>11.72</v>
      </c>
      <c r="D83" s="64">
        <v>13.98</v>
      </c>
      <c r="E83" s="64">
        <v>4.79</v>
      </c>
      <c r="F83" s="64">
        <v>4.3600000000000003</v>
      </c>
      <c r="G83" s="64">
        <v>51.27</v>
      </c>
      <c r="H83" s="64">
        <v>7.06</v>
      </c>
      <c r="I83" s="64">
        <v>1.45</v>
      </c>
      <c r="J83" s="64">
        <v>0.06</v>
      </c>
      <c r="K83" s="64">
        <v>306.97000000000003</v>
      </c>
      <c r="L83" s="64">
        <v>24.73</v>
      </c>
      <c r="M83" s="64">
        <v>98.03</v>
      </c>
      <c r="N83" s="64">
        <v>40.1</v>
      </c>
      <c r="O83" s="64">
        <v>0</v>
      </c>
      <c r="P83" s="64">
        <v>0.51</v>
      </c>
      <c r="Q83" s="64">
        <v>9.61</v>
      </c>
      <c r="R83" s="198"/>
      <c r="S83" s="198"/>
      <c r="T83" s="198"/>
      <c r="U83" s="198"/>
    </row>
    <row r="84" spans="1:26" s="12" customFormat="1" x14ac:dyDescent="0.25">
      <c r="A84" s="212" t="s">
        <v>2626</v>
      </c>
      <c r="B84" s="64">
        <v>8.85</v>
      </c>
      <c r="C84" s="64">
        <v>10.88</v>
      </c>
      <c r="D84" s="64">
        <v>12.78</v>
      </c>
      <c r="E84" s="64">
        <v>4.74</v>
      </c>
      <c r="F84" s="64">
        <v>2.5299999999999998</v>
      </c>
      <c r="G84" s="64">
        <v>52.07</v>
      </c>
      <c r="H84" s="64">
        <v>6.19</v>
      </c>
      <c r="I84" s="64">
        <v>1.46</v>
      </c>
      <c r="J84" s="64">
        <v>0.1</v>
      </c>
      <c r="K84" s="64">
        <v>330.93</v>
      </c>
      <c r="L84" s="64">
        <v>24.65</v>
      </c>
      <c r="M84" s="64">
        <v>98.03</v>
      </c>
      <c r="N84" s="64">
        <v>40</v>
      </c>
      <c r="O84" s="64">
        <v>0</v>
      </c>
      <c r="P84" s="64">
        <v>0.5</v>
      </c>
      <c r="Q84" s="64">
        <v>9.6199999999999992</v>
      </c>
      <c r="R84" s="198"/>
      <c r="S84" s="198"/>
      <c r="T84" s="198"/>
      <c r="U84" s="198"/>
    </row>
    <row r="85" spans="1:26" s="12" customFormat="1" x14ac:dyDescent="0.25">
      <c r="A85" s="212" t="s">
        <v>2627</v>
      </c>
      <c r="B85" s="64">
        <v>10.220000000000001</v>
      </c>
      <c r="C85" s="64">
        <v>9.2899999999999991</v>
      </c>
      <c r="D85" s="64">
        <v>13.05</v>
      </c>
      <c r="E85" s="64">
        <v>4.7300000000000004</v>
      </c>
      <c r="F85" s="64">
        <v>2.3199999999999998</v>
      </c>
      <c r="G85" s="64">
        <v>52.48</v>
      </c>
      <c r="H85" s="64">
        <v>5.73</v>
      </c>
      <c r="I85" s="64">
        <v>1.48</v>
      </c>
      <c r="J85" s="64">
        <v>0.03</v>
      </c>
      <c r="K85" s="64">
        <v>284</v>
      </c>
      <c r="L85" s="64">
        <v>24.54</v>
      </c>
      <c r="M85" s="64">
        <v>98.06</v>
      </c>
      <c r="N85" s="64">
        <v>40</v>
      </c>
      <c r="O85" s="64">
        <v>0</v>
      </c>
      <c r="P85" s="64">
        <v>0.56000000000000005</v>
      </c>
      <c r="Q85" s="64">
        <v>9.61</v>
      </c>
      <c r="R85" s="198"/>
      <c r="S85" s="198"/>
      <c r="T85" s="198"/>
      <c r="U85" s="198"/>
    </row>
    <row r="86" spans="1:26" s="12" customFormat="1" x14ac:dyDescent="0.25">
      <c r="A86" s="212" t="s">
        <v>2628</v>
      </c>
      <c r="B86" s="64">
        <v>12.03</v>
      </c>
      <c r="C86" s="64">
        <v>11.23</v>
      </c>
      <c r="D86" s="64">
        <v>15.52</v>
      </c>
      <c r="E86" s="64">
        <v>4.32</v>
      </c>
      <c r="F86" s="64">
        <v>3.38</v>
      </c>
      <c r="G86" s="64">
        <v>52.48</v>
      </c>
      <c r="H86" s="64">
        <v>5.73</v>
      </c>
      <c r="I86" s="64">
        <v>1.48</v>
      </c>
      <c r="J86" s="64">
        <v>0.05</v>
      </c>
      <c r="K86" s="64">
        <v>258.36</v>
      </c>
      <c r="L86" s="64">
        <v>24.49</v>
      </c>
      <c r="M86" s="64">
        <v>98.05</v>
      </c>
      <c r="N86" s="64">
        <v>40</v>
      </c>
      <c r="O86" s="64">
        <v>0</v>
      </c>
      <c r="P86" s="64">
        <v>0.56000000000000005</v>
      </c>
      <c r="Q86" s="64">
        <v>9.61</v>
      </c>
      <c r="R86" s="198"/>
      <c r="S86" s="198"/>
      <c r="T86" s="198"/>
      <c r="U86" s="198"/>
    </row>
    <row r="87" spans="1:26" s="12" customFormat="1" x14ac:dyDescent="0.25">
      <c r="A87" s="212" t="s">
        <v>2629</v>
      </c>
      <c r="B87" s="64">
        <v>10.06</v>
      </c>
      <c r="C87" s="64">
        <v>7.98</v>
      </c>
      <c r="D87" s="64">
        <v>12.24</v>
      </c>
      <c r="E87" s="64">
        <v>4.25</v>
      </c>
      <c r="F87" s="64">
        <v>2.91</v>
      </c>
      <c r="G87" s="64">
        <v>52.48</v>
      </c>
      <c r="H87" s="64">
        <v>5.73</v>
      </c>
      <c r="I87" s="64">
        <v>1.55</v>
      </c>
      <c r="J87" s="64">
        <v>0.01</v>
      </c>
      <c r="K87" s="64">
        <v>266.35000000000002</v>
      </c>
      <c r="L87" s="64">
        <v>24.46</v>
      </c>
      <c r="M87" s="64">
        <v>98.07</v>
      </c>
      <c r="N87" s="64">
        <v>40</v>
      </c>
      <c r="O87" s="64">
        <v>0</v>
      </c>
      <c r="P87" s="64">
        <v>0.5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12" t="s">
        <v>2630</v>
      </c>
      <c r="B88" s="64">
        <v>7.57</v>
      </c>
      <c r="C88" s="64">
        <v>10.94</v>
      </c>
      <c r="D88" s="64">
        <v>11.78</v>
      </c>
      <c r="E88" s="64">
        <v>4.3899999999999997</v>
      </c>
      <c r="F88" s="64">
        <v>5.58</v>
      </c>
      <c r="G88" s="64">
        <v>50.24</v>
      </c>
      <c r="H88" s="64">
        <v>5.42</v>
      </c>
      <c r="I88" s="64">
        <v>1.54</v>
      </c>
      <c r="J88" s="64">
        <v>0.09</v>
      </c>
      <c r="K88" s="64">
        <v>191.23</v>
      </c>
      <c r="L88" s="64">
        <v>24.35</v>
      </c>
      <c r="M88" s="64">
        <v>98.08</v>
      </c>
      <c r="N88" s="64">
        <v>40</v>
      </c>
      <c r="O88" s="64">
        <v>0</v>
      </c>
      <c r="P88" s="64">
        <v>0.46</v>
      </c>
      <c r="Q88" s="64">
        <v>9.6199999999999992</v>
      </c>
      <c r="R88" s="198"/>
      <c r="S88" s="198"/>
      <c r="T88" s="198"/>
      <c r="U88" s="198"/>
    </row>
    <row r="89" spans="1:26" s="12" customFormat="1" x14ac:dyDescent="0.25">
      <c r="A89" s="212" t="s">
        <v>2631</v>
      </c>
      <c r="B89" s="64">
        <v>8.8800000000000008</v>
      </c>
      <c r="C89" s="64">
        <v>9.41</v>
      </c>
      <c r="D89" s="64">
        <v>12.03</v>
      </c>
      <c r="E89" s="64">
        <v>4.3</v>
      </c>
      <c r="F89" s="64">
        <v>2.87</v>
      </c>
      <c r="G89" s="64">
        <v>49.12</v>
      </c>
      <c r="H89" s="64">
        <v>5.26</v>
      </c>
      <c r="I89" s="64">
        <v>1.48</v>
      </c>
      <c r="J89" s="64">
        <v>0.18</v>
      </c>
      <c r="K89" s="64">
        <v>133.91</v>
      </c>
      <c r="L89" s="64">
        <v>24.18</v>
      </c>
      <c r="M89" s="64">
        <v>98.1</v>
      </c>
      <c r="N89" s="64">
        <v>39.9</v>
      </c>
      <c r="O89" s="64">
        <v>0</v>
      </c>
      <c r="P89" s="64">
        <v>0.49</v>
      </c>
      <c r="Q89" s="64">
        <v>9.6300000000000008</v>
      </c>
      <c r="R89" s="198"/>
      <c r="S89" s="198"/>
      <c r="T89" s="198"/>
      <c r="U89" s="198"/>
    </row>
    <row r="90" spans="1:26" s="12" customFormat="1" x14ac:dyDescent="0.25">
      <c r="A90" s="212" t="s">
        <v>2632</v>
      </c>
      <c r="B90" s="64">
        <v>9.6300000000000008</v>
      </c>
      <c r="C90" s="64">
        <v>10.16</v>
      </c>
      <c r="D90" s="64">
        <v>13.04</v>
      </c>
      <c r="E90" s="64">
        <v>4.3600000000000003</v>
      </c>
      <c r="F90" s="64">
        <v>3.78</v>
      </c>
      <c r="G90" s="64">
        <v>49.12</v>
      </c>
      <c r="H90" s="64">
        <v>5.26</v>
      </c>
      <c r="I90" s="64">
        <v>1.48</v>
      </c>
      <c r="J90" s="64">
        <v>0.01</v>
      </c>
      <c r="K90" s="64">
        <v>129.21</v>
      </c>
      <c r="L90" s="64">
        <v>24.08</v>
      </c>
      <c r="M90" s="64">
        <v>98.1</v>
      </c>
      <c r="N90" s="64">
        <v>39.799999999999997</v>
      </c>
      <c r="O90" s="64">
        <v>0</v>
      </c>
      <c r="P90" s="64">
        <v>0.46</v>
      </c>
      <c r="Q90" s="64">
        <v>9.6199999999999992</v>
      </c>
      <c r="R90" s="198"/>
      <c r="S90" s="198"/>
      <c r="T90" s="198"/>
      <c r="U90" s="198"/>
    </row>
    <row r="91" spans="1:26" s="12" customFormat="1" x14ac:dyDescent="0.25">
      <c r="A91" s="212" t="s">
        <v>2633</v>
      </c>
      <c r="B91" s="64">
        <v>13.02</v>
      </c>
      <c r="C91" s="64">
        <v>8.69</v>
      </c>
      <c r="D91" s="64">
        <v>14.98</v>
      </c>
      <c r="E91" s="64">
        <v>4.5599999999999996</v>
      </c>
      <c r="F91" s="64">
        <v>3.95</v>
      </c>
      <c r="G91" s="64">
        <v>49.12</v>
      </c>
      <c r="H91" s="64">
        <v>5.26</v>
      </c>
      <c r="I91" s="64">
        <v>1.47</v>
      </c>
      <c r="J91" s="64">
        <v>0.06</v>
      </c>
      <c r="K91" s="64">
        <v>299.77</v>
      </c>
      <c r="L91" s="64">
        <v>24.01</v>
      </c>
      <c r="M91" s="64">
        <v>98.1</v>
      </c>
      <c r="N91" s="64">
        <v>39.799999999999997</v>
      </c>
      <c r="O91" s="64">
        <v>0</v>
      </c>
      <c r="P91" s="64">
        <v>0.51</v>
      </c>
      <c r="Q91" s="64">
        <v>9.6300000000000008</v>
      </c>
      <c r="R91" s="198"/>
      <c r="S91" s="198"/>
      <c r="T91" s="198"/>
      <c r="U91" s="198"/>
    </row>
    <row r="92" spans="1:26" s="12" customFormat="1" x14ac:dyDescent="0.25">
      <c r="A92" s="212" t="s">
        <v>2634</v>
      </c>
      <c r="B92" s="64">
        <v>9.56</v>
      </c>
      <c r="C92" s="64">
        <v>9.56</v>
      </c>
      <c r="D92" s="64">
        <v>12.66</v>
      </c>
      <c r="E92" s="64">
        <v>4.63</v>
      </c>
      <c r="F92" s="64">
        <v>4.6100000000000003</v>
      </c>
      <c r="G92" s="64">
        <v>48.14</v>
      </c>
      <c r="H92" s="64">
        <v>4.33</v>
      </c>
      <c r="I92" s="64">
        <v>1.47</v>
      </c>
      <c r="J92" s="64">
        <v>0.03</v>
      </c>
      <c r="K92" s="64">
        <v>281.93</v>
      </c>
      <c r="L92" s="64">
        <v>24.01</v>
      </c>
      <c r="M92" s="64">
        <v>98.1</v>
      </c>
      <c r="N92" s="64">
        <v>39.700000000000003</v>
      </c>
      <c r="O92" s="64">
        <v>0</v>
      </c>
      <c r="P92" s="64">
        <v>0.46</v>
      </c>
      <c r="Q92" s="64">
        <v>9.6300000000000008</v>
      </c>
      <c r="R92" s="198"/>
      <c r="S92" s="198"/>
      <c r="T92" s="198"/>
      <c r="U92" s="198"/>
    </row>
    <row r="93" spans="1:26" s="12" customFormat="1" x14ac:dyDescent="0.25">
      <c r="A93" s="212" t="s">
        <v>2635</v>
      </c>
      <c r="B93" s="64">
        <v>10.16</v>
      </c>
      <c r="C93" s="64">
        <v>8.57</v>
      </c>
      <c r="D93" s="64">
        <v>12.62</v>
      </c>
      <c r="E93" s="64">
        <v>4.6399999999999997</v>
      </c>
      <c r="F93" s="64">
        <v>2.58</v>
      </c>
      <c r="G93" s="64">
        <v>47.66</v>
      </c>
      <c r="H93" s="64">
        <v>3.87</v>
      </c>
      <c r="I93" s="64">
        <v>1.45</v>
      </c>
      <c r="J93" s="64">
        <v>0.06</v>
      </c>
      <c r="K93" s="64">
        <v>311.05</v>
      </c>
      <c r="L93" s="64">
        <v>23.97</v>
      </c>
      <c r="M93" s="64">
        <v>98.1</v>
      </c>
      <c r="N93" s="64">
        <v>39.700000000000003</v>
      </c>
      <c r="O93" s="64">
        <v>0</v>
      </c>
      <c r="P93" s="64">
        <v>0.48</v>
      </c>
      <c r="Q93" s="64">
        <v>9.6300000000000008</v>
      </c>
      <c r="R93" s="198"/>
      <c r="S93" s="198"/>
      <c r="T93" s="198"/>
      <c r="U93" s="198"/>
    </row>
    <row r="94" spans="1:26" s="12" customFormat="1" x14ac:dyDescent="0.25">
      <c r="A94" s="212" t="s">
        <v>2636</v>
      </c>
      <c r="B94" s="64">
        <v>13.43</v>
      </c>
      <c r="C94" s="64">
        <v>9.33</v>
      </c>
      <c r="D94" s="64">
        <v>15.65</v>
      </c>
      <c r="E94" s="64">
        <v>4.6399999999999997</v>
      </c>
      <c r="F94" s="64">
        <v>2.91</v>
      </c>
      <c r="G94" s="64">
        <v>47.66</v>
      </c>
      <c r="H94" s="64">
        <v>3.87</v>
      </c>
      <c r="I94" s="64">
        <v>1.43</v>
      </c>
      <c r="J94" s="64">
        <v>0.04</v>
      </c>
      <c r="K94" s="64">
        <v>306</v>
      </c>
      <c r="L94" s="64">
        <v>23.95</v>
      </c>
      <c r="M94" s="64">
        <v>98.11</v>
      </c>
      <c r="N94" s="64">
        <v>39.6</v>
      </c>
      <c r="O94" s="64">
        <v>0</v>
      </c>
      <c r="P94" s="64">
        <v>0.54</v>
      </c>
      <c r="Q94" s="64">
        <v>9.6199999999999992</v>
      </c>
      <c r="R94" s="198"/>
      <c r="S94" s="198"/>
      <c r="T94" s="198"/>
      <c r="U94" s="198"/>
    </row>
    <row r="95" spans="1:26" s="12" customFormat="1" x14ac:dyDescent="0.25">
      <c r="A95" s="212" t="s">
        <v>2637</v>
      </c>
      <c r="B95" s="64">
        <v>9.9700000000000006</v>
      </c>
      <c r="C95" s="64">
        <v>10.220000000000001</v>
      </c>
      <c r="D95" s="64">
        <v>13.34</v>
      </c>
      <c r="E95" s="64">
        <v>4.8600000000000003</v>
      </c>
      <c r="F95" s="64">
        <v>4.8099999999999996</v>
      </c>
      <c r="G95" s="64">
        <v>47.66</v>
      </c>
      <c r="H95" s="64">
        <v>3.87</v>
      </c>
      <c r="I95" s="64">
        <v>1.42</v>
      </c>
      <c r="J95" s="64">
        <v>0.05</v>
      </c>
      <c r="K95" s="64">
        <v>293.89999999999998</v>
      </c>
      <c r="L95" s="64">
        <v>23.87</v>
      </c>
      <c r="M95" s="64">
        <v>98.1</v>
      </c>
      <c r="N95" s="64">
        <v>39.799999999999997</v>
      </c>
      <c r="O95" s="64">
        <v>0</v>
      </c>
      <c r="P95" s="64">
        <v>0.47</v>
      </c>
      <c r="Q95" s="64">
        <v>9.6300000000000008</v>
      </c>
      <c r="R95" s="198"/>
      <c r="S95" s="198"/>
      <c r="T95" s="198"/>
      <c r="U95" s="198"/>
    </row>
    <row r="96" spans="1:26" s="12" customFormat="1" x14ac:dyDescent="0.25">
      <c r="A96" s="212" t="s">
        <v>2638</v>
      </c>
      <c r="B96" s="64">
        <v>8.6199999999999992</v>
      </c>
      <c r="C96" s="64">
        <v>9.65</v>
      </c>
      <c r="D96" s="64">
        <v>11.96</v>
      </c>
      <c r="E96" s="64">
        <v>4.5599999999999996</v>
      </c>
      <c r="F96" s="64">
        <v>4.12</v>
      </c>
      <c r="G96" s="64">
        <v>49.79</v>
      </c>
      <c r="H96" s="64">
        <v>5.53</v>
      </c>
      <c r="I96" s="64">
        <v>1.43</v>
      </c>
      <c r="J96" s="64">
        <v>0.06</v>
      </c>
      <c r="K96" s="64">
        <v>268.36</v>
      </c>
      <c r="L96" s="64">
        <v>23.76</v>
      </c>
      <c r="M96" s="64">
        <v>98.12</v>
      </c>
      <c r="N96" s="64">
        <v>39.799999999999997</v>
      </c>
      <c r="O96" s="64">
        <v>0</v>
      </c>
      <c r="P96" s="64">
        <v>0.42</v>
      </c>
      <c r="Q96" s="64">
        <v>9.6199999999999992</v>
      </c>
      <c r="R96" s="198"/>
      <c r="S96" s="198"/>
      <c r="T96" s="198"/>
      <c r="U96" s="198"/>
      <c r="Z96" s="109"/>
    </row>
    <row r="97" spans="1:33" s="12" customFormat="1" x14ac:dyDescent="0.25">
      <c r="A97" s="212" t="s">
        <v>2639</v>
      </c>
      <c r="B97" s="64">
        <v>9.81</v>
      </c>
      <c r="C97" s="64">
        <v>8.8699999999999992</v>
      </c>
      <c r="D97" s="64">
        <v>12.5</v>
      </c>
      <c r="E97" s="64">
        <v>4.6900000000000004</v>
      </c>
      <c r="F97" s="64">
        <v>3.07</v>
      </c>
      <c r="G97" s="64">
        <v>50.85</v>
      </c>
      <c r="H97" s="64">
        <v>6.37</v>
      </c>
      <c r="I97" s="64">
        <v>1.44</v>
      </c>
      <c r="J97" s="64">
        <v>7.0000000000000007E-2</v>
      </c>
      <c r="K97" s="64">
        <v>301.08999999999997</v>
      </c>
      <c r="L97" s="64">
        <v>23.69</v>
      </c>
      <c r="M97" s="64">
        <v>98.13</v>
      </c>
      <c r="N97" s="64">
        <v>39.6</v>
      </c>
      <c r="O97" s="64">
        <v>0</v>
      </c>
      <c r="P97" s="64">
        <v>0.49</v>
      </c>
      <c r="Q97" s="64">
        <v>9.61</v>
      </c>
      <c r="R97" s="198"/>
      <c r="S97" s="198"/>
      <c r="T97" s="198"/>
      <c r="U97" s="198"/>
    </row>
    <row r="98" spans="1:33" s="12" customFormat="1" x14ac:dyDescent="0.25">
      <c r="A98" s="212" t="s">
        <v>2640</v>
      </c>
      <c r="B98" s="64">
        <v>12.57</v>
      </c>
      <c r="C98" s="64">
        <v>9.85</v>
      </c>
      <c r="D98" s="64">
        <v>15.23</v>
      </c>
      <c r="E98" s="64">
        <v>4.7699999999999996</v>
      </c>
      <c r="F98" s="64">
        <v>3.34</v>
      </c>
      <c r="G98" s="64">
        <v>50.85</v>
      </c>
      <c r="H98" s="64">
        <v>6.37</v>
      </c>
      <c r="I98" s="64">
        <v>1.44</v>
      </c>
      <c r="J98" s="64">
        <v>0.06</v>
      </c>
      <c r="K98" s="64">
        <v>307.2</v>
      </c>
      <c r="L98" s="64">
        <v>23.62</v>
      </c>
      <c r="M98" s="64">
        <v>98.13</v>
      </c>
      <c r="N98" s="64">
        <v>39.700000000000003</v>
      </c>
      <c r="O98" s="64">
        <v>0</v>
      </c>
      <c r="P98" s="64">
        <v>0.5</v>
      </c>
      <c r="Q98" s="64">
        <v>9.6300000000000008</v>
      </c>
      <c r="R98" s="198"/>
      <c r="S98" s="198"/>
      <c r="T98" s="198"/>
      <c r="U98" s="198"/>
    </row>
    <row r="99" spans="1:33" s="12" customFormat="1" x14ac:dyDescent="0.25">
      <c r="A99" s="212" t="s">
        <v>2641</v>
      </c>
      <c r="B99" s="64">
        <v>11.93</v>
      </c>
      <c r="C99" s="64">
        <v>9.2799999999999994</v>
      </c>
      <c r="D99" s="64">
        <v>14.41</v>
      </c>
      <c r="E99" s="64">
        <v>4.82</v>
      </c>
      <c r="F99" s="64">
        <v>3.29</v>
      </c>
      <c r="G99" s="64">
        <v>50.85</v>
      </c>
      <c r="H99" s="64">
        <v>6.37</v>
      </c>
      <c r="I99" s="64">
        <v>1.44</v>
      </c>
      <c r="J99" s="64">
        <v>0.06</v>
      </c>
      <c r="K99" s="64">
        <v>303.68</v>
      </c>
      <c r="L99" s="64">
        <v>23.54</v>
      </c>
      <c r="M99" s="64">
        <v>98.13</v>
      </c>
      <c r="N99" s="64">
        <v>39.6</v>
      </c>
      <c r="O99" s="64">
        <v>0</v>
      </c>
      <c r="P99" s="64">
        <v>0.46</v>
      </c>
      <c r="Q99" s="64">
        <v>9.64</v>
      </c>
      <c r="R99" s="198"/>
      <c r="S99" s="198"/>
      <c r="T99" s="198"/>
      <c r="U99" s="198"/>
    </row>
    <row r="100" spans="1:33" s="12" customFormat="1" x14ac:dyDescent="0.25">
      <c r="A100" s="212" t="s">
        <v>2642</v>
      </c>
      <c r="B100" s="64">
        <v>10.27</v>
      </c>
      <c r="C100" s="64">
        <v>9.0500000000000007</v>
      </c>
      <c r="D100" s="64">
        <v>12.96</v>
      </c>
      <c r="E100" s="64">
        <v>4.4800000000000004</v>
      </c>
      <c r="F100" s="64">
        <v>4.13</v>
      </c>
      <c r="G100" s="64">
        <v>50.07</v>
      </c>
      <c r="H100" s="64">
        <v>5.37</v>
      </c>
      <c r="I100" s="64">
        <v>1.44</v>
      </c>
      <c r="J100" s="64">
        <v>0.02</v>
      </c>
      <c r="K100" s="64">
        <v>314.73</v>
      </c>
      <c r="L100" s="64">
        <v>23.47</v>
      </c>
      <c r="M100" s="64">
        <v>98.13</v>
      </c>
      <c r="N100" s="64">
        <v>39.6</v>
      </c>
      <c r="O100" s="64">
        <v>0</v>
      </c>
      <c r="P100" s="64">
        <v>0.41</v>
      </c>
      <c r="Q100" s="64">
        <v>9.6300000000000008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2" t="s">
        <v>2643</v>
      </c>
      <c r="B101" s="64">
        <v>10.3</v>
      </c>
      <c r="C101" s="64">
        <v>7.91</v>
      </c>
      <c r="D101" s="64">
        <v>12.39</v>
      </c>
      <c r="E101" s="64">
        <v>4.55</v>
      </c>
      <c r="F101" s="64">
        <v>4.24</v>
      </c>
      <c r="G101" s="64">
        <v>49.68</v>
      </c>
      <c r="H101" s="64">
        <v>4.88</v>
      </c>
      <c r="I101" s="64">
        <v>1.52</v>
      </c>
      <c r="J101" s="64">
        <v>0.06</v>
      </c>
      <c r="K101" s="64">
        <v>287.35000000000002</v>
      </c>
      <c r="L101" s="64">
        <v>23.38</v>
      </c>
      <c r="M101" s="64">
        <v>98.13</v>
      </c>
      <c r="N101" s="64">
        <v>39.6</v>
      </c>
      <c r="O101" s="64">
        <v>0</v>
      </c>
      <c r="P101" s="64">
        <v>0.43</v>
      </c>
      <c r="Q101" s="64">
        <v>9.6300000000000008</v>
      </c>
      <c r="R101" s="198"/>
      <c r="S101" s="198"/>
      <c r="T101" s="198"/>
      <c r="U101" s="198"/>
    </row>
    <row r="102" spans="1:33" s="12" customFormat="1" x14ac:dyDescent="0.25">
      <c r="A102" s="212" t="s">
        <v>2644</v>
      </c>
      <c r="B102" s="64">
        <v>12.93</v>
      </c>
      <c r="C102" s="64">
        <v>6.02</v>
      </c>
      <c r="D102" s="64">
        <v>13.51</v>
      </c>
      <c r="E102" s="64">
        <v>4.97</v>
      </c>
      <c r="F102" s="64">
        <v>2.75</v>
      </c>
      <c r="G102" s="64">
        <v>49.68</v>
      </c>
      <c r="H102" s="64">
        <v>4.88</v>
      </c>
      <c r="I102" s="64">
        <v>1.49</v>
      </c>
      <c r="J102" s="64">
        <v>7.0000000000000007E-2</v>
      </c>
      <c r="K102" s="64">
        <v>322.49</v>
      </c>
      <c r="L102" s="64">
        <v>23.4</v>
      </c>
      <c r="M102" s="64">
        <v>98.13</v>
      </c>
      <c r="N102" s="64">
        <v>39.6</v>
      </c>
      <c r="O102" s="64">
        <v>0</v>
      </c>
      <c r="P102" s="64">
        <v>0.49</v>
      </c>
      <c r="Q102" s="64">
        <v>9.64</v>
      </c>
      <c r="R102" s="198"/>
      <c r="S102" s="198"/>
      <c r="T102" s="198"/>
      <c r="U102" s="198"/>
    </row>
    <row r="103" spans="1:33" s="12" customFormat="1" x14ac:dyDescent="0.25">
      <c r="A103" s="212" t="s">
        <v>2645</v>
      </c>
      <c r="B103" s="64">
        <v>10.93</v>
      </c>
      <c r="C103" s="64">
        <v>6.09</v>
      </c>
      <c r="D103" s="64">
        <v>11.95</v>
      </c>
      <c r="E103" s="64">
        <v>4.6900000000000004</v>
      </c>
      <c r="F103" s="64">
        <v>3.25</v>
      </c>
      <c r="G103" s="64">
        <v>49.68</v>
      </c>
      <c r="H103" s="64">
        <v>4.88</v>
      </c>
      <c r="I103" s="64">
        <v>1.41</v>
      </c>
      <c r="J103" s="64">
        <v>7.0000000000000007E-2</v>
      </c>
      <c r="K103" s="64">
        <v>310.25</v>
      </c>
      <c r="L103" s="64">
        <v>23.34</v>
      </c>
      <c r="M103" s="64">
        <v>98.14</v>
      </c>
      <c r="N103" s="64">
        <v>39.6</v>
      </c>
      <c r="O103" s="64">
        <v>0</v>
      </c>
      <c r="P103" s="64">
        <v>0.4</v>
      </c>
      <c r="Q103" s="64">
        <v>9.6300000000000008</v>
      </c>
      <c r="R103" s="198"/>
      <c r="S103" s="198"/>
      <c r="T103" s="198"/>
      <c r="U103" s="198"/>
    </row>
    <row r="104" spans="1:33" s="12" customFormat="1" x14ac:dyDescent="0.25">
      <c r="A104" s="212" t="s">
        <v>2646</v>
      </c>
      <c r="B104" s="64">
        <v>10.65</v>
      </c>
      <c r="C104" s="64">
        <v>6.46</v>
      </c>
      <c r="D104" s="64">
        <v>11.91</v>
      </c>
      <c r="E104" s="64">
        <v>4.84</v>
      </c>
      <c r="F104" s="64">
        <v>3.04</v>
      </c>
      <c r="G104" s="64">
        <v>45.41</v>
      </c>
      <c r="H104" s="64">
        <v>4.6399999999999997</v>
      </c>
      <c r="I104" s="64">
        <v>1.37</v>
      </c>
      <c r="J104" s="64">
        <v>0.04</v>
      </c>
      <c r="K104" s="64">
        <v>295.23</v>
      </c>
      <c r="L104" s="64">
        <v>23.27</v>
      </c>
      <c r="M104" s="64">
        <v>98.13</v>
      </c>
      <c r="N104" s="64">
        <v>39.6</v>
      </c>
      <c r="O104" s="64">
        <v>0</v>
      </c>
      <c r="P104" s="64">
        <v>0.41</v>
      </c>
      <c r="Q104" s="64">
        <v>9.64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6.13</v>
      </c>
      <c r="C106" s="67">
        <f>MIN(C9:C104)</f>
        <v>5.49</v>
      </c>
      <c r="D106" s="67">
        <f t="shared" ref="D106:Q106" si="0">MIN(D9:D104)</f>
        <v>8.2899999999999991</v>
      </c>
      <c r="E106" s="67">
        <f t="shared" si="0"/>
        <v>3.78</v>
      </c>
      <c r="F106" s="67">
        <f t="shared" si="0"/>
        <v>2.1</v>
      </c>
      <c r="G106" s="67">
        <f t="shared" si="0"/>
        <v>14.07</v>
      </c>
      <c r="H106" s="67">
        <f t="shared" si="0"/>
        <v>3.32</v>
      </c>
      <c r="I106" s="67">
        <f t="shared" si="0"/>
        <v>0.64</v>
      </c>
      <c r="J106" s="67">
        <f t="shared" si="0"/>
        <v>0</v>
      </c>
      <c r="K106" s="67">
        <f t="shared" si="0"/>
        <v>114.41</v>
      </c>
      <c r="L106" s="67">
        <f t="shared" si="0"/>
        <v>22.78</v>
      </c>
      <c r="M106" s="67">
        <f t="shared" si="0"/>
        <v>85.13</v>
      </c>
      <c r="N106" s="67">
        <f t="shared" si="0"/>
        <v>39.6</v>
      </c>
      <c r="O106" s="67">
        <f t="shared" si="0"/>
        <v>0</v>
      </c>
      <c r="P106" s="67">
        <f t="shared" si="0"/>
        <v>0.18</v>
      </c>
      <c r="Q106" s="67">
        <f t="shared" si="0"/>
        <v>9.49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13.43</v>
      </c>
      <c r="C107" s="66">
        <f t="shared" ref="C107:Q107" si="1">MAX(C9:C104)</f>
        <v>13.6</v>
      </c>
      <c r="D107" s="66">
        <f t="shared" si="1"/>
        <v>15.65</v>
      </c>
      <c r="E107" s="66">
        <f t="shared" si="1"/>
        <v>6.29</v>
      </c>
      <c r="F107" s="66">
        <f t="shared" si="1"/>
        <v>5.68</v>
      </c>
      <c r="G107" s="66">
        <f t="shared" si="1"/>
        <v>55.64</v>
      </c>
      <c r="H107" s="66">
        <f t="shared" si="1"/>
        <v>11.96</v>
      </c>
      <c r="I107" s="66">
        <f t="shared" si="1"/>
        <v>2.2799999999999998</v>
      </c>
      <c r="J107" s="66">
        <f t="shared" si="1"/>
        <v>0.31</v>
      </c>
      <c r="K107" s="66">
        <f t="shared" si="1"/>
        <v>330.93</v>
      </c>
      <c r="L107" s="66">
        <f t="shared" si="1"/>
        <v>27.85</v>
      </c>
      <c r="M107" s="66">
        <f t="shared" si="1"/>
        <v>98.14</v>
      </c>
      <c r="N107" s="66">
        <f t="shared" si="1"/>
        <v>662.4</v>
      </c>
      <c r="O107" s="66">
        <f t="shared" si="1"/>
        <v>0</v>
      </c>
      <c r="P107" s="66">
        <f t="shared" si="1"/>
        <v>0.56000000000000005</v>
      </c>
      <c r="Q107" s="66">
        <f t="shared" si="1"/>
        <v>9.64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8.4732291666666626</v>
      </c>
      <c r="C108" s="67">
        <f t="shared" ref="C108:Q108" si="2">AVERAGE(C9:C104)</f>
        <v>8.7017708333333363</v>
      </c>
      <c r="D108" s="67">
        <f t="shared" si="2"/>
        <v>11.341354166666669</v>
      </c>
      <c r="E108" s="67">
        <f t="shared" si="2"/>
        <v>4.911666666666668</v>
      </c>
      <c r="F108" s="67">
        <f t="shared" si="2"/>
        <v>2.9049999999999998</v>
      </c>
      <c r="G108" s="67">
        <f t="shared" si="2"/>
        <v>36.323958333333309</v>
      </c>
      <c r="H108" s="67">
        <f t="shared" si="2"/>
        <v>6.2043749999999998</v>
      </c>
      <c r="I108" s="67">
        <f t="shared" si="2"/>
        <v>1.2376041666666668</v>
      </c>
      <c r="J108" s="67">
        <f t="shared" si="2"/>
        <v>0.12927083333333336</v>
      </c>
      <c r="K108" s="67">
        <f t="shared" si="2"/>
        <v>283.21083333333337</v>
      </c>
      <c r="L108" s="67">
        <f t="shared" si="2"/>
        <v>24.766249999999996</v>
      </c>
      <c r="M108" s="67">
        <f t="shared" si="2"/>
        <v>95.729999999999947</v>
      </c>
      <c r="N108" s="67">
        <f t="shared" si="2"/>
        <v>146.47083333333333</v>
      </c>
      <c r="O108" s="67">
        <f t="shared" si="2"/>
        <v>0</v>
      </c>
      <c r="P108" s="67">
        <f t="shared" si="2"/>
        <v>0.36114583333333333</v>
      </c>
      <c r="Q108" s="67">
        <f t="shared" si="2"/>
        <v>9.5750000000000028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1.5887270606512869</v>
      </c>
      <c r="C109" s="67">
        <f t="shared" ref="C109:Q109" si="3">STDEV(C9:C104)</f>
        <v>2.2263498541886033</v>
      </c>
      <c r="D109" s="67">
        <f t="shared" si="3"/>
        <v>1.8428294148382114</v>
      </c>
      <c r="E109" s="67">
        <f t="shared" si="3"/>
        <v>0.77392596771832889</v>
      </c>
      <c r="F109" s="67">
        <f t="shared" si="3"/>
        <v>0.84641410793137406</v>
      </c>
      <c r="G109" s="67">
        <f t="shared" si="3"/>
        <v>15.45301247954535</v>
      </c>
      <c r="H109" s="67">
        <f t="shared" si="3"/>
        <v>2.4860782104393002</v>
      </c>
      <c r="I109" s="67">
        <f t="shared" si="3"/>
        <v>0.48257368085727725</v>
      </c>
      <c r="J109" s="67">
        <f t="shared" si="3"/>
        <v>8.1747297288871229E-2</v>
      </c>
      <c r="K109" s="67">
        <f t="shared" si="3"/>
        <v>45.045953160526324</v>
      </c>
      <c r="L109" s="67">
        <f t="shared" si="3"/>
        <v>1.7130651199715548</v>
      </c>
      <c r="M109" s="67">
        <f t="shared" si="3"/>
        <v>3.8112398866621073</v>
      </c>
      <c r="N109" s="67">
        <f t="shared" si="3"/>
        <v>156.15191383067474</v>
      </c>
      <c r="O109" s="67">
        <f t="shared" si="3"/>
        <v>0</v>
      </c>
      <c r="P109" s="67">
        <f t="shared" si="3"/>
        <v>0.13008393882547881</v>
      </c>
      <c r="Q109" s="67">
        <f t="shared" si="3"/>
        <v>3.8824842833585768E-2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216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26/08/2025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2" t="s">
        <v>2647</v>
      </c>
      <c r="B9" s="64">
        <v>9.7799999999999994</v>
      </c>
      <c r="C9" s="64">
        <v>7.01</v>
      </c>
      <c r="D9" s="64">
        <v>11.5</v>
      </c>
      <c r="E9" s="64">
        <v>4.32</v>
      </c>
      <c r="F9" s="64">
        <v>4.2300000000000004</v>
      </c>
      <c r="G9" s="64">
        <v>43.27</v>
      </c>
      <c r="H9" s="64">
        <v>4.53</v>
      </c>
      <c r="I9" s="64">
        <v>1.34</v>
      </c>
      <c r="J9" s="64">
        <v>0.05</v>
      </c>
      <c r="K9" s="64">
        <v>313.08999999999997</v>
      </c>
      <c r="L9" s="64">
        <v>23.21</v>
      </c>
      <c r="M9" s="64">
        <v>98.14</v>
      </c>
      <c r="N9" s="64">
        <v>39.6</v>
      </c>
      <c r="O9" s="64">
        <v>0</v>
      </c>
      <c r="P9" s="64">
        <v>0.34</v>
      </c>
      <c r="Q9" s="64">
        <v>9.64</v>
      </c>
      <c r="R9" s="198"/>
      <c r="S9" s="198"/>
      <c r="T9" s="198"/>
      <c r="U9" s="198"/>
    </row>
    <row r="10" spans="1:21" s="12" customFormat="1" x14ac:dyDescent="0.25">
      <c r="A10" s="212" t="s">
        <v>2648</v>
      </c>
      <c r="B10" s="64">
        <v>10.35</v>
      </c>
      <c r="C10" s="64">
        <v>6.5</v>
      </c>
      <c r="D10" s="64">
        <v>11.7</v>
      </c>
      <c r="E10" s="64">
        <v>4.63</v>
      </c>
      <c r="F10" s="64">
        <v>3.38</v>
      </c>
      <c r="G10" s="64">
        <v>43.27</v>
      </c>
      <c r="H10" s="64">
        <v>4.53</v>
      </c>
      <c r="I10" s="64">
        <v>1.32</v>
      </c>
      <c r="J10" s="64">
        <v>0.06</v>
      </c>
      <c r="K10" s="64">
        <v>348.52</v>
      </c>
      <c r="L10" s="64">
        <v>23.12</v>
      </c>
      <c r="M10" s="64">
        <v>98.16</v>
      </c>
      <c r="N10" s="64">
        <v>39.6</v>
      </c>
      <c r="O10" s="64">
        <v>0</v>
      </c>
      <c r="P10" s="64">
        <v>0.42</v>
      </c>
      <c r="Q10" s="64">
        <v>9.64</v>
      </c>
      <c r="R10" s="198"/>
      <c r="S10" s="198"/>
      <c r="T10" s="198"/>
      <c r="U10" s="198"/>
    </row>
    <row r="11" spans="1:21" s="12" customFormat="1" x14ac:dyDescent="0.25">
      <c r="A11" s="212" t="s">
        <v>2649</v>
      </c>
      <c r="B11" s="64">
        <v>9.6999999999999993</v>
      </c>
      <c r="C11" s="64">
        <v>6.82</v>
      </c>
      <c r="D11" s="64">
        <v>11.34</v>
      </c>
      <c r="E11" s="64">
        <v>4.4000000000000004</v>
      </c>
      <c r="F11" s="64">
        <v>2.79</v>
      </c>
      <c r="G11" s="64">
        <v>43.27</v>
      </c>
      <c r="H11" s="64">
        <v>4.53</v>
      </c>
      <c r="I11" s="64">
        <v>1.3</v>
      </c>
      <c r="J11" s="64">
        <v>0.04</v>
      </c>
      <c r="K11" s="64">
        <v>283.85000000000002</v>
      </c>
      <c r="L11" s="64">
        <v>23.03</v>
      </c>
      <c r="M11" s="64">
        <v>98.18</v>
      </c>
      <c r="N11" s="64">
        <v>39.6</v>
      </c>
      <c r="O11" s="64">
        <v>0</v>
      </c>
      <c r="P11" s="64">
        <v>0.38</v>
      </c>
      <c r="Q11" s="64">
        <v>9.6199999999999992</v>
      </c>
      <c r="R11" s="198"/>
      <c r="S11" s="198"/>
      <c r="T11" s="198"/>
      <c r="U11" s="198"/>
    </row>
    <row r="12" spans="1:21" s="12" customFormat="1" x14ac:dyDescent="0.25">
      <c r="A12" s="212" t="s">
        <v>2650</v>
      </c>
      <c r="B12" s="64">
        <v>9.3699999999999992</v>
      </c>
      <c r="C12" s="64">
        <v>6.43</v>
      </c>
      <c r="D12" s="64">
        <v>10.87</v>
      </c>
      <c r="E12" s="64">
        <v>4.54</v>
      </c>
      <c r="F12" s="64">
        <v>4.57</v>
      </c>
      <c r="G12" s="64">
        <v>40.299999999999997</v>
      </c>
      <c r="H12" s="64">
        <v>3.99</v>
      </c>
      <c r="I12" s="64">
        <v>1.27</v>
      </c>
      <c r="J12" s="64">
        <v>7.0000000000000007E-2</v>
      </c>
      <c r="K12" s="64">
        <v>313.07</v>
      </c>
      <c r="L12" s="64">
        <v>22.96</v>
      </c>
      <c r="M12" s="64">
        <v>98.17</v>
      </c>
      <c r="N12" s="64">
        <v>39.6</v>
      </c>
      <c r="O12" s="64">
        <v>0</v>
      </c>
      <c r="P12" s="64">
        <v>0.35</v>
      </c>
      <c r="Q12" s="64">
        <v>9.64</v>
      </c>
      <c r="R12" s="198"/>
      <c r="S12" s="198"/>
      <c r="T12" s="198"/>
      <c r="U12" s="198"/>
    </row>
    <row r="13" spans="1:21" s="12" customFormat="1" x14ac:dyDescent="0.25">
      <c r="A13" s="212" t="s">
        <v>2651</v>
      </c>
      <c r="B13" s="64">
        <v>10.72</v>
      </c>
      <c r="C13" s="64">
        <v>5.51</v>
      </c>
      <c r="D13" s="64">
        <v>11.47</v>
      </c>
      <c r="E13" s="64">
        <v>4.59</v>
      </c>
      <c r="F13" s="64">
        <v>3.97</v>
      </c>
      <c r="G13" s="64">
        <v>38.82</v>
      </c>
      <c r="H13" s="64">
        <v>3.72</v>
      </c>
      <c r="I13" s="64">
        <v>1.25</v>
      </c>
      <c r="J13" s="64">
        <v>0.05</v>
      </c>
      <c r="K13" s="64">
        <v>302.64</v>
      </c>
      <c r="L13" s="64">
        <v>22.87</v>
      </c>
      <c r="M13" s="64">
        <v>98.17</v>
      </c>
      <c r="N13" s="64">
        <v>39.6</v>
      </c>
      <c r="O13" s="64">
        <v>0</v>
      </c>
      <c r="P13" s="64">
        <v>0.34</v>
      </c>
      <c r="Q13" s="64">
        <v>9.64</v>
      </c>
      <c r="R13" s="198"/>
      <c r="S13" s="198"/>
      <c r="T13" s="198"/>
      <c r="U13" s="198"/>
    </row>
    <row r="14" spans="1:21" s="12" customFormat="1" x14ac:dyDescent="0.25">
      <c r="A14" s="212" t="s">
        <v>2652</v>
      </c>
      <c r="B14" s="64">
        <v>9.2799999999999994</v>
      </c>
      <c r="C14" s="64">
        <v>6.09</v>
      </c>
      <c r="D14" s="64">
        <v>10.62</v>
      </c>
      <c r="E14" s="64">
        <v>4.57</v>
      </c>
      <c r="F14" s="64">
        <v>3.39</v>
      </c>
      <c r="G14" s="64">
        <v>38.82</v>
      </c>
      <c r="H14" s="64">
        <v>3.72</v>
      </c>
      <c r="I14" s="64">
        <v>1.23</v>
      </c>
      <c r="J14" s="64">
        <v>0.02</v>
      </c>
      <c r="K14" s="64">
        <v>323.83999999999997</v>
      </c>
      <c r="L14" s="64">
        <v>22.78</v>
      </c>
      <c r="M14" s="64">
        <v>98.18</v>
      </c>
      <c r="N14" s="64">
        <v>39.6</v>
      </c>
      <c r="O14" s="64">
        <v>0</v>
      </c>
      <c r="P14" s="64">
        <v>0.32</v>
      </c>
      <c r="Q14" s="64">
        <v>9.64</v>
      </c>
      <c r="R14" s="198"/>
      <c r="S14" s="198"/>
      <c r="T14" s="198"/>
      <c r="U14" s="198"/>
    </row>
    <row r="15" spans="1:21" s="12" customFormat="1" x14ac:dyDescent="0.25">
      <c r="A15" s="212" t="s">
        <v>2653</v>
      </c>
      <c r="B15" s="64">
        <v>8.4</v>
      </c>
      <c r="C15" s="64">
        <v>6.22</v>
      </c>
      <c r="D15" s="64">
        <v>9.99</v>
      </c>
      <c r="E15" s="64">
        <v>4.24</v>
      </c>
      <c r="F15" s="64">
        <v>4.01</v>
      </c>
      <c r="G15" s="64">
        <v>38.82</v>
      </c>
      <c r="H15" s="64">
        <v>3.72</v>
      </c>
      <c r="I15" s="64">
        <v>1.21</v>
      </c>
      <c r="J15" s="64">
        <v>0.03</v>
      </c>
      <c r="K15" s="64">
        <v>111.8</v>
      </c>
      <c r="L15" s="64">
        <v>22.66</v>
      </c>
      <c r="M15" s="64">
        <v>98.18</v>
      </c>
      <c r="N15" s="64">
        <v>39.6</v>
      </c>
      <c r="O15" s="64">
        <v>0</v>
      </c>
      <c r="P15" s="64">
        <v>0.28000000000000003</v>
      </c>
      <c r="Q15" s="64">
        <v>9.64</v>
      </c>
      <c r="R15" s="198"/>
      <c r="S15" s="198"/>
      <c r="T15" s="198"/>
      <c r="U15" s="198"/>
    </row>
    <row r="16" spans="1:21" s="12" customFormat="1" x14ac:dyDescent="0.25">
      <c r="A16" s="212" t="s">
        <v>2654</v>
      </c>
      <c r="B16" s="64">
        <v>8.19</v>
      </c>
      <c r="C16" s="64">
        <v>5.85</v>
      </c>
      <c r="D16" s="64">
        <v>9.6199999999999992</v>
      </c>
      <c r="E16" s="64">
        <v>4.38</v>
      </c>
      <c r="F16" s="64">
        <v>6.27</v>
      </c>
      <c r="G16" s="64">
        <v>34.26</v>
      </c>
      <c r="H16" s="64">
        <v>3.2</v>
      </c>
      <c r="I16" s="64">
        <v>1.2</v>
      </c>
      <c r="J16" s="64">
        <v>0.06</v>
      </c>
      <c r="K16" s="64">
        <v>213.24</v>
      </c>
      <c r="L16" s="64">
        <v>22.66</v>
      </c>
      <c r="M16" s="64">
        <v>98.17</v>
      </c>
      <c r="N16" s="64">
        <v>39.6</v>
      </c>
      <c r="O16" s="64">
        <v>0</v>
      </c>
      <c r="P16" s="64">
        <v>0.23</v>
      </c>
      <c r="Q16" s="64">
        <v>9.64</v>
      </c>
      <c r="R16" s="198"/>
      <c r="S16" s="198"/>
      <c r="T16" s="198"/>
      <c r="U16" s="198"/>
    </row>
    <row r="17" spans="1:21" s="12" customFormat="1" x14ac:dyDescent="0.25">
      <c r="A17" s="212" t="s">
        <v>2655</v>
      </c>
      <c r="B17" s="64">
        <v>8.4700000000000006</v>
      </c>
      <c r="C17" s="64">
        <v>6.21</v>
      </c>
      <c r="D17" s="64">
        <v>10.039999999999999</v>
      </c>
      <c r="E17" s="64">
        <v>4.3099999999999996</v>
      </c>
      <c r="F17" s="64">
        <v>4.4800000000000004</v>
      </c>
      <c r="G17" s="64">
        <v>31.98</v>
      </c>
      <c r="H17" s="64">
        <v>2.93</v>
      </c>
      <c r="I17" s="64">
        <v>1.17</v>
      </c>
      <c r="J17" s="64">
        <v>0.05</v>
      </c>
      <c r="K17" s="64">
        <v>223.35</v>
      </c>
      <c r="L17" s="64">
        <v>22.63</v>
      </c>
      <c r="M17" s="64">
        <v>98.17</v>
      </c>
      <c r="N17" s="64">
        <v>39.6</v>
      </c>
      <c r="O17" s="64">
        <v>0</v>
      </c>
      <c r="P17" s="64">
        <v>0.27</v>
      </c>
      <c r="Q17" s="64">
        <v>9.6300000000000008</v>
      </c>
      <c r="R17" s="198"/>
      <c r="S17" s="198"/>
      <c r="T17" s="198"/>
      <c r="U17" s="198"/>
    </row>
    <row r="18" spans="1:21" s="12" customFormat="1" x14ac:dyDescent="0.25">
      <c r="A18" s="212" t="s">
        <v>2656</v>
      </c>
      <c r="B18" s="64">
        <v>8.82</v>
      </c>
      <c r="C18" s="64">
        <v>6.47</v>
      </c>
      <c r="D18" s="64">
        <v>10.45</v>
      </c>
      <c r="E18" s="64">
        <v>4.47</v>
      </c>
      <c r="F18" s="64">
        <v>4.24</v>
      </c>
      <c r="G18" s="64">
        <v>31.98</v>
      </c>
      <c r="H18" s="64">
        <v>2.93</v>
      </c>
      <c r="I18" s="64">
        <v>1.1499999999999999</v>
      </c>
      <c r="J18" s="64">
        <v>7.0000000000000007E-2</v>
      </c>
      <c r="K18" s="64">
        <v>127.66</v>
      </c>
      <c r="L18" s="64">
        <v>22.61</v>
      </c>
      <c r="M18" s="64">
        <v>98.19</v>
      </c>
      <c r="N18" s="64">
        <v>39.6</v>
      </c>
      <c r="O18" s="64">
        <v>0</v>
      </c>
      <c r="P18" s="64">
        <v>0.28000000000000003</v>
      </c>
      <c r="Q18" s="64">
        <v>9.6199999999999992</v>
      </c>
      <c r="R18" s="198"/>
      <c r="S18" s="198"/>
      <c r="T18" s="198"/>
      <c r="U18" s="198"/>
    </row>
    <row r="19" spans="1:21" s="12" customFormat="1" x14ac:dyDescent="0.25">
      <c r="A19" s="212" t="s">
        <v>2657</v>
      </c>
      <c r="B19" s="64">
        <v>8.6</v>
      </c>
      <c r="C19" s="64">
        <v>6.58</v>
      </c>
      <c r="D19" s="64">
        <v>10.33</v>
      </c>
      <c r="E19" s="64">
        <v>4.62</v>
      </c>
      <c r="F19" s="64">
        <v>4.16</v>
      </c>
      <c r="G19" s="64">
        <v>31.98</v>
      </c>
      <c r="H19" s="64">
        <v>2.93</v>
      </c>
      <c r="I19" s="64">
        <v>1.1299999999999999</v>
      </c>
      <c r="J19" s="64">
        <v>0.03</v>
      </c>
      <c r="K19" s="64">
        <v>342.5</v>
      </c>
      <c r="L19" s="64">
        <v>22.52</v>
      </c>
      <c r="M19" s="64">
        <v>98.2</v>
      </c>
      <c r="N19" s="64">
        <v>39.6</v>
      </c>
      <c r="O19" s="64">
        <v>0</v>
      </c>
      <c r="P19" s="64">
        <v>0.28000000000000003</v>
      </c>
      <c r="Q19" s="64">
        <v>9.64</v>
      </c>
      <c r="R19" s="198"/>
      <c r="S19" s="198"/>
      <c r="T19" s="198"/>
      <c r="U19" s="198"/>
    </row>
    <row r="20" spans="1:21" s="12" customFormat="1" x14ac:dyDescent="0.25">
      <c r="A20" s="212" t="s">
        <v>2658</v>
      </c>
      <c r="B20" s="64">
        <v>8.4700000000000006</v>
      </c>
      <c r="C20" s="64">
        <v>6.53</v>
      </c>
      <c r="D20" s="64">
        <v>10.210000000000001</v>
      </c>
      <c r="E20" s="64">
        <v>4.57</v>
      </c>
      <c r="F20" s="64">
        <v>3.91</v>
      </c>
      <c r="G20" s="64">
        <v>28.05</v>
      </c>
      <c r="H20" s="64">
        <v>2.69</v>
      </c>
      <c r="I20" s="64">
        <v>1.1299999999999999</v>
      </c>
      <c r="J20" s="64">
        <v>0.09</v>
      </c>
      <c r="K20" s="64">
        <v>134.97</v>
      </c>
      <c r="L20" s="64">
        <v>22.41</v>
      </c>
      <c r="M20" s="64">
        <v>98.2</v>
      </c>
      <c r="N20" s="64">
        <v>39.6</v>
      </c>
      <c r="O20" s="64">
        <v>0</v>
      </c>
      <c r="P20" s="64">
        <v>0.26</v>
      </c>
      <c r="Q20" s="64">
        <v>9.65</v>
      </c>
      <c r="R20" s="198"/>
      <c r="S20" s="198"/>
      <c r="T20" s="198"/>
      <c r="U20" s="198"/>
    </row>
    <row r="21" spans="1:21" s="12" customFormat="1" x14ac:dyDescent="0.25">
      <c r="A21" s="212" t="s">
        <v>2659</v>
      </c>
      <c r="B21" s="64">
        <v>8.93</v>
      </c>
      <c r="C21" s="64">
        <v>7.13</v>
      </c>
      <c r="D21" s="64">
        <v>10.88</v>
      </c>
      <c r="E21" s="64">
        <v>4.59</v>
      </c>
      <c r="F21" s="64">
        <v>3.54</v>
      </c>
      <c r="G21" s="64">
        <v>26.09</v>
      </c>
      <c r="H21" s="64">
        <v>2.57</v>
      </c>
      <c r="I21" s="64">
        <v>1.1100000000000001</v>
      </c>
      <c r="J21" s="64">
        <v>0.08</v>
      </c>
      <c r="K21" s="64">
        <v>341.63</v>
      </c>
      <c r="L21" s="64">
        <v>22.45</v>
      </c>
      <c r="M21" s="64">
        <v>98.2</v>
      </c>
      <c r="N21" s="64">
        <v>39.6</v>
      </c>
      <c r="O21" s="64">
        <v>0</v>
      </c>
      <c r="P21" s="64">
        <v>0.28999999999999998</v>
      </c>
      <c r="Q21" s="64">
        <v>9.64</v>
      </c>
      <c r="R21" s="198"/>
      <c r="S21" s="198"/>
      <c r="T21" s="198"/>
      <c r="U21" s="198"/>
    </row>
    <row r="22" spans="1:21" s="12" customFormat="1" x14ac:dyDescent="0.25">
      <c r="A22" s="212" t="s">
        <v>2660</v>
      </c>
      <c r="B22" s="64">
        <v>8.6300000000000008</v>
      </c>
      <c r="C22" s="64">
        <v>6.57</v>
      </c>
      <c r="D22" s="64">
        <v>10.35</v>
      </c>
      <c r="E22" s="64">
        <v>4.63</v>
      </c>
      <c r="F22" s="64">
        <v>4.18</v>
      </c>
      <c r="G22" s="64">
        <v>26.09</v>
      </c>
      <c r="H22" s="64">
        <v>2.57</v>
      </c>
      <c r="I22" s="64">
        <v>1.1000000000000001</v>
      </c>
      <c r="J22" s="64">
        <v>0.04</v>
      </c>
      <c r="K22" s="64">
        <v>314.5</v>
      </c>
      <c r="L22" s="64">
        <v>22.52</v>
      </c>
      <c r="M22" s="64">
        <v>98.2</v>
      </c>
      <c r="N22" s="64">
        <v>39.700000000000003</v>
      </c>
      <c r="O22" s="64">
        <v>0</v>
      </c>
      <c r="P22" s="64">
        <v>0.26</v>
      </c>
      <c r="Q22" s="64">
        <v>9.64</v>
      </c>
      <c r="R22" s="198"/>
      <c r="S22" s="198"/>
      <c r="T22" s="198"/>
      <c r="U22" s="198"/>
    </row>
    <row r="23" spans="1:21" s="12" customFormat="1" x14ac:dyDescent="0.25">
      <c r="A23" s="212" t="s">
        <v>2661</v>
      </c>
      <c r="B23" s="64">
        <v>9.06</v>
      </c>
      <c r="C23" s="64">
        <v>5.86</v>
      </c>
      <c r="D23" s="64">
        <v>10.32</v>
      </c>
      <c r="E23" s="64">
        <v>4.74</v>
      </c>
      <c r="F23" s="64">
        <v>3.36</v>
      </c>
      <c r="G23" s="64">
        <v>26.09</v>
      </c>
      <c r="H23" s="64">
        <v>2.57</v>
      </c>
      <c r="I23" s="64">
        <v>1.1000000000000001</v>
      </c>
      <c r="J23" s="64">
        <v>0.04</v>
      </c>
      <c r="K23" s="64">
        <v>146.91</v>
      </c>
      <c r="L23" s="64">
        <v>22.56</v>
      </c>
      <c r="M23" s="64">
        <v>98.2</v>
      </c>
      <c r="N23" s="64">
        <v>39.6</v>
      </c>
      <c r="O23" s="64">
        <v>0</v>
      </c>
      <c r="P23" s="64">
        <v>0.28000000000000003</v>
      </c>
      <c r="Q23" s="64">
        <v>9.6300000000000008</v>
      </c>
      <c r="R23" s="198"/>
      <c r="S23" s="198"/>
      <c r="T23" s="198"/>
      <c r="U23" s="198"/>
    </row>
    <row r="24" spans="1:21" s="12" customFormat="1" x14ac:dyDescent="0.25">
      <c r="A24" s="212" t="s">
        <v>2662</v>
      </c>
      <c r="B24" s="64">
        <v>10.9</v>
      </c>
      <c r="C24" s="64">
        <v>5.23</v>
      </c>
      <c r="D24" s="64">
        <v>11.47</v>
      </c>
      <c r="E24" s="64">
        <v>4.5</v>
      </c>
      <c r="F24" s="64">
        <v>2.2999999999999998</v>
      </c>
      <c r="G24" s="64">
        <v>27.2</v>
      </c>
      <c r="H24" s="64">
        <v>2.41</v>
      </c>
      <c r="I24" s="64">
        <v>1.0900000000000001</v>
      </c>
      <c r="J24" s="64">
        <v>0.05</v>
      </c>
      <c r="K24" s="64">
        <v>341.32</v>
      </c>
      <c r="L24" s="64">
        <v>22.58</v>
      </c>
      <c r="M24" s="64">
        <v>98.2</v>
      </c>
      <c r="N24" s="64">
        <v>39.700000000000003</v>
      </c>
      <c r="O24" s="64">
        <v>0</v>
      </c>
      <c r="P24" s="64">
        <v>0.33</v>
      </c>
      <c r="Q24" s="64">
        <v>9.64</v>
      </c>
      <c r="R24" s="198"/>
      <c r="S24" s="198"/>
      <c r="T24" s="198"/>
      <c r="U24" s="198"/>
    </row>
    <row r="25" spans="1:21" s="12" customFormat="1" x14ac:dyDescent="0.25">
      <c r="A25" s="212" t="s">
        <v>2663</v>
      </c>
      <c r="B25" s="64">
        <v>9.43</v>
      </c>
      <c r="C25" s="64">
        <v>6.15</v>
      </c>
      <c r="D25" s="64">
        <v>10.77</v>
      </c>
      <c r="E25" s="64">
        <v>4.51</v>
      </c>
      <c r="F25" s="64">
        <v>2.5099999999999998</v>
      </c>
      <c r="G25" s="64">
        <v>27.76</v>
      </c>
      <c r="H25" s="64">
        <v>2.3199999999999998</v>
      </c>
      <c r="I25" s="64">
        <v>1.07</v>
      </c>
      <c r="J25" s="64">
        <v>0.03</v>
      </c>
      <c r="K25" s="64">
        <v>273.27</v>
      </c>
      <c r="L25" s="64">
        <v>22.56</v>
      </c>
      <c r="M25" s="64">
        <v>98.2</v>
      </c>
      <c r="N25" s="64">
        <v>39.700000000000003</v>
      </c>
      <c r="O25" s="64">
        <v>0</v>
      </c>
      <c r="P25" s="64">
        <v>0.26</v>
      </c>
      <c r="Q25" s="64">
        <v>9.64</v>
      </c>
      <c r="R25" s="198"/>
      <c r="S25" s="198"/>
      <c r="T25" s="198"/>
      <c r="U25" s="198"/>
    </row>
    <row r="26" spans="1:21" s="12" customFormat="1" x14ac:dyDescent="0.25">
      <c r="A26" s="212" t="s">
        <v>2664</v>
      </c>
      <c r="B26" s="64">
        <v>11.2</v>
      </c>
      <c r="C26" s="64">
        <v>5.32</v>
      </c>
      <c r="D26" s="64">
        <v>11.76</v>
      </c>
      <c r="E26" s="64">
        <v>4.7699999999999996</v>
      </c>
      <c r="F26" s="64">
        <v>2.63</v>
      </c>
      <c r="G26" s="64">
        <v>27.76</v>
      </c>
      <c r="H26" s="64">
        <v>2.3199999999999998</v>
      </c>
      <c r="I26" s="64">
        <v>1.04</v>
      </c>
      <c r="J26" s="64">
        <v>0.01</v>
      </c>
      <c r="K26" s="64">
        <v>98.75</v>
      </c>
      <c r="L26" s="64">
        <v>22.58</v>
      </c>
      <c r="M26" s="64">
        <v>98.2</v>
      </c>
      <c r="N26" s="64">
        <v>39.6</v>
      </c>
      <c r="O26" s="64">
        <v>0</v>
      </c>
      <c r="P26" s="64">
        <v>0.34</v>
      </c>
      <c r="Q26" s="64">
        <v>9.65</v>
      </c>
      <c r="R26" s="198"/>
      <c r="S26" s="198"/>
      <c r="T26" s="198"/>
      <c r="U26" s="198"/>
    </row>
    <row r="27" spans="1:21" s="12" customFormat="1" x14ac:dyDescent="0.25">
      <c r="A27" s="212" t="s">
        <v>2665</v>
      </c>
      <c r="B27" s="64">
        <v>9.82</v>
      </c>
      <c r="C27" s="64">
        <v>6.19</v>
      </c>
      <c r="D27" s="64">
        <v>11.11</v>
      </c>
      <c r="E27" s="64">
        <v>4.5199999999999996</v>
      </c>
      <c r="F27" s="64">
        <v>3.01</v>
      </c>
      <c r="G27" s="64">
        <v>27.76</v>
      </c>
      <c r="H27" s="64">
        <v>2.3199999999999998</v>
      </c>
      <c r="I27" s="64">
        <v>1.03</v>
      </c>
      <c r="J27" s="64">
        <v>0.05</v>
      </c>
      <c r="K27" s="64">
        <v>265.08</v>
      </c>
      <c r="L27" s="64">
        <v>22.63</v>
      </c>
      <c r="M27" s="64">
        <v>98.2</v>
      </c>
      <c r="N27" s="64">
        <v>39.700000000000003</v>
      </c>
      <c r="O27" s="64">
        <v>0</v>
      </c>
      <c r="P27" s="64">
        <v>0.28000000000000003</v>
      </c>
      <c r="Q27" s="64">
        <v>9.65</v>
      </c>
      <c r="R27" s="198"/>
      <c r="S27" s="198"/>
      <c r="T27" s="198"/>
      <c r="U27" s="198"/>
    </row>
    <row r="28" spans="1:21" s="12" customFormat="1" x14ac:dyDescent="0.25">
      <c r="A28" s="212" t="s">
        <v>2666</v>
      </c>
      <c r="B28" s="64">
        <v>10.210000000000001</v>
      </c>
      <c r="C28" s="64">
        <v>6.2</v>
      </c>
      <c r="D28" s="64">
        <v>11.43</v>
      </c>
      <c r="E28" s="64">
        <v>4.7699999999999996</v>
      </c>
      <c r="F28" s="64">
        <v>3.04</v>
      </c>
      <c r="G28" s="64">
        <v>25.39</v>
      </c>
      <c r="H28" s="64">
        <v>2.3199999999999998</v>
      </c>
      <c r="I28" s="64">
        <v>1.02</v>
      </c>
      <c r="J28" s="64">
        <v>0.02</v>
      </c>
      <c r="K28" s="64">
        <v>297.64999999999998</v>
      </c>
      <c r="L28" s="64">
        <v>22.66</v>
      </c>
      <c r="M28" s="64">
        <v>98.2</v>
      </c>
      <c r="N28" s="64">
        <v>39.9</v>
      </c>
      <c r="O28" s="64">
        <v>0</v>
      </c>
      <c r="P28" s="64">
        <v>0.3</v>
      </c>
      <c r="Q28" s="64">
        <v>9.65</v>
      </c>
      <c r="R28" s="198"/>
      <c r="S28" s="198"/>
      <c r="T28" s="198"/>
      <c r="U28" s="198"/>
    </row>
    <row r="29" spans="1:21" s="12" customFormat="1" x14ac:dyDescent="0.25">
      <c r="A29" s="212" t="s">
        <v>2667</v>
      </c>
      <c r="B29" s="64">
        <v>15.57</v>
      </c>
      <c r="C29" s="64">
        <v>6.1</v>
      </c>
      <c r="D29" s="64">
        <v>15.67</v>
      </c>
      <c r="E29" s="64">
        <v>4.68</v>
      </c>
      <c r="F29" s="64">
        <v>3.22</v>
      </c>
      <c r="G29" s="64">
        <v>24.2</v>
      </c>
      <c r="H29" s="64">
        <v>2.31</v>
      </c>
      <c r="I29" s="64">
        <v>1.02</v>
      </c>
      <c r="J29" s="64">
        <v>0.16</v>
      </c>
      <c r="K29" s="64">
        <v>350.53</v>
      </c>
      <c r="L29" s="64">
        <v>22.68</v>
      </c>
      <c r="M29" s="64">
        <v>98.2</v>
      </c>
      <c r="N29" s="64">
        <v>39.799999999999997</v>
      </c>
      <c r="O29" s="64">
        <v>0</v>
      </c>
      <c r="P29" s="64">
        <v>0.31</v>
      </c>
      <c r="Q29" s="64">
        <v>9.65</v>
      </c>
      <c r="R29" s="198"/>
      <c r="S29" s="198"/>
      <c r="T29" s="198"/>
      <c r="U29" s="198"/>
    </row>
    <row r="30" spans="1:21" s="12" customFormat="1" x14ac:dyDescent="0.25">
      <c r="A30" s="212" t="s">
        <v>2668</v>
      </c>
      <c r="B30" s="64">
        <v>13.51</v>
      </c>
      <c r="C30" s="64">
        <v>5.29</v>
      </c>
      <c r="D30" s="64">
        <v>13.6</v>
      </c>
      <c r="E30" s="64">
        <v>4.6399999999999997</v>
      </c>
      <c r="F30" s="64">
        <v>2.73</v>
      </c>
      <c r="G30" s="64">
        <v>24.2</v>
      </c>
      <c r="H30" s="64">
        <v>2.31</v>
      </c>
      <c r="I30" s="64">
        <v>1.01</v>
      </c>
      <c r="J30" s="64">
        <v>0.13</v>
      </c>
      <c r="K30" s="64">
        <v>331.8</v>
      </c>
      <c r="L30" s="64">
        <v>22.75</v>
      </c>
      <c r="M30" s="64">
        <v>98.2</v>
      </c>
      <c r="N30" s="64">
        <v>40.200000000000003</v>
      </c>
      <c r="O30" s="64">
        <v>0</v>
      </c>
      <c r="P30" s="64">
        <v>0.33</v>
      </c>
      <c r="Q30" s="64">
        <v>9.64</v>
      </c>
      <c r="R30" s="198"/>
      <c r="S30" s="198"/>
      <c r="T30" s="198"/>
      <c r="U30" s="198"/>
    </row>
    <row r="31" spans="1:21" s="12" customFormat="1" x14ac:dyDescent="0.25">
      <c r="A31" s="212" t="s">
        <v>2669</v>
      </c>
      <c r="B31" s="64">
        <v>15.7</v>
      </c>
      <c r="C31" s="64">
        <v>5.14</v>
      </c>
      <c r="D31" s="64">
        <v>15.28</v>
      </c>
      <c r="E31" s="64">
        <v>4.7</v>
      </c>
      <c r="F31" s="64">
        <v>2.93</v>
      </c>
      <c r="G31" s="64">
        <v>24.2</v>
      </c>
      <c r="H31" s="64">
        <v>2.31</v>
      </c>
      <c r="I31" s="64">
        <v>1.01</v>
      </c>
      <c r="J31" s="64">
        <v>0.1</v>
      </c>
      <c r="K31" s="64">
        <v>343.9</v>
      </c>
      <c r="L31" s="64">
        <v>22.78</v>
      </c>
      <c r="M31" s="64">
        <v>98.2</v>
      </c>
      <c r="N31" s="64">
        <v>43</v>
      </c>
      <c r="O31" s="64">
        <v>0</v>
      </c>
      <c r="P31" s="64">
        <v>0.34</v>
      </c>
      <c r="Q31" s="64">
        <v>9.65</v>
      </c>
      <c r="R31" s="198"/>
      <c r="S31" s="198"/>
      <c r="T31" s="198"/>
      <c r="U31" s="198"/>
    </row>
    <row r="32" spans="1:21" s="12" customFormat="1" x14ac:dyDescent="0.25">
      <c r="A32" s="212" t="s">
        <v>2670</v>
      </c>
      <c r="B32" s="64">
        <v>14</v>
      </c>
      <c r="C32" s="64">
        <v>6.04</v>
      </c>
      <c r="D32" s="64">
        <v>14.38</v>
      </c>
      <c r="E32" s="64">
        <v>4.29</v>
      </c>
      <c r="F32" s="64">
        <v>2.91</v>
      </c>
      <c r="G32" s="64">
        <v>30.5</v>
      </c>
      <c r="H32" s="64">
        <v>2.12</v>
      </c>
      <c r="I32" s="64">
        <v>1</v>
      </c>
      <c r="J32" s="64">
        <v>0.2</v>
      </c>
      <c r="K32" s="64">
        <v>346.89</v>
      </c>
      <c r="L32" s="64">
        <v>22.87</v>
      </c>
      <c r="M32" s="64">
        <v>98.2</v>
      </c>
      <c r="N32" s="64">
        <v>53</v>
      </c>
      <c r="O32" s="64">
        <v>0</v>
      </c>
      <c r="P32" s="64">
        <v>0.36</v>
      </c>
      <c r="Q32" s="64">
        <v>9.64</v>
      </c>
      <c r="R32" s="198"/>
      <c r="S32" s="198"/>
      <c r="T32" s="198"/>
      <c r="U32" s="198"/>
    </row>
    <row r="33" spans="1:21" s="12" customFormat="1" x14ac:dyDescent="0.25">
      <c r="A33" s="212" t="s">
        <v>2671</v>
      </c>
      <c r="B33" s="64">
        <v>15.6</v>
      </c>
      <c r="C33" s="64">
        <v>6.08</v>
      </c>
      <c r="D33" s="64">
        <v>15.69</v>
      </c>
      <c r="E33" s="64">
        <v>4.7</v>
      </c>
      <c r="F33" s="64">
        <v>2.37</v>
      </c>
      <c r="G33" s="64">
        <v>33.659999999999997</v>
      </c>
      <c r="H33" s="64">
        <v>2.02</v>
      </c>
      <c r="I33" s="64">
        <v>0.99</v>
      </c>
      <c r="J33" s="64">
        <v>0.12</v>
      </c>
      <c r="K33" s="64">
        <v>317.27</v>
      </c>
      <c r="L33" s="64">
        <v>23.12</v>
      </c>
      <c r="M33" s="64">
        <v>98.2</v>
      </c>
      <c r="N33" s="64">
        <v>65</v>
      </c>
      <c r="O33" s="64">
        <v>0</v>
      </c>
      <c r="P33" s="64">
        <v>0.37</v>
      </c>
      <c r="Q33" s="64">
        <v>9.66</v>
      </c>
      <c r="R33" s="198"/>
      <c r="S33" s="198"/>
      <c r="T33" s="198"/>
      <c r="U33" s="198"/>
    </row>
    <row r="34" spans="1:21" s="12" customFormat="1" x14ac:dyDescent="0.25">
      <c r="A34" s="212" t="s">
        <v>2672</v>
      </c>
      <c r="B34" s="64">
        <v>21.08</v>
      </c>
      <c r="C34" s="64">
        <v>8.2100000000000009</v>
      </c>
      <c r="D34" s="64">
        <v>21.19</v>
      </c>
      <c r="E34" s="64">
        <v>4.6900000000000004</v>
      </c>
      <c r="F34" s="64">
        <v>4.3</v>
      </c>
      <c r="G34" s="64">
        <v>33.659999999999997</v>
      </c>
      <c r="H34" s="64">
        <v>2.02</v>
      </c>
      <c r="I34" s="64">
        <v>1</v>
      </c>
      <c r="J34" s="64">
        <v>0.05</v>
      </c>
      <c r="K34" s="64">
        <v>331.12</v>
      </c>
      <c r="L34" s="64">
        <v>23.44</v>
      </c>
      <c r="M34" s="64">
        <v>98.18</v>
      </c>
      <c r="N34" s="64">
        <v>79.3</v>
      </c>
      <c r="O34" s="64">
        <v>0</v>
      </c>
      <c r="P34" s="64">
        <v>0.42</v>
      </c>
      <c r="Q34" s="64">
        <v>9.65</v>
      </c>
      <c r="R34" s="198"/>
      <c r="S34" s="198"/>
      <c r="T34" s="198"/>
      <c r="U34" s="198"/>
    </row>
    <row r="35" spans="1:21" s="12" customFormat="1" x14ac:dyDescent="0.25">
      <c r="A35" s="212" t="s">
        <v>2673</v>
      </c>
      <c r="B35" s="64">
        <v>19.55</v>
      </c>
      <c r="C35" s="64">
        <v>6.28</v>
      </c>
      <c r="D35" s="64">
        <v>18.96</v>
      </c>
      <c r="E35" s="64">
        <v>4.51</v>
      </c>
      <c r="F35" s="64">
        <v>4.04</v>
      </c>
      <c r="G35" s="64">
        <v>33.659999999999997</v>
      </c>
      <c r="H35" s="64">
        <v>2.02</v>
      </c>
      <c r="I35" s="64">
        <v>1.02</v>
      </c>
      <c r="J35" s="64">
        <v>0.16</v>
      </c>
      <c r="K35" s="64">
        <v>323.52</v>
      </c>
      <c r="L35" s="64">
        <v>23.8</v>
      </c>
      <c r="M35" s="64">
        <v>98.14</v>
      </c>
      <c r="N35" s="64">
        <v>91.3</v>
      </c>
      <c r="O35" s="64">
        <v>0</v>
      </c>
      <c r="P35" s="64">
        <v>0.42</v>
      </c>
      <c r="Q35" s="64">
        <v>9.65</v>
      </c>
      <c r="R35" s="198"/>
      <c r="S35" s="198"/>
      <c r="T35" s="198"/>
      <c r="U35" s="198"/>
    </row>
    <row r="36" spans="1:21" s="12" customFormat="1" x14ac:dyDescent="0.25">
      <c r="A36" s="212" t="s">
        <v>2674</v>
      </c>
      <c r="B36" s="64">
        <v>19.02</v>
      </c>
      <c r="C36" s="64">
        <v>7.53</v>
      </c>
      <c r="D36" s="64">
        <v>19.190000000000001</v>
      </c>
      <c r="E36" s="64">
        <v>4.59</v>
      </c>
      <c r="F36" s="64">
        <v>3.99</v>
      </c>
      <c r="G36" s="64">
        <v>38.21</v>
      </c>
      <c r="H36" s="64">
        <v>3.78</v>
      </c>
      <c r="I36" s="64">
        <v>1.05</v>
      </c>
      <c r="J36" s="64">
        <v>0.1</v>
      </c>
      <c r="K36" s="64">
        <v>337.88</v>
      </c>
      <c r="L36" s="64">
        <v>24.17</v>
      </c>
      <c r="M36" s="64">
        <v>98.12</v>
      </c>
      <c r="N36" s="64">
        <v>100.4</v>
      </c>
      <c r="O36" s="64">
        <v>0</v>
      </c>
      <c r="P36" s="64">
        <v>0.46</v>
      </c>
      <c r="Q36" s="64">
        <v>9.65</v>
      </c>
      <c r="R36" s="198"/>
      <c r="S36" s="198"/>
      <c r="T36" s="198"/>
      <c r="U36" s="198"/>
    </row>
    <row r="37" spans="1:21" s="12" customFormat="1" x14ac:dyDescent="0.25">
      <c r="A37" s="212" t="s">
        <v>2675</v>
      </c>
      <c r="B37" s="64">
        <v>19.3</v>
      </c>
      <c r="C37" s="64">
        <v>6.96</v>
      </c>
      <c r="D37" s="64">
        <v>18.91</v>
      </c>
      <c r="E37" s="64">
        <v>4.95</v>
      </c>
      <c r="F37" s="64">
        <v>3.86</v>
      </c>
      <c r="G37" s="64">
        <v>40.49</v>
      </c>
      <c r="H37" s="64">
        <v>4.66</v>
      </c>
      <c r="I37" s="64">
        <v>1.08</v>
      </c>
      <c r="J37" s="64">
        <v>0.09</v>
      </c>
      <c r="K37" s="64">
        <v>307.29000000000002</v>
      </c>
      <c r="L37" s="64">
        <v>24.5</v>
      </c>
      <c r="M37" s="64">
        <v>98.09</v>
      </c>
      <c r="N37" s="64">
        <v>104.6</v>
      </c>
      <c r="O37" s="64">
        <v>0</v>
      </c>
      <c r="P37" s="64">
        <v>0.44</v>
      </c>
      <c r="Q37" s="64">
        <v>9.65</v>
      </c>
      <c r="R37" s="198"/>
      <c r="S37" s="198"/>
      <c r="T37" s="198"/>
      <c r="U37" s="198"/>
    </row>
    <row r="38" spans="1:21" s="12" customFormat="1" x14ac:dyDescent="0.25">
      <c r="A38" s="212" t="s">
        <v>2676</v>
      </c>
      <c r="B38" s="64">
        <v>16.98</v>
      </c>
      <c r="C38" s="64">
        <v>8.83</v>
      </c>
      <c r="D38" s="64">
        <v>18.190000000000001</v>
      </c>
      <c r="E38" s="64">
        <v>4.99</v>
      </c>
      <c r="F38" s="64">
        <v>4.5599999999999996</v>
      </c>
      <c r="G38" s="64">
        <v>40.49</v>
      </c>
      <c r="H38" s="64">
        <v>4.66</v>
      </c>
      <c r="I38" s="64">
        <v>1.1299999999999999</v>
      </c>
      <c r="J38" s="64">
        <v>0.12</v>
      </c>
      <c r="K38" s="64">
        <v>307.87</v>
      </c>
      <c r="L38" s="64">
        <v>24.6</v>
      </c>
      <c r="M38" s="64">
        <v>98.08</v>
      </c>
      <c r="N38" s="64">
        <v>112.2</v>
      </c>
      <c r="O38" s="64">
        <v>0</v>
      </c>
      <c r="P38" s="64">
        <v>0.46</v>
      </c>
      <c r="Q38" s="64">
        <v>9.64</v>
      </c>
      <c r="R38" s="198"/>
      <c r="S38" s="198"/>
      <c r="T38" s="198"/>
      <c r="U38" s="198"/>
    </row>
    <row r="39" spans="1:21" s="12" customFormat="1" x14ac:dyDescent="0.25">
      <c r="A39" s="212" t="s">
        <v>2677</v>
      </c>
      <c r="B39" s="64">
        <v>18.170000000000002</v>
      </c>
      <c r="C39" s="64">
        <v>7.71</v>
      </c>
      <c r="D39" s="64">
        <v>18.420000000000002</v>
      </c>
      <c r="E39" s="64">
        <v>4.8099999999999996</v>
      </c>
      <c r="F39" s="64">
        <v>4.46</v>
      </c>
      <c r="G39" s="64">
        <v>40.49</v>
      </c>
      <c r="H39" s="64">
        <v>4.66</v>
      </c>
      <c r="I39" s="64">
        <v>1.2</v>
      </c>
      <c r="J39" s="64">
        <v>0.11</v>
      </c>
      <c r="K39" s="64">
        <v>322.79000000000002</v>
      </c>
      <c r="L39" s="64">
        <v>24.81</v>
      </c>
      <c r="M39" s="64">
        <v>98.06</v>
      </c>
      <c r="N39" s="64">
        <v>127.5</v>
      </c>
      <c r="O39" s="64">
        <v>0</v>
      </c>
      <c r="P39" s="64">
        <v>0.49</v>
      </c>
      <c r="Q39" s="64">
        <v>9.64</v>
      </c>
      <c r="R39" s="198"/>
      <c r="S39" s="198"/>
      <c r="T39" s="198"/>
      <c r="U39" s="198"/>
    </row>
    <row r="40" spans="1:21" s="12" customFormat="1" x14ac:dyDescent="0.25">
      <c r="A40" s="212" t="s">
        <v>2678</v>
      </c>
      <c r="B40" s="64">
        <v>13.64</v>
      </c>
      <c r="C40" s="64">
        <v>7.57</v>
      </c>
      <c r="D40" s="64">
        <v>14.9</v>
      </c>
      <c r="E40" s="64">
        <v>5.42</v>
      </c>
      <c r="F40" s="64">
        <v>4.68</v>
      </c>
      <c r="G40" s="64">
        <v>48.51</v>
      </c>
      <c r="H40" s="64">
        <v>4.24</v>
      </c>
      <c r="I40" s="64">
        <v>1.35</v>
      </c>
      <c r="J40" s="64">
        <v>0.06</v>
      </c>
      <c r="K40" s="64">
        <v>272.26</v>
      </c>
      <c r="L40" s="64">
        <v>24.3</v>
      </c>
      <c r="M40" s="64">
        <v>98.12</v>
      </c>
      <c r="N40" s="64">
        <v>108.6</v>
      </c>
      <c r="O40" s="64">
        <v>0</v>
      </c>
      <c r="P40" s="64">
        <v>0.41</v>
      </c>
      <c r="Q40" s="64">
        <v>9.65</v>
      </c>
      <c r="R40" s="198"/>
      <c r="S40" s="198"/>
      <c r="T40" s="198"/>
      <c r="U40" s="198"/>
    </row>
    <row r="41" spans="1:21" s="12" customFormat="1" x14ac:dyDescent="0.25">
      <c r="A41" s="212" t="s">
        <v>2679</v>
      </c>
      <c r="B41" s="64">
        <v>16.190000000000001</v>
      </c>
      <c r="C41" s="64">
        <v>5.31</v>
      </c>
      <c r="D41" s="64">
        <v>15.76</v>
      </c>
      <c r="E41" s="64">
        <v>5</v>
      </c>
      <c r="F41" s="64">
        <v>2.52</v>
      </c>
      <c r="G41" s="64">
        <v>52.52</v>
      </c>
      <c r="H41" s="64">
        <v>4.04</v>
      </c>
      <c r="I41" s="64">
        <v>1.39</v>
      </c>
      <c r="J41" s="64">
        <v>0.09</v>
      </c>
      <c r="K41" s="64">
        <v>256.68</v>
      </c>
      <c r="L41" s="64">
        <v>24.31</v>
      </c>
      <c r="M41" s="64">
        <v>98.15</v>
      </c>
      <c r="N41" s="64">
        <v>124.9</v>
      </c>
      <c r="O41" s="64">
        <v>0</v>
      </c>
      <c r="P41" s="64">
        <v>0.41</v>
      </c>
      <c r="Q41" s="64">
        <v>9.64</v>
      </c>
      <c r="R41" s="198"/>
      <c r="S41" s="198"/>
      <c r="T41" s="198"/>
      <c r="U41" s="198"/>
    </row>
    <row r="42" spans="1:21" s="12" customFormat="1" x14ac:dyDescent="0.25">
      <c r="A42" s="212" t="s">
        <v>2680</v>
      </c>
      <c r="B42" s="64">
        <v>16.59</v>
      </c>
      <c r="C42" s="64">
        <v>4.6500000000000004</v>
      </c>
      <c r="D42" s="64">
        <v>15.73</v>
      </c>
      <c r="E42" s="64">
        <v>4.4800000000000004</v>
      </c>
      <c r="F42" s="64">
        <v>2.59</v>
      </c>
      <c r="G42" s="64">
        <v>52.52</v>
      </c>
      <c r="H42" s="64">
        <v>4.04</v>
      </c>
      <c r="I42" s="64">
        <v>1.38</v>
      </c>
      <c r="J42" s="64">
        <v>0.1</v>
      </c>
      <c r="K42" s="64">
        <v>281.55</v>
      </c>
      <c r="L42" s="64">
        <v>24.68</v>
      </c>
      <c r="M42" s="64">
        <v>98.14</v>
      </c>
      <c r="N42" s="64">
        <v>156.1</v>
      </c>
      <c r="O42" s="64">
        <v>0</v>
      </c>
      <c r="P42" s="64">
        <v>0.41</v>
      </c>
      <c r="Q42" s="64">
        <v>9.65</v>
      </c>
      <c r="R42" s="198"/>
      <c r="S42" s="198"/>
      <c r="T42" s="198"/>
      <c r="U42" s="198"/>
    </row>
    <row r="43" spans="1:21" s="12" customFormat="1" x14ac:dyDescent="0.25">
      <c r="A43" s="212" t="s">
        <v>2681</v>
      </c>
      <c r="B43" s="64">
        <v>16.100000000000001</v>
      </c>
      <c r="C43" s="64">
        <v>5.68</v>
      </c>
      <c r="D43" s="64">
        <v>15.88</v>
      </c>
      <c r="E43" s="64">
        <v>5.12</v>
      </c>
      <c r="F43" s="64">
        <v>3.08</v>
      </c>
      <c r="G43" s="64">
        <v>52.52</v>
      </c>
      <c r="H43" s="64">
        <v>4.04</v>
      </c>
      <c r="I43" s="64">
        <v>1.44</v>
      </c>
      <c r="J43" s="64">
        <v>0.11</v>
      </c>
      <c r="K43" s="64">
        <v>278.27</v>
      </c>
      <c r="L43" s="64">
        <v>25.47</v>
      </c>
      <c r="M43" s="64">
        <v>98.11</v>
      </c>
      <c r="N43" s="64">
        <v>355.5</v>
      </c>
      <c r="O43" s="64">
        <v>0</v>
      </c>
      <c r="P43" s="64">
        <v>0.42</v>
      </c>
      <c r="Q43" s="64">
        <v>9.65</v>
      </c>
      <c r="R43" s="198"/>
      <c r="S43" s="198"/>
      <c r="T43" s="198"/>
      <c r="U43" s="198"/>
    </row>
    <row r="44" spans="1:21" s="12" customFormat="1" x14ac:dyDescent="0.25">
      <c r="A44" s="212" t="s">
        <v>2682</v>
      </c>
      <c r="B44" s="64">
        <v>16.48</v>
      </c>
      <c r="C44" s="64">
        <v>5.3</v>
      </c>
      <c r="D44" s="64">
        <v>15.99</v>
      </c>
      <c r="E44" s="64">
        <v>4.75</v>
      </c>
      <c r="F44" s="64">
        <v>2.64</v>
      </c>
      <c r="G44" s="64">
        <v>53.85</v>
      </c>
      <c r="H44" s="64">
        <v>6.4</v>
      </c>
      <c r="I44" s="64">
        <v>1.57</v>
      </c>
      <c r="J44" s="64">
        <v>0.19</v>
      </c>
      <c r="K44" s="64">
        <v>297.37</v>
      </c>
      <c r="L44" s="64">
        <v>27.93</v>
      </c>
      <c r="M44" s="64">
        <v>92.95</v>
      </c>
      <c r="N44" s="64">
        <v>564.70000000000005</v>
      </c>
      <c r="O44" s="64">
        <v>0</v>
      </c>
      <c r="P44" s="64">
        <v>0.41</v>
      </c>
      <c r="Q44" s="64">
        <v>9.65</v>
      </c>
      <c r="R44" s="198"/>
      <c r="S44" s="198"/>
      <c r="T44" s="198"/>
      <c r="U44" s="198"/>
    </row>
    <row r="45" spans="1:21" s="12" customFormat="1" x14ac:dyDescent="0.25">
      <c r="A45" s="212" t="s">
        <v>2683</v>
      </c>
      <c r="B45" s="64">
        <v>16.739999999999998</v>
      </c>
      <c r="C45" s="64">
        <v>4.95</v>
      </c>
      <c r="D45" s="64">
        <v>16.010000000000002</v>
      </c>
      <c r="E45" s="64">
        <v>4.5599999999999996</v>
      </c>
      <c r="F45" s="64">
        <v>2.48</v>
      </c>
      <c r="G45" s="64">
        <v>54.52</v>
      </c>
      <c r="H45" s="64">
        <v>7.57</v>
      </c>
      <c r="I45" s="64">
        <v>1.58</v>
      </c>
      <c r="J45" s="64">
        <v>0.13</v>
      </c>
      <c r="K45" s="64">
        <v>281</v>
      </c>
      <c r="L45" s="64">
        <v>28.84</v>
      </c>
      <c r="M45" s="64">
        <v>87.93</v>
      </c>
      <c r="N45" s="64">
        <v>472.3</v>
      </c>
      <c r="O45" s="64">
        <v>0</v>
      </c>
      <c r="P45" s="64">
        <v>0.42</v>
      </c>
      <c r="Q45" s="64">
        <v>9.65</v>
      </c>
      <c r="R45" s="198"/>
      <c r="S45" s="198"/>
      <c r="T45" s="198"/>
      <c r="U45" s="198"/>
    </row>
    <row r="46" spans="1:21" s="12" customFormat="1" x14ac:dyDescent="0.25">
      <c r="A46" s="212" t="s">
        <v>2684</v>
      </c>
      <c r="B46" s="64">
        <v>14.46</v>
      </c>
      <c r="C46" s="64">
        <v>7.2</v>
      </c>
      <c r="D46" s="64">
        <v>15.36</v>
      </c>
      <c r="E46" s="64">
        <v>4.3600000000000003</v>
      </c>
      <c r="F46" s="64">
        <v>4.01</v>
      </c>
      <c r="G46" s="64">
        <v>54.52</v>
      </c>
      <c r="H46" s="64">
        <v>7.57</v>
      </c>
      <c r="I46" s="64">
        <v>1.5</v>
      </c>
      <c r="J46" s="64">
        <v>0.23</v>
      </c>
      <c r="K46" s="64">
        <v>313.22000000000003</v>
      </c>
      <c r="L46" s="64">
        <v>29.93</v>
      </c>
      <c r="M46" s="64">
        <v>81.19</v>
      </c>
      <c r="N46" s="64">
        <v>542.6</v>
      </c>
      <c r="O46" s="64">
        <v>0</v>
      </c>
      <c r="P46" s="64">
        <v>0.4</v>
      </c>
      <c r="Q46" s="64">
        <v>9.65</v>
      </c>
      <c r="R46" s="198"/>
      <c r="S46" s="198"/>
      <c r="T46" s="198"/>
      <c r="U46" s="198"/>
    </row>
    <row r="47" spans="1:21" s="12" customFormat="1" x14ac:dyDescent="0.25">
      <c r="A47" s="212" t="s">
        <v>2685</v>
      </c>
      <c r="B47" s="64">
        <v>16.07</v>
      </c>
      <c r="C47" s="64">
        <v>6.36</v>
      </c>
      <c r="D47" s="64">
        <v>16.21</v>
      </c>
      <c r="E47" s="64">
        <v>4.87</v>
      </c>
      <c r="F47" s="64">
        <v>4.18</v>
      </c>
      <c r="G47" s="64">
        <v>54.52</v>
      </c>
      <c r="H47" s="64">
        <v>7.57</v>
      </c>
      <c r="I47" s="64">
        <v>1.5</v>
      </c>
      <c r="J47" s="64">
        <v>0.67</v>
      </c>
      <c r="K47" s="64">
        <v>330.96</v>
      </c>
      <c r="L47" s="64">
        <v>31.05</v>
      </c>
      <c r="M47" s="64">
        <v>76.25</v>
      </c>
      <c r="N47" s="64">
        <v>667.1</v>
      </c>
      <c r="O47" s="64">
        <v>0</v>
      </c>
      <c r="P47" s="64">
        <v>0.45</v>
      </c>
      <c r="Q47" s="64">
        <v>9.65</v>
      </c>
      <c r="R47" s="198"/>
      <c r="S47" s="198"/>
      <c r="T47" s="198"/>
      <c r="U47" s="198"/>
    </row>
    <row r="48" spans="1:21" s="12" customFormat="1" x14ac:dyDescent="0.25">
      <c r="A48" s="212" t="s">
        <v>2686</v>
      </c>
      <c r="B48" s="64">
        <v>16.91</v>
      </c>
      <c r="C48" s="64">
        <v>5.45</v>
      </c>
      <c r="D48" s="64">
        <v>16.41</v>
      </c>
      <c r="E48" s="64">
        <v>4.6900000000000004</v>
      </c>
      <c r="F48" s="64">
        <v>3.42</v>
      </c>
      <c r="G48" s="64">
        <v>52.73</v>
      </c>
      <c r="H48" s="64">
        <v>6.26</v>
      </c>
      <c r="I48" s="64">
        <v>1.51</v>
      </c>
      <c r="J48" s="64">
        <v>0.9</v>
      </c>
      <c r="K48" s="64">
        <v>334.16</v>
      </c>
      <c r="L48" s="64">
        <v>32.18</v>
      </c>
      <c r="M48" s="64">
        <v>70.52</v>
      </c>
      <c r="N48" s="64">
        <v>513.1</v>
      </c>
      <c r="O48" s="64">
        <v>0</v>
      </c>
      <c r="P48" s="64">
        <v>0.46</v>
      </c>
      <c r="Q48" s="64">
        <v>9.65</v>
      </c>
      <c r="R48" s="198"/>
      <c r="S48" s="198"/>
      <c r="T48" s="198"/>
      <c r="U48" s="198"/>
    </row>
    <row r="49" spans="1:21" s="12" customFormat="1" x14ac:dyDescent="0.25">
      <c r="A49" s="212" t="s">
        <v>2687</v>
      </c>
      <c r="B49" s="64">
        <v>17.23</v>
      </c>
      <c r="C49" s="64">
        <v>7.25</v>
      </c>
      <c r="D49" s="64">
        <v>17.61</v>
      </c>
      <c r="E49" s="64">
        <v>4.8600000000000003</v>
      </c>
      <c r="F49" s="64">
        <v>4.6100000000000003</v>
      </c>
      <c r="G49" s="64">
        <v>51.83</v>
      </c>
      <c r="H49" s="64">
        <v>5.61</v>
      </c>
      <c r="I49" s="64">
        <v>1.5</v>
      </c>
      <c r="J49" s="64">
        <v>0.98</v>
      </c>
      <c r="K49" s="64">
        <v>334.33</v>
      </c>
      <c r="L49" s="64">
        <v>31.94</v>
      </c>
      <c r="M49" s="64">
        <v>71.16</v>
      </c>
      <c r="N49" s="64">
        <v>467.9</v>
      </c>
      <c r="O49" s="64">
        <v>0</v>
      </c>
      <c r="P49" s="64">
        <v>0.47</v>
      </c>
      <c r="Q49" s="64">
        <v>9.64</v>
      </c>
      <c r="R49" s="198"/>
      <c r="S49" s="198"/>
      <c r="T49" s="198"/>
      <c r="U49" s="198"/>
    </row>
    <row r="50" spans="1:21" s="12" customFormat="1" x14ac:dyDescent="0.25">
      <c r="A50" s="212" t="s">
        <v>2688</v>
      </c>
      <c r="B50" s="64">
        <v>15.29</v>
      </c>
      <c r="C50" s="64">
        <v>8.83</v>
      </c>
      <c r="D50" s="64">
        <v>16.88</v>
      </c>
      <c r="E50" s="64">
        <v>4.96</v>
      </c>
      <c r="F50" s="64">
        <v>7.41</v>
      </c>
      <c r="G50" s="64">
        <v>51.83</v>
      </c>
      <c r="H50" s="64">
        <v>5.61</v>
      </c>
      <c r="I50" s="64">
        <v>1.59</v>
      </c>
      <c r="J50" s="64">
        <v>1.29</v>
      </c>
      <c r="K50" s="64">
        <v>338.61</v>
      </c>
      <c r="L50" s="64">
        <v>31.4</v>
      </c>
      <c r="M50" s="64">
        <v>72.28</v>
      </c>
      <c r="N50" s="64">
        <v>355.3</v>
      </c>
      <c r="O50" s="64">
        <v>0</v>
      </c>
      <c r="P50" s="64">
        <v>0.47</v>
      </c>
      <c r="Q50" s="64">
        <v>9.65</v>
      </c>
      <c r="R50" s="198"/>
      <c r="S50" s="198"/>
      <c r="T50" s="198"/>
      <c r="U50" s="198"/>
    </row>
    <row r="51" spans="1:21" s="12" customFormat="1" x14ac:dyDescent="0.25">
      <c r="A51" s="212" t="s">
        <v>2689</v>
      </c>
      <c r="B51" s="64">
        <v>18.170000000000002</v>
      </c>
      <c r="C51" s="64">
        <v>13.65</v>
      </c>
      <c r="D51" s="64">
        <v>21.7</v>
      </c>
      <c r="E51" s="64">
        <v>4.92</v>
      </c>
      <c r="F51" s="64">
        <v>9.42</v>
      </c>
      <c r="G51" s="64">
        <v>51.83</v>
      </c>
      <c r="H51" s="64">
        <v>5.61</v>
      </c>
      <c r="I51" s="64">
        <v>1.68</v>
      </c>
      <c r="J51" s="64">
        <v>1.29</v>
      </c>
      <c r="K51" s="64">
        <v>339.86</v>
      </c>
      <c r="L51" s="64">
        <v>30.49</v>
      </c>
      <c r="M51" s="64">
        <v>76.42</v>
      </c>
      <c r="N51" s="64">
        <v>319.5</v>
      </c>
      <c r="O51" s="64">
        <v>0</v>
      </c>
      <c r="P51" s="64">
        <v>0.55000000000000004</v>
      </c>
      <c r="Q51" s="64">
        <v>9.6199999999999992</v>
      </c>
      <c r="R51" s="198"/>
      <c r="S51" s="198"/>
      <c r="T51" s="198"/>
      <c r="U51" s="198"/>
    </row>
    <row r="52" spans="1:21" s="12" customFormat="1" x14ac:dyDescent="0.25">
      <c r="A52" s="212" t="s">
        <v>2690</v>
      </c>
      <c r="B52" s="64">
        <v>15.83</v>
      </c>
      <c r="C52" s="64">
        <v>16.34</v>
      </c>
      <c r="D52" s="64">
        <v>21.23</v>
      </c>
      <c r="E52" s="64">
        <v>5.0199999999999996</v>
      </c>
      <c r="F52" s="64">
        <v>11.91</v>
      </c>
      <c r="G52" s="64">
        <v>39.950000000000003</v>
      </c>
      <c r="H52" s="64">
        <v>23.12</v>
      </c>
      <c r="I52" s="64">
        <v>1.55</v>
      </c>
      <c r="J52" s="64">
        <v>1.1299999999999999</v>
      </c>
      <c r="K52" s="64">
        <v>339.96</v>
      </c>
      <c r="L52" s="64">
        <v>30.03</v>
      </c>
      <c r="M52" s="64">
        <v>79.34</v>
      </c>
      <c r="N52" s="64">
        <v>242.8</v>
      </c>
      <c r="O52" s="64">
        <v>0</v>
      </c>
      <c r="P52" s="64">
        <v>0.61</v>
      </c>
      <c r="Q52" s="64">
        <v>9.59</v>
      </c>
      <c r="R52" s="198"/>
      <c r="S52" s="198"/>
      <c r="T52" s="198"/>
      <c r="U52" s="198"/>
    </row>
    <row r="53" spans="1:21" s="12" customFormat="1" x14ac:dyDescent="0.25">
      <c r="A53" s="212" t="s">
        <v>2691</v>
      </c>
      <c r="B53" s="64">
        <v>22.05</v>
      </c>
      <c r="C53" s="64">
        <v>16.87</v>
      </c>
      <c r="D53" s="64">
        <v>26.48</v>
      </c>
      <c r="E53" s="64">
        <v>5.0999999999999996</v>
      </c>
      <c r="F53" s="64">
        <v>8.3000000000000007</v>
      </c>
      <c r="G53" s="64">
        <v>34.01</v>
      </c>
      <c r="H53" s="64">
        <v>31.88</v>
      </c>
      <c r="I53" s="64">
        <v>1.38</v>
      </c>
      <c r="J53" s="64">
        <v>0.74</v>
      </c>
      <c r="K53" s="64">
        <v>339.09</v>
      </c>
      <c r="L53" s="64">
        <v>29.56</v>
      </c>
      <c r="M53" s="64">
        <v>80.7</v>
      </c>
      <c r="N53" s="64">
        <v>217.8</v>
      </c>
      <c r="O53" s="64">
        <v>0</v>
      </c>
      <c r="P53" s="64">
        <v>0.7</v>
      </c>
      <c r="Q53" s="64">
        <v>9.58</v>
      </c>
      <c r="R53" s="198"/>
      <c r="S53" s="198"/>
      <c r="T53" s="198"/>
      <c r="U53" s="198"/>
    </row>
    <row r="54" spans="1:21" s="12" customFormat="1" x14ac:dyDescent="0.25">
      <c r="A54" s="212" t="s">
        <v>2692</v>
      </c>
      <c r="B54" s="64">
        <v>27.73</v>
      </c>
      <c r="C54" s="64">
        <v>17.3</v>
      </c>
      <c r="D54" s="64">
        <v>31.27</v>
      </c>
      <c r="E54" s="64">
        <v>5.19</v>
      </c>
      <c r="F54" s="64">
        <v>9.24</v>
      </c>
      <c r="G54" s="64">
        <v>34.01</v>
      </c>
      <c r="H54" s="64">
        <v>31.88</v>
      </c>
      <c r="I54" s="64">
        <v>1.37</v>
      </c>
      <c r="J54" s="64">
        <v>0.48</v>
      </c>
      <c r="K54" s="64">
        <v>340.13</v>
      </c>
      <c r="L54" s="64">
        <v>29.49</v>
      </c>
      <c r="M54" s="64">
        <v>79.319999999999993</v>
      </c>
      <c r="N54" s="64">
        <v>231</v>
      </c>
      <c r="O54" s="64">
        <v>0</v>
      </c>
      <c r="P54" s="64">
        <v>0.76</v>
      </c>
      <c r="Q54" s="64">
        <v>9.57</v>
      </c>
      <c r="R54" s="198"/>
      <c r="S54" s="198"/>
      <c r="T54" s="198"/>
      <c r="U54" s="198"/>
    </row>
    <row r="55" spans="1:21" s="12" customFormat="1" x14ac:dyDescent="0.25">
      <c r="A55" s="212" t="s">
        <v>2693</v>
      </c>
      <c r="B55" s="64">
        <v>21.81</v>
      </c>
      <c r="C55" s="64">
        <v>16.23</v>
      </c>
      <c r="D55" s="64">
        <v>25.97</v>
      </c>
      <c r="E55" s="64">
        <v>5.32</v>
      </c>
      <c r="F55" s="64">
        <v>8.26</v>
      </c>
      <c r="G55" s="64">
        <v>34.01</v>
      </c>
      <c r="H55" s="64">
        <v>31.88</v>
      </c>
      <c r="I55" s="64">
        <v>1.52</v>
      </c>
      <c r="J55" s="64">
        <v>0.55000000000000004</v>
      </c>
      <c r="K55" s="64">
        <v>337.24</v>
      </c>
      <c r="L55" s="64">
        <v>29.69</v>
      </c>
      <c r="M55" s="64">
        <v>77.95</v>
      </c>
      <c r="N55" s="64">
        <v>314.5</v>
      </c>
      <c r="O55" s="64">
        <v>0</v>
      </c>
      <c r="P55" s="64">
        <v>0.8</v>
      </c>
      <c r="Q55" s="64">
        <v>9.57</v>
      </c>
      <c r="R55" s="198"/>
      <c r="S55" s="198"/>
      <c r="T55" s="198"/>
      <c r="U55" s="198"/>
    </row>
    <row r="56" spans="1:21" s="12" customFormat="1" x14ac:dyDescent="0.25">
      <c r="A56" s="212" t="s">
        <v>2694</v>
      </c>
      <c r="B56" s="64">
        <v>15.02</v>
      </c>
      <c r="C56" s="64">
        <v>13.39</v>
      </c>
      <c r="D56" s="64">
        <v>19.04</v>
      </c>
      <c r="E56" s="64">
        <v>5.64</v>
      </c>
      <c r="F56" s="64">
        <v>10.95</v>
      </c>
      <c r="G56" s="64">
        <v>58.79</v>
      </c>
      <c r="H56" s="64">
        <v>30.79</v>
      </c>
      <c r="I56" s="64">
        <v>1.57</v>
      </c>
      <c r="J56" s="64">
        <v>0.1</v>
      </c>
      <c r="K56" s="64">
        <v>38.15</v>
      </c>
      <c r="L56" s="64">
        <v>30.29</v>
      </c>
      <c r="M56" s="64">
        <v>73.92</v>
      </c>
      <c r="N56" s="64">
        <v>548.29999999999995</v>
      </c>
      <c r="O56" s="64">
        <v>0</v>
      </c>
      <c r="P56" s="64">
        <v>0.65</v>
      </c>
      <c r="Q56" s="64">
        <v>9.57</v>
      </c>
      <c r="R56" s="198"/>
      <c r="S56" s="198"/>
      <c r="T56" s="198"/>
      <c r="U56" s="198"/>
    </row>
    <row r="57" spans="1:21" s="12" customFormat="1" x14ac:dyDescent="0.25">
      <c r="A57" s="212" t="s">
        <v>2695</v>
      </c>
      <c r="B57" s="64">
        <v>11.65</v>
      </c>
      <c r="C57" s="64">
        <v>13.79</v>
      </c>
      <c r="D57" s="64">
        <v>16.55</v>
      </c>
      <c r="E57" s="64">
        <v>5.63</v>
      </c>
      <c r="F57" s="64">
        <v>10.81</v>
      </c>
      <c r="G57" s="64">
        <v>71.180000000000007</v>
      </c>
      <c r="H57" s="64">
        <v>30.25</v>
      </c>
      <c r="I57" s="64">
        <v>1.53</v>
      </c>
      <c r="J57" s="64">
        <v>0.45</v>
      </c>
      <c r="K57" s="64">
        <v>128.72</v>
      </c>
      <c r="L57" s="64">
        <v>29.14</v>
      </c>
      <c r="M57" s="64">
        <v>80.44</v>
      </c>
      <c r="N57" s="64">
        <v>262.2</v>
      </c>
      <c r="O57" s="64">
        <v>0</v>
      </c>
      <c r="P57" s="64">
        <v>0.47</v>
      </c>
      <c r="Q57" s="64">
        <v>9.58</v>
      </c>
      <c r="R57" s="198"/>
      <c r="S57" s="198"/>
      <c r="T57" s="198"/>
      <c r="U57" s="198"/>
    </row>
    <row r="58" spans="1:21" s="12" customFormat="1" x14ac:dyDescent="0.25">
      <c r="A58" s="212" t="s">
        <v>2696</v>
      </c>
      <c r="B58" s="64">
        <v>19.579999999999998</v>
      </c>
      <c r="C58" s="64">
        <v>14.55</v>
      </c>
      <c r="D58" s="64">
        <v>23.3</v>
      </c>
      <c r="E58" s="64">
        <v>6.04</v>
      </c>
      <c r="F58" s="64">
        <v>8.1</v>
      </c>
      <c r="G58" s="64">
        <v>71.180000000000007</v>
      </c>
      <c r="H58" s="64">
        <v>30.25</v>
      </c>
      <c r="I58" s="64">
        <v>1.55</v>
      </c>
      <c r="J58" s="64">
        <v>0.2</v>
      </c>
      <c r="K58" s="64">
        <v>357.92</v>
      </c>
      <c r="L58" s="64">
        <v>28.76</v>
      </c>
      <c r="M58" s="64">
        <v>81.94</v>
      </c>
      <c r="N58" s="64">
        <v>362.7</v>
      </c>
      <c r="O58" s="64">
        <v>0</v>
      </c>
      <c r="P58" s="64">
        <v>0.56999999999999995</v>
      </c>
      <c r="Q58" s="64">
        <v>9.61</v>
      </c>
      <c r="R58" s="198"/>
      <c r="S58" s="198"/>
      <c r="T58" s="198"/>
      <c r="U58" s="198"/>
    </row>
    <row r="59" spans="1:21" s="12" customFormat="1" x14ac:dyDescent="0.25">
      <c r="A59" s="212" t="s">
        <v>2697</v>
      </c>
      <c r="B59" s="64">
        <v>19.3</v>
      </c>
      <c r="C59" s="64">
        <v>14.45</v>
      </c>
      <c r="D59" s="64">
        <v>23.03</v>
      </c>
      <c r="E59" s="64">
        <v>6.65</v>
      </c>
      <c r="F59" s="64">
        <v>6.08</v>
      </c>
      <c r="G59" s="64">
        <v>71.180000000000007</v>
      </c>
      <c r="H59" s="64">
        <v>30.25</v>
      </c>
      <c r="I59" s="64">
        <v>1.55</v>
      </c>
      <c r="J59" s="64">
        <v>0.43</v>
      </c>
      <c r="K59" s="64">
        <v>119.08</v>
      </c>
      <c r="L59" s="64">
        <v>29.43</v>
      </c>
      <c r="M59" s="64">
        <v>78.89</v>
      </c>
      <c r="N59" s="64">
        <v>496.6</v>
      </c>
      <c r="O59" s="64">
        <v>0</v>
      </c>
      <c r="P59" s="64">
        <v>0.47</v>
      </c>
      <c r="Q59" s="64">
        <v>9.61</v>
      </c>
      <c r="R59" s="198"/>
      <c r="S59" s="198"/>
      <c r="T59" s="198"/>
      <c r="U59" s="198"/>
    </row>
    <row r="60" spans="1:21" s="12" customFormat="1" x14ac:dyDescent="0.25">
      <c r="A60" s="212" t="s">
        <v>2698</v>
      </c>
      <c r="B60" s="64">
        <v>23.29</v>
      </c>
      <c r="C60" s="64">
        <v>15.94</v>
      </c>
      <c r="D60" s="64">
        <v>27.01</v>
      </c>
      <c r="E60" s="64">
        <v>6.99</v>
      </c>
      <c r="F60" s="64">
        <v>5.61</v>
      </c>
      <c r="G60" s="64">
        <v>69.13</v>
      </c>
      <c r="H60" s="64">
        <v>28.15</v>
      </c>
      <c r="I60" s="64">
        <v>1.54</v>
      </c>
      <c r="J60" s="64">
        <v>0.18</v>
      </c>
      <c r="K60" s="64">
        <v>333.66</v>
      </c>
      <c r="L60" s="64">
        <v>29.28</v>
      </c>
      <c r="M60" s="64">
        <v>79.94</v>
      </c>
      <c r="N60" s="64">
        <v>265.89999999999998</v>
      </c>
      <c r="O60" s="64">
        <v>0</v>
      </c>
      <c r="P60" s="64">
        <v>0.47</v>
      </c>
      <c r="Q60" s="64">
        <v>9.6199999999999992</v>
      </c>
      <c r="R60" s="198"/>
      <c r="S60" s="198"/>
      <c r="T60" s="198"/>
      <c r="U60" s="198"/>
    </row>
    <row r="61" spans="1:21" s="12" customFormat="1" x14ac:dyDescent="0.25">
      <c r="A61" s="212" t="s">
        <v>2699</v>
      </c>
      <c r="B61" s="64">
        <v>24.23</v>
      </c>
      <c r="C61" s="64">
        <v>16</v>
      </c>
      <c r="D61" s="64">
        <v>27.79</v>
      </c>
      <c r="E61" s="64">
        <v>6.37</v>
      </c>
      <c r="F61" s="64">
        <v>6.94</v>
      </c>
      <c r="G61" s="64">
        <v>68.11</v>
      </c>
      <c r="H61" s="64">
        <v>27.11</v>
      </c>
      <c r="I61" s="64">
        <v>1.53</v>
      </c>
      <c r="J61" s="64">
        <v>0.3</v>
      </c>
      <c r="K61" s="64">
        <v>121.42</v>
      </c>
      <c r="L61" s="64">
        <v>29.4</v>
      </c>
      <c r="M61" s="64">
        <v>81.38</v>
      </c>
      <c r="N61" s="64">
        <v>341.4</v>
      </c>
      <c r="O61" s="64">
        <v>0</v>
      </c>
      <c r="P61" s="64">
        <v>0.33</v>
      </c>
      <c r="Q61" s="64">
        <v>9.6300000000000008</v>
      </c>
      <c r="R61" s="198"/>
      <c r="S61" s="198"/>
      <c r="T61" s="198"/>
      <c r="U61" s="198"/>
    </row>
    <row r="62" spans="1:21" s="12" customFormat="1" x14ac:dyDescent="0.25">
      <c r="A62" s="212" t="s">
        <v>2700</v>
      </c>
      <c r="B62" s="64">
        <v>13.12</v>
      </c>
      <c r="C62" s="64">
        <v>14.18</v>
      </c>
      <c r="D62" s="64">
        <v>17.93</v>
      </c>
      <c r="E62" s="64">
        <v>5.88</v>
      </c>
      <c r="F62" s="64">
        <v>9.3699999999999992</v>
      </c>
      <c r="G62" s="64">
        <v>68.11</v>
      </c>
      <c r="H62" s="64">
        <v>27.11</v>
      </c>
      <c r="I62" s="64">
        <v>1.49</v>
      </c>
      <c r="J62" s="64">
        <v>0.32</v>
      </c>
      <c r="K62" s="64">
        <v>129.13</v>
      </c>
      <c r="L62" s="64">
        <v>29.11</v>
      </c>
      <c r="M62" s="64">
        <v>81.62</v>
      </c>
      <c r="N62" s="64">
        <v>365.6</v>
      </c>
      <c r="O62" s="64">
        <v>0</v>
      </c>
      <c r="P62" s="64">
        <v>0.33</v>
      </c>
      <c r="Q62" s="64">
        <v>9.64</v>
      </c>
      <c r="R62" s="198"/>
      <c r="S62" s="198"/>
      <c r="T62" s="198"/>
      <c r="U62" s="198"/>
    </row>
    <row r="63" spans="1:21" s="12" customFormat="1" x14ac:dyDescent="0.25">
      <c r="A63" s="212" t="s">
        <v>2701</v>
      </c>
      <c r="B63" s="64">
        <v>14.87</v>
      </c>
      <c r="C63" s="64">
        <v>14.66</v>
      </c>
      <c r="D63" s="64">
        <v>19.59</v>
      </c>
      <c r="E63" s="64">
        <v>5.1100000000000003</v>
      </c>
      <c r="F63" s="64">
        <v>10.11</v>
      </c>
      <c r="G63" s="64">
        <v>68.11</v>
      </c>
      <c r="H63" s="64">
        <v>27.11</v>
      </c>
      <c r="I63" s="64">
        <v>1.43</v>
      </c>
      <c r="J63" s="64">
        <v>0.24</v>
      </c>
      <c r="K63" s="64">
        <v>13.36</v>
      </c>
      <c r="L63" s="64">
        <v>29.07</v>
      </c>
      <c r="M63" s="64">
        <v>80.25</v>
      </c>
      <c r="N63" s="64">
        <v>321.3</v>
      </c>
      <c r="O63" s="64">
        <v>0</v>
      </c>
      <c r="P63" s="64">
        <v>0.31</v>
      </c>
      <c r="Q63" s="64">
        <v>9.64</v>
      </c>
      <c r="R63" s="198"/>
      <c r="S63" s="198"/>
      <c r="T63" s="198"/>
      <c r="U63" s="198"/>
    </row>
    <row r="64" spans="1:21" s="12" customFormat="1" x14ac:dyDescent="0.25">
      <c r="A64" s="212" t="s">
        <v>2702</v>
      </c>
      <c r="B64" s="64">
        <v>15.63</v>
      </c>
      <c r="C64" s="64">
        <v>16.27</v>
      </c>
      <c r="D64" s="64">
        <v>21.04</v>
      </c>
      <c r="E64" s="64">
        <v>5.28</v>
      </c>
      <c r="F64" s="64">
        <v>10.36</v>
      </c>
      <c r="G64" s="64">
        <v>70.540000000000006</v>
      </c>
      <c r="H64" s="64">
        <v>23.36</v>
      </c>
      <c r="I64" s="64">
        <v>1.34</v>
      </c>
      <c r="J64" s="64">
        <v>0.24</v>
      </c>
      <c r="K64" s="64">
        <v>357.23</v>
      </c>
      <c r="L64" s="64">
        <v>29.39</v>
      </c>
      <c r="M64" s="64">
        <v>77.48</v>
      </c>
      <c r="N64" s="64">
        <v>264</v>
      </c>
      <c r="O64" s="64">
        <v>0</v>
      </c>
      <c r="P64" s="64">
        <v>0.38</v>
      </c>
      <c r="Q64" s="64">
        <v>9.6300000000000008</v>
      </c>
      <c r="R64" s="198"/>
      <c r="S64" s="198"/>
      <c r="T64" s="198"/>
      <c r="U64" s="198"/>
    </row>
    <row r="65" spans="1:21" s="12" customFormat="1" x14ac:dyDescent="0.25">
      <c r="A65" s="212" t="s">
        <v>2703</v>
      </c>
      <c r="B65" s="64">
        <v>15.68</v>
      </c>
      <c r="C65" s="64">
        <v>14.68</v>
      </c>
      <c r="D65" s="64">
        <v>20.23</v>
      </c>
      <c r="E65" s="64">
        <v>5.49</v>
      </c>
      <c r="F65" s="64">
        <v>8.69</v>
      </c>
      <c r="G65" s="64">
        <v>71.75</v>
      </c>
      <c r="H65" s="64">
        <v>21.48</v>
      </c>
      <c r="I65" s="64">
        <v>1.24</v>
      </c>
      <c r="J65" s="64">
        <v>0.97</v>
      </c>
      <c r="K65" s="64">
        <v>338.83</v>
      </c>
      <c r="L65" s="64">
        <v>29.33</v>
      </c>
      <c r="M65" s="64">
        <v>76.59</v>
      </c>
      <c r="N65" s="64">
        <v>251.7</v>
      </c>
      <c r="O65" s="64">
        <v>0</v>
      </c>
      <c r="P65" s="64">
        <v>0.38</v>
      </c>
      <c r="Q65" s="64">
        <v>9.6</v>
      </c>
      <c r="R65" s="198"/>
      <c r="S65" s="198"/>
      <c r="T65" s="198"/>
      <c r="U65" s="198"/>
    </row>
    <row r="66" spans="1:21" s="12" customFormat="1" x14ac:dyDescent="0.25">
      <c r="A66" s="212" t="s">
        <v>2704</v>
      </c>
      <c r="B66" s="64">
        <v>22.93</v>
      </c>
      <c r="C66" s="64">
        <v>18.420000000000002</v>
      </c>
      <c r="D66" s="64">
        <v>28.01</v>
      </c>
      <c r="E66" s="64">
        <v>5.82</v>
      </c>
      <c r="F66" s="64">
        <v>10.43</v>
      </c>
      <c r="G66" s="64">
        <v>71.75</v>
      </c>
      <c r="H66" s="64">
        <v>21.48</v>
      </c>
      <c r="I66" s="64">
        <v>1.24</v>
      </c>
      <c r="J66" s="64">
        <v>0.77</v>
      </c>
      <c r="K66" s="64">
        <v>338.39</v>
      </c>
      <c r="L66" s="64">
        <v>30</v>
      </c>
      <c r="M66" s="64">
        <v>73.47</v>
      </c>
      <c r="N66" s="64">
        <v>236.6</v>
      </c>
      <c r="O66" s="64">
        <v>0</v>
      </c>
      <c r="P66" s="64">
        <v>0.4</v>
      </c>
      <c r="Q66" s="64">
        <v>9.59</v>
      </c>
      <c r="R66" s="198"/>
      <c r="S66" s="198"/>
      <c r="T66" s="198"/>
      <c r="U66" s="198"/>
    </row>
    <row r="67" spans="1:21" s="12" customFormat="1" x14ac:dyDescent="0.25">
      <c r="A67" s="212" t="s">
        <v>2705</v>
      </c>
      <c r="B67" s="64">
        <v>21.2</v>
      </c>
      <c r="C67" s="64">
        <v>20.14</v>
      </c>
      <c r="D67" s="64">
        <v>27.52</v>
      </c>
      <c r="E67" s="64">
        <v>6</v>
      </c>
      <c r="F67" s="64">
        <v>9.6199999999999992</v>
      </c>
      <c r="G67" s="64">
        <v>71.75</v>
      </c>
      <c r="H67" s="64">
        <v>21.48</v>
      </c>
      <c r="I67" s="64">
        <v>1.23</v>
      </c>
      <c r="J67" s="64">
        <v>0.39</v>
      </c>
      <c r="K67" s="64">
        <v>337.98</v>
      </c>
      <c r="L67" s="64">
        <v>30.01</v>
      </c>
      <c r="M67" s="64">
        <v>73.319999999999993</v>
      </c>
      <c r="N67" s="64">
        <v>268.10000000000002</v>
      </c>
      <c r="O67" s="64">
        <v>0</v>
      </c>
      <c r="P67" s="64">
        <v>0.41</v>
      </c>
      <c r="Q67" s="64">
        <v>9.59</v>
      </c>
      <c r="R67" s="198"/>
      <c r="S67" s="198"/>
      <c r="T67" s="198"/>
      <c r="U67" s="198"/>
    </row>
    <row r="68" spans="1:21" s="12" customFormat="1" x14ac:dyDescent="0.25">
      <c r="A68" s="212" t="s">
        <v>2706</v>
      </c>
      <c r="B68" s="64">
        <v>23.83</v>
      </c>
      <c r="C68" s="64">
        <v>18.39</v>
      </c>
      <c r="D68" s="64">
        <v>28.72</v>
      </c>
      <c r="E68" s="64">
        <v>7.59</v>
      </c>
      <c r="F68" s="64">
        <v>9.5500000000000007</v>
      </c>
      <c r="G68" s="64">
        <v>62.54</v>
      </c>
      <c r="H68" s="64">
        <v>17.32</v>
      </c>
      <c r="I68" s="64">
        <v>1.18</v>
      </c>
      <c r="J68" s="64">
        <v>0.87</v>
      </c>
      <c r="K68" s="64">
        <v>339.22</v>
      </c>
      <c r="L68" s="64">
        <v>30.42</v>
      </c>
      <c r="M68" s="64">
        <v>70.150000000000006</v>
      </c>
      <c r="N68" s="64">
        <v>244.9</v>
      </c>
      <c r="O68" s="64">
        <v>0</v>
      </c>
      <c r="P68" s="64">
        <v>0.39</v>
      </c>
      <c r="Q68" s="64">
        <v>9.57</v>
      </c>
      <c r="R68" s="198"/>
      <c r="S68" s="198"/>
      <c r="T68" s="198"/>
      <c r="U68" s="198"/>
    </row>
    <row r="69" spans="1:21" s="12" customFormat="1" x14ac:dyDescent="0.25">
      <c r="A69" s="212" t="s">
        <v>2707</v>
      </c>
      <c r="B69" s="64">
        <v>19.29</v>
      </c>
      <c r="C69" s="64">
        <v>16.88</v>
      </c>
      <c r="D69" s="64">
        <v>24.29</v>
      </c>
      <c r="E69" s="64">
        <v>7.44</v>
      </c>
      <c r="F69" s="64">
        <v>10.68</v>
      </c>
      <c r="G69" s="64">
        <v>57.94</v>
      </c>
      <c r="H69" s="64">
        <v>15.23</v>
      </c>
      <c r="I69" s="64">
        <v>1.18</v>
      </c>
      <c r="J69" s="64">
        <v>0.7</v>
      </c>
      <c r="K69" s="64">
        <v>339.19</v>
      </c>
      <c r="L69" s="64">
        <v>30.42</v>
      </c>
      <c r="M69" s="64">
        <v>70.55</v>
      </c>
      <c r="N69" s="64">
        <v>179.5</v>
      </c>
      <c r="O69" s="64">
        <v>0</v>
      </c>
      <c r="P69" s="64">
        <v>0.38</v>
      </c>
      <c r="Q69" s="64">
        <v>9.57</v>
      </c>
      <c r="R69" s="198"/>
      <c r="S69" s="198"/>
      <c r="T69" s="198"/>
      <c r="U69" s="198"/>
    </row>
    <row r="70" spans="1:21" s="12" customFormat="1" x14ac:dyDescent="0.25">
      <c r="A70" s="212" t="s">
        <v>2708</v>
      </c>
      <c r="B70" s="64">
        <v>20.04</v>
      </c>
      <c r="C70" s="64">
        <v>17.100000000000001</v>
      </c>
      <c r="D70" s="64">
        <v>25.01</v>
      </c>
      <c r="E70" s="64">
        <v>7.62</v>
      </c>
      <c r="F70" s="64">
        <v>10.38</v>
      </c>
      <c r="G70" s="64">
        <v>57.94</v>
      </c>
      <c r="H70" s="64">
        <v>15.23</v>
      </c>
      <c r="I70" s="64">
        <v>1.18</v>
      </c>
      <c r="J70" s="64">
        <v>0.64</v>
      </c>
      <c r="K70" s="64">
        <v>336.25</v>
      </c>
      <c r="L70" s="64">
        <v>30.14</v>
      </c>
      <c r="M70" s="64">
        <v>74.09</v>
      </c>
      <c r="N70" s="64">
        <v>177.2</v>
      </c>
      <c r="O70" s="64">
        <v>0</v>
      </c>
      <c r="P70" s="64">
        <v>0.49</v>
      </c>
      <c r="Q70" s="64">
        <v>9.58</v>
      </c>
      <c r="R70" s="198"/>
      <c r="S70" s="198"/>
      <c r="T70" s="198"/>
      <c r="U70" s="198"/>
    </row>
    <row r="71" spans="1:21" s="12" customFormat="1" x14ac:dyDescent="0.25">
      <c r="A71" s="212" t="s">
        <v>2709</v>
      </c>
      <c r="B71" s="64">
        <v>18.059999999999999</v>
      </c>
      <c r="C71" s="64">
        <v>16.559999999999999</v>
      </c>
      <c r="D71" s="64">
        <v>23.13</v>
      </c>
      <c r="E71" s="64">
        <v>7.54</v>
      </c>
      <c r="F71" s="64">
        <v>12.32</v>
      </c>
      <c r="G71" s="64">
        <v>57.94</v>
      </c>
      <c r="H71" s="64">
        <v>15.23</v>
      </c>
      <c r="I71" s="64">
        <v>1.18</v>
      </c>
      <c r="J71" s="64">
        <v>0.59</v>
      </c>
      <c r="K71" s="64">
        <v>338.58</v>
      </c>
      <c r="L71" s="64">
        <v>30.34</v>
      </c>
      <c r="M71" s="64">
        <v>73.34</v>
      </c>
      <c r="N71" s="64">
        <v>205.1</v>
      </c>
      <c r="O71" s="64">
        <v>0</v>
      </c>
      <c r="P71" s="64">
        <v>0.48</v>
      </c>
      <c r="Q71" s="64">
        <v>9.59</v>
      </c>
      <c r="R71" s="198"/>
      <c r="S71" s="198"/>
      <c r="T71" s="198"/>
      <c r="U71" s="198"/>
    </row>
    <row r="72" spans="1:21" s="12" customFormat="1" x14ac:dyDescent="0.25">
      <c r="A72" s="212" t="s">
        <v>2710</v>
      </c>
      <c r="B72" s="64">
        <v>18.940000000000001</v>
      </c>
      <c r="C72" s="64">
        <v>19.55</v>
      </c>
      <c r="D72" s="64">
        <v>25.4</v>
      </c>
      <c r="E72" s="64">
        <v>6.66</v>
      </c>
      <c r="F72" s="64">
        <v>12.03</v>
      </c>
      <c r="G72" s="64">
        <v>75</v>
      </c>
      <c r="H72" s="64">
        <v>16.809999999999999</v>
      </c>
      <c r="I72" s="64">
        <v>1.2</v>
      </c>
      <c r="J72" s="64">
        <v>0.24</v>
      </c>
      <c r="K72" s="64">
        <v>343.84</v>
      </c>
      <c r="L72" s="64">
        <v>30.41</v>
      </c>
      <c r="M72" s="64">
        <v>73.42</v>
      </c>
      <c r="N72" s="64">
        <v>186.3</v>
      </c>
      <c r="O72" s="64">
        <v>0</v>
      </c>
      <c r="P72" s="64">
        <v>0.65</v>
      </c>
      <c r="Q72" s="64">
        <v>9.61</v>
      </c>
      <c r="R72" s="198"/>
      <c r="S72" s="198"/>
      <c r="T72" s="198"/>
      <c r="U72" s="198"/>
    </row>
    <row r="73" spans="1:21" s="12" customFormat="1" x14ac:dyDescent="0.25">
      <c r="A73" s="212" t="s">
        <v>2711</v>
      </c>
      <c r="B73" s="64">
        <v>21.98</v>
      </c>
      <c r="C73" s="64">
        <v>20.89</v>
      </c>
      <c r="D73" s="64">
        <v>28.54</v>
      </c>
      <c r="E73" s="64">
        <v>7.48</v>
      </c>
      <c r="F73" s="64">
        <v>11.8</v>
      </c>
      <c r="G73" s="64">
        <v>83.53</v>
      </c>
      <c r="H73" s="64">
        <v>17.600000000000001</v>
      </c>
      <c r="I73" s="64">
        <v>1.22</v>
      </c>
      <c r="J73" s="64">
        <v>0.31</v>
      </c>
      <c r="K73" s="64">
        <v>329.5</v>
      </c>
      <c r="L73" s="64">
        <v>30.19</v>
      </c>
      <c r="M73" s="64">
        <v>76.08</v>
      </c>
      <c r="N73" s="64">
        <v>133.1</v>
      </c>
      <c r="O73" s="64">
        <v>0</v>
      </c>
      <c r="P73" s="64">
        <v>0.75</v>
      </c>
      <c r="Q73" s="64">
        <v>9.61</v>
      </c>
      <c r="R73" s="198"/>
      <c r="S73" s="198"/>
      <c r="T73" s="198"/>
      <c r="U73" s="198"/>
    </row>
    <row r="74" spans="1:21" s="12" customFormat="1" x14ac:dyDescent="0.25">
      <c r="A74" s="212" t="s">
        <v>2712</v>
      </c>
      <c r="B74" s="64">
        <v>12.78</v>
      </c>
      <c r="C74" s="64">
        <v>18.809999999999999</v>
      </c>
      <c r="D74" s="64">
        <v>20.07</v>
      </c>
      <c r="E74" s="64">
        <v>6.75</v>
      </c>
      <c r="F74" s="64">
        <v>13.19</v>
      </c>
      <c r="G74" s="64">
        <v>83.53</v>
      </c>
      <c r="H74" s="64">
        <v>17.600000000000001</v>
      </c>
      <c r="I74" s="64">
        <v>1.24</v>
      </c>
      <c r="J74" s="64">
        <v>0.27</v>
      </c>
      <c r="K74" s="64">
        <v>130.99</v>
      </c>
      <c r="L74" s="64">
        <v>29.03</v>
      </c>
      <c r="M74" s="64">
        <v>81.88</v>
      </c>
      <c r="N74" s="64">
        <v>94.3</v>
      </c>
      <c r="O74" s="64">
        <v>0</v>
      </c>
      <c r="P74" s="64">
        <v>0.46</v>
      </c>
      <c r="Q74" s="64">
        <v>9.6300000000000008</v>
      </c>
      <c r="R74" s="198"/>
      <c r="S74" s="198"/>
      <c r="T74" s="198"/>
      <c r="U74" s="198"/>
    </row>
    <row r="75" spans="1:21" s="12" customFormat="1" x14ac:dyDescent="0.25">
      <c r="A75" s="212" t="s">
        <v>2713</v>
      </c>
      <c r="B75" s="64">
        <v>14.62</v>
      </c>
      <c r="C75" s="64">
        <v>18.77</v>
      </c>
      <c r="D75" s="64">
        <v>21.53</v>
      </c>
      <c r="E75" s="64">
        <v>6.78</v>
      </c>
      <c r="F75" s="64">
        <v>12.94</v>
      </c>
      <c r="G75" s="64">
        <v>83.53</v>
      </c>
      <c r="H75" s="64">
        <v>17.600000000000001</v>
      </c>
      <c r="I75" s="64">
        <v>1.27</v>
      </c>
      <c r="J75" s="64">
        <v>0.11</v>
      </c>
      <c r="K75" s="64">
        <v>98.7</v>
      </c>
      <c r="L75" s="64">
        <v>28.34</v>
      </c>
      <c r="M75" s="64">
        <v>86.74</v>
      </c>
      <c r="N75" s="64">
        <v>81.900000000000006</v>
      </c>
      <c r="O75" s="64">
        <v>0</v>
      </c>
      <c r="P75" s="64">
        <v>0.54</v>
      </c>
      <c r="Q75" s="64">
        <v>9.64</v>
      </c>
      <c r="R75" s="198"/>
      <c r="S75" s="198"/>
      <c r="T75" s="198"/>
      <c r="U75" s="198"/>
    </row>
    <row r="76" spans="1:21" s="12" customFormat="1" x14ac:dyDescent="0.25">
      <c r="A76" s="212" t="s">
        <v>2714</v>
      </c>
      <c r="B76" s="64">
        <v>8.0299999999999994</v>
      </c>
      <c r="C76" s="64">
        <v>14.56</v>
      </c>
      <c r="D76" s="64">
        <v>14.05</v>
      </c>
      <c r="E76" s="64">
        <v>6.39</v>
      </c>
      <c r="F76" s="64">
        <v>14.8</v>
      </c>
      <c r="G76" s="64">
        <v>91</v>
      </c>
      <c r="H76" s="64">
        <v>14.38</v>
      </c>
      <c r="I76" s="64">
        <v>1.28</v>
      </c>
      <c r="J76" s="64">
        <v>0.35</v>
      </c>
      <c r="K76" s="64">
        <v>127.25</v>
      </c>
      <c r="L76" s="64">
        <v>28.1</v>
      </c>
      <c r="M76" s="64">
        <v>87.15</v>
      </c>
      <c r="N76" s="64">
        <v>77.7</v>
      </c>
      <c r="O76" s="64">
        <v>0</v>
      </c>
      <c r="P76" s="64">
        <v>0.3</v>
      </c>
      <c r="Q76" s="64">
        <v>9.64</v>
      </c>
      <c r="R76" s="198"/>
      <c r="S76" s="198"/>
      <c r="T76" s="198"/>
      <c r="U76" s="198"/>
    </row>
    <row r="77" spans="1:21" s="12" customFormat="1" x14ac:dyDescent="0.25">
      <c r="A77" s="212" t="s">
        <v>2715</v>
      </c>
      <c r="B77" s="64">
        <v>8.08</v>
      </c>
      <c r="C77" s="64">
        <v>14.94</v>
      </c>
      <c r="D77" s="64">
        <v>14.29</v>
      </c>
      <c r="E77" s="64">
        <v>6.12</v>
      </c>
      <c r="F77" s="64">
        <v>12.94</v>
      </c>
      <c r="G77" s="64">
        <v>94.74</v>
      </c>
      <c r="H77" s="64">
        <v>12.77</v>
      </c>
      <c r="I77" s="64">
        <v>1.3</v>
      </c>
      <c r="J77" s="64">
        <v>0.32</v>
      </c>
      <c r="K77" s="64">
        <v>129.68</v>
      </c>
      <c r="L77" s="64">
        <v>27.97</v>
      </c>
      <c r="M77" s="64">
        <v>88.33</v>
      </c>
      <c r="N77" s="64">
        <v>78.5</v>
      </c>
      <c r="O77" s="64">
        <v>0</v>
      </c>
      <c r="P77" s="64">
        <v>0.35</v>
      </c>
      <c r="Q77" s="64">
        <v>9.6199999999999992</v>
      </c>
      <c r="R77" s="198"/>
      <c r="S77" s="198"/>
      <c r="T77" s="198"/>
      <c r="U77" s="198"/>
    </row>
    <row r="78" spans="1:21" s="12" customFormat="1" x14ac:dyDescent="0.25">
      <c r="A78" s="212" t="s">
        <v>2716</v>
      </c>
      <c r="B78" s="64">
        <v>5.41</v>
      </c>
      <c r="C78" s="64">
        <v>16.510000000000002</v>
      </c>
      <c r="D78" s="64">
        <v>12.96</v>
      </c>
      <c r="E78" s="64">
        <v>6.01</v>
      </c>
      <c r="F78" s="64">
        <v>14.58</v>
      </c>
      <c r="G78" s="64">
        <v>94.74</v>
      </c>
      <c r="H78" s="64">
        <v>12.77</v>
      </c>
      <c r="I78" s="64">
        <v>1.3</v>
      </c>
      <c r="J78" s="64">
        <v>0.34</v>
      </c>
      <c r="K78" s="64">
        <v>121.77</v>
      </c>
      <c r="L78" s="64">
        <v>27.9</v>
      </c>
      <c r="M78" s="64">
        <v>88.52</v>
      </c>
      <c r="N78" s="64">
        <v>77</v>
      </c>
      <c r="O78" s="64">
        <v>0</v>
      </c>
      <c r="P78" s="64">
        <v>0.3</v>
      </c>
      <c r="Q78" s="64">
        <v>9.64</v>
      </c>
      <c r="R78" s="198"/>
      <c r="S78" s="198"/>
      <c r="T78" s="198"/>
      <c r="U78" s="198"/>
    </row>
    <row r="79" spans="1:21" s="12" customFormat="1" x14ac:dyDescent="0.25">
      <c r="A79" s="212" t="s">
        <v>2717</v>
      </c>
      <c r="B79" s="64">
        <v>6.04</v>
      </c>
      <c r="C79" s="64">
        <v>17.09</v>
      </c>
      <c r="D79" s="64">
        <v>13.77</v>
      </c>
      <c r="E79" s="64">
        <v>5.56</v>
      </c>
      <c r="F79" s="64">
        <v>13.78</v>
      </c>
      <c r="G79" s="64">
        <v>94.74</v>
      </c>
      <c r="H79" s="64">
        <v>12.77</v>
      </c>
      <c r="I79" s="64">
        <v>1.29</v>
      </c>
      <c r="J79" s="64">
        <v>0.12</v>
      </c>
      <c r="K79" s="64">
        <v>137.84</v>
      </c>
      <c r="L79" s="64">
        <v>27.94</v>
      </c>
      <c r="M79" s="64">
        <v>88.07</v>
      </c>
      <c r="N79" s="64">
        <v>61.3</v>
      </c>
      <c r="O79" s="64">
        <v>0</v>
      </c>
      <c r="P79" s="64">
        <v>0.34</v>
      </c>
      <c r="Q79" s="64">
        <v>9.65</v>
      </c>
      <c r="R79" s="198"/>
      <c r="S79" s="198"/>
      <c r="T79" s="198"/>
      <c r="U79" s="198"/>
    </row>
    <row r="80" spans="1:21" s="12" customFormat="1" x14ac:dyDescent="0.25">
      <c r="A80" s="212" t="s">
        <v>2718</v>
      </c>
      <c r="B80" s="64">
        <v>9.1</v>
      </c>
      <c r="C80" s="64">
        <v>24.97</v>
      </c>
      <c r="D80" s="64">
        <v>20.34</v>
      </c>
      <c r="E80" s="64">
        <v>5.65</v>
      </c>
      <c r="F80" s="64">
        <v>10.41</v>
      </c>
      <c r="G80" s="64">
        <v>82.38</v>
      </c>
      <c r="H80" s="64">
        <v>16.8</v>
      </c>
      <c r="I80" s="64">
        <v>1.27</v>
      </c>
      <c r="J80" s="64">
        <v>0.31</v>
      </c>
      <c r="K80" s="64">
        <v>147.16</v>
      </c>
      <c r="L80" s="64">
        <v>27.84</v>
      </c>
      <c r="M80" s="64">
        <v>89.43</v>
      </c>
      <c r="N80" s="64">
        <v>47.7</v>
      </c>
      <c r="O80" s="64">
        <v>0</v>
      </c>
      <c r="P80" s="64">
        <v>0.39</v>
      </c>
      <c r="Q80" s="64">
        <v>9.66</v>
      </c>
      <c r="R80" s="198"/>
      <c r="S80" s="198"/>
      <c r="T80" s="198"/>
      <c r="U80" s="198"/>
    </row>
    <row r="81" spans="1:26" s="12" customFormat="1" x14ac:dyDescent="0.25">
      <c r="A81" s="212" t="s">
        <v>2719</v>
      </c>
      <c r="B81" s="64">
        <v>16.760000000000002</v>
      </c>
      <c r="C81" s="64">
        <v>15.61</v>
      </c>
      <c r="D81" s="64">
        <v>21.59</v>
      </c>
      <c r="E81" s="64">
        <v>5.69</v>
      </c>
      <c r="F81" s="64">
        <v>7.17</v>
      </c>
      <c r="G81" s="64">
        <v>76.2</v>
      </c>
      <c r="H81" s="64">
        <v>18.82</v>
      </c>
      <c r="I81" s="64">
        <v>1.27</v>
      </c>
      <c r="J81" s="64">
        <v>1.45</v>
      </c>
      <c r="K81" s="64">
        <v>335.56</v>
      </c>
      <c r="L81" s="64">
        <v>27.59</v>
      </c>
      <c r="M81" s="64">
        <v>90</v>
      </c>
      <c r="N81" s="64">
        <v>44.1</v>
      </c>
      <c r="O81" s="64">
        <v>0</v>
      </c>
      <c r="P81" s="64">
        <v>0.54</v>
      </c>
      <c r="Q81" s="64">
        <v>9.64</v>
      </c>
      <c r="R81" s="198"/>
      <c r="S81" s="198"/>
      <c r="T81" s="198"/>
      <c r="U81" s="198"/>
    </row>
    <row r="82" spans="1:26" s="12" customFormat="1" x14ac:dyDescent="0.25">
      <c r="A82" s="212" t="s">
        <v>2720</v>
      </c>
      <c r="B82" s="64">
        <v>16.010000000000002</v>
      </c>
      <c r="C82" s="64">
        <v>7.59</v>
      </c>
      <c r="D82" s="64">
        <v>16.8</v>
      </c>
      <c r="E82" s="64">
        <v>6.48</v>
      </c>
      <c r="F82" s="64">
        <v>3.86</v>
      </c>
      <c r="G82" s="64">
        <v>76.2</v>
      </c>
      <c r="H82" s="64">
        <v>18.82</v>
      </c>
      <c r="I82" s="64">
        <v>1.27</v>
      </c>
      <c r="J82" s="64">
        <v>1.36</v>
      </c>
      <c r="K82" s="64">
        <v>331.78</v>
      </c>
      <c r="L82" s="64">
        <v>25.75</v>
      </c>
      <c r="M82" s="64">
        <v>97.46</v>
      </c>
      <c r="N82" s="64">
        <v>43.1</v>
      </c>
      <c r="O82" s="64">
        <v>0</v>
      </c>
      <c r="P82" s="64">
        <v>0.44</v>
      </c>
      <c r="Q82" s="64">
        <v>9.66</v>
      </c>
      <c r="R82" s="198"/>
      <c r="S82" s="198"/>
      <c r="T82" s="198"/>
      <c r="U82" s="198"/>
    </row>
    <row r="83" spans="1:26" s="12" customFormat="1" x14ac:dyDescent="0.25">
      <c r="A83" s="212" t="s">
        <v>2721</v>
      </c>
      <c r="B83" s="64">
        <v>12.96</v>
      </c>
      <c r="C83" s="64">
        <v>10.83</v>
      </c>
      <c r="D83" s="64">
        <v>16.05</v>
      </c>
      <c r="E83" s="64">
        <v>6.09</v>
      </c>
      <c r="F83" s="64">
        <v>6.42</v>
      </c>
      <c r="G83" s="64">
        <v>76.2</v>
      </c>
      <c r="H83" s="64">
        <v>18.82</v>
      </c>
      <c r="I83" s="64">
        <v>1.28</v>
      </c>
      <c r="J83" s="64">
        <v>0.1</v>
      </c>
      <c r="K83" s="64">
        <v>292.44</v>
      </c>
      <c r="L83" s="64">
        <v>24.66</v>
      </c>
      <c r="M83" s="64">
        <v>98.14</v>
      </c>
      <c r="N83" s="64">
        <v>41.9</v>
      </c>
      <c r="O83" s="64">
        <v>0.4</v>
      </c>
      <c r="P83" s="64">
        <v>0.42</v>
      </c>
      <c r="Q83" s="64">
        <v>9.65</v>
      </c>
      <c r="R83" s="198"/>
      <c r="S83" s="198"/>
      <c r="T83" s="198"/>
      <c r="U83" s="198"/>
    </row>
    <row r="84" spans="1:26" s="12" customFormat="1" x14ac:dyDescent="0.25">
      <c r="A84" s="212" t="s">
        <v>2722</v>
      </c>
      <c r="B84" s="64">
        <v>11.81</v>
      </c>
      <c r="C84" s="64">
        <v>11.2</v>
      </c>
      <c r="D84" s="64">
        <v>15.32</v>
      </c>
      <c r="E84" s="64">
        <v>5.75</v>
      </c>
      <c r="F84" s="64">
        <v>6.09</v>
      </c>
      <c r="G84" s="64">
        <v>64.13</v>
      </c>
      <c r="H84" s="64">
        <v>15.16</v>
      </c>
      <c r="I84" s="64">
        <v>1.27</v>
      </c>
      <c r="J84" s="64">
        <v>0.06</v>
      </c>
      <c r="K84" s="64">
        <v>202.81</v>
      </c>
      <c r="L84" s="64">
        <v>23.44</v>
      </c>
      <c r="M84" s="64">
        <v>98.23</v>
      </c>
      <c r="N84" s="64">
        <v>41.9</v>
      </c>
      <c r="O84" s="64">
        <v>0</v>
      </c>
      <c r="P84" s="64">
        <v>0.37</v>
      </c>
      <c r="Q84" s="64">
        <v>9.64</v>
      </c>
      <c r="R84" s="198"/>
      <c r="S84" s="198"/>
      <c r="T84" s="198"/>
      <c r="U84" s="198"/>
    </row>
    <row r="85" spans="1:26" s="12" customFormat="1" x14ac:dyDescent="0.25">
      <c r="A85" s="212" t="s">
        <v>2723</v>
      </c>
      <c r="B85" s="64">
        <v>14.6</v>
      </c>
      <c r="C85" s="64">
        <v>10.95</v>
      </c>
      <c r="D85" s="64">
        <v>17.43</v>
      </c>
      <c r="E85" s="64">
        <v>5.0999999999999996</v>
      </c>
      <c r="F85" s="64">
        <v>3.82</v>
      </c>
      <c r="G85" s="64">
        <v>58.09</v>
      </c>
      <c r="H85" s="64">
        <v>13.34</v>
      </c>
      <c r="I85" s="64">
        <v>1.25</v>
      </c>
      <c r="J85" s="64">
        <v>0.39</v>
      </c>
      <c r="K85" s="64">
        <v>149.35</v>
      </c>
      <c r="L85" s="64">
        <v>23</v>
      </c>
      <c r="M85" s="64">
        <v>98.25</v>
      </c>
      <c r="N85" s="64">
        <v>40.9</v>
      </c>
      <c r="O85" s="64">
        <v>0.4</v>
      </c>
      <c r="P85" s="64">
        <v>0.46</v>
      </c>
      <c r="Q85" s="64">
        <v>9.64</v>
      </c>
      <c r="R85" s="198"/>
      <c r="S85" s="198"/>
      <c r="T85" s="198"/>
      <c r="U85" s="198"/>
    </row>
    <row r="86" spans="1:26" s="12" customFormat="1" x14ac:dyDescent="0.25">
      <c r="A86" s="212" t="s">
        <v>2724</v>
      </c>
      <c r="B86" s="64">
        <v>10.57</v>
      </c>
      <c r="C86" s="64">
        <v>10.46</v>
      </c>
      <c r="D86" s="64">
        <v>13.94</v>
      </c>
      <c r="E86" s="64">
        <v>5.17</v>
      </c>
      <c r="F86" s="64">
        <v>8.0500000000000007</v>
      </c>
      <c r="G86" s="64">
        <v>58.09</v>
      </c>
      <c r="H86" s="64">
        <v>13.34</v>
      </c>
      <c r="I86" s="64">
        <v>1.25</v>
      </c>
      <c r="J86" s="64">
        <v>0.17</v>
      </c>
      <c r="K86" s="64">
        <v>143.27000000000001</v>
      </c>
      <c r="L86" s="64">
        <v>23.04</v>
      </c>
      <c r="M86" s="64">
        <v>98.25</v>
      </c>
      <c r="N86" s="64">
        <v>40.6</v>
      </c>
      <c r="O86" s="64">
        <v>0</v>
      </c>
      <c r="P86" s="64">
        <v>0.39</v>
      </c>
      <c r="Q86" s="64">
        <v>9.6300000000000008</v>
      </c>
      <c r="R86" s="198"/>
      <c r="S86" s="198"/>
      <c r="T86" s="198"/>
      <c r="U86" s="198"/>
    </row>
    <row r="87" spans="1:26" s="12" customFormat="1" x14ac:dyDescent="0.25">
      <c r="A87" s="212" t="s">
        <v>2725</v>
      </c>
      <c r="B87" s="64">
        <v>12.45</v>
      </c>
      <c r="C87" s="64">
        <v>12.36</v>
      </c>
      <c r="D87" s="64">
        <v>16.440000000000001</v>
      </c>
      <c r="E87" s="64">
        <v>5.07</v>
      </c>
      <c r="F87" s="64">
        <v>8.59</v>
      </c>
      <c r="G87" s="64">
        <v>58.09</v>
      </c>
      <c r="H87" s="64">
        <v>13.34</v>
      </c>
      <c r="I87" s="64">
        <v>1.25</v>
      </c>
      <c r="J87" s="64">
        <v>0.22</v>
      </c>
      <c r="K87" s="64">
        <v>118.92</v>
      </c>
      <c r="L87" s="64">
        <v>23.39</v>
      </c>
      <c r="M87" s="64">
        <v>98.25</v>
      </c>
      <c r="N87" s="64">
        <v>40.5</v>
      </c>
      <c r="O87" s="64">
        <v>0</v>
      </c>
      <c r="P87" s="64">
        <v>0.49</v>
      </c>
      <c r="Q87" s="64">
        <v>9.65</v>
      </c>
      <c r="R87" s="198"/>
      <c r="S87" s="198"/>
      <c r="T87" s="198"/>
      <c r="U87" s="198"/>
    </row>
    <row r="88" spans="1:26" s="12" customFormat="1" x14ac:dyDescent="0.25">
      <c r="A88" s="212" t="s">
        <v>2726</v>
      </c>
      <c r="B88" s="64">
        <v>9.94</v>
      </c>
      <c r="C88" s="64">
        <v>12.53</v>
      </c>
      <c r="D88" s="64">
        <v>14.52</v>
      </c>
      <c r="E88" s="64">
        <v>4.96</v>
      </c>
      <c r="F88" s="64">
        <v>8.19</v>
      </c>
      <c r="G88" s="64">
        <v>41.61</v>
      </c>
      <c r="H88" s="64">
        <v>10.78</v>
      </c>
      <c r="I88" s="64">
        <v>1.24</v>
      </c>
      <c r="J88" s="64">
        <v>0.04</v>
      </c>
      <c r="K88" s="64">
        <v>121.85</v>
      </c>
      <c r="L88" s="64">
        <v>23.5</v>
      </c>
      <c r="M88" s="64">
        <v>98.25</v>
      </c>
      <c r="N88" s="64">
        <v>40.799999999999997</v>
      </c>
      <c r="O88" s="64">
        <v>0</v>
      </c>
      <c r="P88" s="64">
        <v>0.45</v>
      </c>
      <c r="Q88" s="64">
        <v>9.64</v>
      </c>
      <c r="R88" s="198"/>
      <c r="S88" s="198"/>
      <c r="T88" s="198"/>
      <c r="U88" s="198"/>
    </row>
    <row r="89" spans="1:26" s="12" customFormat="1" x14ac:dyDescent="0.25">
      <c r="A89" s="212" t="s">
        <v>2727</v>
      </c>
      <c r="B89" s="64">
        <v>12.48</v>
      </c>
      <c r="C89" s="64">
        <v>15.53</v>
      </c>
      <c r="D89" s="64">
        <v>18.12</v>
      </c>
      <c r="E89" s="64">
        <v>5.19</v>
      </c>
      <c r="F89" s="64">
        <v>5.83</v>
      </c>
      <c r="G89" s="64">
        <v>33.369999999999997</v>
      </c>
      <c r="H89" s="64">
        <v>9.5</v>
      </c>
      <c r="I89" s="64">
        <v>1.24</v>
      </c>
      <c r="J89" s="64">
        <v>0.19</v>
      </c>
      <c r="K89" s="64">
        <v>143.83000000000001</v>
      </c>
      <c r="L89" s="64">
        <v>23.58</v>
      </c>
      <c r="M89" s="64">
        <v>98.25</v>
      </c>
      <c r="N89" s="64">
        <v>40.799999999999997</v>
      </c>
      <c r="O89" s="64">
        <v>0</v>
      </c>
      <c r="P89" s="64">
        <v>0.46</v>
      </c>
      <c r="Q89" s="64">
        <v>9.65</v>
      </c>
      <c r="R89" s="198"/>
      <c r="S89" s="198"/>
      <c r="T89" s="198"/>
      <c r="U89" s="198"/>
    </row>
    <row r="90" spans="1:26" s="12" customFormat="1" x14ac:dyDescent="0.25">
      <c r="A90" s="212" t="s">
        <v>2728</v>
      </c>
      <c r="B90" s="64">
        <v>11.36</v>
      </c>
      <c r="C90" s="64">
        <v>16.21</v>
      </c>
      <c r="D90" s="64">
        <v>17.579999999999998</v>
      </c>
      <c r="E90" s="64">
        <v>5.01</v>
      </c>
      <c r="F90" s="64">
        <v>6.12</v>
      </c>
      <c r="G90" s="64">
        <v>33.369999999999997</v>
      </c>
      <c r="H90" s="64">
        <v>9.5</v>
      </c>
      <c r="I90" s="64">
        <v>1.25</v>
      </c>
      <c r="J90" s="64">
        <v>0.04</v>
      </c>
      <c r="K90" s="64">
        <v>275.05</v>
      </c>
      <c r="L90" s="64">
        <v>23.7</v>
      </c>
      <c r="M90" s="64">
        <v>98.25</v>
      </c>
      <c r="N90" s="64">
        <v>41</v>
      </c>
      <c r="O90" s="64">
        <v>0</v>
      </c>
      <c r="P90" s="64">
        <v>0.59</v>
      </c>
      <c r="Q90" s="64">
        <v>9.6300000000000008</v>
      </c>
      <c r="R90" s="198"/>
      <c r="S90" s="198"/>
      <c r="T90" s="198"/>
      <c r="U90" s="198"/>
    </row>
    <row r="91" spans="1:26" s="12" customFormat="1" x14ac:dyDescent="0.25">
      <c r="A91" s="212" t="s">
        <v>2729</v>
      </c>
      <c r="B91" s="64">
        <v>26.3</v>
      </c>
      <c r="C91" s="64">
        <v>16.68</v>
      </c>
      <c r="D91" s="64">
        <v>29.81</v>
      </c>
      <c r="E91" s="64">
        <v>4.9800000000000004</v>
      </c>
      <c r="F91" s="64">
        <v>5.14</v>
      </c>
      <c r="G91" s="64">
        <v>33.369999999999997</v>
      </c>
      <c r="H91" s="64">
        <v>9.5</v>
      </c>
      <c r="I91" s="64">
        <v>1.34</v>
      </c>
      <c r="J91" s="64">
        <v>0.08</v>
      </c>
      <c r="K91" s="64">
        <v>318.89</v>
      </c>
      <c r="L91" s="64">
        <v>23.79</v>
      </c>
      <c r="M91" s="64">
        <v>98.25</v>
      </c>
      <c r="N91" s="64">
        <v>40.700000000000003</v>
      </c>
      <c r="O91" s="64">
        <v>0</v>
      </c>
      <c r="P91" s="64">
        <v>1.3</v>
      </c>
      <c r="Q91" s="64">
        <v>9.64</v>
      </c>
      <c r="R91" s="198"/>
      <c r="S91" s="198"/>
      <c r="T91" s="198"/>
      <c r="U91" s="198"/>
    </row>
    <row r="92" spans="1:26" s="12" customFormat="1" x14ac:dyDescent="0.25">
      <c r="A92" s="212" t="s">
        <v>2730</v>
      </c>
      <c r="B92" s="64">
        <v>10.27</v>
      </c>
      <c r="C92" s="64">
        <v>17.920000000000002</v>
      </c>
      <c r="D92" s="64">
        <v>17.600000000000001</v>
      </c>
      <c r="E92" s="64">
        <v>5.01</v>
      </c>
      <c r="F92" s="64">
        <v>5.88</v>
      </c>
      <c r="G92" s="64">
        <v>33.79</v>
      </c>
      <c r="H92" s="64">
        <v>9.76</v>
      </c>
      <c r="I92" s="64">
        <v>1.36</v>
      </c>
      <c r="J92" s="64">
        <v>0.03</v>
      </c>
      <c r="K92" s="64">
        <v>209.91</v>
      </c>
      <c r="L92" s="64">
        <v>23.8</v>
      </c>
      <c r="M92" s="64">
        <v>98.23</v>
      </c>
      <c r="N92" s="64">
        <v>41.1</v>
      </c>
      <c r="O92" s="64">
        <v>0</v>
      </c>
      <c r="P92" s="64">
        <v>0.66</v>
      </c>
      <c r="Q92" s="64">
        <v>9.65</v>
      </c>
      <c r="R92" s="198"/>
      <c r="S92" s="198"/>
      <c r="T92" s="198"/>
      <c r="U92" s="198"/>
    </row>
    <row r="93" spans="1:26" s="12" customFormat="1" x14ac:dyDescent="0.25">
      <c r="A93" s="212" t="s">
        <v>2731</v>
      </c>
      <c r="B93" s="64">
        <v>9.31</v>
      </c>
      <c r="C93" s="64">
        <v>13.82</v>
      </c>
      <c r="D93" s="64">
        <v>14.69</v>
      </c>
      <c r="E93" s="64">
        <v>5.08</v>
      </c>
      <c r="F93" s="64">
        <v>6.68</v>
      </c>
      <c r="G93" s="64">
        <v>34</v>
      </c>
      <c r="H93" s="64">
        <v>9.89</v>
      </c>
      <c r="I93" s="64">
        <v>1.34</v>
      </c>
      <c r="J93" s="64">
        <v>0.03</v>
      </c>
      <c r="K93" s="64">
        <v>129.1</v>
      </c>
      <c r="L93" s="64">
        <v>23.82</v>
      </c>
      <c r="M93" s="64">
        <v>98.23</v>
      </c>
      <c r="N93" s="64">
        <v>41.2</v>
      </c>
      <c r="O93" s="64">
        <v>0</v>
      </c>
      <c r="P93" s="64">
        <v>0.48</v>
      </c>
      <c r="Q93" s="64">
        <v>9.65</v>
      </c>
      <c r="R93" s="198"/>
      <c r="S93" s="198"/>
      <c r="T93" s="198"/>
      <c r="U93" s="198"/>
    </row>
    <row r="94" spans="1:26" s="12" customFormat="1" x14ac:dyDescent="0.25">
      <c r="A94" s="212" t="s">
        <v>2732</v>
      </c>
      <c r="B94" s="64">
        <v>8.85</v>
      </c>
      <c r="C94" s="64">
        <v>12.12</v>
      </c>
      <c r="D94" s="64">
        <v>13.43</v>
      </c>
      <c r="E94" s="64">
        <v>4.78</v>
      </c>
      <c r="F94" s="64">
        <v>5.8</v>
      </c>
      <c r="G94" s="64">
        <v>34</v>
      </c>
      <c r="H94" s="64">
        <v>9.89</v>
      </c>
      <c r="I94" s="64">
        <v>1.38</v>
      </c>
      <c r="J94" s="64">
        <v>0.05</v>
      </c>
      <c r="K94" s="64">
        <v>237.84</v>
      </c>
      <c r="L94" s="64">
        <v>23.87</v>
      </c>
      <c r="M94" s="64">
        <v>98.23</v>
      </c>
      <c r="N94" s="64">
        <v>40.799999999999997</v>
      </c>
      <c r="O94" s="64">
        <v>0</v>
      </c>
      <c r="P94" s="64">
        <v>0.48</v>
      </c>
      <c r="Q94" s="64">
        <v>9.64</v>
      </c>
      <c r="R94" s="198"/>
      <c r="S94" s="198"/>
      <c r="T94" s="198"/>
      <c r="U94" s="198"/>
    </row>
    <row r="95" spans="1:26" s="12" customFormat="1" x14ac:dyDescent="0.25">
      <c r="A95" s="212" t="s">
        <v>2733</v>
      </c>
      <c r="B95" s="64">
        <v>20.7</v>
      </c>
      <c r="C95" s="64">
        <v>14.24</v>
      </c>
      <c r="D95" s="64">
        <v>24.04</v>
      </c>
      <c r="E95" s="64">
        <v>5.0199999999999996</v>
      </c>
      <c r="F95" s="64">
        <v>4.99</v>
      </c>
      <c r="G95" s="64">
        <v>34</v>
      </c>
      <c r="H95" s="64">
        <v>9.89</v>
      </c>
      <c r="I95" s="64">
        <v>1.38</v>
      </c>
      <c r="J95" s="64">
        <v>0.08</v>
      </c>
      <c r="K95" s="64">
        <v>307.44</v>
      </c>
      <c r="L95" s="64">
        <v>24.01</v>
      </c>
      <c r="M95" s="64">
        <v>98.23</v>
      </c>
      <c r="N95" s="64">
        <v>40.700000000000003</v>
      </c>
      <c r="O95" s="64">
        <v>0</v>
      </c>
      <c r="P95" s="64">
        <v>1.04</v>
      </c>
      <c r="Q95" s="64">
        <v>9.6300000000000008</v>
      </c>
      <c r="R95" s="198"/>
      <c r="S95" s="198"/>
      <c r="T95" s="198"/>
      <c r="U95" s="198"/>
    </row>
    <row r="96" spans="1:26" s="12" customFormat="1" x14ac:dyDescent="0.25">
      <c r="A96" s="212" t="s">
        <v>2734</v>
      </c>
      <c r="B96" s="64">
        <v>13.51</v>
      </c>
      <c r="C96" s="64">
        <v>16.149999999999999</v>
      </c>
      <c r="D96" s="64">
        <v>19.28</v>
      </c>
      <c r="E96" s="64">
        <v>4.88</v>
      </c>
      <c r="F96" s="64">
        <v>4.88</v>
      </c>
      <c r="G96" s="64">
        <v>32.04</v>
      </c>
      <c r="H96" s="64">
        <v>10.41</v>
      </c>
      <c r="I96" s="64">
        <v>1.38</v>
      </c>
      <c r="J96" s="64">
        <v>0.05</v>
      </c>
      <c r="K96" s="64">
        <v>91.3</v>
      </c>
      <c r="L96" s="64">
        <v>24.1</v>
      </c>
      <c r="M96" s="64">
        <v>98.23</v>
      </c>
      <c r="N96" s="64">
        <v>40.799999999999997</v>
      </c>
      <c r="O96" s="64">
        <v>0</v>
      </c>
      <c r="P96" s="64">
        <v>0.81</v>
      </c>
      <c r="Q96" s="64">
        <v>9.64</v>
      </c>
      <c r="R96" s="198"/>
      <c r="S96" s="198"/>
      <c r="T96" s="198"/>
      <c r="U96" s="198"/>
      <c r="Z96" s="109"/>
    </row>
    <row r="97" spans="1:33" s="12" customFormat="1" x14ac:dyDescent="0.25">
      <c r="A97" s="212" t="s">
        <v>2735</v>
      </c>
      <c r="B97" s="64">
        <v>10.07</v>
      </c>
      <c r="C97" s="64">
        <v>15.3</v>
      </c>
      <c r="D97" s="64">
        <v>16.059999999999999</v>
      </c>
      <c r="E97" s="64">
        <v>5.01</v>
      </c>
      <c r="F97" s="64">
        <v>4.68</v>
      </c>
      <c r="G97" s="64">
        <v>31.06</v>
      </c>
      <c r="H97" s="64">
        <v>10.66</v>
      </c>
      <c r="I97" s="64">
        <v>1.38</v>
      </c>
      <c r="J97" s="64">
        <v>0.1</v>
      </c>
      <c r="K97" s="64">
        <v>140.03</v>
      </c>
      <c r="L97" s="64">
        <v>24.08</v>
      </c>
      <c r="M97" s="64">
        <v>98.23</v>
      </c>
      <c r="N97" s="64">
        <v>40.799999999999997</v>
      </c>
      <c r="O97" s="64">
        <v>0</v>
      </c>
      <c r="P97" s="64">
        <v>0.61</v>
      </c>
      <c r="Q97" s="64">
        <v>9.64</v>
      </c>
      <c r="R97" s="198"/>
      <c r="S97" s="198"/>
      <c r="T97" s="198"/>
      <c r="U97" s="198"/>
    </row>
    <row r="98" spans="1:33" s="12" customFormat="1" x14ac:dyDescent="0.25">
      <c r="A98" s="212" t="s">
        <v>2736</v>
      </c>
      <c r="B98" s="64">
        <v>11.27</v>
      </c>
      <c r="C98" s="64">
        <v>12.89</v>
      </c>
      <c r="D98" s="64">
        <v>15.77</v>
      </c>
      <c r="E98" s="64">
        <v>4.68</v>
      </c>
      <c r="F98" s="64">
        <v>4.41</v>
      </c>
      <c r="G98" s="64">
        <v>31.06</v>
      </c>
      <c r="H98" s="64">
        <v>10.66</v>
      </c>
      <c r="I98" s="64">
        <v>1.4</v>
      </c>
      <c r="J98" s="64">
        <v>0.47</v>
      </c>
      <c r="K98" s="64">
        <v>120.68</v>
      </c>
      <c r="L98" s="64">
        <v>24.05</v>
      </c>
      <c r="M98" s="64">
        <v>98.24</v>
      </c>
      <c r="N98" s="64">
        <v>41.1</v>
      </c>
      <c r="O98" s="64">
        <v>0</v>
      </c>
      <c r="P98" s="64">
        <v>0.48</v>
      </c>
      <c r="Q98" s="64">
        <v>9.65</v>
      </c>
      <c r="R98" s="198"/>
      <c r="S98" s="198"/>
      <c r="T98" s="198"/>
      <c r="U98" s="198"/>
    </row>
    <row r="99" spans="1:33" s="12" customFormat="1" x14ac:dyDescent="0.25">
      <c r="A99" s="212" t="s">
        <v>2737</v>
      </c>
      <c r="B99" s="64">
        <v>12.79</v>
      </c>
      <c r="C99" s="64">
        <v>16.399999999999999</v>
      </c>
      <c r="D99" s="64">
        <v>18.829999999999998</v>
      </c>
      <c r="E99" s="64">
        <v>4.33</v>
      </c>
      <c r="F99" s="64">
        <v>4.46</v>
      </c>
      <c r="G99" s="64">
        <v>31.06</v>
      </c>
      <c r="H99" s="64">
        <v>10.66</v>
      </c>
      <c r="I99" s="64">
        <v>1.41</v>
      </c>
      <c r="J99" s="64">
        <v>0.35</v>
      </c>
      <c r="K99" s="64">
        <v>148.72999999999999</v>
      </c>
      <c r="L99" s="64">
        <v>24.18</v>
      </c>
      <c r="M99" s="64">
        <v>98.23</v>
      </c>
      <c r="N99" s="64">
        <v>41.2</v>
      </c>
      <c r="O99" s="64">
        <v>0</v>
      </c>
      <c r="P99" s="64">
        <v>0.45</v>
      </c>
      <c r="Q99" s="64">
        <v>9.64</v>
      </c>
      <c r="R99" s="198"/>
      <c r="S99" s="198"/>
      <c r="T99" s="198"/>
      <c r="U99" s="198"/>
    </row>
    <row r="100" spans="1:33" s="12" customFormat="1" x14ac:dyDescent="0.25">
      <c r="A100" s="212" t="s">
        <v>2738</v>
      </c>
      <c r="B100" s="64">
        <v>12.38</v>
      </c>
      <c r="C100" s="64">
        <v>8.0299999999999994</v>
      </c>
      <c r="D100" s="64">
        <v>14.12</v>
      </c>
      <c r="E100" s="64">
        <v>4.59</v>
      </c>
      <c r="F100" s="64">
        <v>4.04</v>
      </c>
      <c r="G100" s="64">
        <v>28.81</v>
      </c>
      <c r="H100" s="64">
        <v>10.7</v>
      </c>
      <c r="I100" s="64">
        <v>1.42</v>
      </c>
      <c r="J100" s="64">
        <v>0.96</v>
      </c>
      <c r="K100" s="64">
        <v>139.78</v>
      </c>
      <c r="L100" s="64">
        <v>23.86</v>
      </c>
      <c r="M100" s="64">
        <v>98.25</v>
      </c>
      <c r="N100" s="64">
        <v>42.9</v>
      </c>
      <c r="O100" s="64">
        <v>0</v>
      </c>
      <c r="P100" s="64">
        <v>0.5</v>
      </c>
      <c r="Q100" s="64">
        <v>9.66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2" t="s">
        <v>2739</v>
      </c>
      <c r="B101" s="64">
        <v>12.63</v>
      </c>
      <c r="C101" s="64">
        <v>5.0199999999999996</v>
      </c>
      <c r="D101" s="64">
        <v>12.75</v>
      </c>
      <c r="E101" s="64">
        <v>4.62</v>
      </c>
      <c r="F101" s="64">
        <v>5.4</v>
      </c>
      <c r="G101" s="64">
        <v>27.68</v>
      </c>
      <c r="H101" s="64">
        <v>10.72</v>
      </c>
      <c r="I101" s="64">
        <v>1.43</v>
      </c>
      <c r="J101" s="64">
        <v>0.51</v>
      </c>
      <c r="K101" s="64">
        <v>126.44</v>
      </c>
      <c r="L101" s="64">
        <v>23.2</v>
      </c>
      <c r="M101" s="64">
        <v>98.26</v>
      </c>
      <c r="N101" s="64">
        <v>42.1</v>
      </c>
      <c r="O101" s="64">
        <v>0</v>
      </c>
      <c r="P101" s="64">
        <v>0.48</v>
      </c>
      <c r="Q101" s="64">
        <v>9.64</v>
      </c>
      <c r="R101" s="198"/>
      <c r="S101" s="198"/>
      <c r="T101" s="198"/>
      <c r="U101" s="198"/>
    </row>
    <row r="102" spans="1:33" s="12" customFormat="1" x14ac:dyDescent="0.25">
      <c r="A102" s="212" t="s">
        <v>2740</v>
      </c>
      <c r="B102" s="64">
        <v>12.31</v>
      </c>
      <c r="C102" s="64">
        <v>5.72</v>
      </c>
      <c r="D102" s="64">
        <v>12.86</v>
      </c>
      <c r="E102" s="64">
        <v>4.3099999999999996</v>
      </c>
      <c r="F102" s="64">
        <v>3.94</v>
      </c>
      <c r="G102" s="64">
        <v>27.68</v>
      </c>
      <c r="H102" s="64">
        <v>10.72</v>
      </c>
      <c r="I102" s="64">
        <v>1.41</v>
      </c>
      <c r="J102" s="64">
        <v>0.25</v>
      </c>
      <c r="K102" s="64">
        <v>128.03</v>
      </c>
      <c r="L102" s="64">
        <v>22.36</v>
      </c>
      <c r="M102" s="64">
        <v>97.84</v>
      </c>
      <c r="N102" s="64">
        <v>42.2</v>
      </c>
      <c r="O102" s="64">
        <v>0</v>
      </c>
      <c r="P102" s="64">
        <v>0.48</v>
      </c>
      <c r="Q102" s="64">
        <v>9.66</v>
      </c>
      <c r="R102" s="198"/>
      <c r="S102" s="198"/>
      <c r="T102" s="198"/>
      <c r="U102" s="198"/>
    </row>
    <row r="103" spans="1:33" s="12" customFormat="1" x14ac:dyDescent="0.25">
      <c r="A103" s="212" t="s">
        <v>2741</v>
      </c>
      <c r="B103" s="64">
        <v>12.28</v>
      </c>
      <c r="C103" s="64">
        <v>6.59</v>
      </c>
      <c r="D103" s="64">
        <v>13.29</v>
      </c>
      <c r="E103" s="64">
        <v>4.4800000000000004</v>
      </c>
      <c r="F103" s="64">
        <v>3.9</v>
      </c>
      <c r="G103" s="64">
        <v>27.68</v>
      </c>
      <c r="H103" s="64">
        <v>10.72</v>
      </c>
      <c r="I103" s="64">
        <v>1.37</v>
      </c>
      <c r="J103" s="64">
        <v>0.05</v>
      </c>
      <c r="K103" s="64">
        <v>284.36</v>
      </c>
      <c r="L103" s="64">
        <v>21.75</v>
      </c>
      <c r="M103" s="64">
        <v>97.85</v>
      </c>
      <c r="N103" s="64">
        <v>42.7</v>
      </c>
      <c r="O103" s="64">
        <v>0</v>
      </c>
      <c r="P103" s="64">
        <v>0.47</v>
      </c>
      <c r="Q103" s="64">
        <v>9.66</v>
      </c>
      <c r="R103" s="198"/>
      <c r="S103" s="198"/>
      <c r="T103" s="198"/>
      <c r="U103" s="198"/>
    </row>
    <row r="104" spans="1:33" s="12" customFormat="1" x14ac:dyDescent="0.25">
      <c r="A104" s="212" t="s">
        <v>2742</v>
      </c>
      <c r="B104" s="64">
        <v>11.08</v>
      </c>
      <c r="C104" s="64">
        <v>7.35</v>
      </c>
      <c r="D104" s="64">
        <v>12.73</v>
      </c>
      <c r="E104" s="64">
        <v>5.68</v>
      </c>
      <c r="F104" s="64">
        <v>3.85</v>
      </c>
      <c r="G104" s="64">
        <v>21</v>
      </c>
      <c r="H104" s="64">
        <v>10.98</v>
      </c>
      <c r="I104" s="64">
        <v>1.31</v>
      </c>
      <c r="J104" s="64">
        <v>0.12</v>
      </c>
      <c r="K104" s="64">
        <v>327.33999999999997</v>
      </c>
      <c r="L104" s="64">
        <v>21.26</v>
      </c>
      <c r="M104" s="64">
        <v>97.55</v>
      </c>
      <c r="N104" s="64">
        <v>42</v>
      </c>
      <c r="O104" s="64">
        <v>0</v>
      </c>
      <c r="P104" s="64">
        <v>0.44</v>
      </c>
      <c r="Q104" s="64">
        <v>9.65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5.41</v>
      </c>
      <c r="C106" s="67">
        <f>MIN(C9:C104)</f>
        <v>4.6500000000000004</v>
      </c>
      <c r="D106" s="67">
        <f t="shared" ref="D106:Q106" si="0">MIN(D9:D104)</f>
        <v>9.6199999999999992</v>
      </c>
      <c r="E106" s="67">
        <f t="shared" si="0"/>
        <v>4.24</v>
      </c>
      <c r="F106" s="67">
        <f t="shared" si="0"/>
        <v>2.2999999999999998</v>
      </c>
      <c r="G106" s="67">
        <f t="shared" si="0"/>
        <v>21</v>
      </c>
      <c r="H106" s="67">
        <f t="shared" si="0"/>
        <v>2.02</v>
      </c>
      <c r="I106" s="67">
        <f t="shared" si="0"/>
        <v>0.99</v>
      </c>
      <c r="J106" s="67">
        <f t="shared" si="0"/>
        <v>0.01</v>
      </c>
      <c r="K106" s="67">
        <f t="shared" si="0"/>
        <v>13.36</v>
      </c>
      <c r="L106" s="67">
        <f t="shared" si="0"/>
        <v>21.26</v>
      </c>
      <c r="M106" s="67">
        <f t="shared" si="0"/>
        <v>70.150000000000006</v>
      </c>
      <c r="N106" s="67">
        <f t="shared" si="0"/>
        <v>39.6</v>
      </c>
      <c r="O106" s="67">
        <f t="shared" si="0"/>
        <v>0</v>
      </c>
      <c r="P106" s="67">
        <f t="shared" si="0"/>
        <v>0.23</v>
      </c>
      <c r="Q106" s="67">
        <f t="shared" si="0"/>
        <v>9.57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27.73</v>
      </c>
      <c r="C107" s="66">
        <f t="shared" ref="C107:Q107" si="1">MAX(C9:C104)</f>
        <v>24.97</v>
      </c>
      <c r="D107" s="66">
        <f t="shared" si="1"/>
        <v>31.27</v>
      </c>
      <c r="E107" s="66">
        <f t="shared" si="1"/>
        <v>7.62</v>
      </c>
      <c r="F107" s="66">
        <f t="shared" si="1"/>
        <v>14.8</v>
      </c>
      <c r="G107" s="66">
        <f t="shared" si="1"/>
        <v>94.74</v>
      </c>
      <c r="H107" s="66">
        <f t="shared" si="1"/>
        <v>31.88</v>
      </c>
      <c r="I107" s="66">
        <f t="shared" si="1"/>
        <v>1.68</v>
      </c>
      <c r="J107" s="66">
        <f t="shared" si="1"/>
        <v>1.45</v>
      </c>
      <c r="K107" s="66">
        <f t="shared" si="1"/>
        <v>357.92</v>
      </c>
      <c r="L107" s="66">
        <f t="shared" si="1"/>
        <v>32.18</v>
      </c>
      <c r="M107" s="66">
        <f t="shared" si="1"/>
        <v>98.26</v>
      </c>
      <c r="N107" s="66">
        <f t="shared" si="1"/>
        <v>667.1</v>
      </c>
      <c r="O107" s="66">
        <f t="shared" si="1"/>
        <v>0.4</v>
      </c>
      <c r="P107" s="66">
        <f t="shared" si="1"/>
        <v>1.3</v>
      </c>
      <c r="Q107" s="66">
        <f t="shared" si="1"/>
        <v>9.66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14.307187499999991</v>
      </c>
      <c r="C108" s="67">
        <f t="shared" ref="C108:Q108" si="2">AVERAGE(C9:C104)</f>
        <v>11.051770833333331</v>
      </c>
      <c r="D108" s="67">
        <f t="shared" si="2"/>
        <v>17.242604166666656</v>
      </c>
      <c r="E108" s="67">
        <f t="shared" si="2"/>
        <v>5.2217708333333324</v>
      </c>
      <c r="F108" s="67">
        <f t="shared" si="2"/>
        <v>6.2578125</v>
      </c>
      <c r="G108" s="67">
        <f t="shared" si="2"/>
        <v>48.438645833333361</v>
      </c>
      <c r="H108" s="67">
        <f t="shared" si="2"/>
        <v>11.359583333333338</v>
      </c>
      <c r="I108" s="67">
        <f t="shared" si="2"/>
        <v>1.289479166666667</v>
      </c>
      <c r="J108" s="67">
        <f t="shared" si="2"/>
        <v>0.29302083333333334</v>
      </c>
      <c r="K108" s="67">
        <f t="shared" si="2"/>
        <v>251.16416666666655</v>
      </c>
      <c r="L108" s="67">
        <f t="shared" si="2"/>
        <v>25.800416666666667</v>
      </c>
      <c r="M108" s="67">
        <f t="shared" si="2"/>
        <v>90.792499999999947</v>
      </c>
      <c r="N108" s="67">
        <f t="shared" si="2"/>
        <v>145.07812500000003</v>
      </c>
      <c r="O108" s="67">
        <f t="shared" si="2"/>
        <v>8.3333333333333332E-3</v>
      </c>
      <c r="P108" s="67">
        <f t="shared" si="2"/>
        <v>0.44708333333333322</v>
      </c>
      <c r="Q108" s="67">
        <f t="shared" si="2"/>
        <v>9.6329166666666612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4.8552575308411576</v>
      </c>
      <c r="C109" s="67">
        <f t="shared" ref="C109:Q109" si="3">STDEV(C9:C104)</f>
        <v>5.1036181169609378</v>
      </c>
      <c r="D109" s="67">
        <f t="shared" si="3"/>
        <v>5.3891241832712993</v>
      </c>
      <c r="E109" s="67">
        <f t="shared" si="3"/>
        <v>0.85130858378415486</v>
      </c>
      <c r="F109" s="67">
        <f t="shared" si="3"/>
        <v>3.3498921280747016</v>
      </c>
      <c r="G109" s="67">
        <f t="shared" si="3"/>
        <v>19.796999592962781</v>
      </c>
      <c r="H109" s="67">
        <f t="shared" si="3"/>
        <v>8.8066721018084824</v>
      </c>
      <c r="I109" s="67">
        <f t="shared" si="3"/>
        <v>0.1664386708080528</v>
      </c>
      <c r="J109" s="67">
        <f t="shared" si="3"/>
        <v>0.34120566352943427</v>
      </c>
      <c r="K109" s="67">
        <f t="shared" si="3"/>
        <v>96.495186721157125</v>
      </c>
      <c r="L109" s="67">
        <f t="shared" si="3"/>
        <v>3.1942863189950961</v>
      </c>
      <c r="M109" s="67">
        <f t="shared" si="3"/>
        <v>9.9494029442663052</v>
      </c>
      <c r="N109" s="67">
        <f t="shared" si="3"/>
        <v>153.82584493211448</v>
      </c>
      <c r="O109" s="67">
        <f t="shared" si="3"/>
        <v>5.7430354465518391E-2</v>
      </c>
      <c r="P109" s="67">
        <f t="shared" si="3"/>
        <v>0.1626291659390629</v>
      </c>
      <c r="Q109" s="67">
        <f t="shared" si="3"/>
        <v>2.3749422892342154E-2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/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216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3" sqref="G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27/08/2025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2" t="s">
        <v>2743</v>
      </c>
      <c r="B9" s="64">
        <v>9.4499999999999993</v>
      </c>
      <c r="C9" s="64">
        <v>8.14</v>
      </c>
      <c r="D9" s="64">
        <v>11.83</v>
      </c>
      <c r="E9" s="64">
        <v>4.63</v>
      </c>
      <c r="F9" s="64">
        <v>3.74</v>
      </c>
      <c r="G9" s="64">
        <v>17.66</v>
      </c>
      <c r="H9" s="64">
        <v>11.11</v>
      </c>
      <c r="I9" s="64">
        <v>1.22</v>
      </c>
      <c r="J9" s="64">
        <v>0.11</v>
      </c>
      <c r="K9" s="64">
        <v>318.87</v>
      </c>
      <c r="L9" s="64">
        <v>21.25</v>
      </c>
      <c r="M9" s="64">
        <v>97.55</v>
      </c>
      <c r="N9" s="64">
        <v>41</v>
      </c>
      <c r="O9" s="64">
        <v>0</v>
      </c>
      <c r="P9" s="64">
        <v>0.38</v>
      </c>
      <c r="Q9" s="64">
        <v>9.64</v>
      </c>
      <c r="R9" s="198"/>
      <c r="S9" s="198"/>
      <c r="T9" s="198"/>
      <c r="U9" s="198"/>
    </row>
    <row r="10" spans="1:21" s="12" customFormat="1" x14ac:dyDescent="0.25">
      <c r="A10" s="212" t="s">
        <v>2744</v>
      </c>
      <c r="B10" s="64">
        <v>8.75</v>
      </c>
      <c r="C10" s="64">
        <v>8.06</v>
      </c>
      <c r="D10" s="64">
        <v>11.23</v>
      </c>
      <c r="E10" s="64">
        <v>4.8899999999999997</v>
      </c>
      <c r="F10" s="64">
        <v>4.3</v>
      </c>
      <c r="G10" s="64">
        <v>17.66</v>
      </c>
      <c r="H10" s="64">
        <v>11.11</v>
      </c>
      <c r="I10" s="64">
        <v>1.1299999999999999</v>
      </c>
      <c r="J10" s="64">
        <v>0.06</v>
      </c>
      <c r="K10" s="64">
        <v>308.56</v>
      </c>
      <c r="L10" s="64">
        <v>21.15</v>
      </c>
      <c r="M10" s="64">
        <v>97.84</v>
      </c>
      <c r="N10" s="64">
        <v>41</v>
      </c>
      <c r="O10" s="64">
        <v>0</v>
      </c>
      <c r="P10" s="64">
        <v>0.38</v>
      </c>
      <c r="Q10" s="64">
        <v>9.6300000000000008</v>
      </c>
      <c r="R10" s="198"/>
      <c r="S10" s="198"/>
      <c r="T10" s="198"/>
      <c r="U10" s="198"/>
    </row>
    <row r="11" spans="1:21" s="12" customFormat="1" x14ac:dyDescent="0.25">
      <c r="A11" s="212" t="s">
        <v>2745</v>
      </c>
      <c r="B11" s="64">
        <v>7.91</v>
      </c>
      <c r="C11" s="64">
        <v>7.63</v>
      </c>
      <c r="D11" s="64">
        <v>10.33</v>
      </c>
      <c r="E11" s="64">
        <v>5.14</v>
      </c>
      <c r="F11" s="64">
        <v>6.26</v>
      </c>
      <c r="G11" s="64">
        <v>17.66</v>
      </c>
      <c r="H11" s="64">
        <v>11.11</v>
      </c>
      <c r="I11" s="64">
        <v>1.0900000000000001</v>
      </c>
      <c r="J11" s="64">
        <v>0.18</v>
      </c>
      <c r="K11" s="64">
        <v>352.41</v>
      </c>
      <c r="L11" s="64">
        <v>21.21</v>
      </c>
      <c r="M11" s="64">
        <v>97.84</v>
      </c>
      <c r="N11" s="64">
        <v>41</v>
      </c>
      <c r="O11" s="64">
        <v>0</v>
      </c>
      <c r="P11" s="64">
        <v>0.34</v>
      </c>
      <c r="Q11" s="64">
        <v>9.61</v>
      </c>
      <c r="R11" s="198"/>
      <c r="S11" s="198"/>
      <c r="T11" s="198"/>
      <c r="U11" s="198"/>
    </row>
    <row r="12" spans="1:21" s="12" customFormat="1" x14ac:dyDescent="0.25">
      <c r="A12" s="212" t="s">
        <v>2746</v>
      </c>
      <c r="B12" s="64">
        <v>8.0399999999999991</v>
      </c>
      <c r="C12" s="64">
        <v>7.59</v>
      </c>
      <c r="D12" s="64">
        <v>10.41</v>
      </c>
      <c r="E12" s="64">
        <v>5.12</v>
      </c>
      <c r="F12" s="64">
        <v>4.5199999999999996</v>
      </c>
      <c r="G12" s="64">
        <v>13.73</v>
      </c>
      <c r="H12" s="64">
        <v>9</v>
      </c>
      <c r="I12" s="64">
        <v>1.06</v>
      </c>
      <c r="J12" s="64">
        <v>1.04</v>
      </c>
      <c r="K12" s="64">
        <v>339.24</v>
      </c>
      <c r="L12" s="64">
        <v>21.41</v>
      </c>
      <c r="M12" s="64">
        <v>97.57</v>
      </c>
      <c r="N12" s="64">
        <v>41</v>
      </c>
      <c r="O12" s="64">
        <v>0</v>
      </c>
      <c r="P12" s="64">
        <v>0.36</v>
      </c>
      <c r="Q12" s="64">
        <v>9.61</v>
      </c>
      <c r="R12" s="198"/>
      <c r="S12" s="198"/>
      <c r="T12" s="198"/>
      <c r="U12" s="198"/>
    </row>
    <row r="13" spans="1:21" s="12" customFormat="1" x14ac:dyDescent="0.25">
      <c r="A13" s="212" t="s">
        <v>2747</v>
      </c>
      <c r="B13" s="64">
        <v>8.18</v>
      </c>
      <c r="C13" s="64">
        <v>7.28</v>
      </c>
      <c r="D13" s="64">
        <v>10.36</v>
      </c>
      <c r="E13" s="64">
        <v>5.19</v>
      </c>
      <c r="F13" s="64">
        <v>4.1100000000000003</v>
      </c>
      <c r="G13" s="64">
        <v>11.77</v>
      </c>
      <c r="H13" s="64">
        <v>7.94</v>
      </c>
      <c r="I13" s="64">
        <v>1.05</v>
      </c>
      <c r="J13" s="64">
        <v>1.06</v>
      </c>
      <c r="K13" s="64">
        <v>337.95</v>
      </c>
      <c r="L13" s="64">
        <v>21.67</v>
      </c>
      <c r="M13" s="64">
        <v>97.57</v>
      </c>
      <c r="N13" s="64">
        <v>41.6</v>
      </c>
      <c r="O13" s="64">
        <v>0</v>
      </c>
      <c r="P13" s="64">
        <v>0.28999999999999998</v>
      </c>
      <c r="Q13" s="64">
        <v>9.6300000000000008</v>
      </c>
      <c r="R13" s="198"/>
      <c r="S13" s="198"/>
      <c r="T13" s="198"/>
      <c r="U13" s="198"/>
    </row>
    <row r="14" spans="1:21" s="12" customFormat="1" x14ac:dyDescent="0.25">
      <c r="A14" s="212" t="s">
        <v>2748</v>
      </c>
      <c r="B14" s="64">
        <v>7.84</v>
      </c>
      <c r="C14" s="64">
        <v>7.23</v>
      </c>
      <c r="D14" s="64">
        <v>10.07</v>
      </c>
      <c r="E14" s="64">
        <v>5.16</v>
      </c>
      <c r="F14" s="64">
        <v>5.87</v>
      </c>
      <c r="G14" s="64">
        <v>11.77</v>
      </c>
      <c r="H14" s="64">
        <v>7.94</v>
      </c>
      <c r="I14" s="64">
        <v>1.05</v>
      </c>
      <c r="J14" s="64">
        <v>0.6</v>
      </c>
      <c r="K14" s="64">
        <v>339.38</v>
      </c>
      <c r="L14" s="64">
        <v>21.71</v>
      </c>
      <c r="M14" s="64">
        <v>97.85</v>
      </c>
      <c r="N14" s="64">
        <v>41.3</v>
      </c>
      <c r="O14" s="64">
        <v>0</v>
      </c>
      <c r="P14" s="64">
        <v>0.3</v>
      </c>
      <c r="Q14" s="64">
        <v>9.6300000000000008</v>
      </c>
      <c r="R14" s="198"/>
      <c r="S14" s="198"/>
      <c r="T14" s="198"/>
      <c r="U14" s="198"/>
    </row>
    <row r="15" spans="1:21" s="12" customFormat="1" x14ac:dyDescent="0.25">
      <c r="A15" s="212" t="s">
        <v>2749</v>
      </c>
      <c r="B15" s="64">
        <v>7.01</v>
      </c>
      <c r="C15" s="64">
        <v>7.16</v>
      </c>
      <c r="D15" s="64">
        <v>9.3699999999999992</v>
      </c>
      <c r="E15" s="64">
        <v>5.05</v>
      </c>
      <c r="F15" s="64">
        <v>6.41</v>
      </c>
      <c r="G15" s="64">
        <v>11.77</v>
      </c>
      <c r="H15" s="64">
        <v>7.94</v>
      </c>
      <c r="I15" s="64">
        <v>1.04</v>
      </c>
      <c r="J15" s="64">
        <v>0.32</v>
      </c>
      <c r="K15" s="64">
        <v>338.71</v>
      </c>
      <c r="L15" s="64">
        <v>21.71</v>
      </c>
      <c r="M15" s="64">
        <v>97.88</v>
      </c>
      <c r="N15" s="64">
        <v>41.1</v>
      </c>
      <c r="O15" s="64">
        <v>0</v>
      </c>
      <c r="P15" s="64">
        <v>0.28999999999999998</v>
      </c>
      <c r="Q15" s="64">
        <v>9.6300000000000008</v>
      </c>
      <c r="R15" s="198"/>
      <c r="S15" s="198"/>
      <c r="T15" s="198"/>
      <c r="U15" s="198"/>
    </row>
    <row r="16" spans="1:21" s="12" customFormat="1" x14ac:dyDescent="0.25">
      <c r="A16" s="212" t="s">
        <v>2750</v>
      </c>
      <c r="B16" s="64">
        <v>7.92</v>
      </c>
      <c r="C16" s="64">
        <v>6.63</v>
      </c>
      <c r="D16" s="64">
        <v>9.82</v>
      </c>
      <c r="E16" s="64">
        <v>5.18</v>
      </c>
      <c r="F16" s="64">
        <v>4.21</v>
      </c>
      <c r="G16" s="64">
        <v>14.7</v>
      </c>
      <c r="H16" s="64">
        <v>6.55</v>
      </c>
      <c r="I16" s="64">
        <v>1.03</v>
      </c>
      <c r="J16" s="64">
        <v>0.38</v>
      </c>
      <c r="K16" s="64">
        <v>337.02</v>
      </c>
      <c r="L16" s="64">
        <v>21.75</v>
      </c>
      <c r="M16" s="64">
        <v>97.59</v>
      </c>
      <c r="N16" s="64">
        <v>41.7</v>
      </c>
      <c r="O16" s="64">
        <v>0</v>
      </c>
      <c r="P16" s="64">
        <v>0.33</v>
      </c>
      <c r="Q16" s="64">
        <v>9.6199999999999992</v>
      </c>
      <c r="R16" s="198"/>
      <c r="S16" s="198"/>
      <c r="T16" s="198"/>
      <c r="U16" s="198"/>
    </row>
    <row r="17" spans="1:21" s="12" customFormat="1" x14ac:dyDescent="0.25">
      <c r="A17" s="212" t="s">
        <v>2751</v>
      </c>
      <c r="B17" s="64">
        <v>7.77</v>
      </c>
      <c r="C17" s="64">
        <v>6.61</v>
      </c>
      <c r="D17" s="64">
        <v>9.69</v>
      </c>
      <c r="E17" s="64">
        <v>5.1100000000000003</v>
      </c>
      <c r="F17" s="64">
        <v>4.1900000000000004</v>
      </c>
      <c r="G17" s="64">
        <v>16.170000000000002</v>
      </c>
      <c r="H17" s="64">
        <v>5.85</v>
      </c>
      <c r="I17" s="64">
        <v>1.01</v>
      </c>
      <c r="J17" s="64">
        <v>0.1</v>
      </c>
      <c r="K17" s="64">
        <v>160.51</v>
      </c>
      <c r="L17" s="64">
        <v>21.78</v>
      </c>
      <c r="M17" s="64">
        <v>97.59</v>
      </c>
      <c r="N17" s="64">
        <v>41</v>
      </c>
      <c r="O17" s="64">
        <v>0</v>
      </c>
      <c r="P17" s="64">
        <v>0.28000000000000003</v>
      </c>
      <c r="Q17" s="64">
        <v>9.6</v>
      </c>
      <c r="R17" s="198"/>
      <c r="S17" s="198"/>
      <c r="T17" s="198"/>
      <c r="U17" s="198"/>
    </row>
    <row r="18" spans="1:21" s="12" customFormat="1" x14ac:dyDescent="0.25">
      <c r="A18" s="212" t="s">
        <v>2752</v>
      </c>
      <c r="B18" s="64">
        <v>7.87</v>
      </c>
      <c r="C18" s="64">
        <v>6.46</v>
      </c>
      <c r="D18" s="64">
        <v>9.69</v>
      </c>
      <c r="E18" s="64">
        <v>4.99</v>
      </c>
      <c r="F18" s="64">
        <v>2.98</v>
      </c>
      <c r="G18" s="64">
        <v>16.170000000000002</v>
      </c>
      <c r="H18" s="64">
        <v>5.85</v>
      </c>
      <c r="I18" s="64">
        <v>0.99</v>
      </c>
      <c r="J18" s="64">
        <v>0.15</v>
      </c>
      <c r="K18" s="64">
        <v>143.86000000000001</v>
      </c>
      <c r="L18" s="64">
        <v>21.67</v>
      </c>
      <c r="M18" s="64">
        <v>97.86</v>
      </c>
      <c r="N18" s="64">
        <v>40.9</v>
      </c>
      <c r="O18" s="64">
        <v>0</v>
      </c>
      <c r="P18" s="64">
        <v>0.31</v>
      </c>
      <c r="Q18" s="64">
        <v>9.59</v>
      </c>
      <c r="R18" s="198"/>
      <c r="S18" s="198"/>
      <c r="T18" s="198"/>
      <c r="U18" s="198"/>
    </row>
    <row r="19" spans="1:21" s="12" customFormat="1" x14ac:dyDescent="0.25">
      <c r="A19" s="212" t="s">
        <v>2753</v>
      </c>
      <c r="B19" s="64">
        <v>7.18</v>
      </c>
      <c r="C19" s="64">
        <v>6.66</v>
      </c>
      <c r="D19" s="64">
        <v>9.24</v>
      </c>
      <c r="E19" s="64">
        <v>5.12</v>
      </c>
      <c r="F19" s="64">
        <v>6.21</v>
      </c>
      <c r="G19" s="64">
        <v>16.170000000000002</v>
      </c>
      <c r="H19" s="64">
        <v>5.85</v>
      </c>
      <c r="I19" s="64">
        <v>0.97</v>
      </c>
      <c r="J19" s="64">
        <v>0.21</v>
      </c>
      <c r="K19" s="64">
        <v>153.25</v>
      </c>
      <c r="L19" s="64">
        <v>21.76</v>
      </c>
      <c r="M19" s="64">
        <v>97.89</v>
      </c>
      <c r="N19" s="64">
        <v>41</v>
      </c>
      <c r="O19" s="64">
        <v>0</v>
      </c>
      <c r="P19" s="64">
        <v>0.21</v>
      </c>
      <c r="Q19" s="64">
        <v>9.58</v>
      </c>
      <c r="R19" s="198"/>
      <c r="S19" s="198"/>
      <c r="T19" s="198"/>
      <c r="U19" s="198"/>
    </row>
    <row r="20" spans="1:21" s="12" customFormat="1" x14ac:dyDescent="0.25">
      <c r="A20" s="212" t="s">
        <v>2754</v>
      </c>
      <c r="B20" s="64">
        <v>7.26</v>
      </c>
      <c r="C20" s="64">
        <v>6.53</v>
      </c>
      <c r="D20" s="64">
        <v>9.24</v>
      </c>
      <c r="E20" s="64">
        <v>5.04</v>
      </c>
      <c r="F20" s="64">
        <v>5.09</v>
      </c>
      <c r="G20" s="64">
        <v>15.52</v>
      </c>
      <c r="H20" s="64">
        <v>4.99</v>
      </c>
      <c r="I20" s="64">
        <v>1.04</v>
      </c>
      <c r="J20" s="64">
        <v>0.04</v>
      </c>
      <c r="K20" s="64">
        <v>44.63</v>
      </c>
      <c r="L20" s="64">
        <v>21.86</v>
      </c>
      <c r="M20" s="64">
        <v>97.59</v>
      </c>
      <c r="N20" s="64">
        <v>41.1</v>
      </c>
      <c r="O20" s="64">
        <v>0</v>
      </c>
      <c r="P20" s="64">
        <v>0.28000000000000003</v>
      </c>
      <c r="Q20" s="64">
        <v>9.58</v>
      </c>
      <c r="R20" s="198"/>
      <c r="S20" s="198"/>
      <c r="T20" s="198"/>
      <c r="U20" s="198"/>
    </row>
    <row r="21" spans="1:21" s="12" customFormat="1" x14ac:dyDescent="0.25">
      <c r="A21" s="212" t="s">
        <v>2755</v>
      </c>
      <c r="B21" s="64">
        <v>6.97</v>
      </c>
      <c r="C21" s="64">
        <v>6.53</v>
      </c>
      <c r="D21" s="64">
        <v>9</v>
      </c>
      <c r="E21" s="64">
        <v>5.18</v>
      </c>
      <c r="F21" s="64">
        <v>4.95</v>
      </c>
      <c r="G21" s="64">
        <v>15.2</v>
      </c>
      <c r="H21" s="64">
        <v>4.5599999999999996</v>
      </c>
      <c r="I21" s="64">
        <v>1.01</v>
      </c>
      <c r="J21" s="64">
        <v>0.02</v>
      </c>
      <c r="K21" s="64">
        <v>194.26</v>
      </c>
      <c r="L21" s="64">
        <v>21.98</v>
      </c>
      <c r="M21" s="64">
        <v>97.59</v>
      </c>
      <c r="N21" s="64">
        <v>41.1</v>
      </c>
      <c r="O21" s="64">
        <v>0</v>
      </c>
      <c r="P21" s="64">
        <v>0.2</v>
      </c>
      <c r="Q21" s="64">
        <v>9.58</v>
      </c>
      <c r="R21" s="198"/>
      <c r="S21" s="198"/>
      <c r="T21" s="198"/>
      <c r="U21" s="198"/>
    </row>
    <row r="22" spans="1:21" s="12" customFormat="1" x14ac:dyDescent="0.25">
      <c r="A22" s="212" t="s">
        <v>2756</v>
      </c>
      <c r="B22" s="64">
        <v>7.08</v>
      </c>
      <c r="C22" s="64">
        <v>6.5</v>
      </c>
      <c r="D22" s="64">
        <v>9.08</v>
      </c>
      <c r="E22" s="64">
        <v>4.88</v>
      </c>
      <c r="F22" s="64">
        <v>4.45</v>
      </c>
      <c r="G22" s="64">
        <v>15.2</v>
      </c>
      <c r="H22" s="64">
        <v>4.5599999999999996</v>
      </c>
      <c r="I22" s="64">
        <v>0.93</v>
      </c>
      <c r="J22" s="64">
        <v>0.03</v>
      </c>
      <c r="K22" s="64">
        <v>267.81</v>
      </c>
      <c r="L22" s="64">
        <v>21.83</v>
      </c>
      <c r="M22" s="64">
        <v>97.86</v>
      </c>
      <c r="N22" s="64">
        <v>40.799999999999997</v>
      </c>
      <c r="O22" s="64">
        <v>0</v>
      </c>
      <c r="P22" s="64">
        <v>0.24</v>
      </c>
      <c r="Q22" s="64">
        <v>9.58</v>
      </c>
      <c r="R22" s="198"/>
      <c r="S22" s="198"/>
      <c r="T22" s="198"/>
      <c r="U22" s="198"/>
    </row>
    <row r="23" spans="1:21" s="12" customFormat="1" x14ac:dyDescent="0.25">
      <c r="A23" s="212" t="s">
        <v>2757</v>
      </c>
      <c r="B23" s="64">
        <v>7.72</v>
      </c>
      <c r="C23" s="64">
        <v>6.27</v>
      </c>
      <c r="D23" s="64">
        <v>9.4700000000000006</v>
      </c>
      <c r="E23" s="64">
        <v>4.93</v>
      </c>
      <c r="F23" s="64">
        <v>3.89</v>
      </c>
      <c r="G23" s="64">
        <v>15.2</v>
      </c>
      <c r="H23" s="64">
        <v>4.5599999999999996</v>
      </c>
      <c r="I23" s="64">
        <v>0.91</v>
      </c>
      <c r="J23" s="64">
        <v>0.15</v>
      </c>
      <c r="K23" s="64">
        <v>119.24</v>
      </c>
      <c r="L23" s="64">
        <v>21.77</v>
      </c>
      <c r="M23" s="64">
        <v>97.87</v>
      </c>
      <c r="N23" s="64">
        <v>40.9</v>
      </c>
      <c r="O23" s="64">
        <v>0</v>
      </c>
      <c r="P23" s="64">
        <v>0.26</v>
      </c>
      <c r="Q23" s="64">
        <v>9.56</v>
      </c>
      <c r="R23" s="198"/>
      <c r="S23" s="198"/>
      <c r="T23" s="198"/>
      <c r="U23" s="198"/>
    </row>
    <row r="24" spans="1:21" s="12" customFormat="1" x14ac:dyDescent="0.25">
      <c r="A24" s="212" t="s">
        <v>2758</v>
      </c>
      <c r="B24" s="64">
        <v>8.01</v>
      </c>
      <c r="C24" s="64">
        <v>6.2</v>
      </c>
      <c r="D24" s="64">
        <v>9.66</v>
      </c>
      <c r="E24" s="64">
        <v>4.8099999999999996</v>
      </c>
      <c r="F24" s="64">
        <v>3.77</v>
      </c>
      <c r="G24" s="64">
        <v>12.63</v>
      </c>
      <c r="H24" s="64">
        <v>4.04</v>
      </c>
      <c r="I24" s="64">
        <v>0.97</v>
      </c>
      <c r="J24" s="64">
        <v>0.02</v>
      </c>
      <c r="K24" s="64">
        <v>325.85000000000002</v>
      </c>
      <c r="L24" s="64">
        <v>21.93</v>
      </c>
      <c r="M24" s="64">
        <v>97.68</v>
      </c>
      <c r="N24" s="64">
        <v>40.9</v>
      </c>
      <c r="O24" s="64">
        <v>0</v>
      </c>
      <c r="P24" s="64">
        <v>0.28000000000000003</v>
      </c>
      <c r="Q24" s="64">
        <v>9.5500000000000007</v>
      </c>
      <c r="R24" s="198"/>
      <c r="S24" s="198"/>
      <c r="T24" s="198"/>
      <c r="U24" s="198"/>
    </row>
    <row r="25" spans="1:21" s="12" customFormat="1" x14ac:dyDescent="0.25">
      <c r="A25" s="212" t="s">
        <v>2759</v>
      </c>
      <c r="B25" s="64">
        <v>8.42</v>
      </c>
      <c r="C25" s="64">
        <v>6.14</v>
      </c>
      <c r="D25" s="64">
        <v>9.9600000000000009</v>
      </c>
      <c r="E25" s="64">
        <v>4.99</v>
      </c>
      <c r="F25" s="64">
        <v>2.86</v>
      </c>
      <c r="G25" s="64">
        <v>11.34</v>
      </c>
      <c r="H25" s="64">
        <v>3.76</v>
      </c>
      <c r="I25" s="64">
        <v>0.96</v>
      </c>
      <c r="J25" s="64">
        <v>0.19</v>
      </c>
      <c r="K25" s="64">
        <v>169.72</v>
      </c>
      <c r="L25" s="64">
        <v>21.95</v>
      </c>
      <c r="M25" s="64">
        <v>98.17</v>
      </c>
      <c r="N25" s="64">
        <v>40.9</v>
      </c>
      <c r="O25" s="64">
        <v>0</v>
      </c>
      <c r="P25" s="64">
        <v>0.28000000000000003</v>
      </c>
      <c r="Q25" s="64">
        <v>9.56</v>
      </c>
      <c r="R25" s="198"/>
      <c r="S25" s="198"/>
      <c r="T25" s="198"/>
      <c r="U25" s="198"/>
    </row>
    <row r="26" spans="1:21" s="12" customFormat="1" x14ac:dyDescent="0.25">
      <c r="A26" s="212" t="s">
        <v>2760</v>
      </c>
      <c r="B26" s="64">
        <v>7.06</v>
      </c>
      <c r="C26" s="64">
        <v>7.4</v>
      </c>
      <c r="D26" s="64">
        <v>9.5299999999999994</v>
      </c>
      <c r="E26" s="64">
        <v>5.2</v>
      </c>
      <c r="F26" s="64">
        <v>6.1</v>
      </c>
      <c r="G26" s="64">
        <v>11.34</v>
      </c>
      <c r="H26" s="64">
        <v>3.76</v>
      </c>
      <c r="I26" s="64">
        <v>0.96</v>
      </c>
      <c r="J26" s="64">
        <v>7.0000000000000007E-2</v>
      </c>
      <c r="K26" s="64">
        <v>185.44</v>
      </c>
      <c r="L26" s="64">
        <v>21.97</v>
      </c>
      <c r="M26" s="64">
        <v>98.2</v>
      </c>
      <c r="N26" s="64">
        <v>40.799999999999997</v>
      </c>
      <c r="O26" s="64">
        <v>0</v>
      </c>
      <c r="P26" s="64">
        <v>0.19</v>
      </c>
      <c r="Q26" s="64">
        <v>9.57</v>
      </c>
      <c r="R26" s="198"/>
      <c r="S26" s="198"/>
      <c r="T26" s="198"/>
      <c r="U26" s="198"/>
    </row>
    <row r="27" spans="1:21" s="12" customFormat="1" x14ac:dyDescent="0.25">
      <c r="A27" s="212" t="s">
        <v>2761</v>
      </c>
      <c r="B27" s="64">
        <v>7.55</v>
      </c>
      <c r="C27" s="64">
        <v>10.19</v>
      </c>
      <c r="D27" s="64">
        <v>11.37</v>
      </c>
      <c r="E27" s="64">
        <v>4.8899999999999997</v>
      </c>
      <c r="F27" s="64">
        <v>5.0599999999999996</v>
      </c>
      <c r="G27" s="64">
        <v>11.34</v>
      </c>
      <c r="H27" s="64">
        <v>3.76</v>
      </c>
      <c r="I27" s="64">
        <v>0.95</v>
      </c>
      <c r="J27" s="64">
        <v>7.0000000000000007E-2</v>
      </c>
      <c r="K27" s="64">
        <v>237</v>
      </c>
      <c r="L27" s="64">
        <v>22.04</v>
      </c>
      <c r="M27" s="64">
        <v>98.18</v>
      </c>
      <c r="N27" s="64">
        <v>40.799999999999997</v>
      </c>
      <c r="O27" s="64">
        <v>0</v>
      </c>
      <c r="P27" s="64">
        <v>0.19</v>
      </c>
      <c r="Q27" s="64">
        <v>9.58</v>
      </c>
      <c r="R27" s="198"/>
      <c r="S27" s="198"/>
      <c r="T27" s="198"/>
      <c r="U27" s="198"/>
    </row>
    <row r="28" spans="1:21" s="12" customFormat="1" x14ac:dyDescent="0.25">
      <c r="A28" s="212" t="s">
        <v>2762</v>
      </c>
      <c r="B28" s="64">
        <v>6.81</v>
      </c>
      <c r="C28" s="64">
        <v>8.61</v>
      </c>
      <c r="D28" s="64">
        <v>9.9600000000000009</v>
      </c>
      <c r="E28" s="64">
        <v>4.91</v>
      </c>
      <c r="F28" s="64">
        <v>6.93</v>
      </c>
      <c r="G28" s="64">
        <v>14.41</v>
      </c>
      <c r="H28" s="64">
        <v>3.27</v>
      </c>
      <c r="I28" s="64">
        <v>0.89</v>
      </c>
      <c r="J28" s="64">
        <v>0.06</v>
      </c>
      <c r="K28" s="64">
        <v>156.55000000000001</v>
      </c>
      <c r="L28" s="64">
        <v>22.1</v>
      </c>
      <c r="M28" s="64">
        <v>98.18</v>
      </c>
      <c r="N28" s="64">
        <v>41.1</v>
      </c>
      <c r="O28" s="64">
        <v>0</v>
      </c>
      <c r="P28" s="64">
        <v>0.16</v>
      </c>
      <c r="Q28" s="64">
        <v>9.6</v>
      </c>
      <c r="R28" s="198"/>
      <c r="S28" s="198"/>
      <c r="T28" s="198"/>
      <c r="U28" s="198"/>
    </row>
    <row r="29" spans="1:21" s="12" customFormat="1" x14ac:dyDescent="0.25">
      <c r="A29" s="212" t="s">
        <v>2763</v>
      </c>
      <c r="B29" s="64">
        <v>6.53</v>
      </c>
      <c r="C29" s="64">
        <v>7.49</v>
      </c>
      <c r="D29" s="64">
        <v>9.15</v>
      </c>
      <c r="E29" s="64">
        <v>4.87</v>
      </c>
      <c r="F29" s="64">
        <v>6.88</v>
      </c>
      <c r="G29" s="64">
        <v>15.95</v>
      </c>
      <c r="H29" s="64">
        <v>3.02</v>
      </c>
      <c r="I29" s="64">
        <v>0.89</v>
      </c>
      <c r="J29" s="64">
        <v>0.3</v>
      </c>
      <c r="K29" s="64">
        <v>145.15</v>
      </c>
      <c r="L29" s="64">
        <v>22.17</v>
      </c>
      <c r="M29" s="64">
        <v>98.18</v>
      </c>
      <c r="N29" s="64">
        <v>41.3</v>
      </c>
      <c r="O29" s="64">
        <v>0</v>
      </c>
      <c r="P29" s="64">
        <v>0.2</v>
      </c>
      <c r="Q29" s="64">
        <v>9.61</v>
      </c>
      <c r="R29" s="198"/>
      <c r="S29" s="198"/>
      <c r="T29" s="198"/>
      <c r="U29" s="198"/>
    </row>
    <row r="30" spans="1:21" s="12" customFormat="1" x14ac:dyDescent="0.25">
      <c r="A30" s="212" t="s">
        <v>2764</v>
      </c>
      <c r="B30" s="64">
        <v>6.28</v>
      </c>
      <c r="C30" s="64">
        <v>8.18</v>
      </c>
      <c r="D30" s="64">
        <v>9.31</v>
      </c>
      <c r="E30" s="64">
        <v>5.15</v>
      </c>
      <c r="F30" s="64">
        <v>5.96</v>
      </c>
      <c r="G30" s="64">
        <v>15.95</v>
      </c>
      <c r="H30" s="64">
        <v>3.02</v>
      </c>
      <c r="I30" s="64">
        <v>0.95</v>
      </c>
      <c r="J30" s="64">
        <v>7.0000000000000007E-2</v>
      </c>
      <c r="K30" s="64">
        <v>151.57</v>
      </c>
      <c r="L30" s="64">
        <v>22.3</v>
      </c>
      <c r="M30" s="64">
        <v>98.18</v>
      </c>
      <c r="N30" s="64">
        <v>41.1</v>
      </c>
      <c r="O30" s="64">
        <v>0</v>
      </c>
      <c r="P30" s="64">
        <v>0.25</v>
      </c>
      <c r="Q30" s="64">
        <v>9.6199999999999992</v>
      </c>
      <c r="R30" s="198"/>
      <c r="S30" s="198"/>
      <c r="T30" s="198"/>
      <c r="U30" s="198"/>
    </row>
    <row r="31" spans="1:21" s="12" customFormat="1" x14ac:dyDescent="0.25">
      <c r="A31" s="212" t="s">
        <v>2765</v>
      </c>
      <c r="B31" s="64">
        <v>11.76</v>
      </c>
      <c r="C31" s="64">
        <v>10.119999999999999</v>
      </c>
      <c r="D31" s="64">
        <v>14.71</v>
      </c>
      <c r="E31" s="64">
        <v>5.17</v>
      </c>
      <c r="F31" s="64">
        <v>5.83</v>
      </c>
      <c r="G31" s="64">
        <v>15.95</v>
      </c>
      <c r="H31" s="64">
        <v>3.02</v>
      </c>
      <c r="I31" s="64">
        <v>1.02</v>
      </c>
      <c r="J31" s="64">
        <v>0.14000000000000001</v>
      </c>
      <c r="K31" s="64">
        <v>336.37</v>
      </c>
      <c r="L31" s="64">
        <v>22.39</v>
      </c>
      <c r="M31" s="64">
        <v>98.18</v>
      </c>
      <c r="N31" s="64">
        <v>41.8</v>
      </c>
      <c r="O31" s="64">
        <v>0</v>
      </c>
      <c r="P31" s="64">
        <v>0.41</v>
      </c>
      <c r="Q31" s="64">
        <v>9.61</v>
      </c>
      <c r="R31" s="198"/>
      <c r="S31" s="198"/>
      <c r="T31" s="198"/>
      <c r="U31" s="198"/>
    </row>
    <row r="32" spans="1:21" s="12" customFormat="1" x14ac:dyDescent="0.25">
      <c r="A32" s="212" t="s">
        <v>2766</v>
      </c>
      <c r="B32" s="64">
        <v>7.7</v>
      </c>
      <c r="C32" s="64">
        <v>9.24</v>
      </c>
      <c r="D32" s="64">
        <v>11</v>
      </c>
      <c r="E32" s="64">
        <v>5.04</v>
      </c>
      <c r="F32" s="64">
        <v>6.22</v>
      </c>
      <c r="G32" s="64">
        <v>15.67</v>
      </c>
      <c r="H32" s="64">
        <v>2.85</v>
      </c>
      <c r="I32" s="64">
        <v>1.03</v>
      </c>
      <c r="J32" s="64">
        <v>7.0000000000000007E-2</v>
      </c>
      <c r="K32" s="64">
        <v>347.09</v>
      </c>
      <c r="L32" s="64">
        <v>22.51</v>
      </c>
      <c r="M32" s="64">
        <v>98.18</v>
      </c>
      <c r="N32" s="64">
        <v>43.5</v>
      </c>
      <c r="O32" s="64">
        <v>0</v>
      </c>
      <c r="P32" s="64">
        <v>0.46</v>
      </c>
      <c r="Q32" s="64">
        <v>9.6199999999999992</v>
      </c>
      <c r="R32" s="198"/>
      <c r="S32" s="198"/>
      <c r="T32" s="198"/>
      <c r="U32" s="198"/>
    </row>
    <row r="33" spans="1:21" s="12" customFormat="1" x14ac:dyDescent="0.25">
      <c r="A33" s="212" t="s">
        <v>2767</v>
      </c>
      <c r="B33" s="64">
        <v>16.14</v>
      </c>
      <c r="C33" s="64">
        <v>8.59</v>
      </c>
      <c r="D33" s="64">
        <v>17.440000000000001</v>
      </c>
      <c r="E33" s="64">
        <v>5.16</v>
      </c>
      <c r="F33" s="64">
        <v>3.9</v>
      </c>
      <c r="G33" s="64">
        <v>15.53</v>
      </c>
      <c r="H33" s="64">
        <v>2.77</v>
      </c>
      <c r="I33" s="64">
        <v>1.06</v>
      </c>
      <c r="J33" s="64">
        <v>0.31</v>
      </c>
      <c r="K33" s="64">
        <v>339.57</v>
      </c>
      <c r="L33" s="64">
        <v>22.59</v>
      </c>
      <c r="M33" s="64">
        <v>98.19</v>
      </c>
      <c r="N33" s="64">
        <v>45.9</v>
      </c>
      <c r="O33" s="64">
        <v>0</v>
      </c>
      <c r="P33" s="64">
        <v>0.34</v>
      </c>
      <c r="Q33" s="64">
        <v>9.6199999999999992</v>
      </c>
      <c r="R33" s="198"/>
      <c r="S33" s="198"/>
      <c r="T33" s="198"/>
      <c r="U33" s="198"/>
    </row>
    <row r="34" spans="1:21" s="12" customFormat="1" x14ac:dyDescent="0.25">
      <c r="A34" s="212" t="s">
        <v>2768</v>
      </c>
      <c r="B34" s="64">
        <v>8.81</v>
      </c>
      <c r="C34" s="64">
        <v>8.66</v>
      </c>
      <c r="D34" s="64">
        <v>11.59</v>
      </c>
      <c r="E34" s="64">
        <v>5.49</v>
      </c>
      <c r="F34" s="64">
        <v>5.21</v>
      </c>
      <c r="G34" s="64">
        <v>15.53</v>
      </c>
      <c r="H34" s="64">
        <v>2.77</v>
      </c>
      <c r="I34" s="64">
        <v>1.1000000000000001</v>
      </c>
      <c r="J34" s="64">
        <v>0.31</v>
      </c>
      <c r="K34" s="64">
        <v>128.36000000000001</v>
      </c>
      <c r="L34" s="64">
        <v>22.7</v>
      </c>
      <c r="M34" s="64">
        <v>98.18</v>
      </c>
      <c r="N34" s="64">
        <v>54.6</v>
      </c>
      <c r="O34" s="64">
        <v>0</v>
      </c>
      <c r="P34" s="64">
        <v>0.27</v>
      </c>
      <c r="Q34" s="64">
        <v>9.6199999999999992</v>
      </c>
      <c r="R34" s="198"/>
      <c r="S34" s="198"/>
      <c r="T34" s="198"/>
      <c r="U34" s="198"/>
    </row>
    <row r="35" spans="1:21" s="12" customFormat="1" x14ac:dyDescent="0.25">
      <c r="A35" s="212" t="s">
        <v>2769</v>
      </c>
      <c r="B35" s="64">
        <v>10.18</v>
      </c>
      <c r="C35" s="64">
        <v>9.07</v>
      </c>
      <c r="D35" s="64">
        <v>12.9</v>
      </c>
      <c r="E35" s="64">
        <v>5.27</v>
      </c>
      <c r="F35" s="64">
        <v>4.8899999999999997</v>
      </c>
      <c r="G35" s="64">
        <v>15.53</v>
      </c>
      <c r="H35" s="64">
        <v>2.77</v>
      </c>
      <c r="I35" s="64">
        <v>1.1299999999999999</v>
      </c>
      <c r="J35" s="64">
        <v>0.44</v>
      </c>
      <c r="K35" s="64">
        <v>123.96</v>
      </c>
      <c r="L35" s="64">
        <v>22.75</v>
      </c>
      <c r="M35" s="64">
        <v>98.18</v>
      </c>
      <c r="N35" s="64">
        <v>57.4</v>
      </c>
      <c r="O35" s="64">
        <v>0</v>
      </c>
      <c r="P35" s="64">
        <v>0.3</v>
      </c>
      <c r="Q35" s="64">
        <v>9.6199999999999992</v>
      </c>
      <c r="R35" s="198"/>
      <c r="S35" s="198"/>
      <c r="T35" s="198"/>
      <c r="U35" s="198"/>
    </row>
    <row r="36" spans="1:21" s="12" customFormat="1" x14ac:dyDescent="0.25">
      <c r="A36" s="212" t="s">
        <v>2770</v>
      </c>
      <c r="B36" s="64">
        <v>8.2200000000000006</v>
      </c>
      <c r="C36" s="64">
        <v>8.92</v>
      </c>
      <c r="D36" s="64">
        <v>11.26</v>
      </c>
      <c r="E36" s="64">
        <v>5.2</v>
      </c>
      <c r="F36" s="64">
        <v>4.55</v>
      </c>
      <c r="G36" s="64">
        <v>20.96</v>
      </c>
      <c r="H36" s="64">
        <v>4.87</v>
      </c>
      <c r="I36" s="64">
        <v>1.1399999999999999</v>
      </c>
      <c r="J36" s="64">
        <v>0.49</v>
      </c>
      <c r="K36" s="64">
        <v>132.27000000000001</v>
      </c>
      <c r="L36" s="64">
        <v>22.71</v>
      </c>
      <c r="M36" s="64">
        <v>98.16</v>
      </c>
      <c r="N36" s="64">
        <v>106.8</v>
      </c>
      <c r="O36" s="64">
        <v>0</v>
      </c>
      <c r="P36" s="64">
        <v>0.25</v>
      </c>
      <c r="Q36" s="64">
        <v>9.6199999999999992</v>
      </c>
      <c r="R36" s="198"/>
      <c r="S36" s="198"/>
      <c r="T36" s="198"/>
      <c r="U36" s="198"/>
    </row>
    <row r="37" spans="1:21" s="12" customFormat="1" x14ac:dyDescent="0.25">
      <c r="A37" s="212" t="s">
        <v>2771</v>
      </c>
      <c r="B37" s="64">
        <v>9.57</v>
      </c>
      <c r="C37" s="64">
        <v>7.28</v>
      </c>
      <c r="D37" s="64">
        <v>11.47</v>
      </c>
      <c r="E37" s="64">
        <v>5.26</v>
      </c>
      <c r="F37" s="64">
        <v>5</v>
      </c>
      <c r="G37" s="64">
        <v>23.67</v>
      </c>
      <c r="H37" s="64">
        <v>5.91</v>
      </c>
      <c r="I37" s="64">
        <v>1.1499999999999999</v>
      </c>
      <c r="J37" s="64">
        <v>0.64</v>
      </c>
      <c r="K37" s="64">
        <v>128.79</v>
      </c>
      <c r="L37" s="64">
        <v>22.94</v>
      </c>
      <c r="M37" s="64">
        <v>98.17</v>
      </c>
      <c r="N37" s="64">
        <v>147.80000000000001</v>
      </c>
      <c r="O37" s="64">
        <v>0</v>
      </c>
      <c r="P37" s="64">
        <v>0.28999999999999998</v>
      </c>
      <c r="Q37" s="64">
        <v>9.6199999999999992</v>
      </c>
      <c r="R37" s="198"/>
      <c r="S37" s="198"/>
      <c r="T37" s="198"/>
      <c r="U37" s="198"/>
    </row>
    <row r="38" spans="1:21" s="12" customFormat="1" x14ac:dyDescent="0.25">
      <c r="A38" s="212" t="s">
        <v>2772</v>
      </c>
      <c r="B38" s="64">
        <v>8.66</v>
      </c>
      <c r="C38" s="64">
        <v>8.32</v>
      </c>
      <c r="D38" s="64">
        <v>11.29</v>
      </c>
      <c r="E38" s="64">
        <v>4.92</v>
      </c>
      <c r="F38" s="64">
        <v>5.98</v>
      </c>
      <c r="G38" s="64">
        <v>23.67</v>
      </c>
      <c r="H38" s="64">
        <v>5.91</v>
      </c>
      <c r="I38" s="64">
        <v>1.1599999999999999</v>
      </c>
      <c r="J38" s="64">
        <v>0.54</v>
      </c>
      <c r="K38" s="64">
        <v>116.85</v>
      </c>
      <c r="L38" s="64">
        <v>23.01</v>
      </c>
      <c r="M38" s="64">
        <v>98.15</v>
      </c>
      <c r="N38" s="64">
        <v>152.80000000000001</v>
      </c>
      <c r="O38" s="64">
        <v>0</v>
      </c>
      <c r="P38" s="64">
        <v>0.3</v>
      </c>
      <c r="Q38" s="64">
        <v>9.64</v>
      </c>
      <c r="R38" s="198"/>
      <c r="S38" s="198"/>
      <c r="T38" s="198"/>
      <c r="U38" s="198"/>
    </row>
    <row r="39" spans="1:21" s="12" customFormat="1" x14ac:dyDescent="0.25">
      <c r="A39" s="212" t="s">
        <v>2773</v>
      </c>
      <c r="B39" s="64">
        <v>10.55</v>
      </c>
      <c r="C39" s="64">
        <v>9.5</v>
      </c>
      <c r="D39" s="64">
        <v>13.42</v>
      </c>
      <c r="E39" s="64">
        <v>5.05</v>
      </c>
      <c r="F39" s="64">
        <v>6.14</v>
      </c>
      <c r="G39" s="64">
        <v>23.67</v>
      </c>
      <c r="H39" s="64">
        <v>5.91</v>
      </c>
      <c r="I39" s="64">
        <v>1.1599999999999999</v>
      </c>
      <c r="J39" s="64">
        <v>0.2</v>
      </c>
      <c r="K39" s="64">
        <v>139.38</v>
      </c>
      <c r="L39" s="64">
        <v>23.34</v>
      </c>
      <c r="M39" s="64">
        <v>98.13</v>
      </c>
      <c r="N39" s="64">
        <v>123</v>
      </c>
      <c r="O39" s="64">
        <v>0</v>
      </c>
      <c r="P39" s="64">
        <v>0.36</v>
      </c>
      <c r="Q39" s="64">
        <v>9.64</v>
      </c>
      <c r="R39" s="198"/>
      <c r="S39" s="198"/>
      <c r="T39" s="198"/>
      <c r="U39" s="198"/>
    </row>
    <row r="40" spans="1:21" s="12" customFormat="1" x14ac:dyDescent="0.25">
      <c r="A40" s="212" t="s">
        <v>2774</v>
      </c>
      <c r="B40" s="64">
        <v>9.59</v>
      </c>
      <c r="C40" s="64">
        <v>9.64</v>
      </c>
      <c r="D40" s="64">
        <v>12.73</v>
      </c>
      <c r="E40" s="64">
        <v>5.44</v>
      </c>
      <c r="F40" s="64">
        <v>5.55</v>
      </c>
      <c r="G40" s="64">
        <v>22.89</v>
      </c>
      <c r="H40" s="64">
        <v>5.16</v>
      </c>
      <c r="I40" s="64">
        <v>1.1499999999999999</v>
      </c>
      <c r="J40" s="64">
        <v>0.2</v>
      </c>
      <c r="K40" s="64">
        <v>158.63</v>
      </c>
      <c r="L40" s="64">
        <v>23.48</v>
      </c>
      <c r="M40" s="64">
        <v>98.13</v>
      </c>
      <c r="N40" s="64">
        <v>122.4</v>
      </c>
      <c r="O40" s="64">
        <v>0</v>
      </c>
      <c r="P40" s="64">
        <v>0.37</v>
      </c>
      <c r="Q40" s="64">
        <v>9.6300000000000008</v>
      </c>
      <c r="R40" s="198"/>
      <c r="S40" s="198"/>
      <c r="T40" s="198"/>
      <c r="U40" s="198"/>
    </row>
    <row r="41" spans="1:21" s="12" customFormat="1" x14ac:dyDescent="0.25">
      <c r="A41" s="212" t="s">
        <v>2775</v>
      </c>
      <c r="B41" s="64">
        <v>10.52</v>
      </c>
      <c r="C41" s="64">
        <v>9.5399999999999991</v>
      </c>
      <c r="D41" s="64">
        <v>13.42</v>
      </c>
      <c r="E41" s="64">
        <v>5.08</v>
      </c>
      <c r="F41" s="64">
        <v>5.47</v>
      </c>
      <c r="G41" s="64">
        <v>22.5</v>
      </c>
      <c r="H41" s="64">
        <v>4.76</v>
      </c>
      <c r="I41" s="64">
        <v>1.17</v>
      </c>
      <c r="J41" s="64">
        <v>0.25</v>
      </c>
      <c r="K41" s="64">
        <v>144.72</v>
      </c>
      <c r="L41" s="64">
        <v>23.95</v>
      </c>
      <c r="M41" s="64">
        <v>98.07</v>
      </c>
      <c r="N41" s="64">
        <v>178.6</v>
      </c>
      <c r="O41" s="64">
        <v>0</v>
      </c>
      <c r="P41" s="64">
        <v>0.37</v>
      </c>
      <c r="Q41" s="64">
        <v>9.6300000000000008</v>
      </c>
      <c r="R41" s="198"/>
      <c r="S41" s="198"/>
      <c r="T41" s="198"/>
      <c r="U41" s="198"/>
    </row>
    <row r="42" spans="1:21" s="12" customFormat="1" x14ac:dyDescent="0.25">
      <c r="A42" s="212" t="s">
        <v>2776</v>
      </c>
      <c r="B42" s="64">
        <v>10.06</v>
      </c>
      <c r="C42" s="64">
        <v>9.1</v>
      </c>
      <c r="D42" s="64">
        <v>12.82</v>
      </c>
      <c r="E42" s="64">
        <v>5.26</v>
      </c>
      <c r="F42" s="64">
        <v>5.98</v>
      </c>
      <c r="G42" s="64">
        <v>22.5</v>
      </c>
      <c r="H42" s="64">
        <v>4.76</v>
      </c>
      <c r="I42" s="64">
        <v>1.19</v>
      </c>
      <c r="J42" s="64">
        <v>0.27</v>
      </c>
      <c r="K42" s="64">
        <v>125.11</v>
      </c>
      <c r="L42" s="64">
        <v>24.3</v>
      </c>
      <c r="M42" s="64">
        <v>98.05</v>
      </c>
      <c r="N42" s="64">
        <v>185.8</v>
      </c>
      <c r="O42" s="64">
        <v>0</v>
      </c>
      <c r="P42" s="64">
        <v>0.36</v>
      </c>
      <c r="Q42" s="64">
        <v>9.6199999999999992</v>
      </c>
      <c r="R42" s="198"/>
      <c r="S42" s="198"/>
      <c r="T42" s="198"/>
      <c r="U42" s="198"/>
    </row>
    <row r="43" spans="1:21" s="12" customFormat="1" x14ac:dyDescent="0.25">
      <c r="A43" s="212" t="s">
        <v>2777</v>
      </c>
      <c r="B43" s="64">
        <v>9.31</v>
      </c>
      <c r="C43" s="64">
        <v>9.41</v>
      </c>
      <c r="D43" s="64">
        <v>12.38</v>
      </c>
      <c r="E43" s="64">
        <v>5.52</v>
      </c>
      <c r="F43" s="64">
        <v>7.2</v>
      </c>
      <c r="G43" s="64">
        <v>22.5</v>
      </c>
      <c r="H43" s="64">
        <v>4.76</v>
      </c>
      <c r="I43" s="64">
        <v>1.21</v>
      </c>
      <c r="J43" s="64">
        <v>0.24</v>
      </c>
      <c r="K43" s="64">
        <v>163.04</v>
      </c>
      <c r="L43" s="64">
        <v>24.77</v>
      </c>
      <c r="M43" s="64">
        <v>98.03</v>
      </c>
      <c r="N43" s="64">
        <v>236.3</v>
      </c>
      <c r="O43" s="64">
        <v>0</v>
      </c>
      <c r="P43" s="64">
        <v>0.38</v>
      </c>
      <c r="Q43" s="64">
        <v>9.6199999999999992</v>
      </c>
      <c r="R43" s="198"/>
      <c r="S43" s="198"/>
      <c r="T43" s="198"/>
      <c r="U43" s="198"/>
    </row>
    <row r="44" spans="1:21" s="12" customFormat="1" x14ac:dyDescent="0.25">
      <c r="A44" s="212" t="s">
        <v>2778</v>
      </c>
      <c r="B44" s="64">
        <v>9.9700000000000006</v>
      </c>
      <c r="C44" s="64">
        <v>11.53</v>
      </c>
      <c r="D44" s="64">
        <v>14.02</v>
      </c>
      <c r="E44" s="64">
        <v>5.5</v>
      </c>
      <c r="F44" s="64">
        <v>9.4499999999999993</v>
      </c>
      <c r="G44" s="64">
        <v>31.39</v>
      </c>
      <c r="H44" s="64">
        <v>5.57</v>
      </c>
      <c r="I44" s="64">
        <v>1.23</v>
      </c>
      <c r="J44" s="64">
        <v>0.22</v>
      </c>
      <c r="K44" s="64">
        <v>136.99</v>
      </c>
      <c r="L44" s="64">
        <v>25.85</v>
      </c>
      <c r="M44" s="64">
        <v>97.94</v>
      </c>
      <c r="N44" s="64">
        <v>416.9</v>
      </c>
      <c r="O44" s="64">
        <v>0</v>
      </c>
      <c r="P44" s="64">
        <v>0.49</v>
      </c>
      <c r="Q44" s="64">
        <v>9.6300000000000008</v>
      </c>
      <c r="R44" s="198"/>
      <c r="S44" s="198"/>
      <c r="T44" s="198"/>
      <c r="U44" s="198"/>
    </row>
    <row r="45" spans="1:21" s="12" customFormat="1" x14ac:dyDescent="0.25">
      <c r="A45" s="212" t="s">
        <v>2779</v>
      </c>
      <c r="B45" s="64">
        <v>9.1</v>
      </c>
      <c r="C45" s="64">
        <v>10.36</v>
      </c>
      <c r="D45" s="64">
        <v>12.71</v>
      </c>
      <c r="E45" s="64">
        <v>5.51</v>
      </c>
      <c r="F45" s="64">
        <v>10.61</v>
      </c>
      <c r="G45" s="64">
        <v>35.840000000000003</v>
      </c>
      <c r="H45" s="64">
        <v>5.98</v>
      </c>
      <c r="I45" s="64">
        <v>1.24</v>
      </c>
      <c r="J45" s="64">
        <v>0.55000000000000004</v>
      </c>
      <c r="K45" s="64">
        <v>124.81</v>
      </c>
      <c r="L45" s="64">
        <v>25.9</v>
      </c>
      <c r="M45" s="64">
        <v>97.92</v>
      </c>
      <c r="N45" s="64">
        <v>286.3</v>
      </c>
      <c r="O45" s="64">
        <v>0</v>
      </c>
      <c r="P45" s="64">
        <v>0.41</v>
      </c>
      <c r="Q45" s="64">
        <v>9.6199999999999992</v>
      </c>
      <c r="R45" s="198"/>
      <c r="S45" s="198"/>
      <c r="T45" s="198"/>
      <c r="U45" s="198"/>
    </row>
    <row r="46" spans="1:21" s="12" customFormat="1" x14ac:dyDescent="0.25">
      <c r="A46" s="212" t="s">
        <v>2780</v>
      </c>
      <c r="B46" s="64">
        <v>8.3800000000000008</v>
      </c>
      <c r="C46" s="64">
        <v>8.99</v>
      </c>
      <c r="D46" s="64">
        <v>11.42</v>
      </c>
      <c r="E46" s="64">
        <v>5.36</v>
      </c>
      <c r="F46" s="64">
        <v>11.12</v>
      </c>
      <c r="G46" s="64">
        <v>35.840000000000003</v>
      </c>
      <c r="H46" s="64">
        <v>5.98</v>
      </c>
      <c r="I46" s="64">
        <v>1.27</v>
      </c>
      <c r="J46" s="64">
        <v>0.71</v>
      </c>
      <c r="K46" s="64">
        <v>122.9</v>
      </c>
      <c r="L46" s="64">
        <v>25.56</v>
      </c>
      <c r="M46" s="64">
        <v>97.96</v>
      </c>
      <c r="N46" s="64">
        <v>371.7</v>
      </c>
      <c r="O46" s="64">
        <v>0</v>
      </c>
      <c r="P46" s="64">
        <v>0.41</v>
      </c>
      <c r="Q46" s="64">
        <v>9.6300000000000008</v>
      </c>
      <c r="R46" s="198"/>
      <c r="S46" s="198"/>
      <c r="T46" s="198"/>
      <c r="U46" s="198"/>
    </row>
    <row r="47" spans="1:21" s="12" customFormat="1" x14ac:dyDescent="0.25">
      <c r="A47" s="212" t="s">
        <v>2781</v>
      </c>
      <c r="B47" s="64">
        <v>7.86</v>
      </c>
      <c r="C47" s="64">
        <v>8.65</v>
      </c>
      <c r="D47" s="64">
        <v>10.83</v>
      </c>
      <c r="E47" s="64">
        <v>5.43</v>
      </c>
      <c r="F47" s="64">
        <v>9.08</v>
      </c>
      <c r="G47" s="64">
        <v>35.840000000000003</v>
      </c>
      <c r="H47" s="64">
        <v>5.98</v>
      </c>
      <c r="I47" s="64">
        <v>1.3</v>
      </c>
      <c r="J47" s="64">
        <v>0.47</v>
      </c>
      <c r="K47" s="64">
        <v>122.98</v>
      </c>
      <c r="L47" s="64">
        <v>25.6</v>
      </c>
      <c r="M47" s="64">
        <v>97.95</v>
      </c>
      <c r="N47" s="64">
        <v>275.39999999999998</v>
      </c>
      <c r="O47" s="64">
        <v>0</v>
      </c>
      <c r="P47" s="64">
        <v>0.35</v>
      </c>
      <c r="Q47" s="64">
        <v>9.64</v>
      </c>
      <c r="R47" s="198"/>
      <c r="S47" s="198"/>
      <c r="T47" s="198"/>
      <c r="U47" s="198"/>
    </row>
    <row r="48" spans="1:21" s="12" customFormat="1" x14ac:dyDescent="0.25">
      <c r="A48" s="212" t="s">
        <v>2782</v>
      </c>
      <c r="B48" s="64">
        <v>9.48</v>
      </c>
      <c r="C48" s="64">
        <v>9.2200000000000006</v>
      </c>
      <c r="D48" s="64">
        <v>12.42</v>
      </c>
      <c r="E48" s="64">
        <v>5.57</v>
      </c>
      <c r="F48" s="64">
        <v>5.98</v>
      </c>
      <c r="G48" s="64">
        <v>32.28</v>
      </c>
      <c r="H48" s="64">
        <v>5.71</v>
      </c>
      <c r="I48" s="64">
        <v>1.31</v>
      </c>
      <c r="J48" s="64">
        <v>0.61</v>
      </c>
      <c r="K48" s="64">
        <v>163.29</v>
      </c>
      <c r="L48" s="64">
        <v>25.36</v>
      </c>
      <c r="M48" s="64">
        <v>97.98</v>
      </c>
      <c r="N48" s="64">
        <v>185.9</v>
      </c>
      <c r="O48" s="64">
        <v>0</v>
      </c>
      <c r="P48" s="64">
        <v>0.38</v>
      </c>
      <c r="Q48" s="64">
        <v>9.64</v>
      </c>
      <c r="R48" s="198"/>
      <c r="S48" s="198"/>
      <c r="T48" s="198"/>
      <c r="U48" s="198"/>
    </row>
    <row r="49" spans="1:21" s="12" customFormat="1" x14ac:dyDescent="0.25">
      <c r="A49" s="212" t="s">
        <v>2783</v>
      </c>
      <c r="B49" s="64">
        <v>9</v>
      </c>
      <c r="C49" s="64">
        <v>9.1</v>
      </c>
      <c r="D49" s="64">
        <v>11.97</v>
      </c>
      <c r="E49" s="64">
        <v>5.44</v>
      </c>
      <c r="F49" s="64">
        <v>9.0500000000000007</v>
      </c>
      <c r="G49" s="64">
        <v>30.49</v>
      </c>
      <c r="H49" s="64">
        <v>5.57</v>
      </c>
      <c r="I49" s="64">
        <v>1.33</v>
      </c>
      <c r="J49" s="64">
        <v>0.36</v>
      </c>
      <c r="K49" s="64">
        <v>145.21</v>
      </c>
      <c r="L49" s="64">
        <v>25.31</v>
      </c>
      <c r="M49" s="64">
        <v>97.98</v>
      </c>
      <c r="N49" s="64">
        <v>255</v>
      </c>
      <c r="O49" s="64">
        <v>0</v>
      </c>
      <c r="P49" s="64">
        <v>0.38</v>
      </c>
      <c r="Q49" s="64">
        <v>9.6300000000000008</v>
      </c>
      <c r="R49" s="198"/>
      <c r="S49" s="198"/>
      <c r="T49" s="198"/>
      <c r="U49" s="198"/>
    </row>
    <row r="50" spans="1:21" s="12" customFormat="1" x14ac:dyDescent="0.25">
      <c r="A50" s="212" t="s">
        <v>2784</v>
      </c>
      <c r="B50" s="64">
        <v>8.4700000000000006</v>
      </c>
      <c r="C50" s="64">
        <v>9.1999999999999993</v>
      </c>
      <c r="D50" s="64">
        <v>11.6</v>
      </c>
      <c r="E50" s="64">
        <v>5.48</v>
      </c>
      <c r="F50" s="64">
        <v>11.47</v>
      </c>
      <c r="G50" s="64">
        <v>30.49</v>
      </c>
      <c r="H50" s="64">
        <v>5.57</v>
      </c>
      <c r="I50" s="64">
        <v>1.35</v>
      </c>
      <c r="J50" s="64">
        <v>0.39</v>
      </c>
      <c r="K50" s="64">
        <v>129.34</v>
      </c>
      <c r="L50" s="64">
        <v>26.02</v>
      </c>
      <c r="M50" s="64">
        <v>97.96</v>
      </c>
      <c r="N50" s="64">
        <v>348.8</v>
      </c>
      <c r="O50" s="64">
        <v>0</v>
      </c>
      <c r="P50" s="64">
        <v>0.4</v>
      </c>
      <c r="Q50" s="64">
        <v>9.64</v>
      </c>
      <c r="R50" s="198"/>
      <c r="S50" s="198"/>
      <c r="T50" s="198"/>
      <c r="U50" s="198"/>
    </row>
    <row r="51" spans="1:21" s="12" customFormat="1" x14ac:dyDescent="0.25">
      <c r="A51" s="212" t="s">
        <v>2785</v>
      </c>
      <c r="B51" s="64">
        <v>7.43</v>
      </c>
      <c r="C51" s="64">
        <v>10.050000000000001</v>
      </c>
      <c r="D51" s="64">
        <v>10.51</v>
      </c>
      <c r="E51" s="64">
        <v>5.53</v>
      </c>
      <c r="F51" s="64">
        <v>8.76</v>
      </c>
      <c r="G51" s="64">
        <v>30.49</v>
      </c>
      <c r="H51" s="64">
        <v>5.57</v>
      </c>
      <c r="I51" s="64">
        <v>1.37</v>
      </c>
      <c r="J51" s="64">
        <v>0.25</v>
      </c>
      <c r="K51" s="64">
        <v>116.39</v>
      </c>
      <c r="L51" s="64">
        <v>26.18</v>
      </c>
      <c r="M51" s="64">
        <v>97.94</v>
      </c>
      <c r="N51" s="64">
        <v>227.4</v>
      </c>
      <c r="O51" s="64">
        <v>0</v>
      </c>
      <c r="P51" s="64">
        <v>0.43</v>
      </c>
      <c r="Q51" s="64">
        <v>9.64</v>
      </c>
      <c r="R51" s="198"/>
      <c r="S51" s="198"/>
      <c r="T51" s="198"/>
      <c r="U51" s="198"/>
    </row>
    <row r="52" spans="1:21" s="12" customFormat="1" x14ac:dyDescent="0.25">
      <c r="A52" s="212" t="s">
        <v>2786</v>
      </c>
      <c r="B52" s="64">
        <v>5.38</v>
      </c>
      <c r="C52" s="64">
        <v>11.09</v>
      </c>
      <c r="D52" s="64">
        <v>10.11</v>
      </c>
      <c r="E52" s="64">
        <v>5.35</v>
      </c>
      <c r="F52" s="64">
        <v>11.63</v>
      </c>
      <c r="G52" s="64">
        <v>30.49</v>
      </c>
      <c r="H52" s="64">
        <v>5.57</v>
      </c>
      <c r="I52" s="64">
        <v>1.38</v>
      </c>
      <c r="J52" s="64">
        <v>0.35</v>
      </c>
      <c r="K52" s="64">
        <v>122.81</v>
      </c>
      <c r="L52" s="64">
        <v>26.4</v>
      </c>
      <c r="M52" s="64">
        <v>97.9</v>
      </c>
      <c r="N52" s="64">
        <v>492.9</v>
      </c>
      <c r="O52" s="64">
        <v>0</v>
      </c>
      <c r="P52" s="64">
        <v>0.36</v>
      </c>
      <c r="Q52" s="64">
        <v>9.5299999999999994</v>
      </c>
      <c r="R52" s="198"/>
      <c r="S52" s="198"/>
      <c r="T52" s="198"/>
      <c r="U52" s="198"/>
    </row>
    <row r="53" spans="1:21" s="12" customFormat="1" x14ac:dyDescent="0.25">
      <c r="A53" s="212" t="s">
        <v>2787</v>
      </c>
      <c r="B53" s="210" t="s">
        <v>40</v>
      </c>
      <c r="C53" s="210" t="s">
        <v>40</v>
      </c>
      <c r="D53" s="210" t="s">
        <v>40</v>
      </c>
      <c r="E53" s="64">
        <v>5.68</v>
      </c>
      <c r="F53" s="64">
        <v>9.16</v>
      </c>
      <c r="G53" s="64">
        <v>1.25</v>
      </c>
      <c r="H53" s="64">
        <v>0.5</v>
      </c>
      <c r="I53" s="64">
        <v>1.35</v>
      </c>
      <c r="J53" s="64">
        <v>0.09</v>
      </c>
      <c r="K53" s="64">
        <v>151.69999999999999</v>
      </c>
      <c r="L53" s="64">
        <v>27.63</v>
      </c>
      <c r="M53" s="64">
        <v>94.6</v>
      </c>
      <c r="N53" s="64">
        <v>699.6</v>
      </c>
      <c r="O53" s="64">
        <v>0</v>
      </c>
      <c r="P53" s="64">
        <v>0.36</v>
      </c>
      <c r="Q53" s="64">
        <v>9.4499999999999993</v>
      </c>
      <c r="R53" s="198"/>
      <c r="S53" s="198"/>
      <c r="T53" s="198"/>
      <c r="U53" s="198"/>
    </row>
    <row r="54" spans="1:21" s="12" customFormat="1" x14ac:dyDescent="0.25">
      <c r="A54" s="212" t="s">
        <v>2788</v>
      </c>
      <c r="B54" s="210" t="s">
        <v>40</v>
      </c>
      <c r="C54" s="210" t="s">
        <v>40</v>
      </c>
      <c r="D54" s="210" t="s">
        <v>40</v>
      </c>
      <c r="E54" s="64">
        <v>5.8</v>
      </c>
      <c r="F54" s="64">
        <v>11.09</v>
      </c>
      <c r="G54" s="210" t="s">
        <v>40</v>
      </c>
      <c r="H54" s="210" t="s">
        <v>40</v>
      </c>
      <c r="I54" s="64">
        <v>1.36</v>
      </c>
      <c r="J54" s="64">
        <v>0.17</v>
      </c>
      <c r="K54" s="64">
        <v>79.260000000000005</v>
      </c>
      <c r="L54" s="64">
        <v>28.84</v>
      </c>
      <c r="M54" s="64">
        <v>88.39</v>
      </c>
      <c r="N54" s="64">
        <v>396.2</v>
      </c>
      <c r="O54" s="64">
        <v>0</v>
      </c>
      <c r="P54" s="64">
        <v>0.56000000000000005</v>
      </c>
      <c r="Q54" s="64">
        <v>9.4700000000000006</v>
      </c>
      <c r="R54" s="198"/>
      <c r="S54" s="198"/>
      <c r="T54" s="198"/>
      <c r="U54" s="198"/>
    </row>
    <row r="55" spans="1:21" s="12" customFormat="1" x14ac:dyDescent="0.25">
      <c r="A55" s="212" t="s">
        <v>2789</v>
      </c>
      <c r="B55" s="64">
        <v>5.92</v>
      </c>
      <c r="C55" s="64">
        <v>18.39</v>
      </c>
      <c r="D55" s="64">
        <v>14.36</v>
      </c>
      <c r="E55" s="64">
        <v>5.63</v>
      </c>
      <c r="F55" s="64">
        <v>13.3</v>
      </c>
      <c r="G55" s="210" t="s">
        <v>40</v>
      </c>
      <c r="H55" s="210" t="s">
        <v>40</v>
      </c>
      <c r="I55" s="64">
        <v>1.38</v>
      </c>
      <c r="J55" s="64">
        <v>0.17</v>
      </c>
      <c r="K55" s="64">
        <v>122.43</v>
      </c>
      <c r="L55" s="64">
        <v>28.25</v>
      </c>
      <c r="M55" s="64">
        <v>92.49</v>
      </c>
      <c r="N55" s="64">
        <v>424.5</v>
      </c>
      <c r="O55" s="64">
        <v>0</v>
      </c>
      <c r="P55" s="64">
        <v>0.55000000000000004</v>
      </c>
      <c r="Q55" s="64">
        <v>9.5500000000000007</v>
      </c>
      <c r="R55" s="198"/>
      <c r="S55" s="198"/>
      <c r="T55" s="198"/>
      <c r="U55" s="198"/>
    </row>
    <row r="56" spans="1:21" s="12" customFormat="1" x14ac:dyDescent="0.25">
      <c r="A56" s="212" t="s">
        <v>2790</v>
      </c>
      <c r="B56" s="64">
        <v>6.1</v>
      </c>
      <c r="C56" s="64">
        <v>14.34</v>
      </c>
      <c r="D56" s="64">
        <v>12.38</v>
      </c>
      <c r="E56" s="64">
        <v>5.92</v>
      </c>
      <c r="F56" s="64">
        <v>9.27</v>
      </c>
      <c r="G56" s="210" t="s">
        <v>40</v>
      </c>
      <c r="H56" s="210" t="s">
        <v>40</v>
      </c>
      <c r="I56" s="64">
        <v>1.6</v>
      </c>
      <c r="J56" s="64">
        <v>0.28999999999999998</v>
      </c>
      <c r="K56" s="64">
        <v>14.7</v>
      </c>
      <c r="L56" s="64">
        <v>28.69</v>
      </c>
      <c r="M56" s="64">
        <v>89.03</v>
      </c>
      <c r="N56" s="64">
        <v>851.8</v>
      </c>
      <c r="O56" s="64">
        <v>0</v>
      </c>
      <c r="P56" s="64">
        <v>0.51</v>
      </c>
      <c r="Q56" s="64">
        <v>9.57</v>
      </c>
      <c r="R56" s="198"/>
      <c r="S56" s="198"/>
      <c r="T56" s="198"/>
      <c r="U56" s="198"/>
    </row>
    <row r="57" spans="1:21" s="12" customFormat="1" x14ac:dyDescent="0.25">
      <c r="A57" s="212" t="s">
        <v>2791</v>
      </c>
      <c r="B57" s="64">
        <v>6.17</v>
      </c>
      <c r="C57" s="64">
        <v>12.78</v>
      </c>
      <c r="D57" s="64">
        <v>11.62</v>
      </c>
      <c r="E57" s="64">
        <v>5.87</v>
      </c>
      <c r="F57" s="64">
        <v>13.2</v>
      </c>
      <c r="G57" s="210" t="s">
        <v>40</v>
      </c>
      <c r="H57" s="210" t="s">
        <v>40</v>
      </c>
      <c r="I57" s="64">
        <v>1.8</v>
      </c>
      <c r="J57" s="64">
        <v>0.09</v>
      </c>
      <c r="K57" s="64">
        <v>78.930000000000007</v>
      </c>
      <c r="L57" s="64">
        <v>30.1</v>
      </c>
      <c r="M57" s="64">
        <v>80.569999999999993</v>
      </c>
      <c r="N57" s="64">
        <v>735.4</v>
      </c>
      <c r="O57" s="64">
        <v>0</v>
      </c>
      <c r="P57" s="64">
        <v>0.48</v>
      </c>
      <c r="Q57" s="64">
        <v>9.56</v>
      </c>
      <c r="R57" s="198"/>
      <c r="S57" s="198"/>
      <c r="T57" s="198"/>
      <c r="U57" s="198"/>
    </row>
    <row r="58" spans="1:21" s="12" customFormat="1" x14ac:dyDescent="0.25">
      <c r="A58" s="212" t="s">
        <v>2792</v>
      </c>
      <c r="B58" s="64">
        <v>5.37</v>
      </c>
      <c r="C58" s="64">
        <v>12.88</v>
      </c>
      <c r="D58" s="64">
        <v>11.03</v>
      </c>
      <c r="E58" s="64">
        <v>5.92</v>
      </c>
      <c r="F58" s="64">
        <v>14.39</v>
      </c>
      <c r="G58" s="210" t="s">
        <v>40</v>
      </c>
      <c r="H58" s="210" t="s">
        <v>40</v>
      </c>
      <c r="I58" s="64">
        <v>1.81</v>
      </c>
      <c r="J58" s="64">
        <v>0.13</v>
      </c>
      <c r="K58" s="64">
        <v>84.5</v>
      </c>
      <c r="L58" s="64">
        <v>29.75</v>
      </c>
      <c r="M58" s="64">
        <v>81.290000000000006</v>
      </c>
      <c r="N58" s="64">
        <v>578.5</v>
      </c>
      <c r="O58" s="64">
        <v>0</v>
      </c>
      <c r="P58" s="64">
        <v>0.4</v>
      </c>
      <c r="Q58" s="64">
        <v>9.5500000000000007</v>
      </c>
      <c r="R58" s="198"/>
      <c r="S58" s="198"/>
      <c r="T58" s="198"/>
      <c r="U58" s="198"/>
    </row>
    <row r="59" spans="1:21" s="12" customFormat="1" x14ac:dyDescent="0.25">
      <c r="A59" s="212" t="s">
        <v>2793</v>
      </c>
      <c r="B59" s="64">
        <v>4.74</v>
      </c>
      <c r="C59" s="64">
        <v>12.97</v>
      </c>
      <c r="D59" s="64">
        <v>10.57</v>
      </c>
      <c r="E59" s="64">
        <v>5.81</v>
      </c>
      <c r="F59" s="64">
        <v>11.66</v>
      </c>
      <c r="G59" s="210" t="s">
        <v>40</v>
      </c>
      <c r="H59" s="210" t="s">
        <v>40</v>
      </c>
      <c r="I59" s="64">
        <v>1.72</v>
      </c>
      <c r="J59" s="64">
        <v>0.34</v>
      </c>
      <c r="K59" s="64">
        <v>130.34</v>
      </c>
      <c r="L59" s="64">
        <v>29.44</v>
      </c>
      <c r="M59" s="64">
        <v>80.739999999999995</v>
      </c>
      <c r="N59" s="64">
        <v>552</v>
      </c>
      <c r="O59" s="64">
        <v>0</v>
      </c>
      <c r="P59" s="64">
        <v>0.37</v>
      </c>
      <c r="Q59" s="64">
        <v>9.5</v>
      </c>
      <c r="R59" s="198"/>
      <c r="S59" s="198"/>
      <c r="T59" s="198"/>
      <c r="U59" s="198"/>
    </row>
    <row r="60" spans="1:21" s="12" customFormat="1" x14ac:dyDescent="0.25">
      <c r="A60" s="212" t="s">
        <v>2794</v>
      </c>
      <c r="B60" s="64">
        <v>13.74</v>
      </c>
      <c r="C60" s="64">
        <v>14.63</v>
      </c>
      <c r="D60" s="64">
        <v>18.54</v>
      </c>
      <c r="E60" s="64">
        <v>5.93</v>
      </c>
      <c r="F60" s="64">
        <v>15.9</v>
      </c>
      <c r="G60" s="210" t="s">
        <v>40</v>
      </c>
      <c r="H60" s="210" t="s">
        <v>40</v>
      </c>
      <c r="I60" s="64">
        <v>1.56</v>
      </c>
      <c r="J60" s="64">
        <v>0.56000000000000005</v>
      </c>
      <c r="K60" s="64">
        <v>343.59</v>
      </c>
      <c r="L60" s="64">
        <v>29.96</v>
      </c>
      <c r="M60" s="64">
        <v>79.63</v>
      </c>
      <c r="N60" s="64">
        <v>276.60000000000002</v>
      </c>
      <c r="O60" s="64">
        <v>0</v>
      </c>
      <c r="P60" s="64">
        <v>0.51</v>
      </c>
      <c r="Q60" s="64">
        <v>9.4700000000000006</v>
      </c>
      <c r="R60" s="198"/>
      <c r="S60" s="198"/>
      <c r="T60" s="198"/>
      <c r="U60" s="198"/>
    </row>
    <row r="61" spans="1:21" s="12" customFormat="1" x14ac:dyDescent="0.25">
      <c r="A61" s="212" t="s">
        <v>2795</v>
      </c>
      <c r="B61" s="64">
        <v>4.34</v>
      </c>
      <c r="C61" s="64">
        <v>10.55</v>
      </c>
      <c r="D61" s="64">
        <v>8.99</v>
      </c>
      <c r="E61" s="64">
        <v>6.06</v>
      </c>
      <c r="F61" s="64">
        <v>18.579999999999998</v>
      </c>
      <c r="G61" s="64">
        <v>43.73</v>
      </c>
      <c r="H61" s="64">
        <v>9.49</v>
      </c>
      <c r="I61" s="64">
        <v>1.47</v>
      </c>
      <c r="J61" s="64">
        <v>0.31</v>
      </c>
      <c r="K61" s="64">
        <v>127.94</v>
      </c>
      <c r="L61" s="64">
        <v>29.8</v>
      </c>
      <c r="M61" s="64">
        <v>78.680000000000007</v>
      </c>
      <c r="N61" s="64">
        <v>312.7</v>
      </c>
      <c r="O61" s="64">
        <v>0</v>
      </c>
      <c r="P61" s="64">
        <v>0.22</v>
      </c>
      <c r="Q61" s="64">
        <v>9.48</v>
      </c>
      <c r="R61" s="198"/>
      <c r="S61" s="198"/>
      <c r="T61" s="198"/>
      <c r="U61" s="198"/>
    </row>
    <row r="62" spans="1:21" s="12" customFormat="1" x14ac:dyDescent="0.25">
      <c r="A62" s="212" t="s">
        <v>2796</v>
      </c>
      <c r="B62" s="64">
        <v>7.7</v>
      </c>
      <c r="C62" s="64">
        <v>13.4</v>
      </c>
      <c r="D62" s="64">
        <v>13.18</v>
      </c>
      <c r="E62" s="64">
        <v>5.74</v>
      </c>
      <c r="F62" s="64">
        <v>20.13</v>
      </c>
      <c r="G62" s="64">
        <v>98.4</v>
      </c>
      <c r="H62" s="64">
        <v>21.36</v>
      </c>
      <c r="I62" s="64">
        <v>1.42</v>
      </c>
      <c r="J62" s="64">
        <v>0.45</v>
      </c>
      <c r="K62" s="64">
        <v>1.99</v>
      </c>
      <c r="L62" s="64">
        <v>30.13</v>
      </c>
      <c r="M62" s="64">
        <v>78.11</v>
      </c>
      <c r="N62" s="64">
        <v>349.9</v>
      </c>
      <c r="O62" s="64">
        <v>0</v>
      </c>
      <c r="P62" s="64">
        <v>0.37</v>
      </c>
      <c r="Q62" s="64">
        <v>9.49</v>
      </c>
      <c r="R62" s="198"/>
      <c r="S62" s="198"/>
      <c r="T62" s="198"/>
      <c r="U62" s="198"/>
    </row>
    <row r="63" spans="1:21" s="12" customFormat="1" x14ac:dyDescent="0.25">
      <c r="A63" s="212" t="s">
        <v>2797</v>
      </c>
      <c r="B63" s="64">
        <v>4.0199999999999996</v>
      </c>
      <c r="C63" s="64">
        <v>11.65</v>
      </c>
      <c r="D63" s="64">
        <v>9.31</v>
      </c>
      <c r="E63" s="64">
        <v>6.23</v>
      </c>
      <c r="F63" s="64">
        <v>18.68</v>
      </c>
      <c r="G63" s="64">
        <v>98.4</v>
      </c>
      <c r="H63" s="64">
        <v>21.36</v>
      </c>
      <c r="I63" s="64">
        <v>1.35</v>
      </c>
      <c r="J63" s="64">
        <v>0.41</v>
      </c>
      <c r="K63" s="64">
        <v>126.9</v>
      </c>
      <c r="L63" s="64">
        <v>29.47</v>
      </c>
      <c r="M63" s="64">
        <v>75.239999999999995</v>
      </c>
      <c r="N63" s="64">
        <v>296.89999999999998</v>
      </c>
      <c r="O63" s="64">
        <v>0</v>
      </c>
      <c r="P63" s="64">
        <v>0.23</v>
      </c>
      <c r="Q63" s="64">
        <v>9.48</v>
      </c>
      <c r="R63" s="198"/>
      <c r="S63" s="198"/>
      <c r="T63" s="198"/>
      <c r="U63" s="198"/>
    </row>
    <row r="64" spans="1:21" s="12" customFormat="1" x14ac:dyDescent="0.25">
      <c r="A64" s="212" t="s">
        <v>2798</v>
      </c>
      <c r="B64" s="64">
        <v>5.66</v>
      </c>
      <c r="C64" s="64">
        <v>11.3</v>
      </c>
      <c r="D64" s="64">
        <v>10.45</v>
      </c>
      <c r="E64" s="64">
        <v>6</v>
      </c>
      <c r="F64" s="64">
        <v>18.170000000000002</v>
      </c>
      <c r="G64" s="64">
        <v>98.4</v>
      </c>
      <c r="H64" s="64">
        <v>21.36</v>
      </c>
      <c r="I64" s="64">
        <v>1.29</v>
      </c>
      <c r="J64" s="64">
        <v>0.5</v>
      </c>
      <c r="K64" s="64">
        <v>125.53</v>
      </c>
      <c r="L64" s="64">
        <v>29.26</v>
      </c>
      <c r="M64" s="64">
        <v>78.31</v>
      </c>
      <c r="N64" s="64">
        <v>245</v>
      </c>
      <c r="O64" s="64">
        <v>0</v>
      </c>
      <c r="P64" s="64">
        <v>0.25</v>
      </c>
      <c r="Q64" s="64">
        <v>9.4700000000000006</v>
      </c>
      <c r="R64" s="198"/>
      <c r="S64" s="198"/>
      <c r="T64" s="198"/>
      <c r="U64" s="198"/>
    </row>
    <row r="65" spans="1:21" s="12" customFormat="1" x14ac:dyDescent="0.25">
      <c r="A65" s="212" t="s">
        <v>2799</v>
      </c>
      <c r="B65" s="64">
        <v>6.89</v>
      </c>
      <c r="C65" s="64">
        <v>13.82</v>
      </c>
      <c r="D65" s="64">
        <v>12.74</v>
      </c>
      <c r="E65" s="64">
        <v>6.08</v>
      </c>
      <c r="F65" s="64">
        <v>17.22</v>
      </c>
      <c r="G65" s="64">
        <v>83.39</v>
      </c>
      <c r="H65" s="64">
        <v>18.73</v>
      </c>
      <c r="I65" s="64">
        <v>1.29</v>
      </c>
      <c r="J65" s="64">
        <v>0.27</v>
      </c>
      <c r="K65" s="64">
        <v>126.13</v>
      </c>
      <c r="L65" s="64">
        <v>29.16</v>
      </c>
      <c r="M65" s="64">
        <v>80.180000000000007</v>
      </c>
      <c r="N65" s="64">
        <v>247.5</v>
      </c>
      <c r="O65" s="64">
        <v>0</v>
      </c>
      <c r="P65" s="64">
        <v>0.33</v>
      </c>
      <c r="Q65" s="64">
        <v>9.4600000000000009</v>
      </c>
      <c r="R65" s="198"/>
      <c r="S65" s="198"/>
      <c r="T65" s="198"/>
      <c r="U65" s="198"/>
    </row>
    <row r="66" spans="1:21" s="12" customFormat="1" x14ac:dyDescent="0.25">
      <c r="A66" s="212" t="s">
        <v>2800</v>
      </c>
      <c r="B66" s="64">
        <v>10.5</v>
      </c>
      <c r="C66" s="64">
        <v>14.34</v>
      </c>
      <c r="D66" s="64">
        <v>15.8</v>
      </c>
      <c r="E66" s="64">
        <v>5.83</v>
      </c>
      <c r="F66" s="64">
        <v>14.94</v>
      </c>
      <c r="G66" s="64">
        <v>64.64</v>
      </c>
      <c r="H66" s="64">
        <v>15.44</v>
      </c>
      <c r="I66" s="64">
        <v>1.26</v>
      </c>
      <c r="J66" s="64">
        <v>0.52</v>
      </c>
      <c r="K66" s="64">
        <v>128.1</v>
      </c>
      <c r="L66" s="64">
        <v>29.45</v>
      </c>
      <c r="M66" s="64">
        <v>77.650000000000006</v>
      </c>
      <c r="N66" s="64">
        <v>242.8</v>
      </c>
      <c r="O66" s="64">
        <v>0</v>
      </c>
      <c r="P66" s="64">
        <v>0.32</v>
      </c>
      <c r="Q66" s="64">
        <v>9.4600000000000009</v>
      </c>
      <c r="R66" s="198"/>
      <c r="S66" s="198"/>
      <c r="T66" s="198"/>
      <c r="U66" s="198"/>
    </row>
    <row r="67" spans="1:21" s="12" customFormat="1" x14ac:dyDescent="0.25">
      <c r="A67" s="212" t="s">
        <v>2801</v>
      </c>
      <c r="B67" s="64">
        <v>6.24</v>
      </c>
      <c r="C67" s="64">
        <v>10.44</v>
      </c>
      <c r="D67" s="64">
        <v>10.46</v>
      </c>
      <c r="E67" s="64">
        <v>6.04</v>
      </c>
      <c r="F67" s="64">
        <v>17.14</v>
      </c>
      <c r="G67" s="64">
        <v>64.64</v>
      </c>
      <c r="H67" s="64">
        <v>15.44</v>
      </c>
      <c r="I67" s="64">
        <v>1.19</v>
      </c>
      <c r="J67" s="64">
        <v>0.1</v>
      </c>
      <c r="K67" s="64">
        <v>106.22</v>
      </c>
      <c r="L67" s="64">
        <v>29.33</v>
      </c>
      <c r="M67" s="64">
        <v>76.209999999999994</v>
      </c>
      <c r="N67" s="64">
        <v>204.2</v>
      </c>
      <c r="O67" s="64">
        <v>0</v>
      </c>
      <c r="P67" s="64">
        <v>0.23</v>
      </c>
      <c r="Q67" s="64">
        <v>9.48</v>
      </c>
      <c r="R67" s="198"/>
      <c r="S67" s="198"/>
      <c r="T67" s="198"/>
      <c r="U67" s="198"/>
    </row>
    <row r="68" spans="1:21" s="12" customFormat="1" x14ac:dyDescent="0.25">
      <c r="A68" s="212" t="s">
        <v>2802</v>
      </c>
      <c r="B68" s="64">
        <v>5.96</v>
      </c>
      <c r="C68" s="64">
        <v>12.98</v>
      </c>
      <c r="D68" s="64">
        <v>11.56</v>
      </c>
      <c r="E68" s="64">
        <v>6.36</v>
      </c>
      <c r="F68" s="64">
        <v>15.67</v>
      </c>
      <c r="G68" s="64">
        <v>64.64</v>
      </c>
      <c r="H68" s="64">
        <v>15.44</v>
      </c>
      <c r="I68" s="64">
        <v>1.18</v>
      </c>
      <c r="J68" s="64">
        <v>0.49</v>
      </c>
      <c r="K68" s="64">
        <v>120.27</v>
      </c>
      <c r="L68" s="64">
        <v>29.45</v>
      </c>
      <c r="M68" s="64">
        <v>75.790000000000006</v>
      </c>
      <c r="N68" s="64">
        <v>191.1</v>
      </c>
      <c r="O68" s="64">
        <v>0</v>
      </c>
      <c r="P68" s="64">
        <v>0.28999999999999998</v>
      </c>
      <c r="Q68" s="64">
        <v>9.49</v>
      </c>
      <c r="R68" s="198"/>
      <c r="S68" s="198"/>
      <c r="T68" s="198"/>
      <c r="U68" s="198"/>
    </row>
    <row r="69" spans="1:21" s="12" customFormat="1" x14ac:dyDescent="0.25">
      <c r="A69" s="212" t="s">
        <v>2803</v>
      </c>
      <c r="B69" s="64">
        <v>4.3600000000000003</v>
      </c>
      <c r="C69" s="64">
        <v>11.01</v>
      </c>
      <c r="D69" s="64">
        <v>9.25</v>
      </c>
      <c r="E69" s="64">
        <v>6.23</v>
      </c>
      <c r="F69" s="64">
        <v>14.16</v>
      </c>
      <c r="G69" s="64">
        <v>56.01</v>
      </c>
      <c r="H69" s="64">
        <v>14.18</v>
      </c>
      <c r="I69" s="64">
        <v>1.19</v>
      </c>
      <c r="J69" s="64">
        <v>0.57999999999999996</v>
      </c>
      <c r="K69" s="64">
        <v>127.63</v>
      </c>
      <c r="L69" s="64">
        <v>28.96</v>
      </c>
      <c r="M69" s="64">
        <v>78.84</v>
      </c>
      <c r="N69" s="64">
        <v>175.3</v>
      </c>
      <c r="O69" s="64">
        <v>0</v>
      </c>
      <c r="P69" s="64">
        <v>0.23</v>
      </c>
      <c r="Q69" s="64">
        <v>9.48</v>
      </c>
      <c r="R69" s="198"/>
      <c r="S69" s="198"/>
      <c r="T69" s="198"/>
      <c r="U69" s="198"/>
    </row>
    <row r="70" spans="1:21" s="12" customFormat="1" x14ac:dyDescent="0.25">
      <c r="A70" s="212" t="s">
        <v>2804</v>
      </c>
      <c r="B70" s="64">
        <v>4.68</v>
      </c>
      <c r="C70" s="64">
        <v>10.5</v>
      </c>
      <c r="D70" s="64">
        <v>9.25</v>
      </c>
      <c r="E70" s="64">
        <v>6.25</v>
      </c>
      <c r="F70" s="64">
        <v>16.05</v>
      </c>
      <c r="G70" s="64">
        <v>45.21</v>
      </c>
      <c r="H70" s="64">
        <v>12.61</v>
      </c>
      <c r="I70" s="64">
        <v>1.18</v>
      </c>
      <c r="J70" s="64">
        <v>0.48</v>
      </c>
      <c r="K70" s="64">
        <v>121.47</v>
      </c>
      <c r="L70" s="64">
        <v>29.03</v>
      </c>
      <c r="M70" s="64">
        <v>79.64</v>
      </c>
      <c r="N70" s="64">
        <v>169.9</v>
      </c>
      <c r="O70" s="64">
        <v>0</v>
      </c>
      <c r="P70" s="64">
        <v>0.21</v>
      </c>
      <c r="Q70" s="64">
        <v>9.4700000000000006</v>
      </c>
      <c r="R70" s="198"/>
      <c r="S70" s="198"/>
      <c r="T70" s="198"/>
      <c r="U70" s="198"/>
    </row>
    <row r="71" spans="1:21" s="12" customFormat="1" x14ac:dyDescent="0.25">
      <c r="A71" s="212" t="s">
        <v>2805</v>
      </c>
      <c r="B71" s="64">
        <v>5.75</v>
      </c>
      <c r="C71" s="64">
        <v>10.130000000000001</v>
      </c>
      <c r="D71" s="64">
        <v>9.91</v>
      </c>
      <c r="E71" s="64">
        <v>6.11</v>
      </c>
      <c r="F71" s="64">
        <v>13.76</v>
      </c>
      <c r="G71" s="64">
        <v>45.21</v>
      </c>
      <c r="H71" s="64">
        <v>12.61</v>
      </c>
      <c r="I71" s="64">
        <v>1.17</v>
      </c>
      <c r="J71" s="64">
        <v>0.32</v>
      </c>
      <c r="K71" s="64">
        <v>122.26</v>
      </c>
      <c r="L71" s="64">
        <v>29.06</v>
      </c>
      <c r="M71" s="64">
        <v>78.239999999999995</v>
      </c>
      <c r="N71" s="64">
        <v>148.30000000000001</v>
      </c>
      <c r="O71" s="64">
        <v>0</v>
      </c>
      <c r="P71" s="64">
        <v>0.26</v>
      </c>
      <c r="Q71" s="64">
        <v>9.4600000000000009</v>
      </c>
      <c r="R71" s="198"/>
      <c r="S71" s="198"/>
      <c r="T71" s="198"/>
      <c r="U71" s="198"/>
    </row>
    <row r="72" spans="1:21" s="12" customFormat="1" x14ac:dyDescent="0.25">
      <c r="A72" s="212" t="s">
        <v>2806</v>
      </c>
      <c r="B72" s="64">
        <v>5.35</v>
      </c>
      <c r="C72" s="64">
        <v>9.4600000000000009</v>
      </c>
      <c r="D72" s="64">
        <v>9.23</v>
      </c>
      <c r="E72" s="64">
        <v>5.54</v>
      </c>
      <c r="F72" s="64">
        <v>11.23</v>
      </c>
      <c r="G72" s="64">
        <v>45.21</v>
      </c>
      <c r="H72" s="64">
        <v>12.61</v>
      </c>
      <c r="I72" s="64">
        <v>1.17</v>
      </c>
      <c r="J72" s="64">
        <v>0.83</v>
      </c>
      <c r="K72" s="64">
        <v>127.5</v>
      </c>
      <c r="L72" s="64">
        <v>28.74</v>
      </c>
      <c r="M72" s="64">
        <v>78.88</v>
      </c>
      <c r="N72" s="64">
        <v>158.1</v>
      </c>
      <c r="O72" s="64">
        <v>0</v>
      </c>
      <c r="P72" s="64">
        <v>0.22</v>
      </c>
      <c r="Q72" s="64">
        <v>9.4700000000000006</v>
      </c>
      <c r="R72" s="198"/>
      <c r="S72" s="198"/>
      <c r="T72" s="198"/>
      <c r="U72" s="198"/>
    </row>
    <row r="73" spans="1:21" s="12" customFormat="1" x14ac:dyDescent="0.25">
      <c r="A73" s="212" t="s">
        <v>2807</v>
      </c>
      <c r="B73" s="64">
        <v>9.77</v>
      </c>
      <c r="C73" s="64">
        <v>11.2</v>
      </c>
      <c r="D73" s="64">
        <v>13.69</v>
      </c>
      <c r="E73" s="64">
        <v>5.37</v>
      </c>
      <c r="F73" s="64">
        <v>12.35</v>
      </c>
      <c r="G73" s="64">
        <v>48.95</v>
      </c>
      <c r="H73" s="64">
        <v>13.21</v>
      </c>
      <c r="I73" s="64">
        <v>1.1599999999999999</v>
      </c>
      <c r="J73" s="64">
        <v>0.37</v>
      </c>
      <c r="K73" s="64">
        <v>133.43</v>
      </c>
      <c r="L73" s="64">
        <v>28.66</v>
      </c>
      <c r="M73" s="64">
        <v>80.150000000000006</v>
      </c>
      <c r="N73" s="64">
        <v>102.8</v>
      </c>
      <c r="O73" s="64">
        <v>0</v>
      </c>
      <c r="P73" s="64">
        <v>0.32</v>
      </c>
      <c r="Q73" s="64">
        <v>9.48</v>
      </c>
      <c r="R73" s="198"/>
      <c r="S73" s="198"/>
      <c r="T73" s="198"/>
      <c r="U73" s="198"/>
    </row>
    <row r="74" spans="1:21" s="12" customFormat="1" x14ac:dyDescent="0.25">
      <c r="A74" s="212" t="s">
        <v>2808</v>
      </c>
      <c r="B74" s="64">
        <v>8.93</v>
      </c>
      <c r="C74" s="64">
        <v>11.63</v>
      </c>
      <c r="D74" s="64">
        <v>13.24</v>
      </c>
      <c r="E74" s="64">
        <v>5.62</v>
      </c>
      <c r="F74" s="64">
        <v>11.98</v>
      </c>
      <c r="G74" s="64">
        <v>53.62</v>
      </c>
      <c r="H74" s="64">
        <v>13.96</v>
      </c>
      <c r="I74" s="64">
        <v>1.1499999999999999</v>
      </c>
      <c r="J74" s="64">
        <v>0.11</v>
      </c>
      <c r="K74" s="64">
        <v>30.38</v>
      </c>
      <c r="L74" s="64">
        <v>28.68</v>
      </c>
      <c r="M74" s="64">
        <v>81.99</v>
      </c>
      <c r="N74" s="64">
        <v>98.2</v>
      </c>
      <c r="O74" s="64">
        <v>0</v>
      </c>
      <c r="P74" s="64">
        <v>0.38</v>
      </c>
      <c r="Q74" s="64">
        <v>9.49</v>
      </c>
      <c r="R74" s="198"/>
      <c r="S74" s="198"/>
      <c r="T74" s="198"/>
      <c r="U74" s="198"/>
    </row>
    <row r="75" spans="1:21" s="12" customFormat="1" x14ac:dyDescent="0.25">
      <c r="A75" s="212" t="s">
        <v>2809</v>
      </c>
      <c r="B75" s="64">
        <v>6.07</v>
      </c>
      <c r="C75" s="64">
        <v>9.6999999999999993</v>
      </c>
      <c r="D75" s="64">
        <v>9.94</v>
      </c>
      <c r="E75" s="64">
        <v>5.39</v>
      </c>
      <c r="F75" s="64">
        <v>13.42</v>
      </c>
      <c r="G75" s="64">
        <v>53.62</v>
      </c>
      <c r="H75" s="64">
        <v>13.96</v>
      </c>
      <c r="I75" s="64">
        <v>1.1599999999999999</v>
      </c>
      <c r="J75" s="64">
        <v>0.65</v>
      </c>
      <c r="K75" s="64">
        <v>123.75</v>
      </c>
      <c r="L75" s="64">
        <v>28.67</v>
      </c>
      <c r="M75" s="64">
        <v>81.69</v>
      </c>
      <c r="N75" s="64">
        <v>86.2</v>
      </c>
      <c r="O75" s="64">
        <v>0</v>
      </c>
      <c r="P75" s="64">
        <v>0.25</v>
      </c>
      <c r="Q75" s="64">
        <v>9.5</v>
      </c>
      <c r="R75" s="198"/>
      <c r="S75" s="198"/>
      <c r="T75" s="198"/>
      <c r="U75" s="198"/>
    </row>
    <row r="76" spans="1:21" s="12" customFormat="1" x14ac:dyDescent="0.25">
      <c r="A76" s="212" t="s">
        <v>2810</v>
      </c>
      <c r="B76" s="64">
        <v>8.8000000000000007</v>
      </c>
      <c r="C76" s="64">
        <v>10.61</v>
      </c>
      <c r="D76" s="64">
        <v>12.6</v>
      </c>
      <c r="E76" s="64">
        <v>5.44</v>
      </c>
      <c r="F76" s="64">
        <v>13.03</v>
      </c>
      <c r="G76" s="64">
        <v>53.62</v>
      </c>
      <c r="H76" s="64">
        <v>13.96</v>
      </c>
      <c r="I76" s="64">
        <v>1.17</v>
      </c>
      <c r="J76" s="64">
        <v>0.24</v>
      </c>
      <c r="K76" s="64">
        <v>110.46</v>
      </c>
      <c r="L76" s="64">
        <v>28.3</v>
      </c>
      <c r="M76" s="64">
        <v>84.69</v>
      </c>
      <c r="N76" s="64">
        <v>82</v>
      </c>
      <c r="O76" s="64">
        <v>0</v>
      </c>
      <c r="P76" s="64">
        <v>0.32</v>
      </c>
      <c r="Q76" s="64">
        <v>9.5</v>
      </c>
      <c r="R76" s="198"/>
      <c r="S76" s="198"/>
      <c r="T76" s="198"/>
      <c r="U76" s="198"/>
    </row>
    <row r="77" spans="1:21" s="12" customFormat="1" x14ac:dyDescent="0.25">
      <c r="A77" s="212" t="s">
        <v>2811</v>
      </c>
      <c r="B77" s="64">
        <v>8.27</v>
      </c>
      <c r="C77" s="64">
        <v>11.71</v>
      </c>
      <c r="D77" s="64">
        <v>12.75</v>
      </c>
      <c r="E77" s="64">
        <v>5.27</v>
      </c>
      <c r="F77" s="64">
        <v>10.99</v>
      </c>
      <c r="G77" s="64">
        <v>51.02</v>
      </c>
      <c r="H77" s="64">
        <v>12.24</v>
      </c>
      <c r="I77" s="64">
        <v>1.17</v>
      </c>
      <c r="J77" s="64">
        <v>0.48</v>
      </c>
      <c r="K77" s="64">
        <v>125.71</v>
      </c>
      <c r="L77" s="64">
        <v>28.2</v>
      </c>
      <c r="M77" s="64">
        <v>85.51</v>
      </c>
      <c r="N77" s="64">
        <v>70.099999999999994</v>
      </c>
      <c r="O77" s="64">
        <v>0</v>
      </c>
      <c r="P77" s="64">
        <v>0.27</v>
      </c>
      <c r="Q77" s="64">
        <v>9.49</v>
      </c>
      <c r="R77" s="198"/>
      <c r="S77" s="198"/>
      <c r="T77" s="198"/>
      <c r="U77" s="198"/>
    </row>
    <row r="78" spans="1:21" s="12" customFormat="1" x14ac:dyDescent="0.25">
      <c r="A78" s="212" t="s">
        <v>2812</v>
      </c>
      <c r="B78" s="64">
        <v>6.9</v>
      </c>
      <c r="C78" s="64">
        <v>12.13</v>
      </c>
      <c r="D78" s="64">
        <v>11.87</v>
      </c>
      <c r="E78" s="64">
        <v>5.69</v>
      </c>
      <c r="F78" s="64">
        <v>13.31</v>
      </c>
      <c r="G78" s="64">
        <v>47.78</v>
      </c>
      <c r="H78" s="64">
        <v>10.08</v>
      </c>
      <c r="I78" s="64">
        <v>1.17</v>
      </c>
      <c r="J78" s="64">
        <v>0.84</v>
      </c>
      <c r="K78" s="64">
        <v>129.19</v>
      </c>
      <c r="L78" s="64">
        <v>27.99</v>
      </c>
      <c r="M78" s="64">
        <v>86.73</v>
      </c>
      <c r="N78" s="64">
        <v>63</v>
      </c>
      <c r="O78" s="64">
        <v>0</v>
      </c>
      <c r="P78" s="64">
        <v>0.31</v>
      </c>
      <c r="Q78" s="64">
        <v>9.51</v>
      </c>
      <c r="R78" s="198"/>
      <c r="S78" s="198"/>
      <c r="T78" s="198"/>
      <c r="U78" s="198"/>
    </row>
    <row r="79" spans="1:21" s="12" customFormat="1" x14ac:dyDescent="0.25">
      <c r="A79" s="212" t="s">
        <v>2813</v>
      </c>
      <c r="B79" s="64">
        <v>9.2200000000000006</v>
      </c>
      <c r="C79" s="64">
        <v>12.7</v>
      </c>
      <c r="D79" s="64">
        <v>14.03</v>
      </c>
      <c r="E79" s="64">
        <v>5.25</v>
      </c>
      <c r="F79" s="64">
        <v>14.22</v>
      </c>
      <c r="G79" s="64">
        <v>47.78</v>
      </c>
      <c r="H79" s="64">
        <v>10.08</v>
      </c>
      <c r="I79" s="64">
        <v>1.18</v>
      </c>
      <c r="J79" s="64">
        <v>0.26</v>
      </c>
      <c r="K79" s="64">
        <v>132.88999999999999</v>
      </c>
      <c r="L79" s="64">
        <v>27.92</v>
      </c>
      <c r="M79" s="64">
        <v>88.52</v>
      </c>
      <c r="N79" s="64">
        <v>54.4</v>
      </c>
      <c r="O79" s="64">
        <v>0</v>
      </c>
      <c r="P79" s="64">
        <v>0.33</v>
      </c>
      <c r="Q79" s="64">
        <v>9.52</v>
      </c>
      <c r="R79" s="198"/>
      <c r="S79" s="198"/>
      <c r="T79" s="198"/>
      <c r="U79" s="198"/>
    </row>
    <row r="80" spans="1:21" s="12" customFormat="1" x14ac:dyDescent="0.25">
      <c r="A80" s="212" t="s">
        <v>2814</v>
      </c>
      <c r="B80" s="64">
        <v>8.09</v>
      </c>
      <c r="C80" s="64">
        <v>13.45</v>
      </c>
      <c r="D80" s="64">
        <v>13.51</v>
      </c>
      <c r="E80" s="64">
        <v>5.09</v>
      </c>
      <c r="F80" s="64">
        <v>13.83</v>
      </c>
      <c r="G80" s="64">
        <v>47.78</v>
      </c>
      <c r="H80" s="64">
        <v>10.08</v>
      </c>
      <c r="I80" s="64">
        <v>1.18</v>
      </c>
      <c r="J80" s="64">
        <v>0.28000000000000003</v>
      </c>
      <c r="K80" s="64">
        <v>129.76</v>
      </c>
      <c r="L80" s="64">
        <v>27.83</v>
      </c>
      <c r="M80" s="64">
        <v>89.07</v>
      </c>
      <c r="N80" s="64">
        <v>47.5</v>
      </c>
      <c r="O80" s="64">
        <v>0</v>
      </c>
      <c r="P80" s="64">
        <v>0.28999999999999998</v>
      </c>
      <c r="Q80" s="64">
        <v>9.5299999999999994</v>
      </c>
      <c r="R80" s="198"/>
      <c r="S80" s="198"/>
      <c r="T80" s="198"/>
      <c r="U80" s="198"/>
    </row>
    <row r="81" spans="1:26" s="12" customFormat="1" x14ac:dyDescent="0.25">
      <c r="A81" s="212" t="s">
        <v>2815</v>
      </c>
      <c r="B81" s="64">
        <v>4.62</v>
      </c>
      <c r="C81" s="64">
        <v>13</v>
      </c>
      <c r="D81" s="64">
        <v>10.5</v>
      </c>
      <c r="E81" s="64">
        <v>5.3</v>
      </c>
      <c r="F81" s="64">
        <v>15.23</v>
      </c>
      <c r="G81" s="64">
        <v>43.58</v>
      </c>
      <c r="H81" s="64">
        <v>10.97</v>
      </c>
      <c r="I81" s="64">
        <v>1.17</v>
      </c>
      <c r="J81" s="64">
        <v>0.32</v>
      </c>
      <c r="K81" s="64">
        <v>129.13999999999999</v>
      </c>
      <c r="L81" s="64">
        <v>27.63</v>
      </c>
      <c r="M81" s="64">
        <v>91.3</v>
      </c>
      <c r="N81" s="64">
        <v>36.6</v>
      </c>
      <c r="O81" s="64">
        <v>0</v>
      </c>
      <c r="P81" s="64">
        <v>0.27</v>
      </c>
      <c r="Q81" s="64">
        <v>9.5399999999999991</v>
      </c>
      <c r="R81" s="198"/>
      <c r="S81" s="198"/>
      <c r="T81" s="198"/>
      <c r="U81" s="198"/>
    </row>
    <row r="82" spans="1:26" s="12" customFormat="1" x14ac:dyDescent="0.25">
      <c r="A82" s="212" t="s">
        <v>2816</v>
      </c>
      <c r="B82" s="64">
        <v>5.12</v>
      </c>
      <c r="C82" s="64">
        <v>11.41</v>
      </c>
      <c r="D82" s="64">
        <v>10.07</v>
      </c>
      <c r="E82" s="64">
        <v>5.38</v>
      </c>
      <c r="F82" s="64">
        <v>14.49</v>
      </c>
      <c r="G82" s="64">
        <v>38.33</v>
      </c>
      <c r="H82" s="64">
        <v>12.08</v>
      </c>
      <c r="I82" s="64">
        <v>1.17</v>
      </c>
      <c r="J82" s="64">
        <v>0.09</v>
      </c>
      <c r="K82" s="64">
        <v>148.06</v>
      </c>
      <c r="L82" s="64">
        <v>27.37</v>
      </c>
      <c r="M82" s="64">
        <v>94.66</v>
      </c>
      <c r="N82" s="64">
        <v>31.7</v>
      </c>
      <c r="O82" s="64">
        <v>0</v>
      </c>
      <c r="P82" s="64">
        <v>0.39</v>
      </c>
      <c r="Q82" s="64">
        <v>9.56</v>
      </c>
      <c r="R82" s="198"/>
      <c r="S82" s="198"/>
      <c r="T82" s="198"/>
      <c r="U82" s="198"/>
    </row>
    <row r="83" spans="1:26" s="12" customFormat="1" x14ac:dyDescent="0.25">
      <c r="A83" s="212" t="s">
        <v>2817</v>
      </c>
      <c r="B83" s="64">
        <v>18.29</v>
      </c>
      <c r="C83" s="64">
        <v>19.510000000000002</v>
      </c>
      <c r="D83" s="64">
        <v>24.86</v>
      </c>
      <c r="E83" s="64">
        <v>5.49</v>
      </c>
      <c r="F83" s="64">
        <v>8.25</v>
      </c>
      <c r="G83" s="64">
        <v>38.33</v>
      </c>
      <c r="H83" s="64">
        <v>12.08</v>
      </c>
      <c r="I83" s="64">
        <v>1.18</v>
      </c>
      <c r="J83" s="64">
        <v>0.03</v>
      </c>
      <c r="K83" s="64">
        <v>185.21</v>
      </c>
      <c r="L83" s="64">
        <v>27.24</v>
      </c>
      <c r="M83" s="64">
        <v>96.33</v>
      </c>
      <c r="N83" s="64">
        <v>30.8</v>
      </c>
      <c r="O83" s="64">
        <v>0</v>
      </c>
      <c r="P83" s="64">
        <v>0.83</v>
      </c>
      <c r="Q83" s="64">
        <v>9.57</v>
      </c>
      <c r="R83" s="198"/>
      <c r="S83" s="198"/>
      <c r="T83" s="198"/>
      <c r="U83" s="198"/>
    </row>
    <row r="84" spans="1:26" s="12" customFormat="1" x14ac:dyDescent="0.25">
      <c r="A84" s="212" t="s">
        <v>2818</v>
      </c>
      <c r="B84" s="64">
        <v>5.79</v>
      </c>
      <c r="C84" s="64">
        <v>14.5</v>
      </c>
      <c r="D84" s="64">
        <v>12.22</v>
      </c>
      <c r="E84" s="64">
        <v>5.37</v>
      </c>
      <c r="F84" s="64">
        <v>13.22</v>
      </c>
      <c r="G84" s="64">
        <v>38.33</v>
      </c>
      <c r="H84" s="64">
        <v>12.08</v>
      </c>
      <c r="I84" s="64">
        <v>1.22</v>
      </c>
      <c r="J84" s="64">
        <v>0.12</v>
      </c>
      <c r="K84" s="64">
        <v>132.15</v>
      </c>
      <c r="L84" s="64">
        <v>27.16</v>
      </c>
      <c r="M84" s="64">
        <v>97.06</v>
      </c>
      <c r="N84" s="64">
        <v>30.8</v>
      </c>
      <c r="O84" s="64">
        <v>0</v>
      </c>
      <c r="P84" s="64">
        <v>0.44</v>
      </c>
      <c r="Q84" s="64">
        <v>9.58</v>
      </c>
      <c r="R84" s="198"/>
      <c r="S84" s="198"/>
      <c r="T84" s="198"/>
      <c r="U84" s="198"/>
    </row>
    <row r="85" spans="1:26" s="12" customFormat="1" x14ac:dyDescent="0.25">
      <c r="A85" s="212" t="s">
        <v>2819</v>
      </c>
      <c r="B85" s="64">
        <v>18.239999999999998</v>
      </c>
      <c r="C85" s="64">
        <v>19.54</v>
      </c>
      <c r="D85" s="64">
        <v>24.84</v>
      </c>
      <c r="E85" s="64">
        <v>5.67</v>
      </c>
      <c r="F85" s="64">
        <v>9.52</v>
      </c>
      <c r="G85" s="64">
        <v>39.700000000000003</v>
      </c>
      <c r="H85" s="64">
        <v>10.65</v>
      </c>
      <c r="I85" s="64">
        <v>1.27</v>
      </c>
      <c r="J85" s="64">
        <v>0</v>
      </c>
      <c r="K85" s="64">
        <v>341.99</v>
      </c>
      <c r="L85" s="64">
        <v>27.04</v>
      </c>
      <c r="M85" s="64">
        <v>97.75</v>
      </c>
      <c r="N85" s="64">
        <v>31</v>
      </c>
      <c r="O85" s="64">
        <v>0</v>
      </c>
      <c r="P85" s="64">
        <v>1.1599999999999999</v>
      </c>
      <c r="Q85" s="64">
        <v>9.59</v>
      </c>
      <c r="R85" s="198"/>
      <c r="S85" s="198"/>
      <c r="T85" s="198"/>
      <c r="U85" s="198"/>
    </row>
    <row r="86" spans="1:26" s="12" customFormat="1" x14ac:dyDescent="0.25">
      <c r="A86" s="212" t="s">
        <v>2820</v>
      </c>
      <c r="B86" s="64">
        <v>8.84</v>
      </c>
      <c r="C86" s="64">
        <v>20.03</v>
      </c>
      <c r="D86" s="64">
        <v>17.55</v>
      </c>
      <c r="E86" s="64">
        <v>5.74</v>
      </c>
      <c r="F86" s="64">
        <v>7.63</v>
      </c>
      <c r="G86" s="64">
        <v>41.42</v>
      </c>
      <c r="H86" s="64">
        <v>8.86</v>
      </c>
      <c r="I86" s="64">
        <v>1.22</v>
      </c>
      <c r="J86" s="64">
        <v>0.1</v>
      </c>
      <c r="K86" s="64">
        <v>138.97999999999999</v>
      </c>
      <c r="L86" s="64">
        <v>26.84</v>
      </c>
      <c r="M86" s="64">
        <v>97.95</v>
      </c>
      <c r="N86" s="64">
        <v>30.5</v>
      </c>
      <c r="O86" s="64">
        <v>0</v>
      </c>
      <c r="P86" s="64">
        <v>0.92</v>
      </c>
      <c r="Q86" s="64">
        <v>9.6</v>
      </c>
      <c r="R86" s="198"/>
      <c r="S86" s="198"/>
      <c r="T86" s="198"/>
      <c r="U86" s="198"/>
    </row>
    <row r="87" spans="1:26" s="12" customFormat="1" x14ac:dyDescent="0.25">
      <c r="A87" s="212" t="s">
        <v>2821</v>
      </c>
      <c r="B87" s="64">
        <v>29.47</v>
      </c>
      <c r="C87" s="64">
        <v>20.18</v>
      </c>
      <c r="D87" s="64">
        <v>34.18</v>
      </c>
      <c r="E87" s="64">
        <v>5.71</v>
      </c>
      <c r="F87" s="64">
        <v>8.81</v>
      </c>
      <c r="G87" s="64">
        <v>41.42</v>
      </c>
      <c r="H87" s="64">
        <v>8.86</v>
      </c>
      <c r="I87" s="64">
        <v>1.19</v>
      </c>
      <c r="J87" s="64">
        <v>7.0000000000000007E-2</v>
      </c>
      <c r="K87" s="64">
        <v>335.13</v>
      </c>
      <c r="L87" s="64">
        <v>26.8</v>
      </c>
      <c r="M87" s="64">
        <v>97.95</v>
      </c>
      <c r="N87" s="64">
        <v>30.9</v>
      </c>
      <c r="O87" s="64">
        <v>0</v>
      </c>
      <c r="P87" s="64">
        <v>1.34</v>
      </c>
      <c r="Q87" s="64">
        <v>9.61</v>
      </c>
      <c r="R87" s="198"/>
      <c r="S87" s="198"/>
      <c r="T87" s="198"/>
      <c r="U87" s="198"/>
    </row>
    <row r="88" spans="1:26" s="12" customFormat="1" x14ac:dyDescent="0.25">
      <c r="A88" s="212" t="s">
        <v>2822</v>
      </c>
      <c r="B88" s="64">
        <v>26.01</v>
      </c>
      <c r="C88" s="64">
        <v>21.51</v>
      </c>
      <c r="D88" s="64">
        <v>32.1</v>
      </c>
      <c r="E88" s="64">
        <v>5.84</v>
      </c>
      <c r="F88" s="64">
        <v>5.91</v>
      </c>
      <c r="G88" s="64">
        <v>41.42</v>
      </c>
      <c r="H88" s="64">
        <v>8.86</v>
      </c>
      <c r="I88" s="64">
        <v>1.22</v>
      </c>
      <c r="J88" s="64">
        <v>7.0000000000000007E-2</v>
      </c>
      <c r="K88" s="64">
        <v>2.17</v>
      </c>
      <c r="L88" s="64">
        <v>26.61</v>
      </c>
      <c r="M88" s="64">
        <v>98.01</v>
      </c>
      <c r="N88" s="64">
        <v>30.8</v>
      </c>
      <c r="O88" s="64">
        <v>0</v>
      </c>
      <c r="P88" s="64">
        <v>2.0099999999999998</v>
      </c>
      <c r="Q88" s="64">
        <v>9.6199999999999992</v>
      </c>
      <c r="R88" s="198"/>
      <c r="S88" s="198"/>
      <c r="T88" s="198"/>
      <c r="U88" s="198"/>
    </row>
    <row r="89" spans="1:26" s="12" customFormat="1" x14ac:dyDescent="0.25">
      <c r="A89" s="212" t="s">
        <v>2823</v>
      </c>
      <c r="B89" s="64">
        <v>33.53</v>
      </c>
      <c r="C89" s="64">
        <v>19.45</v>
      </c>
      <c r="D89" s="64">
        <v>37.04</v>
      </c>
      <c r="E89" s="64">
        <v>5.91</v>
      </c>
      <c r="F89" s="64">
        <v>5.37</v>
      </c>
      <c r="G89" s="64">
        <v>53.58</v>
      </c>
      <c r="H89" s="64">
        <v>12.52</v>
      </c>
      <c r="I89" s="64">
        <v>1.28</v>
      </c>
      <c r="J89" s="64">
        <v>7.0000000000000007E-2</v>
      </c>
      <c r="K89" s="64">
        <v>358.3</v>
      </c>
      <c r="L89" s="64">
        <v>26.26</v>
      </c>
      <c r="M89" s="64">
        <v>98.03</v>
      </c>
      <c r="N89" s="64">
        <v>30.7</v>
      </c>
      <c r="O89" s="64">
        <v>0</v>
      </c>
      <c r="P89" s="64">
        <v>2.14</v>
      </c>
      <c r="Q89" s="64">
        <v>9.6300000000000008</v>
      </c>
      <c r="R89" s="198"/>
      <c r="S89" s="198"/>
      <c r="T89" s="198"/>
      <c r="U89" s="198"/>
    </row>
    <row r="90" spans="1:26" s="12" customFormat="1" x14ac:dyDescent="0.25">
      <c r="A90" s="212" t="s">
        <v>2824</v>
      </c>
      <c r="B90" s="64">
        <v>17.579999999999998</v>
      </c>
      <c r="C90" s="64">
        <v>27.02</v>
      </c>
      <c r="D90" s="64">
        <v>28.22</v>
      </c>
      <c r="E90" s="64">
        <v>5.77</v>
      </c>
      <c r="F90" s="64">
        <v>5.47</v>
      </c>
      <c r="G90" s="64">
        <v>68.77</v>
      </c>
      <c r="H90" s="64">
        <v>17.09</v>
      </c>
      <c r="I90" s="64">
        <v>1.4</v>
      </c>
      <c r="J90" s="64">
        <v>0.05</v>
      </c>
      <c r="K90" s="64">
        <v>1.52</v>
      </c>
      <c r="L90" s="64">
        <v>26.04</v>
      </c>
      <c r="M90" s="64">
        <v>98.03</v>
      </c>
      <c r="N90" s="64">
        <v>30.6</v>
      </c>
      <c r="O90" s="64">
        <v>0</v>
      </c>
      <c r="P90" s="64">
        <v>1.77</v>
      </c>
      <c r="Q90" s="64">
        <v>9.6</v>
      </c>
      <c r="R90" s="198"/>
      <c r="S90" s="198"/>
      <c r="T90" s="198"/>
      <c r="U90" s="198"/>
    </row>
    <row r="91" spans="1:26" s="12" customFormat="1" x14ac:dyDescent="0.25">
      <c r="A91" s="212" t="s">
        <v>2825</v>
      </c>
      <c r="B91" s="64">
        <v>50.64</v>
      </c>
      <c r="C91" s="64">
        <v>21.11</v>
      </c>
      <c r="D91" s="64">
        <v>51.64</v>
      </c>
      <c r="E91" s="64">
        <v>6.07</v>
      </c>
      <c r="F91" s="64">
        <v>5.07</v>
      </c>
      <c r="G91" s="64">
        <v>68.77</v>
      </c>
      <c r="H91" s="64">
        <v>17.09</v>
      </c>
      <c r="I91" s="64">
        <v>1.52</v>
      </c>
      <c r="J91" s="64">
        <v>0.04</v>
      </c>
      <c r="K91" s="64">
        <v>301.51</v>
      </c>
      <c r="L91" s="64">
        <v>26.03</v>
      </c>
      <c r="M91" s="64">
        <v>98.03</v>
      </c>
      <c r="N91" s="64">
        <v>30.6</v>
      </c>
      <c r="O91" s="64">
        <v>0</v>
      </c>
      <c r="P91" s="64">
        <v>1.7</v>
      </c>
      <c r="Q91" s="64">
        <v>9.6199999999999992</v>
      </c>
      <c r="R91" s="198"/>
      <c r="S91" s="198"/>
      <c r="T91" s="198"/>
      <c r="U91" s="198"/>
    </row>
    <row r="92" spans="1:26" s="12" customFormat="1" x14ac:dyDescent="0.25">
      <c r="A92" s="212" t="s">
        <v>2826</v>
      </c>
      <c r="B92" s="64">
        <v>33.1</v>
      </c>
      <c r="C92" s="64">
        <v>20.48</v>
      </c>
      <c r="D92" s="64">
        <v>37.25</v>
      </c>
      <c r="E92" s="64">
        <v>5.64</v>
      </c>
      <c r="F92" s="64">
        <v>4.75</v>
      </c>
      <c r="G92" s="64">
        <v>68.77</v>
      </c>
      <c r="H92" s="64">
        <v>17.09</v>
      </c>
      <c r="I92" s="64">
        <v>1.64</v>
      </c>
      <c r="J92" s="64">
        <v>0.04</v>
      </c>
      <c r="K92" s="64">
        <v>240.13</v>
      </c>
      <c r="L92" s="64">
        <v>25.91</v>
      </c>
      <c r="M92" s="64">
        <v>98.05</v>
      </c>
      <c r="N92" s="64">
        <v>30.6</v>
      </c>
      <c r="O92" s="64">
        <v>0</v>
      </c>
      <c r="P92" s="64">
        <v>1.2</v>
      </c>
      <c r="Q92" s="64">
        <v>9.64</v>
      </c>
      <c r="R92" s="198"/>
      <c r="S92" s="198"/>
      <c r="T92" s="198"/>
      <c r="U92" s="198"/>
    </row>
    <row r="93" spans="1:26" s="12" customFormat="1" x14ac:dyDescent="0.25">
      <c r="A93" s="212" t="s">
        <v>2827</v>
      </c>
      <c r="B93" s="64">
        <v>56.8</v>
      </c>
      <c r="C93" s="64">
        <v>23.5</v>
      </c>
      <c r="D93" s="64">
        <v>57.82</v>
      </c>
      <c r="E93" s="64">
        <v>5.78</v>
      </c>
      <c r="F93" s="64">
        <v>3.93</v>
      </c>
      <c r="G93" s="64">
        <v>71.150000000000006</v>
      </c>
      <c r="H93" s="64">
        <v>14.98</v>
      </c>
      <c r="I93" s="64">
        <v>1.75</v>
      </c>
      <c r="J93" s="64">
        <v>0.02</v>
      </c>
      <c r="K93" s="64">
        <v>167.2</v>
      </c>
      <c r="L93" s="64">
        <v>25.81</v>
      </c>
      <c r="M93" s="64">
        <v>98.07</v>
      </c>
      <c r="N93" s="64">
        <v>30.6</v>
      </c>
      <c r="O93" s="64">
        <v>0</v>
      </c>
      <c r="P93" s="64">
        <v>1.84</v>
      </c>
      <c r="Q93" s="64">
        <v>9.6199999999999992</v>
      </c>
      <c r="R93" s="198"/>
      <c r="S93" s="198"/>
      <c r="T93" s="198"/>
      <c r="U93" s="198"/>
    </row>
    <row r="94" spans="1:26" s="12" customFormat="1" x14ac:dyDescent="0.25">
      <c r="A94" s="212" t="s">
        <v>2828</v>
      </c>
      <c r="B94" s="64">
        <v>24.14</v>
      </c>
      <c r="C94" s="64">
        <v>28.26</v>
      </c>
      <c r="D94" s="64">
        <v>34.130000000000003</v>
      </c>
      <c r="E94" s="64">
        <v>5.68</v>
      </c>
      <c r="F94" s="64">
        <v>4.41</v>
      </c>
      <c r="G94" s="64">
        <v>74.11</v>
      </c>
      <c r="H94" s="64">
        <v>13.25</v>
      </c>
      <c r="I94" s="64">
        <v>1.84</v>
      </c>
      <c r="J94" s="64">
        <v>0.01</v>
      </c>
      <c r="K94" s="64">
        <v>229.05</v>
      </c>
      <c r="L94" s="64">
        <v>25.85</v>
      </c>
      <c r="M94" s="64">
        <v>98.08</v>
      </c>
      <c r="N94" s="64">
        <v>30.6</v>
      </c>
      <c r="O94" s="64">
        <v>0</v>
      </c>
      <c r="P94" s="64">
        <v>1.51</v>
      </c>
      <c r="Q94" s="64">
        <v>9.6300000000000008</v>
      </c>
      <c r="R94" s="198"/>
      <c r="S94" s="198"/>
      <c r="T94" s="198"/>
      <c r="U94" s="198"/>
    </row>
    <row r="95" spans="1:26" s="12" customFormat="1" x14ac:dyDescent="0.25">
      <c r="A95" s="212" t="s">
        <v>2829</v>
      </c>
      <c r="B95" s="64">
        <v>40.57</v>
      </c>
      <c r="C95" s="64">
        <v>24.1</v>
      </c>
      <c r="D95" s="64">
        <v>45.13</v>
      </c>
      <c r="E95" s="64">
        <v>5.47</v>
      </c>
      <c r="F95" s="64">
        <v>4.55</v>
      </c>
      <c r="G95" s="64">
        <v>74.11</v>
      </c>
      <c r="H95" s="64">
        <v>13.25</v>
      </c>
      <c r="I95" s="64">
        <v>1.95</v>
      </c>
      <c r="J95" s="64">
        <v>0.04</v>
      </c>
      <c r="K95" s="64">
        <v>123.78</v>
      </c>
      <c r="L95" s="64">
        <v>26.02</v>
      </c>
      <c r="M95" s="64">
        <v>98.07</v>
      </c>
      <c r="N95" s="64">
        <v>30.6</v>
      </c>
      <c r="O95" s="64">
        <v>0</v>
      </c>
      <c r="P95" s="64">
        <v>1.91</v>
      </c>
      <c r="Q95" s="64">
        <v>9.64</v>
      </c>
      <c r="R95" s="198"/>
      <c r="S95" s="198"/>
      <c r="T95" s="198"/>
      <c r="U95" s="198"/>
    </row>
    <row r="96" spans="1:26" s="12" customFormat="1" x14ac:dyDescent="0.25">
      <c r="A96" s="212" t="s">
        <v>2830</v>
      </c>
      <c r="B96" s="64">
        <v>79.099999999999994</v>
      </c>
      <c r="C96" s="64">
        <v>11.56</v>
      </c>
      <c r="D96" s="64">
        <v>69.319999999999993</v>
      </c>
      <c r="E96" s="64">
        <v>6.02</v>
      </c>
      <c r="F96" s="64">
        <v>4.58</v>
      </c>
      <c r="G96" s="64">
        <v>74.11</v>
      </c>
      <c r="H96" s="64">
        <v>13.25</v>
      </c>
      <c r="I96" s="64">
        <v>2.09</v>
      </c>
      <c r="J96" s="64">
        <v>7.0000000000000007E-2</v>
      </c>
      <c r="K96" s="64">
        <v>308.58</v>
      </c>
      <c r="L96" s="64">
        <v>26.03</v>
      </c>
      <c r="M96" s="64">
        <v>98.08</v>
      </c>
      <c r="N96" s="64">
        <v>30.8</v>
      </c>
      <c r="O96" s="64">
        <v>0</v>
      </c>
      <c r="P96" s="64">
        <v>1.75</v>
      </c>
      <c r="Q96" s="64">
        <v>9.64</v>
      </c>
      <c r="R96" s="198"/>
      <c r="S96" s="198"/>
      <c r="T96" s="198"/>
      <c r="U96" s="198"/>
      <c r="Z96" s="109"/>
    </row>
    <row r="97" spans="1:33" s="12" customFormat="1" x14ac:dyDescent="0.25">
      <c r="A97" s="212" t="s">
        <v>2831</v>
      </c>
      <c r="B97" s="64">
        <v>56.51</v>
      </c>
      <c r="C97" s="64">
        <v>11.63</v>
      </c>
      <c r="D97" s="64">
        <v>51.09</v>
      </c>
      <c r="E97" s="64">
        <v>6.11</v>
      </c>
      <c r="F97" s="64">
        <v>4.32</v>
      </c>
      <c r="G97" s="64">
        <v>80.3</v>
      </c>
      <c r="H97" s="64">
        <v>14.18</v>
      </c>
      <c r="I97" s="64">
        <v>2.2200000000000002</v>
      </c>
      <c r="J97" s="64">
        <v>0.05</v>
      </c>
      <c r="K97" s="64">
        <v>280.79000000000002</v>
      </c>
      <c r="L97" s="64">
        <v>25.86</v>
      </c>
      <c r="M97" s="64">
        <v>98.1</v>
      </c>
      <c r="N97" s="64">
        <v>30.6</v>
      </c>
      <c r="O97" s="64">
        <v>0</v>
      </c>
      <c r="P97" s="64">
        <v>1.6</v>
      </c>
      <c r="Q97" s="64">
        <v>9.65</v>
      </c>
      <c r="R97" s="198"/>
      <c r="S97" s="198"/>
      <c r="T97" s="198"/>
      <c r="U97" s="198"/>
    </row>
    <row r="98" spans="1:33" s="12" customFormat="1" x14ac:dyDescent="0.25">
      <c r="A98" s="212" t="s">
        <v>2832</v>
      </c>
      <c r="B98" s="64">
        <v>36.31</v>
      </c>
      <c r="C98" s="64">
        <v>15.53</v>
      </c>
      <c r="D98" s="64">
        <v>37.229999999999997</v>
      </c>
      <c r="E98" s="64">
        <v>5.9</v>
      </c>
      <c r="F98" s="64">
        <v>4.67</v>
      </c>
      <c r="G98" s="64">
        <v>88.04</v>
      </c>
      <c r="H98" s="64">
        <v>16.03</v>
      </c>
      <c r="I98" s="64">
        <v>2.34</v>
      </c>
      <c r="J98" s="64">
        <v>0.01</v>
      </c>
      <c r="K98" s="64">
        <v>42.17</v>
      </c>
      <c r="L98" s="64">
        <v>25.71</v>
      </c>
      <c r="M98" s="64">
        <v>98.1</v>
      </c>
      <c r="N98" s="64">
        <v>30.6</v>
      </c>
      <c r="O98" s="64">
        <v>0</v>
      </c>
      <c r="P98" s="64">
        <v>1.79</v>
      </c>
      <c r="Q98" s="64">
        <v>9.65</v>
      </c>
      <c r="R98" s="198"/>
      <c r="S98" s="198"/>
      <c r="T98" s="198"/>
      <c r="U98" s="198"/>
    </row>
    <row r="99" spans="1:33" s="12" customFormat="1" x14ac:dyDescent="0.25">
      <c r="A99" s="212" t="s">
        <v>2833</v>
      </c>
      <c r="B99" s="64">
        <v>33.78</v>
      </c>
      <c r="C99" s="64">
        <v>15.09</v>
      </c>
      <c r="D99" s="64">
        <v>34.97</v>
      </c>
      <c r="E99" s="64">
        <v>5.79</v>
      </c>
      <c r="F99" s="64">
        <v>4.6900000000000004</v>
      </c>
      <c r="G99" s="64">
        <v>88.04</v>
      </c>
      <c r="H99" s="64">
        <v>16.03</v>
      </c>
      <c r="I99" s="64">
        <v>2.46</v>
      </c>
      <c r="J99" s="64">
        <v>0.05</v>
      </c>
      <c r="K99" s="64">
        <v>271.44</v>
      </c>
      <c r="L99" s="64">
        <v>25.56</v>
      </c>
      <c r="M99" s="64">
        <v>98.13</v>
      </c>
      <c r="N99" s="64">
        <v>30.6</v>
      </c>
      <c r="O99" s="64">
        <v>0</v>
      </c>
      <c r="P99" s="64">
        <v>1.17</v>
      </c>
      <c r="Q99" s="64">
        <v>9.67</v>
      </c>
      <c r="R99" s="198"/>
      <c r="S99" s="198"/>
      <c r="T99" s="198"/>
      <c r="U99" s="198"/>
    </row>
    <row r="100" spans="1:33" s="12" customFormat="1" x14ac:dyDescent="0.25">
      <c r="A100" s="212" t="s">
        <v>2834</v>
      </c>
      <c r="B100" s="64">
        <v>27.5</v>
      </c>
      <c r="C100" s="64">
        <v>5.89</v>
      </c>
      <c r="D100" s="64">
        <v>25.09</v>
      </c>
      <c r="E100" s="64">
        <v>5.53</v>
      </c>
      <c r="F100" s="64">
        <v>4.41</v>
      </c>
      <c r="G100" s="64">
        <v>88.04</v>
      </c>
      <c r="H100" s="64">
        <v>16.03</v>
      </c>
      <c r="I100" s="64">
        <v>2.59</v>
      </c>
      <c r="J100" s="64">
        <v>0.19</v>
      </c>
      <c r="K100" s="64">
        <v>180.63</v>
      </c>
      <c r="L100" s="64">
        <v>25.26</v>
      </c>
      <c r="M100" s="64">
        <v>98.12</v>
      </c>
      <c r="N100" s="64">
        <v>31.1</v>
      </c>
      <c r="O100" s="64">
        <v>0</v>
      </c>
      <c r="P100" s="64">
        <v>1.03</v>
      </c>
      <c r="Q100" s="64">
        <v>9.67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2" t="s">
        <v>2835</v>
      </c>
      <c r="B101" s="64">
        <v>22.76</v>
      </c>
      <c r="C101" s="64">
        <v>15.79</v>
      </c>
      <c r="D101" s="64">
        <v>26.5</v>
      </c>
      <c r="E101" s="64">
        <v>5.55</v>
      </c>
      <c r="F101" s="64">
        <v>3.93</v>
      </c>
      <c r="G101" s="64">
        <v>90.83</v>
      </c>
      <c r="H101" s="64">
        <v>16.47</v>
      </c>
      <c r="I101" s="64">
        <v>2.67</v>
      </c>
      <c r="J101" s="64">
        <v>0.08</v>
      </c>
      <c r="K101" s="64">
        <v>281.05</v>
      </c>
      <c r="L101" s="64">
        <v>24.3</v>
      </c>
      <c r="M101" s="64">
        <v>98.1</v>
      </c>
      <c r="N101" s="64">
        <v>31.5</v>
      </c>
      <c r="O101" s="64">
        <v>0</v>
      </c>
      <c r="P101" s="64">
        <v>0.94</v>
      </c>
      <c r="Q101" s="64">
        <v>9.68</v>
      </c>
      <c r="R101" s="198"/>
      <c r="S101" s="198"/>
      <c r="T101" s="198"/>
      <c r="U101" s="198"/>
    </row>
    <row r="102" spans="1:33" s="12" customFormat="1" x14ac:dyDescent="0.25">
      <c r="A102" s="212" t="s">
        <v>2836</v>
      </c>
      <c r="B102" s="64">
        <v>19.579999999999998</v>
      </c>
      <c r="C102" s="64">
        <v>4.95</v>
      </c>
      <c r="D102" s="64">
        <v>18.260000000000002</v>
      </c>
      <c r="E102" s="64">
        <v>5.46</v>
      </c>
      <c r="F102" s="64">
        <v>5.89</v>
      </c>
      <c r="G102" s="64">
        <v>94.3</v>
      </c>
      <c r="H102" s="64">
        <v>17.309999999999999</v>
      </c>
      <c r="I102" s="64">
        <v>2.65</v>
      </c>
      <c r="J102" s="64">
        <v>0.04</v>
      </c>
      <c r="K102" s="64">
        <v>278.95999999999998</v>
      </c>
      <c r="L102" s="64">
        <v>24.12</v>
      </c>
      <c r="M102" s="64">
        <v>98.1</v>
      </c>
      <c r="N102" s="64">
        <v>31</v>
      </c>
      <c r="O102" s="64">
        <v>0</v>
      </c>
      <c r="P102" s="64">
        <v>0.83</v>
      </c>
      <c r="Q102" s="64">
        <v>9.69</v>
      </c>
      <c r="R102" s="198"/>
      <c r="S102" s="198"/>
      <c r="T102" s="198"/>
      <c r="U102" s="198"/>
    </row>
    <row r="103" spans="1:33" s="12" customFormat="1" x14ac:dyDescent="0.25">
      <c r="A103" s="212" t="s">
        <v>2837</v>
      </c>
      <c r="B103" s="64">
        <v>16.48</v>
      </c>
      <c r="C103" s="64">
        <v>4.76</v>
      </c>
      <c r="D103" s="64">
        <v>15.7</v>
      </c>
      <c r="E103" s="64">
        <v>5.5</v>
      </c>
      <c r="F103" s="64">
        <v>6.92</v>
      </c>
      <c r="G103" s="64">
        <v>94.3</v>
      </c>
      <c r="H103" s="64">
        <v>17.309999999999999</v>
      </c>
      <c r="I103" s="64">
        <v>2.54</v>
      </c>
      <c r="J103" s="64">
        <v>0.05</v>
      </c>
      <c r="K103" s="64">
        <v>252.47</v>
      </c>
      <c r="L103" s="64">
        <v>24.03</v>
      </c>
      <c r="M103" s="64">
        <v>98.11</v>
      </c>
      <c r="N103" s="64">
        <v>30.7</v>
      </c>
      <c r="O103" s="64">
        <v>0</v>
      </c>
      <c r="P103" s="64">
        <v>0.69</v>
      </c>
      <c r="Q103" s="64">
        <v>9.69</v>
      </c>
      <c r="R103" s="198"/>
      <c r="S103" s="198"/>
      <c r="T103" s="198"/>
      <c r="U103" s="198"/>
    </row>
    <row r="104" spans="1:33" s="12" customFormat="1" x14ac:dyDescent="0.25">
      <c r="A104" s="212" t="s">
        <v>2838</v>
      </c>
      <c r="B104" s="64">
        <v>19.89</v>
      </c>
      <c r="C104" s="64">
        <v>4.83</v>
      </c>
      <c r="D104" s="64">
        <v>18.47</v>
      </c>
      <c r="E104" s="64">
        <v>3.86</v>
      </c>
      <c r="F104" s="64">
        <v>3.99</v>
      </c>
      <c r="G104" s="64">
        <v>94.3</v>
      </c>
      <c r="H104" s="64">
        <v>17.309999999999999</v>
      </c>
      <c r="I104" s="64">
        <v>2.44</v>
      </c>
      <c r="J104" s="64">
        <v>0.08</v>
      </c>
      <c r="K104" s="64">
        <v>286.14</v>
      </c>
      <c r="L104" s="64">
        <v>23.97</v>
      </c>
      <c r="M104" s="64">
        <v>98.13</v>
      </c>
      <c r="N104" s="64">
        <v>30.6</v>
      </c>
      <c r="O104" s="64">
        <v>0</v>
      </c>
      <c r="P104" s="64">
        <v>0.87</v>
      </c>
      <c r="Q104" s="64">
        <v>9.69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4.0199999999999996</v>
      </c>
      <c r="C106" s="67">
        <f>MIN(C9:C104)</f>
        <v>4.76</v>
      </c>
      <c r="D106" s="67">
        <f t="shared" ref="D106:Q106" si="0">MIN(D9:D104)</f>
        <v>8.99</v>
      </c>
      <c r="E106" s="67">
        <f t="shared" si="0"/>
        <v>3.86</v>
      </c>
      <c r="F106" s="67">
        <f t="shared" si="0"/>
        <v>2.86</v>
      </c>
      <c r="G106" s="67">
        <f t="shared" si="0"/>
        <v>1.25</v>
      </c>
      <c r="H106" s="67">
        <f t="shared" si="0"/>
        <v>0.5</v>
      </c>
      <c r="I106" s="67">
        <f t="shared" si="0"/>
        <v>0.89</v>
      </c>
      <c r="J106" s="67">
        <f t="shared" si="0"/>
        <v>0</v>
      </c>
      <c r="K106" s="67">
        <f t="shared" si="0"/>
        <v>1.52</v>
      </c>
      <c r="L106" s="67">
        <f t="shared" si="0"/>
        <v>21.15</v>
      </c>
      <c r="M106" s="67">
        <f t="shared" si="0"/>
        <v>75.239999999999995</v>
      </c>
      <c r="N106" s="67">
        <f t="shared" si="0"/>
        <v>30.5</v>
      </c>
      <c r="O106" s="67">
        <f t="shared" si="0"/>
        <v>0</v>
      </c>
      <c r="P106" s="67">
        <f t="shared" si="0"/>
        <v>0.16</v>
      </c>
      <c r="Q106" s="67">
        <f t="shared" si="0"/>
        <v>9.4499999999999993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79.099999999999994</v>
      </c>
      <c r="C107" s="66">
        <f t="shared" ref="C107:Q107" si="1">MAX(C9:C104)</f>
        <v>28.26</v>
      </c>
      <c r="D107" s="66">
        <f t="shared" si="1"/>
        <v>69.319999999999993</v>
      </c>
      <c r="E107" s="66">
        <f t="shared" si="1"/>
        <v>6.36</v>
      </c>
      <c r="F107" s="66">
        <f t="shared" si="1"/>
        <v>20.13</v>
      </c>
      <c r="G107" s="66">
        <f t="shared" si="1"/>
        <v>98.4</v>
      </c>
      <c r="H107" s="66">
        <f t="shared" si="1"/>
        <v>21.36</v>
      </c>
      <c r="I107" s="66">
        <f t="shared" si="1"/>
        <v>2.67</v>
      </c>
      <c r="J107" s="66">
        <f t="shared" si="1"/>
        <v>1.06</v>
      </c>
      <c r="K107" s="66">
        <f t="shared" si="1"/>
        <v>358.3</v>
      </c>
      <c r="L107" s="66">
        <f t="shared" si="1"/>
        <v>30.13</v>
      </c>
      <c r="M107" s="66">
        <f t="shared" si="1"/>
        <v>98.2</v>
      </c>
      <c r="N107" s="66">
        <f t="shared" si="1"/>
        <v>851.8</v>
      </c>
      <c r="O107" s="66">
        <f t="shared" si="1"/>
        <v>0</v>
      </c>
      <c r="P107" s="66">
        <f t="shared" si="1"/>
        <v>2.14</v>
      </c>
      <c r="Q107" s="66">
        <f t="shared" si="1"/>
        <v>9.69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13.169574468085107</v>
      </c>
      <c r="C108" s="67">
        <f t="shared" ref="C108:Q108" si="2">AVERAGE(C9:C104)</f>
        <v>11.461702127659576</v>
      </c>
      <c r="D108" s="67">
        <f t="shared" si="2"/>
        <v>16.534361702127661</v>
      </c>
      <c r="E108" s="67">
        <f t="shared" si="2"/>
        <v>5.4598958333333334</v>
      </c>
      <c r="F108" s="67">
        <f t="shared" si="2"/>
        <v>8.5901041666666647</v>
      </c>
      <c r="G108" s="67">
        <f t="shared" si="2"/>
        <v>41.352584269662934</v>
      </c>
      <c r="H108" s="67">
        <f t="shared" si="2"/>
        <v>9.7033707865168548</v>
      </c>
      <c r="I108" s="67">
        <f t="shared" si="2"/>
        <v>1.3401041666666673</v>
      </c>
      <c r="J108" s="67">
        <f t="shared" si="2"/>
        <v>0.263125</v>
      </c>
      <c r="K108" s="67">
        <f t="shared" si="2"/>
        <v>177.03489583333328</v>
      </c>
      <c r="L108" s="67">
        <f t="shared" si="2"/>
        <v>25.487395833333341</v>
      </c>
      <c r="M108" s="67">
        <f t="shared" si="2"/>
        <v>93.242083333333312</v>
      </c>
      <c r="N108" s="67">
        <f t="shared" si="2"/>
        <v>144.4354166666667</v>
      </c>
      <c r="O108" s="67">
        <f t="shared" si="2"/>
        <v>0</v>
      </c>
      <c r="P108" s="67">
        <f t="shared" si="2"/>
        <v>0.55770833333333336</v>
      </c>
      <c r="Q108" s="67">
        <f t="shared" si="2"/>
        <v>9.5810416666666693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12.919678906334397</v>
      </c>
      <c r="C109" s="67">
        <f t="shared" ref="C109:Q109" si="3">STDEV(C9:C104)</f>
        <v>4.9808719360822096</v>
      </c>
      <c r="D109" s="67">
        <f t="shared" si="3"/>
        <v>11.763908588862781</v>
      </c>
      <c r="E109" s="67">
        <f t="shared" si="3"/>
        <v>0.42119752783716624</v>
      </c>
      <c r="F109" s="67">
        <f t="shared" si="3"/>
        <v>4.5018673306439538</v>
      </c>
      <c r="G109" s="67">
        <f t="shared" si="3"/>
        <v>26.963268429143014</v>
      </c>
      <c r="H109" s="67">
        <f t="shared" si="3"/>
        <v>5.2110474744920099</v>
      </c>
      <c r="I109" s="67">
        <f t="shared" si="3"/>
        <v>0.41990097777970103</v>
      </c>
      <c r="J109" s="67">
        <f t="shared" si="3"/>
        <v>0.23405942790127809</v>
      </c>
      <c r="K109" s="67">
        <f t="shared" si="3"/>
        <v>94.013479414220114</v>
      </c>
      <c r="L109" s="67">
        <f t="shared" si="3"/>
        <v>2.8365821705156202</v>
      </c>
      <c r="M109" s="67">
        <f t="shared" si="3"/>
        <v>7.6963099725116626</v>
      </c>
      <c r="N109" s="67">
        <f t="shared" si="3"/>
        <v>171.52379486864311</v>
      </c>
      <c r="O109" s="67">
        <f t="shared" si="3"/>
        <v>0</v>
      </c>
      <c r="P109" s="67">
        <f t="shared" si="3"/>
        <v>0.49072766413854957</v>
      </c>
      <c r="Q109" s="67">
        <f t="shared" si="3"/>
        <v>6.5397234235203092E-2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COUNT(B9:B104)+2</f>
        <v>96</v>
      </c>
      <c r="C110" s="66">
        <f t="shared" ref="C110:D110" si="4">COUNT(C9:C104)+2</f>
        <v>96</v>
      </c>
      <c r="D110" s="66">
        <f t="shared" si="4"/>
        <v>96</v>
      </c>
      <c r="E110" s="66">
        <f t="shared" ref="E110:Q110" si="5">COUNT(E9:E104)</f>
        <v>96</v>
      </c>
      <c r="F110" s="66">
        <f t="shared" si="5"/>
        <v>96</v>
      </c>
      <c r="G110" s="66">
        <f>COUNT(G9:G104)+7</f>
        <v>96</v>
      </c>
      <c r="H110" s="66">
        <f>COUNT(H9:H104)+7</f>
        <v>96</v>
      </c>
      <c r="I110" s="66">
        <f>COUNT(I9:I104)</f>
        <v>96</v>
      </c>
      <c r="J110" s="66">
        <f>COUNT(J9:J104)</f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 t="shared" si="5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216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28/08/2025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224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2" t="s">
        <v>2839</v>
      </c>
      <c r="B9" s="64">
        <v>15.34</v>
      </c>
      <c r="C9" s="64">
        <v>5.49</v>
      </c>
      <c r="D9" s="64">
        <v>15.17</v>
      </c>
      <c r="E9" s="64">
        <v>4.4400000000000004</v>
      </c>
      <c r="F9" s="64">
        <v>6.02</v>
      </c>
      <c r="G9" s="64">
        <v>80.64</v>
      </c>
      <c r="H9" s="64">
        <v>14.86</v>
      </c>
      <c r="I9" s="64">
        <v>2.35</v>
      </c>
      <c r="J9" s="64">
        <v>0.09</v>
      </c>
      <c r="K9" s="64">
        <v>325.14</v>
      </c>
      <c r="L9" s="64">
        <v>23.99</v>
      </c>
      <c r="M9" s="64">
        <v>98.14</v>
      </c>
      <c r="N9" s="64">
        <v>30.6</v>
      </c>
      <c r="O9" s="64">
        <v>0</v>
      </c>
      <c r="P9" s="64">
        <v>0.65</v>
      </c>
      <c r="Q9" s="64">
        <v>9.67</v>
      </c>
      <c r="R9" s="198"/>
      <c r="S9" s="198"/>
      <c r="T9" s="198"/>
      <c r="U9" s="198"/>
    </row>
    <row r="10" spans="1:21" s="12" customFormat="1" x14ac:dyDescent="0.25">
      <c r="A10" s="212" t="s">
        <v>2840</v>
      </c>
      <c r="B10" s="64">
        <v>18.59</v>
      </c>
      <c r="C10" s="64">
        <v>4.21</v>
      </c>
      <c r="D10" s="64">
        <v>17.11</v>
      </c>
      <c r="E10" s="64">
        <v>4.3099999999999996</v>
      </c>
      <c r="F10" s="64">
        <v>3.82</v>
      </c>
      <c r="G10" s="64">
        <v>63.56</v>
      </c>
      <c r="H10" s="64">
        <v>13.21</v>
      </c>
      <c r="I10" s="64">
        <v>2.25</v>
      </c>
      <c r="J10" s="64">
        <v>7.0000000000000007E-2</v>
      </c>
      <c r="K10" s="64">
        <v>316.85000000000002</v>
      </c>
      <c r="L10" s="64">
        <v>23.92</v>
      </c>
      <c r="M10" s="64">
        <v>98.13</v>
      </c>
      <c r="N10" s="64">
        <v>30.6</v>
      </c>
      <c r="O10" s="64">
        <v>0</v>
      </c>
      <c r="P10" s="64">
        <v>0.8</v>
      </c>
      <c r="Q10" s="64">
        <v>9.68</v>
      </c>
      <c r="R10" s="198"/>
      <c r="S10" s="198"/>
      <c r="T10" s="198"/>
      <c r="U10" s="198"/>
    </row>
    <row r="11" spans="1:21" s="12" customFormat="1" x14ac:dyDescent="0.25">
      <c r="A11" s="212" t="s">
        <v>2841</v>
      </c>
      <c r="B11" s="64">
        <v>16.920000000000002</v>
      </c>
      <c r="C11" s="64">
        <v>4.71</v>
      </c>
      <c r="D11" s="64">
        <v>16.03</v>
      </c>
      <c r="E11" s="64">
        <v>4.16</v>
      </c>
      <c r="F11" s="64">
        <v>3.94</v>
      </c>
      <c r="G11" s="64">
        <v>63.56</v>
      </c>
      <c r="H11" s="64">
        <v>13.21</v>
      </c>
      <c r="I11" s="64">
        <v>2.16</v>
      </c>
      <c r="J11" s="64">
        <v>7.0000000000000007E-2</v>
      </c>
      <c r="K11" s="64">
        <v>293.89999999999998</v>
      </c>
      <c r="L11" s="64">
        <v>23.88</v>
      </c>
      <c r="M11" s="64">
        <v>98.15</v>
      </c>
      <c r="N11" s="64">
        <v>30.7</v>
      </c>
      <c r="O11" s="64">
        <v>0</v>
      </c>
      <c r="P11" s="64">
        <v>0.74</v>
      </c>
      <c r="Q11" s="64">
        <v>9.67</v>
      </c>
      <c r="R11" s="198"/>
      <c r="S11" s="198"/>
      <c r="T11" s="198"/>
      <c r="U11" s="198"/>
    </row>
    <row r="12" spans="1:21" s="12" customFormat="1" x14ac:dyDescent="0.25">
      <c r="A12" s="212" t="s">
        <v>2842</v>
      </c>
      <c r="B12" s="64">
        <v>14.33</v>
      </c>
      <c r="C12" s="64">
        <v>5.22</v>
      </c>
      <c r="D12" s="64">
        <v>14.22</v>
      </c>
      <c r="E12" s="64">
        <v>4.04</v>
      </c>
      <c r="F12" s="64">
        <v>5.43</v>
      </c>
      <c r="G12" s="64">
        <v>63.56</v>
      </c>
      <c r="H12" s="64">
        <v>13.21</v>
      </c>
      <c r="I12" s="64">
        <v>2.09</v>
      </c>
      <c r="J12" s="64">
        <v>0.04</v>
      </c>
      <c r="K12" s="64">
        <v>266.58</v>
      </c>
      <c r="L12" s="64">
        <v>23.84</v>
      </c>
      <c r="M12" s="64">
        <v>98.15</v>
      </c>
      <c r="N12" s="64">
        <v>30.8</v>
      </c>
      <c r="O12" s="64">
        <v>0</v>
      </c>
      <c r="P12" s="64">
        <v>0.6</v>
      </c>
      <c r="Q12" s="64">
        <v>9.69</v>
      </c>
      <c r="R12" s="198"/>
      <c r="S12" s="198"/>
      <c r="T12" s="198"/>
      <c r="U12" s="198"/>
    </row>
    <row r="13" spans="1:21" s="12" customFormat="1" x14ac:dyDescent="0.25">
      <c r="A13" s="212" t="s">
        <v>2843</v>
      </c>
      <c r="B13" s="64">
        <v>13.27</v>
      </c>
      <c r="C13" s="64">
        <v>4.91</v>
      </c>
      <c r="D13" s="64">
        <v>13.2</v>
      </c>
      <c r="E13" s="64">
        <v>4.16</v>
      </c>
      <c r="F13" s="64">
        <v>5.81</v>
      </c>
      <c r="G13" s="64">
        <v>52.57</v>
      </c>
      <c r="H13" s="64">
        <v>11.49</v>
      </c>
      <c r="I13" s="64">
        <v>2.02</v>
      </c>
      <c r="J13" s="64">
        <v>0.05</v>
      </c>
      <c r="K13" s="64">
        <v>271.2</v>
      </c>
      <c r="L13" s="64">
        <v>23.47</v>
      </c>
      <c r="M13" s="64">
        <v>98.19</v>
      </c>
      <c r="N13" s="64">
        <v>31.4</v>
      </c>
      <c r="O13" s="64">
        <v>0</v>
      </c>
      <c r="P13" s="64">
        <v>0.45</v>
      </c>
      <c r="Q13" s="64">
        <v>9.68</v>
      </c>
      <c r="R13" s="198"/>
      <c r="S13" s="198"/>
      <c r="T13" s="198"/>
      <c r="U13" s="198"/>
    </row>
    <row r="14" spans="1:21" s="12" customFormat="1" x14ac:dyDescent="0.25">
      <c r="A14" s="212" t="s">
        <v>2844</v>
      </c>
      <c r="B14" s="64">
        <v>12.01</v>
      </c>
      <c r="C14" s="64">
        <v>4.8</v>
      </c>
      <c r="D14" s="64">
        <v>12.14</v>
      </c>
      <c r="E14" s="64">
        <v>3.96</v>
      </c>
      <c r="F14" s="64">
        <v>6.69</v>
      </c>
      <c r="G14" s="64">
        <v>38.83</v>
      </c>
      <c r="H14" s="64">
        <v>9.34</v>
      </c>
      <c r="I14" s="64">
        <v>1.96</v>
      </c>
      <c r="J14" s="64">
        <v>0.01</v>
      </c>
      <c r="K14" s="64">
        <v>273.37</v>
      </c>
      <c r="L14" s="64">
        <v>23.18</v>
      </c>
      <c r="M14" s="64">
        <v>98.2</v>
      </c>
      <c r="N14" s="64">
        <v>30.9</v>
      </c>
      <c r="O14" s="64">
        <v>0</v>
      </c>
      <c r="P14" s="64">
        <v>0.44</v>
      </c>
      <c r="Q14" s="64">
        <v>9.68</v>
      </c>
      <c r="R14" s="198"/>
      <c r="S14" s="198"/>
      <c r="T14" s="198"/>
      <c r="U14" s="198"/>
    </row>
    <row r="15" spans="1:21" s="12" customFormat="1" x14ac:dyDescent="0.25">
      <c r="A15" s="212" t="s">
        <v>2845</v>
      </c>
      <c r="B15" s="64">
        <v>10.57</v>
      </c>
      <c r="C15" s="64">
        <v>4.9800000000000004</v>
      </c>
      <c r="D15" s="64">
        <v>11.08</v>
      </c>
      <c r="E15" s="64">
        <v>3.9</v>
      </c>
      <c r="F15" s="64">
        <v>5.89</v>
      </c>
      <c r="G15" s="64">
        <v>38.83</v>
      </c>
      <c r="H15" s="64">
        <v>9.34</v>
      </c>
      <c r="I15" s="64">
        <v>1.91</v>
      </c>
      <c r="J15" s="64">
        <v>0.06</v>
      </c>
      <c r="K15" s="64">
        <v>143.49</v>
      </c>
      <c r="L15" s="64">
        <v>23.13</v>
      </c>
      <c r="M15" s="64">
        <v>98.2</v>
      </c>
      <c r="N15" s="64">
        <v>30.8</v>
      </c>
      <c r="O15" s="64">
        <v>0</v>
      </c>
      <c r="P15" s="64">
        <v>0.38</v>
      </c>
      <c r="Q15" s="64">
        <v>9.68</v>
      </c>
      <c r="R15" s="198"/>
      <c r="S15" s="198"/>
      <c r="T15" s="198"/>
      <c r="U15" s="198"/>
    </row>
    <row r="16" spans="1:21" s="12" customFormat="1" x14ac:dyDescent="0.25">
      <c r="A16" s="212" t="s">
        <v>2846</v>
      </c>
      <c r="B16" s="64">
        <v>15.39</v>
      </c>
      <c r="C16" s="64">
        <v>4.1399999999999997</v>
      </c>
      <c r="D16" s="64">
        <v>14.51</v>
      </c>
      <c r="E16" s="64">
        <v>4.08</v>
      </c>
      <c r="F16" s="64">
        <v>3.28</v>
      </c>
      <c r="G16" s="64">
        <v>38.83</v>
      </c>
      <c r="H16" s="64">
        <v>9.34</v>
      </c>
      <c r="I16" s="64">
        <v>1.85</v>
      </c>
      <c r="J16" s="64">
        <v>0.11</v>
      </c>
      <c r="K16" s="64">
        <v>330.49</v>
      </c>
      <c r="L16" s="64">
        <v>23.08</v>
      </c>
      <c r="M16" s="64">
        <v>98.2</v>
      </c>
      <c r="N16" s="64">
        <v>31.3</v>
      </c>
      <c r="O16" s="64">
        <v>0</v>
      </c>
      <c r="P16" s="64">
        <v>0.57999999999999996</v>
      </c>
      <c r="Q16" s="64">
        <v>9.67</v>
      </c>
      <c r="R16" s="198"/>
      <c r="S16" s="198"/>
      <c r="T16" s="198"/>
      <c r="U16" s="198"/>
    </row>
    <row r="17" spans="1:21" s="12" customFormat="1" x14ac:dyDescent="0.25">
      <c r="A17" s="212" t="s">
        <v>2847</v>
      </c>
      <c r="B17" s="64">
        <v>13.4</v>
      </c>
      <c r="C17" s="64">
        <v>4.93</v>
      </c>
      <c r="D17" s="64">
        <v>13.33</v>
      </c>
      <c r="E17" s="64">
        <v>3.9</v>
      </c>
      <c r="F17" s="64">
        <v>3.27</v>
      </c>
      <c r="G17" s="64">
        <v>31.71</v>
      </c>
      <c r="H17" s="64">
        <v>8.2200000000000006</v>
      </c>
      <c r="I17" s="64">
        <v>1.79</v>
      </c>
      <c r="J17" s="64">
        <v>0.13</v>
      </c>
      <c r="K17" s="64">
        <v>338.84</v>
      </c>
      <c r="L17" s="64">
        <v>23.09</v>
      </c>
      <c r="M17" s="64">
        <v>98.2</v>
      </c>
      <c r="N17" s="64">
        <v>30.8</v>
      </c>
      <c r="O17" s="64">
        <v>0</v>
      </c>
      <c r="P17" s="64">
        <v>0.51</v>
      </c>
      <c r="Q17" s="64">
        <v>9.67</v>
      </c>
      <c r="R17" s="198"/>
      <c r="S17" s="198"/>
      <c r="T17" s="198"/>
      <c r="U17" s="198"/>
    </row>
    <row r="18" spans="1:21" s="12" customFormat="1" x14ac:dyDescent="0.25">
      <c r="A18" s="212" t="s">
        <v>2848</v>
      </c>
      <c r="B18" s="64">
        <v>11.83</v>
      </c>
      <c r="C18" s="64">
        <v>5.33</v>
      </c>
      <c r="D18" s="64">
        <v>12.27</v>
      </c>
      <c r="E18" s="64">
        <v>3.84</v>
      </c>
      <c r="F18" s="64">
        <v>4.74</v>
      </c>
      <c r="G18" s="64">
        <v>22.8</v>
      </c>
      <c r="H18" s="64">
        <v>6.81</v>
      </c>
      <c r="I18" s="64">
        <v>1.72</v>
      </c>
      <c r="J18" s="64">
        <v>0.08</v>
      </c>
      <c r="K18" s="64">
        <v>284.12</v>
      </c>
      <c r="L18" s="64">
        <v>23.04</v>
      </c>
      <c r="M18" s="64">
        <v>98.2</v>
      </c>
      <c r="N18" s="64">
        <v>30.8</v>
      </c>
      <c r="O18" s="64">
        <v>0</v>
      </c>
      <c r="P18" s="64">
        <v>0.43</v>
      </c>
      <c r="Q18" s="64">
        <v>9.67</v>
      </c>
      <c r="R18" s="198"/>
      <c r="S18" s="198"/>
      <c r="T18" s="198"/>
      <c r="U18" s="198"/>
    </row>
    <row r="19" spans="1:21" s="12" customFormat="1" x14ac:dyDescent="0.25">
      <c r="A19" s="212" t="s">
        <v>2849</v>
      </c>
      <c r="B19" s="64">
        <v>10.210000000000001</v>
      </c>
      <c r="C19" s="64">
        <v>4.8600000000000003</v>
      </c>
      <c r="D19" s="64">
        <v>10.73</v>
      </c>
      <c r="E19" s="64">
        <v>4.17</v>
      </c>
      <c r="F19" s="64">
        <v>7.48</v>
      </c>
      <c r="G19" s="64">
        <v>22.8</v>
      </c>
      <c r="H19" s="64">
        <v>6.81</v>
      </c>
      <c r="I19" s="64">
        <v>1.65</v>
      </c>
      <c r="J19" s="64">
        <v>0.12</v>
      </c>
      <c r="K19" s="64">
        <v>146.5</v>
      </c>
      <c r="L19" s="64">
        <v>23.01</v>
      </c>
      <c r="M19" s="64">
        <v>98.2</v>
      </c>
      <c r="N19" s="64">
        <v>31.1</v>
      </c>
      <c r="O19" s="64">
        <v>0</v>
      </c>
      <c r="P19" s="64">
        <v>0.37</v>
      </c>
      <c r="Q19" s="64">
        <v>9.66</v>
      </c>
      <c r="R19" s="198"/>
      <c r="S19" s="198"/>
      <c r="T19" s="198"/>
      <c r="U19" s="198"/>
    </row>
    <row r="20" spans="1:21" s="12" customFormat="1" x14ac:dyDescent="0.25">
      <c r="A20" s="212" t="s">
        <v>2850</v>
      </c>
      <c r="B20" s="64">
        <v>10.52</v>
      </c>
      <c r="C20" s="64">
        <v>5.68</v>
      </c>
      <c r="D20" s="64">
        <v>11.4</v>
      </c>
      <c r="E20" s="64">
        <v>4.04</v>
      </c>
      <c r="F20" s="64">
        <v>5.9</v>
      </c>
      <c r="G20" s="64">
        <v>22.8</v>
      </c>
      <c r="H20" s="64">
        <v>6.81</v>
      </c>
      <c r="I20" s="64">
        <v>1.59</v>
      </c>
      <c r="J20" s="64">
        <v>0.35</v>
      </c>
      <c r="K20" s="64">
        <v>169.92</v>
      </c>
      <c r="L20" s="64">
        <v>22.87</v>
      </c>
      <c r="M20" s="64">
        <v>98.2</v>
      </c>
      <c r="N20" s="64">
        <v>31.1</v>
      </c>
      <c r="O20" s="64">
        <v>0</v>
      </c>
      <c r="P20" s="64">
        <v>0.43</v>
      </c>
      <c r="Q20" s="64">
        <v>9.64</v>
      </c>
      <c r="R20" s="198"/>
      <c r="S20" s="198"/>
      <c r="T20" s="198"/>
      <c r="U20" s="198"/>
    </row>
    <row r="21" spans="1:21" s="12" customFormat="1" x14ac:dyDescent="0.25">
      <c r="A21" s="212" t="s">
        <v>2851</v>
      </c>
      <c r="B21" s="64">
        <v>11.86</v>
      </c>
      <c r="C21" s="64">
        <v>5.49</v>
      </c>
      <c r="D21" s="64">
        <v>12.37</v>
      </c>
      <c r="E21" s="64">
        <v>3.93</v>
      </c>
      <c r="F21" s="64">
        <v>3.78</v>
      </c>
      <c r="G21" s="64">
        <v>21.43</v>
      </c>
      <c r="H21" s="64">
        <v>6.73</v>
      </c>
      <c r="I21" s="64">
        <v>1.54</v>
      </c>
      <c r="J21" s="64">
        <v>0.05</v>
      </c>
      <c r="K21" s="64">
        <v>179.12</v>
      </c>
      <c r="L21" s="64">
        <v>22.11</v>
      </c>
      <c r="M21" s="64">
        <v>98.2</v>
      </c>
      <c r="N21" s="64">
        <v>31.5</v>
      </c>
      <c r="O21" s="64">
        <v>1.8</v>
      </c>
      <c r="P21" s="64">
        <v>0.46</v>
      </c>
      <c r="Q21" s="64">
        <v>9.65</v>
      </c>
      <c r="R21" s="198"/>
      <c r="S21" s="198"/>
      <c r="T21" s="198"/>
      <c r="U21" s="198"/>
    </row>
    <row r="22" spans="1:21" s="12" customFormat="1" x14ac:dyDescent="0.25">
      <c r="A22" s="212" t="s">
        <v>2852</v>
      </c>
      <c r="B22" s="64">
        <v>11.49</v>
      </c>
      <c r="C22" s="64">
        <v>5.9</v>
      </c>
      <c r="D22" s="64">
        <v>12.3</v>
      </c>
      <c r="E22" s="64">
        <v>4.12</v>
      </c>
      <c r="F22" s="64">
        <v>3.47</v>
      </c>
      <c r="G22" s="64">
        <v>19.71</v>
      </c>
      <c r="H22" s="64">
        <v>6.62</v>
      </c>
      <c r="I22" s="64">
        <v>1.5</v>
      </c>
      <c r="J22" s="64">
        <v>0.14000000000000001</v>
      </c>
      <c r="K22" s="64">
        <v>325.41000000000003</v>
      </c>
      <c r="L22" s="64">
        <v>22.05</v>
      </c>
      <c r="M22" s="64">
        <v>98.17</v>
      </c>
      <c r="N22" s="64">
        <v>30.9</v>
      </c>
      <c r="O22" s="64">
        <v>1.4</v>
      </c>
      <c r="P22" s="64">
        <v>0.43</v>
      </c>
      <c r="Q22" s="64">
        <v>9.65</v>
      </c>
      <c r="R22" s="198"/>
      <c r="S22" s="198"/>
      <c r="T22" s="198"/>
      <c r="U22" s="198"/>
    </row>
    <row r="23" spans="1:21" s="12" customFormat="1" x14ac:dyDescent="0.25">
      <c r="A23" s="212" t="s">
        <v>2853</v>
      </c>
      <c r="B23" s="64">
        <v>10.130000000000001</v>
      </c>
      <c r="C23" s="64">
        <v>6.03</v>
      </c>
      <c r="D23" s="64">
        <v>11.27</v>
      </c>
      <c r="E23" s="64">
        <v>3.96</v>
      </c>
      <c r="F23" s="64">
        <v>5.56</v>
      </c>
      <c r="G23" s="64">
        <v>19.71</v>
      </c>
      <c r="H23" s="64">
        <v>6.62</v>
      </c>
      <c r="I23" s="64">
        <v>1.45</v>
      </c>
      <c r="J23" s="64">
        <v>0.28000000000000003</v>
      </c>
      <c r="K23" s="64">
        <v>326.35000000000002</v>
      </c>
      <c r="L23" s="64">
        <v>22.13</v>
      </c>
      <c r="M23" s="64">
        <v>98.17</v>
      </c>
      <c r="N23" s="64">
        <v>30.9</v>
      </c>
      <c r="O23" s="64">
        <v>0</v>
      </c>
      <c r="P23" s="64">
        <v>0.39</v>
      </c>
      <c r="Q23" s="64">
        <v>9.64</v>
      </c>
      <c r="R23" s="198"/>
      <c r="S23" s="198"/>
      <c r="T23" s="198"/>
      <c r="U23" s="198"/>
    </row>
    <row r="24" spans="1:21" s="12" customFormat="1" x14ac:dyDescent="0.25">
      <c r="A24" s="212" t="s">
        <v>2854</v>
      </c>
      <c r="B24" s="64">
        <v>9.07</v>
      </c>
      <c r="C24" s="64">
        <v>5.82</v>
      </c>
      <c r="D24" s="64">
        <v>10.32</v>
      </c>
      <c r="E24" s="64">
        <v>3.95</v>
      </c>
      <c r="F24" s="64">
        <v>6.29</v>
      </c>
      <c r="G24" s="64">
        <v>19.71</v>
      </c>
      <c r="H24" s="64">
        <v>6.62</v>
      </c>
      <c r="I24" s="64">
        <v>1.38</v>
      </c>
      <c r="J24" s="64">
        <v>0.62</v>
      </c>
      <c r="K24" s="64">
        <v>329.63</v>
      </c>
      <c r="L24" s="64">
        <v>22.26</v>
      </c>
      <c r="M24" s="64">
        <v>98.17</v>
      </c>
      <c r="N24" s="64">
        <v>30.7</v>
      </c>
      <c r="O24" s="64">
        <v>0</v>
      </c>
      <c r="P24" s="64">
        <v>0.33</v>
      </c>
      <c r="Q24" s="64">
        <v>9.6300000000000008</v>
      </c>
      <c r="R24" s="198"/>
      <c r="S24" s="198"/>
      <c r="T24" s="198"/>
      <c r="U24" s="198"/>
    </row>
    <row r="25" spans="1:21" s="12" customFormat="1" x14ac:dyDescent="0.25">
      <c r="A25" s="212" t="s">
        <v>2855</v>
      </c>
      <c r="B25" s="64">
        <v>7.94</v>
      </c>
      <c r="C25" s="64">
        <v>6.07</v>
      </c>
      <c r="D25" s="64">
        <v>9.5299999999999994</v>
      </c>
      <c r="E25" s="64">
        <v>3.9</v>
      </c>
      <c r="F25" s="64">
        <v>6.9</v>
      </c>
      <c r="G25" s="64">
        <v>17.149999999999999</v>
      </c>
      <c r="H25" s="64">
        <v>5.8</v>
      </c>
      <c r="I25" s="64">
        <v>1.34</v>
      </c>
      <c r="J25" s="64">
        <v>0.06</v>
      </c>
      <c r="K25" s="64">
        <v>317.83999999999997</v>
      </c>
      <c r="L25" s="64">
        <v>22.26</v>
      </c>
      <c r="M25" s="64">
        <v>98.18</v>
      </c>
      <c r="N25" s="64">
        <v>30.7</v>
      </c>
      <c r="O25" s="64">
        <v>0</v>
      </c>
      <c r="P25" s="64">
        <v>0.28000000000000003</v>
      </c>
      <c r="Q25" s="64">
        <v>9.6300000000000008</v>
      </c>
      <c r="R25" s="198"/>
      <c r="S25" s="198"/>
      <c r="T25" s="198"/>
      <c r="U25" s="198"/>
    </row>
    <row r="26" spans="1:21" s="12" customFormat="1" x14ac:dyDescent="0.25">
      <c r="A26" s="212" t="s">
        <v>2856</v>
      </c>
      <c r="B26" s="64">
        <v>9.19</v>
      </c>
      <c r="C26" s="64">
        <v>5.88</v>
      </c>
      <c r="D26" s="64">
        <v>10.44</v>
      </c>
      <c r="E26" s="64">
        <v>4.04</v>
      </c>
      <c r="F26" s="64">
        <v>4.8099999999999996</v>
      </c>
      <c r="G26" s="64">
        <v>13.95</v>
      </c>
      <c r="H26" s="64">
        <v>4.7699999999999996</v>
      </c>
      <c r="I26" s="64">
        <v>1.31</v>
      </c>
      <c r="J26" s="64">
        <v>0.26</v>
      </c>
      <c r="K26" s="64">
        <v>152.97999999999999</v>
      </c>
      <c r="L26" s="64">
        <v>22.23</v>
      </c>
      <c r="M26" s="64">
        <v>98.17</v>
      </c>
      <c r="N26" s="64">
        <v>31</v>
      </c>
      <c r="O26" s="64">
        <v>0</v>
      </c>
      <c r="P26" s="64">
        <v>0.38</v>
      </c>
      <c r="Q26" s="64">
        <v>9.6199999999999992</v>
      </c>
      <c r="R26" s="198"/>
      <c r="S26" s="198"/>
      <c r="T26" s="198"/>
      <c r="U26" s="198"/>
    </row>
    <row r="27" spans="1:21" s="12" customFormat="1" x14ac:dyDescent="0.25">
      <c r="A27" s="212" t="s">
        <v>2857</v>
      </c>
      <c r="B27" s="64">
        <v>8.6</v>
      </c>
      <c r="C27" s="64">
        <v>5.97</v>
      </c>
      <c r="D27" s="64">
        <v>10.01</v>
      </c>
      <c r="E27" s="64">
        <v>4.3099999999999996</v>
      </c>
      <c r="F27" s="64">
        <v>6.67</v>
      </c>
      <c r="G27" s="64">
        <v>13.95</v>
      </c>
      <c r="H27" s="64">
        <v>4.7699999999999996</v>
      </c>
      <c r="I27" s="64">
        <v>1.29</v>
      </c>
      <c r="J27" s="64">
        <v>0.17</v>
      </c>
      <c r="K27" s="64">
        <v>153.52000000000001</v>
      </c>
      <c r="L27" s="64">
        <v>22.19</v>
      </c>
      <c r="M27" s="64">
        <v>98.18</v>
      </c>
      <c r="N27" s="64">
        <v>31</v>
      </c>
      <c r="O27" s="64">
        <v>0</v>
      </c>
      <c r="P27" s="64">
        <v>0.24</v>
      </c>
      <c r="Q27" s="64">
        <v>9.6199999999999992</v>
      </c>
      <c r="R27" s="198"/>
      <c r="S27" s="198"/>
      <c r="T27" s="198"/>
      <c r="U27" s="198"/>
    </row>
    <row r="28" spans="1:21" s="12" customFormat="1" x14ac:dyDescent="0.25">
      <c r="A28" s="212" t="s">
        <v>2858</v>
      </c>
      <c r="B28" s="64">
        <v>8.9700000000000006</v>
      </c>
      <c r="C28" s="64">
        <v>6.02</v>
      </c>
      <c r="D28" s="64">
        <v>10.34</v>
      </c>
      <c r="E28" s="64">
        <v>3.98</v>
      </c>
      <c r="F28" s="64">
        <v>4.38</v>
      </c>
      <c r="G28" s="64">
        <v>13.95</v>
      </c>
      <c r="H28" s="64">
        <v>4.7699999999999996</v>
      </c>
      <c r="I28" s="64">
        <v>1.33</v>
      </c>
      <c r="J28" s="64">
        <v>7.0000000000000007E-2</v>
      </c>
      <c r="K28" s="64">
        <v>124.54</v>
      </c>
      <c r="L28" s="64">
        <v>22.31</v>
      </c>
      <c r="M28" s="64">
        <v>98.18</v>
      </c>
      <c r="N28" s="64">
        <v>30.9</v>
      </c>
      <c r="O28" s="64">
        <v>0</v>
      </c>
      <c r="P28" s="64">
        <v>0.34</v>
      </c>
      <c r="Q28" s="64">
        <v>9.64</v>
      </c>
      <c r="R28" s="198"/>
      <c r="S28" s="198"/>
      <c r="T28" s="198"/>
      <c r="U28" s="198"/>
    </row>
    <row r="29" spans="1:21" s="12" customFormat="1" x14ac:dyDescent="0.25">
      <c r="A29" s="212" t="s">
        <v>2859</v>
      </c>
      <c r="B29" s="64">
        <v>7.88</v>
      </c>
      <c r="C29" s="64">
        <v>6.45</v>
      </c>
      <c r="D29" s="64">
        <v>9.69</v>
      </c>
      <c r="E29" s="64">
        <v>3.94</v>
      </c>
      <c r="F29" s="64">
        <v>7.52</v>
      </c>
      <c r="G29" s="64">
        <v>11.68</v>
      </c>
      <c r="H29" s="64">
        <v>4.95</v>
      </c>
      <c r="I29" s="64">
        <v>1.28</v>
      </c>
      <c r="J29" s="64">
        <v>0.27</v>
      </c>
      <c r="K29" s="64">
        <v>129.22999999999999</v>
      </c>
      <c r="L29" s="64">
        <v>22.26</v>
      </c>
      <c r="M29" s="64">
        <v>98.17</v>
      </c>
      <c r="N29" s="64">
        <v>31</v>
      </c>
      <c r="O29" s="64">
        <v>0</v>
      </c>
      <c r="P29" s="64">
        <v>0.21</v>
      </c>
      <c r="Q29" s="64">
        <v>9.64</v>
      </c>
      <c r="R29" s="198"/>
      <c r="S29" s="198"/>
      <c r="T29" s="198"/>
      <c r="U29" s="198"/>
    </row>
    <row r="30" spans="1:21" s="12" customFormat="1" x14ac:dyDescent="0.25">
      <c r="A30" s="212" t="s">
        <v>2860</v>
      </c>
      <c r="B30" s="64">
        <v>8.15</v>
      </c>
      <c r="C30" s="64">
        <v>6.62</v>
      </c>
      <c r="D30" s="64">
        <v>10</v>
      </c>
      <c r="E30" s="64">
        <v>3.89</v>
      </c>
      <c r="F30" s="64">
        <v>4.32</v>
      </c>
      <c r="G30" s="64">
        <v>8.84</v>
      </c>
      <c r="H30" s="64">
        <v>5.18</v>
      </c>
      <c r="I30" s="64">
        <v>1.27</v>
      </c>
      <c r="J30" s="64">
        <v>0.05</v>
      </c>
      <c r="K30" s="64">
        <v>301.47000000000003</v>
      </c>
      <c r="L30" s="64">
        <v>22.3</v>
      </c>
      <c r="M30" s="64">
        <v>98.18</v>
      </c>
      <c r="N30" s="64">
        <v>31.2</v>
      </c>
      <c r="O30" s="64">
        <v>0</v>
      </c>
      <c r="P30" s="64">
        <v>0.32</v>
      </c>
      <c r="Q30" s="64">
        <v>9.65</v>
      </c>
      <c r="R30" s="198"/>
      <c r="S30" s="198"/>
      <c r="T30" s="198"/>
      <c r="U30" s="198"/>
    </row>
    <row r="31" spans="1:21" s="12" customFormat="1" x14ac:dyDescent="0.25">
      <c r="A31" s="212" t="s">
        <v>2861</v>
      </c>
      <c r="B31" s="64">
        <v>8.5500000000000007</v>
      </c>
      <c r="C31" s="64">
        <v>6.4</v>
      </c>
      <c r="D31" s="64">
        <v>10.199999999999999</v>
      </c>
      <c r="E31" s="64">
        <v>4.04</v>
      </c>
      <c r="F31" s="64">
        <v>4.95</v>
      </c>
      <c r="G31" s="64">
        <v>8.84</v>
      </c>
      <c r="H31" s="64">
        <v>5.18</v>
      </c>
      <c r="I31" s="64">
        <v>1.23</v>
      </c>
      <c r="J31" s="64">
        <v>0.04</v>
      </c>
      <c r="K31" s="64">
        <v>221.71</v>
      </c>
      <c r="L31" s="64">
        <v>22.27</v>
      </c>
      <c r="M31" s="64">
        <v>98.17</v>
      </c>
      <c r="N31" s="64">
        <v>34.299999999999997</v>
      </c>
      <c r="O31" s="64">
        <v>0</v>
      </c>
      <c r="P31" s="64">
        <v>0.26</v>
      </c>
      <c r="Q31" s="64">
        <v>9.6300000000000008</v>
      </c>
      <c r="R31" s="198"/>
      <c r="S31" s="198"/>
      <c r="T31" s="198"/>
      <c r="U31" s="198"/>
    </row>
    <row r="32" spans="1:21" s="12" customFormat="1" x14ac:dyDescent="0.25">
      <c r="A32" s="212" t="s">
        <v>2862</v>
      </c>
      <c r="B32" s="64">
        <v>8.0299999999999994</v>
      </c>
      <c r="C32" s="64">
        <v>6.91</v>
      </c>
      <c r="D32" s="64">
        <v>10.050000000000001</v>
      </c>
      <c r="E32" s="64">
        <v>3.9</v>
      </c>
      <c r="F32" s="64">
        <v>5.2</v>
      </c>
      <c r="G32" s="64">
        <v>8.84</v>
      </c>
      <c r="H32" s="64">
        <v>5.18</v>
      </c>
      <c r="I32" s="64">
        <v>1.1499999999999999</v>
      </c>
      <c r="J32" s="64">
        <v>0.09</v>
      </c>
      <c r="K32" s="64">
        <v>348.89</v>
      </c>
      <c r="L32" s="64">
        <v>22.32</v>
      </c>
      <c r="M32" s="64">
        <v>98.17</v>
      </c>
      <c r="N32" s="64">
        <v>40.700000000000003</v>
      </c>
      <c r="O32" s="64">
        <v>0</v>
      </c>
      <c r="P32" s="64">
        <v>0.28999999999999998</v>
      </c>
      <c r="Q32" s="64">
        <v>9.6300000000000008</v>
      </c>
      <c r="R32" s="198"/>
      <c r="S32" s="198"/>
      <c r="T32" s="198"/>
      <c r="U32" s="198"/>
    </row>
    <row r="33" spans="1:21" s="12" customFormat="1" x14ac:dyDescent="0.25">
      <c r="A33" s="212" t="s">
        <v>2863</v>
      </c>
      <c r="B33" s="64">
        <v>12.19</v>
      </c>
      <c r="C33" s="64">
        <v>9.39</v>
      </c>
      <c r="D33" s="64">
        <v>14.68</v>
      </c>
      <c r="E33" s="64">
        <v>3.96</v>
      </c>
      <c r="F33" s="64">
        <v>4.58</v>
      </c>
      <c r="G33" s="64">
        <v>8.49</v>
      </c>
      <c r="H33" s="64">
        <v>8.41</v>
      </c>
      <c r="I33" s="64">
        <v>1.1399999999999999</v>
      </c>
      <c r="J33" s="64">
        <v>0.05</v>
      </c>
      <c r="K33" s="64">
        <v>272.76</v>
      </c>
      <c r="L33" s="64">
        <v>22.39</v>
      </c>
      <c r="M33" s="64">
        <v>98.17</v>
      </c>
      <c r="N33" s="64">
        <v>44.8</v>
      </c>
      <c r="O33" s="64">
        <v>0</v>
      </c>
      <c r="P33" s="64">
        <v>0.3</v>
      </c>
      <c r="Q33" s="64">
        <v>9.6199999999999992</v>
      </c>
      <c r="R33" s="198"/>
      <c r="S33" s="198"/>
      <c r="T33" s="198"/>
      <c r="U33" s="198"/>
    </row>
    <row r="34" spans="1:21" s="12" customFormat="1" x14ac:dyDescent="0.25">
      <c r="A34" s="212" t="s">
        <v>2864</v>
      </c>
      <c r="B34" s="64">
        <v>9.4</v>
      </c>
      <c r="C34" s="64">
        <v>8.01</v>
      </c>
      <c r="D34" s="64">
        <v>11.73</v>
      </c>
      <c r="E34" s="64">
        <v>3.74</v>
      </c>
      <c r="F34" s="64">
        <v>3.93</v>
      </c>
      <c r="G34" s="64">
        <v>8.06</v>
      </c>
      <c r="H34" s="64">
        <v>12.45</v>
      </c>
      <c r="I34" s="64">
        <v>1.1299999999999999</v>
      </c>
      <c r="J34" s="64">
        <v>0.01</v>
      </c>
      <c r="K34" s="64">
        <v>286.04000000000002</v>
      </c>
      <c r="L34" s="64">
        <v>22.51</v>
      </c>
      <c r="M34" s="64">
        <v>98.17</v>
      </c>
      <c r="N34" s="64">
        <v>53.6</v>
      </c>
      <c r="O34" s="64">
        <v>0</v>
      </c>
      <c r="P34" s="64">
        <v>0.3</v>
      </c>
      <c r="Q34" s="64">
        <v>9.6199999999999992</v>
      </c>
      <c r="R34" s="198"/>
      <c r="S34" s="198"/>
      <c r="T34" s="198"/>
      <c r="U34" s="198"/>
    </row>
    <row r="35" spans="1:21" s="12" customFormat="1" x14ac:dyDescent="0.25">
      <c r="A35" s="212" t="s">
        <v>2865</v>
      </c>
      <c r="B35" s="64">
        <v>9.4499999999999993</v>
      </c>
      <c r="C35" s="64">
        <v>7.13</v>
      </c>
      <c r="D35" s="64">
        <v>11.3</v>
      </c>
      <c r="E35" s="64">
        <v>3.79</v>
      </c>
      <c r="F35" s="64">
        <v>5.03</v>
      </c>
      <c r="G35" s="64">
        <v>8.06</v>
      </c>
      <c r="H35" s="64">
        <v>12.45</v>
      </c>
      <c r="I35" s="64">
        <v>1.19</v>
      </c>
      <c r="J35" s="64">
        <v>0.19</v>
      </c>
      <c r="K35" s="64">
        <v>135.94</v>
      </c>
      <c r="L35" s="64">
        <v>22.68</v>
      </c>
      <c r="M35" s="64">
        <v>98.18</v>
      </c>
      <c r="N35" s="64">
        <v>61</v>
      </c>
      <c r="O35" s="64">
        <v>0</v>
      </c>
      <c r="P35" s="64">
        <v>0.28999999999999998</v>
      </c>
      <c r="Q35" s="64">
        <v>9.6199999999999992</v>
      </c>
      <c r="R35" s="198"/>
      <c r="S35" s="198"/>
      <c r="T35" s="198"/>
      <c r="U35" s="198"/>
    </row>
    <row r="36" spans="1:21" s="12" customFormat="1" x14ac:dyDescent="0.25">
      <c r="A36" s="212" t="s">
        <v>2866</v>
      </c>
      <c r="B36" s="64">
        <v>8.7200000000000006</v>
      </c>
      <c r="C36" s="64">
        <v>9.2100000000000009</v>
      </c>
      <c r="D36" s="64">
        <v>11.81</v>
      </c>
      <c r="E36" s="64">
        <v>3.95</v>
      </c>
      <c r="F36" s="64">
        <v>7.91</v>
      </c>
      <c r="G36" s="64">
        <v>8.06</v>
      </c>
      <c r="H36" s="64">
        <v>12.45</v>
      </c>
      <c r="I36" s="64">
        <v>1.17</v>
      </c>
      <c r="J36" s="64">
        <v>0.19</v>
      </c>
      <c r="K36" s="64">
        <v>146.72999999999999</v>
      </c>
      <c r="L36" s="64">
        <v>22.76</v>
      </c>
      <c r="M36" s="64">
        <v>98.17</v>
      </c>
      <c r="N36" s="64">
        <v>67.8</v>
      </c>
      <c r="O36" s="64">
        <v>0</v>
      </c>
      <c r="P36" s="64">
        <v>0.26</v>
      </c>
      <c r="Q36" s="64">
        <v>9.6300000000000008</v>
      </c>
      <c r="R36" s="198"/>
      <c r="S36" s="198"/>
      <c r="T36" s="198"/>
      <c r="U36" s="198"/>
    </row>
    <row r="37" spans="1:21" s="12" customFormat="1" x14ac:dyDescent="0.25">
      <c r="A37" s="212" t="s">
        <v>2867</v>
      </c>
      <c r="B37" s="64">
        <v>9.8000000000000007</v>
      </c>
      <c r="C37" s="64">
        <v>9.0299999999999994</v>
      </c>
      <c r="D37" s="64">
        <v>12.57</v>
      </c>
      <c r="E37" s="64">
        <v>3.61</v>
      </c>
      <c r="F37" s="64">
        <v>7.05</v>
      </c>
      <c r="G37" s="64">
        <v>8.11</v>
      </c>
      <c r="H37" s="64">
        <v>12.16</v>
      </c>
      <c r="I37" s="64">
        <v>1.1000000000000001</v>
      </c>
      <c r="J37" s="64">
        <v>0.35</v>
      </c>
      <c r="K37" s="64">
        <v>136.34</v>
      </c>
      <c r="L37" s="64">
        <v>22.78</v>
      </c>
      <c r="M37" s="64">
        <v>98.17</v>
      </c>
      <c r="N37" s="64">
        <v>69</v>
      </c>
      <c r="O37" s="64">
        <v>0</v>
      </c>
      <c r="P37" s="64">
        <v>0.33</v>
      </c>
      <c r="Q37" s="64">
        <v>9.6300000000000008</v>
      </c>
      <c r="R37" s="198"/>
      <c r="S37" s="198"/>
      <c r="T37" s="198"/>
      <c r="U37" s="198"/>
    </row>
    <row r="38" spans="1:21" s="12" customFormat="1" x14ac:dyDescent="0.25">
      <c r="A38" s="212" t="s">
        <v>2868</v>
      </c>
      <c r="B38" s="64">
        <v>8.44</v>
      </c>
      <c r="C38" s="64">
        <v>8.56</v>
      </c>
      <c r="D38" s="64">
        <v>11.24</v>
      </c>
      <c r="E38" s="64">
        <v>3.83</v>
      </c>
      <c r="F38" s="64">
        <v>7.54</v>
      </c>
      <c r="G38" s="64">
        <v>8.18</v>
      </c>
      <c r="H38" s="64">
        <v>11.8</v>
      </c>
      <c r="I38" s="64">
        <v>1.1499999999999999</v>
      </c>
      <c r="J38" s="64">
        <v>0.26</v>
      </c>
      <c r="K38" s="64">
        <v>130.12</v>
      </c>
      <c r="L38" s="64">
        <v>22.83</v>
      </c>
      <c r="M38" s="64">
        <v>98.16</v>
      </c>
      <c r="N38" s="64">
        <v>86.6</v>
      </c>
      <c r="O38" s="64">
        <v>0</v>
      </c>
      <c r="P38" s="64">
        <v>0.33</v>
      </c>
      <c r="Q38" s="64">
        <v>9.64</v>
      </c>
      <c r="R38" s="198"/>
      <c r="S38" s="198"/>
      <c r="T38" s="198"/>
      <c r="U38" s="198"/>
    </row>
    <row r="39" spans="1:21" s="12" customFormat="1" x14ac:dyDescent="0.25">
      <c r="A39" s="212" t="s">
        <v>2869</v>
      </c>
      <c r="B39" s="64">
        <v>10.44</v>
      </c>
      <c r="C39" s="64">
        <v>8.8699999999999992</v>
      </c>
      <c r="D39" s="64">
        <v>13.01</v>
      </c>
      <c r="E39" s="64">
        <v>4.09</v>
      </c>
      <c r="F39" s="64">
        <v>5.63</v>
      </c>
      <c r="G39" s="64">
        <v>8.18</v>
      </c>
      <c r="H39" s="64">
        <v>11.8</v>
      </c>
      <c r="I39" s="64">
        <v>1.1399999999999999</v>
      </c>
      <c r="J39" s="64">
        <v>0.72</v>
      </c>
      <c r="K39" s="64">
        <v>140.72</v>
      </c>
      <c r="L39" s="64">
        <v>22.89</v>
      </c>
      <c r="M39" s="64">
        <v>98.17</v>
      </c>
      <c r="N39" s="64">
        <v>93.9</v>
      </c>
      <c r="O39" s="64">
        <v>0</v>
      </c>
      <c r="P39" s="64">
        <v>0.34</v>
      </c>
      <c r="Q39" s="64">
        <v>9.6300000000000008</v>
      </c>
      <c r="R39" s="198"/>
      <c r="S39" s="198"/>
      <c r="T39" s="198"/>
      <c r="U39" s="198"/>
    </row>
    <row r="40" spans="1:21" s="12" customFormat="1" x14ac:dyDescent="0.25">
      <c r="A40" s="212" t="s">
        <v>2870</v>
      </c>
      <c r="B40" s="64">
        <v>11.72</v>
      </c>
      <c r="C40" s="64">
        <v>8.26</v>
      </c>
      <c r="D40" s="64">
        <v>13.71</v>
      </c>
      <c r="E40" s="64">
        <v>4.09</v>
      </c>
      <c r="F40" s="64">
        <v>7.26</v>
      </c>
      <c r="G40" s="64">
        <v>8.18</v>
      </c>
      <c r="H40" s="64">
        <v>11.8</v>
      </c>
      <c r="I40" s="64">
        <v>1.0900000000000001</v>
      </c>
      <c r="J40" s="64">
        <v>0.4</v>
      </c>
      <c r="K40" s="64">
        <v>143.04</v>
      </c>
      <c r="L40" s="64">
        <v>22.98</v>
      </c>
      <c r="M40" s="64">
        <v>98.17</v>
      </c>
      <c r="N40" s="64">
        <v>109.1</v>
      </c>
      <c r="O40" s="64">
        <v>0</v>
      </c>
      <c r="P40" s="64">
        <v>0.36</v>
      </c>
      <c r="Q40" s="64">
        <v>9.6300000000000008</v>
      </c>
      <c r="R40" s="198"/>
      <c r="S40" s="198"/>
      <c r="T40" s="198"/>
      <c r="U40" s="198"/>
    </row>
    <row r="41" spans="1:21" s="12" customFormat="1" x14ac:dyDescent="0.25">
      <c r="A41" s="212" t="s">
        <v>2871</v>
      </c>
      <c r="B41" s="64">
        <v>9.3000000000000007</v>
      </c>
      <c r="C41" s="64">
        <v>8.15</v>
      </c>
      <c r="D41" s="64">
        <v>11.71</v>
      </c>
      <c r="E41" s="64">
        <v>4.43</v>
      </c>
      <c r="F41" s="64">
        <v>7.31</v>
      </c>
      <c r="G41" s="64">
        <v>8.5299999999999994</v>
      </c>
      <c r="H41" s="64">
        <v>10.24</v>
      </c>
      <c r="I41" s="64">
        <v>1.0900000000000001</v>
      </c>
      <c r="J41" s="64">
        <v>0.49</v>
      </c>
      <c r="K41" s="64">
        <v>143.24</v>
      </c>
      <c r="L41" s="64">
        <v>23.16</v>
      </c>
      <c r="M41" s="64">
        <v>98.17</v>
      </c>
      <c r="N41" s="64">
        <v>156.4</v>
      </c>
      <c r="O41" s="64">
        <v>0</v>
      </c>
      <c r="P41" s="64">
        <v>0.36</v>
      </c>
      <c r="Q41" s="64">
        <v>9.6300000000000008</v>
      </c>
      <c r="R41" s="198"/>
      <c r="S41" s="198"/>
      <c r="T41" s="198"/>
      <c r="U41" s="198"/>
    </row>
    <row r="42" spans="1:21" s="12" customFormat="1" x14ac:dyDescent="0.25">
      <c r="A42" s="212" t="s">
        <v>2872</v>
      </c>
      <c r="B42" s="64">
        <v>8.0500000000000007</v>
      </c>
      <c r="C42" s="64">
        <v>7.46</v>
      </c>
      <c r="D42" s="64">
        <v>10.36</v>
      </c>
      <c r="E42" s="64">
        <v>4.32</v>
      </c>
      <c r="F42" s="64">
        <v>7.98</v>
      </c>
      <c r="G42" s="64">
        <v>8.9600000000000009</v>
      </c>
      <c r="H42" s="64">
        <v>8.3000000000000007</v>
      </c>
      <c r="I42" s="64">
        <v>1.0900000000000001</v>
      </c>
      <c r="J42" s="64">
        <v>0.32</v>
      </c>
      <c r="K42" s="64">
        <v>165.92</v>
      </c>
      <c r="L42" s="64">
        <v>23.26</v>
      </c>
      <c r="M42" s="64">
        <v>98.17</v>
      </c>
      <c r="N42" s="64">
        <v>128.4</v>
      </c>
      <c r="O42" s="64">
        <v>0</v>
      </c>
      <c r="P42" s="64">
        <v>0.31</v>
      </c>
      <c r="Q42" s="64">
        <v>9.6199999999999992</v>
      </c>
      <c r="R42" s="198"/>
      <c r="S42" s="198"/>
      <c r="T42" s="198"/>
      <c r="U42" s="198"/>
    </row>
    <row r="43" spans="1:21" s="12" customFormat="1" x14ac:dyDescent="0.25">
      <c r="A43" s="212" t="s">
        <v>2873</v>
      </c>
      <c r="B43" s="64">
        <v>9.2100000000000009</v>
      </c>
      <c r="C43" s="64">
        <v>6.61</v>
      </c>
      <c r="D43" s="64">
        <v>10.84</v>
      </c>
      <c r="E43" s="64">
        <v>3.96</v>
      </c>
      <c r="F43" s="64">
        <v>6.56</v>
      </c>
      <c r="G43" s="64">
        <v>8.9600000000000009</v>
      </c>
      <c r="H43" s="64">
        <v>8.3000000000000007</v>
      </c>
      <c r="I43" s="64">
        <v>1.0900000000000001</v>
      </c>
      <c r="J43" s="64">
        <v>0.34</v>
      </c>
      <c r="K43" s="64">
        <v>140.15</v>
      </c>
      <c r="L43" s="64">
        <v>23.33</v>
      </c>
      <c r="M43" s="64">
        <v>98.18</v>
      </c>
      <c r="N43" s="64">
        <v>151.80000000000001</v>
      </c>
      <c r="O43" s="64">
        <v>0</v>
      </c>
      <c r="P43" s="64">
        <v>0.36</v>
      </c>
      <c r="Q43" s="64">
        <v>9.6300000000000008</v>
      </c>
      <c r="R43" s="198"/>
      <c r="S43" s="198"/>
      <c r="T43" s="198"/>
      <c r="U43" s="198"/>
    </row>
    <row r="44" spans="1:21" s="12" customFormat="1" x14ac:dyDescent="0.25">
      <c r="A44" s="212" t="s">
        <v>2874</v>
      </c>
      <c r="B44" s="64">
        <v>9.4499999999999993</v>
      </c>
      <c r="C44" s="64">
        <v>6.62</v>
      </c>
      <c r="D44" s="64">
        <v>11.03</v>
      </c>
      <c r="E44" s="64">
        <v>4.41</v>
      </c>
      <c r="F44" s="64">
        <v>7.17</v>
      </c>
      <c r="G44" s="64">
        <v>8.9600000000000009</v>
      </c>
      <c r="H44" s="64">
        <v>8.3000000000000007</v>
      </c>
      <c r="I44" s="64">
        <v>1.0900000000000001</v>
      </c>
      <c r="J44" s="64">
        <v>0.56000000000000005</v>
      </c>
      <c r="K44" s="64">
        <v>141.51</v>
      </c>
      <c r="L44" s="64">
        <v>23.65</v>
      </c>
      <c r="M44" s="64">
        <v>98.19</v>
      </c>
      <c r="N44" s="64">
        <v>165.8</v>
      </c>
      <c r="O44" s="64">
        <v>0</v>
      </c>
      <c r="P44" s="64">
        <v>0.37</v>
      </c>
      <c r="Q44" s="64">
        <v>9.6199999999999992</v>
      </c>
      <c r="R44" s="198"/>
      <c r="S44" s="198"/>
      <c r="T44" s="198"/>
      <c r="U44" s="198"/>
    </row>
    <row r="45" spans="1:21" s="12" customFormat="1" x14ac:dyDescent="0.25">
      <c r="A45" s="212" t="s">
        <v>2875</v>
      </c>
      <c r="B45" s="64">
        <v>10.09</v>
      </c>
      <c r="C45" s="64">
        <v>7.52</v>
      </c>
      <c r="D45" s="64">
        <v>12.02</v>
      </c>
      <c r="E45" s="64">
        <v>3.85</v>
      </c>
      <c r="F45" s="64">
        <v>5.35</v>
      </c>
      <c r="G45" s="64">
        <v>8.5500000000000007</v>
      </c>
      <c r="H45" s="64">
        <v>7.72</v>
      </c>
      <c r="I45" s="64">
        <v>1.06</v>
      </c>
      <c r="J45" s="64">
        <v>0.67</v>
      </c>
      <c r="K45" s="64">
        <v>138.41999999999999</v>
      </c>
      <c r="L45" s="64">
        <v>24.28</v>
      </c>
      <c r="M45" s="64">
        <v>98.17</v>
      </c>
      <c r="N45" s="64">
        <v>380.6</v>
      </c>
      <c r="O45" s="64">
        <v>0</v>
      </c>
      <c r="P45" s="64">
        <v>0.35</v>
      </c>
      <c r="Q45" s="64">
        <v>9.64</v>
      </c>
      <c r="R45" s="198"/>
      <c r="S45" s="198"/>
      <c r="T45" s="198"/>
      <c r="U45" s="198"/>
    </row>
    <row r="46" spans="1:21" s="12" customFormat="1" x14ac:dyDescent="0.25">
      <c r="A46" s="212" t="s">
        <v>2876</v>
      </c>
      <c r="B46" s="64">
        <v>10.07</v>
      </c>
      <c r="C46" s="64">
        <v>6.41</v>
      </c>
      <c r="D46" s="64">
        <v>11.42</v>
      </c>
      <c r="E46" s="64">
        <v>4.2699999999999996</v>
      </c>
      <c r="F46" s="64">
        <v>6.16</v>
      </c>
      <c r="G46" s="64">
        <v>8.0399999999999991</v>
      </c>
      <c r="H46" s="64">
        <v>7</v>
      </c>
      <c r="I46" s="64">
        <v>1.03</v>
      </c>
      <c r="J46" s="64">
        <v>0.71</v>
      </c>
      <c r="K46" s="64">
        <v>132.62</v>
      </c>
      <c r="L46" s="64">
        <v>24.98</v>
      </c>
      <c r="M46" s="64">
        <v>98.15</v>
      </c>
      <c r="N46" s="64">
        <v>264</v>
      </c>
      <c r="O46" s="64">
        <v>0</v>
      </c>
      <c r="P46" s="64">
        <v>0.35</v>
      </c>
      <c r="Q46" s="64">
        <v>9.64</v>
      </c>
      <c r="R46" s="198"/>
      <c r="S46" s="198"/>
      <c r="T46" s="198"/>
      <c r="U46" s="198"/>
    </row>
    <row r="47" spans="1:21" s="12" customFormat="1" x14ac:dyDescent="0.25">
      <c r="A47" s="212" t="s">
        <v>2877</v>
      </c>
      <c r="B47" s="64">
        <v>9.16</v>
      </c>
      <c r="C47" s="64">
        <v>6.85</v>
      </c>
      <c r="D47" s="64">
        <v>10.92</v>
      </c>
      <c r="E47" s="64">
        <v>4.09</v>
      </c>
      <c r="F47" s="64">
        <v>6.59</v>
      </c>
      <c r="G47" s="64">
        <v>8.0399999999999991</v>
      </c>
      <c r="H47" s="64">
        <v>7</v>
      </c>
      <c r="I47" s="64">
        <v>1.02</v>
      </c>
      <c r="J47" s="64">
        <v>0.72</v>
      </c>
      <c r="K47" s="64">
        <v>140.57</v>
      </c>
      <c r="L47" s="64">
        <v>25.29</v>
      </c>
      <c r="M47" s="64">
        <v>98.1</v>
      </c>
      <c r="N47" s="64">
        <v>352.2</v>
      </c>
      <c r="O47" s="64">
        <v>0</v>
      </c>
      <c r="P47" s="64">
        <v>0.32</v>
      </c>
      <c r="Q47" s="64">
        <v>9.64</v>
      </c>
      <c r="R47" s="198"/>
      <c r="S47" s="198"/>
      <c r="T47" s="198"/>
      <c r="U47" s="198"/>
    </row>
    <row r="48" spans="1:21" s="12" customFormat="1" x14ac:dyDescent="0.25">
      <c r="A48" s="212" t="s">
        <v>2878</v>
      </c>
      <c r="B48" s="64">
        <v>10.210000000000001</v>
      </c>
      <c r="C48" s="64">
        <v>6.33</v>
      </c>
      <c r="D48" s="64">
        <v>11.5</v>
      </c>
      <c r="E48" s="64">
        <v>3.61</v>
      </c>
      <c r="F48" s="64">
        <v>9.0299999999999994</v>
      </c>
      <c r="G48" s="64">
        <v>8.0399999999999991</v>
      </c>
      <c r="H48" s="64">
        <v>7</v>
      </c>
      <c r="I48" s="64">
        <v>1.01</v>
      </c>
      <c r="J48" s="64">
        <v>0.61</v>
      </c>
      <c r="K48" s="64">
        <v>134.62</v>
      </c>
      <c r="L48" s="64">
        <v>25.99</v>
      </c>
      <c r="M48" s="64">
        <v>98.04</v>
      </c>
      <c r="N48" s="64">
        <v>536.9</v>
      </c>
      <c r="O48" s="64">
        <v>0</v>
      </c>
      <c r="P48" s="64">
        <v>0.35</v>
      </c>
      <c r="Q48" s="64">
        <v>9.6199999999999992</v>
      </c>
      <c r="R48" s="198"/>
      <c r="S48" s="198"/>
      <c r="T48" s="198"/>
      <c r="U48" s="198"/>
    </row>
    <row r="49" spans="1:21" s="12" customFormat="1" x14ac:dyDescent="0.25">
      <c r="A49" s="212" t="s">
        <v>2879</v>
      </c>
      <c r="B49" s="64">
        <v>7.85</v>
      </c>
      <c r="C49" s="64">
        <v>7.15</v>
      </c>
      <c r="D49" s="64">
        <v>10.029999999999999</v>
      </c>
      <c r="E49" s="64">
        <v>4</v>
      </c>
      <c r="F49" s="64">
        <v>8.85</v>
      </c>
      <c r="G49" s="64">
        <v>9.19</v>
      </c>
      <c r="H49" s="64">
        <v>6.27</v>
      </c>
      <c r="I49" s="64">
        <v>0.99</v>
      </c>
      <c r="J49" s="64">
        <v>0.56000000000000005</v>
      </c>
      <c r="K49" s="64">
        <v>154.4</v>
      </c>
      <c r="L49" s="64">
        <v>27.21</v>
      </c>
      <c r="M49" s="64">
        <v>97.97</v>
      </c>
      <c r="N49" s="64">
        <v>714.5</v>
      </c>
      <c r="O49" s="64">
        <v>0</v>
      </c>
      <c r="P49" s="64">
        <v>0.32</v>
      </c>
      <c r="Q49" s="64">
        <v>9.6300000000000008</v>
      </c>
      <c r="R49" s="198"/>
      <c r="S49" s="198"/>
      <c r="T49" s="198"/>
      <c r="U49" s="198"/>
    </row>
    <row r="50" spans="1:21" s="12" customFormat="1" x14ac:dyDescent="0.25">
      <c r="A50" s="212" t="s">
        <v>2880</v>
      </c>
      <c r="B50" s="64">
        <v>8.9600000000000009</v>
      </c>
      <c r="C50" s="64">
        <v>6.39</v>
      </c>
      <c r="D50" s="64">
        <v>10.53</v>
      </c>
      <c r="E50" s="64">
        <v>3.76</v>
      </c>
      <c r="F50" s="64">
        <v>5.86</v>
      </c>
      <c r="G50" s="64">
        <v>10.63</v>
      </c>
      <c r="H50" s="64">
        <v>5.35</v>
      </c>
      <c r="I50" s="64">
        <v>0.98</v>
      </c>
      <c r="J50" s="64">
        <v>0.28999999999999998</v>
      </c>
      <c r="K50" s="64">
        <v>155.37</v>
      </c>
      <c r="L50" s="64">
        <v>27.71</v>
      </c>
      <c r="M50" s="64">
        <v>97.72</v>
      </c>
      <c r="N50" s="64">
        <v>558.79999999999995</v>
      </c>
      <c r="O50" s="64">
        <v>0</v>
      </c>
      <c r="P50" s="64">
        <v>0.35</v>
      </c>
      <c r="Q50" s="64">
        <v>9.6199999999999992</v>
      </c>
      <c r="R50" s="198"/>
      <c r="S50" s="198"/>
      <c r="T50" s="198"/>
      <c r="U50" s="198"/>
    </row>
    <row r="51" spans="1:21" s="12" customFormat="1" x14ac:dyDescent="0.25">
      <c r="A51" s="212" t="s">
        <v>2881</v>
      </c>
      <c r="B51" s="64">
        <v>8.56</v>
      </c>
      <c r="C51" s="64">
        <v>7.92</v>
      </c>
      <c r="D51" s="64">
        <v>11</v>
      </c>
      <c r="E51" s="64">
        <v>4.03</v>
      </c>
      <c r="F51" s="64">
        <v>9.67</v>
      </c>
      <c r="G51" s="64">
        <v>10.63</v>
      </c>
      <c r="H51" s="64">
        <v>5.35</v>
      </c>
      <c r="I51" s="64">
        <v>0.97</v>
      </c>
      <c r="J51" s="64">
        <v>0.51</v>
      </c>
      <c r="K51" s="64">
        <v>142.62</v>
      </c>
      <c r="L51" s="64">
        <v>27.69</v>
      </c>
      <c r="M51" s="64">
        <v>97.41</v>
      </c>
      <c r="N51" s="64">
        <v>420.1</v>
      </c>
      <c r="O51" s="64">
        <v>0</v>
      </c>
      <c r="P51" s="64">
        <v>0.34</v>
      </c>
      <c r="Q51" s="64">
        <v>9.6199999999999992</v>
      </c>
      <c r="R51" s="198"/>
      <c r="S51" s="198"/>
      <c r="T51" s="198"/>
      <c r="U51" s="198"/>
    </row>
    <row r="52" spans="1:21" s="12" customFormat="1" x14ac:dyDescent="0.25">
      <c r="A52" s="212" t="s">
        <v>2882</v>
      </c>
      <c r="B52" s="64">
        <v>8.2799999999999994</v>
      </c>
      <c r="C52" s="64">
        <v>7.37</v>
      </c>
      <c r="D52" s="64">
        <v>10.49</v>
      </c>
      <c r="E52" s="64">
        <v>4.1100000000000003</v>
      </c>
      <c r="F52" s="64">
        <v>9.42</v>
      </c>
      <c r="G52" s="64">
        <v>10.63</v>
      </c>
      <c r="H52" s="64">
        <v>5.35</v>
      </c>
      <c r="I52" s="64">
        <v>0.97</v>
      </c>
      <c r="J52" s="64">
        <v>0.04</v>
      </c>
      <c r="K52" s="64">
        <v>134.1</v>
      </c>
      <c r="L52" s="64">
        <v>27.95</v>
      </c>
      <c r="M52" s="64">
        <v>95.82</v>
      </c>
      <c r="N52" s="64">
        <v>474.2</v>
      </c>
      <c r="O52" s="64">
        <v>0</v>
      </c>
      <c r="P52" s="64">
        <v>0.39</v>
      </c>
      <c r="Q52" s="64">
        <v>9.6</v>
      </c>
      <c r="R52" s="198"/>
      <c r="S52" s="198"/>
      <c r="T52" s="198"/>
      <c r="U52" s="198"/>
    </row>
    <row r="53" spans="1:21" s="12" customFormat="1" x14ac:dyDescent="0.25">
      <c r="A53" s="212" t="s">
        <v>2883</v>
      </c>
      <c r="B53" s="64">
        <v>7.41</v>
      </c>
      <c r="C53" s="64">
        <v>7.74</v>
      </c>
      <c r="D53" s="64">
        <v>9.98</v>
      </c>
      <c r="E53" s="64">
        <v>4.33</v>
      </c>
      <c r="F53" s="64">
        <v>12.14</v>
      </c>
      <c r="G53" s="64">
        <v>10.28</v>
      </c>
      <c r="H53" s="64">
        <v>8.08</v>
      </c>
      <c r="I53" s="64">
        <v>0.98</v>
      </c>
      <c r="J53" s="64">
        <v>0.28000000000000003</v>
      </c>
      <c r="K53" s="64">
        <v>123.68</v>
      </c>
      <c r="L53" s="64">
        <v>28.53</v>
      </c>
      <c r="M53" s="64">
        <v>90.83</v>
      </c>
      <c r="N53" s="64">
        <v>622</v>
      </c>
      <c r="O53" s="64">
        <v>0</v>
      </c>
      <c r="P53" s="64">
        <v>0.37</v>
      </c>
      <c r="Q53" s="64">
        <v>9.6</v>
      </c>
      <c r="R53" s="198"/>
      <c r="S53" s="198"/>
      <c r="T53" s="198"/>
      <c r="U53" s="198"/>
    </row>
    <row r="54" spans="1:21" s="12" customFormat="1" x14ac:dyDescent="0.25">
      <c r="A54" s="212" t="s">
        <v>2884</v>
      </c>
      <c r="B54" s="64">
        <v>6.01</v>
      </c>
      <c r="C54" s="64">
        <v>7.46</v>
      </c>
      <c r="D54" s="64">
        <v>8.7100000000000009</v>
      </c>
      <c r="E54" s="64">
        <v>4.0599999999999996</v>
      </c>
      <c r="F54" s="64">
        <v>14.49</v>
      </c>
      <c r="G54" s="64">
        <v>9.84</v>
      </c>
      <c r="H54" s="64">
        <v>11.5</v>
      </c>
      <c r="I54" s="64">
        <v>0.97</v>
      </c>
      <c r="J54" s="64">
        <v>0.28999999999999998</v>
      </c>
      <c r="K54" s="64">
        <v>136.47999999999999</v>
      </c>
      <c r="L54" s="64">
        <v>28.8</v>
      </c>
      <c r="M54" s="64">
        <v>89.91</v>
      </c>
      <c r="N54" s="64">
        <v>485.7</v>
      </c>
      <c r="O54" s="64">
        <v>0</v>
      </c>
      <c r="P54" s="64">
        <v>0.33</v>
      </c>
      <c r="Q54" s="64">
        <v>9.59</v>
      </c>
      <c r="R54" s="198"/>
      <c r="S54" s="198"/>
      <c r="T54" s="198"/>
      <c r="U54" s="198"/>
    </row>
    <row r="55" spans="1:21" s="12" customFormat="1" x14ac:dyDescent="0.25">
      <c r="A55" s="212" t="s">
        <v>2885</v>
      </c>
      <c r="B55" s="64">
        <v>6.87</v>
      </c>
      <c r="C55" s="64">
        <v>7.96</v>
      </c>
      <c r="D55" s="64">
        <v>9.66</v>
      </c>
      <c r="E55" s="64">
        <v>4</v>
      </c>
      <c r="F55" s="64">
        <v>15.64</v>
      </c>
      <c r="G55" s="64">
        <v>9.84</v>
      </c>
      <c r="H55" s="64">
        <v>11.5</v>
      </c>
      <c r="I55" s="64">
        <v>0.97</v>
      </c>
      <c r="J55" s="64">
        <v>0.09</v>
      </c>
      <c r="K55" s="64">
        <v>136.29</v>
      </c>
      <c r="L55" s="64">
        <v>29.19</v>
      </c>
      <c r="M55" s="64">
        <v>88</v>
      </c>
      <c r="N55" s="64">
        <v>371</v>
      </c>
      <c r="O55" s="64">
        <v>0</v>
      </c>
      <c r="P55" s="64">
        <v>0.38</v>
      </c>
      <c r="Q55" s="64">
        <v>9.6</v>
      </c>
      <c r="R55" s="198"/>
      <c r="S55" s="198"/>
      <c r="T55" s="198"/>
      <c r="U55" s="198"/>
    </row>
    <row r="56" spans="1:21" s="12" customFormat="1" x14ac:dyDescent="0.25">
      <c r="A56" s="212" t="s">
        <v>2886</v>
      </c>
      <c r="B56" s="64">
        <v>6.64</v>
      </c>
      <c r="C56" s="64">
        <v>8.17</v>
      </c>
      <c r="D56" s="64">
        <v>9.59</v>
      </c>
      <c r="E56" s="64">
        <v>4.1100000000000003</v>
      </c>
      <c r="F56" s="64">
        <v>14.15</v>
      </c>
      <c r="G56" s="64">
        <v>9.84</v>
      </c>
      <c r="H56" s="64">
        <v>11.5</v>
      </c>
      <c r="I56" s="64">
        <v>1.05</v>
      </c>
      <c r="J56" s="64">
        <v>0.3</v>
      </c>
      <c r="K56" s="64">
        <v>140.35</v>
      </c>
      <c r="L56" s="64">
        <v>28.72</v>
      </c>
      <c r="M56" s="64">
        <v>89.33</v>
      </c>
      <c r="N56" s="64">
        <v>474.4</v>
      </c>
      <c r="O56" s="64">
        <v>0</v>
      </c>
      <c r="P56" s="64">
        <v>0.3</v>
      </c>
      <c r="Q56" s="64">
        <v>9.6</v>
      </c>
      <c r="R56" s="198"/>
      <c r="S56" s="198"/>
      <c r="T56" s="198"/>
      <c r="U56" s="198"/>
    </row>
    <row r="57" spans="1:21" s="12" customFormat="1" x14ac:dyDescent="0.25">
      <c r="A57" s="212" t="s">
        <v>2887</v>
      </c>
      <c r="B57" s="64">
        <v>7.07</v>
      </c>
      <c r="C57" s="64">
        <v>9.65</v>
      </c>
      <c r="D57" s="64">
        <v>10.71</v>
      </c>
      <c r="E57" s="64">
        <v>4.22</v>
      </c>
      <c r="F57" s="64">
        <v>12.54</v>
      </c>
      <c r="G57" s="64">
        <v>12.76</v>
      </c>
      <c r="H57" s="64">
        <v>10.75</v>
      </c>
      <c r="I57" s="64">
        <v>1.1200000000000001</v>
      </c>
      <c r="J57" s="64">
        <v>0.1</v>
      </c>
      <c r="K57" s="64">
        <v>196.46</v>
      </c>
      <c r="L57" s="64">
        <v>28.98</v>
      </c>
      <c r="M57" s="64">
        <v>89.93</v>
      </c>
      <c r="N57" s="64">
        <v>328.4</v>
      </c>
      <c r="O57" s="64">
        <v>0</v>
      </c>
      <c r="P57" s="64">
        <v>0.33</v>
      </c>
      <c r="Q57" s="64">
        <v>9.59</v>
      </c>
      <c r="R57" s="198"/>
      <c r="S57" s="198"/>
      <c r="T57" s="198"/>
      <c r="U57" s="198"/>
    </row>
    <row r="58" spans="1:21" s="12" customFormat="1" x14ac:dyDescent="0.25">
      <c r="A58" s="212" t="s">
        <v>2888</v>
      </c>
      <c r="B58" s="64">
        <v>7.47</v>
      </c>
      <c r="C58" s="64">
        <v>9.66</v>
      </c>
      <c r="D58" s="64">
        <v>11.03</v>
      </c>
      <c r="E58" s="64">
        <v>4.4800000000000004</v>
      </c>
      <c r="F58" s="64">
        <v>11.96</v>
      </c>
      <c r="G58" s="64">
        <v>16.420000000000002</v>
      </c>
      <c r="H58" s="64">
        <v>9.83</v>
      </c>
      <c r="I58" s="64">
        <v>1.1299999999999999</v>
      </c>
      <c r="J58" s="64">
        <v>0.42</v>
      </c>
      <c r="K58" s="64">
        <v>142.97</v>
      </c>
      <c r="L58" s="64">
        <v>28.77</v>
      </c>
      <c r="M58" s="64">
        <v>92.72</v>
      </c>
      <c r="N58" s="64">
        <v>413.8</v>
      </c>
      <c r="O58" s="64">
        <v>0</v>
      </c>
      <c r="P58" s="64">
        <v>0.33</v>
      </c>
      <c r="Q58" s="64">
        <v>9.58</v>
      </c>
      <c r="R58" s="198"/>
      <c r="S58" s="198"/>
      <c r="T58" s="198"/>
      <c r="U58" s="198"/>
    </row>
    <row r="59" spans="1:21" s="12" customFormat="1" x14ac:dyDescent="0.25">
      <c r="A59" s="212" t="s">
        <v>2889</v>
      </c>
      <c r="B59" s="64">
        <v>7.09</v>
      </c>
      <c r="C59" s="64">
        <v>10.029999999999999</v>
      </c>
      <c r="D59" s="64">
        <v>10.93</v>
      </c>
      <c r="E59" s="64">
        <v>4.49</v>
      </c>
      <c r="F59" s="64">
        <v>13.7</v>
      </c>
      <c r="G59" s="64">
        <v>16.420000000000002</v>
      </c>
      <c r="H59" s="64">
        <v>9.83</v>
      </c>
      <c r="I59" s="64">
        <v>1.1399999999999999</v>
      </c>
      <c r="J59" s="64">
        <v>0.43</v>
      </c>
      <c r="K59" s="64">
        <v>132.19999999999999</v>
      </c>
      <c r="L59" s="64">
        <v>28.92</v>
      </c>
      <c r="M59" s="64">
        <v>88.94</v>
      </c>
      <c r="N59" s="64">
        <v>401.5</v>
      </c>
      <c r="O59" s="64">
        <v>0</v>
      </c>
      <c r="P59" s="64">
        <v>0.32</v>
      </c>
      <c r="Q59" s="64">
        <v>9.58</v>
      </c>
      <c r="R59" s="198"/>
      <c r="S59" s="198"/>
      <c r="T59" s="198"/>
      <c r="U59" s="198"/>
    </row>
    <row r="60" spans="1:21" s="12" customFormat="1" x14ac:dyDescent="0.25">
      <c r="A60" s="212" t="s">
        <v>2890</v>
      </c>
      <c r="B60" s="64">
        <v>8.17</v>
      </c>
      <c r="C60" s="64">
        <v>11.94</v>
      </c>
      <c r="D60" s="64">
        <v>12.79</v>
      </c>
      <c r="E60" s="64">
        <v>4.17</v>
      </c>
      <c r="F60" s="64">
        <v>12.97</v>
      </c>
      <c r="G60" s="64">
        <v>16.420000000000002</v>
      </c>
      <c r="H60" s="64">
        <v>9.83</v>
      </c>
      <c r="I60" s="64">
        <v>1.1499999999999999</v>
      </c>
      <c r="J60" s="64">
        <v>0.49</v>
      </c>
      <c r="K60" s="64">
        <v>139.81</v>
      </c>
      <c r="L60" s="64">
        <v>28.6</v>
      </c>
      <c r="M60" s="64">
        <v>93.68</v>
      </c>
      <c r="N60" s="64">
        <v>374.7</v>
      </c>
      <c r="O60" s="64">
        <v>0</v>
      </c>
      <c r="P60" s="64">
        <v>0.36</v>
      </c>
      <c r="Q60" s="64">
        <v>9.58</v>
      </c>
      <c r="R60" s="198"/>
      <c r="S60" s="198"/>
      <c r="T60" s="198"/>
      <c r="U60" s="198"/>
    </row>
    <row r="61" spans="1:21" s="12" customFormat="1" x14ac:dyDescent="0.25">
      <c r="A61" s="212" t="s">
        <v>2891</v>
      </c>
      <c r="B61" s="64">
        <v>6.97</v>
      </c>
      <c r="C61" s="64">
        <v>9.6</v>
      </c>
      <c r="D61" s="64">
        <v>10.6</v>
      </c>
      <c r="E61" s="64">
        <v>4.28</v>
      </c>
      <c r="F61" s="64">
        <v>13.31</v>
      </c>
      <c r="G61" s="64">
        <v>18.03</v>
      </c>
      <c r="H61" s="64">
        <v>9.8800000000000008</v>
      </c>
      <c r="I61" s="64">
        <v>1.1599999999999999</v>
      </c>
      <c r="J61" s="64">
        <v>0.31</v>
      </c>
      <c r="K61" s="64">
        <v>111.96</v>
      </c>
      <c r="L61" s="64">
        <v>28.82</v>
      </c>
      <c r="M61" s="64">
        <v>86.3</v>
      </c>
      <c r="N61" s="64">
        <v>246.2</v>
      </c>
      <c r="O61" s="64">
        <v>0</v>
      </c>
      <c r="P61" s="64">
        <v>0.27</v>
      </c>
      <c r="Q61" s="64">
        <v>9.57</v>
      </c>
      <c r="R61" s="198"/>
      <c r="S61" s="198"/>
      <c r="T61" s="198"/>
      <c r="U61" s="198"/>
    </row>
    <row r="62" spans="1:21" s="12" customFormat="1" x14ac:dyDescent="0.25">
      <c r="A62" s="212" t="s">
        <v>2892</v>
      </c>
      <c r="B62" s="64">
        <v>13.59</v>
      </c>
      <c r="C62" s="64">
        <v>14.24</v>
      </c>
      <c r="D62" s="64">
        <v>18.34</v>
      </c>
      <c r="E62" s="64">
        <v>3.98</v>
      </c>
      <c r="F62" s="64">
        <v>11.7</v>
      </c>
      <c r="G62" s="64">
        <v>20.05</v>
      </c>
      <c r="H62" s="64">
        <v>9.9499999999999993</v>
      </c>
      <c r="I62" s="64">
        <v>1.1499999999999999</v>
      </c>
      <c r="J62" s="64">
        <v>0.13</v>
      </c>
      <c r="K62" s="64">
        <v>357.99</v>
      </c>
      <c r="L62" s="64">
        <v>28.95</v>
      </c>
      <c r="M62" s="64">
        <v>90.96</v>
      </c>
      <c r="N62" s="64">
        <v>193.2</v>
      </c>
      <c r="O62" s="64">
        <v>0</v>
      </c>
      <c r="P62" s="64">
        <v>0.47</v>
      </c>
      <c r="Q62" s="64">
        <v>9.56</v>
      </c>
      <c r="R62" s="198"/>
      <c r="S62" s="198"/>
      <c r="T62" s="198"/>
      <c r="U62" s="198"/>
    </row>
    <row r="63" spans="1:21" s="12" customFormat="1" x14ac:dyDescent="0.25">
      <c r="A63" s="212" t="s">
        <v>2893</v>
      </c>
      <c r="B63" s="64">
        <v>13.56</v>
      </c>
      <c r="C63" s="64">
        <v>13.61</v>
      </c>
      <c r="D63" s="64">
        <v>17.989999999999998</v>
      </c>
      <c r="E63" s="64">
        <v>4.5199999999999996</v>
      </c>
      <c r="F63" s="64">
        <v>12.22</v>
      </c>
      <c r="G63" s="64">
        <v>20.05</v>
      </c>
      <c r="H63" s="64">
        <v>9.9499999999999993</v>
      </c>
      <c r="I63" s="64">
        <v>1.05</v>
      </c>
      <c r="J63" s="64">
        <v>0.06</v>
      </c>
      <c r="K63" s="64">
        <v>98.59</v>
      </c>
      <c r="L63" s="64">
        <v>29.04</v>
      </c>
      <c r="M63" s="64">
        <v>90.61</v>
      </c>
      <c r="N63" s="64">
        <v>181.1</v>
      </c>
      <c r="O63" s="64">
        <v>0</v>
      </c>
      <c r="P63" s="64">
        <v>0.48</v>
      </c>
      <c r="Q63" s="64">
        <v>9.5500000000000007</v>
      </c>
      <c r="R63" s="198"/>
      <c r="S63" s="198"/>
      <c r="T63" s="198"/>
      <c r="U63" s="198"/>
    </row>
    <row r="64" spans="1:21" s="12" customFormat="1" x14ac:dyDescent="0.25">
      <c r="A64" s="212" t="s">
        <v>2894</v>
      </c>
      <c r="B64" s="64">
        <v>4.95</v>
      </c>
      <c r="C64" s="64">
        <v>9.5299999999999994</v>
      </c>
      <c r="D64" s="64">
        <v>8.9499999999999993</v>
      </c>
      <c r="E64" s="64">
        <v>4.37</v>
      </c>
      <c r="F64" s="64">
        <v>14.31</v>
      </c>
      <c r="G64" s="64">
        <v>20.05</v>
      </c>
      <c r="H64" s="64">
        <v>9.9499999999999993</v>
      </c>
      <c r="I64" s="64">
        <v>0.96</v>
      </c>
      <c r="J64" s="64">
        <v>0.28000000000000003</v>
      </c>
      <c r="K64" s="64">
        <v>126.59</v>
      </c>
      <c r="L64" s="64">
        <v>28.67</v>
      </c>
      <c r="M64" s="64">
        <v>89.47</v>
      </c>
      <c r="N64" s="64">
        <v>189</v>
      </c>
      <c r="O64" s="64">
        <v>0</v>
      </c>
      <c r="P64" s="64">
        <v>0.28000000000000003</v>
      </c>
      <c r="Q64" s="64">
        <v>9.56</v>
      </c>
      <c r="R64" s="198"/>
      <c r="S64" s="198"/>
      <c r="T64" s="198"/>
      <c r="U64" s="198"/>
    </row>
    <row r="65" spans="1:21" s="12" customFormat="1" x14ac:dyDescent="0.25">
      <c r="A65" s="212" t="s">
        <v>2895</v>
      </c>
      <c r="B65" s="64">
        <v>5.12</v>
      </c>
      <c r="C65" s="64">
        <v>12.04</v>
      </c>
      <c r="D65" s="64">
        <v>10.4</v>
      </c>
      <c r="E65" s="64">
        <v>4.1100000000000003</v>
      </c>
      <c r="F65" s="64">
        <v>15.88</v>
      </c>
      <c r="G65" s="64">
        <v>19.32</v>
      </c>
      <c r="H65" s="64">
        <v>8.83</v>
      </c>
      <c r="I65" s="64">
        <v>0.97</v>
      </c>
      <c r="J65" s="64">
        <v>0.38</v>
      </c>
      <c r="K65" s="64">
        <v>121.65</v>
      </c>
      <c r="L65" s="64">
        <v>28.33</v>
      </c>
      <c r="M65" s="64">
        <v>90.27</v>
      </c>
      <c r="N65" s="64">
        <v>174.4</v>
      </c>
      <c r="O65" s="64">
        <v>0</v>
      </c>
      <c r="P65" s="64">
        <v>0.33</v>
      </c>
      <c r="Q65" s="64">
        <v>9.5500000000000007</v>
      </c>
      <c r="R65" s="198"/>
      <c r="S65" s="198"/>
      <c r="T65" s="198"/>
      <c r="U65" s="198"/>
    </row>
    <row r="66" spans="1:21" s="12" customFormat="1" x14ac:dyDescent="0.25">
      <c r="A66" s="212" t="s">
        <v>2896</v>
      </c>
      <c r="B66" s="64">
        <v>7.75</v>
      </c>
      <c r="C66" s="64">
        <v>13.34</v>
      </c>
      <c r="D66" s="64">
        <v>13.18</v>
      </c>
      <c r="E66" s="64">
        <v>4.3600000000000003</v>
      </c>
      <c r="F66" s="64">
        <v>12.89</v>
      </c>
      <c r="G66" s="64">
        <v>18.41</v>
      </c>
      <c r="H66" s="64">
        <v>7.42</v>
      </c>
      <c r="I66" s="64">
        <v>0.97</v>
      </c>
      <c r="J66" s="64">
        <v>0.28000000000000003</v>
      </c>
      <c r="K66" s="64">
        <v>350.65</v>
      </c>
      <c r="L66" s="64">
        <v>28.27</v>
      </c>
      <c r="M66" s="64">
        <v>94.51</v>
      </c>
      <c r="N66" s="64">
        <v>122.3</v>
      </c>
      <c r="O66" s="64">
        <v>0</v>
      </c>
      <c r="P66" s="64">
        <v>0.48</v>
      </c>
      <c r="Q66" s="64">
        <v>9.5500000000000007</v>
      </c>
      <c r="R66" s="198"/>
      <c r="S66" s="198"/>
      <c r="T66" s="198"/>
      <c r="U66" s="198"/>
    </row>
    <row r="67" spans="1:21" s="12" customFormat="1" x14ac:dyDescent="0.25">
      <c r="A67" s="212" t="s">
        <v>2897</v>
      </c>
      <c r="B67" s="64">
        <v>11.58</v>
      </c>
      <c r="C67" s="64">
        <v>16.18</v>
      </c>
      <c r="D67" s="64">
        <v>17.66</v>
      </c>
      <c r="E67" s="64">
        <v>4.49</v>
      </c>
      <c r="F67" s="64">
        <v>10.88</v>
      </c>
      <c r="G67" s="64">
        <v>18.41</v>
      </c>
      <c r="H67" s="64">
        <v>7.42</v>
      </c>
      <c r="I67" s="64">
        <v>1.03</v>
      </c>
      <c r="J67" s="64">
        <v>0.61</v>
      </c>
      <c r="K67" s="64">
        <v>331.72</v>
      </c>
      <c r="L67" s="64">
        <v>28.26</v>
      </c>
      <c r="M67" s="64">
        <v>97.36</v>
      </c>
      <c r="N67" s="64">
        <v>110.9</v>
      </c>
      <c r="O67" s="64">
        <v>0</v>
      </c>
      <c r="P67" s="64">
        <v>0.6</v>
      </c>
      <c r="Q67" s="64">
        <v>9.5500000000000007</v>
      </c>
      <c r="R67" s="198"/>
      <c r="S67" s="198"/>
      <c r="T67" s="198"/>
      <c r="U67" s="198"/>
    </row>
    <row r="68" spans="1:21" s="12" customFormat="1" x14ac:dyDescent="0.25">
      <c r="A68" s="212" t="s">
        <v>2898</v>
      </c>
      <c r="B68" s="64">
        <v>11.09</v>
      </c>
      <c r="C68" s="64">
        <v>17.670000000000002</v>
      </c>
      <c r="D68" s="64">
        <v>18.12</v>
      </c>
      <c r="E68" s="64">
        <v>4.6500000000000004</v>
      </c>
      <c r="F68" s="64">
        <v>15.21</v>
      </c>
      <c r="G68" s="64">
        <v>18.41</v>
      </c>
      <c r="H68" s="64">
        <v>7.42</v>
      </c>
      <c r="I68" s="64">
        <v>1.04</v>
      </c>
      <c r="J68" s="64">
        <v>0.67</v>
      </c>
      <c r="K68" s="64">
        <v>341.13</v>
      </c>
      <c r="L68" s="64">
        <v>28.55</v>
      </c>
      <c r="M68" s="64">
        <v>96.17</v>
      </c>
      <c r="N68" s="64">
        <v>170.8</v>
      </c>
      <c r="O68" s="64">
        <v>0</v>
      </c>
      <c r="P68" s="64">
        <v>0.72</v>
      </c>
      <c r="Q68" s="64">
        <v>9.5500000000000007</v>
      </c>
      <c r="R68" s="198"/>
      <c r="S68" s="198"/>
      <c r="T68" s="198"/>
      <c r="U68" s="198"/>
    </row>
    <row r="69" spans="1:21" s="12" customFormat="1" x14ac:dyDescent="0.25">
      <c r="A69" s="212" t="s">
        <v>2899</v>
      </c>
      <c r="B69" s="64">
        <v>10.15</v>
      </c>
      <c r="C69" s="64">
        <v>16.23</v>
      </c>
      <c r="D69" s="64">
        <v>16.62</v>
      </c>
      <c r="E69" s="64">
        <v>4.21</v>
      </c>
      <c r="F69" s="64">
        <v>12.33</v>
      </c>
      <c r="G69" s="64">
        <v>29.29</v>
      </c>
      <c r="H69" s="64">
        <v>10.02</v>
      </c>
      <c r="I69" s="64">
        <v>1.1000000000000001</v>
      </c>
      <c r="J69" s="64">
        <v>0.19</v>
      </c>
      <c r="K69" s="64">
        <v>135.32</v>
      </c>
      <c r="L69" s="64">
        <v>28.31</v>
      </c>
      <c r="M69" s="64">
        <v>94.2</v>
      </c>
      <c r="N69" s="64">
        <v>183.1</v>
      </c>
      <c r="O69" s="64">
        <v>0</v>
      </c>
      <c r="P69" s="64">
        <v>0.53</v>
      </c>
      <c r="Q69" s="64">
        <v>9.5500000000000007</v>
      </c>
      <c r="R69" s="198"/>
      <c r="S69" s="198"/>
      <c r="T69" s="198"/>
      <c r="U69" s="198"/>
    </row>
    <row r="70" spans="1:21" s="12" customFormat="1" x14ac:dyDescent="0.25">
      <c r="A70" s="212" t="s">
        <v>2900</v>
      </c>
      <c r="B70" s="64">
        <v>9.52</v>
      </c>
      <c r="C70" s="64">
        <v>14.16</v>
      </c>
      <c r="D70" s="64">
        <v>15.03</v>
      </c>
      <c r="E70" s="64">
        <v>4.49</v>
      </c>
      <c r="F70" s="64">
        <v>13.23</v>
      </c>
      <c r="G70" s="64">
        <v>42.89</v>
      </c>
      <c r="H70" s="64">
        <v>13.26</v>
      </c>
      <c r="I70" s="64">
        <v>1.1399999999999999</v>
      </c>
      <c r="J70" s="64">
        <v>0.33</v>
      </c>
      <c r="K70" s="64">
        <v>131.88999999999999</v>
      </c>
      <c r="L70" s="64">
        <v>28.33</v>
      </c>
      <c r="M70" s="64">
        <v>93.65</v>
      </c>
      <c r="N70" s="64">
        <v>195</v>
      </c>
      <c r="O70" s="64">
        <v>0.2</v>
      </c>
      <c r="P70" s="64">
        <v>0.44</v>
      </c>
      <c r="Q70" s="64">
        <v>9.56</v>
      </c>
      <c r="R70" s="198"/>
      <c r="S70" s="198"/>
      <c r="T70" s="198"/>
      <c r="U70" s="198"/>
    </row>
    <row r="71" spans="1:21" s="12" customFormat="1" x14ac:dyDescent="0.25">
      <c r="A71" s="212" t="s">
        <v>2901</v>
      </c>
      <c r="B71" s="64">
        <v>8.24</v>
      </c>
      <c r="C71" s="64">
        <v>12.94</v>
      </c>
      <c r="D71" s="64">
        <v>13.36</v>
      </c>
      <c r="E71" s="64">
        <v>4.43</v>
      </c>
      <c r="F71" s="64">
        <v>14.29</v>
      </c>
      <c r="G71" s="64">
        <v>42.89</v>
      </c>
      <c r="H71" s="64">
        <v>13.26</v>
      </c>
      <c r="I71" s="64">
        <v>1.1000000000000001</v>
      </c>
      <c r="J71" s="64">
        <v>0.11</v>
      </c>
      <c r="K71" s="64">
        <v>29.33</v>
      </c>
      <c r="L71" s="64">
        <v>28.6</v>
      </c>
      <c r="M71" s="64">
        <v>92.59</v>
      </c>
      <c r="N71" s="64">
        <v>171.4</v>
      </c>
      <c r="O71" s="64">
        <v>0</v>
      </c>
      <c r="P71" s="64">
        <v>0.5</v>
      </c>
      <c r="Q71" s="64">
        <v>9.56</v>
      </c>
      <c r="R71" s="198"/>
      <c r="S71" s="198"/>
      <c r="T71" s="198"/>
      <c r="U71" s="198"/>
    </row>
    <row r="72" spans="1:21" s="12" customFormat="1" x14ac:dyDescent="0.25">
      <c r="A72" s="212" t="s">
        <v>2902</v>
      </c>
      <c r="B72" s="64">
        <v>10.06</v>
      </c>
      <c r="C72" s="64">
        <v>13.28</v>
      </c>
      <c r="D72" s="64">
        <v>15.01</v>
      </c>
      <c r="E72" s="64">
        <v>3.75</v>
      </c>
      <c r="F72" s="64">
        <v>15.56</v>
      </c>
      <c r="G72" s="64">
        <v>42.89</v>
      </c>
      <c r="H72" s="64">
        <v>13.26</v>
      </c>
      <c r="I72" s="64">
        <v>1.1000000000000001</v>
      </c>
      <c r="J72" s="64">
        <v>0.27</v>
      </c>
      <c r="K72" s="64">
        <v>357.45</v>
      </c>
      <c r="L72" s="64">
        <v>28.37</v>
      </c>
      <c r="M72" s="64">
        <v>93.63</v>
      </c>
      <c r="N72" s="64">
        <v>109.8</v>
      </c>
      <c r="O72" s="64">
        <v>0</v>
      </c>
      <c r="P72" s="64">
        <v>0.51</v>
      </c>
      <c r="Q72" s="64">
        <v>9.57</v>
      </c>
      <c r="R72" s="198"/>
      <c r="S72" s="198"/>
      <c r="T72" s="198"/>
      <c r="U72" s="198"/>
    </row>
    <row r="73" spans="1:21" s="12" customFormat="1" x14ac:dyDescent="0.25">
      <c r="A73" s="212" t="s">
        <v>2903</v>
      </c>
      <c r="B73" s="64">
        <v>15.53</v>
      </c>
      <c r="C73" s="64">
        <v>12.77</v>
      </c>
      <c r="D73" s="64">
        <v>19.12</v>
      </c>
      <c r="E73" s="64">
        <v>4</v>
      </c>
      <c r="F73" s="64">
        <v>13.47</v>
      </c>
      <c r="G73" s="64">
        <v>42.24</v>
      </c>
      <c r="H73" s="64">
        <v>12.23</v>
      </c>
      <c r="I73" s="64">
        <v>1.1100000000000001</v>
      </c>
      <c r="J73" s="64">
        <v>0.48</v>
      </c>
      <c r="K73" s="64">
        <v>128.69999999999999</v>
      </c>
      <c r="L73" s="64">
        <v>27.89</v>
      </c>
      <c r="M73" s="64">
        <v>94.47</v>
      </c>
      <c r="N73" s="64">
        <v>110.3</v>
      </c>
      <c r="O73" s="64">
        <v>0</v>
      </c>
      <c r="P73" s="64">
        <v>0.49</v>
      </c>
      <c r="Q73" s="64">
        <v>9.58</v>
      </c>
      <c r="R73" s="198"/>
      <c r="S73" s="198"/>
      <c r="T73" s="198"/>
      <c r="U73" s="198"/>
    </row>
    <row r="74" spans="1:21" s="12" customFormat="1" x14ac:dyDescent="0.25">
      <c r="A74" s="212" t="s">
        <v>2904</v>
      </c>
      <c r="B74" s="64">
        <v>7.04</v>
      </c>
      <c r="C74" s="64">
        <v>13.43</v>
      </c>
      <c r="D74" s="64">
        <v>12.66</v>
      </c>
      <c r="E74" s="64">
        <v>4.05</v>
      </c>
      <c r="F74" s="64">
        <v>14.56</v>
      </c>
      <c r="G74" s="64">
        <v>41.42</v>
      </c>
      <c r="H74" s="64">
        <v>10.93</v>
      </c>
      <c r="I74" s="64">
        <v>1.1399999999999999</v>
      </c>
      <c r="J74" s="64">
        <v>0.75</v>
      </c>
      <c r="K74" s="64">
        <v>128.41999999999999</v>
      </c>
      <c r="L74" s="64">
        <v>27.56</v>
      </c>
      <c r="M74" s="64">
        <v>94.97</v>
      </c>
      <c r="N74" s="64">
        <v>106.5</v>
      </c>
      <c r="O74" s="64">
        <v>0</v>
      </c>
      <c r="P74" s="64">
        <v>0.4</v>
      </c>
      <c r="Q74" s="64">
        <v>9.59</v>
      </c>
      <c r="R74" s="198"/>
      <c r="S74" s="198"/>
      <c r="T74" s="198"/>
      <c r="U74" s="198"/>
    </row>
    <row r="75" spans="1:21" s="12" customFormat="1" x14ac:dyDescent="0.25">
      <c r="A75" s="212" t="s">
        <v>2905</v>
      </c>
      <c r="B75" s="64">
        <v>4.99</v>
      </c>
      <c r="C75" s="64">
        <v>9.1999999999999993</v>
      </c>
      <c r="D75" s="64">
        <v>8.81</v>
      </c>
      <c r="E75" s="64">
        <v>4.0199999999999996</v>
      </c>
      <c r="F75" s="64">
        <v>16.71</v>
      </c>
      <c r="G75" s="64">
        <v>41.42</v>
      </c>
      <c r="H75" s="64">
        <v>10.93</v>
      </c>
      <c r="I75" s="64">
        <v>1.25</v>
      </c>
      <c r="J75" s="64">
        <v>0.69</v>
      </c>
      <c r="K75" s="64">
        <v>125.39</v>
      </c>
      <c r="L75" s="64">
        <v>27.32</v>
      </c>
      <c r="M75" s="64">
        <v>91.94</v>
      </c>
      <c r="N75" s="64">
        <v>90.9</v>
      </c>
      <c r="O75" s="64">
        <v>0</v>
      </c>
      <c r="P75" s="64">
        <v>0.31</v>
      </c>
      <c r="Q75" s="64">
        <v>9.6</v>
      </c>
      <c r="R75" s="198"/>
      <c r="S75" s="198"/>
      <c r="T75" s="198"/>
      <c r="U75" s="198"/>
    </row>
    <row r="76" spans="1:21" s="12" customFormat="1" x14ac:dyDescent="0.25">
      <c r="A76" s="212" t="s">
        <v>2906</v>
      </c>
      <c r="B76" s="64">
        <v>5.1100000000000003</v>
      </c>
      <c r="C76" s="64">
        <v>8.25</v>
      </c>
      <c r="D76" s="64">
        <v>8.4</v>
      </c>
      <c r="E76" s="64">
        <v>4.17</v>
      </c>
      <c r="F76" s="64">
        <v>14.32</v>
      </c>
      <c r="G76" s="64">
        <v>41.42</v>
      </c>
      <c r="H76" s="64">
        <v>10.93</v>
      </c>
      <c r="I76" s="64">
        <v>1.33</v>
      </c>
      <c r="J76" s="64">
        <v>0.79</v>
      </c>
      <c r="K76" s="64">
        <v>118.45</v>
      </c>
      <c r="L76" s="64">
        <v>27.17</v>
      </c>
      <c r="M76" s="64">
        <v>95.05</v>
      </c>
      <c r="N76" s="64">
        <v>93.6</v>
      </c>
      <c r="O76" s="64">
        <v>0</v>
      </c>
      <c r="P76" s="64">
        <v>0.32</v>
      </c>
      <c r="Q76" s="64">
        <v>9.6</v>
      </c>
      <c r="R76" s="198"/>
      <c r="S76" s="198"/>
      <c r="T76" s="198"/>
      <c r="U76" s="198"/>
    </row>
    <row r="77" spans="1:21" s="12" customFormat="1" x14ac:dyDescent="0.25">
      <c r="A77" s="212" t="s">
        <v>2907</v>
      </c>
      <c r="B77" s="64">
        <v>5.74</v>
      </c>
      <c r="C77" s="64">
        <v>9.6</v>
      </c>
      <c r="D77" s="64">
        <v>9.61</v>
      </c>
      <c r="E77" s="64">
        <v>4.34</v>
      </c>
      <c r="F77" s="64">
        <v>12.7</v>
      </c>
      <c r="G77" s="64">
        <v>40.119999999999997</v>
      </c>
      <c r="H77" s="64">
        <v>10.92</v>
      </c>
      <c r="I77" s="64">
        <v>1.32</v>
      </c>
      <c r="J77" s="64">
        <v>1.28</v>
      </c>
      <c r="K77" s="64">
        <v>126.18</v>
      </c>
      <c r="L77" s="64">
        <v>26.9</v>
      </c>
      <c r="M77" s="64">
        <v>97.36</v>
      </c>
      <c r="N77" s="64">
        <v>81.599999999999994</v>
      </c>
      <c r="O77" s="64">
        <v>0</v>
      </c>
      <c r="P77" s="64">
        <v>0.33</v>
      </c>
      <c r="Q77" s="64">
        <v>9.59</v>
      </c>
      <c r="R77" s="198"/>
      <c r="S77" s="198"/>
      <c r="T77" s="198"/>
      <c r="U77" s="198"/>
    </row>
    <row r="78" spans="1:21" s="12" customFormat="1" x14ac:dyDescent="0.25">
      <c r="A78" s="212" t="s">
        <v>2908</v>
      </c>
      <c r="B78" s="64">
        <v>6.04</v>
      </c>
      <c r="C78" s="64">
        <v>10.47</v>
      </c>
      <c r="D78" s="64">
        <v>10.32</v>
      </c>
      <c r="E78" s="64">
        <v>4.07</v>
      </c>
      <c r="F78" s="64">
        <v>10.07</v>
      </c>
      <c r="G78" s="64">
        <v>38.5</v>
      </c>
      <c r="H78" s="64">
        <v>10.91</v>
      </c>
      <c r="I78" s="64">
        <v>1.31</v>
      </c>
      <c r="J78" s="64">
        <v>0.54</v>
      </c>
      <c r="K78" s="64">
        <v>110.93</v>
      </c>
      <c r="L78" s="64">
        <v>26.68</v>
      </c>
      <c r="M78" s="64">
        <v>98.06</v>
      </c>
      <c r="N78" s="64">
        <v>62.2</v>
      </c>
      <c r="O78" s="64">
        <v>0</v>
      </c>
      <c r="P78" s="64">
        <v>0.35</v>
      </c>
      <c r="Q78" s="64">
        <v>9.59</v>
      </c>
      <c r="R78" s="198"/>
      <c r="S78" s="198"/>
      <c r="T78" s="198"/>
      <c r="U78" s="198"/>
    </row>
    <row r="79" spans="1:21" s="12" customFormat="1" x14ac:dyDescent="0.25">
      <c r="A79" s="212" t="s">
        <v>2909</v>
      </c>
      <c r="B79" s="64">
        <v>6.52</v>
      </c>
      <c r="C79" s="64">
        <v>9.49</v>
      </c>
      <c r="D79" s="64">
        <v>10.18</v>
      </c>
      <c r="E79" s="64">
        <v>3.89</v>
      </c>
      <c r="F79" s="64">
        <v>8.57</v>
      </c>
      <c r="G79" s="64">
        <v>38.5</v>
      </c>
      <c r="H79" s="64">
        <v>10.91</v>
      </c>
      <c r="I79" s="64">
        <v>1.31</v>
      </c>
      <c r="J79" s="64">
        <v>0.46</v>
      </c>
      <c r="K79" s="64">
        <v>111.97</v>
      </c>
      <c r="L79" s="64">
        <v>26.45</v>
      </c>
      <c r="M79" s="64">
        <v>98.06</v>
      </c>
      <c r="N79" s="64">
        <v>48.7</v>
      </c>
      <c r="O79" s="64">
        <v>0</v>
      </c>
      <c r="P79" s="64">
        <v>0.38</v>
      </c>
      <c r="Q79" s="64">
        <v>9.58</v>
      </c>
      <c r="R79" s="198"/>
      <c r="S79" s="198"/>
      <c r="T79" s="198"/>
      <c r="U79" s="198"/>
    </row>
    <row r="80" spans="1:21" s="12" customFormat="1" x14ac:dyDescent="0.25">
      <c r="A80" s="212" t="s">
        <v>2910</v>
      </c>
      <c r="B80" s="64">
        <v>6.43</v>
      </c>
      <c r="C80" s="64">
        <v>9.49</v>
      </c>
      <c r="D80" s="64">
        <v>10.119999999999999</v>
      </c>
      <c r="E80" s="64">
        <v>4.12</v>
      </c>
      <c r="F80" s="64">
        <v>6.48</v>
      </c>
      <c r="G80" s="64">
        <v>38.5</v>
      </c>
      <c r="H80" s="64">
        <v>10.91</v>
      </c>
      <c r="I80" s="64">
        <v>1.29</v>
      </c>
      <c r="J80" s="64">
        <v>0.64</v>
      </c>
      <c r="K80" s="64">
        <v>170.95</v>
      </c>
      <c r="L80" s="64">
        <v>26.11</v>
      </c>
      <c r="M80" s="64">
        <v>97.8</v>
      </c>
      <c r="N80" s="64">
        <v>39.9</v>
      </c>
      <c r="O80" s="64">
        <v>0</v>
      </c>
      <c r="P80" s="64">
        <v>0.37</v>
      </c>
      <c r="Q80" s="64">
        <v>9.57</v>
      </c>
      <c r="R80" s="198"/>
      <c r="S80" s="198"/>
      <c r="T80" s="198"/>
      <c r="U80" s="198"/>
    </row>
    <row r="81" spans="1:26" s="12" customFormat="1" x14ac:dyDescent="0.25">
      <c r="A81" s="212" t="s">
        <v>2911</v>
      </c>
      <c r="B81" s="64">
        <v>6.17</v>
      </c>
      <c r="C81" s="64">
        <v>9.3800000000000008</v>
      </c>
      <c r="D81" s="64">
        <v>9.85</v>
      </c>
      <c r="E81" s="64">
        <v>3.95</v>
      </c>
      <c r="F81" s="64">
        <v>8.42</v>
      </c>
      <c r="G81" s="64">
        <v>35.86</v>
      </c>
      <c r="H81" s="64">
        <v>9.74</v>
      </c>
      <c r="I81" s="64">
        <v>1.18</v>
      </c>
      <c r="J81" s="64">
        <v>0.38</v>
      </c>
      <c r="K81" s="64">
        <v>159.43</v>
      </c>
      <c r="L81" s="64">
        <v>25.79</v>
      </c>
      <c r="M81" s="64">
        <v>98.05</v>
      </c>
      <c r="N81" s="64">
        <v>33.700000000000003</v>
      </c>
      <c r="O81" s="64">
        <v>0</v>
      </c>
      <c r="P81" s="64">
        <v>0.36</v>
      </c>
      <c r="Q81" s="64">
        <v>9.56</v>
      </c>
      <c r="R81" s="198"/>
      <c r="S81" s="198"/>
      <c r="T81" s="198"/>
      <c r="U81" s="198"/>
    </row>
    <row r="82" spans="1:26" s="12" customFormat="1" x14ac:dyDescent="0.25">
      <c r="A82" s="212" t="s">
        <v>2912</v>
      </c>
      <c r="B82" s="64">
        <v>6.89</v>
      </c>
      <c r="C82" s="64">
        <v>9.41</v>
      </c>
      <c r="D82" s="64">
        <v>10.44</v>
      </c>
      <c r="E82" s="64">
        <v>3.98</v>
      </c>
      <c r="F82" s="64">
        <v>7.2</v>
      </c>
      <c r="G82" s="64">
        <v>32.549999999999997</v>
      </c>
      <c r="H82" s="64">
        <v>8.27</v>
      </c>
      <c r="I82" s="64">
        <v>1.08</v>
      </c>
      <c r="J82" s="64">
        <v>0.39</v>
      </c>
      <c r="K82" s="64">
        <v>139.94999999999999</v>
      </c>
      <c r="L82" s="64">
        <v>25.5</v>
      </c>
      <c r="M82" s="64">
        <v>98.09</v>
      </c>
      <c r="N82" s="64">
        <v>31.5</v>
      </c>
      <c r="O82" s="64">
        <v>0</v>
      </c>
      <c r="P82" s="64">
        <v>0.37</v>
      </c>
      <c r="Q82" s="64">
        <v>9.5399999999999991</v>
      </c>
      <c r="R82" s="198"/>
      <c r="S82" s="198"/>
      <c r="T82" s="198"/>
      <c r="U82" s="198"/>
    </row>
    <row r="83" spans="1:26" s="12" customFormat="1" x14ac:dyDescent="0.25">
      <c r="A83" s="212" t="s">
        <v>2913</v>
      </c>
      <c r="B83" s="64">
        <v>6.92</v>
      </c>
      <c r="C83" s="64">
        <v>9.82</v>
      </c>
      <c r="D83" s="64">
        <v>10.68</v>
      </c>
      <c r="E83" s="64">
        <v>4</v>
      </c>
      <c r="F83" s="64">
        <v>6.86</v>
      </c>
      <c r="G83" s="64">
        <v>32.549999999999997</v>
      </c>
      <c r="H83" s="64">
        <v>8.27</v>
      </c>
      <c r="I83" s="64">
        <v>1.08</v>
      </c>
      <c r="J83" s="64">
        <v>0.83</v>
      </c>
      <c r="K83" s="64">
        <v>141.21</v>
      </c>
      <c r="L83" s="64">
        <v>25.1</v>
      </c>
      <c r="M83" s="64">
        <v>98.15</v>
      </c>
      <c r="N83" s="64">
        <v>31.3</v>
      </c>
      <c r="O83" s="64">
        <v>0</v>
      </c>
      <c r="P83" s="64">
        <v>0.36</v>
      </c>
      <c r="Q83" s="64">
        <v>9.5399999999999991</v>
      </c>
      <c r="R83" s="198"/>
      <c r="S83" s="198"/>
      <c r="T83" s="198"/>
      <c r="U83" s="198"/>
    </row>
    <row r="84" spans="1:26" s="12" customFormat="1" x14ac:dyDescent="0.25">
      <c r="A84" s="212" t="s">
        <v>2914</v>
      </c>
      <c r="B84" s="64">
        <v>6.79</v>
      </c>
      <c r="C84" s="64">
        <v>8.27</v>
      </c>
      <c r="D84" s="64">
        <v>9.77</v>
      </c>
      <c r="E84" s="64">
        <v>3.89</v>
      </c>
      <c r="F84" s="64">
        <v>6.81</v>
      </c>
      <c r="G84" s="64">
        <v>32.549999999999997</v>
      </c>
      <c r="H84" s="64">
        <v>8.27</v>
      </c>
      <c r="I84" s="64">
        <v>1.0900000000000001</v>
      </c>
      <c r="J84" s="64">
        <v>0.26</v>
      </c>
      <c r="K84" s="64">
        <v>158.97999999999999</v>
      </c>
      <c r="L84" s="64">
        <v>24.79</v>
      </c>
      <c r="M84" s="64">
        <v>98.16</v>
      </c>
      <c r="N84" s="64">
        <v>31</v>
      </c>
      <c r="O84" s="64">
        <v>0</v>
      </c>
      <c r="P84" s="64">
        <v>0.36</v>
      </c>
      <c r="Q84" s="64">
        <v>9.5299999999999994</v>
      </c>
      <c r="R84" s="198"/>
      <c r="S84" s="198"/>
      <c r="T84" s="198"/>
      <c r="U84" s="198"/>
    </row>
    <row r="85" spans="1:26" s="12" customFormat="1" x14ac:dyDescent="0.25">
      <c r="A85" s="212" t="s">
        <v>2915</v>
      </c>
      <c r="B85" s="64">
        <v>6.79</v>
      </c>
      <c r="C85" s="64">
        <v>13.97</v>
      </c>
      <c r="D85" s="64">
        <v>12.74</v>
      </c>
      <c r="E85" s="64">
        <v>3.83</v>
      </c>
      <c r="F85" s="64">
        <v>9.0299999999999994</v>
      </c>
      <c r="G85" s="64">
        <v>31.02</v>
      </c>
      <c r="H85" s="64">
        <v>7.24</v>
      </c>
      <c r="I85" s="64">
        <v>1.08</v>
      </c>
      <c r="J85" s="64">
        <v>0.23</v>
      </c>
      <c r="K85" s="64">
        <v>154.12</v>
      </c>
      <c r="L85" s="64">
        <v>24.7</v>
      </c>
      <c r="M85" s="64">
        <v>98.16</v>
      </c>
      <c r="N85" s="64">
        <v>30.6</v>
      </c>
      <c r="O85" s="64">
        <v>0</v>
      </c>
      <c r="P85" s="64">
        <v>0.25</v>
      </c>
      <c r="Q85" s="64">
        <v>9.5299999999999994</v>
      </c>
      <c r="R85" s="198"/>
      <c r="S85" s="198"/>
      <c r="T85" s="198"/>
      <c r="U85" s="198"/>
    </row>
    <row r="86" spans="1:26" s="12" customFormat="1" x14ac:dyDescent="0.25">
      <c r="A86" s="212" t="s">
        <v>2916</v>
      </c>
      <c r="B86" s="64">
        <v>6.8</v>
      </c>
      <c r="C86" s="64">
        <v>11.23</v>
      </c>
      <c r="D86" s="64">
        <v>11.32</v>
      </c>
      <c r="E86" s="64">
        <v>3.95</v>
      </c>
      <c r="F86" s="64">
        <v>7.61</v>
      </c>
      <c r="G86" s="64">
        <v>29.12</v>
      </c>
      <c r="H86" s="64">
        <v>6.25</v>
      </c>
      <c r="I86" s="64">
        <v>1.1499999999999999</v>
      </c>
      <c r="J86" s="64">
        <v>0.05</v>
      </c>
      <c r="K86" s="64">
        <v>145.35</v>
      </c>
      <c r="L86" s="64">
        <v>24.71</v>
      </c>
      <c r="M86" s="64">
        <v>98.17</v>
      </c>
      <c r="N86" s="64">
        <v>30.6</v>
      </c>
      <c r="O86" s="64">
        <v>0</v>
      </c>
      <c r="P86" s="64">
        <v>0.32</v>
      </c>
      <c r="Q86" s="64">
        <v>9.52</v>
      </c>
      <c r="R86" s="198"/>
      <c r="S86" s="198"/>
      <c r="T86" s="198"/>
      <c r="U86" s="198"/>
    </row>
    <row r="87" spans="1:26" s="12" customFormat="1" x14ac:dyDescent="0.25">
      <c r="A87" s="212" t="s">
        <v>2917</v>
      </c>
      <c r="B87" s="64">
        <v>7.46</v>
      </c>
      <c r="C87" s="64">
        <v>14.18</v>
      </c>
      <c r="D87" s="64">
        <v>13.39</v>
      </c>
      <c r="E87" s="64">
        <v>3.96</v>
      </c>
      <c r="F87" s="64">
        <v>6.36</v>
      </c>
      <c r="G87" s="64">
        <v>29.12</v>
      </c>
      <c r="H87" s="64">
        <v>6.25</v>
      </c>
      <c r="I87" s="64">
        <v>1.2</v>
      </c>
      <c r="J87" s="64">
        <v>0.12</v>
      </c>
      <c r="K87" s="64">
        <v>152.18</v>
      </c>
      <c r="L87" s="64">
        <v>24.7</v>
      </c>
      <c r="M87" s="64">
        <v>98.2</v>
      </c>
      <c r="N87" s="64">
        <v>30.6</v>
      </c>
      <c r="O87" s="64">
        <v>0</v>
      </c>
      <c r="P87" s="64">
        <v>0.34</v>
      </c>
      <c r="Q87" s="64">
        <v>9.5299999999999994</v>
      </c>
      <c r="R87" s="198"/>
      <c r="S87" s="198"/>
      <c r="T87" s="198"/>
      <c r="U87" s="198"/>
    </row>
    <row r="88" spans="1:26" s="12" customFormat="1" x14ac:dyDescent="0.25">
      <c r="A88" s="212" t="s">
        <v>2918</v>
      </c>
      <c r="B88" s="64">
        <v>7.45</v>
      </c>
      <c r="C88" s="64">
        <v>11.47</v>
      </c>
      <c r="D88" s="64">
        <v>11.97</v>
      </c>
      <c r="E88" s="64">
        <v>3.82</v>
      </c>
      <c r="F88" s="64">
        <v>7.61</v>
      </c>
      <c r="G88" s="64">
        <v>29.12</v>
      </c>
      <c r="H88" s="64">
        <v>6.25</v>
      </c>
      <c r="I88" s="64">
        <v>1.2</v>
      </c>
      <c r="J88" s="64">
        <v>0</v>
      </c>
      <c r="K88" s="64">
        <v>229.2</v>
      </c>
      <c r="L88" s="64">
        <v>24.68</v>
      </c>
      <c r="M88" s="64">
        <v>98.2</v>
      </c>
      <c r="N88" s="64">
        <v>30.7</v>
      </c>
      <c r="O88" s="64">
        <v>0</v>
      </c>
      <c r="P88" s="64">
        <v>0.34</v>
      </c>
      <c r="Q88" s="64">
        <v>9.5399999999999991</v>
      </c>
      <c r="R88" s="198"/>
      <c r="S88" s="198"/>
      <c r="T88" s="198"/>
      <c r="U88" s="198"/>
    </row>
    <row r="89" spans="1:26" s="12" customFormat="1" x14ac:dyDescent="0.25">
      <c r="A89" s="212" t="s">
        <v>2919</v>
      </c>
      <c r="B89" s="64">
        <v>6.37</v>
      </c>
      <c r="C89" s="64">
        <v>9.56</v>
      </c>
      <c r="D89" s="64">
        <v>10.1</v>
      </c>
      <c r="E89" s="64">
        <v>3.52</v>
      </c>
      <c r="F89" s="64">
        <v>9.6999999999999993</v>
      </c>
      <c r="G89" s="64">
        <v>27.8</v>
      </c>
      <c r="H89" s="64">
        <v>5.64</v>
      </c>
      <c r="I89" s="64">
        <v>1.21</v>
      </c>
      <c r="J89" s="64">
        <v>0.39</v>
      </c>
      <c r="K89" s="64">
        <v>135.33000000000001</v>
      </c>
      <c r="L89" s="64">
        <v>24.45</v>
      </c>
      <c r="M89" s="64">
        <v>98.2</v>
      </c>
      <c r="N89" s="64">
        <v>30.7</v>
      </c>
      <c r="O89" s="64">
        <v>0</v>
      </c>
      <c r="P89" s="64">
        <v>0.3</v>
      </c>
      <c r="Q89" s="64">
        <v>9.5500000000000007</v>
      </c>
      <c r="R89" s="198"/>
      <c r="S89" s="198"/>
      <c r="T89" s="198"/>
      <c r="U89" s="198"/>
    </row>
    <row r="90" spans="1:26" s="12" customFormat="1" x14ac:dyDescent="0.25">
      <c r="A90" s="212" t="s">
        <v>2920</v>
      </c>
      <c r="B90" s="64">
        <v>6.18</v>
      </c>
      <c r="C90" s="64">
        <v>9.08</v>
      </c>
      <c r="D90" s="64">
        <v>9.6999999999999993</v>
      </c>
      <c r="E90" s="64">
        <v>3.67</v>
      </c>
      <c r="F90" s="64">
        <v>8.69</v>
      </c>
      <c r="G90" s="64">
        <v>26.16</v>
      </c>
      <c r="H90" s="64">
        <v>5.13</v>
      </c>
      <c r="I90" s="64">
        <v>1.1499999999999999</v>
      </c>
      <c r="J90" s="64">
        <v>0.37</v>
      </c>
      <c r="K90" s="64">
        <v>134.46</v>
      </c>
      <c r="L90" s="64">
        <v>24.29</v>
      </c>
      <c r="M90" s="64">
        <v>98.2</v>
      </c>
      <c r="N90" s="64">
        <v>30.6</v>
      </c>
      <c r="O90" s="64">
        <v>0</v>
      </c>
      <c r="P90" s="64">
        <v>0.3</v>
      </c>
      <c r="Q90" s="64">
        <v>9.56</v>
      </c>
      <c r="R90" s="198"/>
      <c r="S90" s="198"/>
      <c r="T90" s="198"/>
      <c r="U90" s="198"/>
    </row>
    <row r="91" spans="1:26" s="12" customFormat="1" x14ac:dyDescent="0.25">
      <c r="A91" s="212" t="s">
        <v>2921</v>
      </c>
      <c r="B91" s="64">
        <v>7.56</v>
      </c>
      <c r="C91" s="64">
        <v>10.09</v>
      </c>
      <c r="D91" s="64">
        <v>11.33</v>
      </c>
      <c r="E91" s="64">
        <v>4.17</v>
      </c>
      <c r="F91" s="64">
        <v>9.11</v>
      </c>
      <c r="G91" s="64">
        <v>26.16</v>
      </c>
      <c r="H91" s="64">
        <v>5.13</v>
      </c>
      <c r="I91" s="64">
        <v>1.18</v>
      </c>
      <c r="J91" s="64">
        <v>0.05</v>
      </c>
      <c r="K91" s="64">
        <v>130.07</v>
      </c>
      <c r="L91" s="64">
        <v>24.26</v>
      </c>
      <c r="M91" s="64">
        <v>98.23</v>
      </c>
      <c r="N91" s="64">
        <v>30.5</v>
      </c>
      <c r="O91" s="64">
        <v>0</v>
      </c>
      <c r="P91" s="64">
        <v>0.37</v>
      </c>
      <c r="Q91" s="64">
        <v>9.58</v>
      </c>
      <c r="R91" s="198"/>
      <c r="S91" s="198"/>
      <c r="T91" s="198"/>
      <c r="U91" s="198"/>
    </row>
    <row r="92" spans="1:26" s="12" customFormat="1" x14ac:dyDescent="0.25">
      <c r="A92" s="212" t="s">
        <v>2922</v>
      </c>
      <c r="B92" s="64">
        <v>9</v>
      </c>
      <c r="C92" s="64">
        <v>10.96</v>
      </c>
      <c r="D92" s="64">
        <v>12.95</v>
      </c>
      <c r="E92" s="64">
        <v>4.1500000000000004</v>
      </c>
      <c r="F92" s="64">
        <v>7.87</v>
      </c>
      <c r="G92" s="64">
        <v>26.16</v>
      </c>
      <c r="H92" s="64">
        <v>5.13</v>
      </c>
      <c r="I92" s="64">
        <v>1.17</v>
      </c>
      <c r="J92" s="64">
        <v>0.43</v>
      </c>
      <c r="K92" s="64">
        <v>144.27000000000001</v>
      </c>
      <c r="L92" s="64">
        <v>24.22</v>
      </c>
      <c r="M92" s="64">
        <v>98.25</v>
      </c>
      <c r="N92" s="64">
        <v>30.2</v>
      </c>
      <c r="O92" s="64">
        <v>0</v>
      </c>
      <c r="P92" s="64">
        <v>0.3</v>
      </c>
      <c r="Q92" s="64">
        <v>9.59</v>
      </c>
      <c r="R92" s="198"/>
      <c r="S92" s="198"/>
      <c r="T92" s="198"/>
      <c r="U92" s="198"/>
    </row>
    <row r="93" spans="1:26" s="12" customFormat="1" x14ac:dyDescent="0.25">
      <c r="A93" s="212" t="s">
        <v>2923</v>
      </c>
      <c r="B93" s="64">
        <v>8.5</v>
      </c>
      <c r="C93" s="64">
        <v>11.04</v>
      </c>
      <c r="D93" s="64">
        <v>12.59</v>
      </c>
      <c r="E93" s="64">
        <v>3.6</v>
      </c>
      <c r="F93" s="64">
        <v>8.0299999999999994</v>
      </c>
      <c r="G93" s="64">
        <v>26.01</v>
      </c>
      <c r="H93" s="64">
        <v>4.4800000000000004</v>
      </c>
      <c r="I93" s="64">
        <v>1.2</v>
      </c>
      <c r="J93" s="64">
        <v>0.31</v>
      </c>
      <c r="K93" s="64">
        <v>143.88999999999999</v>
      </c>
      <c r="L93" s="64">
        <v>24.29</v>
      </c>
      <c r="M93" s="64">
        <v>98.23</v>
      </c>
      <c r="N93" s="64">
        <v>30.5</v>
      </c>
      <c r="O93" s="64">
        <v>0</v>
      </c>
      <c r="P93" s="64">
        <v>0.3</v>
      </c>
      <c r="Q93" s="64">
        <v>9.59</v>
      </c>
      <c r="R93" s="198"/>
      <c r="S93" s="198"/>
      <c r="T93" s="198"/>
      <c r="U93" s="198"/>
    </row>
    <row r="94" spans="1:26" s="12" customFormat="1" x14ac:dyDescent="0.25">
      <c r="A94" s="212" t="s">
        <v>2924</v>
      </c>
      <c r="B94" s="64">
        <v>8.76</v>
      </c>
      <c r="C94" s="64">
        <v>11.04</v>
      </c>
      <c r="D94" s="64">
        <v>12.79</v>
      </c>
      <c r="E94" s="64">
        <v>3.95</v>
      </c>
      <c r="F94" s="64">
        <v>7.33</v>
      </c>
      <c r="G94" s="64">
        <v>25.83</v>
      </c>
      <c r="H94" s="64">
        <v>3.85</v>
      </c>
      <c r="I94" s="64">
        <v>1.29</v>
      </c>
      <c r="J94" s="64">
        <v>0.51</v>
      </c>
      <c r="K94" s="64">
        <v>147.19999999999999</v>
      </c>
      <c r="L94" s="64">
        <v>24.29</v>
      </c>
      <c r="M94" s="64">
        <v>98.22</v>
      </c>
      <c r="N94" s="64">
        <v>30.4</v>
      </c>
      <c r="O94" s="64">
        <v>0</v>
      </c>
      <c r="P94" s="64">
        <v>0.28999999999999998</v>
      </c>
      <c r="Q94" s="64">
        <v>9.6</v>
      </c>
      <c r="R94" s="198"/>
      <c r="S94" s="198"/>
      <c r="T94" s="198"/>
      <c r="U94" s="198"/>
    </row>
    <row r="95" spans="1:26" s="12" customFormat="1" x14ac:dyDescent="0.25">
      <c r="A95" s="212" t="s">
        <v>2925</v>
      </c>
      <c r="B95" s="64">
        <v>6.99</v>
      </c>
      <c r="C95" s="64">
        <v>10.27</v>
      </c>
      <c r="D95" s="64">
        <v>10.97</v>
      </c>
      <c r="E95" s="64">
        <v>3.65</v>
      </c>
      <c r="F95" s="64">
        <v>9.44</v>
      </c>
      <c r="G95" s="64">
        <v>25.83</v>
      </c>
      <c r="H95" s="64">
        <v>3.85</v>
      </c>
      <c r="I95" s="64">
        <v>1.29</v>
      </c>
      <c r="J95" s="64">
        <v>0.37</v>
      </c>
      <c r="K95" s="64">
        <v>137.21</v>
      </c>
      <c r="L95" s="64">
        <v>24.31</v>
      </c>
      <c r="M95" s="64">
        <v>98.22</v>
      </c>
      <c r="N95" s="64">
        <v>30.6</v>
      </c>
      <c r="O95" s="64">
        <v>0</v>
      </c>
      <c r="P95" s="64">
        <v>0.28000000000000003</v>
      </c>
      <c r="Q95" s="64">
        <v>9.61</v>
      </c>
      <c r="R95" s="198"/>
      <c r="S95" s="198"/>
      <c r="T95" s="198"/>
      <c r="U95" s="198"/>
    </row>
    <row r="96" spans="1:26" s="12" customFormat="1" x14ac:dyDescent="0.25">
      <c r="A96" s="212" t="s">
        <v>2926</v>
      </c>
      <c r="B96" s="64">
        <v>9.43</v>
      </c>
      <c r="C96" s="64">
        <v>10.15</v>
      </c>
      <c r="D96" s="64">
        <v>12.87</v>
      </c>
      <c r="E96" s="64">
        <v>3.83</v>
      </c>
      <c r="F96" s="64">
        <v>7.03</v>
      </c>
      <c r="G96" s="64">
        <v>25.83</v>
      </c>
      <c r="H96" s="64">
        <v>3.85</v>
      </c>
      <c r="I96" s="64">
        <v>1.29</v>
      </c>
      <c r="J96" s="64">
        <v>0.13</v>
      </c>
      <c r="K96" s="64">
        <v>157</v>
      </c>
      <c r="L96" s="64">
        <v>24.33</v>
      </c>
      <c r="M96" s="64">
        <v>98.22</v>
      </c>
      <c r="N96" s="64">
        <v>30.6</v>
      </c>
      <c r="O96" s="64">
        <v>0</v>
      </c>
      <c r="P96" s="64">
        <v>0.28999999999999998</v>
      </c>
      <c r="Q96" s="64">
        <v>9.61</v>
      </c>
      <c r="R96" s="198"/>
      <c r="S96" s="198"/>
      <c r="T96" s="198"/>
      <c r="U96" s="198"/>
      <c r="Z96" s="109"/>
    </row>
    <row r="97" spans="1:33" s="12" customFormat="1" x14ac:dyDescent="0.25">
      <c r="A97" s="212" t="s">
        <v>2927</v>
      </c>
      <c r="B97" s="64">
        <v>7.91</v>
      </c>
      <c r="C97" s="64">
        <v>10.55</v>
      </c>
      <c r="D97" s="64">
        <v>11.86</v>
      </c>
      <c r="E97" s="64">
        <v>4.07</v>
      </c>
      <c r="F97" s="64">
        <v>7.38</v>
      </c>
      <c r="G97" s="64">
        <v>24.45</v>
      </c>
      <c r="H97" s="64">
        <v>3.36</v>
      </c>
      <c r="I97" s="64">
        <v>1.29</v>
      </c>
      <c r="J97" s="64">
        <v>0.19</v>
      </c>
      <c r="K97" s="64">
        <v>165.08</v>
      </c>
      <c r="L97" s="64">
        <v>24.34</v>
      </c>
      <c r="M97" s="64">
        <v>98.2</v>
      </c>
      <c r="N97" s="64">
        <v>30.6</v>
      </c>
      <c r="O97" s="64">
        <v>0</v>
      </c>
      <c r="P97" s="64">
        <v>0.28999999999999998</v>
      </c>
      <c r="Q97" s="64">
        <v>9.6</v>
      </c>
      <c r="R97" s="198"/>
      <c r="S97" s="198"/>
      <c r="T97" s="198"/>
      <c r="U97" s="198"/>
    </row>
    <row r="98" spans="1:33" s="12" customFormat="1" x14ac:dyDescent="0.25">
      <c r="A98" s="212" t="s">
        <v>2928</v>
      </c>
      <c r="B98" s="64">
        <v>6.75</v>
      </c>
      <c r="C98" s="64">
        <v>10.51</v>
      </c>
      <c r="D98" s="64">
        <v>10.9</v>
      </c>
      <c r="E98" s="64">
        <v>3.89</v>
      </c>
      <c r="F98" s="64">
        <v>5.84</v>
      </c>
      <c r="G98" s="64">
        <v>22.72</v>
      </c>
      <c r="H98" s="64">
        <v>2.69</v>
      </c>
      <c r="I98" s="64">
        <v>1.27</v>
      </c>
      <c r="J98" s="64">
        <v>0.13</v>
      </c>
      <c r="K98" s="64">
        <v>188.56</v>
      </c>
      <c r="L98" s="64">
        <v>24.33</v>
      </c>
      <c r="M98" s="64">
        <v>98.22</v>
      </c>
      <c r="N98" s="64">
        <v>30.6</v>
      </c>
      <c r="O98" s="64">
        <v>0</v>
      </c>
      <c r="P98" s="64">
        <v>0.28999999999999998</v>
      </c>
      <c r="Q98" s="64">
        <v>9.59</v>
      </c>
      <c r="R98" s="198"/>
      <c r="S98" s="198"/>
      <c r="T98" s="198"/>
      <c r="U98" s="198"/>
    </row>
    <row r="99" spans="1:33" s="12" customFormat="1" x14ac:dyDescent="0.25">
      <c r="A99" s="212" t="s">
        <v>2929</v>
      </c>
      <c r="B99" s="64">
        <v>7.28</v>
      </c>
      <c r="C99" s="64">
        <v>10.36</v>
      </c>
      <c r="D99" s="64">
        <v>11.25</v>
      </c>
      <c r="E99" s="64">
        <v>3.73</v>
      </c>
      <c r="F99" s="64">
        <v>7.64</v>
      </c>
      <c r="G99" s="64">
        <v>22.72</v>
      </c>
      <c r="H99" s="64">
        <v>2.69</v>
      </c>
      <c r="I99" s="64">
        <v>1.1499999999999999</v>
      </c>
      <c r="J99" s="64">
        <v>0.25</v>
      </c>
      <c r="K99" s="64">
        <v>152.59</v>
      </c>
      <c r="L99" s="64">
        <v>24.24</v>
      </c>
      <c r="M99" s="64">
        <v>98.25</v>
      </c>
      <c r="N99" s="64">
        <v>30.5</v>
      </c>
      <c r="O99" s="64">
        <v>0</v>
      </c>
      <c r="P99" s="64">
        <v>0.27</v>
      </c>
      <c r="Q99" s="64">
        <v>9.58</v>
      </c>
      <c r="R99" s="198"/>
      <c r="S99" s="198"/>
      <c r="T99" s="198"/>
      <c r="U99" s="198"/>
    </row>
    <row r="100" spans="1:33" s="12" customFormat="1" x14ac:dyDescent="0.25">
      <c r="A100" s="212" t="s">
        <v>2930</v>
      </c>
      <c r="B100" s="64">
        <v>6.35</v>
      </c>
      <c r="C100" s="64">
        <v>10.26</v>
      </c>
      <c r="D100" s="64">
        <v>10.45</v>
      </c>
      <c r="E100" s="64">
        <v>3.63</v>
      </c>
      <c r="F100" s="64">
        <v>7.17</v>
      </c>
      <c r="G100" s="64">
        <v>22.72</v>
      </c>
      <c r="H100" s="64">
        <v>2.69</v>
      </c>
      <c r="I100" s="64">
        <v>1.06</v>
      </c>
      <c r="J100" s="64">
        <v>0.14000000000000001</v>
      </c>
      <c r="K100" s="64">
        <v>170.3</v>
      </c>
      <c r="L100" s="64">
        <v>24.15</v>
      </c>
      <c r="M100" s="64">
        <v>98.25</v>
      </c>
      <c r="N100" s="64">
        <v>30.6</v>
      </c>
      <c r="O100" s="64">
        <v>0</v>
      </c>
      <c r="P100" s="64">
        <v>0.26</v>
      </c>
      <c r="Q100" s="64">
        <v>9.58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2" t="s">
        <v>2931</v>
      </c>
      <c r="B101" s="64">
        <v>7.12</v>
      </c>
      <c r="C101" s="64">
        <v>8.01</v>
      </c>
      <c r="D101" s="64">
        <v>9.89</v>
      </c>
      <c r="E101" s="64">
        <v>3.84</v>
      </c>
      <c r="F101" s="64">
        <v>6.69</v>
      </c>
      <c r="G101" s="64">
        <v>20.63</v>
      </c>
      <c r="H101" s="64">
        <v>3.56</v>
      </c>
      <c r="I101" s="64">
        <v>1.05</v>
      </c>
      <c r="J101" s="64">
        <v>0.28999999999999998</v>
      </c>
      <c r="K101" s="64">
        <v>165.52</v>
      </c>
      <c r="L101" s="64">
        <v>24.07</v>
      </c>
      <c r="M101" s="64">
        <v>98.25</v>
      </c>
      <c r="N101" s="64">
        <v>30.4</v>
      </c>
      <c r="O101" s="64">
        <v>0</v>
      </c>
      <c r="P101" s="64">
        <v>0.28999999999999998</v>
      </c>
      <c r="Q101" s="64">
        <v>9.58</v>
      </c>
      <c r="R101" s="198"/>
      <c r="S101" s="198"/>
      <c r="T101" s="198"/>
      <c r="U101" s="198"/>
    </row>
    <row r="102" spans="1:33" s="12" customFormat="1" x14ac:dyDescent="0.25">
      <c r="A102" s="212" t="s">
        <v>2932</v>
      </c>
      <c r="B102" s="64">
        <v>6.33</v>
      </c>
      <c r="C102" s="64">
        <v>8.83</v>
      </c>
      <c r="D102" s="64">
        <v>9.69</v>
      </c>
      <c r="E102" s="64">
        <v>3.92</v>
      </c>
      <c r="F102" s="64">
        <v>6.62</v>
      </c>
      <c r="G102" s="64">
        <v>18.14</v>
      </c>
      <c r="H102" s="64">
        <v>4.22</v>
      </c>
      <c r="I102" s="64">
        <v>1.04</v>
      </c>
      <c r="J102" s="64">
        <v>0.14000000000000001</v>
      </c>
      <c r="K102" s="64">
        <v>159.69</v>
      </c>
      <c r="L102" s="64">
        <v>24</v>
      </c>
      <c r="M102" s="64">
        <v>98.24</v>
      </c>
      <c r="N102" s="64">
        <v>30.5</v>
      </c>
      <c r="O102" s="64">
        <v>0</v>
      </c>
      <c r="P102" s="64">
        <v>0.27</v>
      </c>
      <c r="Q102" s="64">
        <v>9.58</v>
      </c>
      <c r="R102" s="198"/>
      <c r="S102" s="198"/>
      <c r="T102" s="198"/>
      <c r="U102" s="198"/>
    </row>
    <row r="103" spans="1:33" s="12" customFormat="1" x14ac:dyDescent="0.25">
      <c r="A103" s="212" t="s">
        <v>2933</v>
      </c>
      <c r="B103" s="64">
        <v>6.72</v>
      </c>
      <c r="C103" s="64">
        <v>9.3000000000000007</v>
      </c>
      <c r="D103" s="64">
        <v>10.25</v>
      </c>
      <c r="E103" s="64">
        <v>3.75</v>
      </c>
      <c r="F103" s="64">
        <v>6.36</v>
      </c>
      <c r="G103" s="64">
        <v>18.14</v>
      </c>
      <c r="H103" s="64">
        <v>4.22</v>
      </c>
      <c r="I103" s="64">
        <v>1.03</v>
      </c>
      <c r="J103" s="64">
        <v>0.1</v>
      </c>
      <c r="K103" s="64">
        <v>213.44</v>
      </c>
      <c r="L103" s="64">
        <v>23.91</v>
      </c>
      <c r="M103" s="64">
        <v>98.26</v>
      </c>
      <c r="N103" s="64">
        <v>30.5</v>
      </c>
      <c r="O103" s="64">
        <v>0</v>
      </c>
      <c r="P103" s="64">
        <v>0.28000000000000003</v>
      </c>
      <c r="Q103" s="64">
        <v>9.57</v>
      </c>
      <c r="R103" s="198"/>
      <c r="S103" s="198"/>
      <c r="T103" s="198"/>
      <c r="U103" s="198"/>
    </row>
    <row r="104" spans="1:33" s="12" customFormat="1" x14ac:dyDescent="0.25">
      <c r="A104" s="212" t="s">
        <v>2934</v>
      </c>
      <c r="B104" s="64">
        <v>6.12</v>
      </c>
      <c r="C104" s="64">
        <v>9.91</v>
      </c>
      <c r="D104" s="64">
        <v>10.09</v>
      </c>
      <c r="E104" s="64">
        <v>4.55</v>
      </c>
      <c r="F104" s="64">
        <v>7.53</v>
      </c>
      <c r="G104" s="64">
        <v>18.14</v>
      </c>
      <c r="H104" s="64">
        <v>4.22</v>
      </c>
      <c r="I104" s="64">
        <v>1.02</v>
      </c>
      <c r="J104" s="64">
        <v>0.14000000000000001</v>
      </c>
      <c r="K104" s="64">
        <v>167.35</v>
      </c>
      <c r="L104" s="64">
        <v>23.87</v>
      </c>
      <c r="M104" s="64">
        <v>98.25</v>
      </c>
      <c r="N104" s="64">
        <v>30.3</v>
      </c>
      <c r="O104" s="64">
        <v>0</v>
      </c>
      <c r="P104" s="64">
        <v>0.25</v>
      </c>
      <c r="Q104" s="64">
        <v>9.57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4.95</v>
      </c>
      <c r="C106" s="67">
        <f>MIN(C9:C104)</f>
        <v>4.1399999999999997</v>
      </c>
      <c r="D106" s="67">
        <f t="shared" ref="D106:Q106" si="0">MIN(D9:D104)</f>
        <v>8.4</v>
      </c>
      <c r="E106" s="67">
        <f t="shared" si="0"/>
        <v>3.52</v>
      </c>
      <c r="F106" s="67">
        <f t="shared" si="0"/>
        <v>3.27</v>
      </c>
      <c r="G106" s="67">
        <f t="shared" si="0"/>
        <v>8.0399999999999991</v>
      </c>
      <c r="H106" s="67">
        <f t="shared" si="0"/>
        <v>2.69</v>
      </c>
      <c r="I106" s="67">
        <f t="shared" si="0"/>
        <v>0.96</v>
      </c>
      <c r="J106" s="67">
        <f t="shared" si="0"/>
        <v>0</v>
      </c>
      <c r="K106" s="67">
        <f t="shared" si="0"/>
        <v>29.33</v>
      </c>
      <c r="L106" s="67">
        <f t="shared" si="0"/>
        <v>22.05</v>
      </c>
      <c r="M106" s="67">
        <f t="shared" si="0"/>
        <v>86.3</v>
      </c>
      <c r="N106" s="67">
        <f t="shared" si="0"/>
        <v>30.2</v>
      </c>
      <c r="O106" s="67">
        <f t="shared" si="0"/>
        <v>0</v>
      </c>
      <c r="P106" s="67">
        <f t="shared" si="0"/>
        <v>0.21</v>
      </c>
      <c r="Q106" s="67">
        <f t="shared" si="0"/>
        <v>9.52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18.59</v>
      </c>
      <c r="C107" s="66">
        <f t="shared" ref="C107:Q107" si="1">MAX(C9:C104)</f>
        <v>17.670000000000002</v>
      </c>
      <c r="D107" s="66">
        <f t="shared" si="1"/>
        <v>19.12</v>
      </c>
      <c r="E107" s="66">
        <f t="shared" si="1"/>
        <v>4.6500000000000004</v>
      </c>
      <c r="F107" s="66">
        <f t="shared" si="1"/>
        <v>16.71</v>
      </c>
      <c r="G107" s="66">
        <f t="shared" si="1"/>
        <v>80.64</v>
      </c>
      <c r="H107" s="66">
        <f t="shared" si="1"/>
        <v>14.86</v>
      </c>
      <c r="I107" s="66">
        <f t="shared" si="1"/>
        <v>2.35</v>
      </c>
      <c r="J107" s="66">
        <f t="shared" si="1"/>
        <v>1.28</v>
      </c>
      <c r="K107" s="66">
        <f t="shared" si="1"/>
        <v>357.99</v>
      </c>
      <c r="L107" s="66">
        <f t="shared" si="1"/>
        <v>29.19</v>
      </c>
      <c r="M107" s="66">
        <f t="shared" si="1"/>
        <v>98.26</v>
      </c>
      <c r="N107" s="66">
        <f t="shared" si="1"/>
        <v>714.5</v>
      </c>
      <c r="O107" s="66">
        <f t="shared" si="1"/>
        <v>1.8</v>
      </c>
      <c r="P107" s="66">
        <f t="shared" si="1"/>
        <v>0.8</v>
      </c>
      <c r="Q107" s="66">
        <f t="shared" si="1"/>
        <v>9.69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8.9681249999999952</v>
      </c>
      <c r="C108" s="67">
        <f t="shared" ref="C108:Q108" si="2">AVERAGE(C9:C104)</f>
        <v>8.8733333333333331</v>
      </c>
      <c r="D108" s="67">
        <f t="shared" si="2"/>
        <v>11.826354166666668</v>
      </c>
      <c r="E108" s="67">
        <f t="shared" si="2"/>
        <v>4.0449999999999999</v>
      </c>
      <c r="F108" s="67">
        <f t="shared" si="2"/>
        <v>8.4751041666666698</v>
      </c>
      <c r="G108" s="67">
        <f t="shared" si="2"/>
        <v>23.507187499999986</v>
      </c>
      <c r="H108" s="67">
        <f t="shared" si="2"/>
        <v>8.1947916666666654</v>
      </c>
      <c r="I108" s="67">
        <f t="shared" si="2"/>
        <v>1.2500000000000007</v>
      </c>
      <c r="J108" s="67">
        <f t="shared" si="2"/>
        <v>0.3033333333333334</v>
      </c>
      <c r="K108" s="67">
        <f t="shared" si="2"/>
        <v>183.77291666666665</v>
      </c>
      <c r="L108" s="67">
        <f t="shared" si="2"/>
        <v>25.103333333333328</v>
      </c>
      <c r="M108" s="67">
        <f t="shared" si="2"/>
        <v>96.597499999999982</v>
      </c>
      <c r="N108" s="67">
        <f t="shared" si="2"/>
        <v>130.58020833333339</v>
      </c>
      <c r="O108" s="67">
        <f t="shared" si="2"/>
        <v>3.5416666666666673E-2</v>
      </c>
      <c r="P108" s="67">
        <f t="shared" si="2"/>
        <v>0.37083333333333329</v>
      </c>
      <c r="Q108" s="67">
        <f t="shared" si="2"/>
        <v>9.6036458333333314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2.7267637700935592</v>
      </c>
      <c r="C109" s="67">
        <f t="shared" ref="C109:Q109" si="3">STDEV(C9:C104)</f>
        <v>2.9295469980928961</v>
      </c>
      <c r="D109" s="67">
        <f t="shared" si="3"/>
        <v>2.3026420156404881</v>
      </c>
      <c r="E109" s="67">
        <f t="shared" si="3"/>
        <v>0.24212219620418288</v>
      </c>
      <c r="F109" s="67">
        <f t="shared" si="3"/>
        <v>3.4833096768482266</v>
      </c>
      <c r="G109" s="67">
        <f t="shared" si="3"/>
        <v>14.698261243614025</v>
      </c>
      <c r="H109" s="67">
        <f t="shared" si="3"/>
        <v>3.0567929458887253</v>
      </c>
      <c r="I109" s="67">
        <f t="shared" si="3"/>
        <v>0.30092139207860324</v>
      </c>
      <c r="J109" s="67">
        <f t="shared" si="3"/>
        <v>0.23886867859565658</v>
      </c>
      <c r="K109" s="67">
        <f t="shared" si="3"/>
        <v>77.420539596437152</v>
      </c>
      <c r="L109" s="67">
        <f t="shared" si="3"/>
        <v>2.3440611033290812</v>
      </c>
      <c r="M109" s="67">
        <f t="shared" si="3"/>
        <v>2.979104775458207</v>
      </c>
      <c r="N109" s="67">
        <f t="shared" si="3"/>
        <v>158.4730404565239</v>
      </c>
      <c r="O109" s="67">
        <f t="shared" si="3"/>
        <v>0.23214295353767037</v>
      </c>
      <c r="P109" s="67">
        <f t="shared" si="3"/>
        <v>0.10912731981417205</v>
      </c>
      <c r="Q109" s="67">
        <f t="shared" si="3"/>
        <v>4.1450535941342938E-2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216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selection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29/08/2025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224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2" t="s">
        <v>2935</v>
      </c>
      <c r="B9" s="64">
        <v>6.69</v>
      </c>
      <c r="C9" s="64">
        <v>8.99</v>
      </c>
      <c r="D9" s="64">
        <v>10.06</v>
      </c>
      <c r="E9" s="64">
        <v>4.4000000000000004</v>
      </c>
      <c r="F9" s="64">
        <v>6.7</v>
      </c>
      <c r="G9" s="64">
        <v>18.649999999999999</v>
      </c>
      <c r="H9" s="64">
        <v>3.84</v>
      </c>
      <c r="I9" s="64">
        <v>1.0900000000000001</v>
      </c>
      <c r="J9" s="64">
        <v>0.12</v>
      </c>
      <c r="K9" s="64">
        <v>167.18</v>
      </c>
      <c r="L9" s="64">
        <v>23.91</v>
      </c>
      <c r="M9" s="64">
        <v>98.27</v>
      </c>
      <c r="N9" s="64">
        <v>30.6</v>
      </c>
      <c r="O9" s="64">
        <v>0</v>
      </c>
      <c r="P9" s="64">
        <v>0.25</v>
      </c>
      <c r="Q9" s="64">
        <v>9.57</v>
      </c>
      <c r="R9" s="198"/>
      <c r="S9" s="198"/>
      <c r="T9" s="198"/>
      <c r="U9" s="198"/>
    </row>
    <row r="10" spans="1:21" s="12" customFormat="1" x14ac:dyDescent="0.25">
      <c r="A10" s="212" t="s">
        <v>2936</v>
      </c>
      <c r="B10" s="64">
        <v>5.98</v>
      </c>
      <c r="C10" s="64">
        <v>9.68</v>
      </c>
      <c r="D10" s="64">
        <v>9.85</v>
      </c>
      <c r="E10" s="64">
        <v>4.28</v>
      </c>
      <c r="F10" s="64">
        <v>7.48</v>
      </c>
      <c r="G10" s="64">
        <v>19.28</v>
      </c>
      <c r="H10" s="64">
        <v>3.59</v>
      </c>
      <c r="I10" s="64">
        <v>1.1499999999999999</v>
      </c>
      <c r="J10" s="64">
        <v>0.14000000000000001</v>
      </c>
      <c r="K10" s="64">
        <v>167.98</v>
      </c>
      <c r="L10" s="64">
        <v>23.87</v>
      </c>
      <c r="M10" s="64">
        <v>98.26</v>
      </c>
      <c r="N10" s="64">
        <v>30.5</v>
      </c>
      <c r="O10" s="64">
        <v>0</v>
      </c>
      <c r="P10" s="64">
        <v>0.23</v>
      </c>
      <c r="Q10" s="64">
        <v>9.59</v>
      </c>
      <c r="R10" s="198"/>
      <c r="S10" s="198"/>
      <c r="T10" s="198"/>
      <c r="U10" s="198"/>
    </row>
    <row r="11" spans="1:21" s="12" customFormat="1" x14ac:dyDescent="0.25">
      <c r="A11" s="212" t="s">
        <v>2937</v>
      </c>
      <c r="B11" s="64">
        <v>6.09</v>
      </c>
      <c r="C11" s="64">
        <v>8.3699999999999992</v>
      </c>
      <c r="D11" s="64">
        <v>9.25</v>
      </c>
      <c r="E11" s="64">
        <v>4.5999999999999996</v>
      </c>
      <c r="F11" s="64">
        <v>8.3000000000000007</v>
      </c>
      <c r="G11" s="64">
        <v>19.28</v>
      </c>
      <c r="H11" s="64">
        <v>3.59</v>
      </c>
      <c r="I11" s="64">
        <v>1.1399999999999999</v>
      </c>
      <c r="J11" s="64">
        <v>0.18</v>
      </c>
      <c r="K11" s="64">
        <v>177.92</v>
      </c>
      <c r="L11" s="64">
        <v>23.81</v>
      </c>
      <c r="M11" s="64">
        <v>98.27</v>
      </c>
      <c r="N11" s="64">
        <v>30.4</v>
      </c>
      <c r="O11" s="64">
        <v>0</v>
      </c>
      <c r="P11" s="64">
        <v>0.23</v>
      </c>
      <c r="Q11" s="64">
        <v>9.59</v>
      </c>
      <c r="R11" s="198"/>
      <c r="S11" s="198"/>
      <c r="T11" s="198"/>
      <c r="U11" s="198"/>
    </row>
    <row r="12" spans="1:21" s="12" customFormat="1" x14ac:dyDescent="0.25">
      <c r="A12" s="212" t="s">
        <v>2938</v>
      </c>
      <c r="B12" s="64">
        <v>6.19</v>
      </c>
      <c r="C12" s="64">
        <v>7.53</v>
      </c>
      <c r="D12" s="64">
        <v>8.9</v>
      </c>
      <c r="E12" s="64">
        <v>4.68</v>
      </c>
      <c r="F12" s="64">
        <v>9.0500000000000007</v>
      </c>
      <c r="G12" s="64">
        <v>19.28</v>
      </c>
      <c r="H12" s="64">
        <v>3.59</v>
      </c>
      <c r="I12" s="64">
        <v>1.06</v>
      </c>
      <c r="J12" s="64">
        <v>0.24</v>
      </c>
      <c r="K12" s="64">
        <v>156.88</v>
      </c>
      <c r="L12" s="64">
        <v>23.74</v>
      </c>
      <c r="M12" s="64">
        <v>98.27</v>
      </c>
      <c r="N12" s="64">
        <v>30.6</v>
      </c>
      <c r="O12" s="64">
        <v>0</v>
      </c>
      <c r="P12" s="64">
        <v>0.22</v>
      </c>
      <c r="Q12" s="64">
        <v>9.59</v>
      </c>
      <c r="R12" s="198"/>
      <c r="S12" s="198"/>
      <c r="T12" s="198"/>
      <c r="U12" s="198"/>
    </row>
    <row r="13" spans="1:21" s="12" customFormat="1" x14ac:dyDescent="0.25">
      <c r="A13" s="212" t="s">
        <v>2939</v>
      </c>
      <c r="B13" s="64">
        <v>6.01</v>
      </c>
      <c r="C13" s="64">
        <v>7.08</v>
      </c>
      <c r="D13" s="64">
        <v>8.52</v>
      </c>
      <c r="E13" s="64">
        <v>4.5</v>
      </c>
      <c r="F13" s="64">
        <v>8.76</v>
      </c>
      <c r="G13" s="64">
        <v>18.010000000000002</v>
      </c>
      <c r="H13" s="64">
        <v>3.13</v>
      </c>
      <c r="I13" s="64">
        <v>1.07</v>
      </c>
      <c r="J13" s="64">
        <v>0.4</v>
      </c>
      <c r="K13" s="64">
        <v>139.85</v>
      </c>
      <c r="L13" s="64">
        <v>23.72</v>
      </c>
      <c r="M13" s="64">
        <v>98.28</v>
      </c>
      <c r="N13" s="64">
        <v>30.3</v>
      </c>
      <c r="O13" s="64">
        <v>0</v>
      </c>
      <c r="P13" s="64">
        <v>0.21</v>
      </c>
      <c r="Q13" s="64">
        <v>9.6</v>
      </c>
      <c r="R13" s="198"/>
      <c r="S13" s="198"/>
      <c r="T13" s="198"/>
      <c r="U13" s="198"/>
    </row>
    <row r="14" spans="1:21" s="12" customFormat="1" x14ac:dyDescent="0.25">
      <c r="A14" s="212" t="s">
        <v>2940</v>
      </c>
      <c r="B14" s="64">
        <v>5.99</v>
      </c>
      <c r="C14" s="64">
        <v>7.12</v>
      </c>
      <c r="D14" s="64">
        <v>8.52</v>
      </c>
      <c r="E14" s="64">
        <v>4.54</v>
      </c>
      <c r="F14" s="64">
        <v>7.79</v>
      </c>
      <c r="G14" s="64">
        <v>16.43</v>
      </c>
      <c r="H14" s="64">
        <v>2.74</v>
      </c>
      <c r="I14" s="64">
        <v>1.1499999999999999</v>
      </c>
      <c r="J14" s="64">
        <v>0.15</v>
      </c>
      <c r="K14" s="64">
        <v>119.35</v>
      </c>
      <c r="L14" s="64">
        <v>23.69</v>
      </c>
      <c r="M14" s="64">
        <v>98.28</v>
      </c>
      <c r="N14" s="64">
        <v>30.4</v>
      </c>
      <c r="O14" s="64">
        <v>0</v>
      </c>
      <c r="P14" s="64">
        <v>0.21</v>
      </c>
      <c r="Q14" s="64">
        <v>9.6</v>
      </c>
      <c r="R14" s="198"/>
      <c r="S14" s="198"/>
      <c r="T14" s="198"/>
      <c r="U14" s="198"/>
    </row>
    <row r="15" spans="1:21" s="12" customFormat="1" x14ac:dyDescent="0.25">
      <c r="A15" s="212" t="s">
        <v>2941</v>
      </c>
      <c r="B15" s="64">
        <v>6.17</v>
      </c>
      <c r="C15" s="64">
        <v>6.84</v>
      </c>
      <c r="D15" s="64">
        <v>8.52</v>
      </c>
      <c r="E15" s="64">
        <v>4.43</v>
      </c>
      <c r="F15" s="64">
        <v>8.16</v>
      </c>
      <c r="G15" s="64">
        <v>16.43</v>
      </c>
      <c r="H15" s="64">
        <v>2.74</v>
      </c>
      <c r="I15" s="64">
        <v>1.1599999999999999</v>
      </c>
      <c r="J15" s="64">
        <v>0.45</v>
      </c>
      <c r="K15" s="64">
        <v>146.08000000000001</v>
      </c>
      <c r="L15" s="64">
        <v>23.64</v>
      </c>
      <c r="M15" s="64">
        <v>98.28</v>
      </c>
      <c r="N15" s="64">
        <v>30.3</v>
      </c>
      <c r="O15" s="64">
        <v>0</v>
      </c>
      <c r="P15" s="64">
        <v>0.2</v>
      </c>
      <c r="Q15" s="64">
        <v>9.6</v>
      </c>
      <c r="R15" s="198"/>
      <c r="S15" s="198"/>
      <c r="T15" s="198"/>
      <c r="U15" s="198"/>
    </row>
    <row r="16" spans="1:21" s="12" customFormat="1" x14ac:dyDescent="0.25">
      <c r="A16" s="212" t="s">
        <v>2942</v>
      </c>
      <c r="B16" s="64">
        <v>6.29</v>
      </c>
      <c r="C16" s="64">
        <v>6.24</v>
      </c>
      <c r="D16" s="64">
        <v>8.3000000000000007</v>
      </c>
      <c r="E16" s="64">
        <v>4.5199999999999996</v>
      </c>
      <c r="F16" s="64">
        <v>7.65</v>
      </c>
      <c r="G16" s="64">
        <v>16.43</v>
      </c>
      <c r="H16" s="64">
        <v>2.74</v>
      </c>
      <c r="I16" s="64">
        <v>1.1599999999999999</v>
      </c>
      <c r="J16" s="64">
        <v>0.33</v>
      </c>
      <c r="K16" s="64">
        <v>150.82</v>
      </c>
      <c r="L16" s="64">
        <v>23.65</v>
      </c>
      <c r="M16" s="64">
        <v>98.28</v>
      </c>
      <c r="N16" s="64">
        <v>30.5</v>
      </c>
      <c r="O16" s="64">
        <v>0</v>
      </c>
      <c r="P16" s="64">
        <v>0.22</v>
      </c>
      <c r="Q16" s="64">
        <v>9.6</v>
      </c>
      <c r="R16" s="198"/>
      <c r="S16" s="198"/>
      <c r="T16" s="198"/>
      <c r="U16" s="198"/>
    </row>
    <row r="17" spans="1:21" s="12" customFormat="1" x14ac:dyDescent="0.25">
      <c r="A17" s="212" t="s">
        <v>2943</v>
      </c>
      <c r="B17" s="64">
        <v>6.27</v>
      </c>
      <c r="C17" s="64">
        <v>6.08</v>
      </c>
      <c r="D17" s="64">
        <v>8.2100000000000009</v>
      </c>
      <c r="E17" s="64">
        <v>4.5599999999999996</v>
      </c>
      <c r="F17" s="64">
        <v>7.35</v>
      </c>
      <c r="G17" s="64">
        <v>15.38</v>
      </c>
      <c r="H17" s="64">
        <v>2.64</v>
      </c>
      <c r="I17" s="64">
        <v>1.1599999999999999</v>
      </c>
      <c r="J17" s="64">
        <v>0.43</v>
      </c>
      <c r="K17" s="64">
        <v>144.34</v>
      </c>
      <c r="L17" s="64">
        <v>23.66</v>
      </c>
      <c r="M17" s="64">
        <v>98.3</v>
      </c>
      <c r="N17" s="64">
        <v>30.6</v>
      </c>
      <c r="O17" s="64">
        <v>0</v>
      </c>
      <c r="P17" s="64">
        <v>0.22</v>
      </c>
      <c r="Q17" s="64">
        <v>9.61</v>
      </c>
      <c r="R17" s="198"/>
      <c r="S17" s="198"/>
      <c r="T17" s="198"/>
      <c r="U17" s="198"/>
    </row>
    <row r="18" spans="1:21" s="12" customFormat="1" x14ac:dyDescent="0.25">
      <c r="A18" s="212" t="s">
        <v>2944</v>
      </c>
      <c r="B18" s="64">
        <v>7.33</v>
      </c>
      <c r="C18" s="64">
        <v>5.65</v>
      </c>
      <c r="D18" s="64">
        <v>8.82</v>
      </c>
      <c r="E18" s="64">
        <v>4.75</v>
      </c>
      <c r="F18" s="64">
        <v>5</v>
      </c>
      <c r="G18" s="64">
        <v>14.07</v>
      </c>
      <c r="H18" s="64">
        <v>2.36</v>
      </c>
      <c r="I18" s="64">
        <v>1.1599999999999999</v>
      </c>
      <c r="J18" s="64">
        <v>0.17</v>
      </c>
      <c r="K18" s="64">
        <v>160.83000000000001</v>
      </c>
      <c r="L18" s="64">
        <v>23.62</v>
      </c>
      <c r="M18" s="64">
        <v>98.3</v>
      </c>
      <c r="N18" s="64">
        <v>30.6</v>
      </c>
      <c r="O18" s="64">
        <v>0</v>
      </c>
      <c r="P18" s="64">
        <v>0.26</v>
      </c>
      <c r="Q18" s="64">
        <v>9.6</v>
      </c>
      <c r="R18" s="198"/>
      <c r="S18" s="198"/>
      <c r="T18" s="198"/>
      <c r="U18" s="198"/>
    </row>
    <row r="19" spans="1:21" s="12" customFormat="1" x14ac:dyDescent="0.25">
      <c r="A19" s="212" t="s">
        <v>2945</v>
      </c>
      <c r="B19" s="64">
        <v>6.92</v>
      </c>
      <c r="C19" s="64">
        <v>5.94</v>
      </c>
      <c r="D19" s="64">
        <v>8.65</v>
      </c>
      <c r="E19" s="64">
        <v>4.57</v>
      </c>
      <c r="F19" s="64">
        <v>5.88</v>
      </c>
      <c r="G19" s="64">
        <v>14.07</v>
      </c>
      <c r="H19" s="64">
        <v>2.36</v>
      </c>
      <c r="I19" s="64">
        <v>1.1399999999999999</v>
      </c>
      <c r="J19" s="64">
        <v>0.31</v>
      </c>
      <c r="K19" s="64">
        <v>158.13999999999999</v>
      </c>
      <c r="L19" s="64">
        <v>23.56</v>
      </c>
      <c r="M19" s="64">
        <v>98.3</v>
      </c>
      <c r="N19" s="64">
        <v>30.5</v>
      </c>
      <c r="O19" s="64">
        <v>0</v>
      </c>
      <c r="P19" s="64">
        <v>0.22</v>
      </c>
      <c r="Q19" s="64">
        <v>9.58</v>
      </c>
      <c r="R19" s="198"/>
      <c r="S19" s="198"/>
      <c r="T19" s="198"/>
      <c r="U19" s="198"/>
    </row>
    <row r="20" spans="1:21" s="12" customFormat="1" x14ac:dyDescent="0.25">
      <c r="A20" s="212" t="s">
        <v>2946</v>
      </c>
      <c r="B20" s="64">
        <v>7.43</v>
      </c>
      <c r="C20" s="64">
        <v>5.48</v>
      </c>
      <c r="D20" s="64">
        <v>8.82</v>
      </c>
      <c r="E20" s="64">
        <v>4.53</v>
      </c>
      <c r="F20" s="64">
        <v>5.45</v>
      </c>
      <c r="G20" s="64">
        <v>14.07</v>
      </c>
      <c r="H20" s="64">
        <v>2.36</v>
      </c>
      <c r="I20" s="64">
        <v>1.0900000000000001</v>
      </c>
      <c r="J20" s="64">
        <v>0.15</v>
      </c>
      <c r="K20" s="64">
        <v>153.38</v>
      </c>
      <c r="L20" s="64">
        <v>23.5</v>
      </c>
      <c r="M20" s="64">
        <v>98.3</v>
      </c>
      <c r="N20" s="64">
        <v>30.5</v>
      </c>
      <c r="O20" s="64">
        <v>0</v>
      </c>
      <c r="P20" s="64">
        <v>0.25</v>
      </c>
      <c r="Q20" s="64">
        <v>9.58</v>
      </c>
      <c r="R20" s="198"/>
      <c r="S20" s="198"/>
      <c r="T20" s="198"/>
      <c r="U20" s="198"/>
    </row>
    <row r="21" spans="1:21" s="12" customFormat="1" x14ac:dyDescent="0.25">
      <c r="A21" s="212" t="s">
        <v>2947</v>
      </c>
      <c r="B21" s="64">
        <v>6.42</v>
      </c>
      <c r="C21" s="64">
        <v>5.9</v>
      </c>
      <c r="D21" s="64">
        <v>8.23</v>
      </c>
      <c r="E21" s="64">
        <v>4.5</v>
      </c>
      <c r="F21" s="64">
        <v>6.29</v>
      </c>
      <c r="G21" s="64">
        <v>15.19</v>
      </c>
      <c r="H21" s="64">
        <v>2.23</v>
      </c>
      <c r="I21" s="64">
        <v>1.05</v>
      </c>
      <c r="J21" s="64">
        <v>0.23</v>
      </c>
      <c r="K21" s="64">
        <v>155.13999999999999</v>
      </c>
      <c r="L21" s="64">
        <v>23.49</v>
      </c>
      <c r="M21" s="64">
        <v>98.3</v>
      </c>
      <c r="N21" s="64">
        <v>30.4</v>
      </c>
      <c r="O21" s="64">
        <v>0</v>
      </c>
      <c r="P21" s="64">
        <v>0.19</v>
      </c>
      <c r="Q21" s="64">
        <v>9.57</v>
      </c>
      <c r="R21" s="198"/>
      <c r="S21" s="198"/>
      <c r="T21" s="198"/>
      <c r="U21" s="198"/>
    </row>
    <row r="22" spans="1:21" s="12" customFormat="1" x14ac:dyDescent="0.25">
      <c r="A22" s="212" t="s">
        <v>2948</v>
      </c>
      <c r="B22" s="64">
        <v>7.33</v>
      </c>
      <c r="C22" s="64">
        <v>5.47</v>
      </c>
      <c r="D22" s="64">
        <v>8.73</v>
      </c>
      <c r="E22" s="64">
        <v>4.3</v>
      </c>
      <c r="F22" s="64">
        <v>5.1100000000000003</v>
      </c>
      <c r="G22" s="64">
        <v>16.579999999999998</v>
      </c>
      <c r="H22" s="64">
        <v>2.0299999999999998</v>
      </c>
      <c r="I22" s="64">
        <v>1.03</v>
      </c>
      <c r="J22" s="64">
        <v>0.3</v>
      </c>
      <c r="K22" s="64">
        <v>148.77000000000001</v>
      </c>
      <c r="L22" s="64">
        <v>23.49</v>
      </c>
      <c r="M22" s="64">
        <v>98.32</v>
      </c>
      <c r="N22" s="64">
        <v>30.6</v>
      </c>
      <c r="O22" s="64">
        <v>0</v>
      </c>
      <c r="P22" s="64">
        <v>0.24</v>
      </c>
      <c r="Q22" s="64">
        <v>9.57</v>
      </c>
      <c r="R22" s="198"/>
      <c r="S22" s="198"/>
      <c r="T22" s="198"/>
      <c r="U22" s="198"/>
    </row>
    <row r="23" spans="1:21" s="12" customFormat="1" x14ac:dyDescent="0.25">
      <c r="A23" s="212" t="s">
        <v>2949</v>
      </c>
      <c r="B23" s="64">
        <v>6.34</v>
      </c>
      <c r="C23" s="64">
        <v>5.95</v>
      </c>
      <c r="D23" s="64">
        <v>8.1999999999999993</v>
      </c>
      <c r="E23" s="64">
        <v>4.34</v>
      </c>
      <c r="F23" s="64">
        <v>6.07</v>
      </c>
      <c r="G23" s="64">
        <v>16.579999999999998</v>
      </c>
      <c r="H23" s="64">
        <v>2.0299999999999998</v>
      </c>
      <c r="I23" s="64">
        <v>1.01</v>
      </c>
      <c r="J23" s="64">
        <v>0.36</v>
      </c>
      <c r="K23" s="64">
        <v>148.38</v>
      </c>
      <c r="L23" s="64">
        <v>23.55</v>
      </c>
      <c r="M23" s="64">
        <v>98.33</v>
      </c>
      <c r="N23" s="64">
        <v>30.6</v>
      </c>
      <c r="O23" s="64">
        <v>0</v>
      </c>
      <c r="P23" s="64">
        <v>0.2</v>
      </c>
      <c r="Q23" s="64">
        <v>9.56</v>
      </c>
      <c r="R23" s="198"/>
      <c r="S23" s="198"/>
      <c r="T23" s="198"/>
      <c r="U23" s="198"/>
    </row>
    <row r="24" spans="1:21" s="12" customFormat="1" x14ac:dyDescent="0.25">
      <c r="A24" s="212" t="s">
        <v>2950</v>
      </c>
      <c r="B24" s="64">
        <v>7.65</v>
      </c>
      <c r="C24" s="64">
        <v>5.61</v>
      </c>
      <c r="D24" s="64">
        <v>9.06</v>
      </c>
      <c r="E24" s="64">
        <v>4.38</v>
      </c>
      <c r="F24" s="64">
        <v>3.91</v>
      </c>
      <c r="G24" s="64">
        <v>16.579999999999998</v>
      </c>
      <c r="H24" s="64">
        <v>2.0299999999999998</v>
      </c>
      <c r="I24" s="64">
        <v>1</v>
      </c>
      <c r="J24" s="64">
        <v>0.72</v>
      </c>
      <c r="K24" s="64">
        <v>145.6</v>
      </c>
      <c r="L24" s="64">
        <v>23.63</v>
      </c>
      <c r="M24" s="64">
        <v>98.33</v>
      </c>
      <c r="N24" s="64">
        <v>30.7</v>
      </c>
      <c r="O24" s="64">
        <v>0</v>
      </c>
      <c r="P24" s="64">
        <v>0.25</v>
      </c>
      <c r="Q24" s="64">
        <v>9.56</v>
      </c>
      <c r="R24" s="198"/>
      <c r="S24" s="198"/>
      <c r="T24" s="198"/>
      <c r="U24" s="198"/>
    </row>
    <row r="25" spans="1:21" s="12" customFormat="1" x14ac:dyDescent="0.25">
      <c r="A25" s="212" t="s">
        <v>2951</v>
      </c>
      <c r="B25" s="64">
        <v>6.77</v>
      </c>
      <c r="C25" s="64">
        <v>5.63</v>
      </c>
      <c r="D25" s="64">
        <v>8.3699999999999992</v>
      </c>
      <c r="E25" s="64">
        <v>4.24</v>
      </c>
      <c r="F25" s="64">
        <v>6.93</v>
      </c>
      <c r="G25" s="64">
        <v>14.55</v>
      </c>
      <c r="H25" s="64">
        <v>2.33</v>
      </c>
      <c r="I25" s="64">
        <v>0.99</v>
      </c>
      <c r="J25" s="64">
        <v>0.56999999999999995</v>
      </c>
      <c r="K25" s="64">
        <v>145.54</v>
      </c>
      <c r="L25" s="64">
        <v>23.62</v>
      </c>
      <c r="M25" s="64">
        <v>98.32</v>
      </c>
      <c r="N25" s="64">
        <v>30.8</v>
      </c>
      <c r="O25" s="64">
        <v>0</v>
      </c>
      <c r="P25" s="64">
        <v>0.2</v>
      </c>
      <c r="Q25" s="64">
        <v>9.56</v>
      </c>
      <c r="R25" s="198"/>
      <c r="S25" s="198"/>
      <c r="T25" s="198"/>
      <c r="U25" s="198"/>
    </row>
    <row r="26" spans="1:21" s="12" customFormat="1" x14ac:dyDescent="0.25">
      <c r="A26" s="212" t="s">
        <v>2952</v>
      </c>
      <c r="B26" s="64">
        <v>7.68</v>
      </c>
      <c r="C26" s="64">
        <v>5.31</v>
      </c>
      <c r="D26" s="64">
        <v>8.93</v>
      </c>
      <c r="E26" s="64">
        <v>4.34</v>
      </c>
      <c r="F26" s="64">
        <v>3.52</v>
      </c>
      <c r="G26" s="64">
        <v>12.01</v>
      </c>
      <c r="H26" s="64">
        <v>2.61</v>
      </c>
      <c r="I26" s="64">
        <v>0.97</v>
      </c>
      <c r="J26" s="64">
        <v>0.59</v>
      </c>
      <c r="K26" s="64">
        <v>144.07</v>
      </c>
      <c r="L26" s="64">
        <v>23.63</v>
      </c>
      <c r="M26" s="64">
        <v>98.31</v>
      </c>
      <c r="N26" s="64">
        <v>30.6</v>
      </c>
      <c r="O26" s="64">
        <v>0</v>
      </c>
      <c r="P26" s="64">
        <v>0.24</v>
      </c>
      <c r="Q26" s="64">
        <v>9.56</v>
      </c>
      <c r="R26" s="198"/>
      <c r="S26" s="198"/>
      <c r="T26" s="198"/>
      <c r="U26" s="198"/>
    </row>
    <row r="27" spans="1:21" s="12" customFormat="1" x14ac:dyDescent="0.25">
      <c r="A27" s="212" t="s">
        <v>2953</v>
      </c>
      <c r="B27" s="64">
        <v>7.31</v>
      </c>
      <c r="C27" s="64">
        <v>5.39</v>
      </c>
      <c r="D27" s="64">
        <v>8.68</v>
      </c>
      <c r="E27" s="64">
        <v>4.26</v>
      </c>
      <c r="F27" s="64">
        <v>5.24</v>
      </c>
      <c r="G27" s="64">
        <v>12.01</v>
      </c>
      <c r="H27" s="64">
        <v>2.61</v>
      </c>
      <c r="I27" s="64">
        <v>0.96</v>
      </c>
      <c r="J27" s="64">
        <v>0.65</v>
      </c>
      <c r="K27" s="64">
        <v>138.94</v>
      </c>
      <c r="L27" s="64">
        <v>23.69</v>
      </c>
      <c r="M27" s="64">
        <v>98.31</v>
      </c>
      <c r="N27" s="64">
        <v>30.7</v>
      </c>
      <c r="O27" s="64">
        <v>0</v>
      </c>
      <c r="P27" s="64">
        <v>0.2</v>
      </c>
      <c r="Q27" s="64">
        <v>9.56</v>
      </c>
      <c r="R27" s="198"/>
      <c r="S27" s="198"/>
      <c r="T27" s="198"/>
      <c r="U27" s="198"/>
    </row>
    <row r="28" spans="1:21" s="12" customFormat="1" x14ac:dyDescent="0.25">
      <c r="A28" s="212" t="s">
        <v>2954</v>
      </c>
      <c r="B28" s="64">
        <v>7.18</v>
      </c>
      <c r="C28" s="64">
        <v>5.61</v>
      </c>
      <c r="D28" s="64">
        <v>8.69</v>
      </c>
      <c r="E28" s="64">
        <v>4.38</v>
      </c>
      <c r="F28" s="64">
        <v>6.56</v>
      </c>
      <c r="G28" s="64">
        <v>12.01</v>
      </c>
      <c r="H28" s="64">
        <v>2.61</v>
      </c>
      <c r="I28" s="64">
        <v>0.95</v>
      </c>
      <c r="J28" s="64">
        <v>0.89</v>
      </c>
      <c r="K28" s="64">
        <v>139.19</v>
      </c>
      <c r="L28" s="64">
        <v>23.64</v>
      </c>
      <c r="M28" s="64">
        <v>98.29</v>
      </c>
      <c r="N28" s="64">
        <v>31.9</v>
      </c>
      <c r="O28" s="64">
        <v>0</v>
      </c>
      <c r="P28" s="64">
        <v>0.21</v>
      </c>
      <c r="Q28" s="64">
        <v>9.56</v>
      </c>
      <c r="R28" s="198"/>
      <c r="S28" s="198"/>
      <c r="T28" s="198"/>
      <c r="U28" s="198"/>
    </row>
    <row r="29" spans="1:21" s="12" customFormat="1" x14ac:dyDescent="0.25">
      <c r="A29" s="212" t="s">
        <v>2955</v>
      </c>
      <c r="B29" s="64">
        <v>7.31</v>
      </c>
      <c r="C29" s="64">
        <v>5.51</v>
      </c>
      <c r="D29" s="64">
        <v>8.74</v>
      </c>
      <c r="E29" s="64">
        <v>4.3099999999999996</v>
      </c>
      <c r="F29" s="64">
        <v>6.74</v>
      </c>
      <c r="G29" s="64">
        <v>12.32</v>
      </c>
      <c r="H29" s="64">
        <v>2.48</v>
      </c>
      <c r="I29" s="64">
        <v>0.95</v>
      </c>
      <c r="J29" s="64">
        <v>0.39</v>
      </c>
      <c r="K29" s="64">
        <v>136.38</v>
      </c>
      <c r="L29" s="64">
        <v>22.86</v>
      </c>
      <c r="M29" s="64">
        <v>98.24</v>
      </c>
      <c r="N29" s="64">
        <v>31.7</v>
      </c>
      <c r="O29" s="64">
        <v>0.2</v>
      </c>
      <c r="P29" s="64">
        <v>0.19</v>
      </c>
      <c r="Q29" s="64">
        <v>9.56</v>
      </c>
      <c r="R29" s="198"/>
      <c r="S29" s="198"/>
      <c r="T29" s="198"/>
      <c r="U29" s="198"/>
    </row>
    <row r="30" spans="1:21" s="12" customFormat="1" x14ac:dyDescent="0.25">
      <c r="A30" s="212" t="s">
        <v>2956</v>
      </c>
      <c r="B30" s="64">
        <v>6.6</v>
      </c>
      <c r="C30" s="64">
        <v>5.84</v>
      </c>
      <c r="D30" s="64">
        <v>8.34</v>
      </c>
      <c r="E30" s="64">
        <v>4.28</v>
      </c>
      <c r="F30" s="64">
        <v>7.19</v>
      </c>
      <c r="G30" s="64">
        <v>12.7</v>
      </c>
      <c r="H30" s="64">
        <v>2.39</v>
      </c>
      <c r="I30" s="64">
        <v>0.95</v>
      </c>
      <c r="J30" s="64">
        <v>0.04</v>
      </c>
      <c r="K30" s="64">
        <v>29.9</v>
      </c>
      <c r="L30" s="64">
        <v>22.74</v>
      </c>
      <c r="M30" s="64">
        <v>98.23</v>
      </c>
      <c r="N30" s="64">
        <v>30.8</v>
      </c>
      <c r="O30" s="64">
        <v>0</v>
      </c>
      <c r="P30" s="64">
        <v>0.19</v>
      </c>
      <c r="Q30" s="64">
        <v>9.58</v>
      </c>
      <c r="R30" s="198"/>
      <c r="S30" s="198"/>
      <c r="T30" s="198"/>
      <c r="U30" s="198"/>
    </row>
    <row r="31" spans="1:21" s="12" customFormat="1" x14ac:dyDescent="0.25">
      <c r="A31" s="212" t="s">
        <v>2957</v>
      </c>
      <c r="B31" s="64">
        <v>6.56</v>
      </c>
      <c r="C31" s="64">
        <v>6.31</v>
      </c>
      <c r="D31" s="64">
        <v>8.5500000000000007</v>
      </c>
      <c r="E31" s="64">
        <v>4.47</v>
      </c>
      <c r="F31" s="64">
        <v>6.73</v>
      </c>
      <c r="G31" s="64">
        <v>12.7</v>
      </c>
      <c r="H31" s="64">
        <v>2.39</v>
      </c>
      <c r="I31" s="64">
        <v>0.96</v>
      </c>
      <c r="J31" s="64">
        <v>0.05</v>
      </c>
      <c r="K31" s="64">
        <v>327.61</v>
      </c>
      <c r="L31" s="64">
        <v>22.78</v>
      </c>
      <c r="M31" s="64">
        <v>98.23</v>
      </c>
      <c r="N31" s="64">
        <v>31.7</v>
      </c>
      <c r="O31" s="64">
        <v>0</v>
      </c>
      <c r="P31" s="64">
        <v>0.19</v>
      </c>
      <c r="Q31" s="64">
        <v>9.59</v>
      </c>
      <c r="R31" s="198"/>
      <c r="S31" s="198"/>
      <c r="T31" s="198"/>
      <c r="U31" s="198"/>
    </row>
    <row r="32" spans="1:21" s="12" customFormat="1" x14ac:dyDescent="0.25">
      <c r="A32" s="212" t="s">
        <v>2958</v>
      </c>
      <c r="B32" s="64">
        <v>7.67</v>
      </c>
      <c r="C32" s="64">
        <v>6.78</v>
      </c>
      <c r="D32" s="64">
        <v>9.6999999999999993</v>
      </c>
      <c r="E32" s="64">
        <v>4.3499999999999996</v>
      </c>
      <c r="F32" s="64">
        <v>6.7</v>
      </c>
      <c r="G32" s="64">
        <v>12.7</v>
      </c>
      <c r="H32" s="64">
        <v>2.39</v>
      </c>
      <c r="I32" s="64">
        <v>0.97</v>
      </c>
      <c r="J32" s="64">
        <v>0.05</v>
      </c>
      <c r="K32" s="64">
        <v>202.96</v>
      </c>
      <c r="L32" s="64">
        <v>22.86</v>
      </c>
      <c r="M32" s="64">
        <v>98.23</v>
      </c>
      <c r="N32" s="64">
        <v>37.5</v>
      </c>
      <c r="O32" s="64">
        <v>0</v>
      </c>
      <c r="P32" s="64">
        <v>0.2</v>
      </c>
      <c r="Q32" s="64">
        <v>9.59</v>
      </c>
      <c r="R32" s="198"/>
      <c r="S32" s="198"/>
      <c r="T32" s="198"/>
      <c r="U32" s="198"/>
    </row>
    <row r="33" spans="1:21" s="12" customFormat="1" x14ac:dyDescent="0.25">
      <c r="A33" s="212" t="s">
        <v>2959</v>
      </c>
      <c r="B33" s="64">
        <v>6.93</v>
      </c>
      <c r="C33" s="64">
        <v>6.57</v>
      </c>
      <c r="D33" s="64">
        <v>8.99</v>
      </c>
      <c r="E33" s="64">
        <v>4.3899999999999997</v>
      </c>
      <c r="F33" s="64">
        <v>6.74</v>
      </c>
      <c r="G33" s="64">
        <v>11</v>
      </c>
      <c r="H33" s="64">
        <v>2.17</v>
      </c>
      <c r="I33" s="64">
        <v>0.98</v>
      </c>
      <c r="J33" s="64">
        <v>0.19</v>
      </c>
      <c r="K33" s="64">
        <v>119.51</v>
      </c>
      <c r="L33" s="64">
        <v>22.93</v>
      </c>
      <c r="M33" s="64">
        <v>98.23</v>
      </c>
      <c r="N33" s="64">
        <v>48.4</v>
      </c>
      <c r="O33" s="64">
        <v>0</v>
      </c>
      <c r="P33" s="64">
        <v>0.2</v>
      </c>
      <c r="Q33" s="64">
        <v>9.59</v>
      </c>
      <c r="R33" s="198"/>
      <c r="S33" s="198"/>
      <c r="T33" s="198"/>
      <c r="U33" s="198"/>
    </row>
    <row r="34" spans="1:21" s="12" customFormat="1" x14ac:dyDescent="0.25">
      <c r="A34" s="212" t="s">
        <v>2960</v>
      </c>
      <c r="B34" s="64">
        <v>7.11</v>
      </c>
      <c r="C34" s="64">
        <v>7.08</v>
      </c>
      <c r="D34" s="64">
        <v>9.4</v>
      </c>
      <c r="E34" s="64">
        <v>4.3899999999999997</v>
      </c>
      <c r="F34" s="64">
        <v>6.81</v>
      </c>
      <c r="G34" s="64">
        <v>8.89</v>
      </c>
      <c r="H34" s="64">
        <v>1.91</v>
      </c>
      <c r="I34" s="64">
        <v>0.99</v>
      </c>
      <c r="J34" s="64">
        <v>0.06</v>
      </c>
      <c r="K34" s="64">
        <v>133.09</v>
      </c>
      <c r="L34" s="64">
        <v>22.93</v>
      </c>
      <c r="M34" s="64">
        <v>98.23</v>
      </c>
      <c r="N34" s="64">
        <v>71.900000000000006</v>
      </c>
      <c r="O34" s="64">
        <v>0</v>
      </c>
      <c r="P34" s="64">
        <v>0.2</v>
      </c>
      <c r="Q34" s="64">
        <v>9.6</v>
      </c>
      <c r="R34" s="198"/>
      <c r="S34" s="198"/>
      <c r="T34" s="198"/>
      <c r="U34" s="198"/>
    </row>
    <row r="35" spans="1:21" s="12" customFormat="1" x14ac:dyDescent="0.25">
      <c r="A35" s="212" t="s">
        <v>2961</v>
      </c>
      <c r="B35" s="64">
        <v>7.17</v>
      </c>
      <c r="C35" s="64">
        <v>6.88</v>
      </c>
      <c r="D35" s="64">
        <v>9.34</v>
      </c>
      <c r="E35" s="64">
        <v>4.47</v>
      </c>
      <c r="F35" s="64">
        <v>6.65</v>
      </c>
      <c r="G35" s="64">
        <v>8.89</v>
      </c>
      <c r="H35" s="64">
        <v>1.91</v>
      </c>
      <c r="I35" s="64">
        <v>1</v>
      </c>
      <c r="J35" s="64">
        <v>0.15</v>
      </c>
      <c r="K35" s="64">
        <v>136.41</v>
      </c>
      <c r="L35" s="64">
        <v>22.96</v>
      </c>
      <c r="M35" s="64">
        <v>98.23</v>
      </c>
      <c r="N35" s="64">
        <v>97.6</v>
      </c>
      <c r="O35" s="64">
        <v>0</v>
      </c>
      <c r="P35" s="64">
        <v>0.2</v>
      </c>
      <c r="Q35" s="64">
        <v>9.59</v>
      </c>
      <c r="R35" s="198"/>
      <c r="S35" s="198"/>
      <c r="T35" s="198"/>
      <c r="U35" s="198"/>
    </row>
    <row r="36" spans="1:21" s="12" customFormat="1" x14ac:dyDescent="0.25">
      <c r="A36" s="212" t="s">
        <v>2962</v>
      </c>
      <c r="B36" s="64">
        <v>8.24</v>
      </c>
      <c r="C36" s="64">
        <v>6.31</v>
      </c>
      <c r="D36" s="64">
        <v>9.91</v>
      </c>
      <c r="E36" s="64">
        <v>4.45</v>
      </c>
      <c r="F36" s="64">
        <v>4.91</v>
      </c>
      <c r="G36" s="64">
        <v>8.89</v>
      </c>
      <c r="H36" s="64">
        <v>1.91</v>
      </c>
      <c r="I36" s="64">
        <v>1.01</v>
      </c>
      <c r="J36" s="64">
        <v>0.13</v>
      </c>
      <c r="K36" s="64">
        <v>125.98</v>
      </c>
      <c r="L36" s="64">
        <v>23.5</v>
      </c>
      <c r="M36" s="64">
        <v>98.26</v>
      </c>
      <c r="N36" s="64">
        <v>134.6</v>
      </c>
      <c r="O36" s="64">
        <v>0</v>
      </c>
      <c r="P36" s="64">
        <v>0.22</v>
      </c>
      <c r="Q36" s="64">
        <v>9.58</v>
      </c>
      <c r="R36" s="198"/>
      <c r="S36" s="198"/>
      <c r="T36" s="198"/>
      <c r="U36" s="198"/>
    </row>
    <row r="37" spans="1:21" s="12" customFormat="1" x14ac:dyDescent="0.25">
      <c r="A37" s="212" t="s">
        <v>2963</v>
      </c>
      <c r="B37" s="64">
        <v>7.79</v>
      </c>
      <c r="C37" s="64">
        <v>7.9</v>
      </c>
      <c r="D37" s="64">
        <v>10.37</v>
      </c>
      <c r="E37" s="64">
        <v>4.6399999999999997</v>
      </c>
      <c r="F37" s="64">
        <v>5.86</v>
      </c>
      <c r="G37" s="64">
        <v>9.15</v>
      </c>
      <c r="H37" s="64">
        <v>1.83</v>
      </c>
      <c r="I37" s="64">
        <v>0.97</v>
      </c>
      <c r="J37" s="64">
        <v>0.03</v>
      </c>
      <c r="K37" s="64">
        <v>175.96</v>
      </c>
      <c r="L37" s="64">
        <v>23.9</v>
      </c>
      <c r="M37" s="64">
        <v>98.23</v>
      </c>
      <c r="N37" s="64">
        <v>176.9</v>
      </c>
      <c r="O37" s="64">
        <v>0</v>
      </c>
      <c r="P37" s="64">
        <v>0.19</v>
      </c>
      <c r="Q37" s="64">
        <v>9.57</v>
      </c>
      <c r="R37" s="198"/>
      <c r="S37" s="198"/>
      <c r="T37" s="198"/>
      <c r="U37" s="198"/>
    </row>
    <row r="38" spans="1:21" s="12" customFormat="1" x14ac:dyDescent="0.25">
      <c r="A38" s="212" t="s">
        <v>2964</v>
      </c>
      <c r="B38" s="64">
        <v>9.02</v>
      </c>
      <c r="C38" s="64">
        <v>6.75</v>
      </c>
      <c r="D38" s="64">
        <v>10.76</v>
      </c>
      <c r="E38" s="64">
        <v>4.5599999999999996</v>
      </c>
      <c r="F38" s="64">
        <v>4.63</v>
      </c>
      <c r="G38" s="64">
        <v>9.49</v>
      </c>
      <c r="H38" s="64">
        <v>1.57</v>
      </c>
      <c r="I38" s="64">
        <v>0.92</v>
      </c>
      <c r="J38" s="64">
        <v>0.1</v>
      </c>
      <c r="K38" s="64">
        <v>33</v>
      </c>
      <c r="L38" s="64">
        <v>25.22</v>
      </c>
      <c r="M38" s="64">
        <v>98.18</v>
      </c>
      <c r="N38" s="64">
        <v>381.1</v>
      </c>
      <c r="O38" s="64">
        <v>0</v>
      </c>
      <c r="P38" s="64">
        <v>0.25</v>
      </c>
      <c r="Q38" s="64">
        <v>9.57</v>
      </c>
      <c r="R38" s="198"/>
      <c r="S38" s="198"/>
      <c r="T38" s="198"/>
      <c r="U38" s="198"/>
    </row>
    <row r="39" spans="1:21" s="12" customFormat="1" x14ac:dyDescent="0.25">
      <c r="A39" s="212" t="s">
        <v>2965</v>
      </c>
      <c r="B39" s="64">
        <v>9.9600000000000009</v>
      </c>
      <c r="C39" s="64">
        <v>7.61</v>
      </c>
      <c r="D39" s="64">
        <v>11.97</v>
      </c>
      <c r="E39" s="64">
        <v>4.32</v>
      </c>
      <c r="F39" s="64">
        <v>7.72</v>
      </c>
      <c r="G39" s="64">
        <v>9.49</v>
      </c>
      <c r="H39" s="64">
        <v>1.57</v>
      </c>
      <c r="I39" s="64">
        <v>0.89</v>
      </c>
      <c r="J39" s="64">
        <v>0.25</v>
      </c>
      <c r="K39" s="64">
        <v>134.41999999999999</v>
      </c>
      <c r="L39" s="64">
        <v>27.39</v>
      </c>
      <c r="M39" s="64">
        <v>98.05</v>
      </c>
      <c r="N39" s="64">
        <v>444.1</v>
      </c>
      <c r="O39" s="64">
        <v>0</v>
      </c>
      <c r="P39" s="64">
        <v>0.24</v>
      </c>
      <c r="Q39" s="64">
        <v>9.57</v>
      </c>
      <c r="R39" s="198"/>
      <c r="S39" s="198"/>
      <c r="T39" s="198"/>
      <c r="U39" s="198"/>
    </row>
    <row r="40" spans="1:21" s="12" customFormat="1" x14ac:dyDescent="0.25">
      <c r="A40" s="212" t="s">
        <v>2966</v>
      </c>
      <c r="B40" s="64">
        <v>8.93</v>
      </c>
      <c r="C40" s="64">
        <v>6.17</v>
      </c>
      <c r="D40" s="64">
        <v>10.38</v>
      </c>
      <c r="E40" s="64">
        <v>5.05</v>
      </c>
      <c r="F40" s="64">
        <v>4.13</v>
      </c>
      <c r="G40" s="64">
        <v>9.49</v>
      </c>
      <c r="H40" s="64">
        <v>1.57</v>
      </c>
      <c r="I40" s="64">
        <v>0.88</v>
      </c>
      <c r="J40" s="64">
        <v>0.02</v>
      </c>
      <c r="K40" s="64">
        <v>234.71</v>
      </c>
      <c r="L40" s="64">
        <v>28.01</v>
      </c>
      <c r="M40" s="64">
        <v>96.87</v>
      </c>
      <c r="N40" s="64">
        <v>513</v>
      </c>
      <c r="O40" s="64">
        <v>0</v>
      </c>
      <c r="P40" s="64">
        <v>0.22</v>
      </c>
      <c r="Q40" s="64">
        <v>9.57</v>
      </c>
      <c r="R40" s="198"/>
      <c r="S40" s="198"/>
      <c r="T40" s="198"/>
      <c r="U40" s="198"/>
    </row>
    <row r="41" spans="1:21" s="12" customFormat="1" x14ac:dyDescent="0.25">
      <c r="A41" s="212" t="s">
        <v>2967</v>
      </c>
      <c r="B41" s="64">
        <v>8.19</v>
      </c>
      <c r="C41" s="64">
        <v>6.45</v>
      </c>
      <c r="D41" s="64">
        <v>9.94</v>
      </c>
      <c r="E41" s="64">
        <v>4.13</v>
      </c>
      <c r="F41" s="64">
        <v>8.89</v>
      </c>
      <c r="G41" s="64">
        <v>9.67</v>
      </c>
      <c r="H41" s="64">
        <v>1.44</v>
      </c>
      <c r="I41" s="64">
        <v>0.87</v>
      </c>
      <c r="J41" s="64">
        <v>0.14000000000000001</v>
      </c>
      <c r="K41" s="64">
        <v>151.63</v>
      </c>
      <c r="L41" s="64">
        <v>28.14</v>
      </c>
      <c r="M41" s="64">
        <v>96.18</v>
      </c>
      <c r="N41" s="64">
        <v>492.3</v>
      </c>
      <c r="O41" s="64">
        <v>0</v>
      </c>
      <c r="P41" s="64">
        <v>0.2</v>
      </c>
      <c r="Q41" s="64">
        <v>9.57</v>
      </c>
      <c r="R41" s="198"/>
      <c r="S41" s="198"/>
      <c r="T41" s="198"/>
      <c r="U41" s="198"/>
    </row>
    <row r="42" spans="1:21" s="12" customFormat="1" x14ac:dyDescent="0.25">
      <c r="A42" s="212" t="s">
        <v>2968</v>
      </c>
      <c r="B42" s="64">
        <v>8.77</v>
      </c>
      <c r="C42" s="64">
        <v>7.01</v>
      </c>
      <c r="D42" s="64">
        <v>10.69</v>
      </c>
      <c r="E42" s="64">
        <v>4.04</v>
      </c>
      <c r="F42" s="64">
        <v>4.76</v>
      </c>
      <c r="G42" s="64">
        <v>9.91</v>
      </c>
      <c r="H42" s="64">
        <v>1.32</v>
      </c>
      <c r="I42" s="64">
        <v>0.87</v>
      </c>
      <c r="J42" s="64">
        <v>0.15</v>
      </c>
      <c r="K42" s="64">
        <v>148.38</v>
      </c>
      <c r="L42" s="64">
        <v>27.91</v>
      </c>
      <c r="M42" s="64">
        <v>96.64</v>
      </c>
      <c r="N42" s="64">
        <v>259.2</v>
      </c>
      <c r="O42" s="64">
        <v>0</v>
      </c>
      <c r="P42" s="64">
        <v>0.21</v>
      </c>
      <c r="Q42" s="64">
        <v>9.56</v>
      </c>
      <c r="R42" s="198"/>
      <c r="S42" s="198"/>
      <c r="T42" s="198"/>
      <c r="U42" s="198"/>
    </row>
    <row r="43" spans="1:21" s="12" customFormat="1" x14ac:dyDescent="0.25">
      <c r="A43" s="212" t="s">
        <v>2969</v>
      </c>
      <c r="B43" s="64">
        <v>8.49</v>
      </c>
      <c r="C43" s="64">
        <v>7.44</v>
      </c>
      <c r="D43" s="64">
        <v>10.69</v>
      </c>
      <c r="E43" s="64">
        <v>4.0999999999999996</v>
      </c>
      <c r="F43" s="64">
        <v>6.72</v>
      </c>
      <c r="G43" s="64">
        <v>9.91</v>
      </c>
      <c r="H43" s="64">
        <v>1.32</v>
      </c>
      <c r="I43" s="64">
        <v>0.86</v>
      </c>
      <c r="J43" s="64">
        <v>0.42</v>
      </c>
      <c r="K43" s="64">
        <v>138.83000000000001</v>
      </c>
      <c r="L43" s="64">
        <v>26.69</v>
      </c>
      <c r="M43" s="64">
        <v>98</v>
      </c>
      <c r="N43" s="64">
        <v>240.6</v>
      </c>
      <c r="O43" s="64">
        <v>0</v>
      </c>
      <c r="P43" s="64">
        <v>0.22</v>
      </c>
      <c r="Q43" s="64">
        <v>9.5500000000000007</v>
      </c>
      <c r="R43" s="198"/>
      <c r="S43" s="198"/>
      <c r="T43" s="198"/>
      <c r="U43" s="198"/>
    </row>
    <row r="44" spans="1:21" s="12" customFormat="1" x14ac:dyDescent="0.25">
      <c r="A44" s="212" t="s">
        <v>2970</v>
      </c>
      <c r="B44" s="64">
        <v>8.27</v>
      </c>
      <c r="C44" s="64">
        <v>6.87</v>
      </c>
      <c r="D44" s="64">
        <v>10.23</v>
      </c>
      <c r="E44" s="64">
        <v>4.13</v>
      </c>
      <c r="F44" s="64">
        <v>6.93</v>
      </c>
      <c r="G44" s="64">
        <v>9.91</v>
      </c>
      <c r="H44" s="64">
        <v>1.32</v>
      </c>
      <c r="I44" s="64">
        <v>0.85</v>
      </c>
      <c r="J44" s="64">
        <v>1.1000000000000001</v>
      </c>
      <c r="K44" s="64">
        <v>137.34</v>
      </c>
      <c r="L44" s="64">
        <v>26.85</v>
      </c>
      <c r="M44" s="64">
        <v>96.97</v>
      </c>
      <c r="N44" s="64">
        <v>452.2</v>
      </c>
      <c r="O44" s="64">
        <v>0</v>
      </c>
      <c r="P44" s="64">
        <v>0.21</v>
      </c>
      <c r="Q44" s="64">
        <v>9.5500000000000007</v>
      </c>
      <c r="R44" s="198"/>
      <c r="S44" s="198"/>
      <c r="T44" s="198"/>
      <c r="U44" s="198"/>
    </row>
    <row r="45" spans="1:21" s="12" customFormat="1" x14ac:dyDescent="0.25">
      <c r="A45" s="212" t="s">
        <v>2971</v>
      </c>
      <c r="B45" s="64">
        <v>8.42</v>
      </c>
      <c r="C45" s="64">
        <v>6.52</v>
      </c>
      <c r="D45" s="64">
        <v>10.16</v>
      </c>
      <c r="E45" s="64">
        <v>4.1900000000000004</v>
      </c>
      <c r="F45" s="64">
        <v>5.21</v>
      </c>
      <c r="G45" s="64">
        <v>9.61</v>
      </c>
      <c r="H45" s="64">
        <v>1.28</v>
      </c>
      <c r="I45" s="64">
        <v>0.84</v>
      </c>
      <c r="J45" s="64">
        <v>0.52</v>
      </c>
      <c r="K45" s="64">
        <v>138.97999999999999</v>
      </c>
      <c r="L45" s="64">
        <v>26.97</v>
      </c>
      <c r="M45" s="64">
        <v>96.92</v>
      </c>
      <c r="N45" s="64">
        <v>416.6</v>
      </c>
      <c r="O45" s="64">
        <v>0</v>
      </c>
      <c r="P45" s="64">
        <v>0.21</v>
      </c>
      <c r="Q45" s="64">
        <v>9.56</v>
      </c>
      <c r="R45" s="198"/>
      <c r="S45" s="198"/>
      <c r="T45" s="198"/>
      <c r="U45" s="198"/>
    </row>
    <row r="46" spans="1:21" s="12" customFormat="1" x14ac:dyDescent="0.25">
      <c r="A46" s="212" t="s">
        <v>2972</v>
      </c>
      <c r="B46" s="64">
        <v>7.86</v>
      </c>
      <c r="C46" s="64">
        <v>6.89</v>
      </c>
      <c r="D46" s="64">
        <v>9.9</v>
      </c>
      <c r="E46" s="64">
        <v>4.0999999999999996</v>
      </c>
      <c r="F46" s="64">
        <v>7.57</v>
      </c>
      <c r="G46" s="64">
        <v>9.23</v>
      </c>
      <c r="H46" s="64">
        <v>1.25</v>
      </c>
      <c r="I46" s="64">
        <v>0.84</v>
      </c>
      <c r="J46" s="64">
        <v>1.07</v>
      </c>
      <c r="K46" s="64">
        <v>136.86000000000001</v>
      </c>
      <c r="L46" s="64">
        <v>27.28</v>
      </c>
      <c r="M46" s="64">
        <v>95.21</v>
      </c>
      <c r="N46" s="64">
        <v>638.6</v>
      </c>
      <c r="O46" s="64">
        <v>0</v>
      </c>
      <c r="P46" s="64">
        <v>0.2</v>
      </c>
      <c r="Q46" s="64">
        <v>9.56</v>
      </c>
      <c r="R46" s="198"/>
      <c r="S46" s="198"/>
      <c r="T46" s="198"/>
      <c r="U46" s="198"/>
    </row>
    <row r="47" spans="1:21" s="12" customFormat="1" x14ac:dyDescent="0.25">
      <c r="A47" s="212" t="s">
        <v>2973</v>
      </c>
      <c r="B47" s="64">
        <v>7.81</v>
      </c>
      <c r="C47" s="64">
        <v>7.02</v>
      </c>
      <c r="D47" s="64">
        <v>9.93</v>
      </c>
      <c r="E47" s="64">
        <v>4.07</v>
      </c>
      <c r="F47" s="64">
        <v>7.01</v>
      </c>
      <c r="G47" s="64">
        <v>9.23</v>
      </c>
      <c r="H47" s="64">
        <v>1.25</v>
      </c>
      <c r="I47" s="64">
        <v>0.84</v>
      </c>
      <c r="J47" s="64">
        <v>0.54</v>
      </c>
      <c r="K47" s="64">
        <v>136.02000000000001</v>
      </c>
      <c r="L47" s="64">
        <v>27.22</v>
      </c>
      <c r="M47" s="64">
        <v>94.69</v>
      </c>
      <c r="N47" s="64">
        <v>672.9</v>
      </c>
      <c r="O47" s="64">
        <v>0</v>
      </c>
      <c r="P47" s="64">
        <v>0.2</v>
      </c>
      <c r="Q47" s="64">
        <v>9.57</v>
      </c>
      <c r="R47" s="198"/>
      <c r="S47" s="198"/>
      <c r="T47" s="198"/>
      <c r="U47" s="198"/>
    </row>
    <row r="48" spans="1:21" s="12" customFormat="1" x14ac:dyDescent="0.25">
      <c r="A48" s="212" t="s">
        <v>2974</v>
      </c>
      <c r="B48" s="64">
        <v>7.43</v>
      </c>
      <c r="C48" s="64">
        <v>6.82</v>
      </c>
      <c r="D48" s="64">
        <v>9.52</v>
      </c>
      <c r="E48" s="64">
        <v>4.3499999999999996</v>
      </c>
      <c r="F48" s="64">
        <v>7.74</v>
      </c>
      <c r="G48" s="64">
        <v>9.23</v>
      </c>
      <c r="H48" s="64">
        <v>1.25</v>
      </c>
      <c r="I48" s="64">
        <v>0.85</v>
      </c>
      <c r="J48" s="64">
        <v>0.3</v>
      </c>
      <c r="K48" s="64">
        <v>141.78</v>
      </c>
      <c r="L48" s="64">
        <v>28.3</v>
      </c>
      <c r="M48" s="64">
        <v>90.62</v>
      </c>
      <c r="N48" s="64">
        <v>643.6</v>
      </c>
      <c r="O48" s="64">
        <v>0</v>
      </c>
      <c r="P48" s="64">
        <v>0.19</v>
      </c>
      <c r="Q48" s="64">
        <v>9.58</v>
      </c>
      <c r="R48" s="198"/>
      <c r="S48" s="198"/>
      <c r="T48" s="198"/>
      <c r="U48" s="198"/>
    </row>
    <row r="49" spans="1:21" s="12" customFormat="1" x14ac:dyDescent="0.25">
      <c r="A49" s="212" t="s">
        <v>2975</v>
      </c>
      <c r="B49" s="64">
        <v>7.39</v>
      </c>
      <c r="C49" s="64">
        <v>6.72</v>
      </c>
      <c r="D49" s="64">
        <v>9.43</v>
      </c>
      <c r="E49" s="64">
        <v>3.96</v>
      </c>
      <c r="F49" s="64">
        <v>6.75</v>
      </c>
      <c r="G49" s="64">
        <v>10.19</v>
      </c>
      <c r="H49" s="64">
        <v>1.25</v>
      </c>
      <c r="I49" s="64">
        <v>0.86</v>
      </c>
      <c r="J49" s="64">
        <v>0.11</v>
      </c>
      <c r="K49" s="64">
        <v>228.81</v>
      </c>
      <c r="L49" s="64">
        <v>28.96</v>
      </c>
      <c r="M49" s="64">
        <v>85.37</v>
      </c>
      <c r="N49" s="64">
        <v>887.7</v>
      </c>
      <c r="O49" s="64">
        <v>0</v>
      </c>
      <c r="P49" s="64">
        <v>0.2</v>
      </c>
      <c r="Q49" s="64">
        <v>9.58</v>
      </c>
      <c r="R49" s="198"/>
      <c r="S49" s="198"/>
      <c r="T49" s="198"/>
      <c r="U49" s="198"/>
    </row>
    <row r="50" spans="1:21" s="12" customFormat="1" x14ac:dyDescent="0.25">
      <c r="A50" s="212" t="s">
        <v>2976</v>
      </c>
      <c r="B50" s="64">
        <v>7.19</v>
      </c>
      <c r="C50" s="64">
        <v>6.66</v>
      </c>
      <c r="D50" s="64">
        <v>9.25</v>
      </c>
      <c r="E50" s="64">
        <v>4.54</v>
      </c>
      <c r="F50" s="64">
        <v>7.24</v>
      </c>
      <c r="G50" s="64">
        <v>11.4</v>
      </c>
      <c r="H50" s="64">
        <v>1.24</v>
      </c>
      <c r="I50" s="64">
        <v>0.86</v>
      </c>
      <c r="J50" s="64">
        <v>0.12</v>
      </c>
      <c r="K50" s="64">
        <v>152.36000000000001</v>
      </c>
      <c r="L50" s="64">
        <v>29.6</v>
      </c>
      <c r="M50" s="64">
        <v>80.260000000000005</v>
      </c>
      <c r="N50" s="64">
        <v>905.2</v>
      </c>
      <c r="O50" s="64">
        <v>0</v>
      </c>
      <c r="P50" s="64">
        <v>0.19</v>
      </c>
      <c r="Q50" s="64">
        <v>9.58</v>
      </c>
      <c r="R50" s="198"/>
      <c r="S50" s="198"/>
      <c r="T50" s="198"/>
      <c r="U50" s="198"/>
    </row>
    <row r="51" spans="1:21" s="12" customFormat="1" x14ac:dyDescent="0.25">
      <c r="A51" s="212" t="s">
        <v>2977</v>
      </c>
      <c r="B51" s="64">
        <v>8.0299999999999994</v>
      </c>
      <c r="C51" s="64">
        <v>7.41</v>
      </c>
      <c r="D51" s="64">
        <v>10.31</v>
      </c>
      <c r="E51" s="64">
        <v>4.32</v>
      </c>
      <c r="F51" s="64">
        <v>6.07</v>
      </c>
      <c r="G51" s="64">
        <v>11.4</v>
      </c>
      <c r="H51" s="64">
        <v>1.24</v>
      </c>
      <c r="I51" s="64">
        <v>0.87</v>
      </c>
      <c r="J51" s="64">
        <v>0.18</v>
      </c>
      <c r="K51" s="64">
        <v>293.86</v>
      </c>
      <c r="L51" s="64">
        <v>30.51</v>
      </c>
      <c r="M51" s="64">
        <v>77.709999999999994</v>
      </c>
      <c r="N51" s="64">
        <v>970.9</v>
      </c>
      <c r="O51" s="64">
        <v>0</v>
      </c>
      <c r="P51" s="64">
        <v>0.21</v>
      </c>
      <c r="Q51" s="64">
        <v>9.58</v>
      </c>
      <c r="R51" s="198"/>
      <c r="S51" s="198"/>
      <c r="T51" s="198"/>
      <c r="U51" s="198"/>
    </row>
    <row r="52" spans="1:21" s="12" customFormat="1" x14ac:dyDescent="0.25">
      <c r="A52" s="212" t="s">
        <v>2978</v>
      </c>
      <c r="B52" s="64">
        <v>7.42</v>
      </c>
      <c r="C52" s="64">
        <v>7.08</v>
      </c>
      <c r="D52" s="64">
        <v>9.65</v>
      </c>
      <c r="E52" s="64">
        <v>4.08</v>
      </c>
      <c r="F52" s="64">
        <v>8.41</v>
      </c>
      <c r="G52" s="64">
        <v>11.4</v>
      </c>
      <c r="H52" s="64">
        <v>1.24</v>
      </c>
      <c r="I52" s="64">
        <v>0.87</v>
      </c>
      <c r="J52" s="64">
        <v>0.12</v>
      </c>
      <c r="K52" s="64">
        <v>186.5</v>
      </c>
      <c r="L52" s="64">
        <v>29.63</v>
      </c>
      <c r="M52" s="64">
        <v>79.39</v>
      </c>
      <c r="N52" s="64">
        <v>327</v>
      </c>
      <c r="O52" s="64">
        <v>0</v>
      </c>
      <c r="P52" s="64">
        <v>0.19</v>
      </c>
      <c r="Q52" s="64">
        <v>9.57</v>
      </c>
      <c r="R52" s="198"/>
      <c r="S52" s="198"/>
      <c r="T52" s="198"/>
      <c r="U52" s="198"/>
    </row>
    <row r="53" spans="1:21" s="12" customFormat="1" x14ac:dyDescent="0.25">
      <c r="A53" s="212" t="s">
        <v>2979</v>
      </c>
      <c r="B53" s="64">
        <v>7.44</v>
      </c>
      <c r="C53" s="64">
        <v>6.71</v>
      </c>
      <c r="D53" s="64">
        <v>9.4700000000000006</v>
      </c>
      <c r="E53" s="64">
        <v>4.47</v>
      </c>
      <c r="F53" s="64">
        <v>6.35</v>
      </c>
      <c r="G53" s="64">
        <v>11.76</v>
      </c>
      <c r="H53" s="64">
        <v>1.24</v>
      </c>
      <c r="I53" s="64">
        <v>0.88</v>
      </c>
      <c r="J53" s="64">
        <v>0.28000000000000003</v>
      </c>
      <c r="K53" s="64">
        <v>150.53</v>
      </c>
      <c r="L53" s="64">
        <v>29.17</v>
      </c>
      <c r="M53" s="64">
        <v>81.180000000000007</v>
      </c>
      <c r="N53" s="64">
        <v>554.29999999999995</v>
      </c>
      <c r="O53" s="64">
        <v>0</v>
      </c>
      <c r="P53" s="64">
        <v>0.2</v>
      </c>
      <c r="Q53" s="64">
        <v>9.56</v>
      </c>
      <c r="R53" s="198"/>
      <c r="S53" s="198"/>
      <c r="T53" s="198"/>
      <c r="U53" s="198"/>
    </row>
    <row r="54" spans="1:21" s="12" customFormat="1" x14ac:dyDescent="0.25">
      <c r="A54" s="212" t="s">
        <v>2980</v>
      </c>
      <c r="B54" s="64">
        <v>7.04</v>
      </c>
      <c r="C54" s="64">
        <v>7.19</v>
      </c>
      <c r="D54" s="64">
        <v>9.4</v>
      </c>
      <c r="E54" s="64">
        <v>4.18</v>
      </c>
      <c r="F54" s="64">
        <v>6.87</v>
      </c>
      <c r="G54" s="64">
        <v>12.2</v>
      </c>
      <c r="H54" s="64">
        <v>1.23</v>
      </c>
      <c r="I54" s="64">
        <v>0.89</v>
      </c>
      <c r="J54" s="64">
        <v>0.32</v>
      </c>
      <c r="K54" s="64">
        <v>131.01</v>
      </c>
      <c r="L54" s="64">
        <v>29.34</v>
      </c>
      <c r="M54" s="64">
        <v>77.03</v>
      </c>
      <c r="N54" s="64">
        <v>763.8</v>
      </c>
      <c r="O54" s="64">
        <v>0</v>
      </c>
      <c r="P54" s="64">
        <v>0.19</v>
      </c>
      <c r="Q54" s="64">
        <v>9.5399999999999991</v>
      </c>
      <c r="R54" s="198"/>
      <c r="S54" s="198"/>
      <c r="T54" s="198"/>
      <c r="U54" s="198"/>
    </row>
    <row r="55" spans="1:21" s="12" customFormat="1" x14ac:dyDescent="0.25">
      <c r="A55" s="212" t="s">
        <v>2981</v>
      </c>
      <c r="B55" s="64">
        <v>6.77</v>
      </c>
      <c r="C55" s="64">
        <v>6.97</v>
      </c>
      <c r="D55" s="64">
        <v>9.07</v>
      </c>
      <c r="E55" s="64">
        <v>4.1399999999999997</v>
      </c>
      <c r="F55" s="64">
        <v>7.2</v>
      </c>
      <c r="G55" s="64">
        <v>12.2</v>
      </c>
      <c r="H55" s="64">
        <v>1.23</v>
      </c>
      <c r="I55" s="64">
        <v>0.88</v>
      </c>
      <c r="J55" s="64">
        <v>0.51</v>
      </c>
      <c r="K55" s="64">
        <v>136.49</v>
      </c>
      <c r="L55" s="64">
        <v>29.4</v>
      </c>
      <c r="M55" s="64">
        <v>77.069999999999993</v>
      </c>
      <c r="N55" s="64">
        <v>984.3</v>
      </c>
      <c r="O55" s="64">
        <v>0</v>
      </c>
      <c r="P55" s="64">
        <v>0.18</v>
      </c>
      <c r="Q55" s="64">
        <v>9.52</v>
      </c>
      <c r="R55" s="198"/>
      <c r="S55" s="198"/>
      <c r="T55" s="198"/>
      <c r="U55" s="198"/>
    </row>
    <row r="56" spans="1:21" s="12" customFormat="1" x14ac:dyDescent="0.25">
      <c r="A56" s="212" t="s">
        <v>2982</v>
      </c>
      <c r="B56" s="64">
        <v>7.12</v>
      </c>
      <c r="C56" s="64">
        <v>7.23</v>
      </c>
      <c r="D56" s="64">
        <v>9.48</v>
      </c>
      <c r="E56" s="64">
        <v>4.1500000000000004</v>
      </c>
      <c r="F56" s="64">
        <v>4.4400000000000004</v>
      </c>
      <c r="G56" s="64">
        <v>12.2</v>
      </c>
      <c r="H56" s="64">
        <v>1.23</v>
      </c>
      <c r="I56" s="64">
        <v>0.85</v>
      </c>
      <c r="J56" s="64">
        <v>0.76</v>
      </c>
      <c r="K56" s="64">
        <v>151.41</v>
      </c>
      <c r="L56" s="64">
        <v>29.36</v>
      </c>
      <c r="M56" s="64">
        <v>75.87</v>
      </c>
      <c r="N56" s="64">
        <v>1056.7</v>
      </c>
      <c r="O56" s="64">
        <v>0</v>
      </c>
      <c r="P56" s="64">
        <v>0.19</v>
      </c>
      <c r="Q56" s="64">
        <v>9.51</v>
      </c>
      <c r="R56" s="198"/>
      <c r="S56" s="198"/>
      <c r="T56" s="198"/>
      <c r="U56" s="198"/>
    </row>
    <row r="57" spans="1:21" s="12" customFormat="1" x14ac:dyDescent="0.25">
      <c r="A57" s="212" t="s">
        <v>2983</v>
      </c>
      <c r="B57" s="64">
        <v>7.05</v>
      </c>
      <c r="C57" s="64">
        <v>6.89</v>
      </c>
      <c r="D57" s="64">
        <v>9.26</v>
      </c>
      <c r="E57" s="64">
        <v>4.0599999999999996</v>
      </c>
      <c r="F57" s="64">
        <v>4.9000000000000004</v>
      </c>
      <c r="G57" s="64">
        <v>12.3</v>
      </c>
      <c r="H57" s="64">
        <v>1.26</v>
      </c>
      <c r="I57" s="64">
        <v>0.84</v>
      </c>
      <c r="J57" s="64">
        <v>0.08</v>
      </c>
      <c r="K57" s="64">
        <v>211.01</v>
      </c>
      <c r="L57" s="64">
        <v>29.53</v>
      </c>
      <c r="M57" s="64">
        <v>76.680000000000007</v>
      </c>
      <c r="N57" s="64">
        <v>874.4</v>
      </c>
      <c r="O57" s="64">
        <v>0</v>
      </c>
      <c r="P57" s="64">
        <v>0.19</v>
      </c>
      <c r="Q57" s="64">
        <v>9.5</v>
      </c>
      <c r="R57" s="198"/>
      <c r="S57" s="198"/>
      <c r="T57" s="198"/>
      <c r="U57" s="198"/>
    </row>
    <row r="58" spans="1:21" s="12" customFormat="1" x14ac:dyDescent="0.25">
      <c r="A58" s="212" t="s">
        <v>2984</v>
      </c>
      <c r="B58" s="64">
        <v>6.74</v>
      </c>
      <c r="C58" s="64">
        <v>7.16</v>
      </c>
      <c r="D58" s="64">
        <v>9.15</v>
      </c>
      <c r="E58" s="64">
        <v>3.95</v>
      </c>
      <c r="F58" s="64">
        <v>5.74</v>
      </c>
      <c r="G58" s="64">
        <v>12.43</v>
      </c>
      <c r="H58" s="64">
        <v>1.29</v>
      </c>
      <c r="I58" s="64">
        <v>0.8</v>
      </c>
      <c r="J58" s="64">
        <v>0.7</v>
      </c>
      <c r="K58" s="64">
        <v>135.74</v>
      </c>
      <c r="L58" s="64">
        <v>29.4</v>
      </c>
      <c r="M58" s="64">
        <v>74.349999999999994</v>
      </c>
      <c r="N58" s="64">
        <v>480.7</v>
      </c>
      <c r="O58" s="64">
        <v>0</v>
      </c>
      <c r="P58" s="64">
        <v>0.19</v>
      </c>
      <c r="Q58" s="64">
        <v>9.5</v>
      </c>
      <c r="R58" s="198"/>
      <c r="S58" s="198"/>
      <c r="T58" s="198"/>
      <c r="U58" s="198"/>
    </row>
    <row r="59" spans="1:21" s="12" customFormat="1" x14ac:dyDescent="0.25">
      <c r="A59" s="212" t="s">
        <v>2985</v>
      </c>
      <c r="B59" s="64">
        <v>6.54</v>
      </c>
      <c r="C59" s="64">
        <v>7.61</v>
      </c>
      <c r="D59" s="64">
        <v>9.2200000000000006</v>
      </c>
      <c r="E59" s="64">
        <v>3.99</v>
      </c>
      <c r="F59" s="64">
        <v>7.75</v>
      </c>
      <c r="G59" s="64">
        <v>12.43</v>
      </c>
      <c r="H59" s="64">
        <v>1.29</v>
      </c>
      <c r="I59" s="64">
        <v>0.73</v>
      </c>
      <c r="J59" s="64">
        <v>0.18</v>
      </c>
      <c r="K59" s="64">
        <v>148.18</v>
      </c>
      <c r="L59" s="64">
        <v>29.27</v>
      </c>
      <c r="M59" s="64">
        <v>74.650000000000006</v>
      </c>
      <c r="N59" s="64">
        <v>395.9</v>
      </c>
      <c r="O59" s="64">
        <v>0</v>
      </c>
      <c r="P59" s="64">
        <v>0.17</v>
      </c>
      <c r="Q59" s="64">
        <v>9.49</v>
      </c>
      <c r="R59" s="198"/>
      <c r="S59" s="198"/>
      <c r="T59" s="198"/>
      <c r="U59" s="198"/>
    </row>
    <row r="60" spans="1:21" s="12" customFormat="1" x14ac:dyDescent="0.25">
      <c r="A60" s="212" t="s">
        <v>2986</v>
      </c>
      <c r="B60" s="64">
        <v>6.64</v>
      </c>
      <c r="C60" s="64">
        <v>7.57</v>
      </c>
      <c r="D60" s="64">
        <v>9.2799999999999994</v>
      </c>
      <c r="E60" s="64">
        <v>3.88</v>
      </c>
      <c r="F60" s="64">
        <v>4.4800000000000004</v>
      </c>
      <c r="G60" s="64">
        <v>12.43</v>
      </c>
      <c r="H60" s="64">
        <v>1.29</v>
      </c>
      <c r="I60" s="64">
        <v>0.73</v>
      </c>
      <c r="J60" s="64">
        <v>0.33</v>
      </c>
      <c r="K60" s="64">
        <v>137.12</v>
      </c>
      <c r="L60" s="64">
        <v>29.85</v>
      </c>
      <c r="M60" s="64">
        <v>74.31</v>
      </c>
      <c r="N60" s="64">
        <v>324.39999999999998</v>
      </c>
      <c r="O60" s="64">
        <v>0</v>
      </c>
      <c r="P60" s="64">
        <v>0.2</v>
      </c>
      <c r="Q60" s="64">
        <v>9.48</v>
      </c>
      <c r="R60" s="198"/>
      <c r="S60" s="198"/>
      <c r="T60" s="198"/>
      <c r="U60" s="198"/>
    </row>
    <row r="61" spans="1:21" s="12" customFormat="1" x14ac:dyDescent="0.25">
      <c r="A61" s="212" t="s">
        <v>2987</v>
      </c>
      <c r="B61" s="64">
        <v>6.33</v>
      </c>
      <c r="C61" s="64">
        <v>7.24</v>
      </c>
      <c r="D61" s="64">
        <v>8.86</v>
      </c>
      <c r="E61" s="64">
        <v>4.01</v>
      </c>
      <c r="F61" s="64">
        <v>9.4</v>
      </c>
      <c r="G61" s="64">
        <v>11.23</v>
      </c>
      <c r="H61" s="64">
        <v>1.27</v>
      </c>
      <c r="I61" s="64">
        <v>0.78</v>
      </c>
      <c r="J61" s="64">
        <v>0.88</v>
      </c>
      <c r="K61" s="64">
        <v>132.21</v>
      </c>
      <c r="L61" s="64">
        <v>29.7</v>
      </c>
      <c r="M61" s="64">
        <v>75.11</v>
      </c>
      <c r="N61" s="64">
        <v>381.3</v>
      </c>
      <c r="O61" s="64">
        <v>0</v>
      </c>
      <c r="P61" s="64">
        <v>0.15</v>
      </c>
      <c r="Q61" s="64">
        <v>9.48</v>
      </c>
      <c r="R61" s="198"/>
      <c r="S61" s="198"/>
      <c r="T61" s="198"/>
      <c r="U61" s="198"/>
    </row>
    <row r="62" spans="1:21" s="12" customFormat="1" x14ac:dyDescent="0.25">
      <c r="A62" s="212" t="s">
        <v>2988</v>
      </c>
      <c r="B62" s="64">
        <v>6.61</v>
      </c>
      <c r="C62" s="64">
        <v>6.94</v>
      </c>
      <c r="D62" s="64">
        <v>8.93</v>
      </c>
      <c r="E62" s="64">
        <v>4.25</v>
      </c>
      <c r="F62" s="64">
        <v>4.87</v>
      </c>
      <c r="G62" s="64">
        <v>9.74</v>
      </c>
      <c r="H62" s="64">
        <v>1.25</v>
      </c>
      <c r="I62" s="64">
        <v>0.77</v>
      </c>
      <c r="J62" s="64">
        <v>0.28999999999999998</v>
      </c>
      <c r="K62" s="64">
        <v>153.41</v>
      </c>
      <c r="L62" s="64">
        <v>29.86</v>
      </c>
      <c r="M62" s="64">
        <v>73.25</v>
      </c>
      <c r="N62" s="64">
        <v>268.39999999999998</v>
      </c>
      <c r="O62" s="64">
        <v>0</v>
      </c>
      <c r="P62" s="64">
        <v>0.19</v>
      </c>
      <c r="Q62" s="64">
        <v>9.4700000000000006</v>
      </c>
      <c r="R62" s="198"/>
      <c r="S62" s="198"/>
      <c r="T62" s="198"/>
      <c r="U62" s="198"/>
    </row>
    <row r="63" spans="1:21" s="12" customFormat="1" x14ac:dyDescent="0.25">
      <c r="A63" s="212" t="s">
        <v>2989</v>
      </c>
      <c r="B63" s="64">
        <v>6.07</v>
      </c>
      <c r="C63" s="64">
        <v>7.48</v>
      </c>
      <c r="D63" s="64">
        <v>8.7799999999999994</v>
      </c>
      <c r="E63" s="64">
        <v>4.21</v>
      </c>
      <c r="F63" s="64">
        <v>9.5500000000000007</v>
      </c>
      <c r="G63" s="64">
        <v>9.74</v>
      </c>
      <c r="H63" s="64">
        <v>1.25</v>
      </c>
      <c r="I63" s="64">
        <v>0.71</v>
      </c>
      <c r="J63" s="64">
        <v>0.99</v>
      </c>
      <c r="K63" s="64">
        <v>140.63999999999999</v>
      </c>
      <c r="L63" s="64">
        <v>29.37</v>
      </c>
      <c r="M63" s="64">
        <v>74.680000000000007</v>
      </c>
      <c r="N63" s="64">
        <v>249.3</v>
      </c>
      <c r="O63" s="64">
        <v>0</v>
      </c>
      <c r="P63" s="64">
        <v>0.18</v>
      </c>
      <c r="Q63" s="64">
        <v>9.4700000000000006</v>
      </c>
      <c r="R63" s="198"/>
      <c r="S63" s="198"/>
      <c r="T63" s="198"/>
      <c r="U63" s="198"/>
    </row>
    <row r="64" spans="1:21" s="12" customFormat="1" x14ac:dyDescent="0.25">
      <c r="A64" s="212" t="s">
        <v>2990</v>
      </c>
      <c r="B64" s="64">
        <v>6.19</v>
      </c>
      <c r="C64" s="64">
        <v>8.84</v>
      </c>
      <c r="D64" s="64">
        <v>9.58</v>
      </c>
      <c r="E64" s="64">
        <v>4.05</v>
      </c>
      <c r="F64" s="64">
        <v>10.119999999999999</v>
      </c>
      <c r="G64" s="64">
        <v>9.74</v>
      </c>
      <c r="H64" s="64">
        <v>1.25</v>
      </c>
      <c r="I64" s="64">
        <v>0.65</v>
      </c>
      <c r="J64" s="64">
        <v>0.38</v>
      </c>
      <c r="K64" s="64">
        <v>154.15</v>
      </c>
      <c r="L64" s="64">
        <v>29.41</v>
      </c>
      <c r="M64" s="64">
        <v>74.53</v>
      </c>
      <c r="N64" s="64">
        <v>201.2</v>
      </c>
      <c r="O64" s="64">
        <v>0</v>
      </c>
      <c r="P64" s="64">
        <v>0.18</v>
      </c>
      <c r="Q64" s="64">
        <v>9.49</v>
      </c>
      <c r="R64" s="198"/>
      <c r="S64" s="198"/>
      <c r="T64" s="198"/>
      <c r="U64" s="198"/>
    </row>
    <row r="65" spans="1:21" s="12" customFormat="1" x14ac:dyDescent="0.25">
      <c r="A65" s="212" t="s">
        <v>2991</v>
      </c>
      <c r="B65" s="64">
        <v>5.85</v>
      </c>
      <c r="C65" s="64">
        <v>8.33</v>
      </c>
      <c r="D65" s="64">
        <v>9.0500000000000007</v>
      </c>
      <c r="E65" s="64">
        <v>4.49</v>
      </c>
      <c r="F65" s="64">
        <v>10.54</v>
      </c>
      <c r="G65" s="64">
        <v>8.6</v>
      </c>
      <c r="H65" s="64">
        <v>1.27</v>
      </c>
      <c r="I65" s="64">
        <v>0.71</v>
      </c>
      <c r="J65" s="64">
        <v>0.36</v>
      </c>
      <c r="K65" s="64">
        <v>144.9</v>
      </c>
      <c r="L65" s="64">
        <v>29.62</v>
      </c>
      <c r="M65" s="64">
        <v>70.81</v>
      </c>
      <c r="N65" s="64">
        <v>162.5</v>
      </c>
      <c r="O65" s="64">
        <v>0</v>
      </c>
      <c r="P65" s="64">
        <v>0.17</v>
      </c>
      <c r="Q65" s="64">
        <v>9.49</v>
      </c>
      <c r="R65" s="198"/>
      <c r="S65" s="198"/>
      <c r="T65" s="198"/>
      <c r="U65" s="198"/>
    </row>
    <row r="66" spans="1:21" s="12" customFormat="1" x14ac:dyDescent="0.25">
      <c r="A66" s="212" t="s">
        <v>2992</v>
      </c>
      <c r="B66" s="64">
        <v>5.38</v>
      </c>
      <c r="C66" s="64">
        <v>8.17</v>
      </c>
      <c r="D66" s="64">
        <v>8.59</v>
      </c>
      <c r="E66" s="64">
        <v>4.29</v>
      </c>
      <c r="F66" s="64">
        <v>13.46</v>
      </c>
      <c r="G66" s="64">
        <v>7.17</v>
      </c>
      <c r="H66" s="64">
        <v>1.28</v>
      </c>
      <c r="I66" s="64">
        <v>0.72</v>
      </c>
      <c r="J66" s="64">
        <v>0.43</v>
      </c>
      <c r="K66" s="64">
        <v>140.21</v>
      </c>
      <c r="L66" s="64">
        <v>29.26</v>
      </c>
      <c r="M66" s="64">
        <v>73.650000000000006</v>
      </c>
      <c r="N66" s="64">
        <v>111.7</v>
      </c>
      <c r="O66" s="64">
        <v>0</v>
      </c>
      <c r="P66" s="64">
        <v>0.14000000000000001</v>
      </c>
      <c r="Q66" s="64">
        <v>9.5</v>
      </c>
      <c r="R66" s="198"/>
      <c r="S66" s="198"/>
      <c r="T66" s="198"/>
      <c r="U66" s="198"/>
    </row>
    <row r="67" spans="1:21" s="12" customFormat="1" x14ac:dyDescent="0.25">
      <c r="A67" s="212" t="s">
        <v>2993</v>
      </c>
      <c r="B67" s="64">
        <v>4.95</v>
      </c>
      <c r="C67" s="64">
        <v>7.36</v>
      </c>
      <c r="D67" s="64">
        <v>7.82</v>
      </c>
      <c r="E67" s="64">
        <v>4.26</v>
      </c>
      <c r="F67" s="64">
        <v>13.94</v>
      </c>
      <c r="G67" s="64">
        <v>7.17</v>
      </c>
      <c r="H67" s="64">
        <v>1.28</v>
      </c>
      <c r="I67" s="64">
        <v>0.73</v>
      </c>
      <c r="J67" s="64">
        <v>0.26</v>
      </c>
      <c r="K67" s="64">
        <v>131.22999999999999</v>
      </c>
      <c r="L67" s="64">
        <v>29.25</v>
      </c>
      <c r="M67" s="64">
        <v>72.44</v>
      </c>
      <c r="N67" s="64">
        <v>142.69999999999999</v>
      </c>
      <c r="O67" s="64">
        <v>0</v>
      </c>
      <c r="P67" s="64">
        <v>0.14000000000000001</v>
      </c>
      <c r="Q67" s="64">
        <v>9.5</v>
      </c>
      <c r="R67" s="198"/>
      <c r="S67" s="198"/>
      <c r="T67" s="198"/>
      <c r="U67" s="198"/>
    </row>
    <row r="68" spans="1:21" s="12" customFormat="1" x14ac:dyDescent="0.25">
      <c r="A68" s="212" t="s">
        <v>2994</v>
      </c>
      <c r="B68" s="64">
        <v>5.2</v>
      </c>
      <c r="C68" s="64">
        <v>8.1</v>
      </c>
      <c r="D68" s="64">
        <v>8.41</v>
      </c>
      <c r="E68" s="64">
        <v>4.24</v>
      </c>
      <c r="F68" s="64">
        <v>12.56</v>
      </c>
      <c r="G68" s="64">
        <v>7.17</v>
      </c>
      <c r="H68" s="64">
        <v>1.28</v>
      </c>
      <c r="I68" s="64">
        <v>0.78</v>
      </c>
      <c r="J68" s="64">
        <v>0.47</v>
      </c>
      <c r="K68" s="64">
        <v>145.6</v>
      </c>
      <c r="L68" s="64">
        <v>29.12</v>
      </c>
      <c r="M68" s="64">
        <v>75.05</v>
      </c>
      <c r="N68" s="64">
        <v>181.7</v>
      </c>
      <c r="O68" s="64">
        <v>0</v>
      </c>
      <c r="P68" s="64">
        <v>0.16</v>
      </c>
      <c r="Q68" s="64">
        <v>9.5</v>
      </c>
      <c r="R68" s="198"/>
      <c r="S68" s="198"/>
      <c r="T68" s="198"/>
      <c r="U68" s="198"/>
    </row>
    <row r="69" spans="1:21" s="12" customFormat="1" x14ac:dyDescent="0.25">
      <c r="A69" s="212" t="s">
        <v>2995</v>
      </c>
      <c r="B69" s="64">
        <v>7.13</v>
      </c>
      <c r="C69" s="64">
        <v>10.59</v>
      </c>
      <c r="D69" s="64">
        <v>11.25</v>
      </c>
      <c r="E69" s="64">
        <v>4.34</v>
      </c>
      <c r="F69" s="64">
        <v>12.32</v>
      </c>
      <c r="G69" s="64">
        <v>8.02</v>
      </c>
      <c r="H69" s="64">
        <v>1.28</v>
      </c>
      <c r="I69" s="64">
        <v>0.79</v>
      </c>
      <c r="J69" s="64">
        <v>0.86</v>
      </c>
      <c r="K69" s="64">
        <v>139.83000000000001</v>
      </c>
      <c r="L69" s="64">
        <v>29.04</v>
      </c>
      <c r="M69" s="64">
        <v>74.84</v>
      </c>
      <c r="N69" s="64">
        <v>154.69999999999999</v>
      </c>
      <c r="O69" s="64">
        <v>0</v>
      </c>
      <c r="P69" s="64">
        <v>0.17</v>
      </c>
      <c r="Q69" s="64">
        <v>9.5</v>
      </c>
      <c r="R69" s="198"/>
      <c r="S69" s="198"/>
      <c r="T69" s="198"/>
      <c r="U69" s="198"/>
    </row>
    <row r="70" spans="1:21" s="12" customFormat="1" x14ac:dyDescent="0.25">
      <c r="A70" s="212" t="s">
        <v>2996</v>
      </c>
      <c r="B70" s="64">
        <v>5.99</v>
      </c>
      <c r="C70" s="64">
        <v>8.93</v>
      </c>
      <c r="D70" s="64">
        <v>9.4700000000000006</v>
      </c>
      <c r="E70" s="64">
        <v>4.17</v>
      </c>
      <c r="F70" s="64">
        <v>12.94</v>
      </c>
      <c r="G70" s="64">
        <v>9.08</v>
      </c>
      <c r="H70" s="64">
        <v>1.28</v>
      </c>
      <c r="I70" s="64">
        <v>0.79</v>
      </c>
      <c r="J70" s="64">
        <v>0.57999999999999996</v>
      </c>
      <c r="K70" s="64">
        <v>139.65</v>
      </c>
      <c r="L70" s="64">
        <v>29.21</v>
      </c>
      <c r="M70" s="64">
        <v>76.36</v>
      </c>
      <c r="N70" s="64">
        <v>136.30000000000001</v>
      </c>
      <c r="O70" s="64">
        <v>0</v>
      </c>
      <c r="P70" s="64">
        <v>0.16</v>
      </c>
      <c r="Q70" s="64">
        <v>9.51</v>
      </c>
      <c r="R70" s="198"/>
      <c r="S70" s="198"/>
      <c r="T70" s="198"/>
      <c r="U70" s="198"/>
    </row>
    <row r="71" spans="1:21" s="12" customFormat="1" x14ac:dyDescent="0.25">
      <c r="A71" s="212" t="s">
        <v>2997</v>
      </c>
      <c r="B71" s="64">
        <v>6.54</v>
      </c>
      <c r="C71" s="64">
        <v>7.86</v>
      </c>
      <c r="D71" s="64">
        <v>9.35</v>
      </c>
      <c r="E71" s="64">
        <v>4.51</v>
      </c>
      <c r="F71" s="64">
        <v>8.3699999999999992</v>
      </c>
      <c r="G71" s="64">
        <v>9.08</v>
      </c>
      <c r="H71" s="64">
        <v>1.28</v>
      </c>
      <c r="I71" s="64">
        <v>0.79</v>
      </c>
      <c r="J71" s="64">
        <v>0.56999999999999995</v>
      </c>
      <c r="K71" s="64">
        <v>156.44</v>
      </c>
      <c r="L71" s="64">
        <v>29.35</v>
      </c>
      <c r="M71" s="64">
        <v>76.56</v>
      </c>
      <c r="N71" s="64">
        <v>147</v>
      </c>
      <c r="O71" s="64">
        <v>0</v>
      </c>
      <c r="P71" s="64">
        <v>0.19</v>
      </c>
      <c r="Q71" s="64">
        <v>9.49</v>
      </c>
      <c r="R71" s="198"/>
      <c r="S71" s="198"/>
      <c r="T71" s="198"/>
      <c r="U71" s="198"/>
    </row>
    <row r="72" spans="1:21" s="12" customFormat="1" x14ac:dyDescent="0.25">
      <c r="A72" s="212" t="s">
        <v>2998</v>
      </c>
      <c r="B72" s="64">
        <v>7.59</v>
      </c>
      <c r="C72" s="64">
        <v>8.09</v>
      </c>
      <c r="D72" s="64">
        <v>10.31</v>
      </c>
      <c r="E72" s="64">
        <v>4.82</v>
      </c>
      <c r="F72" s="64">
        <v>9.01</v>
      </c>
      <c r="G72" s="64">
        <v>9.08</v>
      </c>
      <c r="H72" s="64">
        <v>1.28</v>
      </c>
      <c r="I72" s="64">
        <v>0.8</v>
      </c>
      <c r="J72" s="64">
        <v>0.52</v>
      </c>
      <c r="K72" s="64">
        <v>154.93</v>
      </c>
      <c r="L72" s="64">
        <v>29.25</v>
      </c>
      <c r="M72" s="64">
        <v>75.040000000000006</v>
      </c>
      <c r="N72" s="64">
        <v>94.6</v>
      </c>
      <c r="O72" s="64">
        <v>0</v>
      </c>
      <c r="P72" s="64">
        <v>0.2</v>
      </c>
      <c r="Q72" s="64">
        <v>9.48</v>
      </c>
      <c r="R72" s="198"/>
      <c r="S72" s="198"/>
      <c r="T72" s="198"/>
      <c r="U72" s="198"/>
    </row>
    <row r="73" spans="1:21" s="12" customFormat="1" x14ac:dyDescent="0.25">
      <c r="A73" s="212" t="s">
        <v>2999</v>
      </c>
      <c r="B73" s="64">
        <v>6.33</v>
      </c>
      <c r="C73" s="64">
        <v>9.35</v>
      </c>
      <c r="D73" s="64">
        <v>9.9600000000000009</v>
      </c>
      <c r="E73" s="64">
        <v>4.97</v>
      </c>
      <c r="F73" s="64">
        <v>12.28</v>
      </c>
      <c r="G73" s="64">
        <v>11.88</v>
      </c>
      <c r="H73" s="64">
        <v>1.29</v>
      </c>
      <c r="I73" s="64">
        <v>0.72</v>
      </c>
      <c r="J73" s="64">
        <v>0.52</v>
      </c>
      <c r="K73" s="64">
        <v>151.59</v>
      </c>
      <c r="L73" s="64">
        <v>29.16</v>
      </c>
      <c r="M73" s="64">
        <v>75.08</v>
      </c>
      <c r="N73" s="64">
        <v>95.6</v>
      </c>
      <c r="O73" s="64">
        <v>0</v>
      </c>
      <c r="P73" s="64">
        <v>0.17</v>
      </c>
      <c r="Q73" s="64">
        <v>9.49</v>
      </c>
      <c r="R73" s="198"/>
      <c r="S73" s="198"/>
      <c r="T73" s="198"/>
      <c r="U73" s="198"/>
    </row>
    <row r="74" spans="1:21" s="12" customFormat="1" x14ac:dyDescent="0.25">
      <c r="A74" s="212" t="s">
        <v>3000</v>
      </c>
      <c r="B74" s="64">
        <v>6.14</v>
      </c>
      <c r="C74" s="64">
        <v>9.7100000000000009</v>
      </c>
      <c r="D74" s="64">
        <v>10</v>
      </c>
      <c r="E74" s="64">
        <v>4.92</v>
      </c>
      <c r="F74" s="64">
        <v>9.23</v>
      </c>
      <c r="G74" s="64">
        <v>15.39</v>
      </c>
      <c r="H74" s="64">
        <v>1.31</v>
      </c>
      <c r="I74" s="64">
        <v>0.66</v>
      </c>
      <c r="J74" s="64">
        <v>0.46</v>
      </c>
      <c r="K74" s="64">
        <v>144.18</v>
      </c>
      <c r="L74" s="64">
        <v>29.11</v>
      </c>
      <c r="M74" s="64">
        <v>77.95</v>
      </c>
      <c r="N74" s="64">
        <v>101.7</v>
      </c>
      <c r="O74" s="64">
        <v>0</v>
      </c>
      <c r="P74" s="64">
        <v>0.17</v>
      </c>
      <c r="Q74" s="64">
        <v>9.49</v>
      </c>
      <c r="R74" s="198"/>
      <c r="S74" s="198"/>
      <c r="T74" s="198"/>
      <c r="U74" s="198"/>
    </row>
    <row r="75" spans="1:21" s="12" customFormat="1" x14ac:dyDescent="0.25">
      <c r="A75" s="212" t="s">
        <v>3001</v>
      </c>
      <c r="B75" s="64">
        <v>6.2</v>
      </c>
      <c r="C75" s="64">
        <v>8.48</v>
      </c>
      <c r="D75" s="64">
        <v>9.4</v>
      </c>
      <c r="E75" s="64">
        <v>4.55</v>
      </c>
      <c r="F75" s="64">
        <v>7.19</v>
      </c>
      <c r="G75" s="64">
        <v>15.39</v>
      </c>
      <c r="H75" s="64">
        <v>1.31</v>
      </c>
      <c r="I75" s="64">
        <v>0.72</v>
      </c>
      <c r="J75" s="64">
        <v>0.89</v>
      </c>
      <c r="K75" s="64">
        <v>148.61000000000001</v>
      </c>
      <c r="L75" s="64">
        <v>28.98</v>
      </c>
      <c r="M75" s="64">
        <v>77.97</v>
      </c>
      <c r="N75" s="64">
        <v>94.7</v>
      </c>
      <c r="O75" s="64">
        <v>0</v>
      </c>
      <c r="P75" s="64">
        <v>0.18</v>
      </c>
      <c r="Q75" s="64">
        <v>9.49</v>
      </c>
      <c r="R75" s="198"/>
      <c r="S75" s="198"/>
      <c r="T75" s="198"/>
      <c r="U75" s="198"/>
    </row>
    <row r="76" spans="1:21" s="12" customFormat="1" x14ac:dyDescent="0.25">
      <c r="A76" s="212" t="s">
        <v>3002</v>
      </c>
      <c r="B76" s="64">
        <v>6.64</v>
      </c>
      <c r="C76" s="64">
        <v>9.75</v>
      </c>
      <c r="D76" s="64">
        <v>10.66</v>
      </c>
      <c r="E76" s="64">
        <v>4.79</v>
      </c>
      <c r="F76" s="64">
        <v>6.83</v>
      </c>
      <c r="G76" s="64">
        <v>15.39</v>
      </c>
      <c r="H76" s="64">
        <v>1.31</v>
      </c>
      <c r="I76" s="64">
        <v>0.68</v>
      </c>
      <c r="J76" s="64">
        <v>0.98</v>
      </c>
      <c r="K76" s="64">
        <v>150.56</v>
      </c>
      <c r="L76" s="64">
        <v>28.61</v>
      </c>
      <c r="M76" s="64">
        <v>79.930000000000007</v>
      </c>
      <c r="N76" s="64">
        <v>65.900000000000006</v>
      </c>
      <c r="O76" s="64">
        <v>0</v>
      </c>
      <c r="P76" s="64">
        <v>0.17</v>
      </c>
      <c r="Q76" s="64">
        <v>9.48</v>
      </c>
      <c r="R76" s="198"/>
      <c r="S76" s="198"/>
      <c r="T76" s="198"/>
      <c r="U76" s="198"/>
    </row>
    <row r="77" spans="1:21" s="12" customFormat="1" x14ac:dyDescent="0.25">
      <c r="A77" s="212" t="s">
        <v>3003</v>
      </c>
      <c r="B77" s="64">
        <v>5.95</v>
      </c>
      <c r="C77" s="64">
        <v>9.5299999999999994</v>
      </c>
      <c r="D77" s="64">
        <v>9.75</v>
      </c>
      <c r="E77" s="64">
        <v>4.57</v>
      </c>
      <c r="F77" s="64">
        <v>9.3699999999999992</v>
      </c>
      <c r="G77" s="64">
        <v>14.1</v>
      </c>
      <c r="H77" s="64">
        <v>1.3</v>
      </c>
      <c r="I77" s="64">
        <v>0.63</v>
      </c>
      <c r="J77" s="64">
        <v>0.28000000000000003</v>
      </c>
      <c r="K77" s="64">
        <v>179.67</v>
      </c>
      <c r="L77" s="64">
        <v>28.31</v>
      </c>
      <c r="M77" s="64">
        <v>82.49</v>
      </c>
      <c r="N77" s="64">
        <v>56</v>
      </c>
      <c r="O77" s="64">
        <v>0</v>
      </c>
      <c r="P77" s="64">
        <v>0.18</v>
      </c>
      <c r="Q77" s="64">
        <v>9.4600000000000009</v>
      </c>
      <c r="R77" s="198"/>
      <c r="S77" s="198"/>
      <c r="T77" s="198"/>
      <c r="U77" s="198"/>
    </row>
    <row r="78" spans="1:21" s="12" customFormat="1" x14ac:dyDescent="0.25">
      <c r="A78" s="212" t="s">
        <v>3004</v>
      </c>
      <c r="B78" s="64">
        <v>6.26</v>
      </c>
      <c r="C78" s="64">
        <v>9.9</v>
      </c>
      <c r="D78" s="64">
        <v>10.19</v>
      </c>
      <c r="E78" s="64">
        <v>4.42</v>
      </c>
      <c r="F78" s="64">
        <v>9.86</v>
      </c>
      <c r="G78" s="64">
        <v>12.47</v>
      </c>
      <c r="H78" s="64">
        <v>1.29</v>
      </c>
      <c r="I78" s="64">
        <v>0.61</v>
      </c>
      <c r="J78" s="64">
        <v>0.39</v>
      </c>
      <c r="K78" s="64">
        <v>142.58000000000001</v>
      </c>
      <c r="L78" s="64">
        <v>28.08</v>
      </c>
      <c r="M78" s="64">
        <v>85.19</v>
      </c>
      <c r="N78" s="64">
        <v>48.9</v>
      </c>
      <c r="O78" s="64">
        <v>0</v>
      </c>
      <c r="P78" s="64">
        <v>0.19</v>
      </c>
      <c r="Q78" s="64">
        <v>9.4600000000000009</v>
      </c>
      <c r="R78" s="198"/>
      <c r="S78" s="198"/>
      <c r="T78" s="198"/>
      <c r="U78" s="198"/>
    </row>
    <row r="79" spans="1:21" s="12" customFormat="1" x14ac:dyDescent="0.25">
      <c r="A79" s="212" t="s">
        <v>3005</v>
      </c>
      <c r="B79" s="64">
        <v>5.16</v>
      </c>
      <c r="C79" s="64">
        <v>9.8000000000000007</v>
      </c>
      <c r="D79" s="64">
        <v>9.25</v>
      </c>
      <c r="E79" s="64">
        <v>4.6900000000000004</v>
      </c>
      <c r="F79" s="64">
        <v>13.1</v>
      </c>
      <c r="G79" s="64">
        <v>12.47</v>
      </c>
      <c r="H79" s="64">
        <v>1.29</v>
      </c>
      <c r="I79" s="64">
        <v>0.61</v>
      </c>
      <c r="J79" s="64">
        <v>0.16</v>
      </c>
      <c r="K79" s="64">
        <v>155.13999999999999</v>
      </c>
      <c r="L79" s="64">
        <v>27.92</v>
      </c>
      <c r="M79" s="64">
        <v>85.81</v>
      </c>
      <c r="N79" s="64">
        <v>44.2</v>
      </c>
      <c r="O79" s="64">
        <v>0</v>
      </c>
      <c r="P79" s="64">
        <v>0.19</v>
      </c>
      <c r="Q79" s="64">
        <v>9.4600000000000009</v>
      </c>
      <c r="R79" s="198"/>
      <c r="S79" s="198"/>
      <c r="T79" s="198"/>
      <c r="U79" s="198"/>
    </row>
    <row r="80" spans="1:21" s="12" customFormat="1" x14ac:dyDescent="0.25">
      <c r="A80" s="212" t="s">
        <v>3006</v>
      </c>
      <c r="B80" s="64">
        <v>4.7300000000000004</v>
      </c>
      <c r="C80" s="64">
        <v>10.42</v>
      </c>
      <c r="D80" s="64">
        <v>9.23</v>
      </c>
      <c r="E80" s="64">
        <v>4.42</v>
      </c>
      <c r="F80" s="64">
        <v>8.8699999999999992</v>
      </c>
      <c r="G80" s="64">
        <v>12.47</v>
      </c>
      <c r="H80" s="64">
        <v>1.29</v>
      </c>
      <c r="I80" s="64">
        <v>0.64</v>
      </c>
      <c r="J80" s="64">
        <v>0.19</v>
      </c>
      <c r="K80" s="64">
        <v>167.48</v>
      </c>
      <c r="L80" s="64">
        <v>27.74</v>
      </c>
      <c r="M80" s="64">
        <v>87.27</v>
      </c>
      <c r="N80" s="64">
        <v>39.5</v>
      </c>
      <c r="O80" s="64">
        <v>0</v>
      </c>
      <c r="P80" s="64">
        <v>0.19</v>
      </c>
      <c r="Q80" s="64">
        <v>9.4499999999999993</v>
      </c>
      <c r="R80" s="198"/>
      <c r="S80" s="198"/>
      <c r="T80" s="198"/>
      <c r="U80" s="198"/>
    </row>
    <row r="81" spans="1:26" s="12" customFormat="1" x14ac:dyDescent="0.25">
      <c r="A81" s="212" t="s">
        <v>3007</v>
      </c>
      <c r="B81" s="64">
        <v>4.79</v>
      </c>
      <c r="C81" s="64">
        <v>11.49</v>
      </c>
      <c r="D81" s="64">
        <v>9.84</v>
      </c>
      <c r="E81" s="64">
        <v>4.6100000000000003</v>
      </c>
      <c r="F81" s="64">
        <v>7.17</v>
      </c>
      <c r="G81" s="64">
        <v>11.99</v>
      </c>
      <c r="H81" s="64">
        <v>1.29</v>
      </c>
      <c r="I81" s="64">
        <v>0.64</v>
      </c>
      <c r="J81" s="64">
        <v>0.83</v>
      </c>
      <c r="K81" s="64">
        <v>148.12</v>
      </c>
      <c r="L81" s="64">
        <v>27.43</v>
      </c>
      <c r="M81" s="64">
        <v>89.01</v>
      </c>
      <c r="N81" s="64">
        <v>34.200000000000003</v>
      </c>
      <c r="O81" s="64">
        <v>0</v>
      </c>
      <c r="P81" s="64">
        <v>0.2</v>
      </c>
      <c r="Q81" s="64">
        <v>9.4499999999999993</v>
      </c>
      <c r="R81" s="198"/>
      <c r="S81" s="198"/>
      <c r="T81" s="198"/>
      <c r="U81" s="198"/>
    </row>
    <row r="82" spans="1:26" s="12" customFormat="1" x14ac:dyDescent="0.25">
      <c r="A82" s="212" t="s">
        <v>3008</v>
      </c>
      <c r="B82" s="64">
        <v>4.88</v>
      </c>
      <c r="C82" s="64">
        <v>9.68</v>
      </c>
      <c r="D82" s="64">
        <v>8.9700000000000006</v>
      </c>
      <c r="E82" s="64">
        <v>4.49</v>
      </c>
      <c r="F82" s="64">
        <v>3.59</v>
      </c>
      <c r="G82" s="64">
        <v>11.39</v>
      </c>
      <c r="H82" s="64">
        <v>1.29</v>
      </c>
      <c r="I82" s="64">
        <v>0.62</v>
      </c>
      <c r="J82" s="64">
        <v>1.25</v>
      </c>
      <c r="K82" s="64">
        <v>151.13999999999999</v>
      </c>
      <c r="L82" s="64">
        <v>25.06</v>
      </c>
      <c r="M82" s="64">
        <v>98.13</v>
      </c>
      <c r="N82" s="64">
        <v>37.200000000000003</v>
      </c>
      <c r="O82" s="64">
        <v>0</v>
      </c>
      <c r="P82" s="64">
        <v>0.17</v>
      </c>
      <c r="Q82" s="64">
        <v>9.4700000000000006</v>
      </c>
      <c r="R82" s="198"/>
      <c r="S82" s="198"/>
      <c r="T82" s="198"/>
      <c r="U82" s="198"/>
    </row>
    <row r="83" spans="1:26" s="12" customFormat="1" x14ac:dyDescent="0.25">
      <c r="A83" s="212" t="s">
        <v>3009</v>
      </c>
      <c r="B83" s="64">
        <v>4.7699999999999996</v>
      </c>
      <c r="C83" s="64">
        <v>8.9</v>
      </c>
      <c r="D83" s="64">
        <v>8.4700000000000006</v>
      </c>
      <c r="E83" s="64">
        <v>4.78</v>
      </c>
      <c r="F83" s="64">
        <v>7.16</v>
      </c>
      <c r="G83" s="64">
        <v>11.39</v>
      </c>
      <c r="H83" s="64">
        <v>1.29</v>
      </c>
      <c r="I83" s="64">
        <v>0.69</v>
      </c>
      <c r="J83" s="64">
        <v>0.53</v>
      </c>
      <c r="K83" s="64">
        <v>156.47</v>
      </c>
      <c r="L83" s="64">
        <v>23.52</v>
      </c>
      <c r="M83" s="64">
        <v>98.22</v>
      </c>
      <c r="N83" s="64">
        <v>31.9</v>
      </c>
      <c r="O83" s="64">
        <v>0</v>
      </c>
      <c r="P83" s="64">
        <v>0.17</v>
      </c>
      <c r="Q83" s="64">
        <v>9.4700000000000006</v>
      </c>
      <c r="R83" s="198"/>
      <c r="S83" s="198"/>
      <c r="T83" s="198"/>
      <c r="U83" s="198"/>
    </row>
    <row r="84" spans="1:26" s="12" customFormat="1" x14ac:dyDescent="0.25">
      <c r="A84" s="212" t="s">
        <v>3010</v>
      </c>
      <c r="B84" s="64">
        <v>10.16</v>
      </c>
      <c r="C84" s="64">
        <v>14.03</v>
      </c>
      <c r="D84" s="64">
        <v>15.48</v>
      </c>
      <c r="E84" s="64">
        <v>4.3499999999999996</v>
      </c>
      <c r="F84" s="64">
        <v>7.4</v>
      </c>
      <c r="G84" s="64">
        <v>11.39</v>
      </c>
      <c r="H84" s="64">
        <v>1.29</v>
      </c>
      <c r="I84" s="64">
        <v>0.73</v>
      </c>
      <c r="J84" s="64">
        <v>0.1</v>
      </c>
      <c r="K84" s="64">
        <v>312.47000000000003</v>
      </c>
      <c r="L84" s="64">
        <v>23.42</v>
      </c>
      <c r="M84" s="64">
        <v>98.24</v>
      </c>
      <c r="N84" s="64">
        <v>30.4</v>
      </c>
      <c r="O84" s="64">
        <v>0</v>
      </c>
      <c r="P84" s="64">
        <v>0.57999999999999996</v>
      </c>
      <c r="Q84" s="64">
        <v>9.48</v>
      </c>
      <c r="R84" s="198"/>
      <c r="S84" s="198"/>
      <c r="T84" s="198"/>
      <c r="U84" s="198"/>
    </row>
    <row r="85" spans="1:26" s="12" customFormat="1" x14ac:dyDescent="0.25">
      <c r="A85" s="212" t="s">
        <v>3011</v>
      </c>
      <c r="B85" s="64">
        <v>21.74</v>
      </c>
      <c r="C85" s="64">
        <v>19.23</v>
      </c>
      <c r="D85" s="64">
        <v>27.48</v>
      </c>
      <c r="E85" s="64">
        <v>4.76</v>
      </c>
      <c r="F85" s="64">
        <v>5.13</v>
      </c>
      <c r="G85" s="64">
        <v>12.65</v>
      </c>
      <c r="H85" s="64">
        <v>1.28</v>
      </c>
      <c r="I85" s="64">
        <v>0.74</v>
      </c>
      <c r="J85" s="64">
        <v>0.03</v>
      </c>
      <c r="K85" s="64">
        <v>285.97000000000003</v>
      </c>
      <c r="L85" s="64">
        <v>23.62</v>
      </c>
      <c r="M85" s="64">
        <v>98.28</v>
      </c>
      <c r="N85" s="64">
        <v>30.5</v>
      </c>
      <c r="O85" s="64">
        <v>0</v>
      </c>
      <c r="P85" s="64">
        <v>0.98</v>
      </c>
      <c r="Q85" s="64">
        <v>9.48</v>
      </c>
      <c r="R85" s="198"/>
      <c r="S85" s="198"/>
      <c r="T85" s="198"/>
      <c r="U85" s="198"/>
    </row>
    <row r="86" spans="1:26" s="12" customFormat="1" x14ac:dyDescent="0.25">
      <c r="A86" s="212" t="s">
        <v>3012</v>
      </c>
      <c r="B86" s="64">
        <v>15.7</v>
      </c>
      <c r="C86" s="64">
        <v>21.72</v>
      </c>
      <c r="D86" s="64">
        <v>23.94</v>
      </c>
      <c r="E86" s="64">
        <v>4.82</v>
      </c>
      <c r="F86" s="64">
        <v>4.51</v>
      </c>
      <c r="G86" s="64">
        <v>14.22</v>
      </c>
      <c r="H86" s="64">
        <v>1.27</v>
      </c>
      <c r="I86" s="64">
        <v>0.74</v>
      </c>
      <c r="J86" s="64">
        <v>0.12</v>
      </c>
      <c r="K86" s="64">
        <v>293.44</v>
      </c>
      <c r="L86" s="64">
        <v>23.65</v>
      </c>
      <c r="M86" s="64">
        <v>98.27</v>
      </c>
      <c r="N86" s="64">
        <v>30.8</v>
      </c>
      <c r="O86" s="64">
        <v>0</v>
      </c>
      <c r="P86" s="64">
        <v>0.68</v>
      </c>
      <c r="Q86" s="64">
        <v>9.51</v>
      </c>
      <c r="R86" s="198"/>
      <c r="S86" s="198"/>
      <c r="T86" s="198"/>
      <c r="U86" s="198"/>
    </row>
    <row r="87" spans="1:26" s="12" customFormat="1" x14ac:dyDescent="0.25">
      <c r="A87" s="212" t="s">
        <v>3013</v>
      </c>
      <c r="B87" s="64">
        <v>9.1300000000000008</v>
      </c>
      <c r="C87" s="64">
        <v>18.41</v>
      </c>
      <c r="D87" s="64">
        <v>16.940000000000001</v>
      </c>
      <c r="E87" s="64">
        <v>4.62</v>
      </c>
      <c r="F87" s="64">
        <v>6.83</v>
      </c>
      <c r="G87" s="64">
        <v>14.22</v>
      </c>
      <c r="H87" s="64">
        <v>1.27</v>
      </c>
      <c r="I87" s="64">
        <v>0.81</v>
      </c>
      <c r="J87" s="64">
        <v>0.04</v>
      </c>
      <c r="K87" s="64">
        <v>281.74</v>
      </c>
      <c r="L87" s="64">
        <v>23.84</v>
      </c>
      <c r="M87" s="64">
        <v>98.27</v>
      </c>
      <c r="N87" s="64">
        <v>31.1</v>
      </c>
      <c r="O87" s="64">
        <v>0</v>
      </c>
      <c r="P87" s="64">
        <v>0.56999999999999995</v>
      </c>
      <c r="Q87" s="64">
        <v>9.5399999999999991</v>
      </c>
      <c r="R87" s="198"/>
      <c r="S87" s="198"/>
      <c r="T87" s="198"/>
      <c r="U87" s="198"/>
    </row>
    <row r="88" spans="1:26" s="12" customFormat="1" x14ac:dyDescent="0.25">
      <c r="A88" s="212" t="s">
        <v>3014</v>
      </c>
      <c r="B88" s="64">
        <v>8.31</v>
      </c>
      <c r="C88" s="64">
        <v>17.91</v>
      </c>
      <c r="D88" s="64">
        <v>16.02</v>
      </c>
      <c r="E88" s="64">
        <v>4.7699999999999996</v>
      </c>
      <c r="F88" s="64">
        <v>5.12</v>
      </c>
      <c r="G88" s="64">
        <v>14.22</v>
      </c>
      <c r="H88" s="64">
        <v>1.27</v>
      </c>
      <c r="I88" s="64">
        <v>0.86</v>
      </c>
      <c r="J88" s="64">
        <v>0.14000000000000001</v>
      </c>
      <c r="K88" s="64">
        <v>105.78</v>
      </c>
      <c r="L88" s="64">
        <v>24.11</v>
      </c>
      <c r="M88" s="64">
        <v>98.23</v>
      </c>
      <c r="N88" s="64">
        <v>31.2</v>
      </c>
      <c r="O88" s="64">
        <v>0</v>
      </c>
      <c r="P88" s="64">
        <v>0.56999999999999995</v>
      </c>
      <c r="Q88" s="64">
        <v>9.5500000000000007</v>
      </c>
      <c r="R88" s="198"/>
      <c r="S88" s="198"/>
      <c r="T88" s="198"/>
      <c r="U88" s="198"/>
    </row>
    <row r="89" spans="1:26" s="12" customFormat="1" x14ac:dyDescent="0.25">
      <c r="A89" s="212" t="s">
        <v>3015</v>
      </c>
      <c r="B89" s="64">
        <v>11.25</v>
      </c>
      <c r="C89" s="64">
        <v>19.940000000000001</v>
      </c>
      <c r="D89" s="64">
        <v>19.440000000000001</v>
      </c>
      <c r="E89" s="64">
        <v>4.88</v>
      </c>
      <c r="F89" s="64">
        <v>5.09</v>
      </c>
      <c r="G89" s="64">
        <v>16.07</v>
      </c>
      <c r="H89" s="64">
        <v>1.32</v>
      </c>
      <c r="I89" s="64">
        <v>0.86</v>
      </c>
      <c r="J89" s="64">
        <v>0.19</v>
      </c>
      <c r="K89" s="64">
        <v>103.83</v>
      </c>
      <c r="L89" s="64">
        <v>24.25</v>
      </c>
      <c r="M89" s="64">
        <v>98.23</v>
      </c>
      <c r="N89" s="64">
        <v>31.5</v>
      </c>
      <c r="O89" s="64">
        <v>0</v>
      </c>
      <c r="P89" s="64">
        <v>0.63</v>
      </c>
      <c r="Q89" s="64">
        <v>9.5399999999999991</v>
      </c>
      <c r="R89" s="198"/>
      <c r="S89" s="198"/>
      <c r="T89" s="198"/>
      <c r="U89" s="198"/>
    </row>
    <row r="90" spans="1:26" s="12" customFormat="1" x14ac:dyDescent="0.25">
      <c r="A90" s="212" t="s">
        <v>3016</v>
      </c>
      <c r="B90" s="64">
        <v>8.44</v>
      </c>
      <c r="C90" s="64">
        <v>15.37</v>
      </c>
      <c r="D90" s="64">
        <v>14.79</v>
      </c>
      <c r="E90" s="64">
        <v>4.8</v>
      </c>
      <c r="F90" s="64">
        <v>4.54</v>
      </c>
      <c r="G90" s="64">
        <v>18.37</v>
      </c>
      <c r="H90" s="64">
        <v>1.35</v>
      </c>
      <c r="I90" s="64">
        <v>0.91</v>
      </c>
      <c r="J90" s="64">
        <v>0.02</v>
      </c>
      <c r="K90" s="64">
        <v>185.8</v>
      </c>
      <c r="L90" s="64">
        <v>24.21</v>
      </c>
      <c r="M90" s="64">
        <v>98.21</v>
      </c>
      <c r="N90" s="64">
        <v>31.5</v>
      </c>
      <c r="O90" s="64">
        <v>0</v>
      </c>
      <c r="P90" s="64">
        <v>0.47</v>
      </c>
      <c r="Q90" s="64">
        <v>9.56</v>
      </c>
      <c r="R90" s="198"/>
      <c r="S90" s="198"/>
      <c r="T90" s="198"/>
      <c r="U90" s="198"/>
    </row>
    <row r="91" spans="1:26" s="12" customFormat="1" x14ac:dyDescent="0.25">
      <c r="A91" s="212" t="s">
        <v>3017</v>
      </c>
      <c r="B91" s="64">
        <v>7</v>
      </c>
      <c r="C91" s="64">
        <v>17.39</v>
      </c>
      <c r="D91" s="64">
        <v>14.7</v>
      </c>
      <c r="E91" s="64">
        <v>5.05</v>
      </c>
      <c r="F91" s="64">
        <v>6.88</v>
      </c>
      <c r="G91" s="64">
        <v>18.37</v>
      </c>
      <c r="H91" s="64">
        <v>1.35</v>
      </c>
      <c r="I91" s="64">
        <v>0.93</v>
      </c>
      <c r="J91" s="64">
        <v>0.1</v>
      </c>
      <c r="K91" s="64">
        <v>117.96</v>
      </c>
      <c r="L91" s="64">
        <v>24.16</v>
      </c>
      <c r="M91" s="64">
        <v>98.21</v>
      </c>
      <c r="N91" s="64">
        <v>31.4</v>
      </c>
      <c r="O91" s="64">
        <v>0</v>
      </c>
      <c r="P91" s="64">
        <v>0.55000000000000004</v>
      </c>
      <c r="Q91" s="64">
        <v>9.57</v>
      </c>
      <c r="R91" s="198"/>
      <c r="S91" s="198"/>
      <c r="T91" s="198"/>
      <c r="U91" s="198"/>
    </row>
    <row r="92" spans="1:26" s="12" customFormat="1" x14ac:dyDescent="0.25">
      <c r="A92" s="212" t="s">
        <v>3018</v>
      </c>
      <c r="B92" s="64">
        <v>9.2100000000000009</v>
      </c>
      <c r="C92" s="64">
        <v>19.09</v>
      </c>
      <c r="D92" s="64">
        <v>17.36</v>
      </c>
      <c r="E92" s="64">
        <v>4.59</v>
      </c>
      <c r="F92" s="64">
        <v>5.41</v>
      </c>
      <c r="G92" s="64">
        <v>18.37</v>
      </c>
      <c r="H92" s="64">
        <v>1.35</v>
      </c>
      <c r="I92" s="64">
        <v>0.97</v>
      </c>
      <c r="J92" s="64">
        <v>0.01</v>
      </c>
      <c r="K92" s="64">
        <v>34.340000000000003</v>
      </c>
      <c r="L92" s="64">
        <v>24.24</v>
      </c>
      <c r="M92" s="64">
        <v>98.24</v>
      </c>
      <c r="N92" s="64">
        <v>31</v>
      </c>
      <c r="O92" s="64">
        <v>0</v>
      </c>
      <c r="P92" s="64">
        <v>0.57999999999999996</v>
      </c>
      <c r="Q92" s="64">
        <v>9.58</v>
      </c>
      <c r="R92" s="198"/>
      <c r="S92" s="198"/>
      <c r="T92" s="198"/>
      <c r="U92" s="198"/>
    </row>
    <row r="93" spans="1:26" s="12" customFormat="1" x14ac:dyDescent="0.25">
      <c r="A93" s="212" t="s">
        <v>3019</v>
      </c>
      <c r="B93" s="64">
        <v>11.77</v>
      </c>
      <c r="C93" s="64">
        <v>18.45</v>
      </c>
      <c r="D93" s="64">
        <v>19.079999999999998</v>
      </c>
      <c r="E93" s="64">
        <v>4.7</v>
      </c>
      <c r="F93" s="64">
        <v>4.6900000000000004</v>
      </c>
      <c r="G93" s="64">
        <v>16.920000000000002</v>
      </c>
      <c r="H93" s="64">
        <v>1.34</v>
      </c>
      <c r="I93" s="64">
        <v>1</v>
      </c>
      <c r="J93" s="64">
        <v>0.11</v>
      </c>
      <c r="K93" s="64">
        <v>115.89</v>
      </c>
      <c r="L93" s="64">
        <v>24.33</v>
      </c>
      <c r="M93" s="64">
        <v>98.23</v>
      </c>
      <c r="N93" s="64">
        <v>31.2</v>
      </c>
      <c r="O93" s="64">
        <v>0</v>
      </c>
      <c r="P93" s="64">
        <v>0.71</v>
      </c>
      <c r="Q93" s="64">
        <v>9.58</v>
      </c>
      <c r="R93" s="198"/>
      <c r="S93" s="198"/>
      <c r="T93" s="198"/>
      <c r="U93" s="198"/>
    </row>
    <row r="94" spans="1:26" s="12" customFormat="1" x14ac:dyDescent="0.25">
      <c r="A94" s="212" t="s">
        <v>3020</v>
      </c>
      <c r="B94" s="64">
        <v>14.54</v>
      </c>
      <c r="C94" s="64">
        <v>17.93</v>
      </c>
      <c r="D94" s="64">
        <v>21.02</v>
      </c>
      <c r="E94" s="64">
        <v>4.53</v>
      </c>
      <c r="F94" s="64">
        <v>4.47</v>
      </c>
      <c r="G94" s="64">
        <v>15.11</v>
      </c>
      <c r="H94" s="64">
        <v>1.33</v>
      </c>
      <c r="I94" s="64">
        <v>1.03</v>
      </c>
      <c r="J94" s="64">
        <v>0.05</v>
      </c>
      <c r="K94" s="64">
        <v>166.05</v>
      </c>
      <c r="L94" s="64">
        <v>24.5</v>
      </c>
      <c r="M94" s="64">
        <v>98.22</v>
      </c>
      <c r="N94" s="64">
        <v>31.4</v>
      </c>
      <c r="O94" s="64">
        <v>0</v>
      </c>
      <c r="P94" s="64">
        <v>0.57999999999999996</v>
      </c>
      <c r="Q94" s="64">
        <v>9.59</v>
      </c>
      <c r="R94" s="198"/>
      <c r="S94" s="198"/>
      <c r="T94" s="198"/>
      <c r="U94" s="198"/>
    </row>
    <row r="95" spans="1:26" s="12" customFormat="1" x14ac:dyDescent="0.25">
      <c r="A95" s="212" t="s">
        <v>3021</v>
      </c>
      <c r="B95" s="64">
        <v>14.16</v>
      </c>
      <c r="C95" s="64">
        <v>13.85</v>
      </c>
      <c r="D95" s="64">
        <v>18.59</v>
      </c>
      <c r="E95" s="64">
        <v>4.71</v>
      </c>
      <c r="F95" s="64">
        <v>4.04</v>
      </c>
      <c r="G95" s="64">
        <v>15.11</v>
      </c>
      <c r="H95" s="64">
        <v>1.33</v>
      </c>
      <c r="I95" s="64">
        <v>1.07</v>
      </c>
      <c r="J95" s="64">
        <v>0.13</v>
      </c>
      <c r="K95" s="64">
        <v>193.98</v>
      </c>
      <c r="L95" s="64">
        <v>24.49</v>
      </c>
      <c r="M95" s="64">
        <v>98.23</v>
      </c>
      <c r="N95" s="64">
        <v>31.2</v>
      </c>
      <c r="O95" s="64">
        <v>0</v>
      </c>
      <c r="P95" s="64">
        <v>0.47</v>
      </c>
      <c r="Q95" s="64">
        <v>9.61</v>
      </c>
      <c r="R95" s="198"/>
      <c r="S95" s="198"/>
      <c r="T95" s="198"/>
      <c r="U95" s="198"/>
    </row>
    <row r="96" spans="1:26" s="12" customFormat="1" x14ac:dyDescent="0.25">
      <c r="A96" s="212" t="s">
        <v>3022</v>
      </c>
      <c r="B96" s="64">
        <v>10.14</v>
      </c>
      <c r="C96" s="64">
        <v>11.09</v>
      </c>
      <c r="D96" s="64">
        <v>13.92</v>
      </c>
      <c r="E96" s="64">
        <v>4.6900000000000004</v>
      </c>
      <c r="F96" s="64">
        <v>4.1900000000000004</v>
      </c>
      <c r="G96" s="64">
        <v>15.11</v>
      </c>
      <c r="H96" s="64">
        <v>1.33</v>
      </c>
      <c r="I96" s="64">
        <v>1.1100000000000001</v>
      </c>
      <c r="J96" s="64">
        <v>0.17</v>
      </c>
      <c r="K96" s="64">
        <v>197.47</v>
      </c>
      <c r="L96" s="64">
        <v>24.58</v>
      </c>
      <c r="M96" s="64">
        <v>98.2</v>
      </c>
      <c r="N96" s="64">
        <v>31.4</v>
      </c>
      <c r="O96" s="64">
        <v>0</v>
      </c>
      <c r="P96" s="64">
        <v>0.4</v>
      </c>
      <c r="Q96" s="64">
        <v>9.6</v>
      </c>
      <c r="R96" s="198"/>
      <c r="S96" s="198"/>
      <c r="T96" s="198"/>
      <c r="U96" s="198"/>
      <c r="Z96" s="109"/>
    </row>
    <row r="97" spans="1:33" s="12" customFormat="1" x14ac:dyDescent="0.25">
      <c r="A97" s="212" t="s">
        <v>3023</v>
      </c>
      <c r="B97" s="64">
        <v>8.06</v>
      </c>
      <c r="C97" s="64">
        <v>15.69</v>
      </c>
      <c r="D97" s="64">
        <v>14.66</v>
      </c>
      <c r="E97" s="64">
        <v>4.72</v>
      </c>
      <c r="F97" s="64">
        <v>5.31</v>
      </c>
      <c r="G97" s="64">
        <v>16.670000000000002</v>
      </c>
      <c r="H97" s="64">
        <v>1.33</v>
      </c>
      <c r="I97" s="64">
        <v>1.1399999999999999</v>
      </c>
      <c r="J97" s="64">
        <v>0.01</v>
      </c>
      <c r="K97" s="64">
        <v>49.38</v>
      </c>
      <c r="L97" s="64">
        <v>24.52</v>
      </c>
      <c r="M97" s="64">
        <v>98.23</v>
      </c>
      <c r="N97" s="64">
        <v>31</v>
      </c>
      <c r="O97" s="64">
        <v>0</v>
      </c>
      <c r="P97" s="64">
        <v>0.41</v>
      </c>
      <c r="Q97" s="64">
        <v>9.6199999999999992</v>
      </c>
      <c r="R97" s="198"/>
      <c r="S97" s="198"/>
      <c r="T97" s="198"/>
      <c r="U97" s="198"/>
    </row>
    <row r="98" spans="1:33" s="12" customFormat="1" x14ac:dyDescent="0.25">
      <c r="A98" s="212" t="s">
        <v>3024</v>
      </c>
      <c r="B98" s="64">
        <v>10.49</v>
      </c>
      <c r="C98" s="64">
        <v>14.24</v>
      </c>
      <c r="D98" s="64">
        <v>15.85</v>
      </c>
      <c r="E98" s="64">
        <v>4.88</v>
      </c>
      <c r="F98" s="64">
        <v>4.84</v>
      </c>
      <c r="G98" s="64">
        <v>18.62</v>
      </c>
      <c r="H98" s="64">
        <v>1.33</v>
      </c>
      <c r="I98" s="64">
        <v>1.1599999999999999</v>
      </c>
      <c r="J98" s="64">
        <v>0.06</v>
      </c>
      <c r="K98" s="64">
        <v>223.91</v>
      </c>
      <c r="L98" s="64">
        <v>24.51</v>
      </c>
      <c r="M98" s="64">
        <v>98.25</v>
      </c>
      <c r="N98" s="64">
        <v>30.9</v>
      </c>
      <c r="O98" s="64">
        <v>0</v>
      </c>
      <c r="P98" s="64">
        <v>0.41</v>
      </c>
      <c r="Q98" s="64">
        <v>9.6199999999999992</v>
      </c>
      <c r="R98" s="198"/>
      <c r="S98" s="198"/>
      <c r="T98" s="198"/>
      <c r="U98" s="198"/>
    </row>
    <row r="99" spans="1:33" s="12" customFormat="1" x14ac:dyDescent="0.25">
      <c r="A99" s="212" t="s">
        <v>3025</v>
      </c>
      <c r="B99" s="64">
        <v>10.82</v>
      </c>
      <c r="C99" s="64">
        <v>14.41</v>
      </c>
      <c r="D99" s="64">
        <v>16.2</v>
      </c>
      <c r="E99" s="64">
        <v>4.5199999999999996</v>
      </c>
      <c r="F99" s="64">
        <v>4.33</v>
      </c>
      <c r="G99" s="64">
        <v>18.62</v>
      </c>
      <c r="H99" s="64">
        <v>1.33</v>
      </c>
      <c r="I99" s="64">
        <v>1.17</v>
      </c>
      <c r="J99" s="64">
        <v>0.1</v>
      </c>
      <c r="K99" s="64">
        <v>195.3</v>
      </c>
      <c r="L99" s="64">
        <v>24.53</v>
      </c>
      <c r="M99" s="64">
        <v>98.23</v>
      </c>
      <c r="N99" s="64">
        <v>31.1</v>
      </c>
      <c r="O99" s="64">
        <v>0</v>
      </c>
      <c r="P99" s="64">
        <v>0.39</v>
      </c>
      <c r="Q99" s="64">
        <v>9.6199999999999992</v>
      </c>
      <c r="R99" s="198"/>
      <c r="S99" s="198"/>
      <c r="T99" s="198"/>
      <c r="U99" s="198"/>
    </row>
    <row r="100" spans="1:33" s="12" customFormat="1" x14ac:dyDescent="0.25">
      <c r="A100" s="212" t="s">
        <v>3026</v>
      </c>
      <c r="B100" s="64">
        <v>8.67</v>
      </c>
      <c r="C100" s="64">
        <v>13.08</v>
      </c>
      <c r="D100" s="64">
        <v>13.79</v>
      </c>
      <c r="E100" s="64">
        <v>4.24</v>
      </c>
      <c r="F100" s="64">
        <v>5.46</v>
      </c>
      <c r="G100" s="64">
        <v>18.62</v>
      </c>
      <c r="H100" s="64">
        <v>1.33</v>
      </c>
      <c r="I100" s="64">
        <v>1.24</v>
      </c>
      <c r="J100" s="64">
        <v>0.3</v>
      </c>
      <c r="K100" s="64">
        <v>163.69</v>
      </c>
      <c r="L100" s="64">
        <v>24.58</v>
      </c>
      <c r="M100" s="64">
        <v>98.2</v>
      </c>
      <c r="N100" s="64">
        <v>31.3</v>
      </c>
      <c r="O100" s="64">
        <v>0</v>
      </c>
      <c r="P100" s="64">
        <v>0.35</v>
      </c>
      <c r="Q100" s="64">
        <v>9.6300000000000008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2" t="s">
        <v>3027</v>
      </c>
      <c r="B101" s="64">
        <v>6.65</v>
      </c>
      <c r="C101" s="64">
        <v>11.57</v>
      </c>
      <c r="D101" s="64">
        <v>11.38</v>
      </c>
      <c r="E101" s="64">
        <v>4.6100000000000003</v>
      </c>
      <c r="F101" s="64">
        <v>8.66</v>
      </c>
      <c r="G101" s="64">
        <v>20.11</v>
      </c>
      <c r="H101" s="64">
        <v>1.33</v>
      </c>
      <c r="I101" s="64">
        <v>1.32</v>
      </c>
      <c r="J101" s="64">
        <v>0.14000000000000001</v>
      </c>
      <c r="K101" s="64">
        <v>149.75</v>
      </c>
      <c r="L101" s="64">
        <v>24.66</v>
      </c>
      <c r="M101" s="64">
        <v>98.2</v>
      </c>
      <c r="N101" s="64">
        <v>31.4</v>
      </c>
      <c r="O101" s="64">
        <v>0</v>
      </c>
      <c r="P101" s="64">
        <v>0.28999999999999998</v>
      </c>
      <c r="Q101" s="64">
        <v>9.6300000000000008</v>
      </c>
      <c r="R101" s="198"/>
      <c r="S101" s="198"/>
      <c r="T101" s="198"/>
      <c r="U101" s="198"/>
    </row>
    <row r="102" spans="1:33" s="12" customFormat="1" x14ac:dyDescent="0.25">
      <c r="A102" s="212" t="s">
        <v>3028</v>
      </c>
      <c r="B102" s="64">
        <v>6.39</v>
      </c>
      <c r="C102" s="64">
        <v>10.72</v>
      </c>
      <c r="D102" s="64">
        <v>10.73</v>
      </c>
      <c r="E102" s="64">
        <v>4.8</v>
      </c>
      <c r="F102" s="64">
        <v>6.54</v>
      </c>
      <c r="G102" s="64">
        <v>21.98</v>
      </c>
      <c r="H102" s="64">
        <v>1.31</v>
      </c>
      <c r="I102" s="64">
        <v>1.26</v>
      </c>
      <c r="J102" s="64">
        <v>0.35</v>
      </c>
      <c r="K102" s="64">
        <v>145.34</v>
      </c>
      <c r="L102" s="64">
        <v>24.66</v>
      </c>
      <c r="M102" s="64">
        <v>98.2</v>
      </c>
      <c r="N102" s="64">
        <v>31.2</v>
      </c>
      <c r="O102" s="64">
        <v>0</v>
      </c>
      <c r="P102" s="64">
        <v>0.28999999999999998</v>
      </c>
      <c r="Q102" s="64">
        <v>9.6300000000000008</v>
      </c>
      <c r="R102" s="198"/>
      <c r="S102" s="198"/>
      <c r="T102" s="198"/>
      <c r="U102" s="198"/>
    </row>
    <row r="103" spans="1:33" s="12" customFormat="1" x14ac:dyDescent="0.25">
      <c r="A103" s="212" t="s">
        <v>3029</v>
      </c>
      <c r="B103" s="64">
        <v>6.38</v>
      </c>
      <c r="C103" s="64">
        <v>10.41</v>
      </c>
      <c r="D103" s="64">
        <v>10.56</v>
      </c>
      <c r="E103" s="64">
        <v>4.72</v>
      </c>
      <c r="F103" s="64">
        <v>6.81</v>
      </c>
      <c r="G103" s="64">
        <v>21.98</v>
      </c>
      <c r="H103" s="64">
        <v>1.31</v>
      </c>
      <c r="I103" s="64">
        <v>1.26</v>
      </c>
      <c r="J103" s="64">
        <v>0.25</v>
      </c>
      <c r="K103" s="64">
        <v>151.31</v>
      </c>
      <c r="L103" s="64">
        <v>24.7</v>
      </c>
      <c r="M103" s="64">
        <v>98.2</v>
      </c>
      <c r="N103" s="64">
        <v>31.3</v>
      </c>
      <c r="O103" s="64">
        <v>0</v>
      </c>
      <c r="P103" s="64">
        <v>0.28999999999999998</v>
      </c>
      <c r="Q103" s="64">
        <v>9.64</v>
      </c>
      <c r="R103" s="198"/>
      <c r="S103" s="198"/>
      <c r="T103" s="198"/>
      <c r="U103" s="198"/>
    </row>
    <row r="104" spans="1:33" s="12" customFormat="1" x14ac:dyDescent="0.25">
      <c r="A104" s="212" t="s">
        <v>3030</v>
      </c>
      <c r="B104" s="64">
        <v>7.08</v>
      </c>
      <c r="C104" s="64">
        <v>8.77</v>
      </c>
      <c r="D104" s="64">
        <v>10.26</v>
      </c>
      <c r="E104" s="64">
        <v>4.45</v>
      </c>
      <c r="F104" s="64">
        <v>7.45</v>
      </c>
      <c r="G104" s="64">
        <v>21.98</v>
      </c>
      <c r="H104" s="64">
        <v>1.31</v>
      </c>
      <c r="I104" s="64">
        <v>1.3</v>
      </c>
      <c r="J104" s="64">
        <v>0.37</v>
      </c>
      <c r="K104" s="64">
        <v>166.26</v>
      </c>
      <c r="L104" s="64">
        <v>24.72</v>
      </c>
      <c r="M104" s="64">
        <v>98.19</v>
      </c>
      <c r="N104" s="64">
        <v>31.4</v>
      </c>
      <c r="O104" s="64">
        <v>0</v>
      </c>
      <c r="P104" s="64">
        <v>0.28999999999999998</v>
      </c>
      <c r="Q104" s="64">
        <v>9.65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4.7300000000000004</v>
      </c>
      <c r="C106" s="67">
        <f>MIN(C9:C104)</f>
        <v>5.31</v>
      </c>
      <c r="D106" s="67">
        <f t="shared" ref="D106:Q106" si="0">MIN(D9:D104)</f>
        <v>7.82</v>
      </c>
      <c r="E106" s="67">
        <f t="shared" si="0"/>
        <v>3.88</v>
      </c>
      <c r="F106" s="67">
        <f t="shared" si="0"/>
        <v>3.52</v>
      </c>
      <c r="G106" s="67">
        <f t="shared" si="0"/>
        <v>7.17</v>
      </c>
      <c r="H106" s="67">
        <f t="shared" si="0"/>
        <v>1.23</v>
      </c>
      <c r="I106" s="67">
        <f t="shared" si="0"/>
        <v>0.61</v>
      </c>
      <c r="J106" s="67">
        <f t="shared" si="0"/>
        <v>0.01</v>
      </c>
      <c r="K106" s="67">
        <f t="shared" si="0"/>
        <v>29.9</v>
      </c>
      <c r="L106" s="67">
        <f t="shared" si="0"/>
        <v>22.74</v>
      </c>
      <c r="M106" s="67">
        <f t="shared" si="0"/>
        <v>70.81</v>
      </c>
      <c r="N106" s="67">
        <f t="shared" si="0"/>
        <v>30.3</v>
      </c>
      <c r="O106" s="67">
        <f t="shared" si="0"/>
        <v>0</v>
      </c>
      <c r="P106" s="67">
        <f t="shared" si="0"/>
        <v>0.14000000000000001</v>
      </c>
      <c r="Q106" s="67">
        <f t="shared" si="0"/>
        <v>9.4499999999999993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21.74</v>
      </c>
      <c r="C107" s="66">
        <f t="shared" ref="C107:Q107" si="1">MAX(C9:C104)</f>
        <v>21.72</v>
      </c>
      <c r="D107" s="66">
        <f t="shared" si="1"/>
        <v>27.48</v>
      </c>
      <c r="E107" s="66">
        <f t="shared" si="1"/>
        <v>5.05</v>
      </c>
      <c r="F107" s="66">
        <f t="shared" si="1"/>
        <v>13.94</v>
      </c>
      <c r="G107" s="66">
        <f t="shared" si="1"/>
        <v>21.98</v>
      </c>
      <c r="H107" s="66">
        <f t="shared" si="1"/>
        <v>3.84</v>
      </c>
      <c r="I107" s="66">
        <f t="shared" si="1"/>
        <v>1.32</v>
      </c>
      <c r="J107" s="66">
        <f t="shared" si="1"/>
        <v>1.25</v>
      </c>
      <c r="K107" s="66">
        <f t="shared" si="1"/>
        <v>327.61</v>
      </c>
      <c r="L107" s="66">
        <f t="shared" si="1"/>
        <v>30.51</v>
      </c>
      <c r="M107" s="66">
        <f t="shared" si="1"/>
        <v>98.33</v>
      </c>
      <c r="N107" s="66">
        <f t="shared" si="1"/>
        <v>1056.7</v>
      </c>
      <c r="O107" s="66">
        <f t="shared" si="1"/>
        <v>0.2</v>
      </c>
      <c r="P107" s="66">
        <f t="shared" si="1"/>
        <v>0.98</v>
      </c>
      <c r="Q107" s="66">
        <f t="shared" si="1"/>
        <v>9.65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7.6011458333333337</v>
      </c>
      <c r="C108" s="67">
        <f t="shared" ref="C108:Q108" si="2">AVERAGE(C9:C104)</f>
        <v>9.146250000000002</v>
      </c>
      <c r="D108" s="67">
        <f t="shared" si="2"/>
        <v>10.876041666666671</v>
      </c>
      <c r="E108" s="67">
        <f t="shared" si="2"/>
        <v>4.4444791666666665</v>
      </c>
      <c r="F108" s="67">
        <f t="shared" si="2"/>
        <v>7.0465625000000003</v>
      </c>
      <c r="G108" s="67">
        <f t="shared" si="2"/>
        <v>13.234374999999993</v>
      </c>
      <c r="H108" s="67">
        <f t="shared" si="2"/>
        <v>1.675833333333334</v>
      </c>
      <c r="I108" s="67">
        <f t="shared" si="2"/>
        <v>0.91343749999999979</v>
      </c>
      <c r="J108" s="67">
        <f t="shared" si="2"/>
        <v>0.33989583333333334</v>
      </c>
      <c r="K108" s="67">
        <f t="shared" si="2"/>
        <v>156.87031249999993</v>
      </c>
      <c r="L108" s="67">
        <f t="shared" si="2"/>
        <v>26.05427083333332</v>
      </c>
      <c r="M108" s="67">
        <f t="shared" si="2"/>
        <v>90.982708333333349</v>
      </c>
      <c r="N108" s="67">
        <f t="shared" si="2"/>
        <v>192.58437500000014</v>
      </c>
      <c r="O108" s="67">
        <f t="shared" si="2"/>
        <v>2.0833333333333333E-3</v>
      </c>
      <c r="P108" s="67">
        <f t="shared" si="2"/>
        <v>0.26437499999999986</v>
      </c>
      <c r="Q108" s="67">
        <f t="shared" si="2"/>
        <v>9.5495833333333362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2.4187342796080049</v>
      </c>
      <c r="C109" s="67">
        <f t="shared" ref="C109:Q109" si="3">STDEV(C9:C104)</f>
        <v>3.9163111671437369</v>
      </c>
      <c r="D109" s="67">
        <f t="shared" si="3"/>
        <v>3.569656471505529</v>
      </c>
      <c r="E109" s="67">
        <f t="shared" si="3"/>
        <v>0.26582491187232576</v>
      </c>
      <c r="F109" s="67">
        <f t="shared" si="3"/>
        <v>2.3127412889765382</v>
      </c>
      <c r="G109" s="67">
        <f t="shared" si="3"/>
        <v>3.657757959389035</v>
      </c>
      <c r="H109" s="67">
        <f t="shared" si="3"/>
        <v>0.64447231236376867</v>
      </c>
      <c r="I109" s="67">
        <f t="shared" si="3"/>
        <v>0.17530621705131452</v>
      </c>
      <c r="J109" s="67">
        <f t="shared" si="3"/>
        <v>0.28505768499012596</v>
      </c>
      <c r="K109" s="67">
        <f t="shared" si="3"/>
        <v>49.615366496005251</v>
      </c>
      <c r="L109" s="67">
        <f t="shared" si="3"/>
        <v>2.5648973488402449</v>
      </c>
      <c r="M109" s="67">
        <f t="shared" si="3"/>
        <v>10.000116260288662</v>
      </c>
      <c r="N109" s="67">
        <f t="shared" si="3"/>
        <v>263.51529680082393</v>
      </c>
      <c r="O109" s="67">
        <f t="shared" si="3"/>
        <v>2.0412414523193152E-2</v>
      </c>
      <c r="P109" s="67">
        <f t="shared" si="3"/>
        <v>0.14966497674191512</v>
      </c>
      <c r="Q109" s="67">
        <f t="shared" si="3"/>
        <v>5.1256150679270973E-2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216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9" activePane="bottomLeft" state="frozen"/>
      <selection activeCell="N106" sqref="N106:P109"/>
      <selection pane="bottomLeft" activeCell="G123" sqref="G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30/08/2025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224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2" t="s">
        <v>3031</v>
      </c>
      <c r="B9" s="64">
        <v>6</v>
      </c>
      <c r="C9" s="64">
        <v>8.25</v>
      </c>
      <c r="D9" s="64">
        <v>9.1199999999999992</v>
      </c>
      <c r="E9" s="64">
        <v>4.4000000000000004</v>
      </c>
      <c r="F9" s="64">
        <v>7.37</v>
      </c>
      <c r="G9" s="64">
        <v>20.88</v>
      </c>
      <c r="H9" s="64">
        <v>1.31</v>
      </c>
      <c r="I9" s="64">
        <v>1.3</v>
      </c>
      <c r="J9" s="64">
        <v>0.15</v>
      </c>
      <c r="K9" s="64">
        <v>165.52</v>
      </c>
      <c r="L9" s="64">
        <v>24.62</v>
      </c>
      <c r="M9" s="64">
        <v>98.2</v>
      </c>
      <c r="N9" s="64">
        <v>30.9</v>
      </c>
      <c r="O9" s="64">
        <v>0</v>
      </c>
      <c r="P9" s="64">
        <v>0.26</v>
      </c>
      <c r="Q9" s="64">
        <v>9.6300000000000008</v>
      </c>
      <c r="R9" s="198"/>
      <c r="S9" s="198"/>
      <c r="T9" s="198"/>
      <c r="U9" s="198"/>
    </row>
    <row r="10" spans="1:21" s="12" customFormat="1" x14ac:dyDescent="0.25">
      <c r="A10" s="212" t="s">
        <v>3032</v>
      </c>
      <c r="B10" s="64">
        <v>6.38</v>
      </c>
      <c r="C10" s="64">
        <v>7.82</v>
      </c>
      <c r="D10" s="64">
        <v>9.1999999999999993</v>
      </c>
      <c r="E10" s="64">
        <v>4.58</v>
      </c>
      <c r="F10" s="64">
        <v>6.96</v>
      </c>
      <c r="G10" s="64">
        <v>19.5</v>
      </c>
      <c r="H10" s="64">
        <v>1.31</v>
      </c>
      <c r="I10" s="64">
        <v>1.24</v>
      </c>
      <c r="J10" s="64">
        <v>0.15</v>
      </c>
      <c r="K10" s="64">
        <v>139.22999999999999</v>
      </c>
      <c r="L10" s="64">
        <v>24.54</v>
      </c>
      <c r="M10" s="64">
        <v>98.21</v>
      </c>
      <c r="N10" s="64">
        <v>30.8</v>
      </c>
      <c r="O10" s="64">
        <v>0</v>
      </c>
      <c r="P10" s="64">
        <v>0.26</v>
      </c>
      <c r="Q10" s="64">
        <v>9.64</v>
      </c>
      <c r="R10" s="198"/>
      <c r="S10" s="198"/>
      <c r="T10" s="198"/>
      <c r="U10" s="198"/>
    </row>
    <row r="11" spans="1:21" s="12" customFormat="1" x14ac:dyDescent="0.25">
      <c r="A11" s="212" t="s">
        <v>3033</v>
      </c>
      <c r="B11" s="64">
        <v>5.82</v>
      </c>
      <c r="C11" s="64">
        <v>7.91</v>
      </c>
      <c r="D11" s="64">
        <v>8.8000000000000007</v>
      </c>
      <c r="E11" s="64">
        <v>4.4800000000000004</v>
      </c>
      <c r="F11" s="64">
        <v>7</v>
      </c>
      <c r="G11" s="64">
        <v>19.5</v>
      </c>
      <c r="H11" s="64">
        <v>1.31</v>
      </c>
      <c r="I11" s="64">
        <v>1.17</v>
      </c>
      <c r="J11" s="64">
        <v>0.08</v>
      </c>
      <c r="K11" s="64">
        <v>154.80000000000001</v>
      </c>
      <c r="L11" s="64">
        <v>24.34</v>
      </c>
      <c r="M11" s="64">
        <v>98.23</v>
      </c>
      <c r="N11" s="64">
        <v>30.8</v>
      </c>
      <c r="O11" s="64">
        <v>0</v>
      </c>
      <c r="P11" s="64">
        <v>0.27</v>
      </c>
      <c r="Q11" s="64">
        <v>9.6199999999999992</v>
      </c>
      <c r="R11" s="198"/>
      <c r="S11" s="198"/>
      <c r="T11" s="198"/>
      <c r="U11" s="198"/>
    </row>
    <row r="12" spans="1:21" s="12" customFormat="1" x14ac:dyDescent="0.25">
      <c r="A12" s="212" t="s">
        <v>3034</v>
      </c>
      <c r="B12" s="64">
        <v>6.31</v>
      </c>
      <c r="C12" s="64">
        <v>7.05</v>
      </c>
      <c r="D12" s="64">
        <v>8.75</v>
      </c>
      <c r="E12" s="64">
        <v>4.75</v>
      </c>
      <c r="F12" s="64">
        <v>6.2</v>
      </c>
      <c r="G12" s="64">
        <v>19.5</v>
      </c>
      <c r="H12" s="64">
        <v>1.31</v>
      </c>
      <c r="I12" s="64">
        <v>1.1499999999999999</v>
      </c>
      <c r="J12" s="64">
        <v>0.14000000000000001</v>
      </c>
      <c r="K12" s="64">
        <v>126.64</v>
      </c>
      <c r="L12" s="64">
        <v>24.4</v>
      </c>
      <c r="M12" s="64">
        <v>98.23</v>
      </c>
      <c r="N12" s="64">
        <v>30.6</v>
      </c>
      <c r="O12" s="64">
        <v>0</v>
      </c>
      <c r="P12" s="64">
        <v>0.26</v>
      </c>
      <c r="Q12" s="64">
        <v>9.6300000000000008</v>
      </c>
      <c r="R12" s="198"/>
      <c r="S12" s="198"/>
      <c r="T12" s="198"/>
      <c r="U12" s="198"/>
    </row>
    <row r="13" spans="1:21" s="12" customFormat="1" x14ac:dyDescent="0.25">
      <c r="A13" s="212" t="s">
        <v>3035</v>
      </c>
      <c r="B13" s="64">
        <v>6.51</v>
      </c>
      <c r="C13" s="64">
        <v>6.68</v>
      </c>
      <c r="D13" s="64">
        <v>8.7100000000000009</v>
      </c>
      <c r="E13" s="64">
        <v>4.29</v>
      </c>
      <c r="F13" s="64">
        <v>6.97</v>
      </c>
      <c r="G13" s="64">
        <v>20.170000000000002</v>
      </c>
      <c r="H13" s="64">
        <v>1.37</v>
      </c>
      <c r="I13" s="64">
        <v>1.1399999999999999</v>
      </c>
      <c r="J13" s="64">
        <v>0.31</v>
      </c>
      <c r="K13" s="64">
        <v>131.69999999999999</v>
      </c>
      <c r="L13" s="64">
        <v>24.43</v>
      </c>
      <c r="M13" s="64">
        <v>98.22</v>
      </c>
      <c r="N13" s="64">
        <v>30.5</v>
      </c>
      <c r="O13" s="64">
        <v>0</v>
      </c>
      <c r="P13" s="64">
        <v>0.32</v>
      </c>
      <c r="Q13" s="64">
        <v>9.6300000000000008</v>
      </c>
      <c r="R13" s="198"/>
      <c r="S13" s="198"/>
      <c r="T13" s="198"/>
      <c r="U13" s="198"/>
    </row>
    <row r="14" spans="1:21" s="12" customFormat="1" x14ac:dyDescent="0.25">
      <c r="A14" s="212" t="s">
        <v>3036</v>
      </c>
      <c r="B14" s="64">
        <v>5.84</v>
      </c>
      <c r="C14" s="64">
        <v>6.25</v>
      </c>
      <c r="D14" s="64">
        <v>7.95</v>
      </c>
      <c r="E14" s="64">
        <v>4.38</v>
      </c>
      <c r="F14" s="64">
        <v>7.82</v>
      </c>
      <c r="G14" s="64">
        <v>21.02</v>
      </c>
      <c r="H14" s="64">
        <v>1.44</v>
      </c>
      <c r="I14" s="64">
        <v>1.1299999999999999</v>
      </c>
      <c r="J14" s="64">
        <v>0.04</v>
      </c>
      <c r="K14" s="64">
        <v>168.74</v>
      </c>
      <c r="L14" s="64">
        <v>24.32</v>
      </c>
      <c r="M14" s="64">
        <v>98.23</v>
      </c>
      <c r="N14" s="64">
        <v>30.7</v>
      </c>
      <c r="O14" s="64">
        <v>0</v>
      </c>
      <c r="P14" s="64">
        <v>0.27</v>
      </c>
      <c r="Q14" s="64">
        <v>9.6300000000000008</v>
      </c>
      <c r="R14" s="198"/>
      <c r="S14" s="198"/>
      <c r="T14" s="198"/>
      <c r="U14" s="198"/>
    </row>
    <row r="15" spans="1:21" s="12" customFormat="1" x14ac:dyDescent="0.25">
      <c r="A15" s="212" t="s">
        <v>3037</v>
      </c>
      <c r="B15" s="64">
        <v>6.26</v>
      </c>
      <c r="C15" s="64">
        <v>5.77</v>
      </c>
      <c r="D15" s="64">
        <v>8.0399999999999991</v>
      </c>
      <c r="E15" s="64">
        <v>4.24</v>
      </c>
      <c r="F15" s="64">
        <v>7.59</v>
      </c>
      <c r="G15" s="64">
        <v>21.02</v>
      </c>
      <c r="H15" s="64">
        <v>1.44</v>
      </c>
      <c r="I15" s="64">
        <v>1.1200000000000001</v>
      </c>
      <c r="J15" s="64">
        <v>0.04</v>
      </c>
      <c r="K15" s="64">
        <v>268.7</v>
      </c>
      <c r="L15" s="64">
        <v>24.19</v>
      </c>
      <c r="M15" s="64">
        <v>98.24</v>
      </c>
      <c r="N15" s="64">
        <v>30.6</v>
      </c>
      <c r="O15" s="64">
        <v>0</v>
      </c>
      <c r="P15" s="64">
        <v>0.3</v>
      </c>
      <c r="Q15" s="64">
        <v>9.6199999999999992</v>
      </c>
      <c r="R15" s="198"/>
      <c r="S15" s="198"/>
      <c r="T15" s="198"/>
      <c r="U15" s="198"/>
    </row>
    <row r="16" spans="1:21" s="12" customFormat="1" x14ac:dyDescent="0.25">
      <c r="A16" s="212" t="s">
        <v>3038</v>
      </c>
      <c r="B16" s="64">
        <v>5.99</v>
      </c>
      <c r="C16" s="64">
        <v>5.71</v>
      </c>
      <c r="D16" s="64">
        <v>7.79</v>
      </c>
      <c r="E16" s="64">
        <v>4.2300000000000004</v>
      </c>
      <c r="F16" s="64">
        <v>5.92</v>
      </c>
      <c r="G16" s="64">
        <v>21.02</v>
      </c>
      <c r="H16" s="64">
        <v>1.44</v>
      </c>
      <c r="I16" s="64">
        <v>1.1100000000000001</v>
      </c>
      <c r="J16" s="64">
        <v>0.04</v>
      </c>
      <c r="K16" s="64">
        <v>180.19</v>
      </c>
      <c r="L16" s="64">
        <v>24.17</v>
      </c>
      <c r="M16" s="64">
        <v>98.26</v>
      </c>
      <c r="N16" s="64">
        <v>30.7</v>
      </c>
      <c r="O16" s="64">
        <v>0</v>
      </c>
      <c r="P16" s="64">
        <v>0.3</v>
      </c>
      <c r="Q16" s="64">
        <v>9.61</v>
      </c>
      <c r="R16" s="198"/>
      <c r="S16" s="198"/>
      <c r="T16" s="198"/>
      <c r="U16" s="198"/>
    </row>
    <row r="17" spans="1:21" s="12" customFormat="1" x14ac:dyDescent="0.25">
      <c r="A17" s="212" t="s">
        <v>3039</v>
      </c>
      <c r="B17" s="64">
        <v>6.03</v>
      </c>
      <c r="C17" s="64">
        <v>5.9</v>
      </c>
      <c r="D17" s="64">
        <v>7.92</v>
      </c>
      <c r="E17" s="64">
        <v>4.55</v>
      </c>
      <c r="F17" s="64">
        <v>8.11</v>
      </c>
      <c r="G17" s="64">
        <v>19.149999999999999</v>
      </c>
      <c r="H17" s="64">
        <v>1.44</v>
      </c>
      <c r="I17" s="64">
        <v>1.0900000000000001</v>
      </c>
      <c r="J17" s="64">
        <v>7.0000000000000007E-2</v>
      </c>
      <c r="K17" s="64">
        <v>176.71</v>
      </c>
      <c r="L17" s="64">
        <v>24.18</v>
      </c>
      <c r="M17" s="64">
        <v>98.23</v>
      </c>
      <c r="N17" s="64">
        <v>30.6</v>
      </c>
      <c r="O17" s="64">
        <v>0</v>
      </c>
      <c r="P17" s="64">
        <v>0.27</v>
      </c>
      <c r="Q17" s="64">
        <v>9.61</v>
      </c>
      <c r="R17" s="198"/>
      <c r="S17" s="198"/>
      <c r="T17" s="198"/>
      <c r="U17" s="198"/>
    </row>
    <row r="18" spans="1:21" s="12" customFormat="1" x14ac:dyDescent="0.25">
      <c r="A18" s="212" t="s">
        <v>3040</v>
      </c>
      <c r="B18" s="64">
        <v>6.26</v>
      </c>
      <c r="C18" s="64">
        <v>5.74</v>
      </c>
      <c r="D18" s="64">
        <v>8.02</v>
      </c>
      <c r="E18" s="64">
        <v>4.4800000000000004</v>
      </c>
      <c r="F18" s="64">
        <v>6.35</v>
      </c>
      <c r="G18" s="64">
        <v>16.82</v>
      </c>
      <c r="H18" s="64">
        <v>1.45</v>
      </c>
      <c r="I18" s="64">
        <v>1.07</v>
      </c>
      <c r="J18" s="64">
        <v>0.16</v>
      </c>
      <c r="K18" s="64">
        <v>127.08</v>
      </c>
      <c r="L18" s="64">
        <v>24.14</v>
      </c>
      <c r="M18" s="64">
        <v>98.23</v>
      </c>
      <c r="N18" s="64">
        <v>30.7</v>
      </c>
      <c r="O18" s="64">
        <v>0</v>
      </c>
      <c r="P18" s="64">
        <v>0.28999999999999998</v>
      </c>
      <c r="Q18" s="64">
        <v>9.6</v>
      </c>
      <c r="R18" s="198"/>
      <c r="S18" s="198"/>
      <c r="T18" s="198"/>
      <c r="U18" s="198"/>
    </row>
    <row r="19" spans="1:21" s="12" customFormat="1" x14ac:dyDescent="0.25">
      <c r="A19" s="212" t="s">
        <v>3041</v>
      </c>
      <c r="B19" s="64">
        <v>5.37</v>
      </c>
      <c r="C19" s="64">
        <v>6.03</v>
      </c>
      <c r="D19" s="64">
        <v>7.46</v>
      </c>
      <c r="E19" s="64">
        <v>4.38</v>
      </c>
      <c r="F19" s="64">
        <v>6.53</v>
      </c>
      <c r="G19" s="64">
        <v>16.82</v>
      </c>
      <c r="H19" s="64">
        <v>1.45</v>
      </c>
      <c r="I19" s="64">
        <v>1.06</v>
      </c>
      <c r="J19" s="64">
        <v>0.39</v>
      </c>
      <c r="K19" s="64">
        <v>136.28</v>
      </c>
      <c r="L19" s="64">
        <v>24.12</v>
      </c>
      <c r="M19" s="64">
        <v>98.23</v>
      </c>
      <c r="N19" s="64">
        <v>30.6</v>
      </c>
      <c r="O19" s="64">
        <v>0</v>
      </c>
      <c r="P19" s="64">
        <v>0.25</v>
      </c>
      <c r="Q19" s="64">
        <v>9.6</v>
      </c>
      <c r="R19" s="198"/>
      <c r="S19" s="198"/>
      <c r="T19" s="198"/>
      <c r="U19" s="198"/>
    </row>
    <row r="20" spans="1:21" s="12" customFormat="1" x14ac:dyDescent="0.25">
      <c r="A20" s="212" t="s">
        <v>3042</v>
      </c>
      <c r="B20" s="64">
        <v>5.88</v>
      </c>
      <c r="C20" s="64">
        <v>6.17</v>
      </c>
      <c r="D20" s="64">
        <v>7.94</v>
      </c>
      <c r="E20" s="64">
        <v>4.41</v>
      </c>
      <c r="F20" s="64">
        <v>9</v>
      </c>
      <c r="G20" s="64">
        <v>16.82</v>
      </c>
      <c r="H20" s="64">
        <v>1.45</v>
      </c>
      <c r="I20" s="64">
        <v>1.04</v>
      </c>
      <c r="J20" s="64">
        <v>0.28999999999999998</v>
      </c>
      <c r="K20" s="64">
        <v>135.80000000000001</v>
      </c>
      <c r="L20" s="64">
        <v>24.13</v>
      </c>
      <c r="M20" s="64">
        <v>98.23</v>
      </c>
      <c r="N20" s="64">
        <v>30.7</v>
      </c>
      <c r="O20" s="64">
        <v>0</v>
      </c>
      <c r="P20" s="64">
        <v>0.27</v>
      </c>
      <c r="Q20" s="64">
        <v>9.59</v>
      </c>
      <c r="R20" s="198"/>
      <c r="S20" s="198"/>
      <c r="T20" s="198"/>
      <c r="U20" s="198"/>
    </row>
    <row r="21" spans="1:21" s="12" customFormat="1" x14ac:dyDescent="0.25">
      <c r="A21" s="212" t="s">
        <v>3043</v>
      </c>
      <c r="B21" s="64">
        <v>5.6</v>
      </c>
      <c r="C21" s="64">
        <v>5.85</v>
      </c>
      <c r="D21" s="64">
        <v>7.55</v>
      </c>
      <c r="E21" s="64">
        <v>4.46</v>
      </c>
      <c r="F21" s="64">
        <v>8.32</v>
      </c>
      <c r="G21" s="64">
        <v>15.27</v>
      </c>
      <c r="H21" s="64">
        <v>1.46</v>
      </c>
      <c r="I21" s="64">
        <v>1.02</v>
      </c>
      <c r="J21" s="64">
        <v>0.35</v>
      </c>
      <c r="K21" s="64">
        <v>122.88</v>
      </c>
      <c r="L21" s="64">
        <v>24.08</v>
      </c>
      <c r="M21" s="64">
        <v>98.22</v>
      </c>
      <c r="N21" s="64">
        <v>30.5</v>
      </c>
      <c r="O21" s="64">
        <v>0</v>
      </c>
      <c r="P21" s="64">
        <v>0.26</v>
      </c>
      <c r="Q21" s="64">
        <v>9.6</v>
      </c>
      <c r="R21" s="198"/>
      <c r="S21" s="198"/>
      <c r="T21" s="198"/>
      <c r="U21" s="198"/>
    </row>
    <row r="22" spans="1:21" s="12" customFormat="1" x14ac:dyDescent="0.25">
      <c r="A22" s="212" t="s">
        <v>3044</v>
      </c>
      <c r="B22" s="64">
        <v>5.78</v>
      </c>
      <c r="C22" s="64">
        <v>5.45</v>
      </c>
      <c r="D22" s="64">
        <v>7.48</v>
      </c>
      <c r="E22" s="64">
        <v>4.6100000000000003</v>
      </c>
      <c r="F22" s="64">
        <v>7.34</v>
      </c>
      <c r="G22" s="64">
        <v>13.33</v>
      </c>
      <c r="H22" s="64">
        <v>1.47</v>
      </c>
      <c r="I22" s="64">
        <v>1</v>
      </c>
      <c r="J22" s="64">
        <v>0.39</v>
      </c>
      <c r="K22" s="64">
        <v>124.07</v>
      </c>
      <c r="L22" s="64">
        <v>24.09</v>
      </c>
      <c r="M22" s="64">
        <v>98.2</v>
      </c>
      <c r="N22" s="64">
        <v>30.6</v>
      </c>
      <c r="O22" s="64">
        <v>0</v>
      </c>
      <c r="P22" s="64">
        <v>0.25</v>
      </c>
      <c r="Q22" s="64">
        <v>9.61</v>
      </c>
      <c r="R22" s="198"/>
      <c r="S22" s="198"/>
      <c r="T22" s="198"/>
      <c r="U22" s="198"/>
    </row>
    <row r="23" spans="1:21" s="12" customFormat="1" x14ac:dyDescent="0.25">
      <c r="A23" s="212" t="s">
        <v>3045</v>
      </c>
      <c r="B23" s="64">
        <v>5.51</v>
      </c>
      <c r="C23" s="64">
        <v>5.3</v>
      </c>
      <c r="D23" s="64">
        <v>7.19</v>
      </c>
      <c r="E23" s="64">
        <v>4.34</v>
      </c>
      <c r="F23" s="64">
        <v>7.99</v>
      </c>
      <c r="G23" s="64">
        <v>13.33</v>
      </c>
      <c r="H23" s="64">
        <v>1.47</v>
      </c>
      <c r="I23" s="64">
        <v>0.98</v>
      </c>
      <c r="J23" s="64">
        <v>0.18</v>
      </c>
      <c r="K23" s="64">
        <v>130.46</v>
      </c>
      <c r="L23" s="64">
        <v>24.05</v>
      </c>
      <c r="M23" s="64">
        <v>98.21</v>
      </c>
      <c r="N23" s="64">
        <v>30.6</v>
      </c>
      <c r="O23" s="64">
        <v>0</v>
      </c>
      <c r="P23" s="64">
        <v>0.24</v>
      </c>
      <c r="Q23" s="64">
        <v>9.61</v>
      </c>
      <c r="R23" s="198"/>
      <c r="S23" s="198"/>
      <c r="T23" s="198"/>
      <c r="U23" s="198"/>
    </row>
    <row r="24" spans="1:21" s="12" customFormat="1" x14ac:dyDescent="0.25">
      <c r="A24" s="212" t="s">
        <v>3046</v>
      </c>
      <c r="B24" s="64">
        <v>5.55</v>
      </c>
      <c r="C24" s="64">
        <v>5.77</v>
      </c>
      <c r="D24" s="64">
        <v>7.47</v>
      </c>
      <c r="E24" s="64">
        <v>4.58</v>
      </c>
      <c r="F24" s="64">
        <v>7.76</v>
      </c>
      <c r="G24" s="64">
        <v>13.33</v>
      </c>
      <c r="H24" s="64">
        <v>1.47</v>
      </c>
      <c r="I24" s="64">
        <v>0.97</v>
      </c>
      <c r="J24" s="64">
        <v>0.21</v>
      </c>
      <c r="K24" s="64">
        <v>146.13</v>
      </c>
      <c r="L24" s="64">
        <v>24.02</v>
      </c>
      <c r="M24" s="64">
        <v>98.23</v>
      </c>
      <c r="N24" s="64">
        <v>30.6</v>
      </c>
      <c r="O24" s="64">
        <v>0</v>
      </c>
      <c r="P24" s="64">
        <v>0.24</v>
      </c>
      <c r="Q24" s="64">
        <v>9.61</v>
      </c>
      <c r="R24" s="198"/>
      <c r="S24" s="198"/>
      <c r="T24" s="198"/>
      <c r="U24" s="198"/>
    </row>
    <row r="25" spans="1:21" s="12" customFormat="1" x14ac:dyDescent="0.25">
      <c r="A25" s="212" t="s">
        <v>3047</v>
      </c>
      <c r="B25" s="64">
        <v>5.59</v>
      </c>
      <c r="C25" s="64">
        <v>6.2</v>
      </c>
      <c r="D25" s="64">
        <v>7.73</v>
      </c>
      <c r="E25" s="64">
        <v>4.3</v>
      </c>
      <c r="F25" s="64">
        <v>7.91</v>
      </c>
      <c r="G25" s="64">
        <v>12.28</v>
      </c>
      <c r="H25" s="64">
        <v>1.45</v>
      </c>
      <c r="I25" s="64">
        <v>0.96</v>
      </c>
      <c r="J25" s="64">
        <v>0.22</v>
      </c>
      <c r="K25" s="64">
        <v>138.13999999999999</v>
      </c>
      <c r="L25" s="64">
        <v>24.08</v>
      </c>
      <c r="M25" s="64">
        <v>98.23</v>
      </c>
      <c r="N25" s="64">
        <v>30.7</v>
      </c>
      <c r="O25" s="64">
        <v>0</v>
      </c>
      <c r="P25" s="64">
        <v>0.23</v>
      </c>
      <c r="Q25" s="64">
        <v>9.61</v>
      </c>
      <c r="R25" s="198"/>
      <c r="S25" s="198"/>
      <c r="T25" s="198"/>
      <c r="U25" s="198"/>
    </row>
    <row r="26" spans="1:21" s="12" customFormat="1" x14ac:dyDescent="0.25">
      <c r="A26" s="212" t="s">
        <v>3048</v>
      </c>
      <c r="B26" s="64">
        <v>5.26</v>
      </c>
      <c r="C26" s="64">
        <v>6.35</v>
      </c>
      <c r="D26" s="64">
        <v>7.53</v>
      </c>
      <c r="E26" s="64">
        <v>4.25</v>
      </c>
      <c r="F26" s="64">
        <v>6.56</v>
      </c>
      <c r="G26" s="64">
        <v>10.98</v>
      </c>
      <c r="H26" s="64">
        <v>1.44</v>
      </c>
      <c r="I26" s="64">
        <v>1.01</v>
      </c>
      <c r="J26" s="64">
        <v>0.15</v>
      </c>
      <c r="K26" s="64">
        <v>130.56</v>
      </c>
      <c r="L26" s="64">
        <v>24.1</v>
      </c>
      <c r="M26" s="64">
        <v>98.23</v>
      </c>
      <c r="N26" s="64">
        <v>30.7</v>
      </c>
      <c r="O26" s="64">
        <v>0</v>
      </c>
      <c r="P26" s="64">
        <v>0.23</v>
      </c>
      <c r="Q26" s="64">
        <v>9.6</v>
      </c>
      <c r="R26" s="198"/>
      <c r="S26" s="198"/>
      <c r="T26" s="198"/>
      <c r="U26" s="198"/>
    </row>
    <row r="27" spans="1:21" s="12" customFormat="1" x14ac:dyDescent="0.25">
      <c r="A27" s="212" t="s">
        <v>3049</v>
      </c>
      <c r="B27" s="64">
        <v>5.83</v>
      </c>
      <c r="C27" s="64">
        <v>6.35</v>
      </c>
      <c r="D27" s="64">
        <v>8</v>
      </c>
      <c r="E27" s="64">
        <v>4.26</v>
      </c>
      <c r="F27" s="64">
        <v>7.29</v>
      </c>
      <c r="G27" s="64">
        <v>10.98</v>
      </c>
      <c r="H27" s="64">
        <v>1.44</v>
      </c>
      <c r="I27" s="64">
        <v>0.99</v>
      </c>
      <c r="J27" s="64">
        <v>0.27</v>
      </c>
      <c r="K27" s="64">
        <v>155.76</v>
      </c>
      <c r="L27" s="64">
        <v>24.14</v>
      </c>
      <c r="M27" s="64">
        <v>98.2</v>
      </c>
      <c r="N27" s="64">
        <v>30.6</v>
      </c>
      <c r="O27" s="64">
        <v>0</v>
      </c>
      <c r="P27" s="64">
        <v>0.25</v>
      </c>
      <c r="Q27" s="64">
        <v>9.61</v>
      </c>
      <c r="R27" s="198"/>
      <c r="S27" s="198"/>
      <c r="T27" s="198"/>
      <c r="U27" s="198"/>
    </row>
    <row r="28" spans="1:21" s="12" customFormat="1" x14ac:dyDescent="0.25">
      <c r="A28" s="212" t="s">
        <v>3050</v>
      </c>
      <c r="B28" s="64">
        <v>7.16</v>
      </c>
      <c r="C28" s="64">
        <v>6.08</v>
      </c>
      <c r="D28" s="64">
        <v>8.92</v>
      </c>
      <c r="E28" s="64">
        <v>4.3499999999999996</v>
      </c>
      <c r="F28" s="64">
        <v>4.96</v>
      </c>
      <c r="G28" s="64">
        <v>10.98</v>
      </c>
      <c r="H28" s="64">
        <v>1.44</v>
      </c>
      <c r="I28" s="64">
        <v>0.92</v>
      </c>
      <c r="J28" s="64">
        <v>0.24</v>
      </c>
      <c r="K28" s="64">
        <v>153.81</v>
      </c>
      <c r="L28" s="64">
        <v>24.15</v>
      </c>
      <c r="M28" s="64">
        <v>98.23</v>
      </c>
      <c r="N28" s="64">
        <v>30.7</v>
      </c>
      <c r="O28" s="64">
        <v>0</v>
      </c>
      <c r="P28" s="64">
        <v>0.3</v>
      </c>
      <c r="Q28" s="64">
        <v>9.59</v>
      </c>
      <c r="R28" s="198"/>
      <c r="S28" s="198"/>
      <c r="T28" s="198"/>
      <c r="U28" s="198"/>
    </row>
    <row r="29" spans="1:21" s="12" customFormat="1" x14ac:dyDescent="0.25">
      <c r="A29" s="212" t="s">
        <v>3051</v>
      </c>
      <c r="B29" s="64">
        <v>6.69</v>
      </c>
      <c r="C29" s="64">
        <v>7.86</v>
      </c>
      <c r="D29" s="64">
        <v>9.4700000000000006</v>
      </c>
      <c r="E29" s="64">
        <v>4.16</v>
      </c>
      <c r="F29" s="64">
        <v>5.3</v>
      </c>
      <c r="G29" s="64">
        <v>10</v>
      </c>
      <c r="H29" s="64">
        <v>1.44</v>
      </c>
      <c r="I29" s="64">
        <v>0.91</v>
      </c>
      <c r="J29" s="64">
        <v>0.2</v>
      </c>
      <c r="K29" s="64">
        <v>157.59</v>
      </c>
      <c r="L29" s="64">
        <v>24.17</v>
      </c>
      <c r="M29" s="64">
        <v>98.24</v>
      </c>
      <c r="N29" s="64">
        <v>30.8</v>
      </c>
      <c r="O29" s="64">
        <v>0</v>
      </c>
      <c r="P29" s="64">
        <v>0.26</v>
      </c>
      <c r="Q29" s="64">
        <v>9.58</v>
      </c>
      <c r="R29" s="198"/>
      <c r="S29" s="198"/>
      <c r="T29" s="198"/>
      <c r="U29" s="198"/>
    </row>
    <row r="30" spans="1:21" s="12" customFormat="1" x14ac:dyDescent="0.25">
      <c r="A30" s="212" t="s">
        <v>3052</v>
      </c>
      <c r="B30" s="64">
        <v>8.1999999999999993</v>
      </c>
      <c r="C30" s="64">
        <v>7.65</v>
      </c>
      <c r="D30" s="64">
        <v>10.58</v>
      </c>
      <c r="E30" s="64">
        <v>4.5199999999999996</v>
      </c>
      <c r="F30" s="64">
        <v>5.69</v>
      </c>
      <c r="G30" s="64">
        <v>8.7799999999999994</v>
      </c>
      <c r="H30" s="64">
        <v>1.41</v>
      </c>
      <c r="I30" s="64">
        <v>0.89</v>
      </c>
      <c r="J30" s="64">
        <v>0.5</v>
      </c>
      <c r="K30" s="64">
        <v>149.71</v>
      </c>
      <c r="L30" s="64">
        <v>24.17</v>
      </c>
      <c r="M30" s="64">
        <v>98.25</v>
      </c>
      <c r="N30" s="64">
        <v>30.8</v>
      </c>
      <c r="O30" s="64">
        <v>0</v>
      </c>
      <c r="P30" s="64">
        <v>0.28000000000000003</v>
      </c>
      <c r="Q30" s="64">
        <v>9.57</v>
      </c>
      <c r="R30" s="198"/>
      <c r="S30" s="198"/>
      <c r="T30" s="198"/>
      <c r="U30" s="198"/>
    </row>
    <row r="31" spans="1:21" s="12" customFormat="1" x14ac:dyDescent="0.25">
      <c r="A31" s="212" t="s">
        <v>3053</v>
      </c>
      <c r="B31" s="64">
        <v>9.5299999999999994</v>
      </c>
      <c r="C31" s="64">
        <v>6.86</v>
      </c>
      <c r="D31" s="64">
        <v>11.23</v>
      </c>
      <c r="E31" s="64">
        <v>4.3600000000000003</v>
      </c>
      <c r="F31" s="64">
        <v>4.45</v>
      </c>
      <c r="G31" s="64">
        <v>8.7799999999999994</v>
      </c>
      <c r="H31" s="64">
        <v>1.41</v>
      </c>
      <c r="I31" s="64">
        <v>0.88</v>
      </c>
      <c r="J31" s="64">
        <v>0.28999999999999998</v>
      </c>
      <c r="K31" s="64">
        <v>170.74</v>
      </c>
      <c r="L31" s="64">
        <v>24.12</v>
      </c>
      <c r="M31" s="64">
        <v>98.26</v>
      </c>
      <c r="N31" s="64">
        <v>32.5</v>
      </c>
      <c r="O31" s="64">
        <v>0</v>
      </c>
      <c r="P31" s="64">
        <v>0.3</v>
      </c>
      <c r="Q31" s="64">
        <v>9.57</v>
      </c>
      <c r="R31" s="198"/>
      <c r="S31" s="198"/>
      <c r="T31" s="198"/>
      <c r="U31" s="198"/>
    </row>
    <row r="32" spans="1:21" s="12" customFormat="1" x14ac:dyDescent="0.25">
      <c r="A32" s="212" t="s">
        <v>3054</v>
      </c>
      <c r="B32" s="64">
        <v>8.3699999999999992</v>
      </c>
      <c r="C32" s="64">
        <v>7.22</v>
      </c>
      <c r="D32" s="64">
        <v>10.49</v>
      </c>
      <c r="E32" s="64">
        <v>4.3899999999999997</v>
      </c>
      <c r="F32" s="64">
        <v>5.09</v>
      </c>
      <c r="G32" s="64">
        <v>8.7799999999999994</v>
      </c>
      <c r="H32" s="64">
        <v>1.41</v>
      </c>
      <c r="I32" s="64">
        <v>0.87</v>
      </c>
      <c r="J32" s="64">
        <v>0.28000000000000003</v>
      </c>
      <c r="K32" s="64">
        <v>170.05</v>
      </c>
      <c r="L32" s="64">
        <v>23.99</v>
      </c>
      <c r="M32" s="64">
        <v>98.3</v>
      </c>
      <c r="N32" s="64">
        <v>39.700000000000003</v>
      </c>
      <c r="O32" s="64">
        <v>0</v>
      </c>
      <c r="P32" s="64">
        <v>0.28000000000000003</v>
      </c>
      <c r="Q32" s="64">
        <v>9.57</v>
      </c>
      <c r="R32" s="198"/>
      <c r="S32" s="198"/>
      <c r="T32" s="198"/>
      <c r="U32" s="198"/>
    </row>
    <row r="33" spans="1:21" s="12" customFormat="1" x14ac:dyDescent="0.25">
      <c r="A33" s="212" t="s">
        <v>3055</v>
      </c>
      <c r="B33" s="64">
        <v>8.81</v>
      </c>
      <c r="C33" s="64">
        <v>7.07</v>
      </c>
      <c r="D33" s="64">
        <v>10.76</v>
      </c>
      <c r="E33" s="64">
        <v>4.28</v>
      </c>
      <c r="F33" s="64">
        <v>5.0999999999999996</v>
      </c>
      <c r="G33" s="64">
        <v>12.12</v>
      </c>
      <c r="H33" s="64">
        <v>1.41</v>
      </c>
      <c r="I33" s="64">
        <v>0.86</v>
      </c>
      <c r="J33" s="64">
        <v>0.28999999999999998</v>
      </c>
      <c r="K33" s="64">
        <v>150.53</v>
      </c>
      <c r="L33" s="64">
        <v>24.08</v>
      </c>
      <c r="M33" s="64">
        <v>98.26</v>
      </c>
      <c r="N33" s="64">
        <v>63.7</v>
      </c>
      <c r="O33" s="64">
        <v>0</v>
      </c>
      <c r="P33" s="64">
        <v>0.3</v>
      </c>
      <c r="Q33" s="64">
        <v>9.57</v>
      </c>
      <c r="R33" s="198"/>
      <c r="S33" s="198"/>
      <c r="T33" s="198"/>
      <c r="U33" s="198"/>
    </row>
    <row r="34" spans="1:21" s="12" customFormat="1" x14ac:dyDescent="0.25">
      <c r="A34" s="212" t="s">
        <v>3056</v>
      </c>
      <c r="B34" s="64">
        <v>9.0299999999999994</v>
      </c>
      <c r="C34" s="64">
        <v>8.2799999999999994</v>
      </c>
      <c r="D34" s="64">
        <v>11.56</v>
      </c>
      <c r="E34" s="64">
        <v>4.1399999999999997</v>
      </c>
      <c r="F34" s="64">
        <v>4.29</v>
      </c>
      <c r="G34" s="64">
        <v>16.3</v>
      </c>
      <c r="H34" s="64">
        <v>1.41</v>
      </c>
      <c r="I34" s="64">
        <v>0.86</v>
      </c>
      <c r="J34" s="64">
        <v>0.32</v>
      </c>
      <c r="K34" s="64">
        <v>148.69999999999999</v>
      </c>
      <c r="L34" s="64">
        <v>24.37</v>
      </c>
      <c r="M34" s="64">
        <v>98.23</v>
      </c>
      <c r="N34" s="64">
        <v>70.099999999999994</v>
      </c>
      <c r="O34" s="64">
        <v>0</v>
      </c>
      <c r="P34" s="64">
        <v>0.28999999999999998</v>
      </c>
      <c r="Q34" s="64">
        <v>9.57</v>
      </c>
      <c r="R34" s="198"/>
      <c r="S34" s="198"/>
      <c r="T34" s="198"/>
      <c r="U34" s="198"/>
    </row>
    <row r="35" spans="1:21" s="12" customFormat="1" x14ac:dyDescent="0.25">
      <c r="A35" s="212" t="s">
        <v>3057</v>
      </c>
      <c r="B35" s="64">
        <v>9.6</v>
      </c>
      <c r="C35" s="64">
        <v>8.3699999999999992</v>
      </c>
      <c r="D35" s="64">
        <v>12.07</v>
      </c>
      <c r="E35" s="64">
        <v>4.3</v>
      </c>
      <c r="F35" s="64">
        <v>5.87</v>
      </c>
      <c r="G35" s="64">
        <v>16.3</v>
      </c>
      <c r="H35" s="64">
        <v>1.41</v>
      </c>
      <c r="I35" s="64">
        <v>0.85</v>
      </c>
      <c r="J35" s="64">
        <v>0.09</v>
      </c>
      <c r="K35" s="64">
        <v>139.71</v>
      </c>
      <c r="L35" s="64">
        <v>24.35</v>
      </c>
      <c r="M35" s="64">
        <v>98.23</v>
      </c>
      <c r="N35" s="64">
        <v>79.599999999999994</v>
      </c>
      <c r="O35" s="64">
        <v>0</v>
      </c>
      <c r="P35" s="64">
        <v>0.28999999999999998</v>
      </c>
      <c r="Q35" s="64">
        <v>9.59</v>
      </c>
      <c r="R35" s="198"/>
      <c r="S35" s="198"/>
      <c r="T35" s="198"/>
      <c r="U35" s="198"/>
    </row>
    <row r="36" spans="1:21" s="12" customFormat="1" x14ac:dyDescent="0.25">
      <c r="A36" s="212" t="s">
        <v>3058</v>
      </c>
      <c r="B36" s="64">
        <v>9.07</v>
      </c>
      <c r="C36" s="64">
        <v>7.39</v>
      </c>
      <c r="D36" s="64">
        <v>11.13</v>
      </c>
      <c r="E36" s="64">
        <v>4.5599999999999996</v>
      </c>
      <c r="F36" s="64">
        <v>4.1900000000000004</v>
      </c>
      <c r="G36" s="64">
        <v>16.3</v>
      </c>
      <c r="H36" s="64">
        <v>1.41</v>
      </c>
      <c r="I36" s="64">
        <v>0.85</v>
      </c>
      <c r="J36" s="64">
        <v>0.28000000000000003</v>
      </c>
      <c r="K36" s="64">
        <v>153.66999999999999</v>
      </c>
      <c r="L36" s="64">
        <v>24.43</v>
      </c>
      <c r="M36" s="64">
        <v>98.22</v>
      </c>
      <c r="N36" s="64">
        <v>99.6</v>
      </c>
      <c r="O36" s="64">
        <v>0</v>
      </c>
      <c r="P36" s="64">
        <v>0.3</v>
      </c>
      <c r="Q36" s="64">
        <v>9.59</v>
      </c>
      <c r="R36" s="198"/>
      <c r="S36" s="198"/>
      <c r="T36" s="198"/>
      <c r="U36" s="198"/>
    </row>
    <row r="37" spans="1:21" s="12" customFormat="1" x14ac:dyDescent="0.25">
      <c r="A37" s="212" t="s">
        <v>3059</v>
      </c>
      <c r="B37" s="64">
        <v>10</v>
      </c>
      <c r="C37" s="64">
        <v>9.2899999999999991</v>
      </c>
      <c r="D37" s="64">
        <v>12.87</v>
      </c>
      <c r="E37" s="64">
        <v>4.13</v>
      </c>
      <c r="F37" s="64">
        <v>5.89</v>
      </c>
      <c r="G37" s="64">
        <v>16.03</v>
      </c>
      <c r="H37" s="64">
        <v>1.41</v>
      </c>
      <c r="I37" s="64">
        <v>0.91</v>
      </c>
      <c r="J37" s="64">
        <v>0.35</v>
      </c>
      <c r="K37" s="64">
        <v>153.79</v>
      </c>
      <c r="L37" s="64">
        <v>24.63</v>
      </c>
      <c r="M37" s="64">
        <v>98.2</v>
      </c>
      <c r="N37" s="64">
        <v>155.1</v>
      </c>
      <c r="O37" s="64">
        <v>0</v>
      </c>
      <c r="P37" s="64">
        <v>0.3</v>
      </c>
      <c r="Q37" s="64">
        <v>9.6</v>
      </c>
      <c r="R37" s="198"/>
      <c r="S37" s="198"/>
      <c r="T37" s="198"/>
      <c r="U37" s="198"/>
    </row>
    <row r="38" spans="1:21" s="12" customFormat="1" x14ac:dyDescent="0.25">
      <c r="A38" s="212" t="s">
        <v>3060</v>
      </c>
      <c r="B38" s="64">
        <v>9.82</v>
      </c>
      <c r="C38" s="64">
        <v>8.41</v>
      </c>
      <c r="D38" s="64">
        <v>12.27</v>
      </c>
      <c r="E38" s="64">
        <v>4.3499999999999996</v>
      </c>
      <c r="F38" s="64">
        <v>5.91</v>
      </c>
      <c r="G38" s="64">
        <v>15.7</v>
      </c>
      <c r="H38" s="64">
        <v>1.43</v>
      </c>
      <c r="I38" s="64">
        <v>0.96</v>
      </c>
      <c r="J38" s="64">
        <v>0.96</v>
      </c>
      <c r="K38" s="64">
        <v>147.44999999999999</v>
      </c>
      <c r="L38" s="64">
        <v>25.78</v>
      </c>
      <c r="M38" s="64">
        <v>98.13</v>
      </c>
      <c r="N38" s="64">
        <v>337.3</v>
      </c>
      <c r="O38" s="64">
        <v>0</v>
      </c>
      <c r="P38" s="64">
        <v>0.31</v>
      </c>
      <c r="Q38" s="64">
        <v>9.6199999999999992</v>
      </c>
      <c r="R38" s="198"/>
      <c r="S38" s="198"/>
      <c r="T38" s="198"/>
      <c r="U38" s="198"/>
    </row>
    <row r="39" spans="1:21" s="12" customFormat="1" x14ac:dyDescent="0.25">
      <c r="A39" s="212" t="s">
        <v>3061</v>
      </c>
      <c r="B39" s="64">
        <v>9.18</v>
      </c>
      <c r="C39" s="64">
        <v>6.88</v>
      </c>
      <c r="D39" s="64">
        <v>10.96</v>
      </c>
      <c r="E39" s="64">
        <v>4.22</v>
      </c>
      <c r="F39" s="64">
        <v>7.73</v>
      </c>
      <c r="G39" s="64">
        <v>15.7</v>
      </c>
      <c r="H39" s="64">
        <v>1.43</v>
      </c>
      <c r="I39" s="64">
        <v>0.95</v>
      </c>
      <c r="J39" s="64">
        <v>0.98</v>
      </c>
      <c r="K39" s="64">
        <v>138.85</v>
      </c>
      <c r="L39" s="64">
        <v>26.58</v>
      </c>
      <c r="M39" s="64">
        <v>98.1</v>
      </c>
      <c r="N39" s="64">
        <v>401.9</v>
      </c>
      <c r="O39" s="64">
        <v>0</v>
      </c>
      <c r="P39" s="64">
        <v>0.28999999999999998</v>
      </c>
      <c r="Q39" s="64">
        <v>9.6300000000000008</v>
      </c>
      <c r="R39" s="198"/>
      <c r="S39" s="198"/>
      <c r="T39" s="198"/>
      <c r="U39" s="198"/>
    </row>
    <row r="40" spans="1:21" s="12" customFormat="1" x14ac:dyDescent="0.25">
      <c r="A40" s="212" t="s">
        <v>3062</v>
      </c>
      <c r="B40" s="64">
        <v>8.89</v>
      </c>
      <c r="C40" s="64">
        <v>6.74</v>
      </c>
      <c r="D40" s="64">
        <v>10.65</v>
      </c>
      <c r="E40" s="64">
        <v>4.7699999999999996</v>
      </c>
      <c r="F40" s="64">
        <v>7.07</v>
      </c>
      <c r="G40" s="64">
        <v>15.7</v>
      </c>
      <c r="H40" s="64">
        <v>1.43</v>
      </c>
      <c r="I40" s="64">
        <v>0.95</v>
      </c>
      <c r="J40" s="64">
        <v>0.84</v>
      </c>
      <c r="K40" s="64">
        <v>140.44</v>
      </c>
      <c r="L40" s="64">
        <v>27.34</v>
      </c>
      <c r="M40" s="64">
        <v>97.84</v>
      </c>
      <c r="N40" s="64">
        <v>460.5</v>
      </c>
      <c r="O40" s="64">
        <v>0</v>
      </c>
      <c r="P40" s="64">
        <v>0.28999999999999998</v>
      </c>
      <c r="Q40" s="64">
        <v>9.6300000000000008</v>
      </c>
      <c r="R40" s="198"/>
      <c r="S40" s="198"/>
      <c r="T40" s="198"/>
      <c r="U40" s="198"/>
    </row>
    <row r="41" spans="1:21" s="12" customFormat="1" x14ac:dyDescent="0.25">
      <c r="A41" s="212" t="s">
        <v>3063</v>
      </c>
      <c r="B41" s="64">
        <v>9.0399999999999991</v>
      </c>
      <c r="C41" s="64">
        <v>6.84</v>
      </c>
      <c r="D41" s="64">
        <v>10.82</v>
      </c>
      <c r="E41" s="64">
        <v>4.5999999999999996</v>
      </c>
      <c r="F41" s="64">
        <v>6.99</v>
      </c>
      <c r="G41" s="64">
        <v>16.41</v>
      </c>
      <c r="H41" s="64">
        <v>1.44</v>
      </c>
      <c r="I41" s="64">
        <v>0.96</v>
      </c>
      <c r="J41" s="64">
        <v>0.79</v>
      </c>
      <c r="K41" s="64">
        <v>143.16999999999999</v>
      </c>
      <c r="L41" s="64">
        <v>27.75</v>
      </c>
      <c r="M41" s="64">
        <v>96.3</v>
      </c>
      <c r="N41" s="64">
        <v>527.1</v>
      </c>
      <c r="O41" s="64">
        <v>0</v>
      </c>
      <c r="P41" s="64">
        <v>0.28000000000000003</v>
      </c>
      <c r="Q41" s="64">
        <v>9.6300000000000008</v>
      </c>
      <c r="R41" s="198"/>
      <c r="S41" s="198"/>
      <c r="T41" s="198"/>
      <c r="U41" s="198"/>
    </row>
    <row r="42" spans="1:21" s="12" customFormat="1" x14ac:dyDescent="0.25">
      <c r="A42" s="212" t="s">
        <v>3064</v>
      </c>
      <c r="B42" s="64">
        <v>8.6300000000000008</v>
      </c>
      <c r="C42" s="64">
        <v>7.25</v>
      </c>
      <c r="D42" s="64">
        <v>10.71</v>
      </c>
      <c r="E42" s="64">
        <v>4.25</v>
      </c>
      <c r="F42" s="64">
        <v>6.84</v>
      </c>
      <c r="G42" s="64">
        <v>17.3</v>
      </c>
      <c r="H42" s="64">
        <v>1.44</v>
      </c>
      <c r="I42" s="64">
        <v>0.97</v>
      </c>
      <c r="J42" s="64">
        <v>1.1100000000000001</v>
      </c>
      <c r="K42" s="64">
        <v>138.13999999999999</v>
      </c>
      <c r="L42" s="64">
        <v>27.99</v>
      </c>
      <c r="M42" s="64">
        <v>93.83</v>
      </c>
      <c r="N42" s="64">
        <v>590.20000000000005</v>
      </c>
      <c r="O42" s="64">
        <v>0</v>
      </c>
      <c r="P42" s="64">
        <v>0.27</v>
      </c>
      <c r="Q42" s="64">
        <v>9.6199999999999992</v>
      </c>
      <c r="R42" s="198"/>
      <c r="S42" s="198"/>
      <c r="T42" s="198"/>
      <c r="U42" s="198"/>
    </row>
    <row r="43" spans="1:21" s="12" customFormat="1" x14ac:dyDescent="0.25">
      <c r="A43" s="212" t="s">
        <v>3065</v>
      </c>
      <c r="B43" s="64">
        <v>8.4600000000000009</v>
      </c>
      <c r="C43" s="64">
        <v>6.87</v>
      </c>
      <c r="D43" s="64">
        <v>10.37</v>
      </c>
      <c r="E43" s="64">
        <v>4.3600000000000003</v>
      </c>
      <c r="F43" s="64">
        <v>7.45</v>
      </c>
      <c r="G43" s="64">
        <v>17.3</v>
      </c>
      <c r="H43" s="64">
        <v>1.44</v>
      </c>
      <c r="I43" s="64">
        <v>0.97</v>
      </c>
      <c r="J43" s="64">
        <v>0.83</v>
      </c>
      <c r="K43" s="64">
        <v>141.18</v>
      </c>
      <c r="L43" s="64">
        <v>28.44</v>
      </c>
      <c r="M43" s="64">
        <v>90.69</v>
      </c>
      <c r="N43" s="64">
        <v>623.70000000000005</v>
      </c>
      <c r="O43" s="64">
        <v>0</v>
      </c>
      <c r="P43" s="64">
        <v>0.27</v>
      </c>
      <c r="Q43" s="64">
        <v>9.6199999999999992</v>
      </c>
      <c r="R43" s="198"/>
      <c r="S43" s="198"/>
      <c r="T43" s="198"/>
      <c r="U43" s="198"/>
    </row>
    <row r="44" spans="1:21" s="12" customFormat="1" x14ac:dyDescent="0.25">
      <c r="A44" s="212" t="s">
        <v>3066</v>
      </c>
      <c r="B44" s="64">
        <v>8.06</v>
      </c>
      <c r="C44" s="64">
        <v>6.99</v>
      </c>
      <c r="D44" s="64">
        <v>10.119999999999999</v>
      </c>
      <c r="E44" s="64">
        <v>4.46</v>
      </c>
      <c r="F44" s="64">
        <v>9.2899999999999991</v>
      </c>
      <c r="G44" s="64">
        <v>17.3</v>
      </c>
      <c r="H44" s="64">
        <v>1.44</v>
      </c>
      <c r="I44" s="64">
        <v>0.97</v>
      </c>
      <c r="J44" s="64">
        <v>0.59</v>
      </c>
      <c r="K44" s="64">
        <v>134.55000000000001</v>
      </c>
      <c r="L44" s="64">
        <v>28.57</v>
      </c>
      <c r="M44" s="64">
        <v>90.37</v>
      </c>
      <c r="N44" s="64">
        <v>418.2</v>
      </c>
      <c r="O44" s="64">
        <v>0</v>
      </c>
      <c r="P44" s="64">
        <v>0.26</v>
      </c>
      <c r="Q44" s="64">
        <v>9.6199999999999992</v>
      </c>
      <c r="R44" s="198"/>
      <c r="S44" s="198"/>
      <c r="T44" s="198"/>
      <c r="U44" s="198"/>
    </row>
    <row r="45" spans="1:21" s="12" customFormat="1" x14ac:dyDescent="0.25">
      <c r="A45" s="212" t="s">
        <v>3067</v>
      </c>
      <c r="B45" s="64">
        <v>7.72</v>
      </c>
      <c r="C45" s="64">
        <v>6.96</v>
      </c>
      <c r="D45" s="64">
        <v>9.83</v>
      </c>
      <c r="E45" s="64">
        <v>4.75</v>
      </c>
      <c r="F45" s="64">
        <v>7.65</v>
      </c>
      <c r="G45" s="64">
        <v>18.97</v>
      </c>
      <c r="H45" s="64">
        <v>1.43</v>
      </c>
      <c r="I45" s="64">
        <v>0.96</v>
      </c>
      <c r="J45" s="64">
        <v>0.3</v>
      </c>
      <c r="K45" s="64">
        <v>143.74</v>
      </c>
      <c r="L45" s="64">
        <v>28.04</v>
      </c>
      <c r="M45" s="64">
        <v>90.89</v>
      </c>
      <c r="N45" s="64">
        <v>246</v>
      </c>
      <c r="O45" s="64">
        <v>0</v>
      </c>
      <c r="P45" s="64">
        <v>0.26</v>
      </c>
      <c r="Q45" s="64">
        <v>9.6199999999999992</v>
      </c>
      <c r="R45" s="198"/>
      <c r="S45" s="198"/>
      <c r="T45" s="198"/>
      <c r="U45" s="198"/>
    </row>
    <row r="46" spans="1:21" s="12" customFormat="1" x14ac:dyDescent="0.25">
      <c r="A46" s="212" t="s">
        <v>3068</v>
      </c>
      <c r="B46" s="64">
        <v>7.72</v>
      </c>
      <c r="C46" s="64">
        <v>7.01</v>
      </c>
      <c r="D46" s="64">
        <v>9.85</v>
      </c>
      <c r="E46" s="64">
        <v>4.47</v>
      </c>
      <c r="F46" s="64">
        <v>6.32</v>
      </c>
      <c r="G46" s="64">
        <v>21.05</v>
      </c>
      <c r="H46" s="64">
        <v>1.4</v>
      </c>
      <c r="I46" s="64">
        <v>0.96</v>
      </c>
      <c r="J46" s="64">
        <v>0.56999999999999995</v>
      </c>
      <c r="K46" s="64">
        <v>138.6</v>
      </c>
      <c r="L46" s="64">
        <v>27.53</v>
      </c>
      <c r="M46" s="64">
        <v>93.74</v>
      </c>
      <c r="N46" s="64">
        <v>354.4</v>
      </c>
      <c r="O46" s="64">
        <v>0</v>
      </c>
      <c r="P46" s="64">
        <v>0.28000000000000003</v>
      </c>
      <c r="Q46" s="64">
        <v>9.59</v>
      </c>
      <c r="R46" s="198"/>
      <c r="S46" s="198"/>
      <c r="T46" s="198"/>
      <c r="U46" s="198"/>
    </row>
    <row r="47" spans="1:21" s="12" customFormat="1" x14ac:dyDescent="0.25">
      <c r="A47" s="212" t="s">
        <v>3069</v>
      </c>
      <c r="B47" s="64">
        <v>7</v>
      </c>
      <c r="C47" s="64">
        <v>7.71</v>
      </c>
      <c r="D47" s="64">
        <v>9.64</v>
      </c>
      <c r="E47" s="64">
        <v>4.87</v>
      </c>
      <c r="F47" s="64">
        <v>9.26</v>
      </c>
      <c r="G47" s="64">
        <v>21.05</v>
      </c>
      <c r="H47" s="64">
        <v>1.4</v>
      </c>
      <c r="I47" s="64">
        <v>0.93</v>
      </c>
      <c r="J47" s="64">
        <v>0.79</v>
      </c>
      <c r="K47" s="64">
        <v>140.13999999999999</v>
      </c>
      <c r="L47" s="64">
        <v>27.86</v>
      </c>
      <c r="M47" s="64">
        <v>92.2</v>
      </c>
      <c r="N47" s="64">
        <v>468.9</v>
      </c>
      <c r="O47" s="64">
        <v>0</v>
      </c>
      <c r="P47" s="64">
        <v>0.26</v>
      </c>
      <c r="Q47" s="64">
        <v>9.57</v>
      </c>
      <c r="R47" s="198"/>
      <c r="S47" s="198"/>
      <c r="T47" s="198"/>
      <c r="U47" s="198"/>
    </row>
    <row r="48" spans="1:21" s="12" customFormat="1" x14ac:dyDescent="0.25">
      <c r="A48" s="212" t="s">
        <v>3070</v>
      </c>
      <c r="B48" s="64">
        <v>7.51</v>
      </c>
      <c r="C48" s="64">
        <v>7.13</v>
      </c>
      <c r="D48" s="64">
        <v>9.75</v>
      </c>
      <c r="E48" s="64">
        <v>4.51</v>
      </c>
      <c r="F48" s="64">
        <v>5.81</v>
      </c>
      <c r="G48" s="64">
        <v>21.05</v>
      </c>
      <c r="H48" s="64">
        <v>1.4</v>
      </c>
      <c r="I48" s="64">
        <v>0.9</v>
      </c>
      <c r="J48" s="64">
        <v>0.86</v>
      </c>
      <c r="K48" s="64">
        <v>137.06</v>
      </c>
      <c r="L48" s="64">
        <v>27.48</v>
      </c>
      <c r="M48" s="64">
        <v>94.27</v>
      </c>
      <c r="N48" s="64">
        <v>403.9</v>
      </c>
      <c r="O48" s="64">
        <v>0</v>
      </c>
      <c r="P48" s="64">
        <v>0.28000000000000003</v>
      </c>
      <c r="Q48" s="64">
        <v>9.5500000000000007</v>
      </c>
      <c r="R48" s="198"/>
      <c r="S48" s="198"/>
      <c r="T48" s="198"/>
      <c r="U48" s="198"/>
    </row>
    <row r="49" spans="1:21" s="12" customFormat="1" x14ac:dyDescent="0.25">
      <c r="A49" s="212" t="s">
        <v>3071</v>
      </c>
      <c r="B49" s="64">
        <v>7.36</v>
      </c>
      <c r="C49" s="64">
        <v>6.77</v>
      </c>
      <c r="D49" s="64">
        <v>9.44</v>
      </c>
      <c r="E49" s="64">
        <v>4.5599999999999996</v>
      </c>
      <c r="F49" s="64">
        <v>5.26</v>
      </c>
      <c r="G49" s="64">
        <v>20.91</v>
      </c>
      <c r="H49" s="64">
        <v>1.39</v>
      </c>
      <c r="I49" s="64">
        <v>0.89</v>
      </c>
      <c r="J49" s="64">
        <v>1.32</v>
      </c>
      <c r="K49" s="64">
        <v>139.84</v>
      </c>
      <c r="L49" s="64">
        <v>28</v>
      </c>
      <c r="M49" s="64">
        <v>90.95</v>
      </c>
      <c r="N49" s="64">
        <v>613.4</v>
      </c>
      <c r="O49" s="64">
        <v>0</v>
      </c>
      <c r="P49" s="64">
        <v>0.26</v>
      </c>
      <c r="Q49" s="64">
        <v>9.5500000000000007</v>
      </c>
      <c r="R49" s="198"/>
      <c r="S49" s="198"/>
      <c r="T49" s="198"/>
      <c r="U49" s="198"/>
    </row>
    <row r="50" spans="1:21" s="12" customFormat="1" x14ac:dyDescent="0.25">
      <c r="A50" s="212" t="s">
        <v>3072</v>
      </c>
      <c r="B50" s="64">
        <v>7.38</v>
      </c>
      <c r="C50" s="64">
        <v>6.75</v>
      </c>
      <c r="D50" s="64">
        <v>9.4499999999999993</v>
      </c>
      <c r="E50" s="64">
        <v>4.53</v>
      </c>
      <c r="F50" s="64">
        <v>6.02</v>
      </c>
      <c r="G50" s="64">
        <v>20.72</v>
      </c>
      <c r="H50" s="64">
        <v>1.36</v>
      </c>
      <c r="I50" s="64">
        <v>0.88</v>
      </c>
      <c r="J50" s="64">
        <v>0.69</v>
      </c>
      <c r="K50" s="64">
        <v>138.53</v>
      </c>
      <c r="L50" s="64">
        <v>28.3</v>
      </c>
      <c r="M50" s="64">
        <v>89.99</v>
      </c>
      <c r="N50" s="64">
        <v>667.5</v>
      </c>
      <c r="O50" s="64">
        <v>0</v>
      </c>
      <c r="P50" s="64">
        <v>0.27</v>
      </c>
      <c r="Q50" s="64">
        <v>9.5399999999999991</v>
      </c>
      <c r="R50" s="198"/>
      <c r="S50" s="198"/>
      <c r="T50" s="198"/>
      <c r="U50" s="198"/>
    </row>
    <row r="51" spans="1:21" s="12" customFormat="1" x14ac:dyDescent="0.25">
      <c r="A51" s="212" t="s">
        <v>3073</v>
      </c>
      <c r="B51" s="64">
        <v>6.83</v>
      </c>
      <c r="C51" s="64">
        <v>7.31</v>
      </c>
      <c r="D51" s="64">
        <v>9.2899999999999991</v>
      </c>
      <c r="E51" s="64">
        <v>4.4400000000000004</v>
      </c>
      <c r="F51" s="64">
        <v>10.029999999999999</v>
      </c>
      <c r="G51" s="64">
        <v>20.72</v>
      </c>
      <c r="H51" s="64">
        <v>1.36</v>
      </c>
      <c r="I51" s="64">
        <v>0.87</v>
      </c>
      <c r="J51" s="64">
        <v>0.3</v>
      </c>
      <c r="K51" s="64">
        <v>145.51</v>
      </c>
      <c r="L51" s="64">
        <v>28.95</v>
      </c>
      <c r="M51" s="64">
        <v>86.02</v>
      </c>
      <c r="N51" s="64">
        <v>598.9</v>
      </c>
      <c r="O51" s="64">
        <v>0</v>
      </c>
      <c r="P51" s="64">
        <v>0.25</v>
      </c>
      <c r="Q51" s="64">
        <v>9.5299999999999994</v>
      </c>
      <c r="R51" s="198"/>
      <c r="S51" s="198"/>
      <c r="T51" s="198"/>
      <c r="U51" s="198"/>
    </row>
    <row r="52" spans="1:21" s="12" customFormat="1" x14ac:dyDescent="0.25">
      <c r="A52" s="212" t="s">
        <v>3074</v>
      </c>
      <c r="B52" s="64">
        <v>6.85</v>
      </c>
      <c r="C52" s="64">
        <v>7.15</v>
      </c>
      <c r="D52" s="64">
        <v>9.23</v>
      </c>
      <c r="E52" s="64">
        <v>4.47</v>
      </c>
      <c r="F52" s="64">
        <v>6.83</v>
      </c>
      <c r="G52" s="64">
        <v>20.72</v>
      </c>
      <c r="H52" s="64">
        <v>1.36</v>
      </c>
      <c r="I52" s="64">
        <v>0.88</v>
      </c>
      <c r="J52" s="64">
        <v>0.92</v>
      </c>
      <c r="K52" s="64">
        <v>139.18</v>
      </c>
      <c r="L52" s="64">
        <v>29.2</v>
      </c>
      <c r="M52" s="64">
        <v>83.34</v>
      </c>
      <c r="N52" s="64">
        <v>1019</v>
      </c>
      <c r="O52" s="64">
        <v>0</v>
      </c>
      <c r="P52" s="64">
        <v>0.27</v>
      </c>
      <c r="Q52" s="64">
        <v>9.52</v>
      </c>
      <c r="R52" s="198"/>
      <c r="S52" s="198"/>
      <c r="T52" s="198"/>
      <c r="U52" s="198"/>
    </row>
    <row r="53" spans="1:21" s="12" customFormat="1" x14ac:dyDescent="0.25">
      <c r="A53" s="212" t="s">
        <v>3075</v>
      </c>
      <c r="B53" s="64">
        <v>7.37</v>
      </c>
      <c r="C53" s="64">
        <v>7.64</v>
      </c>
      <c r="D53" s="64">
        <v>9.9</v>
      </c>
      <c r="E53" s="64">
        <v>4.5599999999999996</v>
      </c>
      <c r="F53" s="64">
        <v>7.97</v>
      </c>
      <c r="G53" s="64">
        <v>18.54</v>
      </c>
      <c r="H53" s="64">
        <v>1.36</v>
      </c>
      <c r="I53" s="64">
        <v>0.86</v>
      </c>
      <c r="J53" s="64">
        <v>0.04</v>
      </c>
      <c r="K53" s="64">
        <v>227.73</v>
      </c>
      <c r="L53" s="64">
        <v>30.17</v>
      </c>
      <c r="M53" s="64">
        <v>78.91</v>
      </c>
      <c r="N53" s="64">
        <v>969.1</v>
      </c>
      <c r="O53" s="64">
        <v>0</v>
      </c>
      <c r="P53" s="64">
        <v>0.27</v>
      </c>
      <c r="Q53" s="64">
        <v>9.51</v>
      </c>
      <c r="R53" s="198"/>
      <c r="S53" s="198"/>
      <c r="T53" s="198"/>
      <c r="U53" s="198"/>
    </row>
    <row r="54" spans="1:21" s="12" customFormat="1" x14ac:dyDescent="0.25">
      <c r="A54" s="212" t="s">
        <v>3076</v>
      </c>
      <c r="B54" s="64">
        <v>7.48</v>
      </c>
      <c r="C54" s="64">
        <v>7.95</v>
      </c>
      <c r="D54" s="64">
        <v>10.15</v>
      </c>
      <c r="E54" s="64">
        <v>4.5999999999999996</v>
      </c>
      <c r="F54" s="64">
        <v>7.42</v>
      </c>
      <c r="G54" s="64">
        <v>15.8</v>
      </c>
      <c r="H54" s="64">
        <v>1.37</v>
      </c>
      <c r="I54" s="64">
        <v>0.86</v>
      </c>
      <c r="J54" s="64">
        <v>0.62</v>
      </c>
      <c r="K54" s="64">
        <v>135.84</v>
      </c>
      <c r="L54" s="64">
        <v>29.97</v>
      </c>
      <c r="M54" s="64">
        <v>79.989999999999995</v>
      </c>
      <c r="N54" s="64">
        <v>688.2</v>
      </c>
      <c r="O54" s="64">
        <v>0</v>
      </c>
      <c r="P54" s="64">
        <v>0.25</v>
      </c>
      <c r="Q54" s="64">
        <v>9.5</v>
      </c>
      <c r="R54" s="198"/>
      <c r="S54" s="198"/>
      <c r="T54" s="198"/>
      <c r="U54" s="198"/>
    </row>
    <row r="55" spans="1:21" s="12" customFormat="1" x14ac:dyDescent="0.25">
      <c r="A55" s="212" t="s">
        <v>3077</v>
      </c>
      <c r="B55" s="64">
        <v>6.63</v>
      </c>
      <c r="C55" s="64">
        <v>7.52</v>
      </c>
      <c r="D55" s="64">
        <v>9.24</v>
      </c>
      <c r="E55" s="64">
        <v>4.29</v>
      </c>
      <c r="F55" s="64">
        <v>6.68</v>
      </c>
      <c r="G55" s="64">
        <v>15.8</v>
      </c>
      <c r="H55" s="64">
        <v>1.37</v>
      </c>
      <c r="I55" s="64">
        <v>0.8</v>
      </c>
      <c r="J55" s="64">
        <v>0.1</v>
      </c>
      <c r="K55" s="64">
        <v>277.98</v>
      </c>
      <c r="L55" s="64">
        <v>29.98</v>
      </c>
      <c r="M55" s="64">
        <v>79.489999999999995</v>
      </c>
      <c r="N55" s="64">
        <v>894</v>
      </c>
      <c r="O55" s="64">
        <v>0</v>
      </c>
      <c r="P55" s="64">
        <v>0.25</v>
      </c>
      <c r="Q55" s="64">
        <v>9.5</v>
      </c>
      <c r="R55" s="198"/>
      <c r="S55" s="198"/>
      <c r="T55" s="198"/>
      <c r="U55" s="198"/>
    </row>
    <row r="56" spans="1:21" s="12" customFormat="1" x14ac:dyDescent="0.25">
      <c r="A56" s="212" t="s">
        <v>3078</v>
      </c>
      <c r="B56" s="64">
        <v>6.72</v>
      </c>
      <c r="C56" s="64">
        <v>8.19</v>
      </c>
      <c r="D56" s="64">
        <v>9.66</v>
      </c>
      <c r="E56" s="64">
        <v>4.29</v>
      </c>
      <c r="F56" s="64">
        <v>11.13</v>
      </c>
      <c r="G56" s="64">
        <v>15.8</v>
      </c>
      <c r="H56" s="64">
        <v>1.37</v>
      </c>
      <c r="I56" s="64">
        <v>0.8</v>
      </c>
      <c r="J56" s="64">
        <v>0.34</v>
      </c>
      <c r="K56" s="64">
        <v>137.53</v>
      </c>
      <c r="L56" s="64">
        <v>29.9</v>
      </c>
      <c r="M56" s="64">
        <v>79.319999999999993</v>
      </c>
      <c r="N56" s="64">
        <v>624.4</v>
      </c>
      <c r="O56" s="64">
        <v>0</v>
      </c>
      <c r="P56" s="64">
        <v>0.24</v>
      </c>
      <c r="Q56" s="64">
        <v>9.5</v>
      </c>
      <c r="R56" s="198"/>
      <c r="S56" s="198"/>
      <c r="T56" s="198"/>
      <c r="U56" s="198"/>
    </row>
    <row r="57" spans="1:21" s="12" customFormat="1" x14ac:dyDescent="0.25">
      <c r="A57" s="212" t="s">
        <v>3079</v>
      </c>
      <c r="B57" s="64">
        <v>7.26</v>
      </c>
      <c r="C57" s="64">
        <v>9.8699999999999992</v>
      </c>
      <c r="D57" s="64">
        <v>10.98</v>
      </c>
      <c r="E57" s="64">
        <v>4.76</v>
      </c>
      <c r="F57" s="64">
        <v>12.49</v>
      </c>
      <c r="G57" s="64">
        <v>17.100000000000001</v>
      </c>
      <c r="H57" s="64">
        <v>1.35</v>
      </c>
      <c r="I57" s="64">
        <v>0.84</v>
      </c>
      <c r="J57" s="64">
        <v>0.85</v>
      </c>
      <c r="K57" s="64">
        <v>134.63</v>
      </c>
      <c r="L57" s="64">
        <v>29.71</v>
      </c>
      <c r="M57" s="64">
        <v>81.61</v>
      </c>
      <c r="N57" s="64">
        <v>786.2</v>
      </c>
      <c r="O57" s="64">
        <v>0</v>
      </c>
      <c r="P57" s="64">
        <v>0.25</v>
      </c>
      <c r="Q57" s="64">
        <v>9.51</v>
      </c>
      <c r="R57" s="198"/>
      <c r="S57" s="198"/>
      <c r="T57" s="198"/>
      <c r="U57" s="198"/>
    </row>
    <row r="58" spans="1:21" s="12" customFormat="1" x14ac:dyDescent="0.25">
      <c r="A58" s="212" t="s">
        <v>3080</v>
      </c>
      <c r="B58" s="64">
        <v>5.91</v>
      </c>
      <c r="C58" s="64">
        <v>7.99</v>
      </c>
      <c r="D58" s="64">
        <v>8.92</v>
      </c>
      <c r="E58" s="64">
        <v>4.29</v>
      </c>
      <c r="F58" s="64">
        <v>7.57</v>
      </c>
      <c r="G58" s="64">
        <v>18.72</v>
      </c>
      <c r="H58" s="64">
        <v>1.33</v>
      </c>
      <c r="I58" s="64">
        <v>0.83</v>
      </c>
      <c r="J58" s="64">
        <v>0.65</v>
      </c>
      <c r="K58" s="64">
        <v>144.57</v>
      </c>
      <c r="L58" s="64">
        <v>30.34</v>
      </c>
      <c r="M58" s="64">
        <v>75.63</v>
      </c>
      <c r="N58" s="64">
        <v>740.2</v>
      </c>
      <c r="O58" s="64">
        <v>0</v>
      </c>
      <c r="P58" s="64">
        <v>0.23</v>
      </c>
      <c r="Q58" s="64">
        <v>9.5</v>
      </c>
      <c r="R58" s="198"/>
      <c r="S58" s="198"/>
      <c r="T58" s="198"/>
      <c r="U58" s="198"/>
    </row>
    <row r="59" spans="1:21" s="12" customFormat="1" x14ac:dyDescent="0.25">
      <c r="A59" s="212" t="s">
        <v>3081</v>
      </c>
      <c r="B59" s="64">
        <v>5.72</v>
      </c>
      <c r="C59" s="64">
        <v>7.29</v>
      </c>
      <c r="D59" s="64">
        <v>8.39</v>
      </c>
      <c r="E59" s="64">
        <v>4.32</v>
      </c>
      <c r="F59" s="64">
        <v>7.33</v>
      </c>
      <c r="G59" s="64">
        <v>18.72</v>
      </c>
      <c r="H59" s="64">
        <v>1.33</v>
      </c>
      <c r="I59" s="64">
        <v>0.85</v>
      </c>
      <c r="J59" s="64">
        <v>0.32</v>
      </c>
      <c r="K59" s="64">
        <v>145.69</v>
      </c>
      <c r="L59" s="64">
        <v>30.06</v>
      </c>
      <c r="M59" s="64">
        <v>79.66</v>
      </c>
      <c r="N59" s="64">
        <v>560.70000000000005</v>
      </c>
      <c r="O59" s="64">
        <v>0</v>
      </c>
      <c r="P59" s="64">
        <v>0.24</v>
      </c>
      <c r="Q59" s="64">
        <v>9.5</v>
      </c>
      <c r="R59" s="198"/>
      <c r="S59" s="198"/>
      <c r="T59" s="198"/>
      <c r="U59" s="198"/>
    </row>
    <row r="60" spans="1:21" s="12" customFormat="1" x14ac:dyDescent="0.25">
      <c r="A60" s="212" t="s">
        <v>3082</v>
      </c>
      <c r="B60" s="64">
        <v>6.16</v>
      </c>
      <c r="C60" s="64">
        <v>7.05</v>
      </c>
      <c r="D60" s="64">
        <v>8.6300000000000008</v>
      </c>
      <c r="E60" s="64">
        <v>4.7</v>
      </c>
      <c r="F60" s="64">
        <v>7.87</v>
      </c>
      <c r="G60" s="64">
        <v>18.72</v>
      </c>
      <c r="H60" s="64">
        <v>1.33</v>
      </c>
      <c r="I60" s="64">
        <v>0.79</v>
      </c>
      <c r="J60" s="64">
        <v>0.64</v>
      </c>
      <c r="K60" s="64">
        <v>145.07</v>
      </c>
      <c r="L60" s="64">
        <v>30.47</v>
      </c>
      <c r="M60" s="64">
        <v>78.36</v>
      </c>
      <c r="N60" s="64">
        <v>555.6</v>
      </c>
      <c r="O60" s="64">
        <v>0</v>
      </c>
      <c r="P60" s="64">
        <v>0.24</v>
      </c>
      <c r="Q60" s="64">
        <v>9.49</v>
      </c>
      <c r="R60" s="198"/>
      <c r="S60" s="198"/>
      <c r="T60" s="198"/>
      <c r="U60" s="198"/>
    </row>
    <row r="61" spans="1:21" s="12" customFormat="1" x14ac:dyDescent="0.25">
      <c r="A61" s="212" t="s">
        <v>3083</v>
      </c>
      <c r="B61" s="64">
        <v>5.69</v>
      </c>
      <c r="C61" s="64">
        <v>7.43</v>
      </c>
      <c r="D61" s="64">
        <v>8.44</v>
      </c>
      <c r="E61" s="64">
        <v>4.62</v>
      </c>
      <c r="F61" s="64">
        <v>10.039999999999999</v>
      </c>
      <c r="G61" s="64">
        <v>19.149999999999999</v>
      </c>
      <c r="H61" s="64">
        <v>1.33</v>
      </c>
      <c r="I61" s="64">
        <v>0.8</v>
      </c>
      <c r="J61" s="64">
        <v>0.33</v>
      </c>
      <c r="K61" s="64">
        <v>134.52000000000001</v>
      </c>
      <c r="L61" s="64">
        <v>30.25</v>
      </c>
      <c r="M61" s="64">
        <v>78.42</v>
      </c>
      <c r="N61" s="64">
        <v>403.2</v>
      </c>
      <c r="O61" s="64">
        <v>0</v>
      </c>
      <c r="P61" s="64">
        <v>0.21</v>
      </c>
      <c r="Q61" s="64">
        <v>9.49</v>
      </c>
      <c r="R61" s="198"/>
      <c r="S61" s="198"/>
      <c r="T61" s="198"/>
      <c r="U61" s="198"/>
    </row>
    <row r="62" spans="1:21" s="12" customFormat="1" x14ac:dyDescent="0.25">
      <c r="A62" s="212" t="s">
        <v>3084</v>
      </c>
      <c r="B62" s="64">
        <v>6.22</v>
      </c>
      <c r="C62" s="64">
        <v>8.27</v>
      </c>
      <c r="D62" s="64">
        <v>9.31</v>
      </c>
      <c r="E62" s="64">
        <v>4.3600000000000003</v>
      </c>
      <c r="F62" s="64">
        <v>9.24</v>
      </c>
      <c r="G62" s="64">
        <v>19.690000000000001</v>
      </c>
      <c r="H62" s="64">
        <v>1.33</v>
      </c>
      <c r="I62" s="64">
        <v>0.85</v>
      </c>
      <c r="J62" s="64">
        <v>0.38</v>
      </c>
      <c r="K62" s="64">
        <v>147.94</v>
      </c>
      <c r="L62" s="64">
        <v>30.66</v>
      </c>
      <c r="M62" s="64">
        <v>75.55</v>
      </c>
      <c r="N62" s="64">
        <v>359.3</v>
      </c>
      <c r="O62" s="64">
        <v>0</v>
      </c>
      <c r="P62" s="64">
        <v>0.22</v>
      </c>
      <c r="Q62" s="64">
        <v>9.49</v>
      </c>
      <c r="R62" s="198"/>
      <c r="S62" s="198"/>
      <c r="T62" s="198"/>
      <c r="U62" s="198"/>
    </row>
    <row r="63" spans="1:21" s="12" customFormat="1" x14ac:dyDescent="0.25">
      <c r="A63" s="212" t="s">
        <v>3085</v>
      </c>
      <c r="B63" s="64">
        <v>5.86</v>
      </c>
      <c r="C63" s="64">
        <v>7.74</v>
      </c>
      <c r="D63" s="64">
        <v>8.75</v>
      </c>
      <c r="E63" s="64">
        <v>4.57</v>
      </c>
      <c r="F63" s="64">
        <v>7.66</v>
      </c>
      <c r="G63" s="64">
        <v>19.690000000000001</v>
      </c>
      <c r="H63" s="64">
        <v>1.33</v>
      </c>
      <c r="I63" s="64">
        <v>0.84</v>
      </c>
      <c r="J63" s="64">
        <v>1.1299999999999999</v>
      </c>
      <c r="K63" s="64">
        <v>142.21</v>
      </c>
      <c r="L63" s="64">
        <v>29.74</v>
      </c>
      <c r="M63" s="64">
        <v>78.92</v>
      </c>
      <c r="N63" s="64">
        <v>249.7</v>
      </c>
      <c r="O63" s="64">
        <v>0</v>
      </c>
      <c r="P63" s="64">
        <v>0.23</v>
      </c>
      <c r="Q63" s="64">
        <v>9.4700000000000006</v>
      </c>
      <c r="R63" s="198"/>
      <c r="S63" s="198"/>
      <c r="T63" s="198"/>
      <c r="U63" s="198"/>
    </row>
    <row r="64" spans="1:21" s="12" customFormat="1" x14ac:dyDescent="0.25">
      <c r="A64" s="212" t="s">
        <v>3086</v>
      </c>
      <c r="B64" s="64">
        <v>6.12</v>
      </c>
      <c r="C64" s="64">
        <v>8.34</v>
      </c>
      <c r="D64" s="64">
        <v>9.26</v>
      </c>
      <c r="E64" s="64">
        <v>4.8</v>
      </c>
      <c r="F64" s="64">
        <v>9.99</v>
      </c>
      <c r="G64" s="64">
        <v>19.690000000000001</v>
      </c>
      <c r="H64" s="64">
        <v>1.33</v>
      </c>
      <c r="I64" s="64">
        <v>0.84</v>
      </c>
      <c r="J64" s="64">
        <v>0.13</v>
      </c>
      <c r="K64" s="64">
        <v>170.07</v>
      </c>
      <c r="L64" s="64">
        <v>30.22</v>
      </c>
      <c r="M64" s="64">
        <v>77.180000000000007</v>
      </c>
      <c r="N64" s="64">
        <v>248.5</v>
      </c>
      <c r="O64" s="64">
        <v>0</v>
      </c>
      <c r="P64" s="64">
        <v>0.22</v>
      </c>
      <c r="Q64" s="64">
        <v>9.4600000000000009</v>
      </c>
      <c r="R64" s="198"/>
      <c r="S64" s="198"/>
      <c r="T64" s="198"/>
      <c r="U64" s="198"/>
    </row>
    <row r="65" spans="1:21" s="12" customFormat="1" x14ac:dyDescent="0.25">
      <c r="A65" s="212" t="s">
        <v>3087</v>
      </c>
      <c r="B65" s="64">
        <v>6.04</v>
      </c>
      <c r="C65" s="64">
        <v>8.1</v>
      </c>
      <c r="D65" s="64">
        <v>9.07</v>
      </c>
      <c r="E65" s="64">
        <v>4.7300000000000004</v>
      </c>
      <c r="F65" s="64">
        <v>9.75</v>
      </c>
      <c r="G65" s="64">
        <v>18.8</v>
      </c>
      <c r="H65" s="64">
        <v>1.34</v>
      </c>
      <c r="I65" s="64">
        <v>0.77</v>
      </c>
      <c r="J65" s="64">
        <v>0.08</v>
      </c>
      <c r="K65" s="64">
        <v>242.5</v>
      </c>
      <c r="L65" s="64">
        <v>30.46</v>
      </c>
      <c r="M65" s="64">
        <v>73.760000000000005</v>
      </c>
      <c r="N65" s="64">
        <v>240.9</v>
      </c>
      <c r="O65" s="64">
        <v>0</v>
      </c>
      <c r="P65" s="64">
        <v>0.25</v>
      </c>
      <c r="Q65" s="64">
        <v>9.4600000000000009</v>
      </c>
      <c r="R65" s="198"/>
      <c r="S65" s="198"/>
      <c r="T65" s="198"/>
      <c r="U65" s="198"/>
    </row>
    <row r="66" spans="1:21" s="12" customFormat="1" x14ac:dyDescent="0.25">
      <c r="A66" s="212" t="s">
        <v>3088</v>
      </c>
      <c r="B66" s="64">
        <v>5.7</v>
      </c>
      <c r="C66" s="64">
        <v>8.93</v>
      </c>
      <c r="D66" s="64">
        <v>9.24</v>
      </c>
      <c r="E66" s="64">
        <v>4.41</v>
      </c>
      <c r="F66" s="64">
        <v>11.49</v>
      </c>
      <c r="G66" s="64">
        <v>17.7</v>
      </c>
      <c r="H66" s="64">
        <v>1.34</v>
      </c>
      <c r="I66" s="64">
        <v>0.68</v>
      </c>
      <c r="J66" s="64">
        <v>0.49</v>
      </c>
      <c r="K66" s="64">
        <v>135.94</v>
      </c>
      <c r="L66" s="64">
        <v>29.62</v>
      </c>
      <c r="M66" s="64">
        <v>82.71</v>
      </c>
      <c r="N66" s="64">
        <v>175.5</v>
      </c>
      <c r="O66" s="64">
        <v>0</v>
      </c>
      <c r="P66" s="64">
        <v>0.23</v>
      </c>
      <c r="Q66" s="64">
        <v>9.4600000000000009</v>
      </c>
      <c r="R66" s="198"/>
      <c r="S66" s="198"/>
      <c r="T66" s="198"/>
      <c r="U66" s="198"/>
    </row>
    <row r="67" spans="1:21" s="12" customFormat="1" x14ac:dyDescent="0.25">
      <c r="A67" s="212" t="s">
        <v>3089</v>
      </c>
      <c r="B67" s="64">
        <v>6.42</v>
      </c>
      <c r="C67" s="64">
        <v>9.73</v>
      </c>
      <c r="D67" s="64">
        <v>10.23</v>
      </c>
      <c r="E67" s="64">
        <v>4.25</v>
      </c>
      <c r="F67" s="64">
        <v>11.95</v>
      </c>
      <c r="G67" s="64">
        <v>17.7</v>
      </c>
      <c r="H67" s="64">
        <v>1.34</v>
      </c>
      <c r="I67" s="64">
        <v>0.66</v>
      </c>
      <c r="J67" s="64">
        <v>1.1499999999999999</v>
      </c>
      <c r="K67" s="64">
        <v>132.61000000000001</v>
      </c>
      <c r="L67" s="64">
        <v>28.81</v>
      </c>
      <c r="M67" s="64">
        <v>87.17</v>
      </c>
      <c r="N67" s="64">
        <v>169.3</v>
      </c>
      <c r="O67" s="64">
        <v>0</v>
      </c>
      <c r="P67" s="64">
        <v>0.23</v>
      </c>
      <c r="Q67" s="64">
        <v>9.44</v>
      </c>
      <c r="R67" s="198"/>
      <c r="S67" s="198"/>
      <c r="T67" s="198"/>
      <c r="U67" s="198"/>
    </row>
    <row r="68" spans="1:21" s="12" customFormat="1" x14ac:dyDescent="0.25">
      <c r="A68" s="212" t="s">
        <v>3090</v>
      </c>
      <c r="B68" s="64">
        <v>7.83</v>
      </c>
      <c r="C68" s="64">
        <v>8.81</v>
      </c>
      <c r="D68" s="64">
        <v>10.88</v>
      </c>
      <c r="E68" s="64">
        <v>4.41</v>
      </c>
      <c r="F68" s="64">
        <v>8.86</v>
      </c>
      <c r="G68" s="64">
        <v>17.7</v>
      </c>
      <c r="H68" s="64">
        <v>1.34</v>
      </c>
      <c r="I68" s="64">
        <v>0.65</v>
      </c>
      <c r="J68" s="64">
        <v>0.68</v>
      </c>
      <c r="K68" s="64">
        <v>142.83000000000001</v>
      </c>
      <c r="L68" s="64">
        <v>28.79</v>
      </c>
      <c r="M68" s="64">
        <v>85.79</v>
      </c>
      <c r="N68" s="64">
        <v>224</v>
      </c>
      <c r="O68" s="64">
        <v>0</v>
      </c>
      <c r="P68" s="64">
        <v>0.23</v>
      </c>
      <c r="Q68" s="64">
        <v>9.44</v>
      </c>
      <c r="R68" s="198"/>
      <c r="S68" s="198"/>
      <c r="T68" s="198"/>
      <c r="U68" s="198"/>
    </row>
    <row r="69" spans="1:21" s="12" customFormat="1" x14ac:dyDescent="0.25">
      <c r="A69" s="212" t="s">
        <v>3091</v>
      </c>
      <c r="B69" s="64">
        <v>7.18</v>
      </c>
      <c r="C69" s="64">
        <v>10.58</v>
      </c>
      <c r="D69" s="64">
        <v>11.28</v>
      </c>
      <c r="E69" s="64">
        <v>4.53</v>
      </c>
      <c r="F69" s="64">
        <v>11.32</v>
      </c>
      <c r="G69" s="64">
        <v>17.13</v>
      </c>
      <c r="H69" s="64">
        <v>1.32</v>
      </c>
      <c r="I69" s="64">
        <v>0.64</v>
      </c>
      <c r="J69" s="64">
        <v>0.5</v>
      </c>
      <c r="K69" s="64">
        <v>135.41</v>
      </c>
      <c r="L69" s="64">
        <v>29.09</v>
      </c>
      <c r="M69" s="64">
        <v>84.86</v>
      </c>
      <c r="N69" s="64">
        <v>201</v>
      </c>
      <c r="O69" s="64">
        <v>0</v>
      </c>
      <c r="P69" s="64">
        <v>0.22</v>
      </c>
      <c r="Q69" s="64">
        <v>9.44</v>
      </c>
      <c r="R69" s="198"/>
      <c r="S69" s="198"/>
      <c r="T69" s="198"/>
      <c r="U69" s="198"/>
    </row>
    <row r="70" spans="1:21" s="12" customFormat="1" x14ac:dyDescent="0.25">
      <c r="A70" s="212" t="s">
        <v>3092</v>
      </c>
      <c r="B70" s="64">
        <v>6.55</v>
      </c>
      <c r="C70" s="64">
        <v>9.0399999999999991</v>
      </c>
      <c r="D70" s="64">
        <v>9.9700000000000006</v>
      </c>
      <c r="E70" s="64">
        <v>4.1399999999999997</v>
      </c>
      <c r="F70" s="64">
        <v>7.29</v>
      </c>
      <c r="G70" s="64">
        <v>16.41</v>
      </c>
      <c r="H70" s="64">
        <v>1.3</v>
      </c>
      <c r="I70" s="64">
        <v>0.64</v>
      </c>
      <c r="J70" s="64">
        <v>0.83</v>
      </c>
      <c r="K70" s="64">
        <v>141.88999999999999</v>
      </c>
      <c r="L70" s="64">
        <v>28.91</v>
      </c>
      <c r="M70" s="64">
        <v>79.47</v>
      </c>
      <c r="N70" s="64">
        <v>198.8</v>
      </c>
      <c r="O70" s="64">
        <v>0</v>
      </c>
      <c r="P70" s="64">
        <v>0.24</v>
      </c>
      <c r="Q70" s="64">
        <v>9.4499999999999993</v>
      </c>
      <c r="R70" s="198"/>
      <c r="S70" s="198"/>
      <c r="T70" s="198"/>
      <c r="U70" s="198"/>
    </row>
    <row r="71" spans="1:21" s="12" customFormat="1" x14ac:dyDescent="0.25">
      <c r="A71" s="212" t="s">
        <v>3093</v>
      </c>
      <c r="B71" s="64">
        <v>7.11</v>
      </c>
      <c r="C71" s="64">
        <v>10.97</v>
      </c>
      <c r="D71" s="64">
        <v>11.44</v>
      </c>
      <c r="E71" s="64">
        <v>4.2</v>
      </c>
      <c r="F71" s="64">
        <v>9.74</v>
      </c>
      <c r="G71" s="64">
        <v>16.41</v>
      </c>
      <c r="H71" s="64">
        <v>1.3</v>
      </c>
      <c r="I71" s="64">
        <v>0.63</v>
      </c>
      <c r="J71" s="64">
        <v>0.46</v>
      </c>
      <c r="K71" s="64">
        <v>138.96</v>
      </c>
      <c r="L71" s="64">
        <v>29.22</v>
      </c>
      <c r="M71" s="64">
        <v>74.64</v>
      </c>
      <c r="N71" s="64">
        <v>201.4</v>
      </c>
      <c r="O71" s="64">
        <v>0</v>
      </c>
      <c r="P71" s="64">
        <v>0.22</v>
      </c>
      <c r="Q71" s="64">
        <v>9.4600000000000009</v>
      </c>
      <c r="R71" s="198"/>
      <c r="S71" s="198"/>
      <c r="T71" s="198"/>
      <c r="U71" s="198"/>
    </row>
    <row r="72" spans="1:21" s="12" customFormat="1" x14ac:dyDescent="0.25">
      <c r="A72" s="212" t="s">
        <v>3094</v>
      </c>
      <c r="B72" s="64">
        <v>5.73</v>
      </c>
      <c r="C72" s="64">
        <v>8.25</v>
      </c>
      <c r="D72" s="64">
        <v>8.9</v>
      </c>
      <c r="E72" s="64">
        <v>5.39</v>
      </c>
      <c r="F72" s="64">
        <v>11.72</v>
      </c>
      <c r="G72" s="64">
        <v>16.41</v>
      </c>
      <c r="H72" s="64">
        <v>1.3</v>
      </c>
      <c r="I72" s="64">
        <v>0.63</v>
      </c>
      <c r="J72" s="64">
        <v>1.2</v>
      </c>
      <c r="K72" s="64">
        <v>132.74</v>
      </c>
      <c r="L72" s="64">
        <v>29.5</v>
      </c>
      <c r="M72" s="64">
        <v>74.319999999999993</v>
      </c>
      <c r="N72" s="64">
        <v>163</v>
      </c>
      <c r="O72" s="64">
        <v>0</v>
      </c>
      <c r="P72" s="64">
        <v>0.21</v>
      </c>
      <c r="Q72" s="64">
        <v>9.4499999999999993</v>
      </c>
      <c r="R72" s="198"/>
      <c r="S72" s="198"/>
      <c r="T72" s="198"/>
      <c r="U72" s="198"/>
    </row>
    <row r="73" spans="1:21" s="12" customFormat="1" x14ac:dyDescent="0.25">
      <c r="A73" s="212" t="s">
        <v>3095</v>
      </c>
      <c r="B73" s="64">
        <v>5.81</v>
      </c>
      <c r="C73" s="64">
        <v>8.3000000000000007</v>
      </c>
      <c r="D73" s="64">
        <v>9</v>
      </c>
      <c r="E73" s="64">
        <v>4.67</v>
      </c>
      <c r="F73" s="64">
        <v>11.67</v>
      </c>
      <c r="G73" s="64">
        <v>16.97</v>
      </c>
      <c r="H73" s="64">
        <v>1.35</v>
      </c>
      <c r="I73" s="64">
        <v>0.63</v>
      </c>
      <c r="J73" s="64">
        <v>7.0000000000000007E-2</v>
      </c>
      <c r="K73" s="64">
        <v>244.56</v>
      </c>
      <c r="L73" s="64">
        <v>29.56</v>
      </c>
      <c r="M73" s="64">
        <v>73.540000000000006</v>
      </c>
      <c r="N73" s="64">
        <v>141.9</v>
      </c>
      <c r="O73" s="64">
        <v>0</v>
      </c>
      <c r="P73" s="64">
        <v>0.22</v>
      </c>
      <c r="Q73" s="64">
        <v>9.4700000000000006</v>
      </c>
      <c r="R73" s="198"/>
      <c r="S73" s="198"/>
      <c r="T73" s="198"/>
      <c r="U73" s="198"/>
    </row>
    <row r="74" spans="1:21" s="12" customFormat="1" x14ac:dyDescent="0.25">
      <c r="A74" s="212" t="s">
        <v>3096</v>
      </c>
      <c r="B74" s="64">
        <v>5.86</v>
      </c>
      <c r="C74" s="64">
        <v>8.6</v>
      </c>
      <c r="D74" s="64">
        <v>9.1999999999999993</v>
      </c>
      <c r="E74" s="64">
        <v>4.55</v>
      </c>
      <c r="F74" s="64">
        <v>11.54</v>
      </c>
      <c r="G74" s="64">
        <v>17.66</v>
      </c>
      <c r="H74" s="64">
        <v>1.38</v>
      </c>
      <c r="I74" s="64">
        <v>0.62</v>
      </c>
      <c r="J74" s="64">
        <v>0.08</v>
      </c>
      <c r="K74" s="64">
        <v>139.80000000000001</v>
      </c>
      <c r="L74" s="64">
        <v>29.66</v>
      </c>
      <c r="M74" s="64">
        <v>75.39</v>
      </c>
      <c r="N74" s="64">
        <v>127.7</v>
      </c>
      <c r="O74" s="64">
        <v>0</v>
      </c>
      <c r="P74" s="64">
        <v>0.24</v>
      </c>
      <c r="Q74" s="64">
        <v>9.48</v>
      </c>
      <c r="R74" s="198"/>
      <c r="S74" s="198"/>
      <c r="T74" s="198"/>
      <c r="U74" s="198"/>
    </row>
    <row r="75" spans="1:21" s="12" customFormat="1" x14ac:dyDescent="0.25">
      <c r="A75" s="212" t="s">
        <v>3097</v>
      </c>
      <c r="B75" s="64">
        <v>5.49</v>
      </c>
      <c r="C75" s="64">
        <v>8.3800000000000008</v>
      </c>
      <c r="D75" s="64">
        <v>8.7799999999999994</v>
      </c>
      <c r="E75" s="64">
        <v>4.8099999999999996</v>
      </c>
      <c r="F75" s="64">
        <v>9.77</v>
      </c>
      <c r="G75" s="64">
        <v>17.66</v>
      </c>
      <c r="H75" s="64">
        <v>1.38</v>
      </c>
      <c r="I75" s="64">
        <v>0.61</v>
      </c>
      <c r="J75" s="64">
        <v>0.03</v>
      </c>
      <c r="K75" s="64">
        <v>222.4</v>
      </c>
      <c r="L75" s="64">
        <v>29.23</v>
      </c>
      <c r="M75" s="64">
        <v>78.86</v>
      </c>
      <c r="N75" s="64">
        <v>119.4</v>
      </c>
      <c r="O75" s="64">
        <v>0</v>
      </c>
      <c r="P75" s="64">
        <v>0.22</v>
      </c>
      <c r="Q75" s="64">
        <v>9.49</v>
      </c>
      <c r="R75" s="198"/>
      <c r="S75" s="198"/>
      <c r="T75" s="198"/>
      <c r="U75" s="198"/>
    </row>
    <row r="76" spans="1:21" s="12" customFormat="1" x14ac:dyDescent="0.25">
      <c r="A76" s="212" t="s">
        <v>3098</v>
      </c>
      <c r="B76" s="64">
        <v>5.19</v>
      </c>
      <c r="C76" s="64">
        <v>8.2200000000000006</v>
      </c>
      <c r="D76" s="64">
        <v>8.4600000000000009</v>
      </c>
      <c r="E76" s="64">
        <v>4.6399999999999997</v>
      </c>
      <c r="F76" s="64">
        <v>11.45</v>
      </c>
      <c r="G76" s="64">
        <v>17.66</v>
      </c>
      <c r="H76" s="64">
        <v>1.38</v>
      </c>
      <c r="I76" s="64">
        <v>0.61</v>
      </c>
      <c r="J76" s="64">
        <v>0.03</v>
      </c>
      <c r="K76" s="64">
        <v>251.52</v>
      </c>
      <c r="L76" s="64">
        <v>29.17</v>
      </c>
      <c r="M76" s="64">
        <v>81.91</v>
      </c>
      <c r="N76" s="64">
        <v>107.8</v>
      </c>
      <c r="O76" s="64">
        <v>0</v>
      </c>
      <c r="P76" s="64">
        <v>0.25</v>
      </c>
      <c r="Q76" s="64">
        <v>9.49</v>
      </c>
      <c r="R76" s="198"/>
      <c r="S76" s="198"/>
      <c r="T76" s="198"/>
      <c r="U76" s="198"/>
    </row>
    <row r="77" spans="1:21" s="12" customFormat="1" x14ac:dyDescent="0.25">
      <c r="A77" s="212" t="s">
        <v>3099</v>
      </c>
      <c r="B77" s="64">
        <v>7.91</v>
      </c>
      <c r="C77" s="64">
        <v>10.039999999999999</v>
      </c>
      <c r="D77" s="64">
        <v>11.59</v>
      </c>
      <c r="E77" s="64">
        <v>4.87</v>
      </c>
      <c r="F77" s="64">
        <v>8.56</v>
      </c>
      <c r="G77" s="64">
        <v>16.54</v>
      </c>
      <c r="H77" s="64">
        <v>1.38</v>
      </c>
      <c r="I77" s="64">
        <v>0.62</v>
      </c>
      <c r="J77" s="64">
        <v>0.1</v>
      </c>
      <c r="K77" s="64">
        <v>315.10000000000002</v>
      </c>
      <c r="L77" s="64">
        <v>28.82</v>
      </c>
      <c r="M77" s="64">
        <v>88.17</v>
      </c>
      <c r="N77" s="64">
        <v>92.8</v>
      </c>
      <c r="O77" s="64">
        <v>0</v>
      </c>
      <c r="P77" s="64">
        <v>0.34</v>
      </c>
      <c r="Q77" s="64">
        <v>9.48</v>
      </c>
      <c r="R77" s="198"/>
      <c r="S77" s="198"/>
      <c r="T77" s="198"/>
      <c r="U77" s="198"/>
    </row>
    <row r="78" spans="1:21" s="12" customFormat="1" x14ac:dyDescent="0.25">
      <c r="A78" s="212" t="s">
        <v>3100</v>
      </c>
      <c r="B78" s="64">
        <v>9.8800000000000008</v>
      </c>
      <c r="C78" s="64">
        <v>12.31</v>
      </c>
      <c r="D78" s="64">
        <v>14.35</v>
      </c>
      <c r="E78" s="64">
        <v>5.25</v>
      </c>
      <c r="F78" s="64">
        <v>10.09</v>
      </c>
      <c r="G78" s="64">
        <v>15.15</v>
      </c>
      <c r="H78" s="64">
        <v>1.41</v>
      </c>
      <c r="I78" s="64">
        <v>0.63</v>
      </c>
      <c r="J78" s="64">
        <v>0.06</v>
      </c>
      <c r="K78" s="64">
        <v>289.02999999999997</v>
      </c>
      <c r="L78" s="64">
        <v>28.36</v>
      </c>
      <c r="M78" s="64">
        <v>90.89</v>
      </c>
      <c r="N78" s="64">
        <v>74.599999999999994</v>
      </c>
      <c r="O78" s="64">
        <v>0</v>
      </c>
      <c r="P78" s="64">
        <v>0.4</v>
      </c>
      <c r="Q78" s="64">
        <v>9.48</v>
      </c>
      <c r="R78" s="198"/>
      <c r="S78" s="198"/>
      <c r="T78" s="198"/>
      <c r="U78" s="198"/>
    </row>
    <row r="79" spans="1:21" s="12" customFormat="1" x14ac:dyDescent="0.25">
      <c r="A79" s="212" t="s">
        <v>3101</v>
      </c>
      <c r="B79" s="64">
        <v>7.79</v>
      </c>
      <c r="C79" s="64">
        <v>10.88</v>
      </c>
      <c r="D79" s="64">
        <v>11.94</v>
      </c>
      <c r="E79" s="64">
        <v>4.96</v>
      </c>
      <c r="F79" s="64">
        <v>11.19</v>
      </c>
      <c r="G79" s="64">
        <v>15.15</v>
      </c>
      <c r="H79" s="64">
        <v>1.41</v>
      </c>
      <c r="I79" s="64">
        <v>0.64</v>
      </c>
      <c r="J79" s="64">
        <v>0.04</v>
      </c>
      <c r="K79" s="64">
        <v>305.52999999999997</v>
      </c>
      <c r="L79" s="64">
        <v>27.99</v>
      </c>
      <c r="M79" s="64">
        <v>94.22</v>
      </c>
      <c r="N79" s="64">
        <v>57.9</v>
      </c>
      <c r="O79" s="64">
        <v>0</v>
      </c>
      <c r="P79" s="64">
        <v>0.36</v>
      </c>
      <c r="Q79" s="64">
        <v>9.49</v>
      </c>
      <c r="R79" s="198"/>
      <c r="S79" s="198"/>
      <c r="T79" s="198"/>
      <c r="U79" s="198"/>
    </row>
    <row r="80" spans="1:21" s="12" customFormat="1" x14ac:dyDescent="0.25">
      <c r="A80" s="212" t="s">
        <v>3102</v>
      </c>
      <c r="B80" s="64">
        <v>10.029999999999999</v>
      </c>
      <c r="C80" s="64">
        <v>10.52</v>
      </c>
      <c r="D80" s="64">
        <v>13.54</v>
      </c>
      <c r="E80" s="64">
        <v>4.82</v>
      </c>
      <c r="F80" s="64">
        <v>8.25</v>
      </c>
      <c r="G80" s="64">
        <v>15.15</v>
      </c>
      <c r="H80" s="64">
        <v>1.41</v>
      </c>
      <c r="I80" s="64">
        <v>0.67</v>
      </c>
      <c r="J80" s="64">
        <v>7.0000000000000007E-2</v>
      </c>
      <c r="K80" s="64">
        <v>295.27999999999997</v>
      </c>
      <c r="L80" s="64">
        <v>27.72</v>
      </c>
      <c r="M80" s="64">
        <v>95.89</v>
      </c>
      <c r="N80" s="64">
        <v>45</v>
      </c>
      <c r="O80" s="64">
        <v>0</v>
      </c>
      <c r="P80" s="64">
        <v>0.43</v>
      </c>
      <c r="Q80" s="64">
        <v>9.5</v>
      </c>
      <c r="R80" s="198"/>
      <c r="S80" s="198"/>
      <c r="T80" s="198"/>
      <c r="U80" s="198"/>
    </row>
    <row r="81" spans="1:26" s="12" customFormat="1" x14ac:dyDescent="0.25">
      <c r="A81" s="212" t="s">
        <v>3103</v>
      </c>
      <c r="B81" s="64">
        <v>14.04</v>
      </c>
      <c r="C81" s="64">
        <v>15.54</v>
      </c>
      <c r="D81" s="64">
        <v>19.38</v>
      </c>
      <c r="E81" s="64">
        <v>4.95</v>
      </c>
      <c r="F81" s="64">
        <v>7.43</v>
      </c>
      <c r="G81" s="64">
        <v>18.86</v>
      </c>
      <c r="H81" s="64">
        <v>1.41</v>
      </c>
      <c r="I81" s="64">
        <v>0.7</v>
      </c>
      <c r="J81" s="64">
        <v>0.04</v>
      </c>
      <c r="K81" s="64">
        <v>318.31</v>
      </c>
      <c r="L81" s="64">
        <v>27.6</v>
      </c>
      <c r="M81" s="64">
        <v>95.67</v>
      </c>
      <c r="N81" s="64">
        <v>35</v>
      </c>
      <c r="O81" s="64">
        <v>0</v>
      </c>
      <c r="P81" s="64">
        <v>0.68</v>
      </c>
      <c r="Q81" s="64">
        <v>9.5</v>
      </c>
      <c r="R81" s="198"/>
      <c r="S81" s="198"/>
      <c r="T81" s="198"/>
      <c r="U81" s="198"/>
    </row>
    <row r="82" spans="1:26" s="12" customFormat="1" x14ac:dyDescent="0.25">
      <c r="A82" s="212" t="s">
        <v>3104</v>
      </c>
      <c r="B82" s="64">
        <v>5.75</v>
      </c>
      <c r="C82" s="64">
        <v>14.95</v>
      </c>
      <c r="D82" s="64">
        <v>12.42</v>
      </c>
      <c r="E82" s="64">
        <v>5.46</v>
      </c>
      <c r="F82" s="64">
        <v>9.3000000000000007</v>
      </c>
      <c r="G82" s="64">
        <v>23.49</v>
      </c>
      <c r="H82" s="64">
        <v>1.42</v>
      </c>
      <c r="I82" s="64">
        <v>0.72</v>
      </c>
      <c r="J82" s="64">
        <v>0.05</v>
      </c>
      <c r="K82" s="64">
        <v>339.9</v>
      </c>
      <c r="L82" s="64">
        <v>27.4</v>
      </c>
      <c r="M82" s="64">
        <v>95.37</v>
      </c>
      <c r="N82" s="64">
        <v>31.3</v>
      </c>
      <c r="O82" s="64">
        <v>0</v>
      </c>
      <c r="P82" s="64">
        <v>0.45</v>
      </c>
      <c r="Q82" s="64">
        <v>9.5</v>
      </c>
      <c r="R82" s="198"/>
      <c r="S82" s="198"/>
      <c r="T82" s="198"/>
      <c r="U82" s="198"/>
    </row>
    <row r="83" spans="1:26" s="12" customFormat="1" x14ac:dyDescent="0.25">
      <c r="A83" s="212" t="s">
        <v>3105</v>
      </c>
      <c r="B83" s="64">
        <v>5.39</v>
      </c>
      <c r="C83" s="64">
        <v>13.09</v>
      </c>
      <c r="D83" s="64">
        <v>11.16</v>
      </c>
      <c r="E83" s="64">
        <v>5.15</v>
      </c>
      <c r="F83" s="64">
        <v>8.61</v>
      </c>
      <c r="G83" s="64">
        <v>23.49</v>
      </c>
      <c r="H83" s="64">
        <v>1.42</v>
      </c>
      <c r="I83" s="64">
        <v>0.79</v>
      </c>
      <c r="J83" s="64">
        <v>0.03</v>
      </c>
      <c r="K83" s="64">
        <v>202.92</v>
      </c>
      <c r="L83" s="64">
        <v>27.29</v>
      </c>
      <c r="M83" s="64">
        <v>97.02</v>
      </c>
      <c r="N83" s="64">
        <v>30.7</v>
      </c>
      <c r="O83" s="64">
        <v>0</v>
      </c>
      <c r="P83" s="64">
        <v>0.4</v>
      </c>
      <c r="Q83" s="64">
        <v>9.5</v>
      </c>
      <c r="R83" s="198"/>
      <c r="S83" s="198"/>
      <c r="T83" s="198"/>
      <c r="U83" s="198"/>
    </row>
    <row r="84" spans="1:26" s="12" customFormat="1" x14ac:dyDescent="0.25">
      <c r="A84" s="212" t="s">
        <v>3106</v>
      </c>
      <c r="B84" s="64">
        <v>5.66</v>
      </c>
      <c r="C84" s="64">
        <v>15.57</v>
      </c>
      <c r="D84" s="64">
        <v>12.68</v>
      </c>
      <c r="E84" s="64">
        <v>4.95</v>
      </c>
      <c r="F84" s="64">
        <v>8.48</v>
      </c>
      <c r="G84" s="64">
        <v>23.49</v>
      </c>
      <c r="H84" s="64">
        <v>1.42</v>
      </c>
      <c r="I84" s="64">
        <v>0.79</v>
      </c>
      <c r="J84" s="64">
        <v>0.05</v>
      </c>
      <c r="K84" s="64">
        <v>286.31</v>
      </c>
      <c r="L84" s="64">
        <v>27.2</v>
      </c>
      <c r="M84" s="64">
        <v>97.65</v>
      </c>
      <c r="N84" s="64">
        <v>30.7</v>
      </c>
      <c r="O84" s="64">
        <v>0</v>
      </c>
      <c r="P84" s="64">
        <v>0.38</v>
      </c>
      <c r="Q84" s="64">
        <v>9.5</v>
      </c>
      <c r="R84" s="198"/>
      <c r="S84" s="198"/>
      <c r="T84" s="198"/>
      <c r="U84" s="198"/>
    </row>
    <row r="85" spans="1:26" s="12" customFormat="1" x14ac:dyDescent="0.25">
      <c r="A85" s="212" t="s">
        <v>3107</v>
      </c>
      <c r="B85" s="64">
        <v>5.65</v>
      </c>
      <c r="C85" s="64">
        <v>13.59</v>
      </c>
      <c r="D85" s="64">
        <v>11.63</v>
      </c>
      <c r="E85" s="64">
        <v>4.95</v>
      </c>
      <c r="F85" s="64">
        <v>9.18</v>
      </c>
      <c r="G85" s="64">
        <v>22.86</v>
      </c>
      <c r="H85" s="64">
        <v>1.42</v>
      </c>
      <c r="I85" s="64">
        <v>0.8</v>
      </c>
      <c r="J85" s="64">
        <v>7.0000000000000007E-2</v>
      </c>
      <c r="K85" s="64">
        <v>133.85</v>
      </c>
      <c r="L85" s="64">
        <v>27.03</v>
      </c>
      <c r="M85" s="64">
        <v>97.83</v>
      </c>
      <c r="N85" s="64">
        <v>30.7</v>
      </c>
      <c r="O85" s="64">
        <v>0</v>
      </c>
      <c r="P85" s="64">
        <v>0.37</v>
      </c>
      <c r="Q85" s="64">
        <v>9.5</v>
      </c>
      <c r="R85" s="198"/>
      <c r="S85" s="198"/>
      <c r="T85" s="198"/>
      <c r="U85" s="198"/>
    </row>
    <row r="86" spans="1:26" s="12" customFormat="1" x14ac:dyDescent="0.25">
      <c r="A86" s="212" t="s">
        <v>3108</v>
      </c>
      <c r="B86" s="64">
        <v>6.73</v>
      </c>
      <c r="C86" s="64">
        <v>16.170000000000002</v>
      </c>
      <c r="D86" s="64">
        <v>13.85</v>
      </c>
      <c r="E86" s="64">
        <v>5.14</v>
      </c>
      <c r="F86" s="64">
        <v>8.2100000000000009</v>
      </c>
      <c r="G86" s="64">
        <v>22.07</v>
      </c>
      <c r="H86" s="64">
        <v>1.4</v>
      </c>
      <c r="I86" s="64">
        <v>0.85</v>
      </c>
      <c r="J86" s="64">
        <v>0.27</v>
      </c>
      <c r="K86" s="64">
        <v>127.4</v>
      </c>
      <c r="L86" s="64">
        <v>26.97</v>
      </c>
      <c r="M86" s="64">
        <v>97.86</v>
      </c>
      <c r="N86" s="64">
        <v>30.6</v>
      </c>
      <c r="O86" s="64">
        <v>0</v>
      </c>
      <c r="P86" s="64">
        <v>0.31</v>
      </c>
      <c r="Q86" s="64">
        <v>9.5</v>
      </c>
      <c r="R86" s="198"/>
      <c r="S86" s="198"/>
      <c r="T86" s="198"/>
      <c r="U86" s="198"/>
    </row>
    <row r="87" spans="1:26" s="12" customFormat="1" x14ac:dyDescent="0.25">
      <c r="A87" s="212" t="s">
        <v>3109</v>
      </c>
      <c r="B87" s="64">
        <v>5.27</v>
      </c>
      <c r="C87" s="64">
        <v>12.14</v>
      </c>
      <c r="D87" s="64">
        <v>10.57</v>
      </c>
      <c r="E87" s="64">
        <v>5.14</v>
      </c>
      <c r="F87" s="64">
        <v>8.93</v>
      </c>
      <c r="G87" s="64">
        <v>22.07</v>
      </c>
      <c r="H87" s="64">
        <v>1.4</v>
      </c>
      <c r="I87" s="64">
        <v>0.87</v>
      </c>
      <c r="J87" s="64">
        <v>0.02</v>
      </c>
      <c r="K87" s="64">
        <v>145.97</v>
      </c>
      <c r="L87" s="64">
        <v>26.86</v>
      </c>
      <c r="M87" s="64">
        <v>97.88</v>
      </c>
      <c r="N87" s="64">
        <v>30.7</v>
      </c>
      <c r="O87" s="64">
        <v>0</v>
      </c>
      <c r="P87" s="64">
        <v>0.25</v>
      </c>
      <c r="Q87" s="64">
        <v>9.5</v>
      </c>
      <c r="R87" s="198"/>
      <c r="S87" s="198"/>
      <c r="T87" s="198"/>
      <c r="U87" s="198"/>
    </row>
    <row r="88" spans="1:26" s="12" customFormat="1" x14ac:dyDescent="0.25">
      <c r="A88" s="212" t="s">
        <v>3110</v>
      </c>
      <c r="B88" s="64">
        <v>4.78</v>
      </c>
      <c r="C88" s="64">
        <v>11.71</v>
      </c>
      <c r="D88" s="64">
        <v>9.9499999999999993</v>
      </c>
      <c r="E88" s="64">
        <v>5.32</v>
      </c>
      <c r="F88" s="64">
        <v>8.93</v>
      </c>
      <c r="G88" s="64">
        <v>22.07</v>
      </c>
      <c r="H88" s="64">
        <v>1.4</v>
      </c>
      <c r="I88" s="64">
        <v>0.89</v>
      </c>
      <c r="J88" s="64">
        <v>0.05</v>
      </c>
      <c r="K88" s="64">
        <v>193.6</v>
      </c>
      <c r="L88" s="64">
        <v>26.77</v>
      </c>
      <c r="M88" s="64">
        <v>97.9</v>
      </c>
      <c r="N88" s="64">
        <v>30.5</v>
      </c>
      <c r="O88" s="64">
        <v>0</v>
      </c>
      <c r="P88" s="64">
        <v>0.28000000000000003</v>
      </c>
      <c r="Q88" s="64">
        <v>9.5</v>
      </c>
      <c r="R88" s="198"/>
      <c r="S88" s="198"/>
      <c r="T88" s="198"/>
      <c r="U88" s="198"/>
    </row>
    <row r="89" spans="1:26" s="12" customFormat="1" x14ac:dyDescent="0.25">
      <c r="A89" s="212" t="s">
        <v>3111</v>
      </c>
      <c r="B89" s="64">
        <v>4.13</v>
      </c>
      <c r="C89" s="64">
        <v>12.75</v>
      </c>
      <c r="D89" s="64">
        <v>9.9700000000000006</v>
      </c>
      <c r="E89" s="64">
        <v>5.13</v>
      </c>
      <c r="F89" s="64">
        <v>9.2799999999999994</v>
      </c>
      <c r="G89" s="64">
        <v>24.73</v>
      </c>
      <c r="H89" s="64">
        <v>1.52</v>
      </c>
      <c r="I89" s="64">
        <v>0.9</v>
      </c>
      <c r="J89" s="64">
        <v>0</v>
      </c>
      <c r="K89" s="64">
        <v>35.19</v>
      </c>
      <c r="L89" s="64">
        <v>26.85</v>
      </c>
      <c r="M89" s="64">
        <v>97.89</v>
      </c>
      <c r="N89" s="64">
        <v>30.6</v>
      </c>
      <c r="O89" s="64">
        <v>0</v>
      </c>
      <c r="P89" s="64">
        <v>0.35</v>
      </c>
      <c r="Q89" s="64">
        <v>9.5</v>
      </c>
      <c r="R89" s="198"/>
      <c r="S89" s="198"/>
      <c r="T89" s="198"/>
      <c r="U89" s="198"/>
    </row>
    <row r="90" spans="1:26" s="12" customFormat="1" x14ac:dyDescent="0.25">
      <c r="A90" s="212" t="s">
        <v>3112</v>
      </c>
      <c r="B90" s="64">
        <v>8.4700000000000006</v>
      </c>
      <c r="C90" s="64">
        <v>12.59</v>
      </c>
      <c r="D90" s="64">
        <v>13.35</v>
      </c>
      <c r="E90" s="64">
        <v>5.13</v>
      </c>
      <c r="F90" s="64">
        <v>7.63</v>
      </c>
      <c r="G90" s="64">
        <v>28.04</v>
      </c>
      <c r="H90" s="64">
        <v>1.6</v>
      </c>
      <c r="I90" s="64">
        <v>0.85</v>
      </c>
      <c r="J90" s="64">
        <v>0.04</v>
      </c>
      <c r="K90" s="64">
        <v>258.88</v>
      </c>
      <c r="L90" s="64">
        <v>26.91</v>
      </c>
      <c r="M90" s="64">
        <v>97.9</v>
      </c>
      <c r="N90" s="64">
        <v>30.6</v>
      </c>
      <c r="O90" s="64">
        <v>0</v>
      </c>
      <c r="P90" s="64">
        <v>0.51</v>
      </c>
      <c r="Q90" s="64">
        <v>9.5</v>
      </c>
      <c r="R90" s="198"/>
      <c r="S90" s="198"/>
      <c r="T90" s="198"/>
      <c r="U90" s="198"/>
    </row>
    <row r="91" spans="1:26" s="12" customFormat="1" x14ac:dyDescent="0.25">
      <c r="A91" s="212" t="s">
        <v>3113</v>
      </c>
      <c r="B91" s="64">
        <v>5.42</v>
      </c>
      <c r="C91" s="64">
        <v>10.63</v>
      </c>
      <c r="D91" s="64">
        <v>9.9</v>
      </c>
      <c r="E91" s="64">
        <v>5.12</v>
      </c>
      <c r="F91" s="64">
        <v>7.17</v>
      </c>
      <c r="G91" s="64">
        <v>28.04</v>
      </c>
      <c r="H91" s="64">
        <v>1.6</v>
      </c>
      <c r="I91" s="64">
        <v>0.87</v>
      </c>
      <c r="J91" s="64">
        <v>0.05</v>
      </c>
      <c r="K91" s="64">
        <v>340.18</v>
      </c>
      <c r="L91" s="64">
        <v>26.92</v>
      </c>
      <c r="M91" s="64">
        <v>97.91</v>
      </c>
      <c r="N91" s="64">
        <v>30.7</v>
      </c>
      <c r="O91" s="64">
        <v>0</v>
      </c>
      <c r="P91" s="64">
        <v>0.36</v>
      </c>
      <c r="Q91" s="64">
        <v>9.52</v>
      </c>
      <c r="R91" s="198"/>
      <c r="S91" s="198"/>
      <c r="T91" s="198"/>
      <c r="U91" s="198"/>
    </row>
    <row r="92" spans="1:26" s="12" customFormat="1" x14ac:dyDescent="0.25">
      <c r="A92" s="212" t="s">
        <v>3114</v>
      </c>
      <c r="B92" s="64">
        <v>10.18</v>
      </c>
      <c r="C92" s="64">
        <v>10.37</v>
      </c>
      <c r="D92" s="64">
        <v>13.58</v>
      </c>
      <c r="E92" s="64">
        <v>5.03</v>
      </c>
      <c r="F92" s="64">
        <v>6.33</v>
      </c>
      <c r="G92" s="64">
        <v>28.04</v>
      </c>
      <c r="H92" s="64">
        <v>1.6</v>
      </c>
      <c r="I92" s="64">
        <v>0.94</v>
      </c>
      <c r="J92" s="64">
        <v>7.0000000000000007E-2</v>
      </c>
      <c r="K92" s="64">
        <v>345.38</v>
      </c>
      <c r="L92" s="64">
        <v>26.75</v>
      </c>
      <c r="M92" s="64">
        <v>97.94</v>
      </c>
      <c r="N92" s="64">
        <v>30.1</v>
      </c>
      <c r="O92" s="64">
        <v>0</v>
      </c>
      <c r="P92" s="64">
        <v>0.44</v>
      </c>
      <c r="Q92" s="64">
        <v>9.52</v>
      </c>
      <c r="R92" s="198"/>
      <c r="S92" s="198"/>
      <c r="T92" s="198"/>
      <c r="U92" s="198"/>
    </row>
    <row r="93" spans="1:26" s="12" customFormat="1" x14ac:dyDescent="0.25">
      <c r="A93" s="212" t="s">
        <v>3115</v>
      </c>
      <c r="B93" s="64">
        <v>10.08</v>
      </c>
      <c r="C93" s="64">
        <v>14.82</v>
      </c>
      <c r="D93" s="64">
        <v>15.83</v>
      </c>
      <c r="E93" s="64">
        <v>4.8499999999999996</v>
      </c>
      <c r="F93" s="64">
        <v>5.88</v>
      </c>
      <c r="G93" s="64">
        <v>33.549999999999997</v>
      </c>
      <c r="H93" s="64">
        <v>1.62</v>
      </c>
      <c r="I93" s="64">
        <v>0.92</v>
      </c>
      <c r="J93" s="64">
        <v>0.11</v>
      </c>
      <c r="K93" s="64">
        <v>323.22000000000003</v>
      </c>
      <c r="L93" s="64">
        <v>26.75</v>
      </c>
      <c r="M93" s="64">
        <v>97.94</v>
      </c>
      <c r="N93" s="64">
        <v>30.3</v>
      </c>
      <c r="O93" s="64">
        <v>0</v>
      </c>
      <c r="P93" s="64">
        <v>0.56000000000000005</v>
      </c>
      <c r="Q93" s="64">
        <v>9.5299999999999994</v>
      </c>
      <c r="R93" s="198"/>
      <c r="S93" s="198"/>
      <c r="T93" s="198"/>
      <c r="U93" s="198"/>
    </row>
    <row r="94" spans="1:26" s="12" customFormat="1" x14ac:dyDescent="0.25">
      <c r="A94" s="212" t="s">
        <v>3116</v>
      </c>
      <c r="B94" s="64">
        <v>8.67</v>
      </c>
      <c r="C94" s="64">
        <v>11.1</v>
      </c>
      <c r="D94" s="64">
        <v>12.76</v>
      </c>
      <c r="E94" s="64">
        <v>4.93</v>
      </c>
      <c r="F94" s="64">
        <v>7.61</v>
      </c>
      <c r="G94" s="64">
        <v>40.43</v>
      </c>
      <c r="H94" s="64">
        <v>1.7</v>
      </c>
      <c r="I94" s="64">
        <v>0.98</v>
      </c>
      <c r="J94" s="64">
        <v>0.13</v>
      </c>
      <c r="K94" s="64">
        <v>331.49</v>
      </c>
      <c r="L94" s="64">
        <v>26.67</v>
      </c>
      <c r="M94" s="64">
        <v>97.9</v>
      </c>
      <c r="N94" s="64">
        <v>30.6</v>
      </c>
      <c r="O94" s="64">
        <v>0</v>
      </c>
      <c r="P94" s="64">
        <v>0.4</v>
      </c>
      <c r="Q94" s="64">
        <v>9.5399999999999991</v>
      </c>
      <c r="R94" s="198"/>
      <c r="S94" s="198"/>
      <c r="T94" s="198"/>
      <c r="U94" s="198"/>
    </row>
    <row r="95" spans="1:26" s="12" customFormat="1" x14ac:dyDescent="0.25">
      <c r="A95" s="212" t="s">
        <v>3117</v>
      </c>
      <c r="B95" s="64">
        <v>8.08</v>
      </c>
      <c r="C95" s="64">
        <v>10.86</v>
      </c>
      <c r="D95" s="64">
        <v>12.15</v>
      </c>
      <c r="E95" s="64">
        <v>5.14</v>
      </c>
      <c r="F95" s="64">
        <v>9.17</v>
      </c>
      <c r="G95" s="64">
        <v>40.43</v>
      </c>
      <c r="H95" s="64">
        <v>1.7</v>
      </c>
      <c r="I95" s="64">
        <v>1.0900000000000001</v>
      </c>
      <c r="J95" s="64">
        <v>0.08</v>
      </c>
      <c r="K95" s="64">
        <v>321.73</v>
      </c>
      <c r="L95" s="64">
        <v>26.6</v>
      </c>
      <c r="M95" s="64">
        <v>97.9</v>
      </c>
      <c r="N95" s="64">
        <v>30.8</v>
      </c>
      <c r="O95" s="64">
        <v>0</v>
      </c>
      <c r="P95" s="64">
        <v>0.42</v>
      </c>
      <c r="Q95" s="64">
        <v>9.5500000000000007</v>
      </c>
      <c r="R95" s="198"/>
      <c r="S95" s="198"/>
      <c r="T95" s="198"/>
      <c r="U95" s="198"/>
    </row>
    <row r="96" spans="1:26" s="12" customFormat="1" x14ac:dyDescent="0.25">
      <c r="A96" s="212" t="s">
        <v>3118</v>
      </c>
      <c r="B96" s="64">
        <v>6.34</v>
      </c>
      <c r="C96" s="64">
        <v>11.47</v>
      </c>
      <c r="D96" s="64">
        <v>11.08</v>
      </c>
      <c r="E96" s="64">
        <v>5.18</v>
      </c>
      <c r="F96" s="64">
        <v>9.89</v>
      </c>
      <c r="G96" s="64">
        <v>40.43</v>
      </c>
      <c r="H96" s="64">
        <v>1.7</v>
      </c>
      <c r="I96" s="64">
        <v>1.1399999999999999</v>
      </c>
      <c r="J96" s="64">
        <v>0.03</v>
      </c>
      <c r="K96" s="64">
        <v>302.11</v>
      </c>
      <c r="L96" s="64">
        <v>26.43</v>
      </c>
      <c r="M96" s="64">
        <v>97.9</v>
      </c>
      <c r="N96" s="64">
        <v>31</v>
      </c>
      <c r="O96" s="64">
        <v>0</v>
      </c>
      <c r="P96" s="64">
        <v>0.31</v>
      </c>
      <c r="Q96" s="64">
        <v>9.56</v>
      </c>
      <c r="R96" s="198"/>
      <c r="S96" s="198"/>
      <c r="T96" s="211"/>
      <c r="U96" s="198"/>
      <c r="Z96" s="109"/>
    </row>
    <row r="97" spans="1:33" s="12" customFormat="1" x14ac:dyDescent="0.25">
      <c r="A97" s="212" t="s">
        <v>3119</v>
      </c>
      <c r="B97" s="64">
        <v>5.78</v>
      </c>
      <c r="C97" s="64">
        <v>10.25</v>
      </c>
      <c r="D97" s="64">
        <v>9.99</v>
      </c>
      <c r="E97" s="64">
        <v>5.32</v>
      </c>
      <c r="F97" s="64">
        <v>8.81</v>
      </c>
      <c r="G97" s="64">
        <v>39.17</v>
      </c>
      <c r="H97" s="64">
        <v>1.69</v>
      </c>
      <c r="I97" s="64">
        <v>1.08</v>
      </c>
      <c r="J97" s="64">
        <v>0.16</v>
      </c>
      <c r="K97" s="64">
        <v>141.47999999999999</v>
      </c>
      <c r="L97" s="64">
        <v>26.22</v>
      </c>
      <c r="M97" s="64">
        <v>97.94</v>
      </c>
      <c r="N97" s="64">
        <v>30.9</v>
      </c>
      <c r="O97" s="64">
        <v>0</v>
      </c>
      <c r="P97" s="64">
        <v>0.25</v>
      </c>
      <c r="Q97" s="64">
        <v>9.5500000000000007</v>
      </c>
      <c r="R97" s="198"/>
      <c r="S97" s="198"/>
      <c r="T97" s="198"/>
      <c r="U97" s="198"/>
    </row>
    <row r="98" spans="1:33" s="12" customFormat="1" x14ac:dyDescent="0.25">
      <c r="A98" s="212" t="s">
        <v>3120</v>
      </c>
      <c r="B98" s="64">
        <v>5.8</v>
      </c>
      <c r="C98" s="64">
        <v>10.07</v>
      </c>
      <c r="D98" s="64">
        <v>9.91</v>
      </c>
      <c r="E98" s="64">
        <v>5.15</v>
      </c>
      <c r="F98" s="64">
        <v>6.96</v>
      </c>
      <c r="G98" s="64">
        <v>37.590000000000003</v>
      </c>
      <c r="H98" s="64">
        <v>1.65</v>
      </c>
      <c r="I98" s="64">
        <v>1.0900000000000001</v>
      </c>
      <c r="J98" s="64">
        <v>0.59</v>
      </c>
      <c r="K98" s="64">
        <v>138.69</v>
      </c>
      <c r="L98" s="64">
        <v>25.83</v>
      </c>
      <c r="M98" s="64">
        <v>97.96</v>
      </c>
      <c r="N98" s="64">
        <v>31.4</v>
      </c>
      <c r="O98" s="64">
        <v>0</v>
      </c>
      <c r="P98" s="64">
        <v>0.25</v>
      </c>
      <c r="Q98" s="64">
        <v>9.5500000000000007</v>
      </c>
      <c r="R98" s="198"/>
      <c r="S98" s="198"/>
      <c r="T98" s="198"/>
      <c r="U98" s="198"/>
    </row>
    <row r="99" spans="1:33" s="12" customFormat="1" x14ac:dyDescent="0.25">
      <c r="A99" s="212" t="s">
        <v>3121</v>
      </c>
      <c r="B99" s="64">
        <v>6.46</v>
      </c>
      <c r="C99" s="64">
        <v>8.0399999999999991</v>
      </c>
      <c r="D99" s="64">
        <v>9.3800000000000008</v>
      </c>
      <c r="E99" s="64">
        <v>4.9800000000000004</v>
      </c>
      <c r="F99" s="64">
        <v>8.58</v>
      </c>
      <c r="G99" s="64">
        <v>37.590000000000003</v>
      </c>
      <c r="H99" s="64">
        <v>1.65</v>
      </c>
      <c r="I99" s="64">
        <v>1.1499999999999999</v>
      </c>
      <c r="J99" s="64">
        <v>0.59</v>
      </c>
      <c r="K99" s="64">
        <v>155.76</v>
      </c>
      <c r="L99" s="64">
        <v>25.26</v>
      </c>
      <c r="M99" s="64">
        <v>97.93</v>
      </c>
      <c r="N99" s="64">
        <v>31.5</v>
      </c>
      <c r="O99" s="64">
        <v>0</v>
      </c>
      <c r="P99" s="64">
        <v>0.27</v>
      </c>
      <c r="Q99" s="64">
        <v>9.5299999999999994</v>
      </c>
      <c r="R99" s="198"/>
      <c r="S99" s="198"/>
      <c r="T99" s="198"/>
      <c r="U99" s="198"/>
    </row>
    <row r="100" spans="1:33" s="12" customFormat="1" x14ac:dyDescent="0.25">
      <c r="A100" s="212" t="s">
        <v>3122</v>
      </c>
      <c r="B100" s="64">
        <v>6.4</v>
      </c>
      <c r="C100" s="64">
        <v>7.11</v>
      </c>
      <c r="D100" s="64">
        <v>8.85</v>
      </c>
      <c r="E100" s="64">
        <v>4.88</v>
      </c>
      <c r="F100" s="64">
        <v>6.59</v>
      </c>
      <c r="G100" s="64">
        <v>37.590000000000003</v>
      </c>
      <c r="H100" s="64">
        <v>1.65</v>
      </c>
      <c r="I100" s="64">
        <v>1.1299999999999999</v>
      </c>
      <c r="J100" s="64">
        <v>0.88</v>
      </c>
      <c r="K100" s="64">
        <v>133.97</v>
      </c>
      <c r="L100" s="64">
        <v>25.05</v>
      </c>
      <c r="M100" s="64">
        <v>97.93</v>
      </c>
      <c r="N100" s="64">
        <v>31</v>
      </c>
      <c r="O100" s="64">
        <v>0</v>
      </c>
      <c r="P100" s="64">
        <v>0.28000000000000003</v>
      </c>
      <c r="Q100" s="64">
        <v>9.52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2" t="s">
        <v>3123</v>
      </c>
      <c r="B101" s="64">
        <v>5.49</v>
      </c>
      <c r="C101" s="64">
        <v>6.62</v>
      </c>
      <c r="D101" s="64">
        <v>7.87</v>
      </c>
      <c r="E101" s="64">
        <v>4.95</v>
      </c>
      <c r="F101" s="64">
        <v>10.82</v>
      </c>
      <c r="G101" s="64">
        <v>34.06</v>
      </c>
      <c r="H101" s="64">
        <v>1.7</v>
      </c>
      <c r="I101" s="64">
        <v>1.1100000000000001</v>
      </c>
      <c r="J101" s="64">
        <v>0.78</v>
      </c>
      <c r="K101" s="64">
        <v>139.43</v>
      </c>
      <c r="L101" s="64">
        <v>25</v>
      </c>
      <c r="M101" s="64">
        <v>97.93</v>
      </c>
      <c r="N101" s="64">
        <v>31.1</v>
      </c>
      <c r="O101" s="64">
        <v>0</v>
      </c>
      <c r="P101" s="64">
        <v>0.21</v>
      </c>
      <c r="Q101" s="64">
        <v>9.52</v>
      </c>
      <c r="R101" s="198"/>
      <c r="S101" s="198"/>
      <c r="T101" s="198"/>
      <c r="U101" s="198"/>
    </row>
    <row r="102" spans="1:33" s="12" customFormat="1" x14ac:dyDescent="0.25">
      <c r="A102" s="212" t="s">
        <v>3124</v>
      </c>
      <c r="B102" s="64">
        <v>5.84</v>
      </c>
      <c r="C102" s="64">
        <v>6.57</v>
      </c>
      <c r="D102" s="64">
        <v>8.1199999999999992</v>
      </c>
      <c r="E102" s="64">
        <v>4.8499999999999996</v>
      </c>
      <c r="F102" s="64">
        <v>8.3699999999999992</v>
      </c>
      <c r="G102" s="64">
        <v>29.64</v>
      </c>
      <c r="H102" s="64">
        <v>1.91</v>
      </c>
      <c r="I102" s="64">
        <v>1.0900000000000001</v>
      </c>
      <c r="J102" s="64">
        <v>0.66</v>
      </c>
      <c r="K102" s="64">
        <v>132.46</v>
      </c>
      <c r="L102" s="64">
        <v>24.79</v>
      </c>
      <c r="M102" s="64">
        <v>97.96</v>
      </c>
      <c r="N102" s="64">
        <v>30.7</v>
      </c>
      <c r="O102" s="64">
        <v>0</v>
      </c>
      <c r="P102" s="64">
        <v>0.24</v>
      </c>
      <c r="Q102" s="64">
        <v>9.51</v>
      </c>
      <c r="R102" s="198"/>
      <c r="S102" s="198"/>
      <c r="T102" s="198"/>
      <c r="U102" s="198"/>
    </row>
    <row r="103" spans="1:33" s="12" customFormat="1" x14ac:dyDescent="0.25">
      <c r="A103" s="212" t="s">
        <v>3125</v>
      </c>
      <c r="B103" s="64">
        <v>5.1100000000000003</v>
      </c>
      <c r="C103" s="64">
        <v>7.04</v>
      </c>
      <c r="D103" s="64">
        <v>7.78</v>
      </c>
      <c r="E103" s="64">
        <v>5.03</v>
      </c>
      <c r="F103" s="64">
        <v>10.25</v>
      </c>
      <c r="G103" s="64">
        <v>29.64</v>
      </c>
      <c r="H103" s="64">
        <v>1.91</v>
      </c>
      <c r="I103" s="64">
        <v>1.01</v>
      </c>
      <c r="J103" s="64">
        <v>0.17</v>
      </c>
      <c r="K103" s="64">
        <v>128.71</v>
      </c>
      <c r="L103" s="64">
        <v>24.55</v>
      </c>
      <c r="M103" s="64">
        <v>97.96</v>
      </c>
      <c r="N103" s="64">
        <v>30.6</v>
      </c>
      <c r="O103" s="64">
        <v>0</v>
      </c>
      <c r="P103" s="64">
        <v>0.18</v>
      </c>
      <c r="Q103" s="64">
        <v>9.5</v>
      </c>
      <c r="R103" s="198"/>
      <c r="S103" s="198"/>
      <c r="T103" s="198"/>
      <c r="U103" s="198"/>
    </row>
    <row r="104" spans="1:33" s="12" customFormat="1" x14ac:dyDescent="0.25">
      <c r="A104" s="212" t="s">
        <v>3126</v>
      </c>
      <c r="B104" s="64">
        <v>4.7699999999999996</v>
      </c>
      <c r="C104" s="64">
        <v>7.42</v>
      </c>
      <c r="D104" s="64">
        <v>7.7</v>
      </c>
      <c r="E104" s="64">
        <v>5.4</v>
      </c>
      <c r="F104" s="64">
        <v>9.66</v>
      </c>
      <c r="G104" s="64">
        <v>29.64</v>
      </c>
      <c r="H104" s="64">
        <v>1.91</v>
      </c>
      <c r="I104" s="64">
        <v>1</v>
      </c>
      <c r="J104" s="64">
        <v>0.61</v>
      </c>
      <c r="K104" s="64">
        <v>142.03</v>
      </c>
      <c r="L104" s="64">
        <v>24.46</v>
      </c>
      <c r="M104" s="64">
        <v>98.02</v>
      </c>
      <c r="N104" s="64">
        <v>30.7</v>
      </c>
      <c r="O104" s="64">
        <v>0</v>
      </c>
      <c r="P104" s="64">
        <v>0.17</v>
      </c>
      <c r="Q104" s="64">
        <v>9.49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4.13</v>
      </c>
      <c r="C106" s="67">
        <f>MIN(C9:C104)</f>
        <v>5.3</v>
      </c>
      <c r="D106" s="67">
        <f t="shared" ref="D106:Q106" si="0">MIN(D9:D104)</f>
        <v>7.19</v>
      </c>
      <c r="E106" s="67">
        <f t="shared" si="0"/>
        <v>4.13</v>
      </c>
      <c r="F106" s="67">
        <f t="shared" si="0"/>
        <v>4.1900000000000004</v>
      </c>
      <c r="G106" s="67">
        <f t="shared" si="0"/>
        <v>8.7799999999999994</v>
      </c>
      <c r="H106" s="67">
        <f t="shared" si="0"/>
        <v>1.3</v>
      </c>
      <c r="I106" s="67">
        <f t="shared" si="0"/>
        <v>0.61</v>
      </c>
      <c r="J106" s="67">
        <f t="shared" si="0"/>
        <v>0</v>
      </c>
      <c r="K106" s="67">
        <f t="shared" si="0"/>
        <v>35.19</v>
      </c>
      <c r="L106" s="67">
        <f t="shared" si="0"/>
        <v>23.99</v>
      </c>
      <c r="M106" s="67">
        <f t="shared" si="0"/>
        <v>73.540000000000006</v>
      </c>
      <c r="N106" s="67">
        <f t="shared" si="0"/>
        <v>30.1</v>
      </c>
      <c r="O106" s="67">
        <f t="shared" si="0"/>
        <v>0</v>
      </c>
      <c r="P106" s="67">
        <f t="shared" si="0"/>
        <v>0.17</v>
      </c>
      <c r="Q106" s="67">
        <f t="shared" si="0"/>
        <v>9.44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14.04</v>
      </c>
      <c r="C107" s="66">
        <f t="shared" ref="C107:Q107" si="1">MAX(C9:C104)</f>
        <v>16.170000000000002</v>
      </c>
      <c r="D107" s="66">
        <f t="shared" si="1"/>
        <v>19.38</v>
      </c>
      <c r="E107" s="66">
        <f t="shared" si="1"/>
        <v>5.46</v>
      </c>
      <c r="F107" s="66">
        <f t="shared" si="1"/>
        <v>12.49</v>
      </c>
      <c r="G107" s="66">
        <f t="shared" si="1"/>
        <v>40.43</v>
      </c>
      <c r="H107" s="66">
        <f t="shared" si="1"/>
        <v>1.91</v>
      </c>
      <c r="I107" s="66">
        <f t="shared" si="1"/>
        <v>1.3</v>
      </c>
      <c r="J107" s="66">
        <f t="shared" si="1"/>
        <v>1.32</v>
      </c>
      <c r="K107" s="66">
        <f t="shared" si="1"/>
        <v>345.38</v>
      </c>
      <c r="L107" s="66">
        <f t="shared" si="1"/>
        <v>30.66</v>
      </c>
      <c r="M107" s="66">
        <f t="shared" si="1"/>
        <v>98.3</v>
      </c>
      <c r="N107" s="66">
        <f t="shared" si="1"/>
        <v>1019</v>
      </c>
      <c r="O107" s="66">
        <f t="shared" si="1"/>
        <v>0</v>
      </c>
      <c r="P107" s="66">
        <f t="shared" si="1"/>
        <v>0.68</v>
      </c>
      <c r="Q107" s="66">
        <f t="shared" si="1"/>
        <v>9.64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6.944062500000002</v>
      </c>
      <c r="C108" s="67">
        <f t="shared" ref="C108:Q108" si="2">AVERAGE(C9:C104)</f>
        <v>8.5500000000000025</v>
      </c>
      <c r="D108" s="67">
        <f t="shared" si="2"/>
        <v>10.036145833333336</v>
      </c>
      <c r="E108" s="67">
        <f t="shared" si="2"/>
        <v>4.642604166666664</v>
      </c>
      <c r="F108" s="67">
        <f t="shared" si="2"/>
        <v>8.0247916666666672</v>
      </c>
      <c r="G108" s="67">
        <f t="shared" si="2"/>
        <v>20.11791666666667</v>
      </c>
      <c r="H108" s="67">
        <f t="shared" si="2"/>
        <v>1.4420833333333325</v>
      </c>
      <c r="I108" s="67">
        <f t="shared" si="2"/>
        <v>0.90000000000000047</v>
      </c>
      <c r="J108" s="67">
        <f t="shared" si="2"/>
        <v>0.3671875</v>
      </c>
      <c r="K108" s="67">
        <f t="shared" si="2"/>
        <v>175.44708333333327</v>
      </c>
      <c r="L108" s="67">
        <f t="shared" si="2"/>
        <v>26.864062500000003</v>
      </c>
      <c r="M108" s="67">
        <f t="shared" si="2"/>
        <v>92.125624999999957</v>
      </c>
      <c r="N108" s="67">
        <f t="shared" si="2"/>
        <v>199.05104166666663</v>
      </c>
      <c r="O108" s="67">
        <f t="shared" si="2"/>
        <v>0</v>
      </c>
      <c r="P108" s="67">
        <f t="shared" si="2"/>
        <v>0.28624999999999989</v>
      </c>
      <c r="Q108" s="67">
        <f t="shared" si="2"/>
        <v>9.5426041666666688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1.622719340862889</v>
      </c>
      <c r="C109" s="67">
        <f t="shared" ref="C109:Q109" si="3">STDEV(C9:C104)</f>
        <v>2.4904656085496164</v>
      </c>
      <c r="D109" s="67">
        <f t="shared" si="3"/>
        <v>2.0111868032224436</v>
      </c>
      <c r="E109" s="67">
        <f t="shared" si="3"/>
        <v>0.34411823179852058</v>
      </c>
      <c r="F109" s="67">
        <f t="shared" si="3"/>
        <v>1.9023973679581345</v>
      </c>
      <c r="G109" s="67">
        <f t="shared" si="3"/>
        <v>7.1908927659873925</v>
      </c>
      <c r="H109" s="67">
        <f t="shared" si="3"/>
        <v>0.1302945381306011</v>
      </c>
      <c r="I109" s="67">
        <f t="shared" si="3"/>
        <v>0.16079408211157623</v>
      </c>
      <c r="J109" s="67">
        <f t="shared" si="3"/>
        <v>0.33647617613326375</v>
      </c>
      <c r="K109" s="67">
        <f t="shared" si="3"/>
        <v>66.167064201819628</v>
      </c>
      <c r="L109" s="67">
        <f t="shared" si="3"/>
        <v>2.2184302549443902</v>
      </c>
      <c r="M109" s="67">
        <f t="shared" si="3"/>
        <v>8.3288385255214656</v>
      </c>
      <c r="N109" s="67">
        <f t="shared" si="3"/>
        <v>250.48810960110481</v>
      </c>
      <c r="O109" s="67">
        <f t="shared" si="3"/>
        <v>0</v>
      </c>
      <c r="P109" s="67">
        <f t="shared" si="3"/>
        <v>7.8031707455502655E-2</v>
      </c>
      <c r="Q109" s="67">
        <f t="shared" si="3"/>
        <v>5.8548132095992779E-2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216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selection activeCell="G123" sqref="G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31/08/2025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224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2" t="s">
        <v>3127</v>
      </c>
      <c r="B9" s="64">
        <v>4.79</v>
      </c>
      <c r="C9" s="64">
        <v>6.77</v>
      </c>
      <c r="D9" s="64">
        <v>7.38</v>
      </c>
      <c r="E9" s="64">
        <v>5.25</v>
      </c>
      <c r="F9" s="64">
        <v>9.69</v>
      </c>
      <c r="G9" s="64">
        <v>27.46</v>
      </c>
      <c r="H9" s="64">
        <v>1.86</v>
      </c>
      <c r="I9" s="64">
        <v>1.03</v>
      </c>
      <c r="J9" s="64">
        <v>0.77</v>
      </c>
      <c r="K9" s="64">
        <v>136.99</v>
      </c>
      <c r="L9" s="64">
        <v>24.45</v>
      </c>
      <c r="M9" s="64">
        <v>98.03</v>
      </c>
      <c r="N9" s="64">
        <v>30.6</v>
      </c>
      <c r="O9" s="64">
        <v>0</v>
      </c>
      <c r="P9" s="64">
        <v>0.19</v>
      </c>
      <c r="Q9" s="64">
        <v>9.5</v>
      </c>
      <c r="R9" s="198"/>
      <c r="S9" s="198"/>
      <c r="T9" s="198"/>
      <c r="U9" s="198"/>
    </row>
    <row r="10" spans="1:21" s="12" customFormat="1" x14ac:dyDescent="0.25">
      <c r="A10" s="212" t="s">
        <v>3128</v>
      </c>
      <c r="B10" s="64">
        <v>6.09</v>
      </c>
      <c r="C10" s="64">
        <v>7.27</v>
      </c>
      <c r="D10" s="64">
        <v>8.68</v>
      </c>
      <c r="E10" s="64">
        <v>5.47</v>
      </c>
      <c r="F10" s="64">
        <v>7.95</v>
      </c>
      <c r="G10" s="64">
        <v>24.86</v>
      </c>
      <c r="H10" s="64">
        <v>1.82</v>
      </c>
      <c r="I10" s="64">
        <v>0.95</v>
      </c>
      <c r="J10" s="64">
        <v>0.01</v>
      </c>
      <c r="K10" s="64">
        <v>268.36</v>
      </c>
      <c r="L10" s="64">
        <v>24.46</v>
      </c>
      <c r="M10" s="64">
        <v>98.04</v>
      </c>
      <c r="N10" s="64">
        <v>30.3</v>
      </c>
      <c r="O10" s="64">
        <v>0</v>
      </c>
      <c r="P10" s="64">
        <v>0.28000000000000003</v>
      </c>
      <c r="Q10" s="64">
        <v>9.5</v>
      </c>
      <c r="R10" s="198"/>
      <c r="S10" s="198"/>
      <c r="T10" s="198"/>
      <c r="U10" s="198"/>
    </row>
    <row r="11" spans="1:21" s="12" customFormat="1" x14ac:dyDescent="0.25">
      <c r="A11" s="212" t="s">
        <v>3129</v>
      </c>
      <c r="B11" s="64">
        <v>7.49</v>
      </c>
      <c r="C11" s="64">
        <v>9.83</v>
      </c>
      <c r="D11" s="64">
        <v>11.15</v>
      </c>
      <c r="E11" s="64">
        <v>5.3</v>
      </c>
      <c r="F11" s="64">
        <v>5.24</v>
      </c>
      <c r="G11" s="64">
        <v>24.86</v>
      </c>
      <c r="H11" s="64">
        <v>1.82</v>
      </c>
      <c r="I11" s="64">
        <v>0.89</v>
      </c>
      <c r="J11" s="64">
        <v>0.05</v>
      </c>
      <c r="K11" s="64">
        <v>273.47000000000003</v>
      </c>
      <c r="L11" s="64">
        <v>24.48</v>
      </c>
      <c r="M11" s="64">
        <v>98.05</v>
      </c>
      <c r="N11" s="64">
        <v>30.3</v>
      </c>
      <c r="O11" s="64">
        <v>0</v>
      </c>
      <c r="P11" s="64">
        <v>0.28000000000000003</v>
      </c>
      <c r="Q11" s="64">
        <v>9.49</v>
      </c>
      <c r="R11" s="198"/>
      <c r="S11" s="198"/>
      <c r="T11" s="198"/>
      <c r="U11" s="198"/>
    </row>
    <row r="12" spans="1:21" s="12" customFormat="1" x14ac:dyDescent="0.25">
      <c r="A12" s="212" t="s">
        <v>3130</v>
      </c>
      <c r="B12" s="64">
        <v>6.22</v>
      </c>
      <c r="C12" s="64">
        <v>7.29</v>
      </c>
      <c r="D12" s="64">
        <v>8.7899999999999991</v>
      </c>
      <c r="E12" s="64">
        <v>5.53</v>
      </c>
      <c r="F12" s="64">
        <v>7.23</v>
      </c>
      <c r="G12" s="64">
        <v>24.86</v>
      </c>
      <c r="H12" s="64">
        <v>1.82</v>
      </c>
      <c r="I12" s="64">
        <v>0.88</v>
      </c>
      <c r="J12" s="64">
        <v>0.03</v>
      </c>
      <c r="K12" s="64">
        <v>217.22</v>
      </c>
      <c r="L12" s="64">
        <v>24.6</v>
      </c>
      <c r="M12" s="64">
        <v>98.07</v>
      </c>
      <c r="N12" s="64">
        <v>30.2</v>
      </c>
      <c r="O12" s="64">
        <v>0</v>
      </c>
      <c r="P12" s="64">
        <v>0.22</v>
      </c>
      <c r="Q12" s="64">
        <v>9.5</v>
      </c>
      <c r="R12" s="198"/>
      <c r="S12" s="198"/>
      <c r="T12" s="198"/>
      <c r="U12" s="198"/>
    </row>
    <row r="13" spans="1:21" s="12" customFormat="1" x14ac:dyDescent="0.25">
      <c r="A13" s="212" t="s">
        <v>3131</v>
      </c>
      <c r="B13" s="64">
        <v>4.92</v>
      </c>
      <c r="C13" s="64">
        <v>6.93</v>
      </c>
      <c r="D13" s="64">
        <v>7.57</v>
      </c>
      <c r="E13" s="64">
        <v>5.3</v>
      </c>
      <c r="F13" s="64">
        <v>8.49</v>
      </c>
      <c r="G13" s="64">
        <v>23.45</v>
      </c>
      <c r="H13" s="64">
        <v>1.82</v>
      </c>
      <c r="I13" s="64">
        <v>0.87</v>
      </c>
      <c r="J13" s="64">
        <v>0.04</v>
      </c>
      <c r="K13" s="64">
        <v>330.89</v>
      </c>
      <c r="L13" s="64">
        <v>24.67</v>
      </c>
      <c r="M13" s="64">
        <v>98.05</v>
      </c>
      <c r="N13" s="64">
        <v>30.2</v>
      </c>
      <c r="O13" s="64">
        <v>0</v>
      </c>
      <c r="P13" s="64">
        <v>0.19</v>
      </c>
      <c r="Q13" s="64">
        <v>9.52</v>
      </c>
      <c r="R13" s="198"/>
      <c r="S13" s="198"/>
      <c r="T13" s="198"/>
      <c r="U13" s="198"/>
    </row>
    <row r="14" spans="1:21" s="12" customFormat="1" x14ac:dyDescent="0.25">
      <c r="A14" s="212" t="s">
        <v>3132</v>
      </c>
      <c r="B14" s="64">
        <v>4.5599999999999996</v>
      </c>
      <c r="C14" s="64">
        <v>6.62</v>
      </c>
      <c r="D14" s="64">
        <v>7.12</v>
      </c>
      <c r="E14" s="64">
        <v>5.32</v>
      </c>
      <c r="F14" s="64">
        <v>8.66</v>
      </c>
      <c r="G14" s="64">
        <v>21.68</v>
      </c>
      <c r="H14" s="64">
        <v>1.84</v>
      </c>
      <c r="I14" s="64">
        <v>0.87</v>
      </c>
      <c r="J14" s="64">
        <v>0.04</v>
      </c>
      <c r="K14" s="64">
        <v>104.71</v>
      </c>
      <c r="L14" s="64">
        <v>24.68</v>
      </c>
      <c r="M14" s="64">
        <v>98.05</v>
      </c>
      <c r="N14" s="64">
        <v>30.3</v>
      </c>
      <c r="O14" s="64">
        <v>0</v>
      </c>
      <c r="P14" s="64">
        <v>0.18</v>
      </c>
      <c r="Q14" s="64">
        <v>9.52</v>
      </c>
      <c r="R14" s="198"/>
      <c r="S14" s="198"/>
      <c r="T14" s="198"/>
      <c r="U14" s="198"/>
    </row>
    <row r="15" spans="1:21" s="12" customFormat="1" x14ac:dyDescent="0.25">
      <c r="A15" s="212" t="s">
        <v>3133</v>
      </c>
      <c r="B15" s="64">
        <v>4.32</v>
      </c>
      <c r="C15" s="64">
        <v>6.33</v>
      </c>
      <c r="D15" s="64">
        <v>6.78</v>
      </c>
      <c r="E15" s="64">
        <v>5.63</v>
      </c>
      <c r="F15" s="64">
        <v>7.74</v>
      </c>
      <c r="G15" s="64">
        <v>21.68</v>
      </c>
      <c r="H15" s="64">
        <v>1.84</v>
      </c>
      <c r="I15" s="64">
        <v>0.86</v>
      </c>
      <c r="J15" s="64">
        <v>0.4</v>
      </c>
      <c r="K15" s="64">
        <v>140.31</v>
      </c>
      <c r="L15" s="64">
        <v>24.51</v>
      </c>
      <c r="M15" s="64">
        <v>98.05</v>
      </c>
      <c r="N15" s="64">
        <v>30.3</v>
      </c>
      <c r="O15" s="64">
        <v>0</v>
      </c>
      <c r="P15" s="64">
        <v>0.15</v>
      </c>
      <c r="Q15" s="64">
        <v>9.5299999999999994</v>
      </c>
      <c r="R15" s="198"/>
      <c r="S15" s="198"/>
      <c r="T15" s="198"/>
      <c r="U15" s="198"/>
    </row>
    <row r="16" spans="1:21" s="12" customFormat="1" x14ac:dyDescent="0.25">
      <c r="A16" s="212" t="s">
        <v>3134</v>
      </c>
      <c r="B16" s="64">
        <v>4.29</v>
      </c>
      <c r="C16" s="64">
        <v>5.77</v>
      </c>
      <c r="D16" s="64">
        <v>6.45</v>
      </c>
      <c r="E16" s="64">
        <v>5.74</v>
      </c>
      <c r="F16" s="64">
        <v>7.89</v>
      </c>
      <c r="G16" s="64">
        <v>21.68</v>
      </c>
      <c r="H16" s="64">
        <v>1.84</v>
      </c>
      <c r="I16" s="64">
        <v>0.85</v>
      </c>
      <c r="J16" s="64">
        <v>0.15</v>
      </c>
      <c r="K16" s="64">
        <v>132.54</v>
      </c>
      <c r="L16" s="64">
        <v>24.4</v>
      </c>
      <c r="M16" s="64">
        <v>98.05</v>
      </c>
      <c r="N16" s="64">
        <v>30.3</v>
      </c>
      <c r="O16" s="64">
        <v>0</v>
      </c>
      <c r="P16" s="64">
        <v>0.14000000000000001</v>
      </c>
      <c r="Q16" s="64">
        <v>9.52</v>
      </c>
      <c r="R16" s="198"/>
      <c r="S16" s="198"/>
      <c r="T16" s="198"/>
      <c r="U16" s="198"/>
    </row>
    <row r="17" spans="1:21" s="12" customFormat="1" x14ac:dyDescent="0.25">
      <c r="A17" s="212" t="s">
        <v>3135</v>
      </c>
      <c r="B17" s="64">
        <v>4.17</v>
      </c>
      <c r="C17" s="64">
        <v>5.7</v>
      </c>
      <c r="D17" s="64">
        <v>6.32</v>
      </c>
      <c r="E17" s="64">
        <v>5.63</v>
      </c>
      <c r="F17" s="64">
        <v>7.84</v>
      </c>
      <c r="G17" s="64">
        <v>20.52</v>
      </c>
      <c r="H17" s="64">
        <v>1.84</v>
      </c>
      <c r="I17" s="64">
        <v>0.84</v>
      </c>
      <c r="J17" s="64">
        <v>0.04</v>
      </c>
      <c r="K17" s="64">
        <v>154.02000000000001</v>
      </c>
      <c r="L17" s="64">
        <v>24.33</v>
      </c>
      <c r="M17" s="64">
        <v>98.06</v>
      </c>
      <c r="N17" s="64">
        <v>30.3</v>
      </c>
      <c r="O17" s="64">
        <v>0</v>
      </c>
      <c r="P17" s="64">
        <v>0.14000000000000001</v>
      </c>
      <c r="Q17" s="64">
        <v>9.52</v>
      </c>
      <c r="R17" s="198"/>
      <c r="S17" s="198"/>
      <c r="T17" s="198"/>
      <c r="U17" s="198"/>
    </row>
    <row r="18" spans="1:21" s="12" customFormat="1" x14ac:dyDescent="0.25">
      <c r="A18" s="212" t="s">
        <v>3136</v>
      </c>
      <c r="B18" s="64">
        <v>4.09</v>
      </c>
      <c r="C18" s="64">
        <v>5.7</v>
      </c>
      <c r="D18" s="64">
        <v>6.26</v>
      </c>
      <c r="E18" s="64">
        <v>5.81</v>
      </c>
      <c r="F18" s="64">
        <v>7.59</v>
      </c>
      <c r="G18" s="64">
        <v>19.05</v>
      </c>
      <c r="H18" s="64">
        <v>1.85</v>
      </c>
      <c r="I18" s="64">
        <v>0.84</v>
      </c>
      <c r="J18" s="64">
        <v>0.06</v>
      </c>
      <c r="K18" s="64">
        <v>144.74</v>
      </c>
      <c r="L18" s="64">
        <v>24.36</v>
      </c>
      <c r="M18" s="64">
        <v>98.09</v>
      </c>
      <c r="N18" s="64">
        <v>30.3</v>
      </c>
      <c r="O18" s="64">
        <v>0</v>
      </c>
      <c r="P18" s="64">
        <v>0.14000000000000001</v>
      </c>
      <c r="Q18" s="64">
        <v>9.52</v>
      </c>
      <c r="R18" s="198"/>
      <c r="S18" s="198"/>
      <c r="T18" s="198"/>
      <c r="U18" s="198"/>
    </row>
    <row r="19" spans="1:21" s="12" customFormat="1" x14ac:dyDescent="0.25">
      <c r="A19" s="212" t="s">
        <v>3137</v>
      </c>
      <c r="B19" s="64">
        <v>4.1500000000000004</v>
      </c>
      <c r="C19" s="64">
        <v>5.99</v>
      </c>
      <c r="D19" s="64">
        <v>6.46</v>
      </c>
      <c r="E19" s="64">
        <v>5.9</v>
      </c>
      <c r="F19" s="64">
        <v>7.33</v>
      </c>
      <c r="G19" s="64">
        <v>19.05</v>
      </c>
      <c r="H19" s="64">
        <v>1.85</v>
      </c>
      <c r="I19" s="64">
        <v>0.83</v>
      </c>
      <c r="J19" s="64">
        <v>0.22</v>
      </c>
      <c r="K19" s="64">
        <v>158.38999999999999</v>
      </c>
      <c r="L19" s="64">
        <v>24.36</v>
      </c>
      <c r="M19" s="64">
        <v>98.08</v>
      </c>
      <c r="N19" s="64">
        <v>30.3</v>
      </c>
      <c r="O19" s="64">
        <v>0</v>
      </c>
      <c r="P19" s="64">
        <v>0.14000000000000001</v>
      </c>
      <c r="Q19" s="64">
        <v>9.5299999999999994</v>
      </c>
      <c r="R19" s="198"/>
      <c r="S19" s="198"/>
      <c r="T19" s="198"/>
      <c r="U19" s="198"/>
    </row>
    <row r="20" spans="1:21" s="12" customFormat="1" x14ac:dyDescent="0.25">
      <c r="A20" s="212" t="s">
        <v>3138</v>
      </c>
      <c r="B20" s="64">
        <v>4.58</v>
      </c>
      <c r="C20" s="64">
        <v>6.37</v>
      </c>
      <c r="D20" s="64">
        <v>7</v>
      </c>
      <c r="E20" s="64">
        <v>5.17</v>
      </c>
      <c r="F20" s="64">
        <v>6.65</v>
      </c>
      <c r="G20" s="64">
        <v>19.05</v>
      </c>
      <c r="H20" s="64">
        <v>1.85</v>
      </c>
      <c r="I20" s="64">
        <v>0.82</v>
      </c>
      <c r="J20" s="64">
        <v>0.08</v>
      </c>
      <c r="K20" s="64">
        <v>178.52</v>
      </c>
      <c r="L20" s="64">
        <v>24.38</v>
      </c>
      <c r="M20" s="64">
        <v>98.08</v>
      </c>
      <c r="N20" s="64">
        <v>30.3</v>
      </c>
      <c r="O20" s="64">
        <v>0</v>
      </c>
      <c r="P20" s="64">
        <v>0.16</v>
      </c>
      <c r="Q20" s="64">
        <v>9.52</v>
      </c>
      <c r="R20" s="198"/>
      <c r="S20" s="198"/>
      <c r="T20" s="198"/>
      <c r="U20" s="198"/>
    </row>
    <row r="21" spans="1:21" s="12" customFormat="1" x14ac:dyDescent="0.25">
      <c r="A21" s="212" t="s">
        <v>3139</v>
      </c>
      <c r="B21" s="64">
        <v>4.3</v>
      </c>
      <c r="C21" s="64">
        <v>6.78</v>
      </c>
      <c r="D21" s="64">
        <v>6.99</v>
      </c>
      <c r="E21" s="64">
        <v>5.57</v>
      </c>
      <c r="F21" s="64">
        <v>6.76</v>
      </c>
      <c r="G21" s="64">
        <v>18.21</v>
      </c>
      <c r="H21" s="64">
        <v>1.85</v>
      </c>
      <c r="I21" s="64">
        <v>0.82</v>
      </c>
      <c r="J21" s="64">
        <v>0.36</v>
      </c>
      <c r="K21" s="64">
        <v>154.22</v>
      </c>
      <c r="L21" s="64">
        <v>24.32</v>
      </c>
      <c r="M21" s="64">
        <v>98.08</v>
      </c>
      <c r="N21" s="64">
        <v>30.4</v>
      </c>
      <c r="O21" s="64">
        <v>0</v>
      </c>
      <c r="P21" s="64">
        <v>0.15</v>
      </c>
      <c r="Q21" s="64">
        <v>9.5</v>
      </c>
      <c r="R21" s="198"/>
      <c r="S21" s="198"/>
      <c r="T21" s="198"/>
      <c r="U21" s="198"/>
    </row>
    <row r="22" spans="1:21" s="12" customFormat="1" x14ac:dyDescent="0.25">
      <c r="A22" s="212" t="s">
        <v>3140</v>
      </c>
      <c r="B22" s="64">
        <v>4.8099999999999996</v>
      </c>
      <c r="C22" s="64">
        <v>6.36</v>
      </c>
      <c r="D22" s="64">
        <v>7.18</v>
      </c>
      <c r="E22" s="64">
        <v>5.37</v>
      </c>
      <c r="F22" s="64">
        <v>8.06</v>
      </c>
      <c r="G22" s="64">
        <v>17.149999999999999</v>
      </c>
      <c r="H22" s="64">
        <v>1.84</v>
      </c>
      <c r="I22" s="64">
        <v>0.81</v>
      </c>
      <c r="J22" s="64">
        <v>0.14000000000000001</v>
      </c>
      <c r="K22" s="64">
        <v>166.36</v>
      </c>
      <c r="L22" s="64">
        <v>24.34</v>
      </c>
      <c r="M22" s="64">
        <v>98.07</v>
      </c>
      <c r="N22" s="64">
        <v>30.3</v>
      </c>
      <c r="O22" s="64">
        <v>0</v>
      </c>
      <c r="P22" s="64">
        <v>0.15</v>
      </c>
      <c r="Q22" s="64">
        <v>9.49</v>
      </c>
      <c r="R22" s="198"/>
      <c r="S22" s="198"/>
      <c r="T22" s="198"/>
      <c r="U22" s="198"/>
    </row>
    <row r="23" spans="1:21" s="12" customFormat="1" x14ac:dyDescent="0.25">
      <c r="A23" s="212" t="s">
        <v>3141</v>
      </c>
      <c r="B23" s="64">
        <v>4.55</v>
      </c>
      <c r="C23" s="64">
        <v>6.08</v>
      </c>
      <c r="D23" s="64">
        <v>6.83</v>
      </c>
      <c r="E23" s="64">
        <v>5.36</v>
      </c>
      <c r="F23" s="64">
        <v>7.34</v>
      </c>
      <c r="G23" s="64">
        <v>17.149999999999999</v>
      </c>
      <c r="H23" s="64">
        <v>1.84</v>
      </c>
      <c r="I23" s="64">
        <v>0.8</v>
      </c>
      <c r="J23" s="64">
        <v>7.0000000000000007E-2</v>
      </c>
      <c r="K23" s="64">
        <v>111.87</v>
      </c>
      <c r="L23" s="64">
        <v>24.31</v>
      </c>
      <c r="M23" s="64">
        <v>98.08</v>
      </c>
      <c r="N23" s="64">
        <v>30.4</v>
      </c>
      <c r="O23" s="64">
        <v>0</v>
      </c>
      <c r="P23" s="64">
        <v>0.17</v>
      </c>
      <c r="Q23" s="64">
        <v>9.49</v>
      </c>
      <c r="R23" s="198"/>
      <c r="S23" s="198"/>
      <c r="T23" s="198"/>
      <c r="U23" s="198"/>
    </row>
    <row r="24" spans="1:21" s="12" customFormat="1" x14ac:dyDescent="0.25">
      <c r="A24" s="212" t="s">
        <v>3142</v>
      </c>
      <c r="B24" s="64">
        <v>4.25</v>
      </c>
      <c r="C24" s="64">
        <v>5.89</v>
      </c>
      <c r="D24" s="64">
        <v>6.49</v>
      </c>
      <c r="E24" s="64">
        <v>5.66</v>
      </c>
      <c r="F24" s="64">
        <v>8.3699999999999992</v>
      </c>
      <c r="G24" s="64">
        <v>17.149999999999999</v>
      </c>
      <c r="H24" s="64">
        <v>1.84</v>
      </c>
      <c r="I24" s="64">
        <v>0.8</v>
      </c>
      <c r="J24" s="64">
        <v>0.27</v>
      </c>
      <c r="K24" s="64">
        <v>147.04</v>
      </c>
      <c r="L24" s="64">
        <v>24.31</v>
      </c>
      <c r="M24" s="64">
        <v>98.08</v>
      </c>
      <c r="N24" s="64">
        <v>30.2</v>
      </c>
      <c r="O24" s="64">
        <v>0</v>
      </c>
      <c r="P24" s="64">
        <v>0.14000000000000001</v>
      </c>
      <c r="Q24" s="64">
        <v>9.49</v>
      </c>
      <c r="R24" s="198"/>
      <c r="S24" s="198"/>
      <c r="T24" s="198"/>
      <c r="U24" s="198"/>
    </row>
    <row r="25" spans="1:21" s="12" customFormat="1" x14ac:dyDescent="0.25">
      <c r="A25" s="212" t="s">
        <v>3143</v>
      </c>
      <c r="B25" s="64">
        <v>4.6500000000000004</v>
      </c>
      <c r="C25" s="64">
        <v>7.45</v>
      </c>
      <c r="D25" s="64">
        <v>7.62</v>
      </c>
      <c r="E25" s="64">
        <v>5.39</v>
      </c>
      <c r="F25" s="64">
        <v>7.65</v>
      </c>
      <c r="G25" s="64">
        <v>15.36</v>
      </c>
      <c r="H25" s="64">
        <v>1.81</v>
      </c>
      <c r="I25" s="64">
        <v>0.79</v>
      </c>
      <c r="J25" s="64">
        <v>0.23</v>
      </c>
      <c r="K25" s="64">
        <v>141.36000000000001</v>
      </c>
      <c r="L25" s="64">
        <v>24.4</v>
      </c>
      <c r="M25" s="64">
        <v>98.06</v>
      </c>
      <c r="N25" s="64">
        <v>30.3</v>
      </c>
      <c r="O25" s="64">
        <v>0</v>
      </c>
      <c r="P25" s="64">
        <v>0.14000000000000001</v>
      </c>
      <c r="Q25" s="64">
        <v>9.5</v>
      </c>
      <c r="R25" s="198"/>
      <c r="S25" s="198"/>
      <c r="T25" s="198"/>
      <c r="U25" s="198"/>
    </row>
    <row r="26" spans="1:21" s="12" customFormat="1" x14ac:dyDescent="0.25">
      <c r="A26" s="212" t="s">
        <v>3144</v>
      </c>
      <c r="B26" s="64">
        <v>5.58</v>
      </c>
      <c r="C26" s="64">
        <v>8.9</v>
      </c>
      <c r="D26" s="64">
        <v>9.1300000000000008</v>
      </c>
      <c r="E26" s="64">
        <v>5.33</v>
      </c>
      <c r="F26" s="64">
        <v>5.08</v>
      </c>
      <c r="G26" s="64">
        <v>13.12</v>
      </c>
      <c r="H26" s="64">
        <v>1.79</v>
      </c>
      <c r="I26" s="64">
        <v>0.83</v>
      </c>
      <c r="J26" s="64">
        <v>0.21</v>
      </c>
      <c r="K26" s="64">
        <v>153.44999999999999</v>
      </c>
      <c r="L26" s="64">
        <v>24.24</v>
      </c>
      <c r="M26" s="64">
        <v>97.51</v>
      </c>
      <c r="N26" s="64">
        <v>30.3</v>
      </c>
      <c r="O26" s="64">
        <v>0</v>
      </c>
      <c r="P26" s="64">
        <v>0.18</v>
      </c>
      <c r="Q26" s="64">
        <v>9.49</v>
      </c>
      <c r="R26" s="198"/>
      <c r="S26" s="198"/>
      <c r="T26" s="198"/>
      <c r="U26" s="198"/>
    </row>
    <row r="27" spans="1:21" s="12" customFormat="1" x14ac:dyDescent="0.25">
      <c r="A27" s="212" t="s">
        <v>3145</v>
      </c>
      <c r="B27" s="64">
        <v>5.52</v>
      </c>
      <c r="C27" s="64">
        <v>8.36</v>
      </c>
      <c r="D27" s="64">
        <v>8.7899999999999991</v>
      </c>
      <c r="E27" s="64">
        <v>5.45</v>
      </c>
      <c r="F27" s="64">
        <v>6.7</v>
      </c>
      <c r="G27" s="64">
        <v>13.12</v>
      </c>
      <c r="H27" s="64">
        <v>1.79</v>
      </c>
      <c r="I27" s="64">
        <v>0.81</v>
      </c>
      <c r="J27" s="64">
        <v>0.17</v>
      </c>
      <c r="K27" s="64">
        <v>158.43</v>
      </c>
      <c r="L27" s="64">
        <v>24.27</v>
      </c>
      <c r="M27" s="64">
        <v>97.51</v>
      </c>
      <c r="N27" s="64">
        <v>30.4</v>
      </c>
      <c r="O27" s="64">
        <v>0</v>
      </c>
      <c r="P27" s="64">
        <v>0.16</v>
      </c>
      <c r="Q27" s="64">
        <v>9.49</v>
      </c>
      <c r="R27" s="198"/>
      <c r="S27" s="198"/>
      <c r="T27" s="198"/>
      <c r="U27" s="198"/>
    </row>
    <row r="28" spans="1:21" s="12" customFormat="1" x14ac:dyDescent="0.25">
      <c r="A28" s="212" t="s">
        <v>3146</v>
      </c>
      <c r="B28" s="64">
        <v>8.99</v>
      </c>
      <c r="C28" s="64">
        <v>8.33</v>
      </c>
      <c r="D28" s="64">
        <v>11.57</v>
      </c>
      <c r="E28" s="64">
        <v>5.57</v>
      </c>
      <c r="F28" s="64">
        <v>4.12</v>
      </c>
      <c r="G28" s="64">
        <v>13.12</v>
      </c>
      <c r="H28" s="64">
        <v>1.79</v>
      </c>
      <c r="I28" s="64">
        <v>0.83</v>
      </c>
      <c r="J28" s="64">
        <v>0.39</v>
      </c>
      <c r="K28" s="64">
        <v>141.29</v>
      </c>
      <c r="L28" s="64">
        <v>24.19</v>
      </c>
      <c r="M28" s="64">
        <v>97.52</v>
      </c>
      <c r="N28" s="64">
        <v>30.3</v>
      </c>
      <c r="O28" s="64">
        <v>0</v>
      </c>
      <c r="P28" s="64">
        <v>0.19</v>
      </c>
      <c r="Q28" s="64">
        <v>9.48</v>
      </c>
      <c r="R28" s="198"/>
      <c r="S28" s="198"/>
      <c r="T28" s="198"/>
      <c r="U28" s="198"/>
    </row>
    <row r="29" spans="1:21" s="12" customFormat="1" x14ac:dyDescent="0.25">
      <c r="A29" s="212" t="s">
        <v>3147</v>
      </c>
      <c r="B29" s="64">
        <v>7.08</v>
      </c>
      <c r="C29" s="64">
        <v>7.3</v>
      </c>
      <c r="D29" s="64">
        <v>9.49</v>
      </c>
      <c r="E29" s="64">
        <v>5.64</v>
      </c>
      <c r="F29" s="64">
        <v>6.48</v>
      </c>
      <c r="G29" s="64">
        <v>14.11</v>
      </c>
      <c r="H29" s="64">
        <v>1.77</v>
      </c>
      <c r="I29" s="64">
        <v>0.87</v>
      </c>
      <c r="J29" s="64">
        <v>0.35</v>
      </c>
      <c r="K29" s="64">
        <v>154.41999999999999</v>
      </c>
      <c r="L29" s="64">
        <v>24.25</v>
      </c>
      <c r="M29" s="64">
        <v>98.06</v>
      </c>
      <c r="N29" s="64">
        <v>30.6</v>
      </c>
      <c r="O29" s="64">
        <v>0</v>
      </c>
      <c r="P29" s="64">
        <v>0.18</v>
      </c>
      <c r="Q29" s="64">
        <v>9.5</v>
      </c>
      <c r="R29" s="198"/>
      <c r="S29" s="198"/>
      <c r="T29" s="198"/>
      <c r="U29" s="198"/>
    </row>
    <row r="30" spans="1:21" s="12" customFormat="1" x14ac:dyDescent="0.25">
      <c r="A30" s="212" t="s">
        <v>3148</v>
      </c>
      <c r="B30" s="64">
        <v>6.94</v>
      </c>
      <c r="C30" s="64">
        <v>8.65</v>
      </c>
      <c r="D30" s="64">
        <v>10.09</v>
      </c>
      <c r="E30" s="64">
        <v>5.25</v>
      </c>
      <c r="F30" s="64">
        <v>7.11</v>
      </c>
      <c r="G30" s="64">
        <v>15.35</v>
      </c>
      <c r="H30" s="64">
        <v>1.74</v>
      </c>
      <c r="I30" s="64">
        <v>0.87</v>
      </c>
      <c r="J30" s="64">
        <v>0.36</v>
      </c>
      <c r="K30" s="64">
        <v>143.79</v>
      </c>
      <c r="L30" s="64">
        <v>24.28</v>
      </c>
      <c r="M30" s="64">
        <v>97.51</v>
      </c>
      <c r="N30" s="64">
        <v>30.6</v>
      </c>
      <c r="O30" s="64">
        <v>0</v>
      </c>
      <c r="P30" s="64">
        <v>0.17</v>
      </c>
      <c r="Q30" s="64">
        <v>9.51</v>
      </c>
      <c r="R30" s="198"/>
      <c r="S30" s="198"/>
      <c r="T30" s="198"/>
      <c r="U30" s="198"/>
    </row>
    <row r="31" spans="1:21" s="12" customFormat="1" x14ac:dyDescent="0.25">
      <c r="A31" s="212" t="s">
        <v>3149</v>
      </c>
      <c r="B31" s="64">
        <v>6.33</v>
      </c>
      <c r="C31" s="64">
        <v>8.74</v>
      </c>
      <c r="D31" s="64">
        <v>9.64</v>
      </c>
      <c r="E31" s="64">
        <v>5.35</v>
      </c>
      <c r="F31" s="64">
        <v>6.58</v>
      </c>
      <c r="G31" s="64">
        <v>15.35</v>
      </c>
      <c r="H31" s="64">
        <v>1.74</v>
      </c>
      <c r="I31" s="64">
        <v>0.86</v>
      </c>
      <c r="J31" s="64">
        <v>0.37</v>
      </c>
      <c r="K31" s="64">
        <v>147.21</v>
      </c>
      <c r="L31" s="64">
        <v>24.37</v>
      </c>
      <c r="M31" s="64">
        <v>97.51</v>
      </c>
      <c r="N31" s="64">
        <v>31.5</v>
      </c>
      <c r="O31" s="64">
        <v>0</v>
      </c>
      <c r="P31" s="64">
        <v>0.17</v>
      </c>
      <c r="Q31" s="64">
        <v>9.5299999999999994</v>
      </c>
      <c r="R31" s="198"/>
      <c r="S31" s="198"/>
      <c r="T31" s="198"/>
      <c r="U31" s="198"/>
    </row>
    <row r="32" spans="1:21" s="12" customFormat="1" x14ac:dyDescent="0.25">
      <c r="A32" s="212" t="s">
        <v>3150</v>
      </c>
      <c r="B32" s="64">
        <v>7.51</v>
      </c>
      <c r="C32" s="64">
        <v>7.41</v>
      </c>
      <c r="D32" s="64">
        <v>9.9</v>
      </c>
      <c r="E32" s="64">
        <v>5.46</v>
      </c>
      <c r="F32" s="64">
        <v>7.77</v>
      </c>
      <c r="G32" s="64">
        <v>15.35</v>
      </c>
      <c r="H32" s="64">
        <v>1.74</v>
      </c>
      <c r="I32" s="64">
        <v>0.85</v>
      </c>
      <c r="J32" s="64">
        <v>0.21</v>
      </c>
      <c r="K32" s="64">
        <v>140.47</v>
      </c>
      <c r="L32" s="64">
        <v>24.3</v>
      </c>
      <c r="M32" s="64">
        <v>97.51</v>
      </c>
      <c r="N32" s="64">
        <v>34.9</v>
      </c>
      <c r="O32" s="64">
        <v>0</v>
      </c>
      <c r="P32" s="64">
        <v>0.16</v>
      </c>
      <c r="Q32" s="64">
        <v>9.5399999999999991</v>
      </c>
      <c r="R32" s="198"/>
      <c r="S32" s="198"/>
      <c r="T32" s="198"/>
      <c r="U32" s="198"/>
    </row>
    <row r="33" spans="1:21" s="12" customFormat="1" x14ac:dyDescent="0.25">
      <c r="A33" s="212" t="s">
        <v>3151</v>
      </c>
      <c r="B33" s="64">
        <v>6.17</v>
      </c>
      <c r="C33" s="64">
        <v>8.1</v>
      </c>
      <c r="D33" s="64">
        <v>9.18</v>
      </c>
      <c r="E33" s="64">
        <v>5.63</v>
      </c>
      <c r="F33" s="64">
        <v>6.07</v>
      </c>
      <c r="G33" s="64">
        <v>14.83</v>
      </c>
      <c r="H33" s="64">
        <v>1.73</v>
      </c>
      <c r="I33" s="64">
        <v>0.84</v>
      </c>
      <c r="J33" s="64">
        <v>0.31</v>
      </c>
      <c r="K33" s="64">
        <v>134.56</v>
      </c>
      <c r="L33" s="64">
        <v>24.39</v>
      </c>
      <c r="M33" s="64">
        <v>98.08</v>
      </c>
      <c r="N33" s="64">
        <v>35.9</v>
      </c>
      <c r="O33" s="64">
        <v>0</v>
      </c>
      <c r="P33" s="64">
        <v>0.19</v>
      </c>
      <c r="Q33" s="64">
        <v>9.5500000000000007</v>
      </c>
      <c r="R33" s="198"/>
      <c r="S33" s="198"/>
      <c r="T33" s="198"/>
      <c r="U33" s="198"/>
    </row>
    <row r="34" spans="1:21" s="12" customFormat="1" x14ac:dyDescent="0.25">
      <c r="A34" s="212" t="s">
        <v>3152</v>
      </c>
      <c r="B34" s="64">
        <v>7.11</v>
      </c>
      <c r="C34" s="64">
        <v>8.32</v>
      </c>
      <c r="D34" s="64">
        <v>10.050000000000001</v>
      </c>
      <c r="E34" s="64">
        <v>5.36</v>
      </c>
      <c r="F34" s="64">
        <v>5.91</v>
      </c>
      <c r="G34" s="64">
        <v>14.17</v>
      </c>
      <c r="H34" s="64">
        <v>1.69</v>
      </c>
      <c r="I34" s="64">
        <v>0.83</v>
      </c>
      <c r="J34" s="64">
        <v>0.42</v>
      </c>
      <c r="K34" s="64">
        <v>137.12</v>
      </c>
      <c r="L34" s="64">
        <v>24.45</v>
      </c>
      <c r="M34" s="64">
        <v>97.51</v>
      </c>
      <c r="N34" s="64">
        <v>40.200000000000003</v>
      </c>
      <c r="O34" s="64">
        <v>0</v>
      </c>
      <c r="P34" s="64">
        <v>0.18</v>
      </c>
      <c r="Q34" s="64">
        <v>9.56</v>
      </c>
      <c r="R34" s="198"/>
      <c r="S34" s="198"/>
      <c r="T34" s="198"/>
      <c r="U34" s="198"/>
    </row>
    <row r="35" spans="1:21" s="12" customFormat="1" x14ac:dyDescent="0.25">
      <c r="A35" s="212" t="s">
        <v>3153</v>
      </c>
      <c r="B35" s="64">
        <v>7.86</v>
      </c>
      <c r="C35" s="64">
        <v>8.43</v>
      </c>
      <c r="D35" s="64">
        <v>10.71</v>
      </c>
      <c r="E35" s="64">
        <v>5.33</v>
      </c>
      <c r="F35" s="64">
        <v>6.78</v>
      </c>
      <c r="G35" s="64">
        <v>14.17</v>
      </c>
      <c r="H35" s="64">
        <v>1.69</v>
      </c>
      <c r="I35" s="64">
        <v>0.83</v>
      </c>
      <c r="J35" s="64">
        <v>0.86</v>
      </c>
      <c r="K35" s="64">
        <v>139.01</v>
      </c>
      <c r="L35" s="64">
        <v>24.56</v>
      </c>
      <c r="M35" s="64">
        <v>97.51</v>
      </c>
      <c r="N35" s="64">
        <v>48.3</v>
      </c>
      <c r="O35" s="64">
        <v>0</v>
      </c>
      <c r="P35" s="64">
        <v>0.19</v>
      </c>
      <c r="Q35" s="64">
        <v>9.56</v>
      </c>
      <c r="R35" s="198"/>
      <c r="S35" s="198"/>
      <c r="T35" s="198"/>
      <c r="U35" s="198"/>
    </row>
    <row r="36" spans="1:21" s="12" customFormat="1" x14ac:dyDescent="0.25">
      <c r="A36" s="212" t="s">
        <v>3154</v>
      </c>
      <c r="B36" s="64">
        <v>7.36</v>
      </c>
      <c r="C36" s="64">
        <v>7.74</v>
      </c>
      <c r="D36" s="64">
        <v>9.9499999999999993</v>
      </c>
      <c r="E36" s="64">
        <v>5.43</v>
      </c>
      <c r="F36" s="64">
        <v>6.94</v>
      </c>
      <c r="G36" s="64">
        <v>14.17</v>
      </c>
      <c r="H36" s="64">
        <v>1.69</v>
      </c>
      <c r="I36" s="64">
        <v>0.83</v>
      </c>
      <c r="J36" s="64">
        <v>0.16</v>
      </c>
      <c r="K36" s="64">
        <v>170.21</v>
      </c>
      <c r="L36" s="64">
        <v>24.52</v>
      </c>
      <c r="M36" s="64">
        <v>97.52</v>
      </c>
      <c r="N36" s="64">
        <v>44.2</v>
      </c>
      <c r="O36" s="64">
        <v>0</v>
      </c>
      <c r="P36" s="64">
        <v>0.18</v>
      </c>
      <c r="Q36" s="64">
        <v>9.57</v>
      </c>
      <c r="R36" s="198"/>
      <c r="S36" s="198"/>
      <c r="T36" s="198"/>
      <c r="U36" s="198"/>
    </row>
    <row r="37" spans="1:21" s="12" customFormat="1" x14ac:dyDescent="0.25">
      <c r="A37" s="212" t="s">
        <v>3155</v>
      </c>
      <c r="B37" s="64">
        <v>8.06</v>
      </c>
      <c r="C37" s="64">
        <v>7.21</v>
      </c>
      <c r="D37" s="64">
        <v>10.23</v>
      </c>
      <c r="E37" s="64">
        <v>5.16</v>
      </c>
      <c r="F37" s="64">
        <v>6.81</v>
      </c>
      <c r="G37" s="64">
        <v>16.37</v>
      </c>
      <c r="H37" s="64">
        <v>1.68</v>
      </c>
      <c r="I37" s="64">
        <v>0.83</v>
      </c>
      <c r="J37" s="64">
        <v>0.05</v>
      </c>
      <c r="K37" s="64">
        <v>152.49</v>
      </c>
      <c r="L37" s="64">
        <v>24.56</v>
      </c>
      <c r="M37" s="64">
        <v>98.08</v>
      </c>
      <c r="N37" s="64">
        <v>46.3</v>
      </c>
      <c r="O37" s="64">
        <v>0</v>
      </c>
      <c r="P37" s="64">
        <v>0.25</v>
      </c>
      <c r="Q37" s="64">
        <v>9.57</v>
      </c>
      <c r="R37" s="198"/>
      <c r="S37" s="198"/>
      <c r="T37" s="198"/>
      <c r="U37" s="198"/>
    </row>
    <row r="38" spans="1:21" s="12" customFormat="1" x14ac:dyDescent="0.25">
      <c r="A38" s="212" t="s">
        <v>3156</v>
      </c>
      <c r="B38" s="64">
        <v>7.51</v>
      </c>
      <c r="C38" s="64">
        <v>6.53</v>
      </c>
      <c r="D38" s="64">
        <v>9.43</v>
      </c>
      <c r="E38" s="64">
        <v>5.42</v>
      </c>
      <c r="F38" s="64">
        <v>5.88</v>
      </c>
      <c r="G38" s="64">
        <v>19.11</v>
      </c>
      <c r="H38" s="64">
        <v>1.67</v>
      </c>
      <c r="I38" s="64">
        <v>0.83</v>
      </c>
      <c r="J38" s="64">
        <v>0.43</v>
      </c>
      <c r="K38" s="64">
        <v>133.75</v>
      </c>
      <c r="L38" s="64">
        <v>24.52</v>
      </c>
      <c r="M38" s="64">
        <v>97.51</v>
      </c>
      <c r="N38" s="64">
        <v>53.5</v>
      </c>
      <c r="O38" s="64">
        <v>0</v>
      </c>
      <c r="P38" s="64">
        <v>0.27</v>
      </c>
      <c r="Q38" s="64">
        <v>9.56</v>
      </c>
      <c r="R38" s="198"/>
      <c r="S38" s="198"/>
      <c r="T38" s="198"/>
      <c r="U38" s="198"/>
    </row>
    <row r="39" spans="1:21" s="12" customFormat="1" x14ac:dyDescent="0.25">
      <c r="A39" s="212" t="s">
        <v>3157</v>
      </c>
      <c r="B39" s="64">
        <v>7.59</v>
      </c>
      <c r="C39" s="64">
        <v>9.5399999999999991</v>
      </c>
      <c r="D39" s="64">
        <v>11.07</v>
      </c>
      <c r="E39" s="64">
        <v>5.46</v>
      </c>
      <c r="F39" s="64">
        <v>8.1199999999999992</v>
      </c>
      <c r="G39" s="64">
        <v>19.11</v>
      </c>
      <c r="H39" s="64">
        <v>1.67</v>
      </c>
      <c r="I39" s="64">
        <v>0.82</v>
      </c>
      <c r="J39" s="64">
        <v>0.45</v>
      </c>
      <c r="K39" s="64">
        <v>138.04</v>
      </c>
      <c r="L39" s="64">
        <v>24.57</v>
      </c>
      <c r="M39" s="64">
        <v>97.49</v>
      </c>
      <c r="N39" s="64">
        <v>75.7</v>
      </c>
      <c r="O39" s="64">
        <v>0</v>
      </c>
      <c r="P39" s="64">
        <v>0.25</v>
      </c>
      <c r="Q39" s="64">
        <v>9.5399999999999991</v>
      </c>
      <c r="R39" s="198"/>
      <c r="S39" s="198"/>
      <c r="T39" s="198"/>
      <c r="U39" s="198"/>
    </row>
    <row r="40" spans="1:21" s="12" customFormat="1" x14ac:dyDescent="0.25">
      <c r="A40" s="212" t="s">
        <v>3158</v>
      </c>
      <c r="B40" s="64">
        <v>6.59</v>
      </c>
      <c r="C40" s="64">
        <v>8.82</v>
      </c>
      <c r="D40" s="64">
        <v>9.89</v>
      </c>
      <c r="E40" s="64">
        <v>3.71</v>
      </c>
      <c r="F40" s="64">
        <v>8.33</v>
      </c>
      <c r="G40" s="64">
        <v>19.11</v>
      </c>
      <c r="H40" s="64">
        <v>1.67</v>
      </c>
      <c r="I40" s="64">
        <v>0.75</v>
      </c>
      <c r="J40" s="64">
        <v>0.15</v>
      </c>
      <c r="K40" s="64">
        <v>174.37</v>
      </c>
      <c r="L40" s="64">
        <v>24.54</v>
      </c>
      <c r="M40" s="64">
        <v>97.52</v>
      </c>
      <c r="N40" s="64">
        <v>90.6</v>
      </c>
      <c r="O40" s="64">
        <v>0</v>
      </c>
      <c r="P40" s="64">
        <v>0.28000000000000003</v>
      </c>
      <c r="Q40" s="64">
        <v>9.5299999999999994</v>
      </c>
      <c r="R40" s="198"/>
      <c r="S40" s="198"/>
      <c r="T40" s="198"/>
      <c r="U40" s="198"/>
    </row>
    <row r="41" spans="1:21" s="12" customFormat="1" x14ac:dyDescent="0.25">
      <c r="A41" s="212" t="s">
        <v>3159</v>
      </c>
      <c r="B41" s="64">
        <v>7.84</v>
      </c>
      <c r="C41" s="64">
        <v>7.61</v>
      </c>
      <c r="D41" s="64">
        <v>10.26</v>
      </c>
      <c r="E41" s="64">
        <v>3.8</v>
      </c>
      <c r="F41" s="64">
        <v>5.51</v>
      </c>
      <c r="G41" s="64">
        <v>20.05</v>
      </c>
      <c r="H41" s="64">
        <v>1.9</v>
      </c>
      <c r="I41" s="64">
        <v>0.69</v>
      </c>
      <c r="J41" s="64">
        <v>0.24</v>
      </c>
      <c r="K41" s="64">
        <v>132.28</v>
      </c>
      <c r="L41" s="64">
        <v>24.69</v>
      </c>
      <c r="M41" s="64">
        <v>98.07</v>
      </c>
      <c r="N41" s="64">
        <v>114.6</v>
      </c>
      <c r="O41" s="64">
        <v>0</v>
      </c>
      <c r="P41" s="64">
        <v>0.28000000000000003</v>
      </c>
      <c r="Q41" s="64">
        <v>9.5299999999999994</v>
      </c>
      <c r="R41" s="198"/>
      <c r="S41" s="198"/>
      <c r="T41" s="198"/>
      <c r="U41" s="198"/>
    </row>
    <row r="42" spans="1:21" s="12" customFormat="1" x14ac:dyDescent="0.25">
      <c r="A42" s="212" t="s">
        <v>3160</v>
      </c>
      <c r="B42" s="64">
        <v>7.45</v>
      </c>
      <c r="C42" s="64">
        <v>8.09</v>
      </c>
      <c r="D42" s="64">
        <v>10.199999999999999</v>
      </c>
      <c r="E42" s="64">
        <v>4.01</v>
      </c>
      <c r="F42" s="64">
        <v>7.03</v>
      </c>
      <c r="G42" s="64">
        <v>21.24</v>
      </c>
      <c r="H42" s="64">
        <v>2.0499999999999998</v>
      </c>
      <c r="I42" s="64">
        <v>0.69</v>
      </c>
      <c r="J42" s="64">
        <v>0.13</v>
      </c>
      <c r="K42" s="64">
        <v>194.71</v>
      </c>
      <c r="L42" s="64">
        <v>24.94</v>
      </c>
      <c r="M42" s="64">
        <v>97.47</v>
      </c>
      <c r="N42" s="64">
        <v>133.4</v>
      </c>
      <c r="O42" s="64">
        <v>0</v>
      </c>
      <c r="P42" s="64">
        <v>0.27</v>
      </c>
      <c r="Q42" s="64">
        <v>9.5399999999999991</v>
      </c>
      <c r="R42" s="198"/>
      <c r="S42" s="198"/>
      <c r="T42" s="198"/>
      <c r="U42" s="198"/>
    </row>
    <row r="43" spans="1:21" s="12" customFormat="1" x14ac:dyDescent="0.25">
      <c r="A43" s="212" t="s">
        <v>3161</v>
      </c>
      <c r="B43" s="64">
        <v>7.5</v>
      </c>
      <c r="C43" s="64">
        <v>6.42</v>
      </c>
      <c r="D43" s="64">
        <v>9.3699999999999992</v>
      </c>
      <c r="E43" s="64">
        <v>4.0599999999999996</v>
      </c>
      <c r="F43" s="64">
        <v>4.6100000000000003</v>
      </c>
      <c r="G43" s="64">
        <v>21.24</v>
      </c>
      <c r="H43" s="64">
        <v>2.0499999999999998</v>
      </c>
      <c r="I43" s="64">
        <v>0.74</v>
      </c>
      <c r="J43" s="64">
        <v>7.0000000000000007E-2</v>
      </c>
      <c r="K43" s="64">
        <v>257.02</v>
      </c>
      <c r="L43" s="64">
        <v>25.28</v>
      </c>
      <c r="M43" s="64">
        <v>98.02</v>
      </c>
      <c r="N43" s="64">
        <v>153.80000000000001</v>
      </c>
      <c r="O43" s="64">
        <v>0</v>
      </c>
      <c r="P43" s="64">
        <v>0.28000000000000003</v>
      </c>
      <c r="Q43" s="64">
        <v>9.5299999999999994</v>
      </c>
      <c r="R43" s="198"/>
      <c r="S43" s="198"/>
      <c r="T43" s="198"/>
      <c r="U43" s="198"/>
    </row>
    <row r="44" spans="1:21" s="12" customFormat="1" x14ac:dyDescent="0.25">
      <c r="A44" s="212" t="s">
        <v>3162</v>
      </c>
      <c r="B44" s="64">
        <v>7.44</v>
      </c>
      <c r="C44" s="64">
        <v>6.25</v>
      </c>
      <c r="D44" s="64">
        <v>9.23</v>
      </c>
      <c r="E44" s="64">
        <v>3.99</v>
      </c>
      <c r="F44" s="64">
        <v>5.18</v>
      </c>
      <c r="G44" s="64">
        <v>21.24</v>
      </c>
      <c r="H44" s="64">
        <v>2.0499999999999998</v>
      </c>
      <c r="I44" s="64">
        <v>0.79</v>
      </c>
      <c r="J44" s="64">
        <v>0.1</v>
      </c>
      <c r="K44" s="64">
        <v>265.83</v>
      </c>
      <c r="L44" s="64">
        <v>25.53</v>
      </c>
      <c r="M44" s="64">
        <v>98</v>
      </c>
      <c r="N44" s="64">
        <v>146.19999999999999</v>
      </c>
      <c r="O44" s="64">
        <v>0</v>
      </c>
      <c r="P44" s="64">
        <v>0.28000000000000003</v>
      </c>
      <c r="Q44" s="64">
        <v>9.5299999999999994</v>
      </c>
      <c r="R44" s="198"/>
      <c r="S44" s="198"/>
      <c r="T44" s="198"/>
      <c r="U44" s="198"/>
    </row>
    <row r="45" spans="1:21" s="12" customFormat="1" x14ac:dyDescent="0.25">
      <c r="A45" s="212" t="s">
        <v>3163</v>
      </c>
      <c r="B45" s="64">
        <v>7.65</v>
      </c>
      <c r="C45" s="64">
        <v>6.21</v>
      </c>
      <c r="D45" s="64">
        <v>9.3699999999999992</v>
      </c>
      <c r="E45" s="64">
        <v>3.75</v>
      </c>
      <c r="F45" s="64">
        <v>3.96</v>
      </c>
      <c r="G45" s="64">
        <v>20.170000000000002</v>
      </c>
      <c r="H45" s="64">
        <v>2.0499999999999998</v>
      </c>
      <c r="I45" s="64">
        <v>0.79</v>
      </c>
      <c r="J45" s="64">
        <v>0.14000000000000001</v>
      </c>
      <c r="K45" s="64">
        <v>291.05</v>
      </c>
      <c r="L45" s="64">
        <v>25.79</v>
      </c>
      <c r="M45" s="64">
        <v>97.98</v>
      </c>
      <c r="N45" s="64">
        <v>170.9</v>
      </c>
      <c r="O45" s="64">
        <v>0</v>
      </c>
      <c r="P45" s="64">
        <v>0.28000000000000003</v>
      </c>
      <c r="Q45" s="64">
        <v>9.52</v>
      </c>
      <c r="R45" s="198"/>
      <c r="S45" s="198"/>
      <c r="T45" s="198"/>
      <c r="U45" s="198"/>
    </row>
    <row r="46" spans="1:21" s="12" customFormat="1" x14ac:dyDescent="0.25">
      <c r="A46" s="212" t="s">
        <v>3164</v>
      </c>
      <c r="B46" s="64">
        <v>7.27</v>
      </c>
      <c r="C46" s="64">
        <v>6.53</v>
      </c>
      <c r="D46" s="64">
        <v>9.24</v>
      </c>
      <c r="E46" s="64">
        <v>3.89</v>
      </c>
      <c r="F46" s="64">
        <v>3.69</v>
      </c>
      <c r="G46" s="64">
        <v>18.84</v>
      </c>
      <c r="H46" s="64">
        <v>2.06</v>
      </c>
      <c r="I46" s="64">
        <v>0.78</v>
      </c>
      <c r="J46" s="64">
        <v>0.14000000000000001</v>
      </c>
      <c r="K46" s="64">
        <v>287.17</v>
      </c>
      <c r="L46" s="64">
        <v>25.89</v>
      </c>
      <c r="M46" s="64">
        <v>97.97</v>
      </c>
      <c r="N46" s="64">
        <v>206.8</v>
      </c>
      <c r="O46" s="64">
        <v>0</v>
      </c>
      <c r="P46" s="64">
        <v>0.28000000000000003</v>
      </c>
      <c r="Q46" s="64">
        <v>9.51</v>
      </c>
      <c r="R46" s="198"/>
      <c r="S46" s="198"/>
      <c r="T46" s="198"/>
      <c r="U46" s="198"/>
    </row>
    <row r="47" spans="1:21" s="12" customFormat="1" x14ac:dyDescent="0.25">
      <c r="A47" s="212" t="s">
        <v>3165</v>
      </c>
      <c r="B47" s="64">
        <v>11.86</v>
      </c>
      <c r="C47" s="64">
        <v>10.14</v>
      </c>
      <c r="D47" s="64">
        <v>14.81</v>
      </c>
      <c r="E47" s="64">
        <v>4.09</v>
      </c>
      <c r="F47" s="64">
        <v>5.91</v>
      </c>
      <c r="G47" s="64">
        <v>18.84</v>
      </c>
      <c r="H47" s="64">
        <v>2.06</v>
      </c>
      <c r="I47" s="64">
        <v>0.77</v>
      </c>
      <c r="J47" s="64">
        <v>0.12</v>
      </c>
      <c r="K47" s="64">
        <v>315.2</v>
      </c>
      <c r="L47" s="64">
        <v>26.63</v>
      </c>
      <c r="M47" s="64">
        <v>97.95</v>
      </c>
      <c r="N47" s="64">
        <v>230.8</v>
      </c>
      <c r="O47" s="64">
        <v>0</v>
      </c>
      <c r="P47" s="64">
        <v>0.46</v>
      </c>
      <c r="Q47" s="64">
        <v>9.5</v>
      </c>
      <c r="R47" s="198"/>
      <c r="S47" s="198"/>
      <c r="T47" s="198"/>
      <c r="U47" s="198"/>
    </row>
    <row r="48" spans="1:21" s="12" customFormat="1" x14ac:dyDescent="0.25">
      <c r="A48" s="212" t="s">
        <v>3166</v>
      </c>
      <c r="B48" s="64">
        <v>7.89</v>
      </c>
      <c r="C48" s="64">
        <v>7.98</v>
      </c>
      <c r="D48" s="64">
        <v>10.5</v>
      </c>
      <c r="E48" s="64">
        <v>3.77</v>
      </c>
      <c r="F48" s="64">
        <v>5.74</v>
      </c>
      <c r="G48" s="64">
        <v>18.84</v>
      </c>
      <c r="H48" s="64">
        <v>2.06</v>
      </c>
      <c r="I48" s="64">
        <v>0.72</v>
      </c>
      <c r="J48" s="64">
        <v>0.15</v>
      </c>
      <c r="K48" s="64">
        <v>288.62</v>
      </c>
      <c r="L48" s="64">
        <v>27.29</v>
      </c>
      <c r="M48" s="64">
        <v>97.91</v>
      </c>
      <c r="N48" s="64">
        <v>237.6</v>
      </c>
      <c r="O48" s="64">
        <v>0</v>
      </c>
      <c r="P48" s="64">
        <v>0.37</v>
      </c>
      <c r="Q48" s="64">
        <v>9.52</v>
      </c>
      <c r="R48" s="198"/>
      <c r="S48" s="198"/>
      <c r="T48" s="198"/>
      <c r="U48" s="198"/>
    </row>
    <row r="49" spans="1:21" s="12" customFormat="1" x14ac:dyDescent="0.25">
      <c r="A49" s="212" t="s">
        <v>3167</v>
      </c>
      <c r="B49" s="64">
        <v>9.56</v>
      </c>
      <c r="C49" s="64">
        <v>8.61</v>
      </c>
      <c r="D49" s="64">
        <v>12.16</v>
      </c>
      <c r="E49" s="64">
        <v>3.9</v>
      </c>
      <c r="F49" s="64">
        <v>7.23</v>
      </c>
      <c r="G49" s="64">
        <v>21.93</v>
      </c>
      <c r="H49" s="64">
        <v>2.0499999999999998</v>
      </c>
      <c r="I49" s="64">
        <v>0.76</v>
      </c>
      <c r="J49" s="64">
        <v>0.23</v>
      </c>
      <c r="K49" s="64">
        <v>317.01</v>
      </c>
      <c r="L49" s="64">
        <v>27.33</v>
      </c>
      <c r="M49" s="64">
        <v>97.91</v>
      </c>
      <c r="N49" s="64">
        <v>246.9</v>
      </c>
      <c r="O49" s="64">
        <v>0</v>
      </c>
      <c r="P49" s="64">
        <v>0.37</v>
      </c>
      <c r="Q49" s="64">
        <v>9.5399999999999991</v>
      </c>
      <c r="R49" s="198"/>
      <c r="S49" s="198"/>
      <c r="T49" s="198"/>
      <c r="U49" s="198"/>
    </row>
    <row r="50" spans="1:21" s="12" customFormat="1" x14ac:dyDescent="0.25">
      <c r="A50" s="212" t="s">
        <v>3168</v>
      </c>
      <c r="B50" s="64">
        <v>12.06</v>
      </c>
      <c r="C50" s="64">
        <v>9.09</v>
      </c>
      <c r="D50" s="64">
        <v>14.42</v>
      </c>
      <c r="E50" s="64">
        <v>3.9</v>
      </c>
      <c r="F50" s="64">
        <v>5.96</v>
      </c>
      <c r="G50" s="64">
        <v>25.81</v>
      </c>
      <c r="H50" s="64">
        <v>2.04</v>
      </c>
      <c r="I50" s="64">
        <v>0.84</v>
      </c>
      <c r="J50" s="64">
        <v>0.09</v>
      </c>
      <c r="K50" s="64">
        <v>283.02999999999997</v>
      </c>
      <c r="L50" s="64">
        <v>27.8</v>
      </c>
      <c r="M50" s="64">
        <v>97.88</v>
      </c>
      <c r="N50" s="64">
        <v>207.5</v>
      </c>
      <c r="O50" s="64">
        <v>0</v>
      </c>
      <c r="P50" s="64">
        <v>0.4</v>
      </c>
      <c r="Q50" s="64">
        <v>9.56</v>
      </c>
      <c r="R50" s="198"/>
      <c r="S50" s="198"/>
      <c r="T50" s="198"/>
      <c r="U50" s="198"/>
    </row>
    <row r="51" spans="1:21" s="12" customFormat="1" x14ac:dyDescent="0.25">
      <c r="A51" s="212" t="s">
        <v>3169</v>
      </c>
      <c r="B51" s="64">
        <v>9.99</v>
      </c>
      <c r="C51" s="64">
        <v>8.0500000000000007</v>
      </c>
      <c r="D51" s="64">
        <v>12.22</v>
      </c>
      <c r="E51" s="64">
        <v>3.99</v>
      </c>
      <c r="F51" s="64">
        <v>2.84</v>
      </c>
      <c r="G51" s="64">
        <v>25.81</v>
      </c>
      <c r="H51" s="64">
        <v>2.04</v>
      </c>
      <c r="I51" s="64">
        <v>0.87</v>
      </c>
      <c r="J51" s="64">
        <v>0.08</v>
      </c>
      <c r="K51" s="64">
        <v>306.20999999999998</v>
      </c>
      <c r="L51" s="64">
        <v>27.76</v>
      </c>
      <c r="M51" s="64">
        <v>97.85</v>
      </c>
      <c r="N51" s="64">
        <v>223.7</v>
      </c>
      <c r="O51" s="64">
        <v>0</v>
      </c>
      <c r="P51" s="64">
        <v>0.34</v>
      </c>
      <c r="Q51" s="64">
        <v>9.5500000000000007</v>
      </c>
      <c r="R51" s="198"/>
      <c r="S51" s="198"/>
      <c r="T51" s="198"/>
      <c r="U51" s="198"/>
    </row>
    <row r="52" spans="1:21" s="12" customFormat="1" x14ac:dyDescent="0.25">
      <c r="A52" s="212" t="s">
        <v>3170</v>
      </c>
      <c r="B52" s="64">
        <v>9.94</v>
      </c>
      <c r="C52" s="64">
        <v>9.2100000000000009</v>
      </c>
      <c r="D52" s="64">
        <v>12.78</v>
      </c>
      <c r="E52" s="64">
        <v>4.05</v>
      </c>
      <c r="F52" s="64">
        <v>6.94</v>
      </c>
      <c r="G52" s="64">
        <v>25.81</v>
      </c>
      <c r="H52" s="64">
        <v>2.04</v>
      </c>
      <c r="I52" s="64">
        <v>0.9</v>
      </c>
      <c r="J52" s="64">
        <v>0.08</v>
      </c>
      <c r="K52" s="64">
        <v>262.76</v>
      </c>
      <c r="L52" s="64">
        <v>27.78</v>
      </c>
      <c r="M52" s="64">
        <v>97.74</v>
      </c>
      <c r="N52" s="64">
        <v>223.1</v>
      </c>
      <c r="O52" s="64">
        <v>0</v>
      </c>
      <c r="P52" s="64">
        <v>0.45</v>
      </c>
      <c r="Q52" s="64">
        <v>9.5399999999999991</v>
      </c>
      <c r="R52" s="198"/>
      <c r="S52" s="198"/>
      <c r="T52" s="198"/>
      <c r="U52" s="198"/>
    </row>
    <row r="53" spans="1:21" s="12" customFormat="1" x14ac:dyDescent="0.25">
      <c r="A53" s="212" t="s">
        <v>3171</v>
      </c>
      <c r="B53" s="64">
        <v>9.98</v>
      </c>
      <c r="C53" s="64">
        <v>9.23</v>
      </c>
      <c r="D53" s="64">
        <v>12.82</v>
      </c>
      <c r="E53" s="64">
        <v>4.04</v>
      </c>
      <c r="F53" s="64">
        <v>8.39</v>
      </c>
      <c r="G53" s="64">
        <v>31.56</v>
      </c>
      <c r="H53" s="64">
        <v>2.02</v>
      </c>
      <c r="I53" s="64">
        <v>0.92</v>
      </c>
      <c r="J53" s="64">
        <v>0.15</v>
      </c>
      <c r="K53" s="64">
        <v>299.5</v>
      </c>
      <c r="L53" s="64">
        <v>28.26</v>
      </c>
      <c r="M53" s="64">
        <v>96.47</v>
      </c>
      <c r="N53" s="64">
        <v>243.1</v>
      </c>
      <c r="O53" s="64">
        <v>0</v>
      </c>
      <c r="P53" s="64">
        <v>0.41</v>
      </c>
      <c r="Q53" s="64">
        <v>9.5399999999999991</v>
      </c>
      <c r="R53" s="198"/>
      <c r="S53" s="198"/>
      <c r="T53" s="198"/>
      <c r="U53" s="198"/>
    </row>
    <row r="54" spans="1:21" s="12" customFormat="1" x14ac:dyDescent="0.25">
      <c r="A54" s="212" t="s">
        <v>3172</v>
      </c>
      <c r="B54" s="64">
        <v>9.92</v>
      </c>
      <c r="C54" s="64">
        <v>10.4</v>
      </c>
      <c r="D54" s="64">
        <v>13.39</v>
      </c>
      <c r="E54" s="64">
        <v>3.86</v>
      </c>
      <c r="F54" s="64">
        <v>5.53</v>
      </c>
      <c r="G54" s="64">
        <v>38.75</v>
      </c>
      <c r="H54" s="64">
        <v>1.98</v>
      </c>
      <c r="I54" s="64">
        <v>0.87</v>
      </c>
      <c r="J54" s="64">
        <v>0.16</v>
      </c>
      <c r="K54" s="64">
        <v>290.48</v>
      </c>
      <c r="L54" s="64">
        <v>28.51</v>
      </c>
      <c r="M54" s="64">
        <v>94.48</v>
      </c>
      <c r="N54" s="64">
        <v>296.8</v>
      </c>
      <c r="O54" s="64">
        <v>0</v>
      </c>
      <c r="P54" s="64">
        <v>0.42</v>
      </c>
      <c r="Q54" s="64">
        <v>9.5500000000000007</v>
      </c>
      <c r="R54" s="198"/>
      <c r="S54" s="198"/>
      <c r="T54" s="198"/>
      <c r="U54" s="198"/>
    </row>
    <row r="55" spans="1:21" s="12" customFormat="1" x14ac:dyDescent="0.25">
      <c r="A55" s="212" t="s">
        <v>3173</v>
      </c>
      <c r="B55" s="64">
        <v>9.85</v>
      </c>
      <c r="C55" s="64">
        <v>9.73</v>
      </c>
      <c r="D55" s="64">
        <v>12.98</v>
      </c>
      <c r="E55" s="64">
        <v>3.81</v>
      </c>
      <c r="F55" s="64">
        <v>4.93</v>
      </c>
      <c r="G55" s="64">
        <v>38.75</v>
      </c>
      <c r="H55" s="64">
        <v>1.98</v>
      </c>
      <c r="I55" s="64">
        <v>0.84</v>
      </c>
      <c r="J55" s="64">
        <v>0.17</v>
      </c>
      <c r="K55" s="64">
        <v>317.55</v>
      </c>
      <c r="L55" s="64">
        <v>28.27</v>
      </c>
      <c r="M55" s="64">
        <v>96.34</v>
      </c>
      <c r="N55" s="64">
        <v>387.9</v>
      </c>
      <c r="O55" s="64">
        <v>0</v>
      </c>
      <c r="P55" s="64">
        <v>0.44</v>
      </c>
      <c r="Q55" s="64">
        <v>9.5500000000000007</v>
      </c>
      <c r="R55" s="198"/>
      <c r="S55" s="198"/>
      <c r="T55" s="198"/>
      <c r="U55" s="198"/>
    </row>
    <row r="56" spans="1:21" s="12" customFormat="1" x14ac:dyDescent="0.25">
      <c r="A56" s="212" t="s">
        <v>3174</v>
      </c>
      <c r="B56" s="64">
        <v>10.69</v>
      </c>
      <c r="C56" s="64">
        <v>12.66</v>
      </c>
      <c r="D56" s="64">
        <v>15.19</v>
      </c>
      <c r="E56" s="64">
        <v>3.79</v>
      </c>
      <c r="F56" s="64">
        <v>8.4499999999999993</v>
      </c>
      <c r="G56" s="64">
        <v>38.75</v>
      </c>
      <c r="H56" s="64">
        <v>1.98</v>
      </c>
      <c r="I56" s="64">
        <v>0.89</v>
      </c>
      <c r="J56" s="64">
        <v>0.04</v>
      </c>
      <c r="K56" s="64">
        <v>310.95</v>
      </c>
      <c r="L56" s="64">
        <v>29.46</v>
      </c>
      <c r="M56" s="64">
        <v>90.42</v>
      </c>
      <c r="N56" s="64">
        <v>422.4</v>
      </c>
      <c r="O56" s="64">
        <v>0</v>
      </c>
      <c r="P56" s="64">
        <v>0.61</v>
      </c>
      <c r="Q56" s="64">
        <v>9.56</v>
      </c>
      <c r="R56" s="198"/>
      <c r="S56" s="198"/>
      <c r="T56" s="198"/>
      <c r="U56" s="198"/>
    </row>
    <row r="57" spans="1:21" s="12" customFormat="1" x14ac:dyDescent="0.25">
      <c r="A57" s="212" t="s">
        <v>3175</v>
      </c>
      <c r="B57" s="64">
        <v>9.6300000000000008</v>
      </c>
      <c r="C57" s="64">
        <v>13.42</v>
      </c>
      <c r="D57" s="64">
        <v>14.73</v>
      </c>
      <c r="E57" s="64">
        <v>3.82</v>
      </c>
      <c r="F57" s="64">
        <v>8.68</v>
      </c>
      <c r="G57" s="64">
        <v>43.15</v>
      </c>
      <c r="H57" s="64">
        <v>4.05</v>
      </c>
      <c r="I57" s="64">
        <v>0.96</v>
      </c>
      <c r="J57" s="64">
        <v>0.04</v>
      </c>
      <c r="K57" s="64">
        <v>146.49</v>
      </c>
      <c r="L57" s="64">
        <v>29.62</v>
      </c>
      <c r="M57" s="64">
        <v>88.52</v>
      </c>
      <c r="N57" s="64">
        <v>443.2</v>
      </c>
      <c r="O57" s="64">
        <v>0</v>
      </c>
      <c r="P57" s="64">
        <v>0.5</v>
      </c>
      <c r="Q57" s="64">
        <v>9.57</v>
      </c>
      <c r="R57" s="198"/>
      <c r="S57" s="198"/>
      <c r="T57" s="198"/>
      <c r="U57" s="198"/>
    </row>
    <row r="58" spans="1:21" s="12" customFormat="1" x14ac:dyDescent="0.25">
      <c r="A58" s="212" t="s">
        <v>3176</v>
      </c>
      <c r="B58" s="64">
        <v>9.25</v>
      </c>
      <c r="C58" s="64">
        <v>10.63</v>
      </c>
      <c r="D58" s="64">
        <v>12.97</v>
      </c>
      <c r="E58" s="64">
        <v>3.85</v>
      </c>
      <c r="F58" s="64">
        <v>8.06</v>
      </c>
      <c r="G58" s="64">
        <v>48.66</v>
      </c>
      <c r="H58" s="64">
        <v>5.45</v>
      </c>
      <c r="I58" s="64">
        <v>1.05</v>
      </c>
      <c r="J58" s="64">
        <v>0.09</v>
      </c>
      <c r="K58" s="64">
        <v>242.73</v>
      </c>
      <c r="L58" s="64">
        <v>29.52</v>
      </c>
      <c r="M58" s="64">
        <v>87.83</v>
      </c>
      <c r="N58" s="64">
        <v>365.4</v>
      </c>
      <c r="O58" s="64">
        <v>0</v>
      </c>
      <c r="P58" s="64">
        <v>0.43</v>
      </c>
      <c r="Q58" s="64">
        <v>9.57</v>
      </c>
      <c r="R58" s="198"/>
      <c r="S58" s="198"/>
      <c r="T58" s="198"/>
      <c r="U58" s="198"/>
    </row>
    <row r="59" spans="1:21" s="12" customFormat="1" x14ac:dyDescent="0.25">
      <c r="A59" s="212" t="s">
        <v>3177</v>
      </c>
      <c r="B59" s="64">
        <v>7.84</v>
      </c>
      <c r="C59" s="64">
        <v>9.73</v>
      </c>
      <c r="D59" s="64">
        <v>11.37</v>
      </c>
      <c r="E59" s="64">
        <v>3.97</v>
      </c>
      <c r="F59" s="64">
        <v>7.56</v>
      </c>
      <c r="G59" s="64">
        <v>48.66</v>
      </c>
      <c r="H59" s="64">
        <v>5.45</v>
      </c>
      <c r="I59" s="64">
        <v>1.1100000000000001</v>
      </c>
      <c r="J59" s="64">
        <v>7.0000000000000007E-2</v>
      </c>
      <c r="K59" s="64">
        <v>241.7</v>
      </c>
      <c r="L59" s="64">
        <v>29.3</v>
      </c>
      <c r="M59" s="64">
        <v>89.93</v>
      </c>
      <c r="N59" s="64">
        <v>270</v>
      </c>
      <c r="O59" s="64">
        <v>0</v>
      </c>
      <c r="P59" s="64">
        <v>0.41</v>
      </c>
      <c r="Q59" s="64">
        <v>9.56</v>
      </c>
      <c r="R59" s="198"/>
      <c r="S59" s="198"/>
      <c r="T59" s="198"/>
      <c r="U59" s="198"/>
    </row>
    <row r="60" spans="1:21" s="12" customFormat="1" x14ac:dyDescent="0.25">
      <c r="A60" s="212" t="s">
        <v>3178</v>
      </c>
      <c r="B60" s="64">
        <v>11.33</v>
      </c>
      <c r="C60" s="64">
        <v>9.6</v>
      </c>
      <c r="D60" s="64">
        <v>14.1</v>
      </c>
      <c r="E60" s="64">
        <v>3.99</v>
      </c>
      <c r="F60" s="64">
        <v>9.08</v>
      </c>
      <c r="G60" s="64">
        <v>48.66</v>
      </c>
      <c r="H60" s="64">
        <v>5.45</v>
      </c>
      <c r="I60" s="64">
        <v>1.1100000000000001</v>
      </c>
      <c r="J60" s="64">
        <v>0.2</v>
      </c>
      <c r="K60" s="64">
        <v>325.70999999999998</v>
      </c>
      <c r="L60" s="64">
        <v>29.22</v>
      </c>
      <c r="M60" s="64">
        <v>92</v>
      </c>
      <c r="N60" s="64">
        <v>263.3</v>
      </c>
      <c r="O60" s="64">
        <v>0</v>
      </c>
      <c r="P60" s="64">
        <v>0.51</v>
      </c>
      <c r="Q60" s="64">
        <v>9.56</v>
      </c>
      <c r="R60" s="198"/>
      <c r="S60" s="198"/>
      <c r="T60" s="198"/>
      <c r="U60" s="198"/>
    </row>
    <row r="61" spans="1:21" s="12" customFormat="1" x14ac:dyDescent="0.25">
      <c r="A61" s="212" t="s">
        <v>3179</v>
      </c>
      <c r="B61" s="64">
        <v>9.3000000000000007</v>
      </c>
      <c r="C61" s="64">
        <v>11.33</v>
      </c>
      <c r="D61" s="64">
        <v>13.38</v>
      </c>
      <c r="E61" s="64">
        <v>4.0199999999999996</v>
      </c>
      <c r="F61" s="64">
        <v>9.27</v>
      </c>
      <c r="G61" s="64">
        <v>47.38</v>
      </c>
      <c r="H61" s="64">
        <v>5.94</v>
      </c>
      <c r="I61" s="64">
        <v>1.0900000000000001</v>
      </c>
      <c r="J61" s="64">
        <v>0.54</v>
      </c>
      <c r="K61" s="64">
        <v>327.94</v>
      </c>
      <c r="L61" s="64">
        <v>30.23</v>
      </c>
      <c r="M61" s="64">
        <v>87.88</v>
      </c>
      <c r="N61" s="64">
        <v>271.10000000000002</v>
      </c>
      <c r="O61" s="64">
        <v>0</v>
      </c>
      <c r="P61" s="64">
        <v>0.47</v>
      </c>
      <c r="Q61" s="64">
        <v>9.56</v>
      </c>
      <c r="R61" s="198"/>
      <c r="S61" s="198"/>
      <c r="T61" s="198"/>
      <c r="U61" s="198"/>
    </row>
    <row r="62" spans="1:21" s="12" customFormat="1" x14ac:dyDescent="0.25">
      <c r="A62" s="212" t="s">
        <v>3180</v>
      </c>
      <c r="B62" s="64">
        <v>11.63</v>
      </c>
      <c r="C62" s="64">
        <v>10.92</v>
      </c>
      <c r="D62" s="64">
        <v>15.03</v>
      </c>
      <c r="E62" s="64">
        <v>3.9</v>
      </c>
      <c r="F62" s="64">
        <v>8.06</v>
      </c>
      <c r="G62" s="64">
        <v>45.79</v>
      </c>
      <c r="H62" s="64">
        <v>7.41</v>
      </c>
      <c r="I62" s="64">
        <v>1.0900000000000001</v>
      </c>
      <c r="J62" s="64">
        <v>0.56000000000000005</v>
      </c>
      <c r="K62" s="64">
        <v>330.16</v>
      </c>
      <c r="L62" s="64">
        <v>30.22</v>
      </c>
      <c r="M62" s="64">
        <v>86.93</v>
      </c>
      <c r="N62" s="64">
        <v>274.8</v>
      </c>
      <c r="O62" s="64">
        <v>0</v>
      </c>
      <c r="P62" s="64">
        <v>0.56999999999999995</v>
      </c>
      <c r="Q62" s="64">
        <v>9.57</v>
      </c>
      <c r="R62" s="198"/>
      <c r="S62" s="198"/>
      <c r="T62" s="198"/>
      <c r="U62" s="198"/>
    </row>
    <row r="63" spans="1:21" s="12" customFormat="1" x14ac:dyDescent="0.25">
      <c r="A63" s="212" t="s">
        <v>3181</v>
      </c>
      <c r="B63" s="64">
        <v>9.64</v>
      </c>
      <c r="C63" s="64">
        <v>11.05</v>
      </c>
      <c r="D63" s="64">
        <v>13.5</v>
      </c>
      <c r="E63" s="64">
        <v>3.97</v>
      </c>
      <c r="F63" s="64">
        <v>12.4</v>
      </c>
      <c r="G63" s="64">
        <v>45.79</v>
      </c>
      <c r="H63" s="64">
        <v>7.41</v>
      </c>
      <c r="I63" s="64">
        <v>1.1299999999999999</v>
      </c>
      <c r="J63" s="64">
        <v>0.24</v>
      </c>
      <c r="K63" s="64">
        <v>331.23</v>
      </c>
      <c r="L63" s="64">
        <v>29.77</v>
      </c>
      <c r="M63" s="64">
        <v>86.96</v>
      </c>
      <c r="N63" s="64">
        <v>207.6</v>
      </c>
      <c r="O63" s="64">
        <v>0</v>
      </c>
      <c r="P63" s="64">
        <v>0.54</v>
      </c>
      <c r="Q63" s="64">
        <v>9.59</v>
      </c>
      <c r="R63" s="198"/>
      <c r="S63" s="198"/>
      <c r="T63" s="198"/>
      <c r="U63" s="198"/>
    </row>
    <row r="64" spans="1:21" s="12" customFormat="1" x14ac:dyDescent="0.25">
      <c r="A64" s="212" t="s">
        <v>3182</v>
      </c>
      <c r="B64" s="64">
        <v>10.130000000000001</v>
      </c>
      <c r="C64" s="64">
        <v>12.94</v>
      </c>
      <c r="D64" s="64">
        <v>14.88</v>
      </c>
      <c r="E64" s="64">
        <v>3.88</v>
      </c>
      <c r="F64" s="64">
        <v>13.31</v>
      </c>
      <c r="G64" s="64">
        <v>45.79</v>
      </c>
      <c r="H64" s="64">
        <v>7.41</v>
      </c>
      <c r="I64" s="64">
        <v>1.19</v>
      </c>
      <c r="J64" s="64">
        <v>0.1</v>
      </c>
      <c r="K64" s="64">
        <v>289.01</v>
      </c>
      <c r="L64" s="64">
        <v>29.58</v>
      </c>
      <c r="M64" s="64">
        <v>87.1</v>
      </c>
      <c r="N64" s="64">
        <v>237.5</v>
      </c>
      <c r="O64" s="64">
        <v>0</v>
      </c>
      <c r="P64" s="64">
        <v>0.52</v>
      </c>
      <c r="Q64" s="64">
        <v>9.6</v>
      </c>
      <c r="R64" s="198"/>
      <c r="S64" s="198"/>
      <c r="T64" s="198"/>
      <c r="U64" s="198"/>
    </row>
    <row r="65" spans="1:21" s="12" customFormat="1" x14ac:dyDescent="0.25">
      <c r="A65" s="212" t="s">
        <v>3183</v>
      </c>
      <c r="B65" s="64">
        <v>11.06</v>
      </c>
      <c r="C65" s="64">
        <v>11.56</v>
      </c>
      <c r="D65" s="64">
        <v>14.91</v>
      </c>
      <c r="E65" s="64">
        <v>3.77</v>
      </c>
      <c r="F65" s="64">
        <v>11.06</v>
      </c>
      <c r="G65" s="64">
        <v>49.55</v>
      </c>
      <c r="H65" s="64">
        <v>7.43</v>
      </c>
      <c r="I65" s="64">
        <v>1.31</v>
      </c>
      <c r="J65" s="64">
        <v>0.17</v>
      </c>
      <c r="K65" s="64">
        <v>312.14999999999998</v>
      </c>
      <c r="L65" s="64">
        <v>29.65</v>
      </c>
      <c r="M65" s="64">
        <v>86.24</v>
      </c>
      <c r="N65" s="64">
        <v>231.6</v>
      </c>
      <c r="O65" s="64">
        <v>0</v>
      </c>
      <c r="P65" s="64">
        <v>0.49</v>
      </c>
      <c r="Q65" s="64">
        <v>9.61</v>
      </c>
      <c r="R65" s="198"/>
      <c r="S65" s="198"/>
      <c r="T65" s="198"/>
      <c r="U65" s="198"/>
    </row>
    <row r="66" spans="1:21" s="12" customFormat="1" x14ac:dyDescent="0.25">
      <c r="A66" s="212" t="s">
        <v>3184</v>
      </c>
      <c r="B66" s="64">
        <v>14</v>
      </c>
      <c r="C66" s="64">
        <v>11.26</v>
      </c>
      <c r="D66" s="64">
        <v>17</v>
      </c>
      <c r="E66" s="64">
        <v>4.25</v>
      </c>
      <c r="F66" s="64">
        <v>9.94</v>
      </c>
      <c r="G66" s="64">
        <v>54.25</v>
      </c>
      <c r="H66" s="64">
        <v>7.52</v>
      </c>
      <c r="I66" s="64">
        <v>1.42</v>
      </c>
      <c r="J66" s="64">
        <v>0.24</v>
      </c>
      <c r="K66" s="64">
        <v>324.13</v>
      </c>
      <c r="L66" s="64">
        <v>29.69</v>
      </c>
      <c r="M66" s="64">
        <v>81.64</v>
      </c>
      <c r="N66" s="64">
        <v>245.5</v>
      </c>
      <c r="O66" s="64">
        <v>0</v>
      </c>
      <c r="P66" s="64">
        <v>0.53</v>
      </c>
      <c r="Q66" s="64">
        <v>9.61</v>
      </c>
      <c r="R66" s="198"/>
      <c r="S66" s="198"/>
      <c r="T66" s="198"/>
      <c r="U66" s="198"/>
    </row>
    <row r="67" spans="1:21" s="12" customFormat="1" x14ac:dyDescent="0.25">
      <c r="A67" s="212" t="s">
        <v>3185</v>
      </c>
      <c r="B67" s="64">
        <v>7.61</v>
      </c>
      <c r="C67" s="64">
        <v>10.130000000000001</v>
      </c>
      <c r="D67" s="64">
        <v>11.4</v>
      </c>
      <c r="E67" s="64">
        <v>4.0199999999999996</v>
      </c>
      <c r="F67" s="64">
        <v>15.5</v>
      </c>
      <c r="G67" s="64">
        <v>54.25</v>
      </c>
      <c r="H67" s="64">
        <v>7.52</v>
      </c>
      <c r="I67" s="64">
        <v>1.44</v>
      </c>
      <c r="J67" s="64">
        <v>0.16</v>
      </c>
      <c r="K67" s="64">
        <v>159.9</v>
      </c>
      <c r="L67" s="64">
        <v>29.14</v>
      </c>
      <c r="M67" s="64">
        <v>85.36</v>
      </c>
      <c r="N67" s="64">
        <v>226.4</v>
      </c>
      <c r="O67" s="64">
        <v>0</v>
      </c>
      <c r="P67" s="64">
        <v>0.46</v>
      </c>
      <c r="Q67" s="64">
        <v>9.6</v>
      </c>
      <c r="R67" s="198"/>
      <c r="S67" s="198"/>
      <c r="T67" s="198"/>
      <c r="U67" s="198"/>
    </row>
    <row r="68" spans="1:21" s="12" customFormat="1" x14ac:dyDescent="0.25">
      <c r="A68" s="212" t="s">
        <v>3186</v>
      </c>
      <c r="B68" s="64">
        <v>11.63</v>
      </c>
      <c r="C68" s="64">
        <v>15.15</v>
      </c>
      <c r="D68" s="64">
        <v>17.239999999999998</v>
      </c>
      <c r="E68" s="64">
        <v>4.3099999999999996</v>
      </c>
      <c r="F68" s="64">
        <v>12.47</v>
      </c>
      <c r="G68" s="64">
        <v>54.25</v>
      </c>
      <c r="H68" s="64">
        <v>7.52</v>
      </c>
      <c r="I68" s="64">
        <v>1.45</v>
      </c>
      <c r="J68" s="64">
        <v>0.08</v>
      </c>
      <c r="K68" s="64">
        <v>234.62</v>
      </c>
      <c r="L68" s="64">
        <v>28.73</v>
      </c>
      <c r="M68" s="64">
        <v>88.56</v>
      </c>
      <c r="N68" s="64">
        <v>236.9</v>
      </c>
      <c r="O68" s="64">
        <v>0</v>
      </c>
      <c r="P68" s="64">
        <v>0.84</v>
      </c>
      <c r="Q68" s="64">
        <v>9.6199999999999992</v>
      </c>
      <c r="R68" s="198"/>
      <c r="S68" s="198"/>
      <c r="T68" s="198"/>
      <c r="U68" s="198"/>
    </row>
    <row r="69" spans="1:21" s="12" customFormat="1" x14ac:dyDescent="0.25">
      <c r="A69" s="212" t="s">
        <v>3187</v>
      </c>
      <c r="B69" s="64">
        <v>18.11</v>
      </c>
      <c r="C69" s="64">
        <v>25.62</v>
      </c>
      <c r="D69" s="64">
        <v>27.91</v>
      </c>
      <c r="E69" s="64">
        <v>4.3</v>
      </c>
      <c r="F69" s="64">
        <v>12.51</v>
      </c>
      <c r="G69" s="64">
        <v>52.57</v>
      </c>
      <c r="H69" s="64">
        <v>8.44</v>
      </c>
      <c r="I69" s="64">
        <v>1.45</v>
      </c>
      <c r="J69" s="64">
        <v>0.25</v>
      </c>
      <c r="K69" s="64">
        <v>343.92</v>
      </c>
      <c r="L69" s="64">
        <v>29.65</v>
      </c>
      <c r="M69" s="64">
        <v>82.71</v>
      </c>
      <c r="N69" s="64">
        <v>217.9</v>
      </c>
      <c r="O69" s="64">
        <v>0</v>
      </c>
      <c r="P69" s="64">
        <v>1.1499999999999999</v>
      </c>
      <c r="Q69" s="64">
        <v>9.6199999999999992</v>
      </c>
      <c r="R69" s="198"/>
      <c r="S69" s="198"/>
      <c r="T69" s="198"/>
      <c r="U69" s="198"/>
    </row>
    <row r="70" spans="1:21" s="12" customFormat="1" x14ac:dyDescent="0.25">
      <c r="A70" s="212" t="s">
        <v>3188</v>
      </c>
      <c r="B70" s="64">
        <v>12.27</v>
      </c>
      <c r="C70" s="64">
        <v>21.45</v>
      </c>
      <c r="D70" s="64">
        <v>21.04</v>
      </c>
      <c r="E70" s="64">
        <v>4.2300000000000004</v>
      </c>
      <c r="F70" s="64">
        <v>9.7200000000000006</v>
      </c>
      <c r="G70" s="64">
        <v>50.47</v>
      </c>
      <c r="H70" s="64">
        <v>11.55</v>
      </c>
      <c r="I70" s="64">
        <v>1.51</v>
      </c>
      <c r="J70" s="64">
        <v>0.08</v>
      </c>
      <c r="K70" s="64">
        <v>341.54</v>
      </c>
      <c r="L70" s="64">
        <v>30</v>
      </c>
      <c r="M70" s="64">
        <v>80.650000000000006</v>
      </c>
      <c r="N70" s="64">
        <v>164.4</v>
      </c>
      <c r="O70" s="64">
        <v>0</v>
      </c>
      <c r="P70" s="64">
        <v>0.96</v>
      </c>
      <c r="Q70" s="64">
        <v>9.59</v>
      </c>
      <c r="R70" s="198"/>
      <c r="S70" s="198"/>
      <c r="T70" s="198"/>
      <c r="U70" s="198"/>
    </row>
    <row r="71" spans="1:21" s="12" customFormat="1" x14ac:dyDescent="0.25">
      <c r="A71" s="212" t="s">
        <v>3189</v>
      </c>
      <c r="B71" s="64">
        <v>8.9499999999999993</v>
      </c>
      <c r="C71" s="64">
        <v>23.1</v>
      </c>
      <c r="D71" s="64">
        <v>19.25</v>
      </c>
      <c r="E71" s="64">
        <v>4.4400000000000004</v>
      </c>
      <c r="F71" s="64">
        <v>14.32</v>
      </c>
      <c r="G71" s="64">
        <v>50.47</v>
      </c>
      <c r="H71" s="64">
        <v>11.55</v>
      </c>
      <c r="I71" s="64">
        <v>1.64</v>
      </c>
      <c r="J71" s="64">
        <v>0.15</v>
      </c>
      <c r="K71" s="64">
        <v>359.51</v>
      </c>
      <c r="L71" s="64">
        <v>29.37</v>
      </c>
      <c r="M71" s="64">
        <v>84.81</v>
      </c>
      <c r="N71" s="64">
        <v>145.5</v>
      </c>
      <c r="O71" s="64">
        <v>0</v>
      </c>
      <c r="P71" s="64">
        <v>0.96</v>
      </c>
      <c r="Q71" s="64">
        <v>9.6</v>
      </c>
      <c r="R71" s="198"/>
      <c r="S71" s="198"/>
      <c r="T71" s="198"/>
      <c r="U71" s="198"/>
    </row>
    <row r="72" spans="1:21" s="12" customFormat="1" x14ac:dyDescent="0.25">
      <c r="A72" s="212" t="s">
        <v>3190</v>
      </c>
      <c r="B72" s="64">
        <v>9.73</v>
      </c>
      <c r="C72" s="64">
        <v>16.37</v>
      </c>
      <c r="D72" s="64">
        <v>16.350000000000001</v>
      </c>
      <c r="E72" s="64">
        <v>4.5</v>
      </c>
      <c r="F72" s="64">
        <v>13.06</v>
      </c>
      <c r="G72" s="64">
        <v>50.47</v>
      </c>
      <c r="H72" s="64">
        <v>11.55</v>
      </c>
      <c r="I72" s="64">
        <v>1.78</v>
      </c>
      <c r="J72" s="64">
        <v>0.3</v>
      </c>
      <c r="K72" s="64">
        <v>6.12</v>
      </c>
      <c r="L72" s="64">
        <v>29</v>
      </c>
      <c r="M72" s="64">
        <v>85.26</v>
      </c>
      <c r="N72" s="64">
        <v>193.7</v>
      </c>
      <c r="O72" s="64">
        <v>0</v>
      </c>
      <c r="P72" s="64">
        <v>0.79</v>
      </c>
      <c r="Q72" s="64">
        <v>9.6199999999999992</v>
      </c>
      <c r="R72" s="198"/>
      <c r="S72" s="198"/>
      <c r="T72" s="198"/>
      <c r="U72" s="198"/>
    </row>
    <row r="73" spans="1:21" s="12" customFormat="1" x14ac:dyDescent="0.25">
      <c r="A73" s="212" t="s">
        <v>3191</v>
      </c>
      <c r="B73" s="64">
        <v>20.95</v>
      </c>
      <c r="C73" s="64">
        <v>17.079999999999998</v>
      </c>
      <c r="D73" s="64">
        <v>25.44</v>
      </c>
      <c r="E73" s="64">
        <v>4.66</v>
      </c>
      <c r="F73" s="64">
        <v>15.14</v>
      </c>
      <c r="G73" s="64">
        <v>56.61</v>
      </c>
      <c r="H73" s="64">
        <v>12.63</v>
      </c>
      <c r="I73" s="64">
        <v>1.91</v>
      </c>
      <c r="J73" s="64">
        <v>0.72</v>
      </c>
      <c r="K73" s="64">
        <v>338.07</v>
      </c>
      <c r="L73" s="64">
        <v>30.18</v>
      </c>
      <c r="M73" s="64">
        <v>79.7</v>
      </c>
      <c r="N73" s="64">
        <v>166.9</v>
      </c>
      <c r="O73" s="64">
        <v>0</v>
      </c>
      <c r="P73" s="64">
        <v>1.01</v>
      </c>
      <c r="Q73" s="64">
        <v>9.6199999999999992</v>
      </c>
      <c r="R73" s="198"/>
      <c r="S73" s="198"/>
      <c r="T73" s="198"/>
      <c r="U73" s="198"/>
    </row>
    <row r="74" spans="1:21" s="12" customFormat="1" x14ac:dyDescent="0.25">
      <c r="A74" s="212" t="s">
        <v>3192</v>
      </c>
      <c r="B74" s="64">
        <v>11.84</v>
      </c>
      <c r="C74" s="64">
        <v>14.29</v>
      </c>
      <c r="D74" s="64">
        <v>16.97</v>
      </c>
      <c r="E74" s="64">
        <v>4.54</v>
      </c>
      <c r="F74" s="64">
        <v>9.84</v>
      </c>
      <c r="G74" s="64">
        <v>64.290000000000006</v>
      </c>
      <c r="H74" s="64">
        <v>13.37</v>
      </c>
      <c r="I74" s="64">
        <v>2</v>
      </c>
      <c r="J74" s="64">
        <v>0.43</v>
      </c>
      <c r="K74" s="64">
        <v>339.09</v>
      </c>
      <c r="L74" s="64">
        <v>30.51</v>
      </c>
      <c r="M74" s="64">
        <v>76.930000000000007</v>
      </c>
      <c r="N74" s="64">
        <v>133.9</v>
      </c>
      <c r="O74" s="64">
        <v>0</v>
      </c>
      <c r="P74" s="64">
        <v>0.87</v>
      </c>
      <c r="Q74" s="64">
        <v>9.6199999999999992</v>
      </c>
      <c r="R74" s="198"/>
      <c r="S74" s="198"/>
      <c r="T74" s="198"/>
      <c r="U74" s="198"/>
    </row>
    <row r="75" spans="1:21" s="12" customFormat="1" x14ac:dyDescent="0.25">
      <c r="A75" s="212" t="s">
        <v>3193</v>
      </c>
      <c r="B75" s="64">
        <v>10.48</v>
      </c>
      <c r="C75" s="64">
        <v>21.11</v>
      </c>
      <c r="D75" s="64">
        <v>19.440000000000001</v>
      </c>
      <c r="E75" s="64">
        <v>4.71</v>
      </c>
      <c r="F75" s="64">
        <v>14.87</v>
      </c>
      <c r="G75" s="64">
        <v>64.290000000000006</v>
      </c>
      <c r="H75" s="64">
        <v>13.37</v>
      </c>
      <c r="I75" s="64">
        <v>2.0499999999999998</v>
      </c>
      <c r="J75" s="64">
        <v>0.08</v>
      </c>
      <c r="K75" s="64">
        <v>354.96</v>
      </c>
      <c r="L75" s="64">
        <v>30.05</v>
      </c>
      <c r="M75" s="64">
        <v>77.78</v>
      </c>
      <c r="N75" s="64">
        <v>91.8</v>
      </c>
      <c r="O75" s="64">
        <v>0</v>
      </c>
      <c r="P75" s="64">
        <v>1.06</v>
      </c>
      <c r="Q75" s="64">
        <v>9.58</v>
      </c>
      <c r="R75" s="198"/>
      <c r="S75" s="198"/>
      <c r="T75" s="198"/>
      <c r="U75" s="198"/>
    </row>
    <row r="76" spans="1:21" s="12" customFormat="1" x14ac:dyDescent="0.25">
      <c r="A76" s="212" t="s">
        <v>3194</v>
      </c>
      <c r="B76" s="64">
        <v>7.9</v>
      </c>
      <c r="C76" s="64">
        <v>20.96</v>
      </c>
      <c r="D76" s="64">
        <v>17.28</v>
      </c>
      <c r="E76" s="64">
        <v>4.2</v>
      </c>
      <c r="F76" s="64">
        <v>14.76</v>
      </c>
      <c r="G76" s="64">
        <v>64.290000000000006</v>
      </c>
      <c r="H76" s="64">
        <v>13.37</v>
      </c>
      <c r="I76" s="64">
        <v>2.12</v>
      </c>
      <c r="J76" s="64">
        <v>0.04</v>
      </c>
      <c r="K76" s="64">
        <v>286.26</v>
      </c>
      <c r="L76" s="64">
        <v>29.06</v>
      </c>
      <c r="M76" s="64">
        <v>79.400000000000006</v>
      </c>
      <c r="N76" s="64">
        <v>76.3</v>
      </c>
      <c r="O76" s="64">
        <v>0</v>
      </c>
      <c r="P76" s="64">
        <v>0.86</v>
      </c>
      <c r="Q76" s="64">
        <v>9.6199999999999992</v>
      </c>
      <c r="R76" s="198"/>
      <c r="S76" s="198"/>
      <c r="T76" s="198"/>
      <c r="U76" s="198"/>
    </row>
    <row r="77" spans="1:21" s="12" customFormat="1" x14ac:dyDescent="0.25">
      <c r="A77" s="212" t="s">
        <v>3195</v>
      </c>
      <c r="B77" s="64">
        <v>6.38</v>
      </c>
      <c r="C77" s="64">
        <v>16.53</v>
      </c>
      <c r="D77" s="64">
        <v>13.75</v>
      </c>
      <c r="E77" s="64">
        <v>4.21</v>
      </c>
      <c r="F77" s="64">
        <v>12.17</v>
      </c>
      <c r="G77" s="64">
        <v>64.89</v>
      </c>
      <c r="H77" s="64">
        <v>12.42</v>
      </c>
      <c r="I77" s="64">
        <v>2.1</v>
      </c>
      <c r="J77" s="64">
        <v>0.22</v>
      </c>
      <c r="K77" s="64">
        <v>134.65</v>
      </c>
      <c r="L77" s="64">
        <v>28.49</v>
      </c>
      <c r="M77" s="64">
        <v>80.099999999999994</v>
      </c>
      <c r="N77" s="64">
        <v>61.9</v>
      </c>
      <c r="O77" s="64">
        <v>0</v>
      </c>
      <c r="P77" s="64">
        <v>0.64</v>
      </c>
      <c r="Q77" s="64">
        <v>9.6199999999999992</v>
      </c>
      <c r="R77" s="198"/>
      <c r="S77" s="198"/>
      <c r="T77" s="198"/>
      <c r="U77" s="198"/>
    </row>
    <row r="78" spans="1:21" s="12" customFormat="1" x14ac:dyDescent="0.25">
      <c r="A78" s="212" t="s">
        <v>3196</v>
      </c>
      <c r="B78" s="64">
        <v>6.85</v>
      </c>
      <c r="C78" s="64">
        <v>23.06</v>
      </c>
      <c r="D78" s="64">
        <v>17.54</v>
      </c>
      <c r="E78" s="64">
        <v>4.4000000000000004</v>
      </c>
      <c r="F78" s="64">
        <v>10.89</v>
      </c>
      <c r="G78" s="64">
        <v>65.650000000000006</v>
      </c>
      <c r="H78" s="64">
        <v>9.36</v>
      </c>
      <c r="I78" s="64">
        <v>2.15</v>
      </c>
      <c r="J78" s="64">
        <v>0.2</v>
      </c>
      <c r="K78" s="64">
        <v>138.88999999999999</v>
      </c>
      <c r="L78" s="64">
        <v>28.16</v>
      </c>
      <c r="M78" s="64">
        <v>82.6</v>
      </c>
      <c r="N78" s="64">
        <v>58.3</v>
      </c>
      <c r="O78" s="64">
        <v>0</v>
      </c>
      <c r="P78" s="64">
        <v>0.76</v>
      </c>
      <c r="Q78" s="64">
        <v>9.61</v>
      </c>
      <c r="R78" s="198"/>
      <c r="S78" s="198"/>
      <c r="T78" s="198"/>
      <c r="U78" s="198"/>
    </row>
    <row r="79" spans="1:21" s="12" customFormat="1" x14ac:dyDescent="0.25">
      <c r="A79" s="212" t="s">
        <v>3197</v>
      </c>
      <c r="B79" s="64">
        <v>7.22</v>
      </c>
      <c r="C79" s="64">
        <v>17.37</v>
      </c>
      <c r="D79" s="64">
        <v>14.87</v>
      </c>
      <c r="E79" s="64">
        <v>4.2300000000000004</v>
      </c>
      <c r="F79" s="64">
        <v>9.41</v>
      </c>
      <c r="G79" s="64">
        <v>65.650000000000006</v>
      </c>
      <c r="H79" s="64">
        <v>9.36</v>
      </c>
      <c r="I79" s="64">
        <v>2.2400000000000002</v>
      </c>
      <c r="J79" s="64">
        <v>0.05</v>
      </c>
      <c r="K79" s="64">
        <v>298.45</v>
      </c>
      <c r="L79" s="64">
        <v>27.93</v>
      </c>
      <c r="M79" s="64">
        <v>85.43</v>
      </c>
      <c r="N79" s="64">
        <v>50.2</v>
      </c>
      <c r="O79" s="64">
        <v>0</v>
      </c>
      <c r="P79" s="64">
        <v>0.92</v>
      </c>
      <c r="Q79" s="64">
        <v>9.6199999999999992</v>
      </c>
      <c r="R79" s="198"/>
      <c r="S79" s="198"/>
      <c r="T79" s="198"/>
      <c r="U79" s="198"/>
    </row>
    <row r="80" spans="1:21" s="12" customFormat="1" x14ac:dyDescent="0.25">
      <c r="A80" s="212" t="s">
        <v>3198</v>
      </c>
      <c r="B80" s="64">
        <v>5.6</v>
      </c>
      <c r="C80" s="64">
        <v>21.66</v>
      </c>
      <c r="D80" s="64">
        <v>15.81</v>
      </c>
      <c r="E80" s="64">
        <v>4.3</v>
      </c>
      <c r="F80" s="64">
        <v>16.149999999999999</v>
      </c>
      <c r="G80" s="64">
        <v>65.650000000000006</v>
      </c>
      <c r="H80" s="64">
        <v>9.36</v>
      </c>
      <c r="I80" s="64">
        <v>2.2599999999999998</v>
      </c>
      <c r="J80" s="64">
        <v>0.06</v>
      </c>
      <c r="K80" s="64">
        <v>240.98</v>
      </c>
      <c r="L80" s="64">
        <v>27.63</v>
      </c>
      <c r="M80" s="64">
        <v>86.11</v>
      </c>
      <c r="N80" s="64">
        <v>40.299999999999997</v>
      </c>
      <c r="O80" s="64">
        <v>0</v>
      </c>
      <c r="P80" s="64">
        <v>0.97</v>
      </c>
      <c r="Q80" s="64">
        <v>9.61</v>
      </c>
      <c r="R80" s="198"/>
      <c r="S80" s="198"/>
      <c r="T80" s="198"/>
      <c r="U80" s="198"/>
    </row>
    <row r="81" spans="1:26" s="12" customFormat="1" x14ac:dyDescent="0.25">
      <c r="A81" s="212" t="s">
        <v>3199</v>
      </c>
      <c r="B81" s="64">
        <v>5</v>
      </c>
      <c r="C81" s="64">
        <v>19.579999999999998</v>
      </c>
      <c r="D81" s="64">
        <v>14.24</v>
      </c>
      <c r="E81" s="64">
        <v>4.49</v>
      </c>
      <c r="F81" s="64">
        <v>15.07</v>
      </c>
      <c r="G81" s="64">
        <v>65.599999999999994</v>
      </c>
      <c r="H81" s="64">
        <v>9.7200000000000006</v>
      </c>
      <c r="I81" s="64">
        <v>2.35</v>
      </c>
      <c r="J81" s="64">
        <v>0.02</v>
      </c>
      <c r="K81" s="64">
        <v>285.11</v>
      </c>
      <c r="L81" s="64">
        <v>27.38</v>
      </c>
      <c r="M81" s="64">
        <v>91.25</v>
      </c>
      <c r="N81" s="64">
        <v>33.200000000000003</v>
      </c>
      <c r="O81" s="64">
        <v>0</v>
      </c>
      <c r="P81" s="64">
        <v>0.9</v>
      </c>
      <c r="Q81" s="64">
        <v>9.6300000000000008</v>
      </c>
      <c r="R81" s="198"/>
      <c r="S81" s="198"/>
      <c r="T81" s="198"/>
      <c r="U81" s="198"/>
    </row>
    <row r="82" spans="1:26" s="12" customFormat="1" x14ac:dyDescent="0.25">
      <c r="A82" s="212" t="s">
        <v>3200</v>
      </c>
      <c r="B82" s="64">
        <v>6.46</v>
      </c>
      <c r="C82" s="64">
        <v>19.52</v>
      </c>
      <c r="D82" s="64">
        <v>15.38</v>
      </c>
      <c r="E82" s="64">
        <v>4.5</v>
      </c>
      <c r="F82" s="64">
        <v>15.33</v>
      </c>
      <c r="G82" s="64">
        <v>65.55</v>
      </c>
      <c r="H82" s="64">
        <v>10.78</v>
      </c>
      <c r="I82" s="64">
        <v>2.48</v>
      </c>
      <c r="J82" s="64">
        <v>0.02</v>
      </c>
      <c r="K82" s="64">
        <v>296.3</v>
      </c>
      <c r="L82" s="64">
        <v>27.14</v>
      </c>
      <c r="M82" s="64">
        <v>95.54</v>
      </c>
      <c r="N82" s="64">
        <v>31.1</v>
      </c>
      <c r="O82" s="64">
        <v>0</v>
      </c>
      <c r="P82" s="64">
        <v>0.88</v>
      </c>
      <c r="Q82" s="64">
        <v>9.6199999999999992</v>
      </c>
      <c r="R82" s="198"/>
      <c r="S82" s="198"/>
      <c r="T82" s="198"/>
      <c r="U82" s="198"/>
    </row>
    <row r="83" spans="1:26" s="12" customFormat="1" x14ac:dyDescent="0.25">
      <c r="A83" s="212" t="s">
        <v>3201</v>
      </c>
      <c r="B83" s="64">
        <v>5.08</v>
      </c>
      <c r="C83" s="64">
        <v>18.739999999999998</v>
      </c>
      <c r="D83" s="64">
        <v>13.86</v>
      </c>
      <c r="E83" s="64">
        <v>4.62</v>
      </c>
      <c r="F83" s="64">
        <v>16.03</v>
      </c>
      <c r="G83" s="64">
        <v>65.55</v>
      </c>
      <c r="H83" s="64">
        <v>10.78</v>
      </c>
      <c r="I83" s="64">
        <v>2.59</v>
      </c>
      <c r="J83" s="64">
        <v>0.06</v>
      </c>
      <c r="K83" s="64">
        <v>240.4</v>
      </c>
      <c r="L83" s="64">
        <v>26.99</v>
      </c>
      <c r="M83" s="64">
        <v>97.32</v>
      </c>
      <c r="N83" s="64">
        <v>30.6</v>
      </c>
      <c r="O83" s="64">
        <v>0</v>
      </c>
      <c r="P83" s="64">
        <v>0.85</v>
      </c>
      <c r="Q83" s="64">
        <v>9.61</v>
      </c>
      <c r="R83" s="198"/>
      <c r="S83" s="198"/>
      <c r="T83" s="198"/>
      <c r="U83" s="198"/>
    </row>
    <row r="84" spans="1:26" s="12" customFormat="1" x14ac:dyDescent="0.25">
      <c r="A84" s="212" t="s">
        <v>3202</v>
      </c>
      <c r="B84" s="64">
        <v>4.96</v>
      </c>
      <c r="C84" s="64">
        <v>17.97</v>
      </c>
      <c r="D84" s="64">
        <v>13.37</v>
      </c>
      <c r="E84" s="64">
        <v>4.49</v>
      </c>
      <c r="F84" s="64">
        <v>12.53</v>
      </c>
      <c r="G84" s="64">
        <v>65.55</v>
      </c>
      <c r="H84" s="64">
        <v>10.78</v>
      </c>
      <c r="I84" s="64">
        <v>2.67</v>
      </c>
      <c r="J84" s="64">
        <v>0.27</v>
      </c>
      <c r="K84" s="64">
        <v>134.91999999999999</v>
      </c>
      <c r="L84" s="64">
        <v>26.84</v>
      </c>
      <c r="M84" s="64">
        <v>97.94</v>
      </c>
      <c r="N84" s="64">
        <v>30.7</v>
      </c>
      <c r="O84" s="64">
        <v>0</v>
      </c>
      <c r="P84" s="64">
        <v>0.8</v>
      </c>
      <c r="Q84" s="64">
        <v>9.61</v>
      </c>
      <c r="R84" s="198"/>
      <c r="S84" s="198"/>
      <c r="T84" s="198"/>
      <c r="U84" s="198"/>
    </row>
    <row r="85" spans="1:26" s="12" customFormat="1" x14ac:dyDescent="0.25">
      <c r="A85" s="212" t="s">
        <v>3203</v>
      </c>
      <c r="B85" s="64">
        <v>5.73</v>
      </c>
      <c r="C85" s="64">
        <v>16.95</v>
      </c>
      <c r="D85" s="64">
        <v>13.45</v>
      </c>
      <c r="E85" s="64">
        <v>4.79</v>
      </c>
      <c r="F85" s="64">
        <v>10.220000000000001</v>
      </c>
      <c r="G85" s="64">
        <v>65.75</v>
      </c>
      <c r="H85" s="64">
        <v>11.18</v>
      </c>
      <c r="I85" s="64">
        <v>2.74</v>
      </c>
      <c r="J85" s="64">
        <v>0.15</v>
      </c>
      <c r="K85" s="64">
        <v>179.82</v>
      </c>
      <c r="L85" s="64">
        <v>26.66</v>
      </c>
      <c r="M85" s="64">
        <v>97.97</v>
      </c>
      <c r="N85" s="64">
        <v>30.7</v>
      </c>
      <c r="O85" s="64">
        <v>0</v>
      </c>
      <c r="P85" s="64">
        <v>0.48</v>
      </c>
      <c r="Q85" s="64">
        <v>9.61</v>
      </c>
      <c r="R85" s="198"/>
      <c r="S85" s="198"/>
      <c r="T85" s="198"/>
      <c r="U85" s="198"/>
    </row>
    <row r="86" spans="1:26" s="12" customFormat="1" x14ac:dyDescent="0.25">
      <c r="A86" s="212" t="s">
        <v>3204</v>
      </c>
      <c r="B86" s="64">
        <v>7.14</v>
      </c>
      <c r="C86" s="64">
        <v>11.68</v>
      </c>
      <c r="D86" s="64">
        <v>11.83</v>
      </c>
      <c r="E86" s="64">
        <v>4.7</v>
      </c>
      <c r="F86" s="64">
        <v>10.28</v>
      </c>
      <c r="G86" s="64">
        <v>66.010000000000005</v>
      </c>
      <c r="H86" s="64">
        <v>12.53</v>
      </c>
      <c r="I86" s="64">
        <v>2.79</v>
      </c>
      <c r="J86" s="64">
        <v>0.17</v>
      </c>
      <c r="K86" s="64">
        <v>136.52000000000001</v>
      </c>
      <c r="L86" s="64">
        <v>26.31</v>
      </c>
      <c r="M86" s="64">
        <v>97.98</v>
      </c>
      <c r="N86" s="64">
        <v>31</v>
      </c>
      <c r="O86" s="64">
        <v>0</v>
      </c>
      <c r="P86" s="64">
        <v>0.41</v>
      </c>
      <c r="Q86" s="64">
        <v>9.6</v>
      </c>
      <c r="R86" s="198"/>
      <c r="S86" s="198"/>
      <c r="T86" s="198"/>
      <c r="U86" s="198"/>
    </row>
    <row r="87" spans="1:26" s="12" customFormat="1" x14ac:dyDescent="0.25">
      <c r="A87" s="212" t="s">
        <v>3205</v>
      </c>
      <c r="B87" s="64">
        <v>5.87</v>
      </c>
      <c r="C87" s="64">
        <v>10.19</v>
      </c>
      <c r="D87" s="64">
        <v>10.029999999999999</v>
      </c>
      <c r="E87" s="64">
        <v>4.5599999999999996</v>
      </c>
      <c r="F87" s="64">
        <v>9.08</v>
      </c>
      <c r="G87" s="64">
        <v>66.010000000000005</v>
      </c>
      <c r="H87" s="64">
        <v>12.53</v>
      </c>
      <c r="I87" s="64">
        <v>2.78</v>
      </c>
      <c r="J87" s="64">
        <v>0.24</v>
      </c>
      <c r="K87" s="64">
        <v>139.16</v>
      </c>
      <c r="L87" s="64">
        <v>25.94</v>
      </c>
      <c r="M87" s="64">
        <v>97.97</v>
      </c>
      <c r="N87" s="64">
        <v>31</v>
      </c>
      <c r="O87" s="64">
        <v>0</v>
      </c>
      <c r="P87" s="64">
        <v>0.4</v>
      </c>
      <c r="Q87" s="64">
        <v>9.6</v>
      </c>
      <c r="R87" s="198"/>
      <c r="S87" s="198"/>
      <c r="T87" s="198"/>
      <c r="U87" s="198"/>
    </row>
    <row r="88" spans="1:26" s="12" customFormat="1" x14ac:dyDescent="0.25">
      <c r="A88" s="212" t="s">
        <v>3206</v>
      </c>
      <c r="B88" s="64">
        <v>6.3</v>
      </c>
      <c r="C88" s="64">
        <v>9.15</v>
      </c>
      <c r="D88" s="64">
        <v>9.83</v>
      </c>
      <c r="E88" s="64">
        <v>4.5199999999999996</v>
      </c>
      <c r="F88" s="64">
        <v>6.92</v>
      </c>
      <c r="G88" s="64">
        <v>66.010000000000005</v>
      </c>
      <c r="H88" s="64">
        <v>12.53</v>
      </c>
      <c r="I88" s="64">
        <v>2.73</v>
      </c>
      <c r="J88" s="64">
        <v>0.33</v>
      </c>
      <c r="K88" s="64">
        <v>140.9</v>
      </c>
      <c r="L88" s="64">
        <v>25.62</v>
      </c>
      <c r="M88" s="64">
        <v>97.99</v>
      </c>
      <c r="N88" s="64">
        <v>31.1</v>
      </c>
      <c r="O88" s="64">
        <v>0</v>
      </c>
      <c r="P88" s="64">
        <v>0.41</v>
      </c>
      <c r="Q88" s="64">
        <v>9.58</v>
      </c>
      <c r="R88" s="198"/>
      <c r="S88" s="198"/>
      <c r="T88" s="198"/>
      <c r="U88" s="198"/>
    </row>
    <row r="89" spans="1:26" s="12" customFormat="1" x14ac:dyDescent="0.25">
      <c r="A89" s="212" t="s">
        <v>3207</v>
      </c>
      <c r="B89" s="64">
        <v>6.02</v>
      </c>
      <c r="C89" s="64">
        <v>8.76</v>
      </c>
      <c r="D89" s="64">
        <v>9.41</v>
      </c>
      <c r="E89" s="64">
        <v>4.62</v>
      </c>
      <c r="F89" s="64">
        <v>7.14</v>
      </c>
      <c r="G89" s="64">
        <v>59.6</v>
      </c>
      <c r="H89" s="64">
        <v>10.35</v>
      </c>
      <c r="I89" s="64">
        <v>2.65</v>
      </c>
      <c r="J89" s="64">
        <v>0.14000000000000001</v>
      </c>
      <c r="K89" s="64">
        <v>158.18</v>
      </c>
      <c r="L89" s="64">
        <v>25.39</v>
      </c>
      <c r="M89" s="64">
        <v>98.02</v>
      </c>
      <c r="N89" s="64">
        <v>31</v>
      </c>
      <c r="O89" s="64">
        <v>0</v>
      </c>
      <c r="P89" s="64">
        <v>0.44</v>
      </c>
      <c r="Q89" s="64">
        <v>9.56</v>
      </c>
      <c r="R89" s="198"/>
      <c r="S89" s="198"/>
      <c r="T89" s="198"/>
      <c r="U89" s="198"/>
    </row>
    <row r="90" spans="1:26" s="12" customFormat="1" x14ac:dyDescent="0.25">
      <c r="A90" s="212" t="s">
        <v>3208</v>
      </c>
      <c r="B90" s="64">
        <v>6.78</v>
      </c>
      <c r="C90" s="64">
        <v>11.19</v>
      </c>
      <c r="D90" s="64">
        <v>11.28</v>
      </c>
      <c r="E90" s="64">
        <v>4.22</v>
      </c>
      <c r="F90" s="64">
        <v>8.82</v>
      </c>
      <c r="G90" s="64">
        <v>51.59</v>
      </c>
      <c r="H90" s="64">
        <v>8.8699999999999992</v>
      </c>
      <c r="I90" s="64">
        <v>2.56</v>
      </c>
      <c r="J90" s="64">
        <v>0.03</v>
      </c>
      <c r="K90" s="64">
        <v>203.84</v>
      </c>
      <c r="L90" s="64">
        <v>25.22</v>
      </c>
      <c r="M90" s="64">
        <v>98.05</v>
      </c>
      <c r="N90" s="64">
        <v>30.9</v>
      </c>
      <c r="O90" s="64">
        <v>0</v>
      </c>
      <c r="P90" s="64">
        <v>0.35</v>
      </c>
      <c r="Q90" s="64">
        <v>9.5500000000000007</v>
      </c>
      <c r="R90" s="198"/>
      <c r="S90" s="198"/>
      <c r="T90" s="198"/>
      <c r="U90" s="198"/>
    </row>
    <row r="91" spans="1:26" s="12" customFormat="1" x14ac:dyDescent="0.25">
      <c r="A91" s="212" t="s">
        <v>3209</v>
      </c>
      <c r="B91" s="64">
        <v>7.58</v>
      </c>
      <c r="C91" s="64">
        <v>8.75</v>
      </c>
      <c r="D91" s="64">
        <v>10.65</v>
      </c>
      <c r="E91" s="64">
        <v>4.28</v>
      </c>
      <c r="F91" s="64">
        <v>5.23</v>
      </c>
      <c r="G91" s="64">
        <v>51.59</v>
      </c>
      <c r="H91" s="64">
        <v>8.8699999999999992</v>
      </c>
      <c r="I91" s="64">
        <v>2.5</v>
      </c>
      <c r="J91" s="64">
        <v>0.05</v>
      </c>
      <c r="K91" s="64">
        <v>285.39</v>
      </c>
      <c r="L91" s="64">
        <v>25.16</v>
      </c>
      <c r="M91" s="64">
        <v>98.03</v>
      </c>
      <c r="N91" s="64">
        <v>30.7</v>
      </c>
      <c r="O91" s="64">
        <v>0</v>
      </c>
      <c r="P91" s="64">
        <v>0.53</v>
      </c>
      <c r="Q91" s="64">
        <v>9.5399999999999991</v>
      </c>
      <c r="R91" s="198"/>
      <c r="S91" s="198"/>
      <c r="T91" s="198"/>
      <c r="U91" s="198"/>
    </row>
    <row r="92" spans="1:26" s="12" customFormat="1" x14ac:dyDescent="0.25">
      <c r="A92" s="212" t="s">
        <v>3210</v>
      </c>
      <c r="B92" s="64">
        <v>7.13</v>
      </c>
      <c r="C92" s="64">
        <v>9.52</v>
      </c>
      <c r="D92" s="64">
        <v>10.69</v>
      </c>
      <c r="E92" s="64">
        <v>4.59</v>
      </c>
      <c r="F92" s="64">
        <v>5.91</v>
      </c>
      <c r="G92" s="64">
        <v>51.59</v>
      </c>
      <c r="H92" s="64">
        <v>8.8699999999999992</v>
      </c>
      <c r="I92" s="64">
        <v>2.4300000000000002</v>
      </c>
      <c r="J92" s="64">
        <v>0.06</v>
      </c>
      <c r="K92" s="64">
        <v>323.87</v>
      </c>
      <c r="L92" s="64">
        <v>25.14</v>
      </c>
      <c r="M92" s="64">
        <v>98.02</v>
      </c>
      <c r="N92" s="64">
        <v>30.6</v>
      </c>
      <c r="O92" s="64">
        <v>0</v>
      </c>
      <c r="P92" s="64">
        <v>0.44</v>
      </c>
      <c r="Q92" s="64">
        <v>9.5399999999999991</v>
      </c>
      <c r="R92" s="198"/>
      <c r="S92" s="198"/>
      <c r="T92" s="198"/>
      <c r="U92" s="198"/>
    </row>
    <row r="93" spans="1:26" s="12" customFormat="1" x14ac:dyDescent="0.25">
      <c r="A93" s="212" t="s">
        <v>3211</v>
      </c>
      <c r="B93" s="64">
        <v>6.94</v>
      </c>
      <c r="C93" s="64">
        <v>9.11</v>
      </c>
      <c r="D93" s="64">
        <v>10.33</v>
      </c>
      <c r="E93" s="64">
        <v>4.2699999999999996</v>
      </c>
      <c r="F93" s="64">
        <v>7.74</v>
      </c>
      <c r="G93" s="64">
        <v>42.73</v>
      </c>
      <c r="H93" s="64">
        <v>8.27</v>
      </c>
      <c r="I93" s="64">
        <v>2.36</v>
      </c>
      <c r="J93" s="64">
        <v>0.01</v>
      </c>
      <c r="K93" s="64">
        <v>116.75</v>
      </c>
      <c r="L93" s="64">
        <v>25.09</v>
      </c>
      <c r="M93" s="64">
        <v>98.02</v>
      </c>
      <c r="N93" s="64">
        <v>30.6</v>
      </c>
      <c r="O93" s="64">
        <v>0</v>
      </c>
      <c r="P93" s="64">
        <v>0.39</v>
      </c>
      <c r="Q93" s="64">
        <v>9.5399999999999991</v>
      </c>
      <c r="R93" s="198"/>
      <c r="S93" s="198"/>
      <c r="T93" s="198"/>
      <c r="U93" s="198"/>
    </row>
    <row r="94" spans="1:26" s="12" customFormat="1" x14ac:dyDescent="0.25">
      <c r="A94" s="212" t="s">
        <v>3212</v>
      </c>
      <c r="B94" s="64">
        <v>7.15</v>
      </c>
      <c r="C94" s="64">
        <v>9.99</v>
      </c>
      <c r="D94" s="64">
        <v>10.95</v>
      </c>
      <c r="E94" s="64">
        <v>4.1900000000000004</v>
      </c>
      <c r="F94" s="64">
        <v>6.77</v>
      </c>
      <c r="G94" s="64">
        <v>31.65</v>
      </c>
      <c r="H94" s="64">
        <v>6.23</v>
      </c>
      <c r="I94" s="64">
        <v>2.2999999999999998</v>
      </c>
      <c r="J94" s="64">
        <v>7.0000000000000007E-2</v>
      </c>
      <c r="K94" s="64">
        <v>111.5</v>
      </c>
      <c r="L94" s="64">
        <v>24.92</v>
      </c>
      <c r="M94" s="64">
        <v>98.04</v>
      </c>
      <c r="N94" s="64">
        <v>30.6</v>
      </c>
      <c r="O94" s="64">
        <v>0</v>
      </c>
      <c r="P94" s="64">
        <v>0.37</v>
      </c>
      <c r="Q94" s="64">
        <v>9.5299999999999994</v>
      </c>
      <c r="R94" s="198"/>
      <c r="S94" s="198"/>
      <c r="T94" s="198"/>
      <c r="U94" s="198"/>
    </row>
    <row r="95" spans="1:26" s="12" customFormat="1" x14ac:dyDescent="0.25">
      <c r="A95" s="212" t="s">
        <v>3213</v>
      </c>
      <c r="B95" s="64">
        <v>5.68</v>
      </c>
      <c r="C95" s="64">
        <v>10.41</v>
      </c>
      <c r="D95" s="64">
        <v>9.99</v>
      </c>
      <c r="E95" s="64">
        <v>4.71</v>
      </c>
      <c r="F95" s="64">
        <v>9.1300000000000008</v>
      </c>
      <c r="G95" s="64">
        <v>31.65</v>
      </c>
      <c r="H95" s="64">
        <v>6.23</v>
      </c>
      <c r="I95" s="64">
        <v>2.23</v>
      </c>
      <c r="J95" s="64">
        <v>0.15</v>
      </c>
      <c r="K95" s="64">
        <v>128.41</v>
      </c>
      <c r="L95" s="64">
        <v>24.79</v>
      </c>
      <c r="M95" s="64">
        <v>98.05</v>
      </c>
      <c r="N95" s="64">
        <v>30.6</v>
      </c>
      <c r="O95" s="64">
        <v>0</v>
      </c>
      <c r="P95" s="64">
        <v>0.25</v>
      </c>
      <c r="Q95" s="64">
        <v>9.5399999999999991</v>
      </c>
      <c r="R95" s="198"/>
      <c r="S95" s="198"/>
      <c r="T95" s="198"/>
      <c r="U95" s="198"/>
    </row>
    <row r="96" spans="1:26" s="12" customFormat="1" x14ac:dyDescent="0.25">
      <c r="A96" s="212" t="s">
        <v>3214</v>
      </c>
      <c r="B96" s="64">
        <v>6.03</v>
      </c>
      <c r="C96" s="64">
        <v>9.5500000000000007</v>
      </c>
      <c r="D96" s="64">
        <v>9.83</v>
      </c>
      <c r="E96" s="64">
        <v>4.21</v>
      </c>
      <c r="F96" s="64">
        <v>5.74</v>
      </c>
      <c r="G96" s="64">
        <v>31.65</v>
      </c>
      <c r="H96" s="64">
        <v>6.23</v>
      </c>
      <c r="I96" s="64">
        <v>2.1800000000000002</v>
      </c>
      <c r="J96" s="64">
        <v>0.15</v>
      </c>
      <c r="K96" s="64">
        <v>127.65</v>
      </c>
      <c r="L96" s="64">
        <v>24.77</v>
      </c>
      <c r="M96" s="64">
        <v>98.07</v>
      </c>
      <c r="N96" s="64">
        <v>30.6</v>
      </c>
      <c r="O96" s="64">
        <v>0</v>
      </c>
      <c r="P96" s="64">
        <v>0.36</v>
      </c>
      <c r="Q96" s="64">
        <v>9.5299999999999994</v>
      </c>
      <c r="R96" s="198"/>
      <c r="S96" s="198"/>
      <c r="T96" s="211"/>
      <c r="U96" s="198"/>
      <c r="Z96" s="109"/>
    </row>
    <row r="97" spans="1:33" s="12" customFormat="1" x14ac:dyDescent="0.25">
      <c r="A97" s="212" t="s">
        <v>3215</v>
      </c>
      <c r="B97" s="64">
        <v>5.82</v>
      </c>
      <c r="C97" s="64">
        <v>8.8800000000000008</v>
      </c>
      <c r="D97" s="64">
        <v>9.31</v>
      </c>
      <c r="E97" s="64">
        <v>4.17</v>
      </c>
      <c r="F97" s="64">
        <v>9.84</v>
      </c>
      <c r="G97" s="64">
        <v>29.22</v>
      </c>
      <c r="H97" s="64">
        <v>6.5</v>
      </c>
      <c r="I97" s="64">
        <v>2.13</v>
      </c>
      <c r="J97" s="64">
        <v>0.18</v>
      </c>
      <c r="K97" s="64">
        <v>152.26</v>
      </c>
      <c r="L97" s="64">
        <v>24.75</v>
      </c>
      <c r="M97" s="64">
        <v>98.06</v>
      </c>
      <c r="N97" s="64">
        <v>30.6</v>
      </c>
      <c r="O97" s="64">
        <v>0</v>
      </c>
      <c r="P97" s="64">
        <v>0.27</v>
      </c>
      <c r="Q97" s="64">
        <v>9.5399999999999991</v>
      </c>
      <c r="R97" s="198"/>
      <c r="S97" s="198"/>
      <c r="T97" s="198"/>
      <c r="U97" s="198"/>
    </row>
    <row r="98" spans="1:33" s="12" customFormat="1" x14ac:dyDescent="0.25">
      <c r="A98" s="212" t="s">
        <v>3216</v>
      </c>
      <c r="B98" s="64">
        <v>6.41</v>
      </c>
      <c r="C98" s="64">
        <v>8.9499999999999993</v>
      </c>
      <c r="D98" s="64">
        <v>9.82</v>
      </c>
      <c r="E98" s="64">
        <v>4.18</v>
      </c>
      <c r="F98" s="64">
        <v>9.14</v>
      </c>
      <c r="G98" s="64">
        <v>26.19</v>
      </c>
      <c r="H98" s="64">
        <v>7.32</v>
      </c>
      <c r="I98" s="64">
        <v>2.0699999999999998</v>
      </c>
      <c r="J98" s="64">
        <v>0.06</v>
      </c>
      <c r="K98" s="64">
        <v>210.46</v>
      </c>
      <c r="L98" s="64">
        <v>24.71</v>
      </c>
      <c r="M98" s="64">
        <v>98.05</v>
      </c>
      <c r="N98" s="64">
        <v>30.6</v>
      </c>
      <c r="O98" s="64">
        <v>0</v>
      </c>
      <c r="P98" s="64">
        <v>0.32</v>
      </c>
      <c r="Q98" s="64">
        <v>9.5399999999999991</v>
      </c>
      <c r="R98" s="198"/>
      <c r="S98" s="198"/>
      <c r="T98" s="198"/>
      <c r="U98" s="198"/>
    </row>
    <row r="99" spans="1:33" s="12" customFormat="1" x14ac:dyDescent="0.25">
      <c r="A99" s="212" t="s">
        <v>3217</v>
      </c>
      <c r="B99" s="64">
        <v>6.1</v>
      </c>
      <c r="C99" s="64">
        <v>7.63</v>
      </c>
      <c r="D99" s="64">
        <v>8.8699999999999992</v>
      </c>
      <c r="E99" s="64">
        <v>4.45</v>
      </c>
      <c r="F99" s="64">
        <v>9.25</v>
      </c>
      <c r="G99" s="64">
        <v>26.19</v>
      </c>
      <c r="H99" s="64">
        <v>7.32</v>
      </c>
      <c r="I99" s="64">
        <v>2.0099999999999998</v>
      </c>
      <c r="J99" s="64">
        <v>0.14000000000000001</v>
      </c>
      <c r="K99" s="64">
        <v>125.55</v>
      </c>
      <c r="L99" s="64">
        <v>24.67</v>
      </c>
      <c r="M99" s="64">
        <v>98.05</v>
      </c>
      <c r="N99" s="64">
        <v>30.6</v>
      </c>
      <c r="O99" s="64">
        <v>0</v>
      </c>
      <c r="P99" s="64">
        <v>0.28999999999999998</v>
      </c>
      <c r="Q99" s="64">
        <v>9.56</v>
      </c>
      <c r="R99" s="198"/>
      <c r="S99" s="198"/>
      <c r="T99" s="198"/>
      <c r="U99" s="198"/>
    </row>
    <row r="100" spans="1:33" s="12" customFormat="1" x14ac:dyDescent="0.25">
      <c r="A100" s="212" t="s">
        <v>3218</v>
      </c>
      <c r="B100" s="64">
        <v>5.62</v>
      </c>
      <c r="C100" s="64">
        <v>7.21</v>
      </c>
      <c r="D100" s="64">
        <v>8.27</v>
      </c>
      <c r="E100" s="64">
        <v>4.12</v>
      </c>
      <c r="F100" s="64">
        <v>9.84</v>
      </c>
      <c r="G100" s="64">
        <v>26.19</v>
      </c>
      <c r="H100" s="64">
        <v>7.32</v>
      </c>
      <c r="I100" s="64">
        <v>1.96</v>
      </c>
      <c r="J100" s="64">
        <v>0.31</v>
      </c>
      <c r="K100" s="64">
        <v>132.84</v>
      </c>
      <c r="L100" s="64">
        <v>24.62</v>
      </c>
      <c r="M100" s="64">
        <v>98.05</v>
      </c>
      <c r="N100" s="64">
        <v>30.7</v>
      </c>
      <c r="O100" s="64">
        <v>0</v>
      </c>
      <c r="P100" s="64">
        <v>0.24</v>
      </c>
      <c r="Q100" s="64">
        <v>9.5500000000000007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2" t="s">
        <v>3219</v>
      </c>
      <c r="B101" s="64">
        <v>5.43</v>
      </c>
      <c r="C101" s="64">
        <v>7.28</v>
      </c>
      <c r="D101" s="64">
        <v>8.15</v>
      </c>
      <c r="E101" s="64">
        <v>4.29</v>
      </c>
      <c r="F101" s="64">
        <v>10.16</v>
      </c>
      <c r="G101" s="64">
        <v>25.03</v>
      </c>
      <c r="H101" s="64">
        <v>6.97</v>
      </c>
      <c r="I101" s="64">
        <v>1.92</v>
      </c>
      <c r="J101" s="64">
        <v>0.12</v>
      </c>
      <c r="K101" s="64">
        <v>140.96</v>
      </c>
      <c r="L101" s="64">
        <v>24.6</v>
      </c>
      <c r="M101" s="64">
        <v>98.05</v>
      </c>
      <c r="N101" s="64">
        <v>30.6</v>
      </c>
      <c r="O101" s="64">
        <v>0</v>
      </c>
      <c r="P101" s="64">
        <v>0.23</v>
      </c>
      <c r="Q101" s="64">
        <v>9.5500000000000007</v>
      </c>
      <c r="R101" s="198"/>
      <c r="S101" s="198"/>
      <c r="T101" s="198"/>
      <c r="U101" s="198"/>
    </row>
    <row r="102" spans="1:33" s="12" customFormat="1" x14ac:dyDescent="0.25">
      <c r="A102" s="212" t="s">
        <v>3220</v>
      </c>
      <c r="B102" s="64">
        <v>5.46</v>
      </c>
      <c r="C102" s="64">
        <v>6.52</v>
      </c>
      <c r="D102" s="64">
        <v>7.78</v>
      </c>
      <c r="E102" s="64">
        <v>4.1500000000000004</v>
      </c>
      <c r="F102" s="64">
        <v>10.02</v>
      </c>
      <c r="G102" s="64">
        <v>23.57</v>
      </c>
      <c r="H102" s="64">
        <v>5.62</v>
      </c>
      <c r="I102" s="64">
        <v>1.89</v>
      </c>
      <c r="J102" s="64">
        <v>0.04</v>
      </c>
      <c r="K102" s="64">
        <v>256.12</v>
      </c>
      <c r="L102" s="64">
        <v>24.67</v>
      </c>
      <c r="M102" s="64">
        <v>98.07</v>
      </c>
      <c r="N102" s="64">
        <v>30.6</v>
      </c>
      <c r="O102" s="64">
        <v>0</v>
      </c>
      <c r="P102" s="64">
        <v>0.27</v>
      </c>
      <c r="Q102" s="64">
        <v>9.5500000000000007</v>
      </c>
      <c r="R102" s="198"/>
      <c r="S102" s="198"/>
      <c r="T102" s="198"/>
      <c r="U102" s="198"/>
    </row>
    <row r="103" spans="1:33" s="12" customFormat="1" x14ac:dyDescent="0.25">
      <c r="A103" s="212" t="s">
        <v>3221</v>
      </c>
      <c r="B103" s="64">
        <v>5.67</v>
      </c>
      <c r="C103" s="64">
        <v>6.68</v>
      </c>
      <c r="D103" s="64">
        <v>8.0399999999999991</v>
      </c>
      <c r="E103" s="64">
        <v>4.59</v>
      </c>
      <c r="F103" s="64">
        <v>10.07</v>
      </c>
      <c r="G103" s="64">
        <v>23.57</v>
      </c>
      <c r="H103" s="64">
        <v>5.62</v>
      </c>
      <c r="I103" s="64">
        <v>1.85</v>
      </c>
      <c r="J103" s="64">
        <v>0.02</v>
      </c>
      <c r="K103" s="64">
        <v>215.19</v>
      </c>
      <c r="L103" s="64">
        <v>24.72</v>
      </c>
      <c r="M103" s="64">
        <v>98.08</v>
      </c>
      <c r="N103" s="64">
        <v>30.6</v>
      </c>
      <c r="O103" s="64">
        <v>0</v>
      </c>
      <c r="P103" s="64">
        <v>0.25</v>
      </c>
      <c r="Q103" s="64">
        <v>9.5500000000000007</v>
      </c>
      <c r="R103" s="198"/>
      <c r="S103" s="198"/>
      <c r="T103" s="198"/>
      <c r="U103" s="198"/>
    </row>
    <row r="104" spans="1:33" s="12" customFormat="1" x14ac:dyDescent="0.25">
      <c r="A104" s="212" t="s">
        <v>3222</v>
      </c>
      <c r="B104" s="64">
        <v>5.64</v>
      </c>
      <c r="C104" s="64">
        <v>6.75</v>
      </c>
      <c r="D104" s="64">
        <v>8.0500000000000007</v>
      </c>
      <c r="E104" s="64">
        <v>4.4000000000000004</v>
      </c>
      <c r="F104" s="64">
        <v>10.41</v>
      </c>
      <c r="G104" s="64">
        <v>23.57</v>
      </c>
      <c r="H104" s="64">
        <v>5.62</v>
      </c>
      <c r="I104" s="64">
        <v>1.82</v>
      </c>
      <c r="J104" s="64">
        <v>0.03</v>
      </c>
      <c r="K104" s="64">
        <v>177.75</v>
      </c>
      <c r="L104" s="64">
        <v>24.7</v>
      </c>
      <c r="M104" s="64">
        <v>98.08</v>
      </c>
      <c r="N104" s="64">
        <v>30.9</v>
      </c>
      <c r="O104" s="64">
        <v>0</v>
      </c>
      <c r="P104" s="64">
        <v>0.23</v>
      </c>
      <c r="Q104" s="64">
        <v>9.5500000000000007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4.09</v>
      </c>
      <c r="C106" s="67">
        <f>MIN(C9:C104)</f>
        <v>5.7</v>
      </c>
      <c r="D106" s="67">
        <f t="shared" ref="D106:Q106" si="0">MIN(D9:D104)</f>
        <v>6.26</v>
      </c>
      <c r="E106" s="67">
        <f t="shared" si="0"/>
        <v>3.71</v>
      </c>
      <c r="F106" s="67">
        <f t="shared" si="0"/>
        <v>2.84</v>
      </c>
      <c r="G106" s="67">
        <f t="shared" si="0"/>
        <v>13.12</v>
      </c>
      <c r="H106" s="67">
        <f t="shared" si="0"/>
        <v>1.67</v>
      </c>
      <c r="I106" s="67">
        <f t="shared" si="0"/>
        <v>0.69</v>
      </c>
      <c r="J106" s="67">
        <f t="shared" si="0"/>
        <v>0.01</v>
      </c>
      <c r="K106" s="67">
        <f t="shared" si="0"/>
        <v>6.12</v>
      </c>
      <c r="L106" s="67">
        <f t="shared" si="0"/>
        <v>24.19</v>
      </c>
      <c r="M106" s="67">
        <f t="shared" si="0"/>
        <v>76.930000000000007</v>
      </c>
      <c r="N106" s="67">
        <f t="shared" si="0"/>
        <v>30.2</v>
      </c>
      <c r="O106" s="67">
        <f t="shared" si="0"/>
        <v>0</v>
      </c>
      <c r="P106" s="67">
        <f t="shared" si="0"/>
        <v>0.14000000000000001</v>
      </c>
      <c r="Q106" s="67">
        <f t="shared" si="0"/>
        <v>9.48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20.95</v>
      </c>
      <c r="C107" s="66">
        <f t="shared" ref="C107:Q107" si="1">MAX(C9:C104)</f>
        <v>25.62</v>
      </c>
      <c r="D107" s="66">
        <f t="shared" si="1"/>
        <v>27.91</v>
      </c>
      <c r="E107" s="66">
        <f t="shared" si="1"/>
        <v>5.9</v>
      </c>
      <c r="F107" s="66">
        <f t="shared" si="1"/>
        <v>16.149999999999999</v>
      </c>
      <c r="G107" s="66">
        <f t="shared" si="1"/>
        <v>66.010000000000005</v>
      </c>
      <c r="H107" s="66">
        <f t="shared" si="1"/>
        <v>13.37</v>
      </c>
      <c r="I107" s="66">
        <f t="shared" si="1"/>
        <v>2.79</v>
      </c>
      <c r="J107" s="66">
        <f t="shared" si="1"/>
        <v>0.86</v>
      </c>
      <c r="K107" s="66">
        <f t="shared" si="1"/>
        <v>359.51</v>
      </c>
      <c r="L107" s="66">
        <f t="shared" si="1"/>
        <v>30.51</v>
      </c>
      <c r="M107" s="66">
        <f t="shared" si="1"/>
        <v>98.09</v>
      </c>
      <c r="N107" s="66">
        <f t="shared" si="1"/>
        <v>443.2</v>
      </c>
      <c r="O107" s="66">
        <f t="shared" si="1"/>
        <v>0</v>
      </c>
      <c r="P107" s="66">
        <f t="shared" si="1"/>
        <v>1.1499999999999999</v>
      </c>
      <c r="Q107" s="66">
        <f t="shared" si="1"/>
        <v>9.6300000000000008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7.6109375000000012</v>
      </c>
      <c r="C108" s="67">
        <f t="shared" ref="C108:Q108" si="2">AVERAGE(C9:C104)</f>
        <v>10.510416666666668</v>
      </c>
      <c r="D108" s="67">
        <f t="shared" si="2"/>
        <v>11.590624999999998</v>
      </c>
      <c r="E108" s="67">
        <f t="shared" si="2"/>
        <v>4.6065624999999999</v>
      </c>
      <c r="F108" s="67">
        <f t="shared" si="2"/>
        <v>8.6454166666666676</v>
      </c>
      <c r="G108" s="67">
        <f t="shared" si="2"/>
        <v>35.151041666666693</v>
      </c>
      <c r="H108" s="67">
        <f t="shared" si="2"/>
        <v>5.3272916666666683</v>
      </c>
      <c r="I108" s="67">
        <f t="shared" si="2"/>
        <v>1.39</v>
      </c>
      <c r="J108" s="67">
        <f t="shared" si="2"/>
        <v>0.18572916666666664</v>
      </c>
      <c r="K108" s="67">
        <f t="shared" si="2"/>
        <v>213.19843749999993</v>
      </c>
      <c r="L108" s="67">
        <f t="shared" si="2"/>
        <v>26.334166666666658</v>
      </c>
      <c r="M108" s="67">
        <f t="shared" si="2"/>
        <v>94.344374999999999</v>
      </c>
      <c r="N108" s="67">
        <f t="shared" si="2"/>
        <v>106.54895833333337</v>
      </c>
      <c r="O108" s="67">
        <f t="shared" si="2"/>
        <v>0</v>
      </c>
      <c r="P108" s="67">
        <f t="shared" si="2"/>
        <v>0.41124999999999989</v>
      </c>
      <c r="Q108" s="67">
        <f t="shared" si="2"/>
        <v>9.553333333333331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2.8566281478344293</v>
      </c>
      <c r="C109" s="67">
        <f t="shared" ref="C109:Q109" si="3">STDEV(C9:C104)</f>
        <v>4.7211521601509663</v>
      </c>
      <c r="D109" s="67">
        <f t="shared" si="3"/>
        <v>3.9927478501323987</v>
      </c>
      <c r="E109" s="67">
        <f t="shared" si="3"/>
        <v>0.64731319699199996</v>
      </c>
      <c r="F109" s="67">
        <f t="shared" si="3"/>
        <v>3.0170361603703859</v>
      </c>
      <c r="G109" s="67">
        <f t="shared" si="3"/>
        <v>18.302145659610858</v>
      </c>
      <c r="H109" s="67">
        <f t="shared" si="3"/>
        <v>3.9353347959405336</v>
      </c>
      <c r="I109" s="67">
        <f t="shared" si="3"/>
        <v>0.68092815912894722</v>
      </c>
      <c r="J109" s="67">
        <f t="shared" si="3"/>
        <v>0.1657693057212288</v>
      </c>
      <c r="K109" s="67">
        <f t="shared" si="3"/>
        <v>81.853732157179266</v>
      </c>
      <c r="L109" s="67">
        <f t="shared" si="3"/>
        <v>2.1189856891629049</v>
      </c>
      <c r="M109" s="67">
        <f t="shared" si="3"/>
        <v>6.0906511297406052</v>
      </c>
      <c r="N109" s="67">
        <f t="shared" si="3"/>
        <v>105.91534652958676</v>
      </c>
      <c r="O109" s="67">
        <f t="shared" si="3"/>
        <v>0</v>
      </c>
      <c r="P109" s="67">
        <f t="shared" si="3"/>
        <v>0.25939301617835686</v>
      </c>
      <c r="Q109" s="67">
        <f t="shared" si="3"/>
        <v>4.0305848254425375E-2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3" t="s">
        <v>216</v>
      </c>
      <c r="C115" s="213"/>
      <c r="D115" s="213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</row>
  </sheetData>
  <mergeCells count="2">
    <mergeCell ref="B115:D115"/>
    <mergeCell ref="B117:U11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5"/>
  <sheetViews>
    <sheetView zoomScale="85" zoomScaleNormal="85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B51" sqref="B51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01/08/2025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228</v>
      </c>
      <c r="C7" s="198" t="s">
        <v>229</v>
      </c>
      <c r="D7" s="198" t="s">
        <v>230</v>
      </c>
      <c r="E7" s="198" t="s">
        <v>231</v>
      </c>
      <c r="F7" s="198" t="s">
        <v>232</v>
      </c>
      <c r="G7" s="198" t="s">
        <v>233</v>
      </c>
      <c r="H7" s="198" t="s">
        <v>234</v>
      </c>
      <c r="I7" s="198" t="s">
        <v>235</v>
      </c>
      <c r="J7" s="198" t="s">
        <v>236</v>
      </c>
      <c r="K7" s="198" t="s">
        <v>237</v>
      </c>
      <c r="L7" s="198" t="s">
        <v>238</v>
      </c>
      <c r="M7" s="198" t="s">
        <v>239</v>
      </c>
      <c r="N7" s="198" t="s">
        <v>240</v>
      </c>
      <c r="O7" s="198" t="s">
        <v>241</v>
      </c>
      <c r="P7" s="198" t="s">
        <v>242</v>
      </c>
      <c r="Q7" s="198" t="s">
        <v>243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224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 t="str">
        <f>'01'!$B$2</f>
        <v>01/08/2025 00:15</v>
      </c>
      <c r="B9" s="61">
        <f>'01'!B108</f>
        <v>29.24874999999999</v>
      </c>
      <c r="C9" s="61">
        <f>'01'!C108</f>
        <v>16.200937499999995</v>
      </c>
      <c r="D9" s="61">
        <f>'01'!D108</f>
        <v>33.887291666666663</v>
      </c>
      <c r="E9" s="61">
        <f>'01'!E108</f>
        <v>4.779270833333336</v>
      </c>
      <c r="F9" s="61">
        <f>'01'!F108</f>
        <v>6.8097916666666665</v>
      </c>
      <c r="G9" s="99">
        <f>'01'!$G$108</f>
        <v>45.907530864197518</v>
      </c>
      <c r="H9" s="61">
        <f>'01'!H108</f>
        <v>16.31184210526316</v>
      </c>
      <c r="I9" s="61">
        <f>'01'!I108</f>
        <v>9.9514583333333313</v>
      </c>
      <c r="J9" s="61">
        <f>'01'!J108</f>
        <v>0.32947916666666682</v>
      </c>
      <c r="K9" s="61">
        <f>'01'!K108</f>
        <v>273.37093749999997</v>
      </c>
      <c r="L9" s="61">
        <f>'01'!L108</f>
        <v>25.708750000000006</v>
      </c>
      <c r="M9" s="61">
        <f>'01'!M108</f>
        <v>91.934062499999996</v>
      </c>
      <c r="N9" s="61">
        <f>'01'!N108</f>
        <v>176.85208333333321</v>
      </c>
      <c r="O9" s="61">
        <f>'01'!O108</f>
        <v>4.1666666666666666E-3</v>
      </c>
      <c r="P9" s="202">
        <f>'01'!P108</f>
        <v>0.48114583333333338</v>
      </c>
      <c r="Q9" s="61">
        <f>'01'!Q108</f>
        <v>9.3590625000000021</v>
      </c>
      <c r="R9" s="118"/>
      <c r="S9" s="118"/>
      <c r="T9" s="118"/>
      <c r="U9" s="118"/>
    </row>
    <row r="10" spans="1:21" x14ac:dyDescent="0.25">
      <c r="A10" s="94" t="str">
        <f>'02'!$B$2</f>
        <v>02/08/2025 00:15</v>
      </c>
      <c r="B10" s="61">
        <f>'02'!B108</f>
        <v>9.0907291666666641</v>
      </c>
      <c r="C10" s="61">
        <f>'02'!C108</f>
        <v>12.583020833333331</v>
      </c>
      <c r="D10" s="61">
        <f>'02'!D108</f>
        <v>13.864479166666664</v>
      </c>
      <c r="E10" s="61">
        <f>'02'!E108</f>
        <v>4.7390625000000002</v>
      </c>
      <c r="F10" s="61">
        <f>'02'!F108</f>
        <v>7.4092708333333333</v>
      </c>
      <c r="G10" s="61">
        <f>'02'!G108</f>
        <v>44.353125000000027</v>
      </c>
      <c r="H10" s="61">
        <f>'02'!H108</f>
        <v>30.563124999999985</v>
      </c>
      <c r="I10" s="61">
        <f>'02'!I108</f>
        <v>2.1676041666666661</v>
      </c>
      <c r="J10" s="61">
        <f>'02'!J108</f>
        <v>0.14958333333333332</v>
      </c>
      <c r="K10" s="61">
        <f>'02'!K108</f>
        <v>277.29406250000011</v>
      </c>
      <c r="L10" s="61">
        <f>'02'!L108</f>
        <v>26.479791666666667</v>
      </c>
      <c r="M10" s="61">
        <f>'02'!M108</f>
        <v>92.037395833333321</v>
      </c>
      <c r="N10" s="61">
        <f>'02'!N108</f>
        <v>157.07291666666666</v>
      </c>
      <c r="O10" s="61">
        <f>'02'!O108</f>
        <v>2.0833333333333333E-3</v>
      </c>
      <c r="P10" s="202">
        <f>'02'!P108</f>
        <v>0.44343749999999998</v>
      </c>
      <c r="Q10" s="61">
        <f>'02'!Q108</f>
        <v>9.1557291666666654</v>
      </c>
      <c r="R10" s="118"/>
      <c r="S10" s="118"/>
      <c r="T10" s="118"/>
      <c r="U10" s="118"/>
    </row>
    <row r="11" spans="1:21" x14ac:dyDescent="0.25">
      <c r="A11" s="94" t="str">
        <f>'03'!$B$2</f>
        <v>03/08/2025 00:15</v>
      </c>
      <c r="B11" s="61">
        <f>'03'!B108</f>
        <v>9.9813541666666676</v>
      </c>
      <c r="C11" s="61">
        <f>'03'!C108</f>
        <v>12.543333333333329</v>
      </c>
      <c r="D11" s="61">
        <f>'03'!D108</f>
        <v>14.563437500000004</v>
      </c>
      <c r="E11" s="61">
        <f>'03'!E108</f>
        <v>4.9652083333333321</v>
      </c>
      <c r="F11" s="61">
        <f>'03'!F108</f>
        <v>8.1286458333333353</v>
      </c>
      <c r="G11" s="61">
        <f>'03'!G108</f>
        <v>59.238020833333358</v>
      </c>
      <c r="H11" s="61">
        <f>'03'!H108</f>
        <v>18.041458333333331</v>
      </c>
      <c r="I11" s="61">
        <f>'03'!I108</f>
        <v>1.584583333333333</v>
      </c>
      <c r="J11" s="61">
        <f>'03'!J108</f>
        <v>0.14718750000000005</v>
      </c>
      <c r="K11" s="61">
        <f>'03'!K108</f>
        <v>270.33937499999996</v>
      </c>
      <c r="L11" s="61">
        <f>'03'!L108</f>
        <v>28.024270833333329</v>
      </c>
      <c r="M11" s="61">
        <f>'03'!M108</f>
        <v>83.331874999999968</v>
      </c>
      <c r="N11" s="61">
        <f>'03'!N108</f>
        <v>243.89791666666676</v>
      </c>
      <c r="O11" s="61">
        <f>'03'!O108</f>
        <v>2.0833333333333333E-3</v>
      </c>
      <c r="P11" s="202">
        <f>'03'!P108</f>
        <v>0.48166666666666652</v>
      </c>
      <c r="Q11" s="61">
        <f>'03'!Q108</f>
        <v>9.1753125000000022</v>
      </c>
      <c r="R11" s="118"/>
      <c r="S11" s="118"/>
      <c r="T11" s="118"/>
      <c r="U11" s="118"/>
    </row>
    <row r="12" spans="1:21" x14ac:dyDescent="0.25">
      <c r="A12" s="94" t="str">
        <f>'04'!$B$2</f>
        <v>04/08/2025 00:15</v>
      </c>
      <c r="B12" s="61">
        <f>'04'!B108</f>
        <v>7.926562500000002</v>
      </c>
      <c r="C12" s="61">
        <f>'04'!C108</f>
        <v>14.038958333333333</v>
      </c>
      <c r="D12" s="61">
        <f>'04'!D108</f>
        <v>13.702916666666676</v>
      </c>
      <c r="E12" s="61">
        <f>'04'!E108</f>
        <v>4.8317708333333318</v>
      </c>
      <c r="F12" s="61">
        <f>'04'!F108</f>
        <v>9.7668750000000024</v>
      </c>
      <c r="G12" s="61">
        <f>'04'!G108</f>
        <v>66.019247311827982</v>
      </c>
      <c r="H12" s="61">
        <f>'04'!H108</f>
        <v>12.733225806451614</v>
      </c>
      <c r="I12" s="61">
        <f>'04'!I108</f>
        <v>1.885</v>
      </c>
      <c r="J12" s="61">
        <f>'04'!J108</f>
        <v>0.12177083333333333</v>
      </c>
      <c r="K12" s="61">
        <f>'04'!K108</f>
        <v>221.24072916666668</v>
      </c>
      <c r="L12" s="61">
        <f>'04'!L108</f>
        <v>27.511979166666663</v>
      </c>
      <c r="M12" s="61">
        <f>'04'!M108</f>
        <v>92.164062500000014</v>
      </c>
      <c r="N12" s="61">
        <f>'04'!N108</f>
        <v>163.33854166666669</v>
      </c>
      <c r="O12" s="61">
        <f>'04'!O108</f>
        <v>0</v>
      </c>
      <c r="P12" s="202">
        <f>'04'!P108</f>
        <v>0.4060416666666668</v>
      </c>
      <c r="Q12" s="61">
        <f>'04'!Q108</f>
        <v>9.2616666666666685</v>
      </c>
      <c r="R12" s="118"/>
      <c r="S12" s="118"/>
      <c r="T12" s="118"/>
      <c r="U12" s="118"/>
    </row>
    <row r="13" spans="1:21" x14ac:dyDescent="0.25">
      <c r="A13" s="94" t="str">
        <f>'05'!$B$2</f>
        <v>05/08/2025 00:15</v>
      </c>
      <c r="B13" s="61">
        <f>'05'!B108</f>
        <v>11.054166666666667</v>
      </c>
      <c r="C13" s="61">
        <f>'05'!C108</f>
        <v>16.185416666666672</v>
      </c>
      <c r="D13" s="61">
        <f>'05'!D108</f>
        <v>17.310937500000001</v>
      </c>
      <c r="E13" s="61">
        <f>'05'!E108</f>
        <v>4.9353124999999984</v>
      </c>
      <c r="F13" s="61">
        <f>'05'!F108</f>
        <v>10.576770833333329</v>
      </c>
      <c r="G13" s="61">
        <f>'05'!G108</f>
        <v>64.493541666666658</v>
      </c>
      <c r="H13" s="61">
        <f>'05'!H108</f>
        <v>12.98302083333334</v>
      </c>
      <c r="I13" s="61">
        <f>'05'!I108</f>
        <v>1.8780208333333339</v>
      </c>
      <c r="J13" s="61">
        <f>'05'!J108</f>
        <v>0.17197916666666668</v>
      </c>
      <c r="K13" s="61">
        <f>'05'!K108</f>
        <v>243.79697916666669</v>
      </c>
      <c r="L13" s="61">
        <f>'05'!L108</f>
        <v>27.95385416666667</v>
      </c>
      <c r="M13" s="61">
        <f>'05'!M108</f>
        <v>88.774895833333346</v>
      </c>
      <c r="N13" s="61">
        <f>'05'!N108</f>
        <v>199.8885416666667</v>
      </c>
      <c r="O13" s="61">
        <f>'05'!O108</f>
        <v>4.1666666666666666E-3</v>
      </c>
      <c r="P13" s="202">
        <f>'05'!P108</f>
        <v>0.54958333333333331</v>
      </c>
      <c r="Q13" s="61">
        <f>'05'!Q108</f>
        <v>9.2449999999999992</v>
      </c>
      <c r="R13" s="118"/>
      <c r="S13" s="118"/>
      <c r="T13" s="118"/>
      <c r="U13" s="118"/>
    </row>
    <row r="14" spans="1:21" x14ac:dyDescent="0.25">
      <c r="A14" s="94" t="str">
        <f>'06'!$B$2</f>
        <v>06/08/2025 00:15</v>
      </c>
      <c r="B14" s="61">
        <f>'06'!B108</f>
        <v>8.9620833333333305</v>
      </c>
      <c r="C14" s="61">
        <f>'06'!C108</f>
        <v>12.720416666666665</v>
      </c>
      <c r="D14" s="61">
        <f>'06'!D108</f>
        <v>13.802812499999996</v>
      </c>
      <c r="E14" s="61">
        <f>'06'!E108</f>
        <v>4.6591666666666649</v>
      </c>
      <c r="F14" s="61">
        <f>'06'!F108</f>
        <v>9.5631250000000012</v>
      </c>
      <c r="G14" s="61">
        <f>'06'!G108</f>
        <v>54.400833333333345</v>
      </c>
      <c r="H14" s="61">
        <f>'06'!H108</f>
        <v>11.231562499999997</v>
      </c>
      <c r="I14" s="61">
        <f>'06'!I108</f>
        <v>1.483125</v>
      </c>
      <c r="J14" s="61">
        <f>'06'!J108</f>
        <v>0.29666666666666669</v>
      </c>
      <c r="K14" s="61">
        <f>'06'!K108</f>
        <v>239.16145833333329</v>
      </c>
      <c r="L14" s="61">
        <f>'06'!L108</f>
        <v>28.23052083333333</v>
      </c>
      <c r="M14" s="61">
        <f>'06'!M108</f>
        <v>82.188541666666637</v>
      </c>
      <c r="N14" s="61">
        <f>'06'!N108</f>
        <v>244.97187499999995</v>
      </c>
      <c r="O14" s="61">
        <f>'06'!O108</f>
        <v>0</v>
      </c>
      <c r="P14" s="202">
        <f>'06'!P108</f>
        <v>0.30864583333333334</v>
      </c>
      <c r="Q14" s="61">
        <f>'06'!Q108</f>
        <v>9.2862500000000008</v>
      </c>
      <c r="R14" s="118"/>
      <c r="S14" s="118"/>
      <c r="T14" s="118"/>
      <c r="U14" s="118"/>
    </row>
    <row r="15" spans="1:21" x14ac:dyDescent="0.25">
      <c r="A15" s="94" t="str">
        <f>'07'!$B$2</f>
        <v>07/08/2025 00:15</v>
      </c>
      <c r="B15" s="61">
        <f>'07'!B108</f>
        <v>8.722187500000004</v>
      </c>
      <c r="C15" s="61">
        <f>'07'!C108</f>
        <v>10.722916666666668</v>
      </c>
      <c r="D15" s="61">
        <f>'07'!D108</f>
        <v>12.47864583333334</v>
      </c>
      <c r="E15" s="61">
        <f>'07'!E108</f>
        <v>4.4480208333333335</v>
      </c>
      <c r="F15" s="61">
        <f>'07'!F108</f>
        <v>6.5219791666666618</v>
      </c>
      <c r="G15" s="100">
        <f>'07'!$G$108</f>
        <v>35.814791666666643</v>
      </c>
      <c r="H15" s="61">
        <f>'07'!H108</f>
        <v>5.2392708333333333</v>
      </c>
      <c r="I15" s="61">
        <f>'07'!I108</f>
        <v>1.110625</v>
      </c>
      <c r="J15" s="61">
        <f>'07'!J108</f>
        <v>0.32020833333333332</v>
      </c>
      <c r="K15" s="61">
        <f>'07'!K108</f>
        <v>281.67447916666657</v>
      </c>
      <c r="L15" s="61">
        <f>'07'!L108</f>
        <v>26.548437500000009</v>
      </c>
      <c r="M15" s="61">
        <f>'07'!M108</f>
        <v>89.790729166666665</v>
      </c>
      <c r="N15" s="61">
        <f>'07'!N108</f>
        <v>187.24687499999993</v>
      </c>
      <c r="O15" s="61">
        <f>'07'!O108</f>
        <v>0</v>
      </c>
      <c r="P15" s="202">
        <f>'07'!P108</f>
        <v>0.35000000000000014</v>
      </c>
      <c r="Q15" s="61">
        <f>'07'!Q108</f>
        <v>9.0012500000000006</v>
      </c>
      <c r="R15" s="118"/>
      <c r="S15" s="118"/>
      <c r="T15" s="118"/>
      <c r="U15" s="118"/>
    </row>
    <row r="16" spans="1:21" x14ac:dyDescent="0.25">
      <c r="A16" s="94" t="str">
        <f>'08'!$B$2</f>
        <v>08/08/2025 00:15</v>
      </c>
      <c r="B16" s="61">
        <f>'08'!B108</f>
        <v>7.8999999999999986</v>
      </c>
      <c r="C16" s="61">
        <f>'08'!C108</f>
        <v>9.8659375000000029</v>
      </c>
      <c r="D16" s="61">
        <f>'08'!D108</f>
        <v>11.49</v>
      </c>
      <c r="E16" s="61">
        <f>'08'!E108</f>
        <v>4.2981249999999998</v>
      </c>
      <c r="F16" s="61">
        <f>'08'!F108</f>
        <v>4.3197916666666654</v>
      </c>
      <c r="G16" s="100">
        <f>'08'!$G$108</f>
        <v>18.896458333333317</v>
      </c>
      <c r="H16" s="61">
        <f>'08'!H108</f>
        <v>3.6373958333333332</v>
      </c>
      <c r="I16" s="61">
        <f>'08'!I108</f>
        <v>0.95343750000000027</v>
      </c>
      <c r="J16" s="61">
        <f>'08'!J108</f>
        <v>0.20104166666666656</v>
      </c>
      <c r="K16" s="61">
        <f>'08'!K108</f>
        <v>243.23520833333328</v>
      </c>
      <c r="L16" s="61">
        <f>'08'!L108</f>
        <v>24.380416666666658</v>
      </c>
      <c r="M16" s="61">
        <f>'08'!M108</f>
        <v>97.578020833333326</v>
      </c>
      <c r="N16" s="61">
        <f>'08'!N108</f>
        <v>140.43645833333338</v>
      </c>
      <c r="O16" s="61">
        <f>'08'!O108</f>
        <v>2.0833333333333333E-3</v>
      </c>
      <c r="P16" s="202">
        <f>'08'!P108</f>
        <v>0.29177083333333331</v>
      </c>
      <c r="Q16" s="61">
        <f>'08'!Q108</f>
        <v>9.6206250000000022</v>
      </c>
      <c r="R16" s="118"/>
      <c r="S16" s="118"/>
      <c r="T16" s="118"/>
      <c r="U16" s="118"/>
    </row>
    <row r="17" spans="1:21" x14ac:dyDescent="0.25">
      <c r="A17" s="94" t="str">
        <f>'09'!$B$2</f>
        <v>09/08/2025 00:15</v>
      </c>
      <c r="B17" s="61">
        <f>'09'!B108</f>
        <v>7.9954166666666646</v>
      </c>
      <c r="C17" s="61">
        <f>'09'!C108</f>
        <v>10.021041666666672</v>
      </c>
      <c r="D17" s="61">
        <f>'09'!D108</f>
        <v>11.643229166666659</v>
      </c>
      <c r="E17" s="61">
        <f>'09'!E108</f>
        <v>4.4198958333333334</v>
      </c>
      <c r="F17" s="61">
        <f>'09'!F108</f>
        <v>6.2582291666666636</v>
      </c>
      <c r="G17" s="100">
        <f>'09'!$G$108</f>
        <v>19.086041666666674</v>
      </c>
      <c r="H17" s="61">
        <f>'09'!H108</f>
        <v>4.0479166666666666</v>
      </c>
      <c r="I17" s="61">
        <f>'09'!I108</f>
        <v>1.0429166666666672</v>
      </c>
      <c r="J17" s="61">
        <f>'09'!J108</f>
        <v>0.22187500000000002</v>
      </c>
      <c r="K17" s="61">
        <f>'09'!K108</f>
        <v>189.52781249999998</v>
      </c>
      <c r="L17" s="61">
        <f>'09'!L108</f>
        <v>26.513437499999998</v>
      </c>
      <c r="M17" s="61">
        <f>'09'!M108</f>
        <v>90.336249999999964</v>
      </c>
      <c r="N17" s="61">
        <f>'09'!N108</f>
        <v>256.71041666666673</v>
      </c>
      <c r="O17" s="61">
        <f>'09'!O108</f>
        <v>2.0833333333333333E-3</v>
      </c>
      <c r="P17" s="202">
        <f>'09'!P108</f>
        <v>0.29249999999999998</v>
      </c>
      <c r="Q17" s="61">
        <f>'09'!Q108</f>
        <v>9.6300000000000026</v>
      </c>
      <c r="R17" s="118"/>
      <c r="S17" s="118"/>
      <c r="T17" s="118"/>
      <c r="U17" s="118"/>
    </row>
    <row r="18" spans="1:21" x14ac:dyDescent="0.25">
      <c r="A18" s="94" t="str">
        <f>'10'!$B$2</f>
        <v>10/08/2025 00:15</v>
      </c>
      <c r="B18" s="61">
        <f>'10'!B108</f>
        <v>6.1114583333333341</v>
      </c>
      <c r="C18" s="61">
        <f>'10'!C108</f>
        <v>10.075729166666671</v>
      </c>
      <c r="D18" s="61">
        <f>'10'!D108</f>
        <v>10.165208333333332</v>
      </c>
      <c r="E18" s="61">
        <f>'10'!E108</f>
        <v>4.7903124999999998</v>
      </c>
      <c r="F18" s="61">
        <f>'10'!F108</f>
        <v>8.0879166666666649</v>
      </c>
      <c r="G18" s="101">
        <f>'10'!$G$108</f>
        <v>30.804687500000004</v>
      </c>
      <c r="H18" s="61">
        <f>'10'!H108</f>
        <v>10.021562500000005</v>
      </c>
      <c r="I18" s="61">
        <f>'10'!I108</f>
        <v>1.0912500000000003</v>
      </c>
      <c r="J18" s="61">
        <f>'10'!J108</f>
        <v>0.20604166666666668</v>
      </c>
      <c r="K18" s="61">
        <f>'10'!K108</f>
        <v>208.91697916666669</v>
      </c>
      <c r="L18" s="61">
        <f>'10'!L108</f>
        <v>27.311979166666664</v>
      </c>
      <c r="M18" s="61">
        <f>'10'!M108</f>
        <v>87.917395833333345</v>
      </c>
      <c r="N18" s="61">
        <f>'10'!N108</f>
        <v>258.20312499999994</v>
      </c>
      <c r="O18" s="61">
        <f>'10'!O108</f>
        <v>0</v>
      </c>
      <c r="P18" s="202">
        <f>'10'!P108</f>
        <v>0.29562499999999997</v>
      </c>
      <c r="Q18" s="61">
        <f>'10'!Q108</f>
        <v>9.6161458333333343</v>
      </c>
      <c r="R18" s="118"/>
      <c r="S18" s="118"/>
      <c r="T18" s="118"/>
      <c r="U18" s="118"/>
    </row>
    <row r="19" spans="1:21" x14ac:dyDescent="0.25">
      <c r="A19" s="94" t="str">
        <f>'11'!$B$2</f>
        <v>11/08/2025 00:15</v>
      </c>
      <c r="B19" s="61">
        <f>'11'!B108</f>
        <v>8.8085416666666649</v>
      </c>
      <c r="C19" s="61">
        <f>'11'!C108</f>
        <v>10.239687499999997</v>
      </c>
      <c r="D19" s="61">
        <f>'11'!D108</f>
        <v>12.408854166666659</v>
      </c>
      <c r="E19" s="61">
        <f>'11'!E108</f>
        <v>4.7100000000000009</v>
      </c>
      <c r="F19" s="61">
        <f>'11'!F108</f>
        <v>7.3648958333333363</v>
      </c>
      <c r="G19" s="99">
        <f>'11'!$G$108</f>
        <v>35.28875</v>
      </c>
      <c r="H19" s="61">
        <f>'11'!H108</f>
        <v>8.8490624999999987</v>
      </c>
      <c r="I19" s="61">
        <f>'11'!I108</f>
        <v>1.2358333333333331</v>
      </c>
      <c r="J19" s="61">
        <f>'11'!J108</f>
        <v>0.26395833333333335</v>
      </c>
      <c r="K19" s="61">
        <f>'11'!K108</f>
        <v>257.69312500000001</v>
      </c>
      <c r="L19" s="61">
        <f>'11'!L108</f>
        <v>27.675520833333323</v>
      </c>
      <c r="M19" s="61">
        <f>'11'!M108</f>
        <v>88.512291666666655</v>
      </c>
      <c r="N19" s="61">
        <f>'11'!N108</f>
        <v>173.99374999999989</v>
      </c>
      <c r="O19" s="61">
        <f>'11'!O108</f>
        <v>2.0833333333333333E-3</v>
      </c>
      <c r="P19" s="202">
        <f>'11'!P108</f>
        <v>0.43302083333333341</v>
      </c>
      <c r="Q19" s="61">
        <f>'11'!Q108</f>
        <v>9.6213541666666718</v>
      </c>
      <c r="R19" s="118"/>
      <c r="S19" s="118"/>
      <c r="T19" s="118"/>
      <c r="U19" s="118"/>
    </row>
    <row r="20" spans="1:21" x14ac:dyDescent="0.25">
      <c r="A20" s="94" t="str">
        <f>'12'!$B$2</f>
        <v>12/08/2025 00:15</v>
      </c>
      <c r="B20" s="61">
        <f>'12'!B108</f>
        <v>11.235520833333332</v>
      </c>
      <c r="C20" s="61">
        <f>'12'!C108</f>
        <v>10.3846875</v>
      </c>
      <c r="D20" s="61">
        <f>'12'!D108</f>
        <v>14.432083333333336</v>
      </c>
      <c r="E20" s="61">
        <f>'12'!E108</f>
        <v>4.6630208333333316</v>
      </c>
      <c r="F20" s="61">
        <f>'12'!F108</f>
        <v>7.4794791666666649</v>
      </c>
      <c r="G20" s="101">
        <f>'12'!$G$108</f>
        <v>39.69812499999999</v>
      </c>
      <c r="H20" s="61">
        <f>'12'!H108</f>
        <v>9.1015625000000036</v>
      </c>
      <c r="I20" s="61">
        <f>'12'!I108</f>
        <v>1.3766666666666663</v>
      </c>
      <c r="J20" s="61">
        <f>'12'!J108</f>
        <v>0.52239583333333339</v>
      </c>
      <c r="K20" s="61">
        <f>'12'!K108</f>
        <v>308.30697916666657</v>
      </c>
      <c r="L20" s="61">
        <f>'12'!L108</f>
        <v>28.118229166666652</v>
      </c>
      <c r="M20" s="61">
        <f>'12'!M108</f>
        <v>86.645729166666683</v>
      </c>
      <c r="N20" s="61">
        <f>'12'!N108</f>
        <v>176.97708333333333</v>
      </c>
      <c r="O20" s="61">
        <f>'12'!O108</f>
        <v>2.0833333333333333E-3</v>
      </c>
      <c r="P20" s="202">
        <f>'12'!P108</f>
        <v>0.4551041666666667</v>
      </c>
      <c r="Q20" s="61">
        <f>'12'!Q108</f>
        <v>9.6255208333333275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13/08/2025 00:15</v>
      </c>
      <c r="B21" s="91">
        <f>'13'!B108</f>
        <v>9.9756250000000026</v>
      </c>
      <c r="C21" s="91">
        <f>'13'!C108</f>
        <v>11.069583333333334</v>
      </c>
      <c r="D21" s="91">
        <f>'13'!D108</f>
        <v>13.776562499999999</v>
      </c>
      <c r="E21" s="91">
        <f>'13'!E108</f>
        <v>4.8976041666666665</v>
      </c>
      <c r="F21" s="91">
        <f>'13'!F108</f>
        <v>9.2501041666666683</v>
      </c>
      <c r="G21" s="100">
        <f>'13'!$G$108</f>
        <v>32.393958333333323</v>
      </c>
      <c r="H21" s="91">
        <f>'13'!H108</f>
        <v>7.6055208333333288</v>
      </c>
      <c r="I21" s="91">
        <f>'13'!I108</f>
        <v>1.4745833333333331</v>
      </c>
      <c r="J21" s="91">
        <f>'13'!J108</f>
        <v>0.36687500000000006</v>
      </c>
      <c r="K21" s="91">
        <f>'13'!K108</f>
        <v>210.33333333333329</v>
      </c>
      <c r="L21" s="91">
        <f>'13'!L108</f>
        <v>27.038125000000012</v>
      </c>
      <c r="M21" s="91">
        <f>'13'!M108</f>
        <v>93.152604166666677</v>
      </c>
      <c r="N21" s="91">
        <f>'13'!N108</f>
        <v>174.86041666666674</v>
      </c>
      <c r="O21" s="91">
        <f>'13'!O108</f>
        <v>0</v>
      </c>
      <c r="P21" s="203">
        <f>'13'!P108</f>
        <v>0.45770833333333338</v>
      </c>
      <c r="Q21" s="91">
        <f>'13'!Q108</f>
        <v>9.6291666666666593</v>
      </c>
      <c r="R21" s="205"/>
      <c r="S21" s="205"/>
      <c r="T21" s="205"/>
      <c r="U21" s="205"/>
    </row>
    <row r="22" spans="1:21" s="89" customFormat="1" x14ac:dyDescent="0.25">
      <c r="A22" s="94" t="str">
        <f>'14'!$B$2</f>
        <v>14/08/2025 00:15</v>
      </c>
      <c r="B22" s="90">
        <f>'14'!B108</f>
        <v>9.9818750000000041</v>
      </c>
      <c r="C22" s="90">
        <f>'14'!C108</f>
        <v>9.9767708333333331</v>
      </c>
      <c r="D22" s="90">
        <f>'14'!D108</f>
        <v>13.146354166666663</v>
      </c>
      <c r="E22" s="90">
        <f>'14'!E108</f>
        <v>5.2670833333333338</v>
      </c>
      <c r="F22" s="90">
        <f>'14'!F108</f>
        <v>9.0094791666666705</v>
      </c>
      <c r="G22" s="100">
        <f>'14'!$G$108</f>
        <v>23.0978125</v>
      </c>
      <c r="H22" s="100">
        <f>'14'!$G$108</f>
        <v>23.0978125</v>
      </c>
      <c r="I22" s="90">
        <f>'14'!I108</f>
        <v>1.3388541666666669</v>
      </c>
      <c r="J22" s="90">
        <f>'14'!J108</f>
        <v>0.43010416666666657</v>
      </c>
      <c r="K22" s="90">
        <f>'14'!K108</f>
        <v>177.19958333333332</v>
      </c>
      <c r="L22" s="90">
        <f>'14'!L108</f>
        <v>26.659583333333327</v>
      </c>
      <c r="M22" s="90">
        <f>'14'!M108</f>
        <v>91.58499999999998</v>
      </c>
      <c r="N22" s="90">
        <f>'14'!N108</f>
        <v>183.96874999999986</v>
      </c>
      <c r="O22" s="90">
        <f>'14'!O108</f>
        <v>0</v>
      </c>
      <c r="P22" s="204">
        <f>'14'!P108</f>
        <v>0.38843749999999999</v>
      </c>
      <c r="Q22" s="90">
        <f>'14'!Q108</f>
        <v>9.6485416666666648</v>
      </c>
      <c r="R22" s="206"/>
      <c r="S22" s="206"/>
      <c r="T22" s="206"/>
      <c r="U22" s="206"/>
    </row>
    <row r="23" spans="1:21" x14ac:dyDescent="0.25">
      <c r="A23" s="94" t="str">
        <f>'15'!$B$2</f>
        <v>15/08/2025 00:15</v>
      </c>
      <c r="B23" s="61">
        <f>'15'!B108</f>
        <v>10.278854166666669</v>
      </c>
      <c r="C23" s="61">
        <f>'15'!C108</f>
        <v>11.316979166666668</v>
      </c>
      <c r="D23" s="61">
        <f>'15'!D108</f>
        <v>14.148125</v>
      </c>
      <c r="E23" s="61">
        <f>'15'!E108</f>
        <v>4.1190624999999983</v>
      </c>
      <c r="F23" s="61">
        <f>'15'!F108</f>
        <v>10.202500000000001</v>
      </c>
      <c r="G23" s="100">
        <f>'15'!$G$108</f>
        <v>29.322187499999995</v>
      </c>
      <c r="H23" s="61">
        <f>'15'!H108</f>
        <v>8.7437500000000039</v>
      </c>
      <c r="I23" s="61">
        <f>'15'!I108</f>
        <v>1.4847916666666665</v>
      </c>
      <c r="J23" s="61">
        <f>'15'!J108</f>
        <v>0.37489583333333337</v>
      </c>
      <c r="K23" s="61">
        <f>'15'!K108</f>
        <v>175.4479166666666</v>
      </c>
      <c r="L23" s="61">
        <f>'15'!L108</f>
        <v>27.145833333333339</v>
      </c>
      <c r="M23" s="61">
        <f>'15'!M108</f>
        <v>91.852604166666666</v>
      </c>
      <c r="N23" s="61">
        <f>'15'!N108</f>
        <v>179.94687499999998</v>
      </c>
      <c r="O23" s="61">
        <f>'15'!O108</f>
        <v>4.1666666666666666E-3</v>
      </c>
      <c r="P23" s="202">
        <f>'15'!P108</f>
        <v>0.38093749999999998</v>
      </c>
      <c r="Q23" s="61">
        <f>'15'!Q108</f>
        <v>9.6404166666666686</v>
      </c>
      <c r="R23" s="118"/>
      <c r="S23" s="118"/>
      <c r="T23" s="118"/>
      <c r="U23" s="118"/>
    </row>
    <row r="24" spans="1:21" x14ac:dyDescent="0.25">
      <c r="A24" s="94" t="str">
        <f>'16'!$B$2</f>
        <v>16/08/2025 00:15</v>
      </c>
      <c r="B24" s="61">
        <f>'16'!B108</f>
        <v>9.2254166666666677</v>
      </c>
      <c r="C24" s="61">
        <f>'16'!C108</f>
        <v>10.198125000000003</v>
      </c>
      <c r="D24" s="61">
        <f>'16'!D108</f>
        <v>12.646250000000002</v>
      </c>
      <c r="E24" s="61">
        <f>'16'!E108</f>
        <v>5.2225000000000001</v>
      </c>
      <c r="F24" s="61">
        <f>'16'!F108</f>
        <v>8.7845833333333339</v>
      </c>
      <c r="G24" s="100">
        <f>'16'!$G$108</f>
        <v>19.759791666666658</v>
      </c>
      <c r="H24" s="61">
        <f>'16'!H108</f>
        <v>6.6129166666666661</v>
      </c>
      <c r="I24" s="61">
        <f>'16'!I108</f>
        <v>1.2848958333333329</v>
      </c>
      <c r="J24" s="61">
        <f>'16'!J108</f>
        <v>0.40593750000000012</v>
      </c>
      <c r="K24" s="61">
        <f>'16'!K108</f>
        <v>153.47447916666673</v>
      </c>
      <c r="L24" s="61">
        <f>'16'!L108</f>
        <v>25.989166666666659</v>
      </c>
      <c r="M24" s="61">
        <f>'16'!M108</f>
        <v>97.132395833333362</v>
      </c>
      <c r="N24" s="61">
        <f>'16'!N108</f>
        <v>153.24479166666669</v>
      </c>
      <c r="O24" s="61">
        <f>'16'!O108</f>
        <v>0</v>
      </c>
      <c r="P24" s="202">
        <f>'16'!P108</f>
        <v>0.43135416666666676</v>
      </c>
      <c r="Q24" s="61">
        <f>'16'!Q108</f>
        <v>9.6366666666666614</v>
      </c>
      <c r="R24" s="118"/>
      <c r="S24" s="118"/>
      <c r="T24" s="118"/>
      <c r="U24" s="118"/>
    </row>
    <row r="25" spans="1:21" x14ac:dyDescent="0.25">
      <c r="A25" s="94" t="str">
        <f>'17'!$B$2</f>
        <v>17/08/2025 00:15</v>
      </c>
      <c r="B25" s="61">
        <f>'17'!B108</f>
        <v>9.2294791666666658</v>
      </c>
      <c r="C25" s="61">
        <f>'17'!C108</f>
        <v>8.4270833333333339</v>
      </c>
      <c r="D25" s="61">
        <f>'17'!D108</f>
        <v>11.826041666666663</v>
      </c>
      <c r="E25" s="61">
        <f>'17'!E108</f>
        <v>4.4448958333333337</v>
      </c>
      <c r="F25" s="61">
        <f>'17'!F108</f>
        <v>7.3181250000000011</v>
      </c>
      <c r="G25" s="101">
        <f>'17'!$G$108</f>
        <v>12.11864583333333</v>
      </c>
      <c r="H25" s="61">
        <f>'17'!H108</f>
        <v>5.2672916666666696</v>
      </c>
      <c r="I25" s="61">
        <f>'17'!I108</f>
        <v>1.0834374999999998</v>
      </c>
      <c r="J25" s="61">
        <f>'17'!J108</f>
        <v>0.50645833333333334</v>
      </c>
      <c r="K25" s="61">
        <f>'17'!K108</f>
        <v>147.48479166666672</v>
      </c>
      <c r="L25" s="61">
        <f>'17'!L108</f>
        <v>25.829687500000009</v>
      </c>
      <c r="M25" s="61">
        <f>'17'!M108</f>
        <v>92.224583333333342</v>
      </c>
      <c r="N25" s="61">
        <f>'17'!N108</f>
        <v>202.38958333333326</v>
      </c>
      <c r="O25" s="61">
        <f>'17'!O108</f>
        <v>2.0833333333333333E-3</v>
      </c>
      <c r="P25" s="202">
        <f>'17'!P108</f>
        <v>0.3334375</v>
      </c>
      <c r="Q25" s="61">
        <f>'17'!Q108</f>
        <v>9.4257291666666685</v>
      </c>
      <c r="R25" s="118"/>
      <c r="S25" s="118"/>
      <c r="T25" s="118"/>
      <c r="U25" s="118"/>
    </row>
    <row r="26" spans="1:21" x14ac:dyDescent="0.25">
      <c r="A26" s="94" t="str">
        <f>'18'!$B$2</f>
        <v>18/08/2025 00:15</v>
      </c>
      <c r="B26" s="61">
        <f>'18'!B108</f>
        <v>11.231562499999995</v>
      </c>
      <c r="C26" s="61">
        <f>'18'!C108</f>
        <v>9.6560416666666651</v>
      </c>
      <c r="D26" s="61">
        <f>'18'!D108</f>
        <v>14.031562500000001</v>
      </c>
      <c r="E26" s="61">
        <f>'18'!E108</f>
        <v>5.2196874999999983</v>
      </c>
      <c r="F26" s="61">
        <f>'18'!F108</f>
        <v>8.0222916666666695</v>
      </c>
      <c r="G26" s="99">
        <f>'18'!$G$108</f>
        <v>19.423369565217389</v>
      </c>
      <c r="H26" s="61">
        <f>'18'!H108</f>
        <v>4.8824999999999967</v>
      </c>
      <c r="I26" s="61">
        <f>'18'!I108</f>
        <v>1.4060416666666662</v>
      </c>
      <c r="J26" s="61">
        <f>'18'!J108</f>
        <v>0.3359375</v>
      </c>
      <c r="K26" s="61">
        <f>'18'!K108</f>
        <v>202.5711458333333</v>
      </c>
      <c r="L26" s="61">
        <f>'18'!L108</f>
        <v>26.052708333333324</v>
      </c>
      <c r="M26" s="61">
        <f>'18'!M108</f>
        <v>95.265312499999993</v>
      </c>
      <c r="N26" s="61">
        <f>'18'!N108</f>
        <v>192.02604166666666</v>
      </c>
      <c r="O26" s="61">
        <f>'18'!O108</f>
        <v>2.0833333333333333E-3</v>
      </c>
      <c r="P26" s="202">
        <f>'18'!P108</f>
        <v>0.40895833333333315</v>
      </c>
      <c r="Q26" s="61">
        <f>'18'!Q108</f>
        <v>9.6218749999999975</v>
      </c>
      <c r="R26" s="118"/>
      <c r="S26" s="118"/>
      <c r="T26" s="118"/>
      <c r="U26" s="118"/>
    </row>
    <row r="27" spans="1:21" x14ac:dyDescent="0.25">
      <c r="A27" s="94" t="str">
        <f>'19'!$B$2</f>
        <v>19/08/2025 00:15</v>
      </c>
      <c r="B27" s="61">
        <f>'19'!B108</f>
        <v>14.336562499999999</v>
      </c>
      <c r="C27" s="61">
        <f>'19'!C108</f>
        <v>8.6354166666666661</v>
      </c>
      <c r="D27" s="61">
        <f>'19'!D108</f>
        <v>16.010937499999997</v>
      </c>
      <c r="E27" s="61">
        <f>'19'!E108</f>
        <v>5.2095833333333328</v>
      </c>
      <c r="F27" s="61">
        <f>'19'!F108</f>
        <v>5.7363541666666684</v>
      </c>
      <c r="G27" s="61">
        <f>'19'!G108</f>
        <v>23.272187500000005</v>
      </c>
      <c r="H27" s="61">
        <f>'19'!H108</f>
        <v>4.1854166666666641</v>
      </c>
      <c r="I27" s="61">
        <f>'19'!I108</f>
        <v>1.7955208333333328</v>
      </c>
      <c r="J27" s="61">
        <f>'19'!J108</f>
        <v>0.24229166666666666</v>
      </c>
      <c r="K27" s="61">
        <f>'19'!K108</f>
        <v>236.46781249999992</v>
      </c>
      <c r="L27" s="61">
        <f>'19'!L108</f>
        <v>25.008125000000017</v>
      </c>
      <c r="M27" s="61">
        <f>'19'!M108</f>
        <v>97.009895833333317</v>
      </c>
      <c r="N27" s="61">
        <f>'19'!N108</f>
        <v>140.44166666666666</v>
      </c>
      <c r="O27" s="61">
        <f>'19'!O108</f>
        <v>0</v>
      </c>
      <c r="P27" s="202">
        <f>'19'!P108</f>
        <v>0.55364583333333339</v>
      </c>
      <c r="Q27" s="61">
        <f>'19'!Q108</f>
        <v>9.6465624999999893</v>
      </c>
      <c r="R27" s="118"/>
      <c r="S27" s="118"/>
      <c r="T27" s="118"/>
      <c r="U27" s="118"/>
    </row>
    <row r="28" spans="1:21" x14ac:dyDescent="0.25">
      <c r="A28" s="94" t="str">
        <f>'20'!$B$2</f>
        <v>20/08/2025 00:15</v>
      </c>
      <c r="B28" s="61">
        <f>'20'!B108</f>
        <v>6.8769791666666675</v>
      </c>
      <c r="C28" s="61">
        <f>'20'!C108</f>
        <v>8.1196875000000013</v>
      </c>
      <c r="D28" s="61">
        <f>'20'!D108</f>
        <v>9.7473958333333339</v>
      </c>
      <c r="E28" s="61">
        <f>'20'!E108</f>
        <v>4.5128125000000017</v>
      </c>
      <c r="F28" s="61">
        <f>'20'!F108</f>
        <v>3.7753124999999987</v>
      </c>
      <c r="G28" s="61">
        <f>'20'!G108</f>
        <v>10.339791666666658</v>
      </c>
      <c r="H28" s="61">
        <f>'20'!H108</f>
        <v>2.547499999999999</v>
      </c>
      <c r="I28" s="61">
        <f>'20'!I108</f>
        <v>1.2082291666666671</v>
      </c>
      <c r="J28" s="61">
        <f>'20'!J108</f>
        <v>0.11593749999999999</v>
      </c>
      <c r="K28" s="61">
        <f>'20'!K108</f>
        <v>279.39572916666668</v>
      </c>
      <c r="L28" s="61">
        <f>'20'!L108</f>
        <v>24.298541666666669</v>
      </c>
      <c r="M28" s="61">
        <f>'20'!M108</f>
        <v>98.076354166666633</v>
      </c>
      <c r="N28" s="61">
        <f>'20'!N108</f>
        <v>120.38541666666663</v>
      </c>
      <c r="O28" s="61">
        <f>'20'!O108</f>
        <v>2.0833333333333333E-3</v>
      </c>
      <c r="P28" s="202">
        <f>'20'!P108</f>
        <v>0.30510416666666651</v>
      </c>
      <c r="Q28" s="61">
        <f>'20'!Q108</f>
        <v>9.4909374999999958</v>
      </c>
      <c r="R28" s="118"/>
      <c r="S28" s="118"/>
      <c r="T28" s="118"/>
      <c r="U28" s="118"/>
    </row>
    <row r="29" spans="1:21" x14ac:dyDescent="0.25">
      <c r="A29" s="94" t="str">
        <f>'21'!$B$2</f>
        <v>21/08/2025 00:15</v>
      </c>
      <c r="B29" s="61">
        <f>'21'!B108</f>
        <v>6.744062500000001</v>
      </c>
      <c r="C29" s="61">
        <f>'21'!C108</f>
        <v>7.820208333333329</v>
      </c>
      <c r="D29" s="61">
        <f>'21'!D108</f>
        <v>9.4939583333333353</v>
      </c>
      <c r="E29" s="61">
        <f>'21'!E108</f>
        <v>4.4135416666666671</v>
      </c>
      <c r="F29" s="61">
        <f>'21'!F108</f>
        <v>3.3957291666666656</v>
      </c>
      <c r="G29" s="61">
        <f>'21'!G108</f>
        <v>16.052708333333324</v>
      </c>
      <c r="H29" s="61">
        <f>'21'!H108</f>
        <v>2.7902083333333327</v>
      </c>
      <c r="I29" s="61">
        <f>'21'!I108</f>
        <v>0.89843750000000011</v>
      </c>
      <c r="J29" s="61">
        <f>'21'!J108</f>
        <v>0.15791666666666662</v>
      </c>
      <c r="K29" s="61">
        <f>'21'!K108</f>
        <v>287.11322916666683</v>
      </c>
      <c r="L29" s="61">
        <f>'21'!L108</f>
        <v>25.61333333333334</v>
      </c>
      <c r="M29" s="61">
        <f>'21'!M108</f>
        <v>94.420625000000044</v>
      </c>
      <c r="N29" s="61">
        <f>'21'!N108</f>
        <v>141.65729166666668</v>
      </c>
      <c r="O29" s="61">
        <f>'21'!O108</f>
        <v>2.0833333333333333E-3</v>
      </c>
      <c r="P29" s="202">
        <f>'21'!P108</f>
        <v>0.2658333333333332</v>
      </c>
      <c r="Q29" s="61">
        <f>'21'!Q108</f>
        <v>9.4820833333333372</v>
      </c>
      <c r="R29" s="118"/>
      <c r="S29" s="118"/>
      <c r="T29" s="118"/>
      <c r="U29" s="118"/>
    </row>
    <row r="30" spans="1:21" x14ac:dyDescent="0.25">
      <c r="A30" s="94" t="str">
        <f>'22'!$B$2</f>
        <v>22/08/2025 00:15</v>
      </c>
      <c r="B30" s="61">
        <f>'22'!B108</f>
        <v>7.1375531914893608</v>
      </c>
      <c r="C30" s="61">
        <f>'22'!C108</f>
        <v>8.4992553191489364</v>
      </c>
      <c r="D30" s="61">
        <f>'22'!D108</f>
        <v>10.164255319148936</v>
      </c>
      <c r="E30" s="61">
        <f>'22'!E108</f>
        <v>4.3864583333333318</v>
      </c>
      <c r="F30" s="61">
        <f>'22'!F108</f>
        <v>3.0315624999999984</v>
      </c>
      <c r="G30" s="61">
        <f>'22'!G108</f>
        <v>15.698541666666666</v>
      </c>
      <c r="H30" s="61">
        <f>'22'!H108</f>
        <v>2.5745833333333343</v>
      </c>
      <c r="I30" s="61">
        <f>'22'!I108</f>
        <v>1.1066666666666667</v>
      </c>
      <c r="J30" s="61">
        <f>'22'!J108</f>
        <v>0.18302083333333341</v>
      </c>
      <c r="K30" s="61">
        <f>'22'!K108</f>
        <v>298.58802083333336</v>
      </c>
      <c r="L30" s="61">
        <f>'22'!L108</f>
        <v>24.595104166666662</v>
      </c>
      <c r="M30" s="61">
        <f>'22'!M108</f>
        <v>97.582500000000024</v>
      </c>
      <c r="N30" s="61">
        <f>'22'!N108</f>
        <v>122.81874999999998</v>
      </c>
      <c r="O30" s="61">
        <f>'22'!O108</f>
        <v>0</v>
      </c>
      <c r="P30" s="202">
        <f>'22'!P108</f>
        <v>0.33770833333333328</v>
      </c>
      <c r="Q30" s="61">
        <f>'22'!Q108</f>
        <v>9.5311458333333317</v>
      </c>
      <c r="R30" s="118"/>
      <c r="S30" s="118"/>
      <c r="T30" s="118"/>
      <c r="U30" s="118"/>
    </row>
    <row r="31" spans="1:21" x14ac:dyDescent="0.25">
      <c r="A31" s="94" t="str">
        <f>'23'!$B$2</f>
        <v>23/08/2025 00:15</v>
      </c>
      <c r="B31" s="61">
        <f>'23'!B108</f>
        <v>7.4329166666666673</v>
      </c>
      <c r="C31" s="61">
        <f>'23'!C108</f>
        <v>7.5181250000000013</v>
      </c>
      <c r="D31" s="61">
        <f>'23'!D108</f>
        <v>9.8881249999999987</v>
      </c>
      <c r="E31" s="61">
        <f>'23'!E108</f>
        <v>4.2105208333333328</v>
      </c>
      <c r="F31" s="61">
        <f>'23'!F108</f>
        <v>2.4280208333333326</v>
      </c>
      <c r="G31" s="61">
        <f>'23'!G108</f>
        <v>6.3508333333333331</v>
      </c>
      <c r="H31" s="61">
        <f>'23'!H108</f>
        <v>1.2693750000000008</v>
      </c>
      <c r="I31" s="61">
        <f>'23'!I108</f>
        <v>0.8027083333333328</v>
      </c>
      <c r="J31" s="61">
        <f>'23'!J108</f>
        <v>0.14677083333333321</v>
      </c>
      <c r="K31" s="61">
        <f>'23'!K108</f>
        <v>291.54114583333336</v>
      </c>
      <c r="L31" s="61">
        <f>'23'!L108</f>
        <v>22.93812500000001</v>
      </c>
      <c r="M31" s="61">
        <f>'23'!M108</f>
        <v>98.183854166666677</v>
      </c>
      <c r="N31" s="61">
        <f>'23'!N108</f>
        <v>85.77916666666664</v>
      </c>
      <c r="O31" s="61">
        <f>'23'!O108</f>
        <v>8.3333333333333332E-3</v>
      </c>
      <c r="P31" s="202">
        <f>'23'!P108</f>
        <v>0.28760416666666683</v>
      </c>
      <c r="Q31" s="61">
        <f>'23'!Q108</f>
        <v>9.5316666666666752</v>
      </c>
      <c r="R31" s="118"/>
      <c r="S31" s="207"/>
      <c r="T31" s="118"/>
      <c r="U31" s="118"/>
    </row>
    <row r="32" spans="1:21" x14ac:dyDescent="0.25">
      <c r="A32" s="94" t="str">
        <f>'24'!$B$2</f>
        <v>24/08/2025 00:15</v>
      </c>
      <c r="B32" s="61">
        <f>'24'!B108</f>
        <v>6.5236458333333358</v>
      </c>
      <c r="C32" s="61">
        <f>'24'!C108</f>
        <v>7.7417708333333346</v>
      </c>
      <c r="D32" s="61">
        <f>'24'!D108</f>
        <v>9.2760416666666679</v>
      </c>
      <c r="E32" s="61">
        <f>'24'!E108</f>
        <v>4.3453125000000012</v>
      </c>
      <c r="F32" s="61">
        <f>'24'!F108</f>
        <v>2.4136458333333333</v>
      </c>
      <c r="G32" s="61">
        <f>'24'!G108</f>
        <v>17.428645833333334</v>
      </c>
      <c r="H32" s="61">
        <f>'24'!H108</f>
        <v>2.1509375000000022</v>
      </c>
      <c r="I32" s="61">
        <f>'24'!I108</f>
        <v>0.7048958333333335</v>
      </c>
      <c r="J32" s="61">
        <f>'24'!J108</f>
        <v>0.18687499999999993</v>
      </c>
      <c r="K32" s="61">
        <f>'24'!K108</f>
        <v>302.32427083333334</v>
      </c>
      <c r="L32" s="61">
        <f>'24'!L108</f>
        <v>23.74343750000001</v>
      </c>
      <c r="M32" s="61">
        <f>'24'!M108</f>
        <v>97.958958333333285</v>
      </c>
      <c r="N32" s="61">
        <f>'24'!N108</f>
        <v>97.272916666666717</v>
      </c>
      <c r="O32" s="61">
        <f>'24'!O108</f>
        <v>0</v>
      </c>
      <c r="P32" s="202">
        <f>'24'!P108</f>
        <v>0.26697916666666682</v>
      </c>
      <c r="Q32" s="61">
        <f>'24'!Q108</f>
        <v>9.5039583333333368</v>
      </c>
      <c r="R32" s="118"/>
      <c r="S32" s="118"/>
      <c r="T32" s="118"/>
      <c r="U32" s="118"/>
    </row>
    <row r="33" spans="1:21" x14ac:dyDescent="0.25">
      <c r="A33" s="94" t="str">
        <f>'25'!$B$2</f>
        <v>25/08/2025 00:15</v>
      </c>
      <c r="B33" s="61">
        <f>'25'!B108</f>
        <v>8.4732291666666626</v>
      </c>
      <c r="C33" s="61">
        <f>'25'!C108</f>
        <v>8.7017708333333363</v>
      </c>
      <c r="D33" s="61">
        <f>'25'!D108</f>
        <v>11.341354166666669</v>
      </c>
      <c r="E33" s="61">
        <f>'25'!E108</f>
        <v>4.911666666666668</v>
      </c>
      <c r="F33" s="61">
        <f>'25'!F108</f>
        <v>2.9049999999999998</v>
      </c>
      <c r="G33" s="61">
        <f>'25'!G108</f>
        <v>36.323958333333309</v>
      </c>
      <c r="H33" s="61">
        <f>'25'!H108</f>
        <v>6.2043749999999998</v>
      </c>
      <c r="I33" s="61">
        <f>'25'!I108</f>
        <v>1.2376041666666668</v>
      </c>
      <c r="J33" s="61">
        <f>'25'!J108</f>
        <v>0.12927083333333336</v>
      </c>
      <c r="K33" s="61">
        <f>'25'!K108</f>
        <v>283.21083333333337</v>
      </c>
      <c r="L33" s="61">
        <f>'25'!L108</f>
        <v>24.766249999999996</v>
      </c>
      <c r="M33" s="61">
        <f>'25'!M108</f>
        <v>95.729999999999947</v>
      </c>
      <c r="N33" s="61">
        <f>'25'!N108</f>
        <v>146.47083333333333</v>
      </c>
      <c r="O33" s="61">
        <f>'25'!O108</f>
        <v>0</v>
      </c>
      <c r="P33" s="202">
        <f>'25'!P108</f>
        <v>0.36114583333333333</v>
      </c>
      <c r="Q33" s="61">
        <f>'25'!Q108</f>
        <v>9.5750000000000028</v>
      </c>
      <c r="R33" s="118"/>
      <c r="S33" s="207"/>
      <c r="T33" s="118"/>
      <c r="U33" s="118"/>
    </row>
    <row r="34" spans="1:21" x14ac:dyDescent="0.25">
      <c r="A34" s="94" t="str">
        <f>'26'!$B$2</f>
        <v>26/08/2025 00:15</v>
      </c>
      <c r="B34" s="61">
        <f>'26'!B108</f>
        <v>14.307187499999991</v>
      </c>
      <c r="C34" s="61">
        <f>'26'!C108</f>
        <v>11.051770833333331</v>
      </c>
      <c r="D34" s="61">
        <f>'26'!D108</f>
        <v>17.242604166666656</v>
      </c>
      <c r="E34" s="61">
        <f>'26'!E108</f>
        <v>5.2217708333333324</v>
      </c>
      <c r="F34" s="61">
        <f>'26'!F108</f>
        <v>6.2578125</v>
      </c>
      <c r="G34" s="61">
        <f>'26'!G108</f>
        <v>48.438645833333361</v>
      </c>
      <c r="H34" s="61">
        <f>'26'!H108</f>
        <v>11.359583333333338</v>
      </c>
      <c r="I34" s="61">
        <f>'26'!I108</f>
        <v>1.289479166666667</v>
      </c>
      <c r="J34" s="61">
        <f>'26'!J108</f>
        <v>0.29302083333333334</v>
      </c>
      <c r="K34" s="61">
        <f>'26'!K108</f>
        <v>251.16416666666655</v>
      </c>
      <c r="L34" s="61">
        <f>'26'!L108</f>
        <v>25.800416666666667</v>
      </c>
      <c r="M34" s="61">
        <f>'26'!M108</f>
        <v>90.792499999999947</v>
      </c>
      <c r="N34" s="61">
        <f>'26'!N108</f>
        <v>145.07812500000003</v>
      </c>
      <c r="O34" s="61">
        <f>'26'!O108</f>
        <v>8.3333333333333332E-3</v>
      </c>
      <c r="P34" s="202">
        <f>'26'!P108</f>
        <v>0.44708333333333322</v>
      </c>
      <c r="Q34" s="61">
        <f>'26'!Q108</f>
        <v>9.6329166666666612</v>
      </c>
      <c r="R34" s="118"/>
      <c r="S34" s="118"/>
      <c r="T34" s="118"/>
      <c r="U34" s="118"/>
    </row>
    <row r="35" spans="1:21" x14ac:dyDescent="0.25">
      <c r="A35" s="94" t="str">
        <f>'27'!$B$2</f>
        <v>27/08/2025 00:15</v>
      </c>
      <c r="B35" s="61">
        <f>'27'!B108</f>
        <v>13.169574468085107</v>
      </c>
      <c r="C35" s="61">
        <f>'27'!C108</f>
        <v>11.461702127659576</v>
      </c>
      <c r="D35" s="61">
        <f>'27'!D108</f>
        <v>16.534361702127661</v>
      </c>
      <c r="E35" s="61">
        <f>'27'!E108</f>
        <v>5.4598958333333334</v>
      </c>
      <c r="F35" s="61">
        <f>'27'!F108</f>
        <v>8.5901041666666647</v>
      </c>
      <c r="G35" s="61">
        <f>'27'!G108</f>
        <v>41.352584269662934</v>
      </c>
      <c r="H35" s="61">
        <f>'27'!H108</f>
        <v>9.7033707865168548</v>
      </c>
      <c r="I35" s="61">
        <f>'27'!I108</f>
        <v>1.3401041666666673</v>
      </c>
      <c r="J35" s="61">
        <f>'27'!J108</f>
        <v>0.263125</v>
      </c>
      <c r="K35" s="61">
        <f>'27'!K108</f>
        <v>177.03489583333328</v>
      </c>
      <c r="L35" s="61">
        <f>'27'!L108</f>
        <v>25.487395833333341</v>
      </c>
      <c r="M35" s="61">
        <f>'27'!M108</f>
        <v>93.242083333333312</v>
      </c>
      <c r="N35" s="61">
        <f>'27'!N108</f>
        <v>144.4354166666667</v>
      </c>
      <c r="O35" s="61">
        <f>'27'!O108</f>
        <v>0</v>
      </c>
      <c r="P35" s="202">
        <f>'27'!P108</f>
        <v>0.55770833333333336</v>
      </c>
      <c r="Q35" s="61">
        <f>'27'!Q108</f>
        <v>9.5810416666666693</v>
      </c>
      <c r="R35" s="118"/>
      <c r="S35" s="118"/>
      <c r="T35" s="118"/>
      <c r="U35" s="118"/>
    </row>
    <row r="36" spans="1:21" x14ac:dyDescent="0.25">
      <c r="A36" s="94" t="str">
        <f>'28'!$B$2</f>
        <v>28/08/2025 00:15</v>
      </c>
      <c r="B36" s="61">
        <f>'28'!B108</f>
        <v>8.9681249999999952</v>
      </c>
      <c r="C36" s="61">
        <f>'28'!C108</f>
        <v>8.8733333333333331</v>
      </c>
      <c r="D36" s="61">
        <f>'28'!D108</f>
        <v>11.826354166666668</v>
      </c>
      <c r="E36" s="61">
        <f>'28'!E108</f>
        <v>4.0449999999999999</v>
      </c>
      <c r="F36" s="61">
        <f>'28'!F108</f>
        <v>8.4751041666666698</v>
      </c>
      <c r="G36" s="61">
        <f>'28'!G108</f>
        <v>23.507187499999986</v>
      </c>
      <c r="H36" s="61">
        <f>'28'!H108</f>
        <v>8.1947916666666654</v>
      </c>
      <c r="I36" s="61">
        <f>'28'!I108</f>
        <v>1.2500000000000007</v>
      </c>
      <c r="J36" s="61">
        <f>'28'!J108</f>
        <v>0.3033333333333334</v>
      </c>
      <c r="K36" s="61">
        <f>'28'!K108</f>
        <v>183.77291666666665</v>
      </c>
      <c r="L36" s="61">
        <f>'28'!L108</f>
        <v>25.103333333333328</v>
      </c>
      <c r="M36" s="61">
        <f>'28'!M108</f>
        <v>96.597499999999982</v>
      </c>
      <c r="N36" s="61">
        <f>'28'!N108</f>
        <v>130.58020833333339</v>
      </c>
      <c r="O36" s="61">
        <f>'28'!O108</f>
        <v>3.5416666666666673E-2</v>
      </c>
      <c r="P36" s="202">
        <f>'28'!P108</f>
        <v>0.37083333333333329</v>
      </c>
      <c r="Q36" s="61">
        <f>'28'!Q108</f>
        <v>9.6036458333333314</v>
      </c>
      <c r="R36" s="118"/>
      <c r="S36" s="118"/>
      <c r="T36" s="118"/>
      <c r="U36" s="118"/>
    </row>
    <row r="37" spans="1:21" s="54" customFormat="1" x14ac:dyDescent="0.25">
      <c r="A37" s="94" t="str">
        <f>'29'!$B$2</f>
        <v>29/08/2025 00:15</v>
      </c>
      <c r="B37" s="61">
        <f>'29'!B108</f>
        <v>7.6011458333333337</v>
      </c>
      <c r="C37" s="61">
        <f>'29'!C108</f>
        <v>9.146250000000002</v>
      </c>
      <c r="D37" s="61">
        <f>'29'!D108</f>
        <v>10.876041666666671</v>
      </c>
      <c r="E37" s="61">
        <f>'29'!E108</f>
        <v>4.4444791666666665</v>
      </c>
      <c r="F37" s="61">
        <f>'29'!F108</f>
        <v>7.0465625000000003</v>
      </c>
      <c r="G37" s="61">
        <f>'29'!G108</f>
        <v>13.234374999999993</v>
      </c>
      <c r="H37" s="61">
        <f>'29'!H108</f>
        <v>1.675833333333334</v>
      </c>
      <c r="I37" s="61">
        <f>'29'!I108</f>
        <v>0.91343749999999979</v>
      </c>
      <c r="J37" s="61">
        <f>'29'!J108</f>
        <v>0.33989583333333334</v>
      </c>
      <c r="K37" s="61">
        <f>'29'!K108</f>
        <v>156.87031249999993</v>
      </c>
      <c r="L37" s="61">
        <f>'29'!L108</f>
        <v>26.05427083333332</v>
      </c>
      <c r="M37" s="61">
        <f>'29'!M108</f>
        <v>90.982708333333349</v>
      </c>
      <c r="N37" s="61">
        <f>'29'!N108</f>
        <v>192.58437500000014</v>
      </c>
      <c r="O37" s="61">
        <f>'29'!O108</f>
        <v>2.0833333333333333E-3</v>
      </c>
      <c r="P37" s="202">
        <f>'29'!P108</f>
        <v>0.26437499999999986</v>
      </c>
      <c r="Q37" s="61">
        <f>'29'!Q108</f>
        <v>9.5495833333333362</v>
      </c>
      <c r="R37" s="118"/>
      <c r="S37" s="118"/>
      <c r="T37" s="118"/>
      <c r="U37" s="118"/>
    </row>
    <row r="38" spans="1:21" s="54" customFormat="1" x14ac:dyDescent="0.25">
      <c r="A38" s="94" t="str">
        <f>'30'!$B$2</f>
        <v>30/08/2025 00:15</v>
      </c>
      <c r="B38" s="61">
        <f>'30'!B108</f>
        <v>6.944062500000002</v>
      </c>
      <c r="C38" s="61">
        <f>'30'!C108</f>
        <v>8.5500000000000025</v>
      </c>
      <c r="D38" s="61">
        <f>'30'!D108</f>
        <v>10.036145833333336</v>
      </c>
      <c r="E38" s="61">
        <f>'30'!E108</f>
        <v>4.642604166666664</v>
      </c>
      <c r="F38" s="61">
        <f>'30'!F108</f>
        <v>8.0247916666666672</v>
      </c>
      <c r="G38" s="61">
        <f>'30'!G108</f>
        <v>20.11791666666667</v>
      </c>
      <c r="H38" s="61">
        <f>'30'!H108</f>
        <v>1.4420833333333325</v>
      </c>
      <c r="I38" s="61">
        <f>'30'!I108</f>
        <v>0.90000000000000047</v>
      </c>
      <c r="J38" s="61">
        <f>'30'!J108</f>
        <v>0.3671875</v>
      </c>
      <c r="K38" s="61">
        <f>'30'!K108</f>
        <v>175.44708333333327</v>
      </c>
      <c r="L38" s="61">
        <f>'30'!L108</f>
        <v>26.864062500000003</v>
      </c>
      <c r="M38" s="61">
        <f>'30'!M108</f>
        <v>92.125624999999957</v>
      </c>
      <c r="N38" s="61">
        <f>'30'!N108</f>
        <v>199.05104166666663</v>
      </c>
      <c r="O38" s="61">
        <f>'30'!O108</f>
        <v>0</v>
      </c>
      <c r="P38" s="202">
        <f>'30'!P108</f>
        <v>0.28624999999999989</v>
      </c>
      <c r="Q38" s="61">
        <f>'30'!Q108</f>
        <v>9.5426041666666688</v>
      </c>
      <c r="R38" s="118"/>
      <c r="S38" s="118"/>
      <c r="T38" s="118"/>
      <c r="U38" s="118"/>
    </row>
    <row r="39" spans="1:21" s="54" customFormat="1" x14ac:dyDescent="0.25">
      <c r="A39" s="94" t="str">
        <f>'31'!$B$2</f>
        <v>31/08/2025 00:15</v>
      </c>
      <c r="B39" s="61">
        <f>'31'!B109</f>
        <v>2.8566281478344293</v>
      </c>
      <c r="C39" s="61">
        <f>'31'!C109</f>
        <v>4.7211521601509663</v>
      </c>
      <c r="D39" s="61">
        <f>'31'!D109</f>
        <v>3.9927478501323987</v>
      </c>
      <c r="E39" s="61">
        <f>'31'!E109</f>
        <v>0.64731319699199996</v>
      </c>
      <c r="F39" s="61">
        <f>'31'!F109</f>
        <v>3.0170361603703859</v>
      </c>
      <c r="G39" s="61">
        <f>'31'!G109</f>
        <v>18.302145659610858</v>
      </c>
      <c r="H39" s="61">
        <f>'31'!H109</f>
        <v>3.9353347959405336</v>
      </c>
      <c r="I39" s="61">
        <f>'31'!I109</f>
        <v>0.68092815912894722</v>
      </c>
      <c r="J39" s="61">
        <f>'31'!J109</f>
        <v>0.1657693057212288</v>
      </c>
      <c r="K39" s="61">
        <f>'31'!K109</f>
        <v>81.853732157179266</v>
      </c>
      <c r="L39" s="61">
        <f>'31'!L109</f>
        <v>2.1189856891629049</v>
      </c>
      <c r="M39" s="61">
        <f>'31'!M109</f>
        <v>6.0906511297406052</v>
      </c>
      <c r="N39" s="61">
        <f>'31'!N109</f>
        <v>105.91534652958676</v>
      </c>
      <c r="O39" s="61">
        <f>'31'!O109</f>
        <v>0</v>
      </c>
      <c r="P39" s="61">
        <f>'31'!P109</f>
        <v>0.25939301617835686</v>
      </c>
      <c r="Q39" s="61">
        <f>'31'!Q109</f>
        <v>4.0305848254425375E-2</v>
      </c>
      <c r="R39" s="118"/>
      <c r="S39" s="118"/>
      <c r="T39" s="118"/>
      <c r="U39" s="118"/>
    </row>
    <row r="40" spans="1:21" s="54" customFormat="1" x14ac:dyDescent="0.25">
      <c r="A40" s="94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</row>
    <row r="41" spans="1:21" s="54" customFormat="1" x14ac:dyDescent="0.25">
      <c r="A41" s="94" t="s">
        <v>59</v>
      </c>
      <c r="B41" s="16">
        <f t="shared" ref="B41:Q41" si="0">MIN(B9:B38)</f>
        <v>6.1114583333333341</v>
      </c>
      <c r="C41" s="16">
        <f t="shared" si="0"/>
        <v>7.5181250000000013</v>
      </c>
      <c r="D41" s="16">
        <f t="shared" si="0"/>
        <v>9.2760416666666679</v>
      </c>
      <c r="E41" s="16">
        <f t="shared" si="0"/>
        <v>4.0449999999999999</v>
      </c>
      <c r="F41" s="16">
        <f t="shared" si="0"/>
        <v>2.4136458333333333</v>
      </c>
      <c r="G41" s="16">
        <f t="shared" si="0"/>
        <v>6.3508333333333331</v>
      </c>
      <c r="H41" s="16">
        <f t="shared" si="0"/>
        <v>1.2693750000000008</v>
      </c>
      <c r="I41" s="16">
        <f t="shared" si="0"/>
        <v>0.7048958333333335</v>
      </c>
      <c r="J41" s="16">
        <f t="shared" si="0"/>
        <v>0.11593749999999999</v>
      </c>
      <c r="K41" s="16">
        <f t="shared" si="0"/>
        <v>147.48479166666672</v>
      </c>
      <c r="L41" s="16">
        <f t="shared" si="0"/>
        <v>22.93812500000001</v>
      </c>
      <c r="M41" s="16">
        <f t="shared" si="0"/>
        <v>82.188541666666637</v>
      </c>
      <c r="N41" s="16">
        <f t="shared" si="0"/>
        <v>85.77916666666664</v>
      </c>
      <c r="O41" s="16">
        <f t="shared" si="0"/>
        <v>0</v>
      </c>
      <c r="P41" s="16">
        <f t="shared" si="0"/>
        <v>0.26437499999999986</v>
      </c>
      <c r="Q41" s="16">
        <f t="shared" si="0"/>
        <v>9.0012500000000006</v>
      </c>
      <c r="R41" s="16"/>
      <c r="S41" s="16"/>
      <c r="T41" s="16"/>
      <c r="U41" s="16"/>
    </row>
    <row r="42" spans="1:21" s="54" customFormat="1" x14ac:dyDescent="0.25">
      <c r="A42" s="94" t="s">
        <v>60</v>
      </c>
      <c r="B42" s="16">
        <f t="shared" ref="B42:Q42" si="1">MAX(B9:B38)</f>
        <v>29.24874999999999</v>
      </c>
      <c r="C42" s="16">
        <f t="shared" si="1"/>
        <v>16.200937499999995</v>
      </c>
      <c r="D42" s="16">
        <f t="shared" si="1"/>
        <v>33.887291666666663</v>
      </c>
      <c r="E42" s="16">
        <f t="shared" si="1"/>
        <v>5.4598958333333334</v>
      </c>
      <c r="F42" s="16">
        <f t="shared" si="1"/>
        <v>10.576770833333329</v>
      </c>
      <c r="G42" s="16">
        <f t="shared" si="1"/>
        <v>66.019247311827982</v>
      </c>
      <c r="H42" s="16">
        <f t="shared" si="1"/>
        <v>30.563124999999985</v>
      </c>
      <c r="I42" s="16">
        <f t="shared" si="1"/>
        <v>9.9514583333333313</v>
      </c>
      <c r="J42" s="16">
        <f t="shared" si="1"/>
        <v>0.52239583333333339</v>
      </c>
      <c r="K42" s="16">
        <f t="shared" si="1"/>
        <v>308.30697916666657</v>
      </c>
      <c r="L42" s="16">
        <f t="shared" si="1"/>
        <v>28.23052083333333</v>
      </c>
      <c r="M42" s="16">
        <f t="shared" si="1"/>
        <v>98.183854166666677</v>
      </c>
      <c r="N42" s="16">
        <f t="shared" si="1"/>
        <v>258.20312499999994</v>
      </c>
      <c r="O42" s="16">
        <f t="shared" si="1"/>
        <v>3.5416666666666673E-2</v>
      </c>
      <c r="P42" s="16">
        <f t="shared" si="1"/>
        <v>0.55770833333333336</v>
      </c>
      <c r="Q42" s="16">
        <f t="shared" si="1"/>
        <v>9.6485416666666648</v>
      </c>
      <c r="R42" s="16"/>
      <c r="S42" s="16"/>
      <c r="T42" s="16"/>
      <c r="U42" s="16"/>
    </row>
    <row r="43" spans="1:21" s="54" customFormat="1" x14ac:dyDescent="0.25">
      <c r="A43" s="94" t="s">
        <v>61</v>
      </c>
      <c r="B43" s="16">
        <f t="shared" ref="B43:Q43" si="2">AVERAGE(B9:B38)</f>
        <v>9.8491542553191476</v>
      </c>
      <c r="C43" s="16">
        <f t="shared" si="2"/>
        <v>10.411531914893619</v>
      </c>
      <c r="D43" s="16">
        <f t="shared" si="2"/>
        <v>13.392078900709221</v>
      </c>
      <c r="E43" s="16">
        <f t="shared" si="2"/>
        <v>4.7071215277777769</v>
      </c>
      <c r="F43" s="16">
        <f t="shared" si="2"/>
        <v>6.8984618055555567</v>
      </c>
      <c r="G43" s="16">
        <f t="shared" si="2"/>
        <v>30.74114315036352</v>
      </c>
      <c r="H43" s="16">
        <f t="shared" si="2"/>
        <v>8.4356285121632748</v>
      </c>
      <c r="I43" s="16">
        <f t="shared" si="2"/>
        <v>1.5760069444444444</v>
      </c>
      <c r="J43" s="16">
        <f t="shared" si="2"/>
        <v>0.27003472222222225</v>
      </c>
      <c r="K43" s="16">
        <f t="shared" si="2"/>
        <v>233.46665972222229</v>
      </c>
      <c r="L43" s="16">
        <f t="shared" si="2"/>
        <v>26.114822916666679</v>
      </c>
      <c r="M43" s="16">
        <f t="shared" si="2"/>
        <v>92.504211805555556</v>
      </c>
      <c r="N43" s="16">
        <f t="shared" si="2"/>
        <v>171.08604166666672</v>
      </c>
      <c r="O43" s="16">
        <f t="shared" si="2"/>
        <v>2.9166666666666668E-3</v>
      </c>
      <c r="P43" s="16">
        <f t="shared" si="2"/>
        <v>0.38312152777777786</v>
      </c>
      <c r="Q43" s="16">
        <f t="shared" si="2"/>
        <v>9.4957152777777782</v>
      </c>
      <c r="R43" s="16"/>
      <c r="S43" s="16"/>
      <c r="T43" s="16"/>
      <c r="U43" s="16"/>
    </row>
    <row r="44" spans="1:21" s="54" customFormat="1" x14ac:dyDescent="0.25">
      <c r="A44" s="94" t="s">
        <v>77</v>
      </c>
      <c r="B44" s="16">
        <f t="shared" ref="B44:Q44" si="3">STDEV(B9:B38)</f>
        <v>4.2393049712456978</v>
      </c>
      <c r="C44" s="16">
        <f t="shared" si="3"/>
        <v>2.2547811103653004</v>
      </c>
      <c r="D44" s="16">
        <f t="shared" si="3"/>
        <v>4.4927795929218126</v>
      </c>
      <c r="E44" s="16">
        <f t="shared" si="3"/>
        <v>0.37152797957056677</v>
      </c>
      <c r="F44" s="16">
        <f t="shared" si="3"/>
        <v>2.4006643392087716</v>
      </c>
      <c r="G44" s="16">
        <f t="shared" si="3"/>
        <v>16.44965890384664</v>
      </c>
      <c r="H44" s="16">
        <f t="shared" si="3"/>
        <v>6.7155910135205055</v>
      </c>
      <c r="I44" s="16">
        <f t="shared" si="3"/>
        <v>1.6175508716445111</v>
      </c>
      <c r="J44" s="16">
        <f t="shared" si="3"/>
        <v>0.11297627714788651</v>
      </c>
      <c r="K44" s="16">
        <f t="shared" si="3"/>
        <v>50.220830182549648</v>
      </c>
      <c r="L44" s="16">
        <f t="shared" si="3"/>
        <v>1.3646280878392851</v>
      </c>
      <c r="M44" s="16">
        <f t="shared" si="3"/>
        <v>4.2383453128541442</v>
      </c>
      <c r="N44" s="16">
        <f t="shared" si="3"/>
        <v>43.290740793106494</v>
      </c>
      <c r="O44" s="16">
        <f t="shared" si="3"/>
        <v>6.5333289350208053E-3</v>
      </c>
      <c r="P44" s="16">
        <f t="shared" si="3"/>
        <v>8.9648079897264921E-2</v>
      </c>
      <c r="Q44" s="16">
        <f t="shared" si="3"/>
        <v>0.17628432982126604</v>
      </c>
      <c r="R44" s="16"/>
      <c r="S44" s="16"/>
      <c r="T44" s="16"/>
      <c r="U44" s="16"/>
    </row>
    <row r="45" spans="1:21" s="54" customFormat="1" x14ac:dyDescent="0.25">
      <c r="A45" s="94" t="s">
        <v>62</v>
      </c>
      <c r="B45" s="13">
        <f>COUNT(B9:B39)</f>
        <v>31</v>
      </c>
      <c r="C45" s="13">
        <f t="shared" ref="C45:Q45" si="4">COUNT(C9:C39)</f>
        <v>31</v>
      </c>
      <c r="D45" s="13">
        <f t="shared" si="4"/>
        <v>31</v>
      </c>
      <c r="E45" s="13">
        <f t="shared" si="4"/>
        <v>31</v>
      </c>
      <c r="F45" s="13">
        <f t="shared" si="4"/>
        <v>31</v>
      </c>
      <c r="G45" s="13">
        <f t="shared" si="4"/>
        <v>31</v>
      </c>
      <c r="H45" s="13">
        <f t="shared" si="4"/>
        <v>31</v>
      </c>
      <c r="I45" s="13">
        <f t="shared" si="4"/>
        <v>31</v>
      </c>
      <c r="J45" s="13">
        <f t="shared" si="4"/>
        <v>31</v>
      </c>
      <c r="K45" s="13">
        <f t="shared" si="4"/>
        <v>31</v>
      </c>
      <c r="L45" s="13">
        <f t="shared" si="4"/>
        <v>31</v>
      </c>
      <c r="M45" s="13">
        <f t="shared" si="4"/>
        <v>31</v>
      </c>
      <c r="N45" s="13">
        <f t="shared" si="4"/>
        <v>31</v>
      </c>
      <c r="O45" s="13">
        <f t="shared" si="4"/>
        <v>31</v>
      </c>
      <c r="P45" s="13">
        <f t="shared" si="4"/>
        <v>31</v>
      </c>
      <c r="Q45" s="13">
        <f t="shared" si="4"/>
        <v>31</v>
      </c>
      <c r="R45" s="13"/>
      <c r="S45" s="13"/>
      <c r="T45" s="13"/>
      <c r="U45" s="13"/>
    </row>
    <row r="46" spans="1:21" s="54" customFormat="1" x14ac:dyDescent="0.25">
      <c r="A46" s="94" t="s">
        <v>63</v>
      </c>
      <c r="B46" s="13" t="str">
        <f>IF(B45&gt;=28,"&gt;90%",IF(B45&lt;=28,"&lt;90%"))</f>
        <v>&gt;90%</v>
      </c>
      <c r="C46" s="13" t="str">
        <f t="shared" ref="C46:Q46" si="5">IF(C45&gt;=28,"&gt;90%",IF(C45&lt;=28,"&lt;90%"))</f>
        <v>&gt;90%</v>
      </c>
      <c r="D46" s="13" t="str">
        <f t="shared" si="5"/>
        <v>&gt;90%</v>
      </c>
      <c r="E46" s="13" t="str">
        <f t="shared" si="5"/>
        <v>&gt;90%</v>
      </c>
      <c r="F46" s="13" t="str">
        <f t="shared" si="5"/>
        <v>&gt;90%</v>
      </c>
      <c r="G46" s="13" t="str">
        <f t="shared" si="5"/>
        <v>&gt;90%</v>
      </c>
      <c r="H46" s="13" t="str">
        <f t="shared" si="5"/>
        <v>&gt;90%</v>
      </c>
      <c r="I46" s="13" t="str">
        <f t="shared" si="5"/>
        <v>&gt;90%</v>
      </c>
      <c r="J46" s="13" t="str">
        <f t="shared" si="5"/>
        <v>&gt;90%</v>
      </c>
      <c r="K46" s="13" t="str">
        <f t="shared" si="5"/>
        <v>&gt;90%</v>
      </c>
      <c r="L46" s="13" t="str">
        <f t="shared" si="5"/>
        <v>&gt;90%</v>
      </c>
      <c r="M46" s="13" t="str">
        <f t="shared" si="5"/>
        <v>&gt;90%</v>
      </c>
      <c r="N46" s="13" t="str">
        <f t="shared" si="5"/>
        <v>&gt;90%</v>
      </c>
      <c r="O46" s="13" t="str">
        <f t="shared" si="5"/>
        <v>&gt;90%</v>
      </c>
      <c r="P46" s="13" t="str">
        <f t="shared" si="5"/>
        <v>&gt;90%</v>
      </c>
      <c r="Q46" s="13" t="str">
        <f t="shared" si="5"/>
        <v>&gt;90%</v>
      </c>
      <c r="R46" s="13"/>
      <c r="S46" s="13"/>
      <c r="T46" s="13"/>
      <c r="U46" s="13"/>
    </row>
    <row r="47" spans="1:21" x14ac:dyDescent="0.25">
      <c r="A47" s="94" t="s">
        <v>5</v>
      </c>
      <c r="B47" s="13" t="str">
        <f>IF(B45&gt;=28,"OK",IF(B45&lt;=28,"LESS"))</f>
        <v>OK</v>
      </c>
      <c r="C47" s="13" t="str">
        <f t="shared" ref="C47:Q47" si="6">IF(C45&gt;=28,"OK",IF(C45&lt;=28,"LESS"))</f>
        <v>OK</v>
      </c>
      <c r="D47" s="13" t="str">
        <f t="shared" si="6"/>
        <v>OK</v>
      </c>
      <c r="E47" s="13" t="str">
        <f t="shared" si="6"/>
        <v>OK</v>
      </c>
      <c r="F47" s="13" t="str">
        <f t="shared" si="6"/>
        <v>OK</v>
      </c>
      <c r="G47" s="13" t="str">
        <f t="shared" si="6"/>
        <v>OK</v>
      </c>
      <c r="H47" s="13" t="str">
        <f t="shared" si="6"/>
        <v>OK</v>
      </c>
      <c r="I47" s="13" t="str">
        <f t="shared" si="6"/>
        <v>OK</v>
      </c>
      <c r="J47" s="13" t="str">
        <f t="shared" si="6"/>
        <v>OK</v>
      </c>
      <c r="K47" s="13" t="str">
        <f t="shared" si="6"/>
        <v>OK</v>
      </c>
      <c r="L47" s="13" t="str">
        <f t="shared" si="6"/>
        <v>OK</v>
      </c>
      <c r="M47" s="13" t="str">
        <f t="shared" si="6"/>
        <v>OK</v>
      </c>
      <c r="N47" s="13" t="str">
        <f t="shared" si="6"/>
        <v>OK</v>
      </c>
      <c r="O47" s="13" t="str">
        <f t="shared" si="6"/>
        <v>OK</v>
      </c>
      <c r="P47" s="13" t="str">
        <f t="shared" si="6"/>
        <v>OK</v>
      </c>
      <c r="Q47" s="13" t="str">
        <f t="shared" si="6"/>
        <v>OK</v>
      </c>
      <c r="R47" s="13"/>
      <c r="S47" s="13"/>
      <c r="T47" s="13"/>
      <c r="U47" s="13"/>
    </row>
    <row r="48" spans="1:21" x14ac:dyDescent="0.25"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50" spans="1:16" x14ac:dyDescent="0.25">
      <c r="A50" s="94" t="s">
        <v>64</v>
      </c>
      <c r="B50" s="107" t="s">
        <v>216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</row>
    <row r="51" spans="1:16" x14ac:dyDescent="0.25">
      <c r="A51" s="97"/>
      <c r="B51" s="54"/>
      <c r="C51" s="54"/>
      <c r="D51" s="2"/>
      <c r="E51" s="2"/>
      <c r="F51" s="2"/>
      <c r="G51" s="2"/>
      <c r="H51" s="2"/>
      <c r="I51" s="2"/>
      <c r="J51" s="54"/>
      <c r="K51" s="54"/>
      <c r="L51" s="54"/>
      <c r="M51" s="54"/>
      <c r="N51" s="54"/>
      <c r="O51" s="54"/>
      <c r="P51" s="54"/>
    </row>
    <row r="52" spans="1:16" ht="15.75" x14ac:dyDescent="0.25">
      <c r="A52" s="98" t="s">
        <v>65</v>
      </c>
      <c r="B52" s="215"/>
      <c r="C52" s="215"/>
      <c r="D52" s="215"/>
      <c r="E52" s="215"/>
      <c r="F52" s="215"/>
      <c r="G52" s="215"/>
      <c r="H52" s="215"/>
      <c r="I52" s="215"/>
      <c r="J52" s="215"/>
      <c r="K52" s="215"/>
      <c r="L52" s="215"/>
      <c r="M52" s="215"/>
      <c r="N52" s="215"/>
      <c r="O52" s="215"/>
      <c r="P52" s="215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  <row r="55" spans="1:16" x14ac:dyDescent="0.25">
      <c r="A55" s="97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</row>
  </sheetData>
  <mergeCells count="1">
    <mergeCell ref="B52:P52"/>
  </mergeCells>
  <pageMargins left="0.17" right="0.17" top="0.19" bottom="0.16" header="0.17" footer="0.16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tabSelected="1" zoomScale="85" zoomScaleNormal="85" workbookViewId="0">
      <selection activeCell="D2" sqref="D2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20" t="s">
        <v>3225</v>
      </c>
      <c r="E1" s="220"/>
      <c r="F1" s="220"/>
      <c r="G1" s="220"/>
      <c r="H1" s="220"/>
      <c r="I1" s="220"/>
      <c r="J1" s="221"/>
    </row>
    <row r="2" spans="2:24" ht="22.5" customHeight="1" thickBot="1" x14ac:dyDescent="0.3">
      <c r="B2" s="54"/>
      <c r="C2" s="111" t="s">
        <v>0</v>
      </c>
      <c r="D2" s="112" t="s">
        <v>245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19" t="s">
        <v>1</v>
      </c>
      <c r="H5" s="219"/>
      <c r="I5" s="40"/>
      <c r="J5" s="40"/>
      <c r="K5" s="40"/>
      <c r="L5" s="40"/>
      <c r="M5" s="41"/>
      <c r="O5" s="68"/>
      <c r="P5" s="69"/>
      <c r="Q5" s="69"/>
      <c r="R5" s="69"/>
      <c r="S5" s="208" t="s">
        <v>221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>
        <v>45870.466666666667</v>
      </c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>
        <v>200.34</v>
      </c>
      <c r="I8" s="60">
        <v>0</v>
      </c>
      <c r="J8" s="61">
        <f>F8/H8</f>
        <v>0.99830288509533793</v>
      </c>
      <c r="K8" s="61">
        <f>(H8-F8)*100/F8</f>
        <v>0.17000000000000171</v>
      </c>
      <c r="L8" s="60" t="s">
        <v>67</v>
      </c>
      <c r="M8" s="78" t="s">
        <v>216</v>
      </c>
      <c r="O8" s="63">
        <v>45870.484027777777</v>
      </c>
      <c r="P8" s="64" t="s">
        <v>70</v>
      </c>
      <c r="Q8" s="64">
        <v>5523.54</v>
      </c>
      <c r="R8" s="64">
        <v>4200.51</v>
      </c>
      <c r="S8" s="77" t="s">
        <v>226</v>
      </c>
      <c r="T8" s="77">
        <v>835.36</v>
      </c>
      <c r="U8" s="86">
        <v>0.9173</v>
      </c>
      <c r="V8" s="86">
        <v>0.91359999999999997</v>
      </c>
      <c r="W8" s="60" t="s">
        <v>67</v>
      </c>
      <c r="X8" s="78" t="s">
        <v>216</v>
      </c>
    </row>
    <row r="9" spans="2:24" ht="15.75" x14ac:dyDescent="0.25">
      <c r="B9" s="63" t="s">
        <v>3223</v>
      </c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>
        <v>198.95</v>
      </c>
      <c r="I9" s="60">
        <v>0</v>
      </c>
      <c r="J9" s="61">
        <f t="shared" ref="J9:J14" si="0">F9/H9</f>
        <v>1.0052777079668258</v>
      </c>
      <c r="K9" s="61">
        <f t="shared" ref="K9:K14" si="1">(H9-F9)*100/F9</f>
        <v>-0.52500000000000568</v>
      </c>
      <c r="L9" s="60" t="s">
        <v>67</v>
      </c>
      <c r="M9" s="62" t="s">
        <v>216</v>
      </c>
      <c r="O9" s="63">
        <v>45875.477777777778</v>
      </c>
      <c r="P9" s="64" t="s">
        <v>70</v>
      </c>
      <c r="Q9" s="64">
        <v>5010.55</v>
      </c>
      <c r="R9" s="64">
        <v>3819.67</v>
      </c>
      <c r="S9" s="77" t="s">
        <v>226</v>
      </c>
      <c r="T9" s="77">
        <v>829.35</v>
      </c>
      <c r="U9" s="86">
        <v>0.91359999999999997</v>
      </c>
      <c r="V9" s="86">
        <v>0.91979999999999995</v>
      </c>
      <c r="W9" s="60" t="s">
        <v>67</v>
      </c>
      <c r="X9" s="62" t="s">
        <v>215</v>
      </c>
    </row>
    <row r="10" spans="2:24" ht="15.75" x14ac:dyDescent="0.25">
      <c r="B10" s="63" t="s">
        <v>3224</v>
      </c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>
        <v>199.34</v>
      </c>
      <c r="I10" s="60">
        <v>0</v>
      </c>
      <c r="J10" s="61">
        <f t="shared" si="0"/>
        <v>1.0033109260559847</v>
      </c>
      <c r="K10" s="61">
        <f t="shared" si="1"/>
        <v>-0.32999999999999829</v>
      </c>
      <c r="L10" s="60" t="s">
        <v>67</v>
      </c>
      <c r="M10" s="62" t="s">
        <v>216</v>
      </c>
      <c r="O10" s="63">
        <v>45887.570833333331</v>
      </c>
      <c r="P10" s="64" t="s">
        <v>70</v>
      </c>
      <c r="Q10" s="64">
        <v>4879.68</v>
      </c>
      <c r="R10" s="64">
        <v>3705.76</v>
      </c>
      <c r="S10" s="77" t="s">
        <v>226</v>
      </c>
      <c r="T10" s="77">
        <v>847.19</v>
      </c>
      <c r="U10" s="86">
        <v>0.91979999999999995</v>
      </c>
      <c r="V10" s="86">
        <v>0.90659999999999996</v>
      </c>
      <c r="W10" s="60" t="s">
        <v>67</v>
      </c>
      <c r="X10" s="62" t="s">
        <v>246</v>
      </c>
    </row>
    <row r="11" spans="2:24" ht="15.75" x14ac:dyDescent="0.25">
      <c r="B11" s="63"/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 t="s">
        <v>216</v>
      </c>
      <c r="O11" s="63"/>
      <c r="P11" s="64" t="s">
        <v>70</v>
      </c>
      <c r="Q11" s="64"/>
      <c r="R11" s="64"/>
      <c r="S11" s="77" t="s">
        <v>226</v>
      </c>
      <c r="T11" s="77"/>
      <c r="U11" s="86"/>
      <c r="V11" s="86"/>
      <c r="W11" s="60" t="s">
        <v>67</v>
      </c>
      <c r="X11" s="62"/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226</v>
      </c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17" t="s">
        <v>25</v>
      </c>
      <c r="D21" s="217"/>
      <c r="E21" s="217"/>
      <c r="F21" s="217"/>
      <c r="G21" s="217"/>
      <c r="H21" s="217"/>
      <c r="I21" s="45">
        <f>COUNT(B8:B20)</f>
        <v>1</v>
      </c>
      <c r="J21" s="46"/>
      <c r="K21" s="46"/>
      <c r="L21" s="47"/>
      <c r="M21" s="48"/>
      <c r="O21" s="80"/>
      <c r="P21" s="216" t="s">
        <v>84</v>
      </c>
      <c r="Q21" s="216"/>
      <c r="R21" s="216"/>
      <c r="S21" s="216"/>
      <c r="T21" s="81">
        <f>COUNT(O8:O20)</f>
        <v>3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18" t="s">
        <v>2</v>
      </c>
      <c r="H24" s="218"/>
      <c r="I24" s="40"/>
      <c r="J24" s="51"/>
      <c r="K24" s="51"/>
      <c r="L24" s="40"/>
      <c r="M24" s="41"/>
      <c r="O24" s="68"/>
      <c r="P24" s="69"/>
      <c r="Q24" s="69"/>
      <c r="R24" s="69"/>
      <c r="S24" s="208"/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>
        <v>45870.490277777775</v>
      </c>
      <c r="C27" s="60" t="s">
        <v>68</v>
      </c>
      <c r="D27" s="60" t="s">
        <v>51</v>
      </c>
      <c r="E27" s="60">
        <v>0</v>
      </c>
      <c r="F27" s="60">
        <v>200</v>
      </c>
      <c r="G27" s="60"/>
      <c r="H27" s="61">
        <v>201.54</v>
      </c>
      <c r="I27" s="60">
        <v>0</v>
      </c>
      <c r="J27" s="61">
        <f>F27/H27</f>
        <v>0.99235883695544314</v>
      </c>
      <c r="K27" s="61">
        <f>(H27-F27)*100/F27</f>
        <v>0.76999999999999602</v>
      </c>
      <c r="L27" s="60" t="s">
        <v>67</v>
      </c>
      <c r="M27" s="78" t="s">
        <v>216</v>
      </c>
      <c r="O27" s="63">
        <v>45873.75277777778</v>
      </c>
      <c r="P27" s="64" t="s">
        <v>71</v>
      </c>
      <c r="Q27" s="64">
        <v>4893.1099999999997</v>
      </c>
      <c r="R27" s="64">
        <v>3754.34</v>
      </c>
      <c r="S27" s="77" t="s">
        <v>225</v>
      </c>
      <c r="T27" s="77">
        <v>842.75</v>
      </c>
      <c r="U27" s="86">
        <v>0.94259999999999999</v>
      </c>
      <c r="V27" s="86">
        <v>0.94740000000000002</v>
      </c>
      <c r="W27" s="60" t="s">
        <v>67</v>
      </c>
      <c r="X27" s="78" t="s">
        <v>216</v>
      </c>
    </row>
    <row r="28" spans="2:24" s="24" customFormat="1" ht="15.75" x14ac:dyDescent="0.25">
      <c r="B28" s="63">
        <v>45875.518055555556</v>
      </c>
      <c r="C28" s="60" t="s">
        <v>68</v>
      </c>
      <c r="D28" s="60" t="s">
        <v>51</v>
      </c>
      <c r="E28" s="60">
        <v>0</v>
      </c>
      <c r="F28" s="60">
        <v>200</v>
      </c>
      <c r="G28" s="60"/>
      <c r="H28" s="61">
        <v>199.22</v>
      </c>
      <c r="I28" s="60">
        <v>0</v>
      </c>
      <c r="J28" s="61">
        <f t="shared" ref="J28:J33" si="2">F28/H28</f>
        <v>1.0039152695512499</v>
      </c>
      <c r="K28" s="61">
        <f t="shared" ref="K28:K33" si="3">(H28-F28)*100/F28</f>
        <v>-0.39000000000000057</v>
      </c>
      <c r="L28" s="60" t="s">
        <v>67</v>
      </c>
      <c r="M28" s="62" t="s">
        <v>222</v>
      </c>
      <c r="O28" s="63">
        <v>45875.477777777778</v>
      </c>
      <c r="P28" s="64" t="s">
        <v>71</v>
      </c>
      <c r="Q28" s="64">
        <v>5325.46</v>
      </c>
      <c r="R28" s="64">
        <v>4080.99</v>
      </c>
      <c r="S28" s="77" t="s">
        <v>225</v>
      </c>
      <c r="T28" s="77">
        <v>846.05</v>
      </c>
      <c r="U28" s="86">
        <v>0.94740000000000002</v>
      </c>
      <c r="V28" s="86">
        <v>0.94840000000000002</v>
      </c>
      <c r="W28" s="60" t="s">
        <v>67</v>
      </c>
      <c r="X28" s="62" t="s">
        <v>215</v>
      </c>
    </row>
    <row r="29" spans="2:24" s="24" customFormat="1" ht="15.75" x14ac:dyDescent="0.25">
      <c r="B29" s="63">
        <v>45887.561111111114</v>
      </c>
      <c r="C29" s="60" t="s">
        <v>68</v>
      </c>
      <c r="D29" s="60" t="s">
        <v>51</v>
      </c>
      <c r="E29" s="60">
        <v>0</v>
      </c>
      <c r="F29" s="60">
        <v>200</v>
      </c>
      <c r="G29" s="60"/>
      <c r="H29" s="61">
        <v>196.89</v>
      </c>
      <c r="I29" s="60">
        <v>0</v>
      </c>
      <c r="J29" s="61">
        <f t="shared" si="2"/>
        <v>1.0157956219208697</v>
      </c>
      <c r="K29" s="61">
        <f t="shared" si="3"/>
        <v>-1.5550000000000068</v>
      </c>
      <c r="L29" s="60" t="s">
        <v>67</v>
      </c>
      <c r="M29" s="62" t="s">
        <v>223</v>
      </c>
      <c r="O29" s="63">
        <v>45887.570833333331</v>
      </c>
      <c r="P29" s="64" t="s">
        <v>71</v>
      </c>
      <c r="Q29" s="64">
        <v>5507.37</v>
      </c>
      <c r="R29" s="64">
        <v>4210.67</v>
      </c>
      <c r="S29" s="77" t="s">
        <v>225</v>
      </c>
      <c r="T29" s="77">
        <v>847.12</v>
      </c>
      <c r="U29" s="86">
        <v>0.9486</v>
      </c>
      <c r="V29" s="86">
        <v>0.94830000000000003</v>
      </c>
      <c r="W29" s="60" t="s">
        <v>67</v>
      </c>
      <c r="X29" s="62" t="s">
        <v>246</v>
      </c>
    </row>
    <row r="30" spans="2:24" s="24" customFormat="1" ht="15.75" x14ac:dyDescent="0.2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/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 t="s">
        <v>223</v>
      </c>
      <c r="O30" s="63"/>
      <c r="P30" s="64" t="s">
        <v>71</v>
      </c>
      <c r="Q30" s="64"/>
      <c r="R30" s="64"/>
      <c r="S30" s="77" t="s">
        <v>225</v>
      </c>
      <c r="T30" s="77"/>
      <c r="U30" s="86"/>
      <c r="V30" s="86"/>
      <c r="W30" s="60" t="s">
        <v>67</v>
      </c>
      <c r="X30" s="62"/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/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/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/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16" t="s">
        <v>85</v>
      </c>
      <c r="Q40" s="216"/>
      <c r="R40" s="216"/>
      <c r="S40" s="216"/>
      <c r="T40" s="81">
        <f>COUNT(O27:O39)</f>
        <v>3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17" t="s">
        <v>26</v>
      </c>
      <c r="E41" s="217"/>
      <c r="F41" s="217"/>
      <c r="G41" s="217"/>
      <c r="H41" s="217"/>
      <c r="I41" s="217"/>
      <c r="J41" s="52">
        <f>COUNT(B27:B39)</f>
        <v>3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18" t="s">
        <v>23</v>
      </c>
      <c r="H44" s="218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 t="s">
        <v>222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17" t="s">
        <v>27</v>
      </c>
      <c r="E61" s="217"/>
      <c r="F61" s="217"/>
      <c r="G61" s="217"/>
      <c r="H61" s="217"/>
      <c r="I61" s="217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18" t="s">
        <v>3</v>
      </c>
      <c r="H64" s="218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>
        <v>45870.568055555559</v>
      </c>
      <c r="C67" s="60" t="s">
        <v>3</v>
      </c>
      <c r="D67" s="60" t="s">
        <v>52</v>
      </c>
      <c r="E67" s="60">
        <v>0</v>
      </c>
      <c r="F67" s="60">
        <v>5</v>
      </c>
      <c r="G67" s="60"/>
      <c r="H67" s="117">
        <v>5.13</v>
      </c>
      <c r="I67" s="60">
        <v>0</v>
      </c>
      <c r="J67" s="61">
        <f>F67/H67</f>
        <v>0.97465886939571156</v>
      </c>
      <c r="K67" s="61">
        <f>(H67-F67)*100/F67</f>
        <v>2.5999999999999979</v>
      </c>
      <c r="L67" s="60" t="s">
        <v>67</v>
      </c>
      <c r="M67" s="78" t="s">
        <v>222</v>
      </c>
    </row>
    <row r="68" spans="2:13" ht="15.75" x14ac:dyDescent="0.25">
      <c r="B68" s="63">
        <v>45875.573611111111</v>
      </c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>
        <v>4.9800000000000004</v>
      </c>
      <c r="I68" s="60">
        <v>0</v>
      </c>
      <c r="J68" s="61">
        <f t="shared" ref="J68:J73" si="4">F68/H68</f>
        <v>1.0040160642570279</v>
      </c>
      <c r="K68" s="61">
        <f t="shared" ref="K68:K73" si="5">(H68-F68)*100/F68</f>
        <v>-0.39999999999999147</v>
      </c>
      <c r="L68" s="60" t="s">
        <v>67</v>
      </c>
      <c r="M68" s="62" t="s">
        <v>223</v>
      </c>
    </row>
    <row r="69" spans="2:13" ht="15.75" x14ac:dyDescent="0.25">
      <c r="B69" s="63">
        <v>45887.577777777777</v>
      </c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>
        <v>5.01</v>
      </c>
      <c r="I69" s="60">
        <v>0</v>
      </c>
      <c r="J69" s="61">
        <f t="shared" si="4"/>
        <v>0.99800399201596812</v>
      </c>
      <c r="K69" s="61">
        <f t="shared" si="5"/>
        <v>0.19999999999999574</v>
      </c>
      <c r="L69" s="60" t="s">
        <v>67</v>
      </c>
      <c r="M69" s="62" t="s">
        <v>223</v>
      </c>
    </row>
    <row r="70" spans="2:13" ht="15.75" x14ac:dyDescent="0.25">
      <c r="B70" s="63"/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 t="s">
        <v>223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17" t="s">
        <v>28</v>
      </c>
      <c r="E81" s="217"/>
      <c r="F81" s="217"/>
      <c r="G81" s="217"/>
      <c r="H81" s="217"/>
      <c r="I81" s="217"/>
      <c r="J81" s="52">
        <f>COUNT(B67:B79)</f>
        <v>3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18" t="s">
        <v>24</v>
      </c>
      <c r="H84" s="218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17" t="s">
        <v>29</v>
      </c>
      <c r="E101" s="217"/>
      <c r="F101" s="217"/>
      <c r="G101" s="217"/>
      <c r="H101" s="217"/>
      <c r="I101" s="217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19" t="s">
        <v>4</v>
      </c>
      <c r="H104" s="219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>
        <v>45870.722222222219</v>
      </c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>
        <v>319.25</v>
      </c>
      <c r="I107" s="60">
        <f>G107-E107</f>
        <v>0</v>
      </c>
      <c r="J107" s="61">
        <f>F107/H107</f>
        <v>1.0023492560689116</v>
      </c>
      <c r="K107" s="61">
        <f>(H107-F107)*100/F107</f>
        <v>-0.234375</v>
      </c>
      <c r="L107" s="60" t="s">
        <v>67</v>
      </c>
      <c r="M107" s="62" t="s">
        <v>222</v>
      </c>
    </row>
    <row r="108" spans="2:13" ht="15.75" x14ac:dyDescent="0.25">
      <c r="B108" s="63">
        <v>45875.70416666667</v>
      </c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>
        <v>320.02999999999997</v>
      </c>
      <c r="I108" s="60">
        <f>G108-E108</f>
        <v>0</v>
      </c>
      <c r="J108" s="61">
        <f>F108/H108</f>
        <v>0.99990625878823869</v>
      </c>
      <c r="K108" s="61">
        <f>(H108-F108)*100/F108</f>
        <v>9.3749999999914735E-3</v>
      </c>
      <c r="L108" s="60" t="s">
        <v>67</v>
      </c>
      <c r="M108" s="62" t="s">
        <v>223</v>
      </c>
    </row>
    <row r="109" spans="2:13" ht="15.75" x14ac:dyDescent="0.25">
      <c r="B109" s="63">
        <v>45887.724305555559</v>
      </c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>
        <v>321.06</v>
      </c>
      <c r="I109" s="60">
        <f t="shared" ref="I109:I114" si="8">G109-E109</f>
        <v>0</v>
      </c>
      <c r="J109" s="61">
        <f t="shared" ref="J109:J114" si="9">F109/H109</f>
        <v>0.99669843642932787</v>
      </c>
      <c r="K109" s="61">
        <f t="shared" ref="K109:K114" si="10">(H109-F109)*100/F109</f>
        <v>0.33125000000000071</v>
      </c>
      <c r="L109" s="60" t="s">
        <v>67</v>
      </c>
      <c r="M109" s="62" t="s">
        <v>223</v>
      </c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 t="s">
        <v>223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17" t="s">
        <v>69</v>
      </c>
      <c r="D119" s="217"/>
      <c r="E119" s="217"/>
      <c r="F119" s="217"/>
      <c r="G119" s="217"/>
      <c r="H119" s="217"/>
      <c r="I119" s="52">
        <f>COUNT(B107:B118)</f>
        <v>3</v>
      </c>
      <c r="J119" s="46"/>
      <c r="K119" s="46"/>
      <c r="L119" s="47"/>
      <c r="M119" s="48"/>
    </row>
  </sheetData>
  <mergeCells count="15">
    <mergeCell ref="D1:J1"/>
    <mergeCell ref="G44:H44"/>
    <mergeCell ref="C21:H21"/>
    <mergeCell ref="G5:H5"/>
    <mergeCell ref="G24:H24"/>
    <mergeCell ref="P21:S21"/>
    <mergeCell ref="P40:S40"/>
    <mergeCell ref="D41:I41"/>
    <mergeCell ref="C119:H119"/>
    <mergeCell ref="G64:H64"/>
    <mergeCell ref="D81:I81"/>
    <mergeCell ref="G84:H84"/>
    <mergeCell ref="D101:I101"/>
    <mergeCell ref="G104:H104"/>
    <mergeCell ref="D61:I61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B3" sqref="B3:C3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2" t="s">
        <v>227</v>
      </c>
      <c r="C2" s="222"/>
      <c r="D2" s="223">
        <v>45017</v>
      </c>
      <c r="E2" s="223"/>
    </row>
    <row r="3" spans="1:5" x14ac:dyDescent="0.25">
      <c r="B3" s="222" t="s">
        <v>21</v>
      </c>
      <c r="C3" s="222"/>
      <c r="D3" s="223"/>
      <c r="E3" s="223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01"/>
      <c r="C8" s="201"/>
      <c r="D8" s="33">
        <f t="shared" ref="D8:D13" si="0">C8-B8</f>
        <v>0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24" t="s">
        <v>22</v>
      </c>
      <c r="C44" s="224"/>
      <c r="D44" s="20">
        <f>SUM(D11:D42)</f>
        <v>0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40" t="s">
        <v>220</v>
      </c>
      <c r="C2" s="240"/>
      <c r="D2" s="240"/>
      <c r="E2" s="240"/>
      <c r="F2" s="241">
        <v>44713</v>
      </c>
      <c r="G2" s="242"/>
      <c r="H2" s="242"/>
    </row>
    <row r="3" spans="2:24" s="12" customFormat="1" ht="15" customHeight="1" x14ac:dyDescent="0.25">
      <c r="B3" s="240"/>
      <c r="C3" s="240"/>
      <c r="D3" s="240"/>
      <c r="E3" s="240"/>
      <c r="F3" s="242"/>
      <c r="G3" s="242"/>
      <c r="H3" s="242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43" t="s">
        <v>4</v>
      </c>
      <c r="C12" s="245" t="s">
        <v>133</v>
      </c>
      <c r="D12" s="246"/>
      <c r="E12" s="246"/>
      <c r="F12" s="246"/>
      <c r="G12" s="246"/>
      <c r="H12" s="246"/>
      <c r="I12" s="246"/>
      <c r="J12" s="246"/>
      <c r="K12" s="246"/>
      <c r="L12" s="246"/>
      <c r="M12" s="246"/>
      <c r="N12" s="246"/>
      <c r="O12" s="246"/>
      <c r="P12" s="246"/>
      <c r="Q12" s="246"/>
      <c r="R12" s="127"/>
      <c r="U12" s="125"/>
    </row>
    <row r="13" spans="2:24" ht="15" customHeight="1" x14ac:dyDescent="0.25">
      <c r="B13" s="244"/>
      <c r="C13" s="128" t="s">
        <v>78</v>
      </c>
      <c r="D13" s="129" t="s">
        <v>83</v>
      </c>
      <c r="E13" s="129" t="s">
        <v>134</v>
      </c>
      <c r="F13" s="129" t="s">
        <v>217</v>
      </c>
      <c r="G13" s="129" t="s">
        <v>136</v>
      </c>
      <c r="H13" s="129" t="s">
        <v>137</v>
      </c>
      <c r="I13" s="129" t="s">
        <v>138</v>
      </c>
      <c r="J13" s="129" t="s">
        <v>139</v>
      </c>
      <c r="K13" s="129" t="s">
        <v>140</v>
      </c>
      <c r="L13" s="129" t="s">
        <v>141</v>
      </c>
      <c r="M13" s="129" t="s">
        <v>142</v>
      </c>
      <c r="N13" s="129" t="s">
        <v>143</v>
      </c>
      <c r="O13" s="129" t="s">
        <v>144</v>
      </c>
      <c r="P13" s="130" t="s">
        <v>145</v>
      </c>
      <c r="Q13" s="129" t="s">
        <v>146</v>
      </c>
      <c r="R13" s="131"/>
      <c r="U13" s="125"/>
    </row>
    <row r="14" spans="2:24" ht="15" customHeight="1" x14ac:dyDescent="0.25">
      <c r="B14" s="244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44"/>
      <c r="C15" s="132" t="s">
        <v>147</v>
      </c>
      <c r="D15" s="133" t="s">
        <v>148</v>
      </c>
      <c r="E15" s="133" t="s">
        <v>149</v>
      </c>
      <c r="F15" s="133" t="s">
        <v>150</v>
      </c>
      <c r="G15" s="133" t="s">
        <v>151</v>
      </c>
      <c r="H15" s="133" t="s">
        <v>152</v>
      </c>
      <c r="I15" s="133" t="s">
        <v>153</v>
      </c>
      <c r="J15" s="133" t="s">
        <v>154</v>
      </c>
      <c r="K15" s="133" t="s">
        <v>155</v>
      </c>
      <c r="L15" s="133" t="s">
        <v>156</v>
      </c>
      <c r="M15" s="133" t="s">
        <v>157</v>
      </c>
      <c r="N15" s="133" t="s">
        <v>158</v>
      </c>
      <c r="O15" s="133" t="s">
        <v>159</v>
      </c>
      <c r="P15" s="134" t="s">
        <v>160</v>
      </c>
      <c r="Q15" s="133" t="s">
        <v>161</v>
      </c>
      <c r="R15" s="135" t="s">
        <v>20</v>
      </c>
      <c r="X15" s="11"/>
    </row>
    <row r="16" spans="2:24" ht="15.75" customHeight="1" x14ac:dyDescent="0.25">
      <c r="B16" s="244"/>
      <c r="C16" s="195">
        <v>2425504512</v>
      </c>
      <c r="D16" s="195">
        <v>2513962496</v>
      </c>
      <c r="E16" s="60">
        <v>1445.7</v>
      </c>
      <c r="F16" s="60" t="s">
        <v>218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218</v>
      </c>
      <c r="L16" s="60" t="s">
        <v>219</v>
      </c>
      <c r="M16" s="60">
        <v>485</v>
      </c>
      <c r="N16" s="60" t="s">
        <v>219</v>
      </c>
      <c r="O16" s="60">
        <v>30</v>
      </c>
      <c r="P16" s="60">
        <v>49.5</v>
      </c>
      <c r="Q16" s="60">
        <v>50</v>
      </c>
      <c r="R16" s="150" t="s">
        <v>216</v>
      </c>
      <c r="X16" s="11"/>
    </row>
    <row r="17" spans="2:28" ht="15.75" customHeight="1" x14ac:dyDescent="0.25">
      <c r="B17" s="244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44"/>
      <c r="C18" s="142" t="s">
        <v>78</v>
      </c>
      <c r="D18" s="142" t="s">
        <v>83</v>
      </c>
      <c r="E18" s="142" t="s">
        <v>134</v>
      </c>
      <c r="F18" s="142" t="s">
        <v>135</v>
      </c>
      <c r="G18" s="142" t="s">
        <v>136</v>
      </c>
      <c r="H18" s="142" t="s">
        <v>137</v>
      </c>
      <c r="I18" s="142" t="s">
        <v>138</v>
      </c>
      <c r="J18" s="142" t="s">
        <v>139</v>
      </c>
      <c r="K18" s="142" t="s">
        <v>140</v>
      </c>
      <c r="L18" s="142" t="s">
        <v>141</v>
      </c>
      <c r="M18" s="142" t="s">
        <v>142</v>
      </c>
      <c r="N18" s="142" t="s">
        <v>143</v>
      </c>
      <c r="O18" s="142" t="s">
        <v>144</v>
      </c>
      <c r="P18" s="143" t="s">
        <v>145</v>
      </c>
      <c r="Q18" s="142" t="s">
        <v>146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147</v>
      </c>
      <c r="D20" s="133" t="s">
        <v>148</v>
      </c>
      <c r="E20" s="133" t="s">
        <v>149</v>
      </c>
      <c r="F20" s="133" t="s">
        <v>150</v>
      </c>
      <c r="G20" s="133" t="s">
        <v>151</v>
      </c>
      <c r="H20" s="133" t="s">
        <v>152</v>
      </c>
      <c r="I20" s="133" t="s">
        <v>153</v>
      </c>
      <c r="J20" s="133" t="s">
        <v>154</v>
      </c>
      <c r="K20" s="133" t="s">
        <v>155</v>
      </c>
      <c r="L20" s="133" t="s">
        <v>156</v>
      </c>
      <c r="M20" s="133" t="s">
        <v>157</v>
      </c>
      <c r="N20" s="133" t="s">
        <v>158</v>
      </c>
      <c r="O20" s="133" t="s">
        <v>159</v>
      </c>
      <c r="P20" s="134" t="s">
        <v>160</v>
      </c>
      <c r="Q20" s="133" t="s">
        <v>161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35" t="s">
        <v>2</v>
      </c>
      <c r="C25" s="238" t="s">
        <v>133</v>
      </c>
      <c r="D25" s="239"/>
      <c r="E25" s="239"/>
      <c r="F25" s="239"/>
      <c r="G25" s="239"/>
      <c r="H25" s="239"/>
      <c r="I25" s="239"/>
      <c r="J25" s="239"/>
      <c r="K25" s="239"/>
      <c r="L25" s="239"/>
      <c r="M25" s="239"/>
      <c r="N25" s="239"/>
      <c r="O25" s="239"/>
      <c r="P25" s="239"/>
      <c r="Q25" s="239"/>
      <c r="R25" s="227"/>
      <c r="S25" s="188"/>
      <c r="T25" s="189"/>
    </row>
    <row r="26" spans="2:28" ht="15" customHeight="1" x14ac:dyDescent="0.3">
      <c r="B26" s="235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213</v>
      </c>
      <c r="S26" s="179" t="s">
        <v>214</v>
      </c>
      <c r="T26" s="170" t="s">
        <v>20</v>
      </c>
      <c r="Z26" s="149"/>
      <c r="AA26" s="149"/>
      <c r="AB26" s="149"/>
    </row>
    <row r="27" spans="2:28" ht="15.75" customHeight="1" x14ac:dyDescent="0.25">
      <c r="B27" s="235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35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37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213</v>
      </c>
      <c r="S29" s="184" t="s">
        <v>214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29" t="s">
        <v>3</v>
      </c>
      <c r="C36" s="231" t="s">
        <v>133</v>
      </c>
      <c r="D36" s="231"/>
      <c r="E36" s="231"/>
      <c r="F36" s="231"/>
      <c r="G36" s="231"/>
      <c r="H36" s="231"/>
      <c r="I36" s="231"/>
      <c r="J36" s="231"/>
      <c r="K36" s="231"/>
      <c r="L36" s="231"/>
      <c r="M36" s="231"/>
      <c r="N36" s="231"/>
      <c r="O36" s="232"/>
    </row>
    <row r="37" spans="2:25" ht="15.75" customHeight="1" x14ac:dyDescent="0.25">
      <c r="B37" s="230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30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30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3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33" t="s">
        <v>1</v>
      </c>
      <c r="C48" s="163" t="s">
        <v>133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34"/>
      <c r="C49" s="152" t="s">
        <v>78</v>
      </c>
      <c r="D49" s="142" t="s">
        <v>154</v>
      </c>
      <c r="E49" s="142" t="s">
        <v>163</v>
      </c>
      <c r="F49" s="142" t="s">
        <v>164</v>
      </c>
      <c r="G49" s="142" t="s">
        <v>165</v>
      </c>
      <c r="H49" s="142" t="s">
        <v>166</v>
      </c>
      <c r="I49" s="142" t="s">
        <v>167</v>
      </c>
      <c r="J49" s="142" t="s">
        <v>139</v>
      </c>
      <c r="K49" s="142" t="s">
        <v>168</v>
      </c>
      <c r="L49" s="142" t="s">
        <v>169</v>
      </c>
      <c r="M49" s="142" t="s">
        <v>170</v>
      </c>
      <c r="N49" s="142" t="s">
        <v>171</v>
      </c>
      <c r="O49" s="142" t="s">
        <v>172</v>
      </c>
      <c r="P49" s="142" t="s">
        <v>79</v>
      </c>
      <c r="Q49" s="153" t="s">
        <v>173</v>
      </c>
    </row>
    <row r="50" spans="2:20" x14ac:dyDescent="0.25">
      <c r="B50" s="234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34"/>
      <c r="C51" s="152" t="s">
        <v>80</v>
      </c>
      <c r="D51" s="142" t="s">
        <v>174</v>
      </c>
      <c r="E51" s="142" t="s">
        <v>175</v>
      </c>
      <c r="F51" s="142" t="s">
        <v>176</v>
      </c>
      <c r="G51" s="142" t="s">
        <v>177</v>
      </c>
      <c r="H51" s="142" t="s">
        <v>178</v>
      </c>
      <c r="I51" s="133" t="s">
        <v>81</v>
      </c>
      <c r="J51" s="133" t="s">
        <v>179</v>
      </c>
      <c r="K51" s="133" t="s">
        <v>180</v>
      </c>
      <c r="L51" s="133" t="s">
        <v>86</v>
      </c>
      <c r="M51" s="133" t="s">
        <v>181</v>
      </c>
      <c r="N51" s="133" t="s">
        <v>160</v>
      </c>
      <c r="O51" s="133" t="s">
        <v>182</v>
      </c>
      <c r="P51" s="133" t="s">
        <v>183</v>
      </c>
      <c r="Q51" s="29" t="s">
        <v>20</v>
      </c>
    </row>
    <row r="52" spans="2:20" ht="15.75" x14ac:dyDescent="0.25">
      <c r="B52" s="234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154</v>
      </c>
      <c r="E54" s="142" t="s">
        <v>163</v>
      </c>
      <c r="F54" s="142" t="s">
        <v>164</v>
      </c>
      <c r="G54" s="142" t="s">
        <v>165</v>
      </c>
      <c r="H54" s="142" t="s">
        <v>166</v>
      </c>
      <c r="I54" s="142" t="s">
        <v>167</v>
      </c>
      <c r="J54" s="142" t="s">
        <v>139</v>
      </c>
      <c r="K54" s="142" t="s">
        <v>168</v>
      </c>
      <c r="L54" s="142" t="s">
        <v>169</v>
      </c>
      <c r="M54" s="142" t="s">
        <v>170</v>
      </c>
      <c r="N54" s="142" t="s">
        <v>171</v>
      </c>
      <c r="O54" s="142" t="s">
        <v>172</v>
      </c>
      <c r="P54" s="142" t="s">
        <v>79</v>
      </c>
      <c r="Q54" s="153" t="s">
        <v>173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174</v>
      </c>
      <c r="E56" s="142" t="s">
        <v>175</v>
      </c>
      <c r="F56" s="142" t="s">
        <v>176</v>
      </c>
      <c r="G56" s="142" t="s">
        <v>177</v>
      </c>
      <c r="H56" s="142" t="s">
        <v>178</v>
      </c>
      <c r="I56" s="133" t="s">
        <v>81</v>
      </c>
      <c r="J56" s="133" t="s">
        <v>179</v>
      </c>
      <c r="K56" s="133" t="s">
        <v>180</v>
      </c>
      <c r="L56" s="133" t="s">
        <v>86</v>
      </c>
      <c r="M56" s="133" t="s">
        <v>181</v>
      </c>
      <c r="N56" s="133" t="s">
        <v>160</v>
      </c>
      <c r="O56" s="133" t="s">
        <v>182</v>
      </c>
      <c r="P56" s="133" t="s">
        <v>183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35" t="s">
        <v>184</v>
      </c>
      <c r="C61" s="238" t="s">
        <v>133</v>
      </c>
      <c r="D61" s="239"/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/>
      <c r="P61" s="239"/>
      <c r="Q61" s="239"/>
      <c r="R61" s="227"/>
      <c r="S61" s="166"/>
      <c r="T61" s="167"/>
    </row>
    <row r="62" spans="2:20" ht="15.75" x14ac:dyDescent="0.3">
      <c r="B62" s="235"/>
      <c r="C62" s="168" t="s">
        <v>78</v>
      </c>
      <c r="D62" s="168" t="s">
        <v>185</v>
      </c>
      <c r="E62" s="168" t="s">
        <v>186</v>
      </c>
      <c r="F62" s="168" t="s">
        <v>187</v>
      </c>
      <c r="G62" s="168" t="s">
        <v>188</v>
      </c>
      <c r="H62" s="168" t="s">
        <v>189</v>
      </c>
      <c r="I62" s="168" t="s">
        <v>190</v>
      </c>
      <c r="J62" s="168" t="s">
        <v>191</v>
      </c>
      <c r="K62" s="168" t="s">
        <v>192</v>
      </c>
      <c r="L62" s="168" t="s">
        <v>193</v>
      </c>
      <c r="M62" s="168" t="s">
        <v>194</v>
      </c>
      <c r="N62" s="168" t="s">
        <v>195</v>
      </c>
      <c r="O62" s="168" t="s">
        <v>196</v>
      </c>
      <c r="P62" s="168" t="s">
        <v>197</v>
      </c>
      <c r="Q62" s="168" t="s">
        <v>198</v>
      </c>
      <c r="R62" s="168" t="s">
        <v>199</v>
      </c>
      <c r="S62" s="169" t="s">
        <v>200</v>
      </c>
      <c r="T62" s="170" t="s">
        <v>20</v>
      </c>
    </row>
    <row r="63" spans="2:20" ht="15.75" x14ac:dyDescent="0.25">
      <c r="B63" s="236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36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37"/>
      <c r="C65" s="173" t="s">
        <v>78</v>
      </c>
      <c r="D65" s="173" t="s">
        <v>185</v>
      </c>
      <c r="E65" s="173" t="s">
        <v>186</v>
      </c>
      <c r="F65" s="173" t="s">
        <v>187</v>
      </c>
      <c r="G65" s="173" t="s">
        <v>188</v>
      </c>
      <c r="H65" s="173" t="s">
        <v>189</v>
      </c>
      <c r="I65" s="173" t="s">
        <v>190</v>
      </c>
      <c r="J65" s="173" t="s">
        <v>191</v>
      </c>
      <c r="K65" s="173" t="s">
        <v>192</v>
      </c>
      <c r="L65" s="173" t="s">
        <v>193</v>
      </c>
      <c r="M65" s="173" t="s">
        <v>194</v>
      </c>
      <c r="N65" s="173" t="s">
        <v>195</v>
      </c>
      <c r="O65" s="173" t="s">
        <v>196</v>
      </c>
      <c r="P65" s="173" t="s">
        <v>197</v>
      </c>
      <c r="Q65" s="173" t="s">
        <v>198</v>
      </c>
      <c r="R65" s="173" t="s">
        <v>199</v>
      </c>
      <c r="S65" s="174" t="s">
        <v>200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35" t="s">
        <v>201</v>
      </c>
      <c r="C69" s="238" t="s">
        <v>133</v>
      </c>
      <c r="D69" s="239"/>
      <c r="E69" s="239"/>
      <c r="F69" s="239"/>
      <c r="G69" s="239"/>
      <c r="H69" s="239"/>
      <c r="I69" s="239"/>
      <c r="J69" s="239"/>
      <c r="K69" s="239"/>
      <c r="L69" s="239"/>
      <c r="M69" s="239"/>
      <c r="N69" s="239"/>
      <c r="O69" s="239"/>
      <c r="P69" s="239"/>
      <c r="Q69" s="239"/>
      <c r="R69" s="227"/>
      <c r="S69" s="166"/>
      <c r="T69" s="167"/>
    </row>
    <row r="70" spans="2:20" ht="15.75" x14ac:dyDescent="0.3">
      <c r="B70" s="235"/>
      <c r="C70" s="173" t="s">
        <v>78</v>
      </c>
      <c r="D70" s="173" t="s">
        <v>185</v>
      </c>
      <c r="E70" s="173" t="s">
        <v>186</v>
      </c>
      <c r="F70" s="173" t="s">
        <v>187</v>
      </c>
      <c r="G70" s="173" t="s">
        <v>188</v>
      </c>
      <c r="H70" s="173" t="s">
        <v>189</v>
      </c>
      <c r="I70" s="173" t="s">
        <v>190</v>
      </c>
      <c r="J70" s="173" t="s">
        <v>191</v>
      </c>
      <c r="K70" s="173" t="s">
        <v>192</v>
      </c>
      <c r="L70" s="173" t="s">
        <v>193</v>
      </c>
      <c r="M70" s="173" t="s">
        <v>194</v>
      </c>
      <c r="N70" s="173" t="s">
        <v>195</v>
      </c>
      <c r="O70" s="173" t="s">
        <v>196</v>
      </c>
      <c r="P70" s="173" t="s">
        <v>197</v>
      </c>
      <c r="Q70" s="173" t="s">
        <v>198</v>
      </c>
      <c r="R70" s="173" t="s">
        <v>199</v>
      </c>
      <c r="S70" s="174" t="s">
        <v>200</v>
      </c>
      <c r="T70" s="175" t="s">
        <v>20</v>
      </c>
    </row>
    <row r="71" spans="2:20" ht="15.75" x14ac:dyDescent="0.25">
      <c r="B71" s="235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36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37"/>
      <c r="C73" s="173" t="s">
        <v>78</v>
      </c>
      <c r="D73" s="173" t="s">
        <v>185</v>
      </c>
      <c r="E73" s="173" t="s">
        <v>186</v>
      </c>
      <c r="F73" s="173" t="s">
        <v>187</v>
      </c>
      <c r="G73" s="173" t="s">
        <v>188</v>
      </c>
      <c r="H73" s="173" t="s">
        <v>189</v>
      </c>
      <c r="I73" s="173" t="s">
        <v>190</v>
      </c>
      <c r="J73" s="173" t="s">
        <v>191</v>
      </c>
      <c r="K73" s="173" t="s">
        <v>192</v>
      </c>
      <c r="L73" s="173" t="s">
        <v>193</v>
      </c>
      <c r="M73" s="173" t="s">
        <v>194</v>
      </c>
      <c r="N73" s="173" t="s">
        <v>195</v>
      </c>
      <c r="O73" s="173" t="s">
        <v>196</v>
      </c>
      <c r="P73" s="173" t="s">
        <v>197</v>
      </c>
      <c r="Q73" s="173" t="s">
        <v>198</v>
      </c>
      <c r="R73" s="173" t="s">
        <v>199</v>
      </c>
      <c r="S73" s="174" t="s">
        <v>200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25" t="s">
        <v>24</v>
      </c>
      <c r="C77" s="227" t="s">
        <v>133</v>
      </c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177"/>
      <c r="S77" s="177"/>
      <c r="T77" s="178"/>
    </row>
    <row r="78" spans="2:20" x14ac:dyDescent="0.25">
      <c r="B78" s="226"/>
      <c r="C78" s="179" t="s">
        <v>78</v>
      </c>
      <c r="D78" s="179" t="s">
        <v>202</v>
      </c>
      <c r="E78" s="179" t="s">
        <v>203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204</v>
      </c>
      <c r="O78" s="180" t="s">
        <v>203</v>
      </c>
      <c r="P78" s="180" t="s">
        <v>116</v>
      </c>
      <c r="Q78" s="180" t="s">
        <v>205</v>
      </c>
      <c r="R78" s="180" t="s">
        <v>203</v>
      </c>
      <c r="S78" s="180" t="s">
        <v>206</v>
      </c>
      <c r="T78" s="173" t="s">
        <v>203</v>
      </c>
    </row>
    <row r="79" spans="2:20" x14ac:dyDescent="0.25">
      <c r="B79" s="226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26"/>
      <c r="C80" s="173" t="s">
        <v>117</v>
      </c>
      <c r="D80" s="173" t="s">
        <v>118</v>
      </c>
      <c r="E80" s="173" t="s">
        <v>207</v>
      </c>
      <c r="F80" s="173" t="s">
        <v>203</v>
      </c>
      <c r="G80" s="173" t="s">
        <v>116</v>
      </c>
      <c r="H80" s="173" t="s">
        <v>208</v>
      </c>
      <c r="I80" s="173" t="s">
        <v>203</v>
      </c>
      <c r="J80" s="173" t="s">
        <v>119</v>
      </c>
      <c r="K80" s="173" t="s">
        <v>120</v>
      </c>
      <c r="L80" s="173" t="s">
        <v>209</v>
      </c>
      <c r="M80" s="173" t="s">
        <v>203</v>
      </c>
      <c r="N80" s="173" t="s">
        <v>210</v>
      </c>
      <c r="O80" s="174" t="s">
        <v>203</v>
      </c>
      <c r="P80" s="174" t="s">
        <v>211</v>
      </c>
      <c r="Q80" s="174" t="s">
        <v>203</v>
      </c>
      <c r="R80" s="174" t="s">
        <v>212</v>
      </c>
      <c r="S80" s="174" t="s">
        <v>203</v>
      </c>
      <c r="T80" s="175" t="s">
        <v>20</v>
      </c>
    </row>
    <row r="81" spans="2:20" ht="15.75" x14ac:dyDescent="0.25">
      <c r="B81" s="226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162</v>
      </c>
    </row>
    <row r="82" spans="2:20" x14ac:dyDescent="0.25">
      <c r="B82" s="226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26"/>
      <c r="C83" s="184" t="s">
        <v>78</v>
      </c>
      <c r="D83" s="184" t="s">
        <v>202</v>
      </c>
      <c r="E83" s="184" t="s">
        <v>203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204</v>
      </c>
      <c r="O83" s="173" t="s">
        <v>203</v>
      </c>
      <c r="P83" s="173" t="s">
        <v>116</v>
      </c>
      <c r="Q83" s="173" t="s">
        <v>205</v>
      </c>
      <c r="R83" s="173" t="s">
        <v>203</v>
      </c>
      <c r="S83" s="173" t="s">
        <v>206</v>
      </c>
      <c r="T83" s="173" t="s">
        <v>203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207</v>
      </c>
      <c r="F85" s="173" t="s">
        <v>203</v>
      </c>
      <c r="G85" s="173" t="s">
        <v>116</v>
      </c>
      <c r="H85" s="173" t="s">
        <v>208</v>
      </c>
      <c r="I85" s="173" t="s">
        <v>203</v>
      </c>
      <c r="J85" s="173" t="s">
        <v>119</v>
      </c>
      <c r="K85" s="173" t="s">
        <v>120</v>
      </c>
      <c r="L85" s="173" t="s">
        <v>209</v>
      </c>
      <c r="M85" s="173" t="s">
        <v>203</v>
      </c>
      <c r="N85" s="173" t="s">
        <v>210</v>
      </c>
      <c r="O85" s="174" t="s">
        <v>203</v>
      </c>
      <c r="P85" s="174" t="s">
        <v>211</v>
      </c>
      <c r="Q85" s="174" t="s">
        <v>203</v>
      </c>
      <c r="R85" s="174" t="s">
        <v>212</v>
      </c>
      <c r="S85" s="174" t="s">
        <v>203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2:E3"/>
    <mergeCell ref="F2:H3"/>
    <mergeCell ref="B12:B18"/>
    <mergeCell ref="C12:Q12"/>
    <mergeCell ref="B25:B29"/>
    <mergeCell ref="C25:R25"/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2025-10-24T15:41:29Z</dcterms:modified>
</cp:coreProperties>
</file>