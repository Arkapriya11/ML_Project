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A39" i="39" l="1"/>
  <c r="B39" i="39"/>
  <c r="D39" i="39"/>
  <c r="E39" i="39"/>
  <c r="F39" i="39"/>
  <c r="G39" i="39"/>
  <c r="H39" i="39"/>
  <c r="I39" i="39"/>
  <c r="J39" i="39"/>
  <c r="K39" i="39"/>
  <c r="L39" i="39"/>
  <c r="M39" i="39"/>
  <c r="C39" i="39"/>
  <c r="N39" i="39"/>
  <c r="O39" i="39"/>
  <c r="P39" i="39"/>
  <c r="Q39" i="39"/>
  <c r="Q38" i="42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39" i="42" s="1"/>
  <c r="F38" i="42"/>
  <c r="F39" i="42" s="1"/>
  <c r="E38" i="42"/>
  <c r="E40" i="42" s="1"/>
  <c r="D38" i="42"/>
  <c r="D40" i="42" s="1"/>
  <c r="C38" i="42"/>
  <c r="C39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A36" i="39"/>
  <c r="C38" i="33"/>
  <c r="D38" i="33"/>
  <c r="B38" i="33"/>
  <c r="C38" i="32"/>
  <c r="C38" i="31"/>
  <c r="C38" i="30"/>
  <c r="C38" i="29"/>
  <c r="C38" i="28"/>
  <c r="C38" i="27"/>
  <c r="C38" i="24"/>
  <c r="E39" i="42" l="1"/>
  <c r="B39" i="42"/>
  <c r="F40" i="42"/>
  <c r="C40" i="42"/>
  <c r="H39" i="42"/>
  <c r="I39" i="42"/>
  <c r="J39" i="42"/>
  <c r="K39" i="42"/>
  <c r="L39" i="42"/>
  <c r="M39" i="42"/>
  <c r="N39" i="42"/>
  <c r="D39" i="42"/>
  <c r="G40" i="42"/>
  <c r="O39" i="42"/>
  <c r="P39" i="42"/>
  <c r="Q39" i="42"/>
  <c r="P17" i="39"/>
  <c r="O17" i="39"/>
  <c r="O15" i="39"/>
  <c r="P15" i="39"/>
  <c r="N17" i="39"/>
  <c r="N15" i="39"/>
  <c r="C38" i="23"/>
  <c r="B38" i="23"/>
  <c r="C38" i="22"/>
  <c r="H38" i="20"/>
  <c r="G38" i="20"/>
  <c r="C38" i="19"/>
  <c r="C38" i="18"/>
  <c r="C38" i="15"/>
  <c r="C38" i="16"/>
  <c r="C38" i="17"/>
  <c r="H38" i="14"/>
  <c r="G38" i="14"/>
  <c r="C38" i="14"/>
  <c r="C38" i="13"/>
  <c r="C38" i="12"/>
  <c r="C38" i="11"/>
  <c r="H38" i="3"/>
  <c r="G38" i="3"/>
  <c r="B2" i="20" l="1"/>
  <c r="G38" i="39"/>
  <c r="G45" i="39" s="1"/>
  <c r="E38" i="39"/>
  <c r="E45" i="39" s="1"/>
  <c r="E36" i="39"/>
  <c r="F35" i="39"/>
  <c r="I33" i="39"/>
  <c r="H33" i="39"/>
  <c r="M32" i="39"/>
  <c r="K32" i="39"/>
  <c r="L31" i="39"/>
  <c r="L30" i="39"/>
  <c r="K30" i="39"/>
  <c r="M29" i="39"/>
  <c r="L29" i="39"/>
  <c r="M28" i="39"/>
  <c r="O26" i="39"/>
  <c r="P25" i="39"/>
  <c r="Q24" i="39"/>
  <c r="A24" i="39"/>
  <c r="B23" i="39"/>
  <c r="A23" i="39"/>
  <c r="D21" i="39"/>
  <c r="E20" i="39"/>
  <c r="K16" i="39"/>
  <c r="L14" i="39"/>
  <c r="K14" i="39"/>
  <c r="N13" i="39"/>
  <c r="N12" i="39"/>
  <c r="M12" i="39"/>
  <c r="O11" i="39"/>
  <c r="N11" i="39"/>
  <c r="O10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39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Q45" i="39" s="1"/>
  <c r="P36" i="41"/>
  <c r="P38" i="39" s="1"/>
  <c r="P45" i="39" s="1"/>
  <c r="O36" i="41"/>
  <c r="O38" i="39" s="1"/>
  <c r="O45" i="39" s="1"/>
  <c r="N36" i="41"/>
  <c r="N38" i="39" s="1"/>
  <c r="N45" i="39" s="1"/>
  <c r="M36" i="41"/>
  <c r="M38" i="39" s="1"/>
  <c r="M45" i="39" s="1"/>
  <c r="L36" i="41"/>
  <c r="L38" i="39" s="1"/>
  <c r="L45" i="39" s="1"/>
  <c r="K36" i="41"/>
  <c r="K38" i="39" s="1"/>
  <c r="K45" i="39" s="1"/>
  <c r="J36" i="41"/>
  <c r="J38" i="39" s="1"/>
  <c r="J45" i="39" s="1"/>
  <c r="I36" i="41"/>
  <c r="I38" i="39" s="1"/>
  <c r="I45" i="39" s="1"/>
  <c r="H36" i="41"/>
  <c r="H38" i="39" s="1"/>
  <c r="H45" i="39" s="1"/>
  <c r="G36" i="41"/>
  <c r="F36" i="41"/>
  <c r="F38" i="39" s="1"/>
  <c r="F45" i="39" s="1"/>
  <c r="E36" i="41"/>
  <c r="D36" i="41"/>
  <c r="D38" i="39" s="1"/>
  <c r="D45" i="39" s="1"/>
  <c r="C36" i="41"/>
  <c r="C38" i="39" s="1"/>
  <c r="C45" i="39" s="1"/>
  <c r="B36" i="41"/>
  <c r="B38" i="39" s="1"/>
  <c r="B45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D37" i="39" s="1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40" i="33"/>
  <c r="C40" i="33"/>
  <c r="B40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E39" i="32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40" i="32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39" i="31" s="1"/>
  <c r="F38" i="31"/>
  <c r="F40" i="31" s="1"/>
  <c r="E38" i="31"/>
  <c r="E40" i="31" s="1"/>
  <c r="D38" i="31"/>
  <c r="D40" i="31" s="1"/>
  <c r="C40" i="3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G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40" i="30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39" i="29" s="1"/>
  <c r="H38" i="29"/>
  <c r="H40" i="29" s="1"/>
  <c r="G38" i="29"/>
  <c r="G40" i="29" s="1"/>
  <c r="F38" i="29"/>
  <c r="F40" i="29" s="1"/>
  <c r="E38" i="29"/>
  <c r="E40" i="29" s="1"/>
  <c r="D38" i="29"/>
  <c r="D40" i="29" s="1"/>
  <c r="C40" i="29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L36" i="29"/>
  <c r="L32" i="39" s="1"/>
  <c r="K36" i="29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39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40" i="28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I40" i="27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39" i="27" s="1"/>
  <c r="H38" i="27"/>
  <c r="H40" i="27" s="1"/>
  <c r="G38" i="27"/>
  <c r="G40" i="27" s="1"/>
  <c r="F38" i="27"/>
  <c r="F40" i="27" s="1"/>
  <c r="E38" i="27"/>
  <c r="E40" i="27" s="1"/>
  <c r="D38" i="27"/>
  <c r="D40" i="27" s="1"/>
  <c r="C40" i="27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H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39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39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40" i="24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40" i="23"/>
  <c r="B39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9" i="22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C40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39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40" i="20"/>
  <c r="G40" i="20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9" i="19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39" i="18" s="1"/>
  <c r="D38" i="18"/>
  <c r="D40" i="18" s="1"/>
  <c r="C40" i="18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40" i="17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39" i="16" s="1"/>
  <c r="H38" i="16"/>
  <c r="H40" i="16" s="1"/>
  <c r="G38" i="16"/>
  <c r="G40" i="16" s="1"/>
  <c r="F38" i="16"/>
  <c r="F40" i="16" s="1"/>
  <c r="E38" i="16"/>
  <c r="E40" i="16" s="1"/>
  <c r="D38" i="16"/>
  <c r="D40" i="16" s="1"/>
  <c r="C40" i="16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40" i="15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I39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40" i="14"/>
  <c r="G40" i="14"/>
  <c r="F38" i="14"/>
  <c r="F40" i="14" s="1"/>
  <c r="E38" i="14"/>
  <c r="E40" i="14" s="1"/>
  <c r="D38" i="14"/>
  <c r="D40" i="14" s="1"/>
  <c r="C40" i="14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L39" i="13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40" i="13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I40" i="12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39" i="12" s="1"/>
  <c r="H38" i="12"/>
  <c r="H40" i="12" s="1"/>
  <c r="G38" i="12"/>
  <c r="G40" i="12" s="1"/>
  <c r="F38" i="12"/>
  <c r="F40" i="12" s="1"/>
  <c r="E38" i="12"/>
  <c r="E40" i="12" s="1"/>
  <c r="D38" i="12"/>
  <c r="D40" i="12" s="1"/>
  <c r="C40" i="12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39" i="11" s="1"/>
  <c r="H38" i="11"/>
  <c r="H40" i="11" s="1"/>
  <c r="G38" i="11"/>
  <c r="G40" i="11" s="1"/>
  <c r="F38" i="11"/>
  <c r="F40" i="11" s="1"/>
  <c r="E38" i="11"/>
  <c r="E40" i="11" s="1"/>
  <c r="D38" i="11"/>
  <c r="D40" i="11" s="1"/>
  <c r="C40" i="1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39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39" i="9" s="1"/>
  <c r="J38" i="9"/>
  <c r="J40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39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40" i="3"/>
  <c r="G40" i="3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Q39" i="41" l="1"/>
  <c r="B39" i="41"/>
  <c r="D39" i="41"/>
  <c r="E39" i="41"/>
  <c r="F39" i="41"/>
  <c r="G39" i="41"/>
  <c r="C40" i="41"/>
  <c r="H39" i="41"/>
  <c r="I39" i="41"/>
  <c r="J39" i="41"/>
  <c r="K39" i="41"/>
  <c r="L39" i="41"/>
  <c r="M39" i="41"/>
  <c r="N39" i="41"/>
  <c r="O39" i="41"/>
  <c r="P39" i="41"/>
  <c r="C39" i="40"/>
  <c r="D39" i="40"/>
  <c r="E39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B39" i="40"/>
  <c r="E39" i="33"/>
  <c r="F39" i="33"/>
  <c r="G39" i="33"/>
  <c r="H39" i="33"/>
  <c r="I39" i="33"/>
  <c r="J39" i="33"/>
  <c r="K39" i="33"/>
  <c r="L39" i="33"/>
  <c r="M39" i="33"/>
  <c r="N39" i="33"/>
  <c r="D39" i="33"/>
  <c r="O39" i="33"/>
  <c r="P39" i="33"/>
  <c r="Q39" i="33"/>
  <c r="B39" i="33"/>
  <c r="C39" i="33"/>
  <c r="F39" i="32"/>
  <c r="G39" i="32"/>
  <c r="H39" i="32"/>
  <c r="I39" i="32"/>
  <c r="J39" i="32"/>
  <c r="K39" i="32"/>
  <c r="L39" i="32"/>
  <c r="M39" i="32"/>
  <c r="N39" i="32"/>
  <c r="O39" i="32"/>
  <c r="P39" i="32"/>
  <c r="Q39" i="32"/>
  <c r="B39" i="32"/>
  <c r="C39" i="32"/>
  <c r="D39" i="32"/>
  <c r="H39" i="31"/>
  <c r="I39" i="31"/>
  <c r="J39" i="31"/>
  <c r="G40" i="31"/>
  <c r="K39" i="31"/>
  <c r="L39" i="31"/>
  <c r="M39" i="31"/>
  <c r="N39" i="31"/>
  <c r="O39" i="31"/>
  <c r="P39" i="31"/>
  <c r="Q39" i="31"/>
  <c r="B39" i="31"/>
  <c r="C39" i="31"/>
  <c r="D39" i="31"/>
  <c r="E39" i="31"/>
  <c r="F39" i="31"/>
  <c r="I39" i="30"/>
  <c r="J39" i="30"/>
  <c r="K39" i="30"/>
  <c r="L39" i="30"/>
  <c r="M39" i="30"/>
  <c r="N39" i="30"/>
  <c r="O39" i="30"/>
  <c r="P39" i="30"/>
  <c r="Q39" i="30"/>
  <c r="B39" i="30"/>
  <c r="C39" i="30"/>
  <c r="H39" i="30"/>
  <c r="D39" i="30"/>
  <c r="E39" i="30"/>
  <c r="F39" i="30"/>
  <c r="G39" i="29"/>
  <c r="H39" i="29"/>
  <c r="J39" i="29"/>
  <c r="K39" i="29"/>
  <c r="L39" i="29"/>
  <c r="I40" i="29"/>
  <c r="M39" i="29"/>
  <c r="N39" i="29"/>
  <c r="O39" i="29"/>
  <c r="P39" i="29"/>
  <c r="Q39" i="29"/>
  <c r="B39" i="29"/>
  <c r="C39" i="29"/>
  <c r="D39" i="29"/>
  <c r="E39" i="29"/>
  <c r="F39" i="29"/>
  <c r="H39" i="28"/>
  <c r="I39" i="28"/>
  <c r="J40" i="28"/>
  <c r="K39" i="28"/>
  <c r="L39" i="28"/>
  <c r="M39" i="28"/>
  <c r="N39" i="28"/>
  <c r="O39" i="28"/>
  <c r="P39" i="28"/>
  <c r="Q39" i="28"/>
  <c r="B39" i="28"/>
  <c r="C39" i="28"/>
  <c r="D39" i="28"/>
  <c r="E39" i="28"/>
  <c r="F39" i="28"/>
  <c r="G39" i="28"/>
  <c r="J39" i="27"/>
  <c r="K39" i="27"/>
  <c r="L39" i="27"/>
  <c r="M39" i="27"/>
  <c r="N39" i="27"/>
  <c r="O39" i="27"/>
  <c r="P39" i="27"/>
  <c r="Q39" i="27"/>
  <c r="B39" i="27"/>
  <c r="H39" i="27"/>
  <c r="C39" i="27"/>
  <c r="D39" i="27"/>
  <c r="E39" i="27"/>
  <c r="F39" i="27"/>
  <c r="G39" i="27"/>
  <c r="J39" i="26"/>
  <c r="K39" i="26"/>
  <c r="L39" i="26"/>
  <c r="M39" i="26"/>
  <c r="N39" i="26"/>
  <c r="O39" i="26"/>
  <c r="P39" i="26"/>
  <c r="Q39" i="26"/>
  <c r="B39" i="26"/>
  <c r="C39" i="26"/>
  <c r="D39" i="26"/>
  <c r="I40" i="26"/>
  <c r="E39" i="26"/>
  <c r="F39" i="26"/>
  <c r="G39" i="26"/>
  <c r="J39" i="25"/>
  <c r="K39" i="25"/>
  <c r="L39" i="25"/>
  <c r="M39" i="25"/>
  <c r="N39" i="25"/>
  <c r="O39" i="25"/>
  <c r="I40" i="25"/>
  <c r="P39" i="25"/>
  <c r="Q39" i="25"/>
  <c r="B39" i="25"/>
  <c r="C39" i="25"/>
  <c r="D39" i="25"/>
  <c r="E39" i="25"/>
  <c r="F39" i="25"/>
  <c r="G39" i="25"/>
  <c r="H39" i="25"/>
  <c r="K39" i="24"/>
  <c r="L39" i="24"/>
  <c r="M39" i="24"/>
  <c r="N39" i="24"/>
  <c r="O39" i="24"/>
  <c r="P39" i="24"/>
  <c r="Q39" i="24"/>
  <c r="B39" i="24"/>
  <c r="C39" i="24"/>
  <c r="D39" i="24"/>
  <c r="E39" i="24"/>
  <c r="F39" i="24"/>
  <c r="G39" i="24"/>
  <c r="H39" i="24"/>
  <c r="I39" i="24"/>
  <c r="J39" i="24"/>
  <c r="C39" i="23"/>
  <c r="D39" i="23"/>
  <c r="E39" i="23"/>
  <c r="F39" i="23"/>
  <c r="G39" i="23"/>
  <c r="H39" i="23"/>
  <c r="B40" i="23"/>
  <c r="I39" i="23"/>
  <c r="J39" i="23"/>
  <c r="K39" i="23"/>
  <c r="L39" i="23"/>
  <c r="M39" i="23"/>
  <c r="N39" i="23"/>
  <c r="O39" i="23"/>
  <c r="P39" i="23"/>
  <c r="Q39" i="23"/>
  <c r="D39" i="22"/>
  <c r="E39" i="22"/>
  <c r="F39" i="22"/>
  <c r="G39" i="22"/>
  <c r="H39" i="22"/>
  <c r="I39" i="22"/>
  <c r="J39" i="22"/>
  <c r="C40" i="22"/>
  <c r="K39" i="22"/>
  <c r="L39" i="22"/>
  <c r="M39" i="22"/>
  <c r="N39" i="22"/>
  <c r="O39" i="22"/>
  <c r="P39" i="22"/>
  <c r="Q39" i="22"/>
  <c r="B39" i="22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B39" i="21"/>
  <c r="D39" i="20"/>
  <c r="E39" i="20"/>
  <c r="F39" i="20"/>
  <c r="G39" i="20"/>
  <c r="H39" i="20"/>
  <c r="I39" i="20"/>
  <c r="J39" i="20"/>
  <c r="C39" i="20"/>
  <c r="K39" i="20"/>
  <c r="L39" i="20"/>
  <c r="M39" i="20"/>
  <c r="N39" i="20"/>
  <c r="O39" i="20"/>
  <c r="P39" i="20"/>
  <c r="Q39" i="20"/>
  <c r="B39" i="20"/>
  <c r="C40" i="19"/>
  <c r="D39" i="19"/>
  <c r="E39" i="19"/>
  <c r="F39" i="19"/>
  <c r="G39" i="19"/>
  <c r="H39" i="19"/>
  <c r="I39" i="19"/>
  <c r="K39" i="19"/>
  <c r="J39" i="19"/>
  <c r="L39" i="19"/>
  <c r="M39" i="19"/>
  <c r="N39" i="19"/>
  <c r="O39" i="19"/>
  <c r="P39" i="19"/>
  <c r="Q39" i="19"/>
  <c r="B39" i="19"/>
  <c r="F39" i="18"/>
  <c r="G39" i="18"/>
  <c r="H39" i="18"/>
  <c r="I39" i="18"/>
  <c r="J39" i="18"/>
  <c r="E40" i="18"/>
  <c r="K39" i="18"/>
  <c r="L39" i="18"/>
  <c r="M39" i="18"/>
  <c r="N39" i="18"/>
  <c r="O39" i="18"/>
  <c r="P39" i="18"/>
  <c r="Q39" i="18"/>
  <c r="B39" i="18"/>
  <c r="C39" i="18"/>
  <c r="D39" i="18"/>
  <c r="J39" i="15"/>
  <c r="J39" i="17"/>
  <c r="K39" i="17"/>
  <c r="L39" i="17"/>
  <c r="M39" i="17"/>
  <c r="N39" i="17"/>
  <c r="O39" i="17"/>
  <c r="I39" i="17"/>
  <c r="P39" i="17"/>
  <c r="Q39" i="17"/>
  <c r="B39" i="17"/>
  <c r="C39" i="17"/>
  <c r="D39" i="17"/>
  <c r="E39" i="17"/>
  <c r="F39" i="17"/>
  <c r="G39" i="17"/>
  <c r="H39" i="17"/>
  <c r="K39" i="16"/>
  <c r="L39" i="16"/>
  <c r="M39" i="16"/>
  <c r="N39" i="16"/>
  <c r="J39" i="16"/>
  <c r="O39" i="16"/>
  <c r="P39" i="16"/>
  <c r="Q39" i="16"/>
  <c r="B39" i="16"/>
  <c r="C39" i="16"/>
  <c r="I40" i="16"/>
  <c r="D39" i="16"/>
  <c r="E39" i="16"/>
  <c r="F39" i="16"/>
  <c r="G39" i="16"/>
  <c r="H39" i="16"/>
  <c r="K39" i="15"/>
  <c r="L39" i="15"/>
  <c r="M39" i="15"/>
  <c r="N39" i="15"/>
  <c r="O39" i="15"/>
  <c r="P39" i="15"/>
  <c r="Q39" i="15"/>
  <c r="B39" i="15"/>
  <c r="C39" i="15"/>
  <c r="D39" i="15"/>
  <c r="E39" i="15"/>
  <c r="F39" i="15"/>
  <c r="G39" i="15"/>
  <c r="H39" i="15"/>
  <c r="I39" i="15"/>
  <c r="J39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G39" i="14"/>
  <c r="H39" i="14"/>
  <c r="J39" i="13"/>
  <c r="K39" i="13"/>
  <c r="M39" i="13"/>
  <c r="N39" i="13"/>
  <c r="O39" i="13"/>
  <c r="P39" i="13"/>
  <c r="Q39" i="13"/>
  <c r="B39" i="13"/>
  <c r="C39" i="13"/>
  <c r="D39" i="13"/>
  <c r="E39" i="13"/>
  <c r="F39" i="13"/>
  <c r="G39" i="13"/>
  <c r="H39" i="13"/>
  <c r="I39" i="13"/>
  <c r="J39" i="12"/>
  <c r="K39" i="12"/>
  <c r="L39" i="12"/>
  <c r="M39" i="12"/>
  <c r="N39" i="12"/>
  <c r="O39" i="12"/>
  <c r="Q39" i="12"/>
  <c r="P39" i="12"/>
  <c r="B39" i="12"/>
  <c r="C39" i="12"/>
  <c r="D39" i="12"/>
  <c r="E39" i="12"/>
  <c r="F39" i="12"/>
  <c r="G39" i="12"/>
  <c r="H39" i="12"/>
  <c r="K39" i="11"/>
  <c r="I40" i="11"/>
  <c r="L39" i="11"/>
  <c r="M39" i="11"/>
  <c r="N39" i="11"/>
  <c r="O39" i="11"/>
  <c r="P39" i="11"/>
  <c r="Q39" i="11"/>
  <c r="J39" i="11"/>
  <c r="B39" i="11"/>
  <c r="C39" i="11"/>
  <c r="D39" i="11"/>
  <c r="E39" i="11"/>
  <c r="F39" i="11"/>
  <c r="G39" i="11"/>
  <c r="H39" i="11"/>
  <c r="J39" i="10"/>
  <c r="K39" i="10"/>
  <c r="M39" i="10"/>
  <c r="N39" i="10"/>
  <c r="O39" i="10"/>
  <c r="P39" i="10"/>
  <c r="Q39" i="10"/>
  <c r="B39" i="10"/>
  <c r="C39" i="10"/>
  <c r="L40" i="10"/>
  <c r="D39" i="10"/>
  <c r="E39" i="10"/>
  <c r="F39" i="10"/>
  <c r="G39" i="10"/>
  <c r="H39" i="10"/>
  <c r="I39" i="10"/>
  <c r="L39" i="9"/>
  <c r="M39" i="9"/>
  <c r="N39" i="9"/>
  <c r="O39" i="9"/>
  <c r="P39" i="9"/>
  <c r="Q39" i="9"/>
  <c r="B39" i="9"/>
  <c r="K40" i="9"/>
  <c r="C39" i="9"/>
  <c r="J39" i="9"/>
  <c r="D39" i="9"/>
  <c r="E39" i="9"/>
  <c r="F39" i="9"/>
  <c r="G39" i="9"/>
  <c r="H39" i="9"/>
  <c r="I39" i="9"/>
  <c r="J39" i="8"/>
  <c r="K39" i="8"/>
  <c r="L39" i="8"/>
  <c r="M39" i="8"/>
  <c r="N39" i="8"/>
  <c r="O39" i="8"/>
  <c r="P40" i="8"/>
  <c r="Q39" i="8"/>
  <c r="B39" i="8"/>
  <c r="C40" i="8"/>
  <c r="D39" i="8"/>
  <c r="F39" i="8"/>
  <c r="E39" i="8"/>
  <c r="G39" i="8"/>
  <c r="H39" i="8"/>
  <c r="I39" i="8"/>
  <c r="L39" i="3"/>
  <c r="M39" i="3"/>
  <c r="K39" i="3"/>
  <c r="N39" i="3"/>
  <c r="O39" i="3"/>
  <c r="P39" i="3"/>
  <c r="Q39" i="3"/>
  <c r="B39" i="3"/>
  <c r="C39" i="3"/>
  <c r="D39" i="3"/>
  <c r="E39" i="3"/>
  <c r="F39" i="3"/>
  <c r="G39" i="3"/>
  <c r="H39" i="3"/>
  <c r="I39" i="3"/>
  <c r="J39" i="3"/>
  <c r="M44" i="39"/>
  <c r="M43" i="39"/>
  <c r="M42" i="39"/>
  <c r="M41" i="39"/>
  <c r="N44" i="39"/>
  <c r="N43" i="39"/>
  <c r="N42" i="39"/>
  <c r="N41" i="39"/>
  <c r="O44" i="39"/>
  <c r="O43" i="39"/>
  <c r="O42" i="39"/>
  <c r="O41" i="39"/>
  <c r="P44" i="39"/>
  <c r="P43" i="39"/>
  <c r="P42" i="39"/>
  <c r="P41" i="39"/>
  <c r="Q44" i="39"/>
  <c r="Q43" i="39"/>
  <c r="Q42" i="39"/>
  <c r="Q41" i="39"/>
  <c r="B44" i="39"/>
  <c r="B43" i="39"/>
  <c r="B42" i="39"/>
  <c r="B41" i="39"/>
  <c r="C44" i="39"/>
  <c r="C43" i="39"/>
  <c r="C42" i="39"/>
  <c r="C41" i="39"/>
  <c r="D44" i="39"/>
  <c r="D43" i="39"/>
  <c r="D42" i="39"/>
  <c r="D41" i="39"/>
  <c r="E44" i="39"/>
  <c r="E43" i="39"/>
  <c r="E42" i="39"/>
  <c r="E41" i="39"/>
  <c r="F44" i="39"/>
  <c r="F43" i="39"/>
  <c r="F42" i="39"/>
  <c r="F41" i="39"/>
  <c r="L44" i="39"/>
  <c r="L43" i="39"/>
  <c r="L42" i="39"/>
  <c r="L41" i="39"/>
  <c r="G44" i="39"/>
  <c r="G43" i="39"/>
  <c r="G42" i="39"/>
  <c r="G41" i="39"/>
  <c r="H44" i="39"/>
  <c r="H43" i="39"/>
  <c r="H42" i="39"/>
  <c r="H41" i="39"/>
  <c r="I44" i="39"/>
  <c r="I43" i="39"/>
  <c r="I42" i="39"/>
  <c r="I41" i="39"/>
  <c r="J44" i="39"/>
  <c r="J43" i="39"/>
  <c r="J42" i="39"/>
  <c r="J41" i="39"/>
  <c r="K44" i="39"/>
  <c r="K43" i="39"/>
  <c r="K42" i="39"/>
  <c r="K41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F47" i="39" l="1"/>
  <c r="F46" i="39"/>
  <c r="H47" i="39"/>
  <c r="H46" i="39"/>
  <c r="K47" i="39"/>
  <c r="K46" i="39"/>
  <c r="O47" i="39"/>
  <c r="O46" i="39"/>
  <c r="B47" i="39"/>
  <c r="B46" i="39"/>
  <c r="E47" i="39"/>
  <c r="E46" i="39"/>
  <c r="G47" i="39"/>
  <c r="G46" i="39"/>
  <c r="J47" i="39"/>
  <c r="J46" i="39"/>
  <c r="N47" i="39"/>
  <c r="N46" i="39"/>
  <c r="Q47" i="39"/>
  <c r="Q46" i="39"/>
  <c r="D47" i="39"/>
  <c r="D46" i="39"/>
  <c r="L47" i="39"/>
  <c r="L46" i="39"/>
  <c r="P47" i="39"/>
  <c r="P46" i="39"/>
  <c r="I47" i="39"/>
  <c r="I46" i="39"/>
  <c r="C47" i="39"/>
  <c r="C46" i="39"/>
  <c r="M47" i="39"/>
  <c r="M46" i="39"/>
</calcChain>
</file>

<file path=xl/sharedStrings.xml><?xml version="1.0" encoding="utf-8"?>
<sst xmlns="http://schemas.openxmlformats.org/spreadsheetml/2006/main" count="3066" uniqueCount="804">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</sst>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9" borderId="0" xfId="0" applyFont="1" applyFill="1" applyAlignment="1">
      <alignment horizontal="left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U32" sqref="A9:U32"/>
      <selection pane="topRight" activeCell="U32" sqref="A9:U32"/>
      <selection pane="bottomLeft" activeCell="U32" sqref="A9:U32"/>
      <selection pane="bottomRight" activeCell="H28" sqref="H28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59</v>
      </c>
      <c r="B9" s="53">
        <v>28.14</v>
      </c>
      <c r="C9" s="53">
        <v>14.97</v>
      </c>
      <c r="D9" s="53">
        <v>29.15</v>
      </c>
      <c r="E9" s="53">
        <v>6.67</v>
      </c>
      <c r="F9" s="53">
        <v>5.27</v>
      </c>
      <c r="G9" s="53">
        <v>80.03</v>
      </c>
      <c r="H9" s="53">
        <v>37.83</v>
      </c>
      <c r="I9" s="53">
        <v>4.9800000000000004</v>
      </c>
      <c r="J9" s="53">
        <v>0.65</v>
      </c>
      <c r="K9" s="53">
        <v>125.42</v>
      </c>
      <c r="L9" s="53">
        <v>18.75</v>
      </c>
      <c r="M9" s="53">
        <v>65.55</v>
      </c>
      <c r="N9" s="53">
        <v>32.1</v>
      </c>
      <c r="O9" s="53">
        <v>0</v>
      </c>
      <c r="P9" s="53">
        <v>1.62</v>
      </c>
      <c r="Q9" s="53">
        <v>9.69</v>
      </c>
      <c r="R9" s="43"/>
      <c r="S9" s="43"/>
      <c r="T9" s="43"/>
      <c r="U9" s="43"/>
    </row>
    <row r="10" spans="1:21" s="11" customFormat="1" x14ac:dyDescent="0.25">
      <c r="A10" s="52" t="s">
        <v>60</v>
      </c>
      <c r="B10" s="53">
        <v>26.46</v>
      </c>
      <c r="C10" s="53">
        <v>14.48</v>
      </c>
      <c r="D10" s="53">
        <v>27.43</v>
      </c>
      <c r="E10" s="53">
        <v>5.82</v>
      </c>
      <c r="F10" s="53">
        <v>3.6</v>
      </c>
      <c r="G10" s="53">
        <v>73.430000000000007</v>
      </c>
      <c r="H10" s="53">
        <v>35.47</v>
      </c>
      <c r="I10" s="53">
        <v>4.6399999999999997</v>
      </c>
      <c r="J10" s="53">
        <v>0.54</v>
      </c>
      <c r="K10" s="53">
        <v>127.83</v>
      </c>
      <c r="L10" s="53">
        <v>18.55</v>
      </c>
      <c r="M10" s="53">
        <v>62.94</v>
      </c>
      <c r="N10" s="53">
        <v>32.200000000000003</v>
      </c>
      <c r="O10" s="53">
        <v>0</v>
      </c>
      <c r="P10" s="53">
        <v>1.36</v>
      </c>
      <c r="Q10" s="53">
        <v>9.68</v>
      </c>
      <c r="R10" s="43"/>
      <c r="S10" s="43"/>
      <c r="T10" s="43"/>
      <c r="U10" s="43"/>
    </row>
    <row r="11" spans="1:21" s="11" customFormat="1" x14ac:dyDescent="0.25">
      <c r="A11" s="52" t="s">
        <v>61</v>
      </c>
      <c r="B11" s="53">
        <v>23</v>
      </c>
      <c r="C11" s="53">
        <v>16.82</v>
      </c>
      <c r="D11" s="53">
        <v>25.92</v>
      </c>
      <c r="E11" s="53">
        <v>5.07</v>
      </c>
      <c r="F11" s="53">
        <v>3.05</v>
      </c>
      <c r="G11" s="53">
        <v>63.22</v>
      </c>
      <c r="H11" s="53">
        <v>31.99</v>
      </c>
      <c r="I11" s="53">
        <v>4.3899999999999997</v>
      </c>
      <c r="J11" s="53">
        <v>0.59</v>
      </c>
      <c r="K11" s="53">
        <v>347.28</v>
      </c>
      <c r="L11" s="53">
        <v>18.28</v>
      </c>
      <c r="M11" s="53">
        <v>69.58</v>
      </c>
      <c r="N11" s="53">
        <v>32.299999999999997</v>
      </c>
      <c r="O11" s="53">
        <v>0</v>
      </c>
      <c r="P11" s="53">
        <v>1.19</v>
      </c>
      <c r="Q11" s="53">
        <v>9.66</v>
      </c>
      <c r="R11" s="43"/>
      <c r="S11" s="43"/>
      <c r="T11" s="43"/>
      <c r="U11" s="43"/>
    </row>
    <row r="12" spans="1:21" s="11" customFormat="1" x14ac:dyDescent="0.25">
      <c r="A12" s="52" t="s">
        <v>62</v>
      </c>
      <c r="B12" s="53">
        <v>18.71</v>
      </c>
      <c r="C12" s="53">
        <v>17.36</v>
      </c>
      <c r="D12" s="53">
        <v>23.5</v>
      </c>
      <c r="E12" s="53">
        <v>4.82</v>
      </c>
      <c r="F12" s="53">
        <v>2.82</v>
      </c>
      <c r="G12" s="53">
        <v>55.63</v>
      </c>
      <c r="H12" s="53">
        <v>40.65</v>
      </c>
      <c r="I12" s="53">
        <v>4.04</v>
      </c>
      <c r="J12" s="53">
        <v>0.64</v>
      </c>
      <c r="K12" s="53">
        <v>348.55</v>
      </c>
      <c r="L12" s="53">
        <v>17.21</v>
      </c>
      <c r="M12" s="53">
        <v>82.82</v>
      </c>
      <c r="N12" s="53">
        <v>32</v>
      </c>
      <c r="O12" s="53">
        <v>0</v>
      </c>
      <c r="P12" s="53">
        <v>1.05</v>
      </c>
      <c r="Q12" s="53">
        <v>9.65</v>
      </c>
      <c r="R12" s="43"/>
      <c r="S12" s="43"/>
      <c r="T12" s="43"/>
      <c r="U12" s="43"/>
    </row>
    <row r="13" spans="1:21" s="11" customFormat="1" x14ac:dyDescent="0.25">
      <c r="A13" s="52" t="s">
        <v>63</v>
      </c>
      <c r="B13" s="53">
        <v>17.7</v>
      </c>
      <c r="C13" s="53">
        <v>17.829999999999998</v>
      </c>
      <c r="D13" s="53">
        <v>23.05</v>
      </c>
      <c r="E13" s="53">
        <v>5.19</v>
      </c>
      <c r="F13" s="53">
        <v>3.26</v>
      </c>
      <c r="G13" s="53">
        <v>75.81</v>
      </c>
      <c r="H13" s="53">
        <v>40.549999999999997</v>
      </c>
      <c r="I13" s="53">
        <v>4.0199999999999996</v>
      </c>
      <c r="J13" s="53">
        <v>0.77</v>
      </c>
      <c r="K13" s="53">
        <v>345.44</v>
      </c>
      <c r="L13" s="53">
        <v>16.63</v>
      </c>
      <c r="M13" s="53">
        <v>85.48</v>
      </c>
      <c r="N13" s="53">
        <v>31.7</v>
      </c>
      <c r="O13" s="53">
        <v>0</v>
      </c>
      <c r="P13" s="53">
        <v>1.1200000000000001</v>
      </c>
      <c r="Q13" s="53">
        <v>9.65</v>
      </c>
      <c r="R13" s="43"/>
      <c r="S13" s="43"/>
      <c r="T13" s="43"/>
      <c r="U13" s="43"/>
    </row>
    <row r="14" spans="1:21" s="11" customFormat="1" x14ac:dyDescent="0.25">
      <c r="A14" s="52" t="s">
        <v>64</v>
      </c>
      <c r="B14" s="53">
        <v>17.239999999999998</v>
      </c>
      <c r="C14" s="53">
        <v>17.41</v>
      </c>
      <c r="D14" s="53">
        <v>22.44</v>
      </c>
      <c r="E14" s="53">
        <v>5.37</v>
      </c>
      <c r="F14" s="53">
        <v>2.96</v>
      </c>
      <c r="G14" s="53">
        <v>84.63</v>
      </c>
      <c r="H14" s="53">
        <v>39.770000000000003</v>
      </c>
      <c r="I14" s="53">
        <v>3.69</v>
      </c>
      <c r="J14" s="53">
        <v>0.28000000000000003</v>
      </c>
      <c r="K14" s="53">
        <v>307.76</v>
      </c>
      <c r="L14" s="53">
        <v>16.489999999999998</v>
      </c>
      <c r="M14" s="53">
        <v>84.97</v>
      </c>
      <c r="N14" s="53">
        <v>32</v>
      </c>
      <c r="O14" s="53">
        <v>0</v>
      </c>
      <c r="P14" s="53">
        <v>1.1200000000000001</v>
      </c>
      <c r="Q14" s="53">
        <v>9.65</v>
      </c>
      <c r="R14" s="43"/>
      <c r="S14" s="43"/>
      <c r="T14" s="43"/>
      <c r="U14" s="43"/>
    </row>
    <row r="15" spans="1:21" s="11" customFormat="1" x14ac:dyDescent="0.25">
      <c r="A15" s="52" t="s">
        <v>65</v>
      </c>
      <c r="B15" s="53">
        <v>17.149999999999999</v>
      </c>
      <c r="C15" s="53">
        <v>20.78</v>
      </c>
      <c r="D15" s="53">
        <v>24.09</v>
      </c>
      <c r="E15" s="53">
        <v>5.78</v>
      </c>
      <c r="F15" s="53">
        <v>3.43</v>
      </c>
      <c r="G15" s="53">
        <v>86.45</v>
      </c>
      <c r="H15" s="53">
        <v>37.81</v>
      </c>
      <c r="I15" s="53">
        <v>3.72</v>
      </c>
      <c r="J15" s="53">
        <v>0.91</v>
      </c>
      <c r="K15" s="53">
        <v>349.4</v>
      </c>
      <c r="L15" s="53">
        <v>16.66</v>
      </c>
      <c r="M15" s="53">
        <v>85.37</v>
      </c>
      <c r="N15" s="53">
        <v>48.2</v>
      </c>
      <c r="O15" s="53">
        <v>0</v>
      </c>
      <c r="P15" s="53">
        <v>0.97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66</v>
      </c>
      <c r="B16" s="53">
        <v>22.1</v>
      </c>
      <c r="C16" s="53">
        <v>23.29</v>
      </c>
      <c r="D16" s="53">
        <v>27.88</v>
      </c>
      <c r="E16" s="53">
        <v>5.48</v>
      </c>
      <c r="F16" s="53">
        <v>3.81</v>
      </c>
      <c r="G16" s="53">
        <v>82.19</v>
      </c>
      <c r="H16" s="53">
        <v>36.049999999999997</v>
      </c>
      <c r="I16" s="53">
        <v>3.83</v>
      </c>
      <c r="J16" s="53">
        <v>1.23</v>
      </c>
      <c r="K16" s="53">
        <v>350.4</v>
      </c>
      <c r="L16" s="53">
        <v>17.78</v>
      </c>
      <c r="M16" s="53">
        <v>84.83</v>
      </c>
      <c r="N16" s="53">
        <v>100.1</v>
      </c>
      <c r="O16" s="53">
        <v>0</v>
      </c>
      <c r="P16" s="53">
        <v>1.07</v>
      </c>
      <c r="Q16" s="53">
        <v>9.66</v>
      </c>
      <c r="R16" s="43"/>
      <c r="S16" s="43"/>
      <c r="T16" s="43"/>
      <c r="U16" s="43"/>
    </row>
    <row r="17" spans="1:21" s="11" customFormat="1" x14ac:dyDescent="0.25">
      <c r="A17" s="52" t="s">
        <v>67</v>
      </c>
      <c r="B17" s="53">
        <v>24.56</v>
      </c>
      <c r="C17" s="53">
        <v>18.64</v>
      </c>
      <c r="D17" s="53">
        <v>28.79</v>
      </c>
      <c r="E17" s="53">
        <v>5.94</v>
      </c>
      <c r="F17" s="53">
        <v>3.72</v>
      </c>
      <c r="G17" s="53">
        <v>135.58000000000001</v>
      </c>
      <c r="H17" s="53">
        <v>34.729999999999997</v>
      </c>
      <c r="I17" s="53">
        <v>4.21</v>
      </c>
      <c r="J17" s="53">
        <v>1.07</v>
      </c>
      <c r="K17" s="53">
        <v>346.58</v>
      </c>
      <c r="L17" s="53">
        <v>20.98</v>
      </c>
      <c r="M17" s="53">
        <v>74.22</v>
      </c>
      <c r="N17" s="53">
        <v>251.1</v>
      </c>
      <c r="O17" s="53">
        <v>0</v>
      </c>
      <c r="P17" s="53">
        <v>1.29</v>
      </c>
      <c r="Q17" s="53">
        <v>9.68</v>
      </c>
      <c r="R17" s="43"/>
      <c r="S17" s="43"/>
      <c r="T17" s="43"/>
      <c r="U17" s="43"/>
    </row>
    <row r="18" spans="1:21" s="11" customFormat="1" x14ac:dyDescent="0.25">
      <c r="A18" s="52" t="s">
        <v>68</v>
      </c>
      <c r="B18" s="53">
        <v>24.96</v>
      </c>
      <c r="C18" s="53">
        <v>17.899999999999999</v>
      </c>
      <c r="D18" s="53">
        <v>28.78</v>
      </c>
      <c r="E18" s="53">
        <v>6.28</v>
      </c>
      <c r="F18" s="53">
        <v>3.73</v>
      </c>
      <c r="G18" s="53">
        <v>128.79</v>
      </c>
      <c r="H18" s="53">
        <v>37.47</v>
      </c>
      <c r="I18" s="53">
        <v>4.3099999999999996</v>
      </c>
      <c r="J18" s="53">
        <v>1</v>
      </c>
      <c r="K18" s="53">
        <v>124.75</v>
      </c>
      <c r="L18" s="53">
        <v>21.49</v>
      </c>
      <c r="M18" s="53">
        <v>62.53</v>
      </c>
      <c r="N18" s="53">
        <v>283.3</v>
      </c>
      <c r="O18" s="53">
        <v>0</v>
      </c>
      <c r="P18" s="53">
        <v>1.32</v>
      </c>
      <c r="Q18" s="53">
        <v>9.68</v>
      </c>
      <c r="R18" s="43"/>
      <c r="S18" s="43"/>
      <c r="T18" s="43"/>
      <c r="U18" s="43"/>
    </row>
    <row r="19" spans="1:21" s="11" customFormat="1" x14ac:dyDescent="0.25">
      <c r="A19" s="52" t="s">
        <v>69</v>
      </c>
      <c r="B19" s="53">
        <v>23.09</v>
      </c>
      <c r="C19" s="53">
        <v>18.16</v>
      </c>
      <c r="D19" s="53">
        <v>27.12</v>
      </c>
      <c r="E19" s="53">
        <v>5.84</v>
      </c>
      <c r="F19" s="53">
        <v>3.32</v>
      </c>
      <c r="G19" s="53">
        <v>81.33</v>
      </c>
      <c r="H19" s="53">
        <v>36.53</v>
      </c>
      <c r="I19" s="53">
        <v>4.28</v>
      </c>
      <c r="J19" s="53">
        <v>1.1399999999999999</v>
      </c>
      <c r="K19" s="53">
        <v>128.37</v>
      </c>
      <c r="L19" s="53">
        <v>23.34</v>
      </c>
      <c r="M19" s="53">
        <v>57.8</v>
      </c>
      <c r="N19" s="53">
        <v>501.4</v>
      </c>
      <c r="O19" s="53">
        <v>0</v>
      </c>
      <c r="P19" s="53">
        <v>1.23</v>
      </c>
      <c r="Q19" s="53">
        <v>9.67</v>
      </c>
      <c r="R19" s="43"/>
      <c r="S19" s="43"/>
      <c r="T19" s="43"/>
      <c r="U19" s="43"/>
    </row>
    <row r="20" spans="1:21" s="11" customFormat="1" x14ac:dyDescent="0.25">
      <c r="A20" s="52" t="s">
        <v>70</v>
      </c>
      <c r="B20" s="53">
        <v>18.95</v>
      </c>
      <c r="C20" s="53">
        <v>21.16</v>
      </c>
      <c r="D20" s="53">
        <v>24.83</v>
      </c>
      <c r="E20" s="53">
        <v>6.67</v>
      </c>
      <c r="F20" s="53">
        <v>4.2</v>
      </c>
      <c r="G20" s="53">
        <v>0</v>
      </c>
      <c r="H20" s="53">
        <v>33.729999999999997</v>
      </c>
      <c r="I20" s="53">
        <v>4.1500000000000004</v>
      </c>
      <c r="J20" s="53">
        <v>1.81</v>
      </c>
      <c r="K20" s="53">
        <v>124.52</v>
      </c>
      <c r="L20" s="53">
        <v>24.25</v>
      </c>
      <c r="M20" s="53">
        <v>49.81</v>
      </c>
      <c r="N20" s="53">
        <v>542.4</v>
      </c>
      <c r="O20" s="53">
        <v>0</v>
      </c>
      <c r="P20" s="53">
        <v>1.1100000000000001</v>
      </c>
      <c r="Q20" s="53">
        <v>9.66</v>
      </c>
      <c r="R20" s="43"/>
      <c r="S20" s="43"/>
      <c r="T20" s="43"/>
      <c r="U20" s="43"/>
    </row>
    <row r="21" spans="1:21" s="11" customFormat="1" x14ac:dyDescent="0.25">
      <c r="A21" s="52" t="s">
        <v>71</v>
      </c>
      <c r="B21" s="53">
        <v>13.46</v>
      </c>
      <c r="C21" s="53">
        <v>23.1</v>
      </c>
      <c r="D21" s="53">
        <v>21.45</v>
      </c>
      <c r="E21" s="53">
        <v>11.55</v>
      </c>
      <c r="F21" s="53">
        <v>6.35</v>
      </c>
      <c r="G21" s="53">
        <v>44.38</v>
      </c>
      <c r="H21" s="53">
        <v>31.92</v>
      </c>
      <c r="I21" s="53">
        <v>3.93</v>
      </c>
      <c r="J21" s="53">
        <v>1.93</v>
      </c>
      <c r="K21" s="53">
        <v>124.86</v>
      </c>
      <c r="L21" s="53">
        <v>25.99</v>
      </c>
      <c r="M21" s="53">
        <v>41.1</v>
      </c>
      <c r="N21" s="53">
        <v>534.29999999999995</v>
      </c>
      <c r="O21" s="53">
        <v>0</v>
      </c>
      <c r="P21" s="53">
        <v>1.02</v>
      </c>
      <c r="Q21" s="53">
        <v>9.65</v>
      </c>
      <c r="R21" s="43"/>
      <c r="S21" s="43"/>
      <c r="T21" s="43"/>
      <c r="U21" s="43"/>
    </row>
    <row r="22" spans="1:21" s="11" customFormat="1" x14ac:dyDescent="0.25">
      <c r="A22" s="52" t="s">
        <v>72</v>
      </c>
      <c r="B22" s="53">
        <v>10.4</v>
      </c>
      <c r="C22" s="53">
        <v>23.6</v>
      </c>
      <c r="D22" s="53">
        <v>19.95</v>
      </c>
      <c r="E22" s="53">
        <v>19.28</v>
      </c>
      <c r="F22" s="53">
        <v>10.8</v>
      </c>
      <c r="G22" s="53">
        <v>56.6</v>
      </c>
      <c r="H22" s="53">
        <v>26.24</v>
      </c>
      <c r="I22" s="53">
        <v>3.62</v>
      </c>
      <c r="J22" s="53">
        <v>1.27</v>
      </c>
      <c r="K22" s="53">
        <v>122.07</v>
      </c>
      <c r="L22" s="53">
        <v>25.53</v>
      </c>
      <c r="M22" s="53">
        <v>38.29</v>
      </c>
      <c r="N22" s="53">
        <v>418.6</v>
      </c>
      <c r="O22" s="53">
        <v>0</v>
      </c>
      <c r="P22" s="53">
        <v>0.95</v>
      </c>
      <c r="Q22" s="53">
        <v>9.64</v>
      </c>
      <c r="R22" s="43"/>
      <c r="S22" s="43"/>
      <c r="T22" s="43"/>
      <c r="U22" s="43"/>
    </row>
    <row r="23" spans="1:21" s="11" customFormat="1" x14ac:dyDescent="0.25">
      <c r="A23" s="52" t="s">
        <v>73</v>
      </c>
      <c r="B23" s="53">
        <v>9.74</v>
      </c>
      <c r="C23" s="53">
        <v>27.26</v>
      </c>
      <c r="D23" s="53">
        <v>21.59</v>
      </c>
      <c r="E23" s="53">
        <v>21.14</v>
      </c>
      <c r="F23" s="53">
        <v>11.95</v>
      </c>
      <c r="G23" s="53">
        <v>61.97</v>
      </c>
      <c r="H23" s="53">
        <v>23.17</v>
      </c>
      <c r="I23" s="53">
        <v>3.38</v>
      </c>
      <c r="J23" s="53">
        <v>0.67</v>
      </c>
      <c r="K23" s="53">
        <v>119.91</v>
      </c>
      <c r="L23" s="53">
        <v>25.3</v>
      </c>
      <c r="M23" s="53">
        <v>39.78</v>
      </c>
      <c r="N23" s="53">
        <v>170.2</v>
      </c>
      <c r="O23" s="53">
        <v>0</v>
      </c>
      <c r="P23" s="53">
        <v>0.92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74</v>
      </c>
      <c r="B24" s="53">
        <v>7.16</v>
      </c>
      <c r="C24" s="53">
        <v>25.39</v>
      </c>
      <c r="D24" s="53">
        <v>18.55</v>
      </c>
      <c r="E24" s="53">
        <v>13.83</v>
      </c>
      <c r="F24" s="53">
        <v>9.7899999999999991</v>
      </c>
      <c r="G24" s="53">
        <v>58.65</v>
      </c>
      <c r="H24" s="53">
        <v>23.4</v>
      </c>
      <c r="I24" s="53">
        <v>3.21</v>
      </c>
      <c r="J24" s="53">
        <v>1.34</v>
      </c>
      <c r="K24" s="53">
        <v>125.15</v>
      </c>
      <c r="L24" s="53">
        <v>24.5</v>
      </c>
      <c r="M24" s="53">
        <v>44.98</v>
      </c>
      <c r="N24" s="53">
        <v>94.8</v>
      </c>
      <c r="O24" s="53">
        <v>0</v>
      </c>
      <c r="P24" s="53">
        <v>0.82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75</v>
      </c>
      <c r="B25" s="53">
        <v>6.61</v>
      </c>
      <c r="C25" s="53">
        <v>28.61</v>
      </c>
      <c r="D25" s="53">
        <v>19.84</v>
      </c>
      <c r="E25" s="53">
        <v>14.95</v>
      </c>
      <c r="F25" s="53">
        <v>13.06</v>
      </c>
      <c r="G25" s="53">
        <v>44.04</v>
      </c>
      <c r="H25" s="53">
        <v>22.97</v>
      </c>
      <c r="I25" s="53">
        <v>3</v>
      </c>
      <c r="J25" s="53">
        <v>0.96</v>
      </c>
      <c r="K25" s="53">
        <v>114.5</v>
      </c>
      <c r="L25" s="53">
        <v>23.66</v>
      </c>
      <c r="M25" s="53">
        <v>48.63</v>
      </c>
      <c r="N25" s="53">
        <v>66.3</v>
      </c>
      <c r="O25" s="53">
        <v>0</v>
      </c>
      <c r="P25" s="53">
        <v>0.89</v>
      </c>
      <c r="Q25" s="53">
        <v>9.59</v>
      </c>
      <c r="R25" s="43"/>
      <c r="S25" s="43"/>
      <c r="T25" s="43"/>
      <c r="U25" s="43"/>
    </row>
    <row r="26" spans="1:21" s="11" customFormat="1" x14ac:dyDescent="0.25">
      <c r="A26" s="52" t="s">
        <v>76</v>
      </c>
      <c r="B26" s="53">
        <v>12.13</v>
      </c>
      <c r="C26" s="53">
        <v>35.880000000000003</v>
      </c>
      <c r="D26" s="53">
        <v>27.23</v>
      </c>
      <c r="E26" s="53">
        <v>17.010000000000002</v>
      </c>
      <c r="F26" s="53">
        <v>9.8699999999999992</v>
      </c>
      <c r="G26" s="53">
        <v>40.450000000000003</v>
      </c>
      <c r="H26" s="53">
        <v>23.01</v>
      </c>
      <c r="I26" s="53">
        <v>2.99</v>
      </c>
      <c r="J26" s="53">
        <v>0.24</v>
      </c>
      <c r="K26" s="53">
        <v>77.239999999999995</v>
      </c>
      <c r="L26" s="53">
        <v>22.49</v>
      </c>
      <c r="M26" s="53">
        <v>56.22</v>
      </c>
      <c r="N26" s="53">
        <v>35.6</v>
      </c>
      <c r="O26" s="53">
        <v>0</v>
      </c>
      <c r="P26" s="53">
        <v>1.25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77</v>
      </c>
      <c r="B27" s="53">
        <v>7.72</v>
      </c>
      <c r="C27" s="53">
        <v>31.67</v>
      </c>
      <c r="D27" s="53">
        <v>20.75</v>
      </c>
      <c r="E27" s="53">
        <v>14.77</v>
      </c>
      <c r="F27" s="53">
        <v>9.06</v>
      </c>
      <c r="G27" s="53">
        <v>64.53</v>
      </c>
      <c r="H27" s="53">
        <v>23.32</v>
      </c>
      <c r="I27" s="53">
        <v>3.24</v>
      </c>
      <c r="J27" s="53">
        <v>0.35</v>
      </c>
      <c r="K27" s="53">
        <v>113.61</v>
      </c>
      <c r="L27" s="53">
        <v>21.13</v>
      </c>
      <c r="M27" s="53">
        <v>55.71</v>
      </c>
      <c r="N27" s="53">
        <v>31.7</v>
      </c>
      <c r="O27" s="53">
        <v>0</v>
      </c>
      <c r="P27" s="53">
        <v>1.1100000000000001</v>
      </c>
      <c r="Q27" s="53">
        <v>9.64</v>
      </c>
      <c r="R27" s="43"/>
      <c r="S27" s="43"/>
      <c r="T27" s="43"/>
      <c r="U27" s="43"/>
    </row>
    <row r="28" spans="1:21" s="11" customFormat="1" x14ac:dyDescent="0.25">
      <c r="A28" s="52" t="s">
        <v>78</v>
      </c>
      <c r="B28" s="53">
        <v>8.25</v>
      </c>
      <c r="C28" s="53">
        <v>26.22</v>
      </c>
      <c r="D28" s="53">
        <v>19.579999999999998</v>
      </c>
      <c r="E28" s="53">
        <v>8.0299999999999994</v>
      </c>
      <c r="F28" s="53">
        <v>5.49</v>
      </c>
      <c r="G28" s="53">
        <v>65.48</v>
      </c>
      <c r="H28" s="53">
        <v>25.29</v>
      </c>
      <c r="I28" s="53">
        <v>3.22</v>
      </c>
      <c r="J28" s="53">
        <v>0.51</v>
      </c>
      <c r="K28" s="53">
        <v>121.38</v>
      </c>
      <c r="L28" s="53">
        <v>20.77</v>
      </c>
      <c r="M28" s="53">
        <v>60.85</v>
      </c>
      <c r="N28" s="53">
        <v>31.8</v>
      </c>
      <c r="O28" s="53">
        <v>0</v>
      </c>
      <c r="P28" s="53">
        <v>0.97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79</v>
      </c>
      <c r="B29" s="53">
        <v>9.49</v>
      </c>
      <c r="C29" s="53">
        <v>28.72</v>
      </c>
      <c r="D29" s="53">
        <v>21.15</v>
      </c>
      <c r="E29" s="53">
        <v>6.86</v>
      </c>
      <c r="F29" s="53">
        <v>3.11</v>
      </c>
      <c r="G29" s="53">
        <v>74.099999999999994</v>
      </c>
      <c r="H29" s="53">
        <v>29.3</v>
      </c>
      <c r="I29" s="53">
        <v>3.24</v>
      </c>
      <c r="J29" s="53">
        <v>1.03</v>
      </c>
      <c r="K29" s="53">
        <v>112.93</v>
      </c>
      <c r="L29" s="53">
        <v>20.38</v>
      </c>
      <c r="M29" s="53">
        <v>72.349999999999994</v>
      </c>
      <c r="N29" s="53">
        <v>31.7</v>
      </c>
      <c r="O29" s="53">
        <v>0</v>
      </c>
      <c r="P29" s="53">
        <v>1.02</v>
      </c>
      <c r="Q29" s="53">
        <v>9.64</v>
      </c>
      <c r="R29" s="43"/>
      <c r="S29" s="43"/>
      <c r="T29" s="43"/>
      <c r="U29" s="43"/>
    </row>
    <row r="30" spans="1:21" s="11" customFormat="1" x14ac:dyDescent="0.25">
      <c r="A30" s="52" t="s">
        <v>80</v>
      </c>
      <c r="B30" s="53">
        <v>9.61</v>
      </c>
      <c r="C30" s="53">
        <v>23.29</v>
      </c>
      <c r="D30" s="53">
        <v>19.28</v>
      </c>
      <c r="E30" s="53">
        <v>5.78</v>
      </c>
      <c r="F30" s="53">
        <v>4.32</v>
      </c>
      <c r="G30" s="53">
        <v>71.77</v>
      </c>
      <c r="H30" s="53">
        <v>28.71</v>
      </c>
      <c r="I30" s="53">
        <v>3.23</v>
      </c>
      <c r="J30" s="53">
        <v>0.96</v>
      </c>
      <c r="K30" s="53">
        <v>182.44</v>
      </c>
      <c r="L30" s="53">
        <v>19.829999999999998</v>
      </c>
      <c r="M30" s="53">
        <v>82.22</v>
      </c>
      <c r="N30" s="53">
        <v>32</v>
      </c>
      <c r="O30" s="53">
        <v>0</v>
      </c>
      <c r="P30" s="53">
        <v>1.07</v>
      </c>
      <c r="Q30" s="53">
        <v>9.65</v>
      </c>
      <c r="R30" s="43"/>
      <c r="S30" s="43"/>
      <c r="T30" s="43"/>
      <c r="U30" s="43"/>
    </row>
    <row r="31" spans="1:21" s="11" customFormat="1" x14ac:dyDescent="0.25">
      <c r="A31" s="52" t="s">
        <v>81</v>
      </c>
      <c r="B31" s="53">
        <v>9.56</v>
      </c>
      <c r="C31" s="53">
        <v>22.48</v>
      </c>
      <c r="D31" s="53">
        <v>18.75</v>
      </c>
      <c r="E31" s="53">
        <v>6.14</v>
      </c>
      <c r="F31" s="53">
        <v>4.66</v>
      </c>
      <c r="G31" s="53">
        <v>60.39</v>
      </c>
      <c r="H31" s="53">
        <v>26.53</v>
      </c>
      <c r="I31" s="53">
        <v>3.2</v>
      </c>
      <c r="J31" s="53">
        <v>1.1399999999999999</v>
      </c>
      <c r="K31" s="53">
        <v>98.94</v>
      </c>
      <c r="L31" s="53">
        <v>19.05</v>
      </c>
      <c r="M31" s="53">
        <v>88.64</v>
      </c>
      <c r="N31" s="53">
        <v>31.7</v>
      </c>
      <c r="O31" s="53">
        <v>0</v>
      </c>
      <c r="P31" s="53">
        <v>1.08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82</v>
      </c>
      <c r="B32" s="53">
        <v>9.76</v>
      </c>
      <c r="C32" s="53">
        <v>21.59</v>
      </c>
      <c r="D32" s="53">
        <v>18.57</v>
      </c>
      <c r="E32" s="53">
        <v>5.59</v>
      </c>
      <c r="F32" s="53">
        <v>3.29</v>
      </c>
      <c r="G32" s="53">
        <v>50.34</v>
      </c>
      <c r="H32" s="53">
        <v>24.99</v>
      </c>
      <c r="I32" s="53">
        <v>3.11</v>
      </c>
      <c r="J32" s="53">
        <v>0.74</v>
      </c>
      <c r="K32" s="53">
        <v>204.94</v>
      </c>
      <c r="L32" s="53">
        <v>18.309999999999999</v>
      </c>
      <c r="M32" s="53">
        <v>89.97</v>
      </c>
      <c r="N32" s="53">
        <v>31.9</v>
      </c>
      <c r="O32" s="53">
        <v>0</v>
      </c>
      <c r="P32" s="53">
        <v>1.04</v>
      </c>
      <c r="Q32" s="53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6.61</v>
      </c>
      <c r="C34" s="28">
        <f t="shared" si="0"/>
        <v>14.48</v>
      </c>
      <c r="D34" s="28">
        <f t="shared" si="0"/>
        <v>18.55</v>
      </c>
      <c r="E34" s="28">
        <f t="shared" si="0"/>
        <v>4.82</v>
      </c>
      <c r="F34" s="28">
        <f t="shared" si="0"/>
        <v>2.82</v>
      </c>
      <c r="G34" s="28">
        <f t="shared" si="0"/>
        <v>0</v>
      </c>
      <c r="H34" s="28">
        <f t="shared" si="0"/>
        <v>22.97</v>
      </c>
      <c r="I34" s="28">
        <f t="shared" si="0"/>
        <v>2.99</v>
      </c>
      <c r="J34" s="28">
        <f t="shared" si="0"/>
        <v>0.24</v>
      </c>
      <c r="K34" s="28">
        <f t="shared" si="0"/>
        <v>77.239999999999995</v>
      </c>
      <c r="L34" s="28">
        <f t="shared" si="0"/>
        <v>16.489999999999998</v>
      </c>
      <c r="M34" s="28">
        <f t="shared" si="0"/>
        <v>38.29</v>
      </c>
      <c r="N34" s="28">
        <f t="shared" si="0"/>
        <v>31.7</v>
      </c>
      <c r="O34" s="28">
        <f t="shared" si="0"/>
        <v>0</v>
      </c>
      <c r="P34" s="28">
        <f t="shared" si="0"/>
        <v>0.82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28.14</v>
      </c>
      <c r="C35" s="29">
        <f t="shared" si="1"/>
        <v>35.880000000000003</v>
      </c>
      <c r="D35" s="29">
        <f t="shared" si="1"/>
        <v>29.15</v>
      </c>
      <c r="E35" s="29">
        <f t="shared" si="1"/>
        <v>21.14</v>
      </c>
      <c r="F35" s="29">
        <f t="shared" si="1"/>
        <v>13.06</v>
      </c>
      <c r="G35" s="29">
        <f t="shared" si="1"/>
        <v>135.58000000000001</v>
      </c>
      <c r="H35" s="29">
        <f t="shared" si="1"/>
        <v>40.65</v>
      </c>
      <c r="I35" s="29">
        <f t="shared" si="1"/>
        <v>4.9800000000000004</v>
      </c>
      <c r="J35" s="29">
        <f t="shared" si="1"/>
        <v>1.93</v>
      </c>
      <c r="K35" s="29">
        <f t="shared" si="1"/>
        <v>350.4</v>
      </c>
      <c r="L35" s="29">
        <f t="shared" si="1"/>
        <v>25.99</v>
      </c>
      <c r="M35" s="29">
        <f t="shared" si="1"/>
        <v>89.97</v>
      </c>
      <c r="N35" s="29">
        <f t="shared" si="1"/>
        <v>542.4</v>
      </c>
      <c r="O35" s="29">
        <f t="shared" si="1"/>
        <v>0</v>
      </c>
      <c r="P35" s="29">
        <f t="shared" si="1"/>
        <v>1.62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15.664583333333335</v>
      </c>
      <c r="C36" s="28">
        <f t="shared" si="2"/>
        <v>22.358750000000001</v>
      </c>
      <c r="D36" s="28">
        <f t="shared" si="2"/>
        <v>23.31958333333333</v>
      </c>
      <c r="E36" s="28">
        <f t="shared" si="2"/>
        <v>8.9108333333333345</v>
      </c>
      <c r="F36" s="28">
        <f t="shared" si="2"/>
        <v>5.6216666666666661</v>
      </c>
      <c r="G36" s="28">
        <f t="shared" si="2"/>
        <v>68.324583333333337</v>
      </c>
      <c r="H36" s="28">
        <f t="shared" si="2"/>
        <v>31.309583333333336</v>
      </c>
      <c r="I36" s="28">
        <f t="shared" si="2"/>
        <v>3.7345833333333331</v>
      </c>
      <c r="J36" s="28">
        <f t="shared" si="2"/>
        <v>0.90708333333333346</v>
      </c>
      <c r="K36" s="28">
        <f t="shared" si="2"/>
        <v>189.34458333333328</v>
      </c>
      <c r="L36" s="28">
        <f t="shared" si="2"/>
        <v>20.722916666666666</v>
      </c>
      <c r="M36" s="28">
        <f t="shared" si="2"/>
        <v>66.026666666666671</v>
      </c>
      <c r="N36" s="28">
        <f t="shared" si="2"/>
        <v>142.89166666666668</v>
      </c>
      <c r="O36" s="28">
        <f t="shared" si="2"/>
        <v>0</v>
      </c>
      <c r="P36" s="28">
        <f t="shared" si="2"/>
        <v>1.1079166666666664</v>
      </c>
      <c r="Q36" s="28">
        <f t="shared" si="2"/>
        <v>9.6495833333333341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6.9671876798796379</v>
      </c>
      <c r="C37" s="28">
        <f t="shared" ref="C37:Q37" si="3">STDEV(C9:C32)</f>
        <v>5.4142294907272648</v>
      </c>
      <c r="D37" s="28">
        <f t="shared" si="3"/>
        <v>3.6678882434810829</v>
      </c>
      <c r="E37" s="28">
        <f t="shared" si="3"/>
        <v>5.0318014033066545</v>
      </c>
      <c r="F37" s="28">
        <f t="shared" si="3"/>
        <v>3.2187219535854235</v>
      </c>
      <c r="G37" s="28">
        <f t="shared" si="3"/>
        <v>27.087103778794567</v>
      </c>
      <c r="H37" s="28">
        <f t="shared" si="3"/>
        <v>6.3209427469440849</v>
      </c>
      <c r="I37" s="28">
        <f t="shared" si="3"/>
        <v>0.5612252060305718</v>
      </c>
      <c r="J37" s="28">
        <f t="shared" si="3"/>
        <v>0.42891652341448766</v>
      </c>
      <c r="K37" s="28">
        <f t="shared" si="3"/>
        <v>103.28808567931311</v>
      </c>
      <c r="L37" s="28">
        <f t="shared" si="3"/>
        <v>3.0518910447909979</v>
      </c>
      <c r="M37" s="28">
        <f t="shared" si="3"/>
        <v>16.9665098936409</v>
      </c>
      <c r="N37" s="28">
        <f t="shared" si="3"/>
        <v>177.88270663232154</v>
      </c>
      <c r="O37" s="28">
        <f t="shared" si="3"/>
        <v>0</v>
      </c>
      <c r="P37" s="28">
        <f t="shared" si="3"/>
        <v>0.17467931279588025</v>
      </c>
      <c r="Q37" s="28">
        <f t="shared" si="3"/>
        <v>2.1964233112764884E-2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32" sqref="J3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83</v>
      </c>
      <c r="B9" s="53">
        <v>9.3699999999999992</v>
      </c>
      <c r="C9" s="53">
        <v>21.05</v>
      </c>
      <c r="D9" s="53">
        <v>17.989999999999998</v>
      </c>
      <c r="E9" s="53">
        <v>4.83</v>
      </c>
      <c r="F9" s="53">
        <v>2.92</v>
      </c>
      <c r="G9" s="53">
        <v>44.38</v>
      </c>
      <c r="H9" s="53">
        <v>22.81</v>
      </c>
      <c r="I9" s="53">
        <v>2.99</v>
      </c>
      <c r="J9" s="53">
        <v>0.57999999999999996</v>
      </c>
      <c r="K9" s="53">
        <v>229.91</v>
      </c>
      <c r="L9" s="53">
        <v>17.8</v>
      </c>
      <c r="M9" s="53">
        <v>92.58</v>
      </c>
      <c r="N9" s="53">
        <v>31.8</v>
      </c>
      <c r="O9" s="53">
        <v>0</v>
      </c>
      <c r="P9" s="53">
        <v>0.89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84</v>
      </c>
      <c r="B10" s="53">
        <v>8.64</v>
      </c>
      <c r="C10" s="53">
        <v>21.03</v>
      </c>
      <c r="D10" s="53">
        <v>17.45</v>
      </c>
      <c r="E10" s="53">
        <v>5.0999999999999996</v>
      </c>
      <c r="F10" s="53">
        <v>2.92</v>
      </c>
      <c r="G10" s="53">
        <v>42.88</v>
      </c>
      <c r="H10" s="53">
        <v>19.600000000000001</v>
      </c>
      <c r="I10" s="53">
        <v>3.2</v>
      </c>
      <c r="J10" s="53">
        <v>0.38</v>
      </c>
      <c r="K10" s="53">
        <v>250.02</v>
      </c>
      <c r="L10" s="53">
        <v>17.239999999999998</v>
      </c>
      <c r="M10" s="53">
        <v>95.38</v>
      </c>
      <c r="N10" s="53">
        <v>31.8</v>
      </c>
      <c r="O10" s="53">
        <v>0</v>
      </c>
      <c r="P10" s="53">
        <v>0.83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85</v>
      </c>
      <c r="B11" s="53">
        <v>9.15</v>
      </c>
      <c r="C11" s="53">
        <v>20.56</v>
      </c>
      <c r="D11" s="53">
        <v>17.559999999999999</v>
      </c>
      <c r="E11" s="53">
        <v>4.71</v>
      </c>
      <c r="F11" s="53">
        <v>2.89</v>
      </c>
      <c r="G11" s="53">
        <v>36.58</v>
      </c>
      <c r="H11" s="53">
        <v>19.100000000000001</v>
      </c>
      <c r="I11" s="53">
        <v>3.17</v>
      </c>
      <c r="J11" s="53">
        <v>0.44</v>
      </c>
      <c r="K11" s="53">
        <v>326.98</v>
      </c>
      <c r="L11" s="53">
        <v>16.57</v>
      </c>
      <c r="M11" s="53">
        <v>98.17</v>
      </c>
      <c r="N11" s="53">
        <v>32</v>
      </c>
      <c r="O11" s="53">
        <v>0</v>
      </c>
      <c r="P11" s="53">
        <v>0.86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86</v>
      </c>
      <c r="B12" s="53">
        <v>10.09</v>
      </c>
      <c r="C12" s="53">
        <v>20.2</v>
      </c>
      <c r="D12" s="53">
        <v>18.05</v>
      </c>
      <c r="E12" s="53">
        <v>4.8499999999999996</v>
      </c>
      <c r="F12" s="53">
        <v>3.06</v>
      </c>
      <c r="G12" s="53">
        <v>84.11</v>
      </c>
      <c r="H12" s="53">
        <v>24.5</v>
      </c>
      <c r="I12" s="53">
        <v>3.03</v>
      </c>
      <c r="J12" s="53">
        <v>0.72</v>
      </c>
      <c r="K12" s="53">
        <v>328.38</v>
      </c>
      <c r="L12" s="53">
        <v>15.44</v>
      </c>
      <c r="M12" s="53">
        <v>98.23</v>
      </c>
      <c r="N12" s="53">
        <v>31.8</v>
      </c>
      <c r="O12" s="53">
        <v>0</v>
      </c>
      <c r="P12" s="53">
        <v>0.85</v>
      </c>
      <c r="Q12" s="53">
        <v>9.64</v>
      </c>
      <c r="R12" s="43"/>
      <c r="S12" s="43"/>
      <c r="T12" s="43"/>
      <c r="U12" s="43"/>
    </row>
    <row r="13" spans="1:21" s="11" customFormat="1" x14ac:dyDescent="0.25">
      <c r="A13" s="52" t="s">
        <v>87</v>
      </c>
      <c r="B13" s="53">
        <v>12.78</v>
      </c>
      <c r="C13" s="53">
        <v>19.53</v>
      </c>
      <c r="D13" s="53">
        <v>19.64</v>
      </c>
      <c r="E13" s="53">
        <v>4.88</v>
      </c>
      <c r="F13" s="53">
        <v>3.1</v>
      </c>
      <c r="G13" s="53">
        <v>87.85</v>
      </c>
      <c r="H13" s="53">
        <v>25.99</v>
      </c>
      <c r="I13" s="53">
        <v>3.06</v>
      </c>
      <c r="J13" s="53">
        <v>0.98</v>
      </c>
      <c r="K13" s="53">
        <v>358.29</v>
      </c>
      <c r="L13" s="53">
        <v>15.25</v>
      </c>
      <c r="M13" s="53">
        <v>98.22</v>
      </c>
      <c r="N13" s="53">
        <v>31.7</v>
      </c>
      <c r="O13" s="53">
        <v>0</v>
      </c>
      <c r="P13" s="53">
        <v>0.86</v>
      </c>
      <c r="Q13" s="53">
        <v>9.6300000000000008</v>
      </c>
      <c r="R13" s="43"/>
      <c r="S13" s="43"/>
      <c r="T13" s="43"/>
      <c r="U13" s="43"/>
    </row>
    <row r="14" spans="1:21" s="11" customFormat="1" x14ac:dyDescent="0.25">
      <c r="A14" s="52" t="s">
        <v>88</v>
      </c>
      <c r="B14" s="53">
        <v>13.82</v>
      </c>
      <c r="C14" s="53">
        <v>18.59</v>
      </c>
      <c r="D14" s="53">
        <v>20.2</v>
      </c>
      <c r="E14" s="53">
        <v>4.59</v>
      </c>
      <c r="F14" s="53">
        <v>3.06</v>
      </c>
      <c r="G14" s="53">
        <v>117.84</v>
      </c>
      <c r="H14" s="53">
        <v>39.15</v>
      </c>
      <c r="I14" s="53">
        <v>3.39</v>
      </c>
      <c r="J14" s="53">
        <v>0.94</v>
      </c>
      <c r="K14" s="53">
        <v>356.36</v>
      </c>
      <c r="L14" s="53">
        <v>14.98</v>
      </c>
      <c r="M14" s="53">
        <v>98.22</v>
      </c>
      <c r="N14" s="53">
        <v>31.8</v>
      </c>
      <c r="O14" s="53">
        <v>0</v>
      </c>
      <c r="P14" s="53">
        <v>1.01</v>
      </c>
      <c r="Q14" s="53">
        <v>9.65</v>
      </c>
      <c r="R14" s="43"/>
      <c r="S14" s="43"/>
      <c r="T14" s="43"/>
      <c r="U14" s="43"/>
    </row>
    <row r="15" spans="1:21" s="11" customFormat="1" x14ac:dyDescent="0.25">
      <c r="A15" s="52" t="s">
        <v>89</v>
      </c>
      <c r="B15" s="53">
        <v>14.96</v>
      </c>
      <c r="C15" s="53">
        <v>17.54</v>
      </c>
      <c r="D15" s="53">
        <v>20.7</v>
      </c>
      <c r="E15" s="53">
        <v>4.71</v>
      </c>
      <c r="F15" s="53">
        <v>3.07</v>
      </c>
      <c r="G15" s="53">
        <v>113.68</v>
      </c>
      <c r="H15" s="53">
        <v>38.99</v>
      </c>
      <c r="I15" s="53">
        <v>3.44</v>
      </c>
      <c r="J15" s="53">
        <v>0.45</v>
      </c>
      <c r="K15" s="53">
        <v>325.49</v>
      </c>
      <c r="L15" s="53">
        <v>14.81</v>
      </c>
      <c r="M15" s="53">
        <v>98.24</v>
      </c>
      <c r="N15" s="53">
        <v>58.9</v>
      </c>
      <c r="O15" s="53">
        <v>0</v>
      </c>
      <c r="P15" s="53">
        <v>1.0900000000000001</v>
      </c>
      <c r="Q15" s="53">
        <v>9.64</v>
      </c>
      <c r="R15" s="43"/>
      <c r="S15" s="43"/>
      <c r="T15" s="43"/>
      <c r="U15" s="43"/>
    </row>
    <row r="16" spans="1:21" s="11" customFormat="1" x14ac:dyDescent="0.25">
      <c r="A16" s="52" t="s">
        <v>90</v>
      </c>
      <c r="B16" s="53">
        <v>16.34</v>
      </c>
      <c r="C16" s="53">
        <v>18</v>
      </c>
      <c r="D16" s="53">
        <v>21.74</v>
      </c>
      <c r="E16" s="53">
        <v>5.35</v>
      </c>
      <c r="F16" s="53">
        <v>3.1</v>
      </c>
      <c r="G16" s="53">
        <v>92.8</v>
      </c>
      <c r="H16" s="53">
        <v>37.450000000000003</v>
      </c>
      <c r="I16" s="53">
        <v>3.44</v>
      </c>
      <c r="J16" s="53">
        <v>0.4</v>
      </c>
      <c r="K16" s="53">
        <v>327.45999999999998</v>
      </c>
      <c r="L16" s="53">
        <v>18.28</v>
      </c>
      <c r="M16" s="53">
        <v>98.19</v>
      </c>
      <c r="N16" s="53">
        <v>204.1</v>
      </c>
      <c r="O16" s="53">
        <v>0</v>
      </c>
      <c r="P16" s="53">
        <v>1.01</v>
      </c>
      <c r="Q16" s="53">
        <v>9.65</v>
      </c>
      <c r="R16" s="43"/>
      <c r="S16" s="43"/>
      <c r="T16" s="43"/>
      <c r="U16" s="43"/>
    </row>
    <row r="17" spans="1:21" s="11" customFormat="1" x14ac:dyDescent="0.25">
      <c r="A17" s="52" t="s">
        <v>91</v>
      </c>
      <c r="B17" s="53">
        <v>18.77</v>
      </c>
      <c r="C17" s="53">
        <v>17.09</v>
      </c>
      <c r="D17" s="53">
        <v>23.52</v>
      </c>
      <c r="E17" s="53">
        <v>5.51</v>
      </c>
      <c r="F17" s="53">
        <v>3.05</v>
      </c>
      <c r="G17" s="53">
        <v>81.22</v>
      </c>
      <c r="H17" s="53">
        <v>33.33</v>
      </c>
      <c r="I17" s="53">
        <v>3.52</v>
      </c>
      <c r="J17" s="53">
        <v>0.83</v>
      </c>
      <c r="K17" s="53">
        <v>334.53</v>
      </c>
      <c r="L17" s="53">
        <v>21.36</v>
      </c>
      <c r="M17" s="53">
        <v>82.47</v>
      </c>
      <c r="N17" s="53">
        <v>364.1</v>
      </c>
      <c r="O17" s="53">
        <v>0</v>
      </c>
      <c r="P17" s="53">
        <v>0.96</v>
      </c>
      <c r="Q17" s="53">
        <v>9.64</v>
      </c>
      <c r="R17" s="43"/>
      <c r="S17" s="43"/>
      <c r="T17" s="43"/>
      <c r="U17" s="43"/>
    </row>
    <row r="18" spans="1:21" s="11" customFormat="1" x14ac:dyDescent="0.25">
      <c r="A18" s="52" t="s">
        <v>92</v>
      </c>
      <c r="B18" s="53">
        <v>18.8</v>
      </c>
      <c r="C18" s="53">
        <v>29.51</v>
      </c>
      <c r="D18" s="53">
        <v>24.14</v>
      </c>
      <c r="E18" s="53">
        <v>9.3800000000000008</v>
      </c>
      <c r="F18" s="53">
        <v>5.19</v>
      </c>
      <c r="G18" s="53">
        <v>79.7</v>
      </c>
      <c r="H18" s="53">
        <v>32.950000000000003</v>
      </c>
      <c r="I18" s="53">
        <v>3.52</v>
      </c>
      <c r="J18" s="53">
        <v>1.72</v>
      </c>
      <c r="K18" s="53">
        <v>123.09</v>
      </c>
      <c r="L18" s="53">
        <v>22.03</v>
      </c>
      <c r="M18" s="53">
        <v>71.41</v>
      </c>
      <c r="N18" s="53">
        <v>462.3</v>
      </c>
      <c r="O18" s="53">
        <v>0</v>
      </c>
      <c r="P18" s="53">
        <v>0.89</v>
      </c>
      <c r="Q18" s="53">
        <v>9.66</v>
      </c>
      <c r="R18" s="43"/>
      <c r="S18" s="43"/>
      <c r="T18" s="43"/>
      <c r="U18" s="43"/>
    </row>
    <row r="19" spans="1:21" s="11" customFormat="1" x14ac:dyDescent="0.25">
      <c r="A19" s="52" t="s">
        <v>93</v>
      </c>
      <c r="B19" s="53">
        <v>8</v>
      </c>
      <c r="C19" s="53">
        <v>40.520000000000003</v>
      </c>
      <c r="D19" s="53">
        <v>27</v>
      </c>
      <c r="E19" s="53">
        <v>10.6</v>
      </c>
      <c r="F19" s="53">
        <v>5.08</v>
      </c>
      <c r="G19" s="18" t="s">
        <v>12</v>
      </c>
      <c r="H19" s="18" t="s">
        <v>12</v>
      </c>
      <c r="I19" s="53">
        <v>3.33</v>
      </c>
      <c r="J19" s="53">
        <v>1.29</v>
      </c>
      <c r="K19" s="53">
        <v>122.99</v>
      </c>
      <c r="L19" s="53">
        <v>24.89</v>
      </c>
      <c r="M19" s="53">
        <v>63.19</v>
      </c>
      <c r="N19" s="53">
        <v>508.4</v>
      </c>
      <c r="O19" s="53">
        <v>0</v>
      </c>
      <c r="P19" s="53">
        <v>0.82</v>
      </c>
      <c r="Q19" s="53">
        <v>9.64</v>
      </c>
      <c r="R19" s="43"/>
      <c r="S19" s="43"/>
      <c r="T19" s="43"/>
      <c r="U19" s="43"/>
    </row>
    <row r="20" spans="1:21" s="11" customFormat="1" x14ac:dyDescent="0.25">
      <c r="A20" s="52" t="s">
        <v>94</v>
      </c>
      <c r="B20" s="53">
        <v>5.29</v>
      </c>
      <c r="C20" s="53">
        <v>35.159999999999997</v>
      </c>
      <c r="D20" s="53">
        <v>21.74</v>
      </c>
      <c r="E20" s="53">
        <v>9.84</v>
      </c>
      <c r="F20" s="53">
        <v>6.78</v>
      </c>
      <c r="G20" s="18" t="s">
        <v>12</v>
      </c>
      <c r="H20" s="18" t="s">
        <v>12</v>
      </c>
      <c r="I20" s="53">
        <v>2.89</v>
      </c>
      <c r="J20" s="53">
        <v>1.58</v>
      </c>
      <c r="K20" s="53">
        <v>358.93</v>
      </c>
      <c r="L20" s="53">
        <v>26.02</v>
      </c>
      <c r="M20" s="53">
        <v>55.75</v>
      </c>
      <c r="N20" s="53">
        <v>499.3</v>
      </c>
      <c r="O20" s="53">
        <v>0</v>
      </c>
      <c r="P20" s="53">
        <v>0.8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95</v>
      </c>
      <c r="B21" s="53">
        <v>5.41</v>
      </c>
      <c r="C21" s="53">
        <v>33.53</v>
      </c>
      <c r="D21" s="53">
        <v>20.309999999999999</v>
      </c>
      <c r="E21" s="53">
        <v>9.73</v>
      </c>
      <c r="F21" s="53">
        <v>4.75</v>
      </c>
      <c r="G21" s="53">
        <v>84.66</v>
      </c>
      <c r="H21" s="53">
        <v>12.24</v>
      </c>
      <c r="I21" s="53">
        <v>2.81</v>
      </c>
      <c r="J21" s="53">
        <v>1.54</v>
      </c>
      <c r="K21" s="53">
        <v>348.2</v>
      </c>
      <c r="L21" s="53">
        <v>27.23</v>
      </c>
      <c r="M21" s="53">
        <v>46.38</v>
      </c>
      <c r="N21" s="53">
        <v>487</v>
      </c>
      <c r="O21" s="53">
        <v>0</v>
      </c>
      <c r="P21" s="53">
        <v>0.75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96</v>
      </c>
      <c r="B22" s="53">
        <v>5.62</v>
      </c>
      <c r="C22" s="53">
        <v>33.630000000000003</v>
      </c>
      <c r="D22" s="53">
        <v>21.62</v>
      </c>
      <c r="E22" s="53">
        <v>13.38</v>
      </c>
      <c r="F22" s="53">
        <v>7.14</v>
      </c>
      <c r="G22" s="53">
        <v>82.98</v>
      </c>
      <c r="H22" s="53">
        <v>19.43</v>
      </c>
      <c r="I22" s="53">
        <v>2.81</v>
      </c>
      <c r="J22" s="53">
        <v>1.47</v>
      </c>
      <c r="K22" s="53">
        <v>121.99</v>
      </c>
      <c r="L22" s="53">
        <v>25.72</v>
      </c>
      <c r="M22" s="53">
        <v>44.74</v>
      </c>
      <c r="N22" s="53">
        <v>371.2</v>
      </c>
      <c r="O22" s="53">
        <v>0</v>
      </c>
      <c r="P22" s="53">
        <v>0.8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97</v>
      </c>
      <c r="B23" s="53">
        <v>5.13</v>
      </c>
      <c r="C23" s="53">
        <v>34.549999999999997</v>
      </c>
      <c r="D23" s="53">
        <v>21.09</v>
      </c>
      <c r="E23" s="53">
        <v>20.85</v>
      </c>
      <c r="F23" s="53">
        <v>14.41</v>
      </c>
      <c r="G23" s="53">
        <v>71.52</v>
      </c>
      <c r="H23" s="53">
        <v>18.95</v>
      </c>
      <c r="I23" s="53">
        <v>2.62</v>
      </c>
      <c r="J23" s="53">
        <v>1.3</v>
      </c>
      <c r="K23" s="53">
        <v>120.82</v>
      </c>
      <c r="L23" s="53">
        <v>24.77</v>
      </c>
      <c r="M23" s="53">
        <v>44.05</v>
      </c>
      <c r="N23" s="53">
        <v>153.80000000000001</v>
      </c>
      <c r="O23" s="53">
        <v>0</v>
      </c>
      <c r="P23" s="53">
        <v>0.76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98</v>
      </c>
      <c r="B24" s="53">
        <v>4.8899999999999997</v>
      </c>
      <c r="C24" s="53">
        <v>38.200000000000003</v>
      </c>
      <c r="D24" s="53">
        <v>25.19</v>
      </c>
      <c r="E24" s="53">
        <v>27.09</v>
      </c>
      <c r="F24" s="53">
        <v>20.07</v>
      </c>
      <c r="G24" s="53">
        <v>66.2</v>
      </c>
      <c r="H24" s="53">
        <v>23.64</v>
      </c>
      <c r="I24" s="53">
        <v>2.41</v>
      </c>
      <c r="J24" s="53">
        <v>0.92</v>
      </c>
      <c r="K24" s="53">
        <v>121.01</v>
      </c>
      <c r="L24" s="53">
        <v>24.49</v>
      </c>
      <c r="M24" s="53">
        <v>43.97</v>
      </c>
      <c r="N24" s="53">
        <v>92.3</v>
      </c>
      <c r="O24" s="53">
        <v>0</v>
      </c>
      <c r="P24" s="53">
        <v>0.84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99</v>
      </c>
      <c r="B25" s="53">
        <v>3.21</v>
      </c>
      <c r="C25" s="53">
        <v>46.07</v>
      </c>
      <c r="D25" s="53">
        <v>26.18</v>
      </c>
      <c r="E25" s="53">
        <v>26.24</v>
      </c>
      <c r="F25" s="53">
        <v>21.47</v>
      </c>
      <c r="G25" s="53">
        <v>62.42</v>
      </c>
      <c r="H25" s="53">
        <v>23</v>
      </c>
      <c r="I25" s="53">
        <v>2.35</v>
      </c>
      <c r="J25" s="53">
        <v>0.39</v>
      </c>
      <c r="K25" s="53">
        <v>280.29000000000002</v>
      </c>
      <c r="L25" s="53">
        <v>23.78</v>
      </c>
      <c r="M25" s="53">
        <v>47.88</v>
      </c>
      <c r="N25" s="53">
        <v>63.7</v>
      </c>
      <c r="O25" s="53">
        <v>0</v>
      </c>
      <c r="P25" s="53">
        <v>1.01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100</v>
      </c>
      <c r="B26" s="53">
        <v>18.62</v>
      </c>
      <c r="C26" s="53">
        <v>48.98</v>
      </c>
      <c r="D26" s="53">
        <v>36.33</v>
      </c>
      <c r="E26" s="53">
        <v>21.37</v>
      </c>
      <c r="F26" s="53">
        <v>9.24</v>
      </c>
      <c r="G26" s="53">
        <v>66.75</v>
      </c>
      <c r="H26" s="53">
        <v>24.28</v>
      </c>
      <c r="I26" s="53">
        <v>2.46</v>
      </c>
      <c r="J26" s="53">
        <v>0.43</v>
      </c>
      <c r="K26" s="53">
        <v>345.65</v>
      </c>
      <c r="L26" s="53">
        <v>22.31</v>
      </c>
      <c r="M26" s="53">
        <v>69.569999999999993</v>
      </c>
      <c r="N26" s="53">
        <v>34</v>
      </c>
      <c r="O26" s="53">
        <v>0</v>
      </c>
      <c r="P26" s="53">
        <v>1.52</v>
      </c>
      <c r="Q26" s="53">
        <v>9.65</v>
      </c>
      <c r="R26" s="43"/>
      <c r="S26" s="43"/>
      <c r="T26" s="43"/>
      <c r="U26" s="43"/>
    </row>
    <row r="27" spans="1:21" s="11" customFormat="1" x14ac:dyDescent="0.25">
      <c r="A27" s="52" t="s">
        <v>101</v>
      </c>
      <c r="B27" s="53">
        <v>20.97</v>
      </c>
      <c r="C27" s="53">
        <v>28.82</v>
      </c>
      <c r="D27" s="53">
        <v>29.3</v>
      </c>
      <c r="E27" s="53">
        <v>6.91</v>
      </c>
      <c r="F27" s="53">
        <v>3.49</v>
      </c>
      <c r="G27" s="53">
        <v>100.12</v>
      </c>
      <c r="H27" s="53">
        <v>35.200000000000003</v>
      </c>
      <c r="I27" s="53">
        <v>3.95</v>
      </c>
      <c r="J27" s="53">
        <v>0.37</v>
      </c>
      <c r="K27" s="53">
        <v>334.78</v>
      </c>
      <c r="L27" s="53">
        <v>20.059999999999999</v>
      </c>
      <c r="M27" s="53">
        <v>83.41</v>
      </c>
      <c r="N27" s="53">
        <v>32.1</v>
      </c>
      <c r="O27" s="53">
        <v>0</v>
      </c>
      <c r="P27" s="53">
        <v>1.45</v>
      </c>
      <c r="Q27" s="53">
        <v>9.67</v>
      </c>
      <c r="R27" s="43"/>
      <c r="S27" s="43"/>
      <c r="T27" s="43"/>
      <c r="U27" s="43"/>
    </row>
    <row r="28" spans="1:21" s="11" customFormat="1" x14ac:dyDescent="0.25">
      <c r="A28" s="52" t="s">
        <v>102</v>
      </c>
      <c r="B28" s="53">
        <v>32</v>
      </c>
      <c r="C28" s="53">
        <v>22.27</v>
      </c>
      <c r="D28" s="53">
        <v>33.9</v>
      </c>
      <c r="E28" s="53">
        <v>6.08</v>
      </c>
      <c r="F28" s="53">
        <v>3.09</v>
      </c>
      <c r="G28" s="53">
        <v>125.93</v>
      </c>
      <c r="H28" s="53">
        <v>45.57</v>
      </c>
      <c r="I28" s="53">
        <v>5.07</v>
      </c>
      <c r="J28" s="53">
        <v>0.35</v>
      </c>
      <c r="K28" s="53">
        <v>358.22</v>
      </c>
      <c r="L28" s="53">
        <v>18.96</v>
      </c>
      <c r="M28" s="53">
        <v>85.37</v>
      </c>
      <c r="N28" s="53">
        <v>31.9</v>
      </c>
      <c r="O28" s="53">
        <v>0</v>
      </c>
      <c r="P28" s="53">
        <v>1.72</v>
      </c>
      <c r="Q28" s="53">
        <v>9.68</v>
      </c>
      <c r="R28" s="43"/>
      <c r="S28" s="43"/>
      <c r="T28" s="43"/>
      <c r="U28" s="43"/>
    </row>
    <row r="29" spans="1:21" s="11" customFormat="1" x14ac:dyDescent="0.25">
      <c r="A29" s="52" t="s">
        <v>103</v>
      </c>
      <c r="B29" s="53">
        <v>38.47</v>
      </c>
      <c r="C29" s="53">
        <v>16.53</v>
      </c>
      <c r="D29" s="53">
        <v>38.950000000000003</v>
      </c>
      <c r="E29" s="53">
        <v>6.41</v>
      </c>
      <c r="F29" s="53">
        <v>3.1</v>
      </c>
      <c r="G29" s="53">
        <v>133.24</v>
      </c>
      <c r="H29" s="53">
        <v>50.18</v>
      </c>
      <c r="I29" s="53">
        <v>5.84</v>
      </c>
      <c r="J29" s="53">
        <v>0.37</v>
      </c>
      <c r="K29" s="53">
        <v>359.98</v>
      </c>
      <c r="L29" s="53">
        <v>18.55</v>
      </c>
      <c r="M29" s="53">
        <v>89.57</v>
      </c>
      <c r="N29" s="53">
        <v>31.9</v>
      </c>
      <c r="O29" s="53">
        <v>0</v>
      </c>
      <c r="P29" s="53">
        <v>2.0299999999999998</v>
      </c>
      <c r="Q29" s="53">
        <v>9.6999999999999993</v>
      </c>
      <c r="R29" s="43"/>
      <c r="S29" s="43"/>
      <c r="T29" s="43"/>
      <c r="U29" s="43"/>
    </row>
    <row r="30" spans="1:21" s="11" customFormat="1" x14ac:dyDescent="0.25">
      <c r="A30" s="52" t="s">
        <v>104</v>
      </c>
      <c r="B30" s="53">
        <v>37.94</v>
      </c>
      <c r="C30" s="53">
        <v>17.100000000000001</v>
      </c>
      <c r="D30" s="53">
        <v>38.79</v>
      </c>
      <c r="E30" s="53">
        <v>6.44</v>
      </c>
      <c r="F30" s="53">
        <v>3.73</v>
      </c>
      <c r="G30" s="53">
        <v>129.5</v>
      </c>
      <c r="H30" s="53">
        <v>49.35</v>
      </c>
      <c r="I30" s="53">
        <v>6.07</v>
      </c>
      <c r="J30" s="53">
        <v>0.31</v>
      </c>
      <c r="K30" s="53">
        <v>303.08999999999997</v>
      </c>
      <c r="L30" s="53">
        <v>18.66</v>
      </c>
      <c r="M30" s="53">
        <v>75.77</v>
      </c>
      <c r="N30" s="53">
        <v>31.7</v>
      </c>
      <c r="O30" s="53">
        <v>0</v>
      </c>
      <c r="P30" s="53">
        <v>2.0299999999999998</v>
      </c>
      <c r="Q30" s="53">
        <v>9.7100000000000009</v>
      </c>
      <c r="R30" s="43"/>
      <c r="S30" s="43"/>
      <c r="T30" s="43"/>
      <c r="U30" s="43"/>
    </row>
    <row r="31" spans="1:21" s="11" customFormat="1" x14ac:dyDescent="0.25">
      <c r="A31" s="52" t="s">
        <v>105</v>
      </c>
      <c r="B31" s="53">
        <v>39.75</v>
      </c>
      <c r="C31" s="53">
        <v>11.22</v>
      </c>
      <c r="D31" s="53">
        <v>36.950000000000003</v>
      </c>
      <c r="E31" s="53">
        <v>5.77</v>
      </c>
      <c r="F31" s="53">
        <v>3.32</v>
      </c>
      <c r="G31" s="53">
        <v>107.34</v>
      </c>
      <c r="H31" s="53">
        <v>46.76</v>
      </c>
      <c r="I31" s="53">
        <v>5.9</v>
      </c>
      <c r="J31" s="53">
        <v>0.39</v>
      </c>
      <c r="K31" s="53">
        <v>311.14999999999998</v>
      </c>
      <c r="L31" s="53">
        <v>18.170000000000002</v>
      </c>
      <c r="M31" s="53">
        <v>87.59</v>
      </c>
      <c r="N31" s="53">
        <v>31.9</v>
      </c>
      <c r="O31" s="53">
        <v>0</v>
      </c>
      <c r="P31" s="53">
        <v>2</v>
      </c>
      <c r="Q31" s="53">
        <v>9.7100000000000009</v>
      </c>
      <c r="R31" s="43"/>
      <c r="S31" s="43"/>
      <c r="T31" s="43"/>
      <c r="U31" s="43"/>
    </row>
    <row r="32" spans="1:21" s="11" customFormat="1" x14ac:dyDescent="0.25">
      <c r="A32" s="52" t="s">
        <v>106</v>
      </c>
      <c r="B32" s="53">
        <v>39.869999999999997</v>
      </c>
      <c r="C32" s="53">
        <v>11.18</v>
      </c>
      <c r="D32" s="53">
        <v>36.6</v>
      </c>
      <c r="E32" s="53">
        <v>5.56</v>
      </c>
      <c r="F32" s="53">
        <v>2.99</v>
      </c>
      <c r="G32" s="53">
        <v>89.16</v>
      </c>
      <c r="H32" s="53">
        <v>46.01</v>
      </c>
      <c r="I32" s="53">
        <v>5.82</v>
      </c>
      <c r="J32" s="53">
        <v>0.3</v>
      </c>
      <c r="K32" s="53">
        <v>352.38</v>
      </c>
      <c r="L32" s="53">
        <v>16.98</v>
      </c>
      <c r="M32" s="53">
        <v>91.51</v>
      </c>
      <c r="N32" s="53">
        <v>32.200000000000003</v>
      </c>
      <c r="O32" s="53">
        <v>0</v>
      </c>
      <c r="P32" s="53">
        <v>1.91</v>
      </c>
      <c r="Q32" s="53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3.21</v>
      </c>
      <c r="C34" s="28">
        <f t="shared" si="0"/>
        <v>11.18</v>
      </c>
      <c r="D34" s="28">
        <f t="shared" si="0"/>
        <v>17.45</v>
      </c>
      <c r="E34" s="28">
        <f t="shared" si="0"/>
        <v>4.59</v>
      </c>
      <c r="F34" s="28">
        <f t="shared" si="0"/>
        <v>2.89</v>
      </c>
      <c r="G34" s="28">
        <f t="shared" si="0"/>
        <v>36.58</v>
      </c>
      <c r="H34" s="28">
        <f t="shared" si="0"/>
        <v>12.24</v>
      </c>
      <c r="I34" s="28">
        <f t="shared" si="0"/>
        <v>2.35</v>
      </c>
      <c r="J34" s="28">
        <f t="shared" si="0"/>
        <v>0.3</v>
      </c>
      <c r="K34" s="28">
        <f t="shared" si="0"/>
        <v>120.82</v>
      </c>
      <c r="L34" s="28">
        <f t="shared" si="0"/>
        <v>14.81</v>
      </c>
      <c r="M34" s="28">
        <f t="shared" si="0"/>
        <v>43.97</v>
      </c>
      <c r="N34" s="28">
        <f t="shared" si="0"/>
        <v>31.7</v>
      </c>
      <c r="O34" s="28">
        <f t="shared" si="0"/>
        <v>0</v>
      </c>
      <c r="P34" s="28">
        <f t="shared" si="0"/>
        <v>0.75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39.869999999999997</v>
      </c>
      <c r="C35" s="29">
        <f t="shared" si="1"/>
        <v>48.98</v>
      </c>
      <c r="D35" s="29">
        <f t="shared" si="1"/>
        <v>38.950000000000003</v>
      </c>
      <c r="E35" s="29">
        <f t="shared" si="1"/>
        <v>27.09</v>
      </c>
      <c r="F35" s="29">
        <f t="shared" si="1"/>
        <v>21.47</v>
      </c>
      <c r="G35" s="29">
        <f t="shared" si="1"/>
        <v>133.24</v>
      </c>
      <c r="H35" s="29">
        <f t="shared" si="1"/>
        <v>50.18</v>
      </c>
      <c r="I35" s="29">
        <f t="shared" si="1"/>
        <v>6.07</v>
      </c>
      <c r="J35" s="29">
        <f t="shared" si="1"/>
        <v>1.72</v>
      </c>
      <c r="K35" s="29">
        <f t="shared" si="1"/>
        <v>359.98</v>
      </c>
      <c r="L35" s="29">
        <f t="shared" si="1"/>
        <v>27.23</v>
      </c>
      <c r="M35" s="29">
        <f t="shared" si="1"/>
        <v>98.24</v>
      </c>
      <c r="N35" s="29">
        <f t="shared" si="1"/>
        <v>508.4</v>
      </c>
      <c r="O35" s="29">
        <f t="shared" si="1"/>
        <v>0</v>
      </c>
      <c r="P35" s="29">
        <f t="shared" si="1"/>
        <v>2.0299999999999998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16.578749999999999</v>
      </c>
      <c r="C36" s="28">
        <f t="shared" si="2"/>
        <v>25.869166666666661</v>
      </c>
      <c r="D36" s="28">
        <f t="shared" si="2"/>
        <v>25.622500000000002</v>
      </c>
      <c r="E36" s="28">
        <f t="shared" si="2"/>
        <v>9.5908333333333342</v>
      </c>
      <c r="F36" s="28">
        <f t="shared" si="2"/>
        <v>5.8758333333333326</v>
      </c>
      <c r="G36" s="28">
        <f t="shared" si="2"/>
        <v>86.402727272727276</v>
      </c>
      <c r="H36" s="28">
        <f t="shared" si="2"/>
        <v>31.29454545454545</v>
      </c>
      <c r="I36" s="28">
        <f t="shared" si="2"/>
        <v>3.6287500000000001</v>
      </c>
      <c r="J36" s="28">
        <f t="shared" si="2"/>
        <v>0.76875000000000027</v>
      </c>
      <c r="K36" s="28">
        <f t="shared" si="2"/>
        <v>283.33291666666662</v>
      </c>
      <c r="L36" s="28">
        <f t="shared" si="2"/>
        <v>20.181250000000002</v>
      </c>
      <c r="M36" s="28">
        <f t="shared" si="2"/>
        <v>77.494166666666658</v>
      </c>
      <c r="N36" s="28">
        <f t="shared" si="2"/>
        <v>153.40416666666667</v>
      </c>
      <c r="O36" s="28">
        <f t="shared" si="2"/>
        <v>0</v>
      </c>
      <c r="P36" s="28">
        <f t="shared" si="2"/>
        <v>1.1537500000000001</v>
      </c>
      <c r="Q36" s="28">
        <f t="shared" si="2"/>
        <v>9.6516666666666655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12.18553679840233</v>
      </c>
      <c r="C37" s="28">
        <f t="shared" ref="C37:Q37" si="3">STDEV(C9:C32)</f>
        <v>10.68805424870161</v>
      </c>
      <c r="D37" s="28">
        <f t="shared" si="3"/>
        <v>7.3344880678470705</v>
      </c>
      <c r="E37" s="28">
        <f t="shared" si="3"/>
        <v>7.0081684741677517</v>
      </c>
      <c r="F37" s="28">
        <f t="shared" si="3"/>
        <v>5.3067945918962902</v>
      </c>
      <c r="G37" s="28">
        <f t="shared" si="3"/>
        <v>27.471458293640339</v>
      </c>
      <c r="H37" s="28">
        <f t="shared" si="3"/>
        <v>11.521645355083278</v>
      </c>
      <c r="I37" s="28">
        <f t="shared" si="3"/>
        <v>1.1814851100277941</v>
      </c>
      <c r="J37" s="28">
        <f t="shared" si="3"/>
        <v>0.47384011704554801</v>
      </c>
      <c r="K37" s="28">
        <f t="shared" si="3"/>
        <v>90.70979145073737</v>
      </c>
      <c r="L37" s="28">
        <f t="shared" si="3"/>
        <v>3.9175716885313787</v>
      </c>
      <c r="M37" s="28">
        <f t="shared" si="3"/>
        <v>20.461273689936586</v>
      </c>
      <c r="N37" s="28">
        <f t="shared" si="3"/>
        <v>181.65228724171058</v>
      </c>
      <c r="O37" s="28">
        <f t="shared" si="3"/>
        <v>0</v>
      </c>
      <c r="P37" s="28">
        <f t="shared" si="3"/>
        <v>0.45477000876219281</v>
      </c>
      <c r="Q37" s="28">
        <f t="shared" si="3"/>
        <v>2.8539319431675009E-2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3" sqref="F13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107</v>
      </c>
      <c r="B9" s="53">
        <v>39.9</v>
      </c>
      <c r="C9" s="53">
        <v>9.69</v>
      </c>
      <c r="D9" s="53">
        <v>36.6</v>
      </c>
      <c r="E9" s="53">
        <v>6.32</v>
      </c>
      <c r="F9" s="53">
        <v>2.92</v>
      </c>
      <c r="G9" s="53">
        <v>96.16</v>
      </c>
      <c r="H9" s="53">
        <v>41.79</v>
      </c>
      <c r="I9" s="53">
        <v>5.47</v>
      </c>
      <c r="J9" s="53">
        <v>0.42</v>
      </c>
      <c r="K9" s="53">
        <v>336.07</v>
      </c>
      <c r="L9" s="53">
        <v>16.29</v>
      </c>
      <c r="M9" s="53">
        <v>98.1</v>
      </c>
      <c r="N9" s="53">
        <v>32.1</v>
      </c>
      <c r="O9" s="53">
        <v>0</v>
      </c>
      <c r="P9" s="53">
        <v>1.81</v>
      </c>
      <c r="Q9" s="53">
        <v>9.7100000000000009</v>
      </c>
      <c r="R9" s="43"/>
      <c r="S9" s="43"/>
      <c r="T9" s="43"/>
      <c r="U9" s="43"/>
    </row>
    <row r="10" spans="1:21" s="11" customFormat="1" x14ac:dyDescent="0.25">
      <c r="A10" s="52" t="s">
        <v>108</v>
      </c>
      <c r="B10" s="53">
        <v>36.83</v>
      </c>
      <c r="C10" s="53">
        <v>10.63</v>
      </c>
      <c r="D10" s="53">
        <v>34.020000000000003</v>
      </c>
      <c r="E10" s="53">
        <v>6.21</v>
      </c>
      <c r="F10" s="53">
        <v>3.12</v>
      </c>
      <c r="G10" s="53">
        <v>93.32</v>
      </c>
      <c r="H10" s="53">
        <v>40.119999999999997</v>
      </c>
      <c r="I10" s="53">
        <v>5.71</v>
      </c>
      <c r="J10" s="53">
        <v>0.39</v>
      </c>
      <c r="K10" s="53">
        <v>341.09</v>
      </c>
      <c r="L10" s="53">
        <v>15.93</v>
      </c>
      <c r="M10" s="53">
        <v>98.08</v>
      </c>
      <c r="N10" s="53">
        <v>31.8</v>
      </c>
      <c r="O10" s="53">
        <v>0</v>
      </c>
      <c r="P10" s="53">
        <v>1.6</v>
      </c>
      <c r="Q10" s="53">
        <v>9.6999999999999993</v>
      </c>
      <c r="R10" s="43"/>
      <c r="S10" s="43"/>
      <c r="T10" s="43"/>
      <c r="U10" s="43"/>
    </row>
    <row r="11" spans="1:21" s="11" customFormat="1" x14ac:dyDescent="0.25">
      <c r="A11" s="52" t="s">
        <v>109</v>
      </c>
      <c r="B11" s="53">
        <v>32.54</v>
      </c>
      <c r="C11" s="53">
        <v>13.51</v>
      </c>
      <c r="D11" s="53">
        <v>31.48</v>
      </c>
      <c r="E11" s="53">
        <v>6.03</v>
      </c>
      <c r="F11" s="53">
        <v>3.3</v>
      </c>
      <c r="G11" s="53">
        <v>78.83</v>
      </c>
      <c r="H11" s="53">
        <v>39.869999999999997</v>
      </c>
      <c r="I11" s="53">
        <v>5.66</v>
      </c>
      <c r="J11" s="53">
        <v>0.3</v>
      </c>
      <c r="K11" s="53">
        <v>281.73</v>
      </c>
      <c r="L11" s="53">
        <v>15.95</v>
      </c>
      <c r="M11" s="53">
        <v>98.05</v>
      </c>
      <c r="N11" s="53">
        <v>32</v>
      </c>
      <c r="O11" s="53">
        <v>0</v>
      </c>
      <c r="P11" s="53">
        <v>1.54</v>
      </c>
      <c r="Q11" s="53">
        <v>9.69</v>
      </c>
      <c r="R11" s="43"/>
      <c r="S11" s="43"/>
      <c r="T11" s="43"/>
      <c r="U11" s="43"/>
    </row>
    <row r="12" spans="1:21" s="11" customFormat="1" x14ac:dyDescent="0.25">
      <c r="A12" s="52" t="s">
        <v>110</v>
      </c>
      <c r="B12" s="53">
        <v>27.59</v>
      </c>
      <c r="C12" s="53">
        <v>14.3</v>
      </c>
      <c r="D12" s="53">
        <v>28.6</v>
      </c>
      <c r="E12" s="53">
        <v>5.58</v>
      </c>
      <c r="F12" s="53">
        <v>3.03</v>
      </c>
      <c r="G12" s="53">
        <v>76.25</v>
      </c>
      <c r="H12" s="53">
        <v>38.76</v>
      </c>
      <c r="I12" s="53">
        <v>5.35</v>
      </c>
      <c r="J12" s="53">
        <v>0.46</v>
      </c>
      <c r="K12" s="53">
        <v>346.5</v>
      </c>
      <c r="L12" s="53">
        <v>14.74</v>
      </c>
      <c r="M12" s="53">
        <v>98.13</v>
      </c>
      <c r="N12" s="53">
        <v>31.9</v>
      </c>
      <c r="O12" s="53">
        <v>0</v>
      </c>
      <c r="P12" s="53">
        <v>1.31</v>
      </c>
      <c r="Q12" s="53">
        <v>9.67</v>
      </c>
      <c r="R12" s="43"/>
      <c r="S12" s="43"/>
      <c r="T12" s="43"/>
      <c r="U12" s="43"/>
    </row>
    <row r="13" spans="1:21" s="11" customFormat="1" x14ac:dyDescent="0.25">
      <c r="A13" s="52" t="s">
        <v>111</v>
      </c>
      <c r="B13" s="53">
        <v>24.08</v>
      </c>
      <c r="C13" s="53">
        <v>14.94</v>
      </c>
      <c r="D13" s="53">
        <v>26.44</v>
      </c>
      <c r="E13" s="53">
        <v>5.68</v>
      </c>
      <c r="F13" s="53">
        <v>2.96</v>
      </c>
      <c r="G13" s="53">
        <v>83.79</v>
      </c>
      <c r="H13" s="53">
        <v>37.76</v>
      </c>
      <c r="I13" s="53">
        <v>5.15</v>
      </c>
      <c r="J13" s="53">
        <v>0.34</v>
      </c>
      <c r="K13" s="53">
        <v>81.77</v>
      </c>
      <c r="L13" s="53">
        <v>14.92</v>
      </c>
      <c r="M13" s="53">
        <v>98.12</v>
      </c>
      <c r="N13" s="53">
        <v>31.7</v>
      </c>
      <c r="O13" s="53">
        <v>0</v>
      </c>
      <c r="P13" s="53">
        <v>1.26</v>
      </c>
      <c r="Q13" s="53">
        <v>9.66</v>
      </c>
      <c r="R13" s="43"/>
      <c r="S13" s="43"/>
      <c r="T13" s="43"/>
      <c r="U13" s="43"/>
    </row>
    <row r="14" spans="1:21" s="11" customFormat="1" x14ac:dyDescent="0.25">
      <c r="A14" s="52" t="s">
        <v>112</v>
      </c>
      <c r="B14" s="53">
        <v>22.22</v>
      </c>
      <c r="C14" s="53">
        <v>15.51</v>
      </c>
      <c r="D14" s="53">
        <v>25.34</v>
      </c>
      <c r="E14" s="53">
        <v>5.66</v>
      </c>
      <c r="F14" s="53">
        <v>3.05</v>
      </c>
      <c r="G14" s="53">
        <v>112.91</v>
      </c>
      <c r="H14" s="53">
        <v>45.39</v>
      </c>
      <c r="I14" s="53">
        <v>4.5999999999999996</v>
      </c>
      <c r="J14" s="53">
        <v>0.43</v>
      </c>
      <c r="K14" s="53">
        <v>343.71</v>
      </c>
      <c r="L14" s="53">
        <v>14.95</v>
      </c>
      <c r="M14" s="53">
        <v>98.16</v>
      </c>
      <c r="N14" s="53">
        <v>31.9</v>
      </c>
      <c r="O14" s="53">
        <v>0</v>
      </c>
      <c r="P14" s="53">
        <v>1.45</v>
      </c>
      <c r="Q14" s="53">
        <v>9.67</v>
      </c>
      <c r="R14" s="43"/>
      <c r="S14" s="43"/>
      <c r="T14" s="43"/>
      <c r="U14" s="43"/>
    </row>
    <row r="15" spans="1:21" s="11" customFormat="1" x14ac:dyDescent="0.25">
      <c r="A15" s="52" t="s">
        <v>113</v>
      </c>
      <c r="B15" s="53">
        <v>25.14</v>
      </c>
      <c r="C15" s="53">
        <v>15.69</v>
      </c>
      <c r="D15" s="53">
        <v>27.13</v>
      </c>
      <c r="E15" s="53">
        <v>5.85</v>
      </c>
      <c r="F15" s="53">
        <v>3.49</v>
      </c>
      <c r="G15" s="53">
        <v>112.91</v>
      </c>
      <c r="H15" s="53">
        <v>48.14</v>
      </c>
      <c r="I15" s="53">
        <v>4.58</v>
      </c>
      <c r="J15" s="53">
        <v>0.37</v>
      </c>
      <c r="K15" s="53">
        <v>332</v>
      </c>
      <c r="L15" s="53">
        <v>14.75</v>
      </c>
      <c r="M15" s="53">
        <v>98.09</v>
      </c>
      <c r="N15" s="53">
        <v>58.6</v>
      </c>
      <c r="O15" s="53">
        <v>0</v>
      </c>
      <c r="P15" s="53">
        <v>1.48</v>
      </c>
      <c r="Q15" s="53">
        <v>9.66</v>
      </c>
      <c r="R15" s="43"/>
      <c r="S15" s="43"/>
      <c r="T15" s="43"/>
      <c r="U15" s="43"/>
    </row>
    <row r="16" spans="1:21" s="11" customFormat="1" x14ac:dyDescent="0.25">
      <c r="A16" s="52" t="s">
        <v>114</v>
      </c>
      <c r="B16" s="53">
        <v>28.47</v>
      </c>
      <c r="C16" s="53">
        <v>13.1</v>
      </c>
      <c r="D16" s="53">
        <v>29.09</v>
      </c>
      <c r="E16" s="53">
        <v>5.42</v>
      </c>
      <c r="F16" s="53">
        <v>3.25</v>
      </c>
      <c r="G16" s="53">
        <v>110.06</v>
      </c>
      <c r="H16" s="53">
        <v>47.6</v>
      </c>
      <c r="I16" s="53">
        <v>5.16</v>
      </c>
      <c r="J16" s="53">
        <v>0.82</v>
      </c>
      <c r="K16" s="53">
        <v>341.53</v>
      </c>
      <c r="L16" s="53">
        <v>18.739999999999998</v>
      </c>
      <c r="M16" s="53">
        <v>94.71</v>
      </c>
      <c r="N16" s="53">
        <v>192</v>
      </c>
      <c r="O16" s="53">
        <v>0</v>
      </c>
      <c r="P16" s="53">
        <v>1.35</v>
      </c>
      <c r="Q16" s="53">
        <v>9.67</v>
      </c>
      <c r="R16" s="43"/>
      <c r="S16" s="43"/>
      <c r="T16" s="43"/>
      <c r="U16" s="43"/>
    </row>
    <row r="17" spans="1:21" s="11" customFormat="1" x14ac:dyDescent="0.25">
      <c r="A17" s="52" t="s">
        <v>115</v>
      </c>
      <c r="B17" s="53">
        <v>30.09</v>
      </c>
      <c r="C17" s="53">
        <v>13.43</v>
      </c>
      <c r="D17" s="53">
        <v>30.48</v>
      </c>
      <c r="E17" s="53">
        <v>6.79</v>
      </c>
      <c r="F17" s="53">
        <v>3.06</v>
      </c>
      <c r="G17" s="53">
        <v>93.74</v>
      </c>
      <c r="H17" s="53">
        <v>44.76</v>
      </c>
      <c r="I17" s="53">
        <v>5.09</v>
      </c>
      <c r="J17" s="53">
        <v>1.3</v>
      </c>
      <c r="K17" s="53">
        <v>342.78</v>
      </c>
      <c r="L17" s="53">
        <v>23.54</v>
      </c>
      <c r="M17" s="53">
        <v>66.510000000000005</v>
      </c>
      <c r="N17" s="53">
        <v>357.3</v>
      </c>
      <c r="O17" s="53">
        <v>0</v>
      </c>
      <c r="P17" s="53">
        <v>1.27</v>
      </c>
      <c r="Q17" s="53">
        <v>9.68</v>
      </c>
      <c r="R17" s="43"/>
      <c r="S17" s="43"/>
      <c r="T17" s="43"/>
      <c r="U17" s="43"/>
    </row>
    <row r="18" spans="1:21" s="11" customFormat="1" x14ac:dyDescent="0.25">
      <c r="A18" s="52" t="s">
        <v>116</v>
      </c>
      <c r="B18" s="53">
        <v>29.14</v>
      </c>
      <c r="C18" s="53">
        <v>16.79</v>
      </c>
      <c r="D18" s="53">
        <v>30.41</v>
      </c>
      <c r="E18" s="53">
        <v>7.53</v>
      </c>
      <c r="F18" s="53">
        <v>3.81</v>
      </c>
      <c r="G18" s="53">
        <v>81.5</v>
      </c>
      <c r="H18" s="53">
        <v>42.37</v>
      </c>
      <c r="I18" s="53">
        <v>4.51</v>
      </c>
      <c r="J18" s="53">
        <v>1.18</v>
      </c>
      <c r="K18" s="53">
        <v>344.58</v>
      </c>
      <c r="L18" s="53">
        <v>25.71</v>
      </c>
      <c r="M18" s="53">
        <v>45.43</v>
      </c>
      <c r="N18" s="53">
        <v>473.2</v>
      </c>
      <c r="O18" s="53">
        <v>0</v>
      </c>
      <c r="P18" s="53">
        <v>1.1200000000000001</v>
      </c>
      <c r="Q18" s="53">
        <v>9.67</v>
      </c>
      <c r="R18" s="43"/>
      <c r="S18" s="43"/>
      <c r="T18" s="43"/>
      <c r="U18" s="43"/>
    </row>
    <row r="19" spans="1:21" s="11" customFormat="1" x14ac:dyDescent="0.25">
      <c r="A19" s="52" t="s">
        <v>117</v>
      </c>
      <c r="B19" s="53">
        <v>14.78</v>
      </c>
      <c r="C19" s="53">
        <v>37.17</v>
      </c>
      <c r="D19" s="53">
        <v>27.66</v>
      </c>
      <c r="E19" s="53">
        <v>13.38</v>
      </c>
      <c r="F19" s="53">
        <v>6.81</v>
      </c>
      <c r="G19" s="53">
        <v>67.599999999999994</v>
      </c>
      <c r="H19" s="53">
        <v>34.92</v>
      </c>
      <c r="I19" s="53">
        <v>4.37</v>
      </c>
      <c r="J19" s="53">
        <v>1.26</v>
      </c>
      <c r="K19" s="53">
        <v>343.57</v>
      </c>
      <c r="L19" s="53">
        <v>27.34</v>
      </c>
      <c r="M19" s="53">
        <v>39.92</v>
      </c>
      <c r="N19" s="53">
        <v>517.9</v>
      </c>
      <c r="O19" s="53">
        <v>0</v>
      </c>
      <c r="P19" s="53">
        <v>0.97</v>
      </c>
      <c r="Q19" s="53">
        <v>9.67</v>
      </c>
      <c r="R19" s="43"/>
      <c r="S19" s="43"/>
      <c r="T19" s="43"/>
      <c r="U19" s="43"/>
    </row>
    <row r="20" spans="1:21" s="11" customFormat="1" x14ac:dyDescent="0.25">
      <c r="A20" s="52" t="s">
        <v>118</v>
      </c>
      <c r="B20" s="53">
        <v>8.5500000000000007</v>
      </c>
      <c r="C20" s="53">
        <v>32.630000000000003</v>
      </c>
      <c r="D20" s="53">
        <v>22.98</v>
      </c>
      <c r="E20" s="53">
        <v>10.89</v>
      </c>
      <c r="F20" s="53">
        <v>5.13</v>
      </c>
      <c r="G20" s="53">
        <v>58.71</v>
      </c>
      <c r="H20" s="53">
        <v>27.36</v>
      </c>
      <c r="I20" s="53">
        <v>2.92</v>
      </c>
      <c r="J20" s="53">
        <v>1.02</v>
      </c>
      <c r="K20" s="53">
        <v>344.35</v>
      </c>
      <c r="L20" s="53">
        <v>28.17</v>
      </c>
      <c r="M20" s="53">
        <v>34.78</v>
      </c>
      <c r="N20" s="53">
        <v>534.20000000000005</v>
      </c>
      <c r="O20" s="53">
        <v>0</v>
      </c>
      <c r="P20" s="53">
        <v>0.84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119</v>
      </c>
      <c r="B21" s="53">
        <v>7.82</v>
      </c>
      <c r="C21" s="53">
        <v>32.9</v>
      </c>
      <c r="D21" s="53">
        <v>21.54</v>
      </c>
      <c r="E21" s="53">
        <v>13.66</v>
      </c>
      <c r="F21" s="53">
        <v>13.09</v>
      </c>
      <c r="G21" s="53">
        <v>55.72</v>
      </c>
      <c r="H21" s="53">
        <v>24.03</v>
      </c>
      <c r="I21" s="53">
        <v>2.54</v>
      </c>
      <c r="J21" s="53">
        <v>1.56</v>
      </c>
      <c r="K21" s="53">
        <v>338.98</v>
      </c>
      <c r="L21" s="53">
        <v>28.2</v>
      </c>
      <c r="M21" s="53">
        <v>33.57</v>
      </c>
      <c r="N21" s="53">
        <v>521.29999999999995</v>
      </c>
      <c r="O21" s="53">
        <v>0</v>
      </c>
      <c r="P21" s="53">
        <v>0.68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120</v>
      </c>
      <c r="B22" s="53">
        <v>5.21</v>
      </c>
      <c r="C22" s="53">
        <v>32.51</v>
      </c>
      <c r="D22" s="53">
        <v>19.73</v>
      </c>
      <c r="E22" s="53">
        <v>10.27</v>
      </c>
      <c r="F22" s="53">
        <v>10.45</v>
      </c>
      <c r="G22" s="53">
        <v>38.15</v>
      </c>
      <c r="H22" s="53">
        <v>18.72</v>
      </c>
      <c r="I22" s="53">
        <v>2.2400000000000002</v>
      </c>
      <c r="J22" s="53">
        <v>1.1599999999999999</v>
      </c>
      <c r="K22" s="53">
        <v>359.87</v>
      </c>
      <c r="L22" s="53">
        <v>27.69</v>
      </c>
      <c r="M22" s="53">
        <v>35.1</v>
      </c>
      <c r="N22" s="53">
        <v>442.3</v>
      </c>
      <c r="O22" s="53">
        <v>0</v>
      </c>
      <c r="P22" s="53">
        <v>0.79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121</v>
      </c>
      <c r="B23" s="53">
        <v>5.37</v>
      </c>
      <c r="C23" s="53">
        <v>31.09</v>
      </c>
      <c r="D23" s="53">
        <v>19.53</v>
      </c>
      <c r="E23" s="53">
        <v>12.41</v>
      </c>
      <c r="F23" s="53">
        <v>17.25</v>
      </c>
      <c r="G23" s="53">
        <v>61.91</v>
      </c>
      <c r="H23" s="53">
        <v>20.3</v>
      </c>
      <c r="I23" s="53">
        <v>2.4500000000000002</v>
      </c>
      <c r="J23" s="53">
        <v>0.85</v>
      </c>
      <c r="K23" s="53">
        <v>344.67</v>
      </c>
      <c r="L23" s="53">
        <v>24.94</v>
      </c>
      <c r="M23" s="53">
        <v>35.409999999999997</v>
      </c>
      <c r="N23" s="53">
        <v>143.19999999999999</v>
      </c>
      <c r="O23" s="53">
        <v>0</v>
      </c>
      <c r="P23" s="53">
        <v>0.77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122</v>
      </c>
      <c r="B24" s="53">
        <v>4.59</v>
      </c>
      <c r="C24" s="53">
        <v>29.5</v>
      </c>
      <c r="D24" s="53">
        <v>17.91</v>
      </c>
      <c r="E24" s="53">
        <v>18.149999999999999</v>
      </c>
      <c r="F24" s="53">
        <v>24.27</v>
      </c>
      <c r="G24" s="53">
        <v>59.58</v>
      </c>
      <c r="H24" s="53">
        <v>20</v>
      </c>
      <c r="I24" s="53">
        <v>2.41</v>
      </c>
      <c r="J24" s="53">
        <v>0.47</v>
      </c>
      <c r="K24" s="53">
        <v>342.54</v>
      </c>
      <c r="L24" s="53">
        <v>24.47</v>
      </c>
      <c r="M24" s="53">
        <v>34.94</v>
      </c>
      <c r="N24" s="53">
        <v>88.5</v>
      </c>
      <c r="O24" s="53">
        <v>0</v>
      </c>
      <c r="P24" s="53">
        <v>0.74</v>
      </c>
      <c r="Q24" s="53">
        <v>9.64</v>
      </c>
      <c r="R24" s="43"/>
      <c r="S24" s="43"/>
      <c r="T24" s="43"/>
      <c r="U24" s="43"/>
    </row>
    <row r="25" spans="1:21" s="11" customFormat="1" x14ac:dyDescent="0.25">
      <c r="A25" s="52" t="s">
        <v>123</v>
      </c>
      <c r="B25" s="53">
        <v>6.11</v>
      </c>
      <c r="C25" s="53">
        <v>35.99</v>
      </c>
      <c r="D25" s="53">
        <v>22.37</v>
      </c>
      <c r="E25" s="53">
        <v>9.2100000000000009</v>
      </c>
      <c r="F25" s="53">
        <v>9.5</v>
      </c>
      <c r="G25" s="53">
        <v>46.58</v>
      </c>
      <c r="H25" s="53">
        <v>18.54</v>
      </c>
      <c r="I25" s="53">
        <v>2.23</v>
      </c>
      <c r="J25" s="53">
        <v>0.7</v>
      </c>
      <c r="K25" s="53">
        <v>350.47</v>
      </c>
      <c r="L25" s="53">
        <v>23.92</v>
      </c>
      <c r="M25" s="53">
        <v>36.22</v>
      </c>
      <c r="N25" s="53">
        <v>60.3</v>
      </c>
      <c r="O25" s="53">
        <v>0</v>
      </c>
      <c r="P25" s="53">
        <v>0.86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124</v>
      </c>
      <c r="B26" s="53">
        <v>9.6</v>
      </c>
      <c r="C26" s="53">
        <v>43.12</v>
      </c>
      <c r="D26" s="53">
        <v>27.25</v>
      </c>
      <c r="E26" s="53">
        <v>6.8</v>
      </c>
      <c r="F26" s="53">
        <v>6.24</v>
      </c>
      <c r="G26" s="53">
        <v>46.47</v>
      </c>
      <c r="H26" s="53">
        <v>20.02</v>
      </c>
      <c r="I26" s="53">
        <v>2.91</v>
      </c>
      <c r="J26" s="53">
        <v>0.41</v>
      </c>
      <c r="K26" s="53">
        <v>345.16</v>
      </c>
      <c r="L26" s="53">
        <v>22</v>
      </c>
      <c r="M26" s="53">
        <v>56.56</v>
      </c>
      <c r="N26" s="53">
        <v>35.200000000000003</v>
      </c>
      <c r="O26" s="53">
        <v>0</v>
      </c>
      <c r="P26" s="53">
        <v>1.1100000000000001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125</v>
      </c>
      <c r="B27" s="53">
        <v>24.03</v>
      </c>
      <c r="C27" s="53">
        <v>33.72</v>
      </c>
      <c r="D27" s="53">
        <v>34.49</v>
      </c>
      <c r="E27" s="53">
        <v>6.2</v>
      </c>
      <c r="F27" s="53">
        <v>3.11</v>
      </c>
      <c r="G27" s="53">
        <v>83.49</v>
      </c>
      <c r="H27" s="53">
        <v>27.78</v>
      </c>
      <c r="I27" s="53">
        <v>3.24</v>
      </c>
      <c r="J27" s="53">
        <v>0.33</v>
      </c>
      <c r="K27" s="53">
        <v>341.1</v>
      </c>
      <c r="L27" s="53">
        <v>19.11</v>
      </c>
      <c r="M27" s="53">
        <v>65.900000000000006</v>
      </c>
      <c r="N27" s="53">
        <v>32.299999999999997</v>
      </c>
      <c r="O27" s="53">
        <v>0</v>
      </c>
      <c r="P27" s="53">
        <v>1.66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126</v>
      </c>
      <c r="B28" s="53">
        <v>34.74</v>
      </c>
      <c r="C28" s="53">
        <v>27.29</v>
      </c>
      <c r="D28" s="53">
        <v>36.79</v>
      </c>
      <c r="E28" s="53">
        <v>5.79</v>
      </c>
      <c r="F28" s="53">
        <v>3.58</v>
      </c>
      <c r="G28" s="53">
        <v>98.16</v>
      </c>
      <c r="H28" s="53">
        <v>33.94</v>
      </c>
      <c r="I28" s="53">
        <v>4.62</v>
      </c>
      <c r="J28" s="53">
        <v>0.42</v>
      </c>
      <c r="K28" s="53">
        <v>358.95</v>
      </c>
      <c r="L28" s="53">
        <v>18.29</v>
      </c>
      <c r="M28" s="53">
        <v>79.19</v>
      </c>
      <c r="N28" s="53">
        <v>32.1</v>
      </c>
      <c r="O28" s="53">
        <v>0</v>
      </c>
      <c r="P28" s="53">
        <v>1.83</v>
      </c>
      <c r="Q28" s="53">
        <v>9.68</v>
      </c>
      <c r="R28" s="43"/>
      <c r="S28" s="43"/>
      <c r="T28" s="43"/>
      <c r="U28" s="43"/>
    </row>
    <row r="29" spans="1:21" s="11" customFormat="1" x14ac:dyDescent="0.25">
      <c r="A29" s="52" t="s">
        <v>127</v>
      </c>
      <c r="B29" s="53">
        <v>51.58</v>
      </c>
      <c r="C29" s="53">
        <v>15.63</v>
      </c>
      <c r="D29" s="53">
        <v>44.54</v>
      </c>
      <c r="E29" s="53">
        <v>5.73</v>
      </c>
      <c r="F29" s="53">
        <v>3.35</v>
      </c>
      <c r="G29" s="53">
        <v>115.86</v>
      </c>
      <c r="H29" s="53">
        <v>44.27</v>
      </c>
      <c r="I29" s="53">
        <v>6.38</v>
      </c>
      <c r="J29" s="53">
        <v>0.33</v>
      </c>
      <c r="K29" s="53">
        <v>344.04</v>
      </c>
      <c r="L29" s="53">
        <v>17.329999999999998</v>
      </c>
      <c r="M29" s="53">
        <v>82.06</v>
      </c>
      <c r="N29" s="53">
        <v>31.8</v>
      </c>
      <c r="O29" s="53">
        <v>0</v>
      </c>
      <c r="P29" s="53">
        <v>2.36</v>
      </c>
      <c r="Q29" s="53">
        <v>9.6999999999999993</v>
      </c>
      <c r="R29" s="43"/>
      <c r="S29" s="43"/>
      <c r="T29" s="43"/>
      <c r="U29" s="43"/>
    </row>
    <row r="30" spans="1:21" s="11" customFormat="1" x14ac:dyDescent="0.25">
      <c r="A30" s="52" t="s">
        <v>128</v>
      </c>
      <c r="B30" s="53">
        <v>59.09</v>
      </c>
      <c r="C30" s="53">
        <v>4.51</v>
      </c>
      <c r="D30" s="53">
        <v>48.39</v>
      </c>
      <c r="E30" s="53">
        <v>5.7</v>
      </c>
      <c r="F30" s="53">
        <v>3.26</v>
      </c>
      <c r="G30" s="53">
        <v>122.93</v>
      </c>
      <c r="H30" s="53">
        <v>47.23</v>
      </c>
      <c r="I30" s="53">
        <v>7.45</v>
      </c>
      <c r="J30" s="53">
        <v>0.27</v>
      </c>
      <c r="K30" s="53">
        <v>311.98</v>
      </c>
      <c r="L30" s="53">
        <v>17.510000000000002</v>
      </c>
      <c r="M30" s="53">
        <v>70.09</v>
      </c>
      <c r="N30" s="53">
        <v>31.7</v>
      </c>
      <c r="O30" s="53">
        <v>0</v>
      </c>
      <c r="P30" s="53">
        <v>2.57</v>
      </c>
      <c r="Q30" s="53">
        <v>9.75</v>
      </c>
      <c r="R30" s="43"/>
      <c r="S30" s="43"/>
      <c r="T30" s="43"/>
      <c r="U30" s="43"/>
    </row>
    <row r="31" spans="1:21" s="11" customFormat="1" x14ac:dyDescent="0.25">
      <c r="A31" s="52" t="s">
        <v>129</v>
      </c>
      <c r="B31" s="53">
        <v>58.55</v>
      </c>
      <c r="C31" s="53">
        <v>3.6</v>
      </c>
      <c r="D31" s="53">
        <v>47.9</v>
      </c>
      <c r="E31" s="53">
        <v>5.65</v>
      </c>
      <c r="F31" s="53">
        <v>3.13</v>
      </c>
      <c r="G31" s="53">
        <v>106.77</v>
      </c>
      <c r="H31" s="53">
        <v>46.56</v>
      </c>
      <c r="I31" s="53">
        <v>7.48</v>
      </c>
      <c r="J31" s="53">
        <v>0.32</v>
      </c>
      <c r="K31" s="53">
        <v>353</v>
      </c>
      <c r="L31" s="53">
        <v>17.28</v>
      </c>
      <c r="M31" s="53">
        <v>63.67</v>
      </c>
      <c r="N31" s="53">
        <v>31.7</v>
      </c>
      <c r="O31" s="53">
        <v>0</v>
      </c>
      <c r="P31" s="53">
        <v>2.5499999999999998</v>
      </c>
      <c r="Q31" s="53">
        <v>9.73</v>
      </c>
      <c r="R31" s="43"/>
      <c r="S31" s="43"/>
      <c r="T31" s="43"/>
      <c r="U31" s="43"/>
    </row>
    <row r="32" spans="1:21" s="11" customFormat="1" x14ac:dyDescent="0.25">
      <c r="A32" s="52" t="s">
        <v>130</v>
      </c>
      <c r="B32" s="53">
        <v>53.19</v>
      </c>
      <c r="C32" s="53">
        <v>4.8499999999999996</v>
      </c>
      <c r="D32" s="53">
        <v>44.51</v>
      </c>
      <c r="E32" s="53">
        <v>5.64</v>
      </c>
      <c r="F32" s="53">
        <v>3.44</v>
      </c>
      <c r="G32" s="53">
        <v>132.4</v>
      </c>
      <c r="H32" s="53">
        <v>43.78</v>
      </c>
      <c r="I32" s="53">
        <v>7.06</v>
      </c>
      <c r="J32" s="53">
        <v>0.41</v>
      </c>
      <c r="K32" s="53">
        <v>336.68</v>
      </c>
      <c r="L32" s="53">
        <v>17.11</v>
      </c>
      <c r="M32" s="53">
        <v>69.36</v>
      </c>
      <c r="N32" s="53">
        <v>32.1</v>
      </c>
      <c r="O32" s="53">
        <v>0</v>
      </c>
      <c r="P32" s="53">
        <v>2.4300000000000002</v>
      </c>
      <c r="Q32" s="53">
        <v>9.74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4.59</v>
      </c>
      <c r="C34" s="28">
        <f t="shared" si="0"/>
        <v>3.6</v>
      </c>
      <c r="D34" s="28">
        <f t="shared" si="0"/>
        <v>17.91</v>
      </c>
      <c r="E34" s="28">
        <f t="shared" si="0"/>
        <v>5.42</v>
      </c>
      <c r="F34" s="28">
        <f t="shared" si="0"/>
        <v>2.92</v>
      </c>
      <c r="G34" s="28">
        <f t="shared" si="0"/>
        <v>38.15</v>
      </c>
      <c r="H34" s="28">
        <f t="shared" si="0"/>
        <v>18.54</v>
      </c>
      <c r="I34" s="28">
        <f t="shared" si="0"/>
        <v>2.23</v>
      </c>
      <c r="J34" s="28">
        <f t="shared" si="0"/>
        <v>0.27</v>
      </c>
      <c r="K34" s="28">
        <f t="shared" si="0"/>
        <v>81.77</v>
      </c>
      <c r="L34" s="28">
        <f t="shared" si="0"/>
        <v>14.74</v>
      </c>
      <c r="M34" s="28">
        <f t="shared" si="0"/>
        <v>33.57</v>
      </c>
      <c r="N34" s="28">
        <f t="shared" si="0"/>
        <v>31.7</v>
      </c>
      <c r="O34" s="28">
        <f t="shared" si="0"/>
        <v>0</v>
      </c>
      <c r="P34" s="28">
        <f t="shared" si="0"/>
        <v>0.68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59.09</v>
      </c>
      <c r="C35" s="29">
        <f t="shared" si="1"/>
        <v>43.12</v>
      </c>
      <c r="D35" s="29">
        <f t="shared" si="1"/>
        <v>48.39</v>
      </c>
      <c r="E35" s="29">
        <f t="shared" si="1"/>
        <v>18.149999999999999</v>
      </c>
      <c r="F35" s="29">
        <f t="shared" si="1"/>
        <v>24.27</v>
      </c>
      <c r="G35" s="29">
        <f t="shared" si="1"/>
        <v>132.4</v>
      </c>
      <c r="H35" s="29">
        <f t="shared" si="1"/>
        <v>48.14</v>
      </c>
      <c r="I35" s="29">
        <f t="shared" si="1"/>
        <v>7.48</v>
      </c>
      <c r="J35" s="29">
        <f t="shared" si="1"/>
        <v>1.56</v>
      </c>
      <c r="K35" s="29">
        <f t="shared" si="1"/>
        <v>359.87</v>
      </c>
      <c r="L35" s="29">
        <f t="shared" si="1"/>
        <v>28.2</v>
      </c>
      <c r="M35" s="29">
        <f t="shared" si="1"/>
        <v>98.16</v>
      </c>
      <c r="N35" s="29">
        <f t="shared" si="1"/>
        <v>534.20000000000005</v>
      </c>
      <c r="O35" s="29">
        <f t="shared" si="1"/>
        <v>0</v>
      </c>
      <c r="P35" s="29">
        <f t="shared" si="1"/>
        <v>2.57</v>
      </c>
      <c r="Q35" s="29">
        <f t="shared" si="1"/>
        <v>9.75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26.633749999999992</v>
      </c>
      <c r="C36" s="28">
        <f t="shared" si="2"/>
        <v>20.920833333333338</v>
      </c>
      <c r="D36" s="28">
        <f t="shared" si="2"/>
        <v>30.632499999999997</v>
      </c>
      <c r="E36" s="28">
        <f t="shared" si="2"/>
        <v>7.9395833333333314</v>
      </c>
      <c r="F36" s="28">
        <f t="shared" si="2"/>
        <v>6.0249999999999986</v>
      </c>
      <c r="G36" s="28">
        <f t="shared" si="2"/>
        <v>84.741666666666674</v>
      </c>
      <c r="H36" s="28">
        <f t="shared" si="2"/>
        <v>35.583749999999988</v>
      </c>
      <c r="I36" s="28">
        <f t="shared" si="2"/>
        <v>4.565833333333333</v>
      </c>
      <c r="J36" s="28">
        <f t="shared" si="2"/>
        <v>0.64666666666666661</v>
      </c>
      <c r="K36" s="28">
        <f t="shared" si="2"/>
        <v>329.46333333333337</v>
      </c>
      <c r="L36" s="28">
        <f t="shared" si="2"/>
        <v>20.370000000000005</v>
      </c>
      <c r="M36" s="28">
        <f t="shared" si="2"/>
        <v>67.922916666666666</v>
      </c>
      <c r="N36" s="28">
        <f t="shared" si="2"/>
        <v>158.62916666666669</v>
      </c>
      <c r="O36" s="28">
        <f t="shared" si="2"/>
        <v>0</v>
      </c>
      <c r="P36" s="28">
        <f t="shared" si="2"/>
        <v>1.4312500000000001</v>
      </c>
      <c r="Q36" s="28">
        <f t="shared" si="2"/>
        <v>9.6720833333333331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17.153524625138058</v>
      </c>
      <c r="C37" s="28">
        <f t="shared" ref="C37:Q37" si="3">STDEV(C9:C32)</f>
        <v>11.783116114267841</v>
      </c>
      <c r="D37" s="28">
        <f t="shared" si="3"/>
        <v>8.8423611100203487</v>
      </c>
      <c r="E37" s="28">
        <f t="shared" si="3"/>
        <v>3.4199980665728966</v>
      </c>
      <c r="F37" s="28">
        <f t="shared" si="3"/>
        <v>5.3843525306124844</v>
      </c>
      <c r="G37" s="28">
        <f t="shared" si="3"/>
        <v>26.421474412775051</v>
      </c>
      <c r="H37" s="28">
        <f t="shared" si="3"/>
        <v>10.587555374322662</v>
      </c>
      <c r="I37" s="28">
        <f t="shared" si="3"/>
        <v>1.6494898201161081</v>
      </c>
      <c r="J37" s="28">
        <f t="shared" si="3"/>
        <v>0.39189247268214739</v>
      </c>
      <c r="K37" s="28">
        <f t="shared" si="3"/>
        <v>54.97632491763374</v>
      </c>
      <c r="L37" s="28">
        <f t="shared" si="3"/>
        <v>4.84658283921683</v>
      </c>
      <c r="M37" s="28">
        <f t="shared" si="3"/>
        <v>25.85651889532032</v>
      </c>
      <c r="N37" s="28">
        <f t="shared" si="3"/>
        <v>192.73544941225762</v>
      </c>
      <c r="O37" s="28">
        <f t="shared" si="3"/>
        <v>0</v>
      </c>
      <c r="P37" s="28">
        <f t="shared" si="3"/>
        <v>0.5846687096125458</v>
      </c>
      <c r="Q37" s="28">
        <f t="shared" si="3"/>
        <v>3.6233441995490445E-2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4" sqref="E14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131</v>
      </c>
      <c r="B9" s="53">
        <v>51.21</v>
      </c>
      <c r="C9" s="53">
        <v>4.33</v>
      </c>
      <c r="D9" s="53">
        <v>42.87</v>
      </c>
      <c r="E9" s="53">
        <v>5.72</v>
      </c>
      <c r="F9" s="53">
        <v>3.13</v>
      </c>
      <c r="G9" s="53">
        <v>121.71</v>
      </c>
      <c r="H9" s="53">
        <v>40.32</v>
      </c>
      <c r="I9" s="53">
        <v>6.39</v>
      </c>
      <c r="J9" s="53">
        <v>0.74</v>
      </c>
      <c r="K9" s="53">
        <v>346.51</v>
      </c>
      <c r="L9" s="53">
        <v>16.100000000000001</v>
      </c>
      <c r="M9" s="53">
        <v>67.44</v>
      </c>
      <c r="N9" s="53">
        <v>31.8</v>
      </c>
      <c r="O9" s="53">
        <v>0</v>
      </c>
      <c r="P9" s="53">
        <v>2.27</v>
      </c>
      <c r="Q9" s="53">
        <v>9.73</v>
      </c>
      <c r="R9" s="43"/>
      <c r="S9" s="43"/>
      <c r="T9" s="43"/>
      <c r="U9" s="43"/>
    </row>
    <row r="10" spans="1:21" s="11" customFormat="1" x14ac:dyDescent="0.25">
      <c r="A10" s="52" t="s">
        <v>132</v>
      </c>
      <c r="B10" s="53">
        <v>45.45</v>
      </c>
      <c r="C10" s="53">
        <v>8.7899999999999991</v>
      </c>
      <c r="D10" s="53">
        <v>38.54</v>
      </c>
      <c r="E10" s="53">
        <v>5.31</v>
      </c>
      <c r="F10" s="53">
        <v>2.93</v>
      </c>
      <c r="G10" s="53">
        <v>68.150000000000006</v>
      </c>
      <c r="H10" s="53">
        <v>35.130000000000003</v>
      </c>
      <c r="I10" s="53">
        <v>5.81</v>
      </c>
      <c r="J10" s="53">
        <v>0.96</v>
      </c>
      <c r="K10" s="53">
        <v>349.22</v>
      </c>
      <c r="L10" s="53">
        <v>16.12</v>
      </c>
      <c r="M10" s="53">
        <v>61.58</v>
      </c>
      <c r="N10" s="53">
        <v>31.9</v>
      </c>
      <c r="O10" s="53">
        <v>0</v>
      </c>
      <c r="P10" s="53">
        <v>1.79</v>
      </c>
      <c r="Q10" s="53">
        <v>9.6999999999999993</v>
      </c>
      <c r="R10" s="43"/>
      <c r="S10" s="43"/>
      <c r="T10" s="43"/>
      <c r="U10" s="43"/>
    </row>
    <row r="11" spans="1:21" s="11" customFormat="1" x14ac:dyDescent="0.25">
      <c r="A11" s="52" t="s">
        <v>133</v>
      </c>
      <c r="B11" s="53">
        <v>35.590000000000003</v>
      </c>
      <c r="C11" s="53">
        <v>11.56</v>
      </c>
      <c r="D11" s="53">
        <v>33.229999999999997</v>
      </c>
      <c r="E11" s="53">
        <v>4.93</v>
      </c>
      <c r="F11" s="53">
        <v>3.07</v>
      </c>
      <c r="G11" s="53">
        <v>72</v>
      </c>
      <c r="H11" s="53">
        <v>33.74</v>
      </c>
      <c r="I11" s="53">
        <v>5.44</v>
      </c>
      <c r="J11" s="53">
        <v>0.68</v>
      </c>
      <c r="K11" s="53">
        <v>349.8</v>
      </c>
      <c r="L11" s="53">
        <v>15.66</v>
      </c>
      <c r="M11" s="53">
        <v>67.91</v>
      </c>
      <c r="N11" s="53">
        <v>31.9</v>
      </c>
      <c r="O11" s="53">
        <v>0</v>
      </c>
      <c r="P11" s="53">
        <v>1.58</v>
      </c>
      <c r="Q11" s="53">
        <v>9.69</v>
      </c>
      <c r="R11" s="43"/>
      <c r="S11" s="43"/>
      <c r="T11" s="43"/>
      <c r="U11" s="43"/>
    </row>
    <row r="12" spans="1:21" s="11" customFormat="1" x14ac:dyDescent="0.25">
      <c r="A12" s="52" t="s">
        <v>134</v>
      </c>
      <c r="B12" s="53">
        <v>29.45</v>
      </c>
      <c r="C12" s="53">
        <v>13.43</v>
      </c>
      <c r="D12" s="53">
        <v>29.27</v>
      </c>
      <c r="E12" s="53">
        <v>5.09</v>
      </c>
      <c r="F12" s="53">
        <v>2.97</v>
      </c>
      <c r="G12" s="53">
        <v>87.82</v>
      </c>
      <c r="H12" s="53">
        <v>35.17</v>
      </c>
      <c r="I12" s="53">
        <v>5.16</v>
      </c>
      <c r="J12" s="53">
        <v>0.44</v>
      </c>
      <c r="K12" s="53">
        <v>354.95</v>
      </c>
      <c r="L12" s="53">
        <v>14.85</v>
      </c>
      <c r="M12" s="53">
        <v>76.19</v>
      </c>
      <c r="N12" s="53">
        <v>31.9</v>
      </c>
      <c r="O12" s="53">
        <v>0</v>
      </c>
      <c r="P12" s="53">
        <v>1.53</v>
      </c>
      <c r="Q12" s="53">
        <v>9.68</v>
      </c>
      <c r="R12" s="43"/>
      <c r="S12" s="43"/>
      <c r="T12" s="43"/>
      <c r="U12" s="43"/>
    </row>
    <row r="13" spans="1:21" s="11" customFormat="1" x14ac:dyDescent="0.25">
      <c r="A13" s="52" t="s">
        <v>135</v>
      </c>
      <c r="B13" s="53">
        <v>27.12</v>
      </c>
      <c r="C13" s="53">
        <v>13.8</v>
      </c>
      <c r="D13" s="53">
        <v>28.32</v>
      </c>
      <c r="E13" s="53">
        <v>5.04</v>
      </c>
      <c r="F13" s="53">
        <v>3.05</v>
      </c>
      <c r="G13" s="53">
        <v>84.12</v>
      </c>
      <c r="H13" s="53">
        <v>37.65</v>
      </c>
      <c r="I13" s="53">
        <v>4.8899999999999997</v>
      </c>
      <c r="J13" s="53">
        <v>0.6</v>
      </c>
      <c r="K13" s="53">
        <v>338.11</v>
      </c>
      <c r="L13" s="53">
        <v>14.11</v>
      </c>
      <c r="M13" s="53">
        <v>80.08</v>
      </c>
      <c r="N13" s="53">
        <v>31.7</v>
      </c>
      <c r="O13" s="53">
        <v>0</v>
      </c>
      <c r="P13" s="53">
        <v>1.58</v>
      </c>
      <c r="Q13" s="53">
        <v>9.68</v>
      </c>
      <c r="R13" s="43"/>
      <c r="S13" s="43"/>
      <c r="T13" s="43"/>
      <c r="U13" s="43"/>
    </row>
    <row r="14" spans="1:21" s="11" customFormat="1" x14ac:dyDescent="0.25">
      <c r="A14" s="52" t="s">
        <v>136</v>
      </c>
      <c r="B14" s="53">
        <v>25.26</v>
      </c>
      <c r="C14" s="53">
        <v>13.62</v>
      </c>
      <c r="D14" s="53">
        <v>26.88</v>
      </c>
      <c r="E14" s="53">
        <v>5.0999999999999996</v>
      </c>
      <c r="F14" s="53">
        <v>3.09</v>
      </c>
      <c r="G14" s="53">
        <v>105.53</v>
      </c>
      <c r="H14" s="53">
        <v>37.26</v>
      </c>
      <c r="I14" s="53">
        <v>4.5999999999999996</v>
      </c>
      <c r="J14" s="53">
        <v>0.62</v>
      </c>
      <c r="K14" s="53">
        <v>341.6</v>
      </c>
      <c r="L14" s="53">
        <v>13.74</v>
      </c>
      <c r="M14" s="53">
        <v>78.25</v>
      </c>
      <c r="N14" s="53">
        <v>31.8</v>
      </c>
      <c r="O14" s="53">
        <v>0</v>
      </c>
      <c r="P14" s="53">
        <v>1.52</v>
      </c>
      <c r="Q14" s="53">
        <v>9.67</v>
      </c>
      <c r="R14" s="43"/>
      <c r="S14" s="43"/>
      <c r="T14" s="43"/>
      <c r="U14" s="43"/>
    </row>
    <row r="15" spans="1:21" s="11" customFormat="1" x14ac:dyDescent="0.25">
      <c r="A15" s="52" t="s">
        <v>137</v>
      </c>
      <c r="B15" s="53">
        <v>23.21</v>
      </c>
      <c r="C15" s="53">
        <v>14.23</v>
      </c>
      <c r="D15" s="53">
        <v>25.37</v>
      </c>
      <c r="E15" s="53">
        <v>4.6399999999999997</v>
      </c>
      <c r="F15" s="53">
        <v>2.95</v>
      </c>
      <c r="G15" s="53">
        <v>102.75</v>
      </c>
      <c r="H15" s="53">
        <v>35.590000000000003</v>
      </c>
      <c r="I15" s="53">
        <v>4.22</v>
      </c>
      <c r="J15" s="53">
        <v>0.39</v>
      </c>
      <c r="K15" s="53">
        <v>336.05</v>
      </c>
      <c r="L15" s="53">
        <v>13.46</v>
      </c>
      <c r="M15" s="53">
        <v>79.760000000000005</v>
      </c>
      <c r="N15" s="53">
        <v>48.1</v>
      </c>
      <c r="O15" s="53">
        <v>0</v>
      </c>
      <c r="P15" s="53">
        <v>1.3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138</v>
      </c>
      <c r="B16" s="53">
        <v>24.06</v>
      </c>
      <c r="C16" s="53">
        <v>14.51</v>
      </c>
      <c r="D16" s="53">
        <v>26.31</v>
      </c>
      <c r="E16" s="53">
        <v>5.07</v>
      </c>
      <c r="F16" s="53">
        <v>2.84</v>
      </c>
      <c r="G16" s="53">
        <v>84.04</v>
      </c>
      <c r="H16" s="53">
        <v>34.29</v>
      </c>
      <c r="I16" s="53">
        <v>4.5</v>
      </c>
      <c r="J16" s="53">
        <v>0.95</v>
      </c>
      <c r="K16" s="53">
        <v>340.68</v>
      </c>
      <c r="L16" s="53">
        <v>19.36</v>
      </c>
      <c r="M16" s="53">
        <v>78.69</v>
      </c>
      <c r="N16" s="53">
        <v>254.5</v>
      </c>
      <c r="O16" s="53">
        <v>0</v>
      </c>
      <c r="P16" s="53">
        <v>1.21</v>
      </c>
      <c r="Q16" s="53">
        <v>9.66</v>
      </c>
      <c r="R16" s="43"/>
      <c r="S16" s="43"/>
      <c r="T16" s="43"/>
      <c r="U16" s="43"/>
    </row>
    <row r="17" spans="1:21" s="11" customFormat="1" x14ac:dyDescent="0.25">
      <c r="A17" s="52" t="s">
        <v>139</v>
      </c>
      <c r="B17" s="53">
        <v>24.08</v>
      </c>
      <c r="C17" s="53">
        <v>16.309999999999999</v>
      </c>
      <c r="D17" s="53">
        <v>26.75</v>
      </c>
      <c r="E17" s="53">
        <v>6.78</v>
      </c>
      <c r="F17" s="53">
        <v>3.43</v>
      </c>
      <c r="G17" s="53">
        <v>57.62</v>
      </c>
      <c r="H17" s="53">
        <v>31.2</v>
      </c>
      <c r="I17" s="53">
        <v>4.4400000000000004</v>
      </c>
      <c r="J17" s="53">
        <v>1.1599999999999999</v>
      </c>
      <c r="K17" s="53">
        <v>345.56</v>
      </c>
      <c r="L17" s="53">
        <v>23.78</v>
      </c>
      <c r="M17" s="53">
        <v>45.61</v>
      </c>
      <c r="N17" s="53">
        <v>420.1</v>
      </c>
      <c r="O17" s="53">
        <v>0</v>
      </c>
      <c r="P17" s="53">
        <v>1.19</v>
      </c>
      <c r="Q17" s="53">
        <v>9.68</v>
      </c>
      <c r="R17" s="43"/>
      <c r="S17" s="43"/>
      <c r="T17" s="43"/>
      <c r="U17" s="43"/>
    </row>
    <row r="18" spans="1:21" s="11" customFormat="1" x14ac:dyDescent="0.25">
      <c r="A18" s="52" t="s">
        <v>140</v>
      </c>
      <c r="B18" s="53">
        <v>22.54</v>
      </c>
      <c r="C18" s="53">
        <v>18.239999999999998</v>
      </c>
      <c r="D18" s="53">
        <v>26.98</v>
      </c>
      <c r="E18" s="53">
        <v>6.37</v>
      </c>
      <c r="F18" s="53">
        <v>3.27</v>
      </c>
      <c r="G18" s="53">
        <v>50.47</v>
      </c>
      <c r="H18" s="53">
        <v>25.04</v>
      </c>
      <c r="I18" s="53">
        <v>4.1399999999999997</v>
      </c>
      <c r="J18" s="53">
        <v>0.81</v>
      </c>
      <c r="K18" s="53">
        <v>342.63</v>
      </c>
      <c r="L18" s="53">
        <v>24.55</v>
      </c>
      <c r="M18" s="53">
        <v>38.68</v>
      </c>
      <c r="N18" s="53">
        <v>519.1</v>
      </c>
      <c r="O18" s="53">
        <v>0</v>
      </c>
      <c r="P18" s="53">
        <v>1.08</v>
      </c>
      <c r="Q18" s="53">
        <v>9.67</v>
      </c>
      <c r="R18" s="43"/>
      <c r="S18" s="43"/>
      <c r="T18" s="43"/>
      <c r="U18" s="43"/>
    </row>
    <row r="19" spans="1:21" s="11" customFormat="1" x14ac:dyDescent="0.25">
      <c r="A19" s="52" t="s">
        <v>141</v>
      </c>
      <c r="B19" s="53">
        <v>23.23</v>
      </c>
      <c r="C19" s="53">
        <v>20.25</v>
      </c>
      <c r="D19" s="53">
        <v>28.43</v>
      </c>
      <c r="E19" s="53">
        <v>6.61</v>
      </c>
      <c r="F19" s="53">
        <v>3.55</v>
      </c>
      <c r="G19" s="53">
        <v>56.03</v>
      </c>
      <c r="H19" s="53">
        <v>25.52</v>
      </c>
      <c r="I19" s="53">
        <v>3.81</v>
      </c>
      <c r="J19" s="53">
        <v>1.1599999999999999</v>
      </c>
      <c r="K19" s="53">
        <v>351.55</v>
      </c>
      <c r="L19" s="53">
        <v>26.39</v>
      </c>
      <c r="M19" s="53">
        <v>32.83</v>
      </c>
      <c r="N19" s="53">
        <v>564</v>
      </c>
      <c r="O19" s="53">
        <v>0</v>
      </c>
      <c r="P19" s="53">
        <v>0.93</v>
      </c>
      <c r="Q19" s="53">
        <v>9.66</v>
      </c>
      <c r="R19" s="43"/>
      <c r="S19" s="43"/>
      <c r="T19" s="43"/>
      <c r="U19" s="43"/>
    </row>
    <row r="20" spans="1:21" s="11" customFormat="1" x14ac:dyDescent="0.25">
      <c r="A20" s="52" t="s">
        <v>142</v>
      </c>
      <c r="B20" s="53">
        <v>21.71</v>
      </c>
      <c r="C20" s="53">
        <v>20.8</v>
      </c>
      <c r="D20" s="53">
        <v>27.44</v>
      </c>
      <c r="E20" s="53">
        <v>6.09</v>
      </c>
      <c r="F20" s="53">
        <v>4.37</v>
      </c>
      <c r="G20" s="53">
        <v>51.02</v>
      </c>
      <c r="H20" s="53">
        <v>25.39</v>
      </c>
      <c r="I20" s="53">
        <v>3.53</v>
      </c>
      <c r="J20" s="53">
        <v>1.8</v>
      </c>
      <c r="K20" s="53">
        <v>123.17</v>
      </c>
      <c r="L20" s="53">
        <v>25.15</v>
      </c>
      <c r="M20" s="53">
        <v>32.99</v>
      </c>
      <c r="N20" s="53">
        <v>586.20000000000005</v>
      </c>
      <c r="O20" s="53">
        <v>0</v>
      </c>
      <c r="P20" s="53">
        <v>0.86</v>
      </c>
      <c r="Q20" s="53">
        <v>9.65</v>
      </c>
      <c r="R20" s="43"/>
      <c r="S20" s="43"/>
      <c r="T20" s="43"/>
      <c r="U20" s="43"/>
    </row>
    <row r="21" spans="1:21" s="11" customFormat="1" x14ac:dyDescent="0.25">
      <c r="A21" s="52" t="s">
        <v>143</v>
      </c>
      <c r="B21" s="53">
        <v>15.46</v>
      </c>
      <c r="C21" s="53">
        <v>25.41</v>
      </c>
      <c r="D21" s="53">
        <v>23.95</v>
      </c>
      <c r="E21" s="53">
        <v>8.4700000000000006</v>
      </c>
      <c r="F21" s="53">
        <v>11.69</v>
      </c>
      <c r="G21" s="53">
        <v>11.84</v>
      </c>
      <c r="H21" s="53">
        <v>23.84</v>
      </c>
      <c r="I21" s="53">
        <v>3.25</v>
      </c>
      <c r="J21" s="53">
        <v>0.8</v>
      </c>
      <c r="K21" s="53">
        <v>340.88</v>
      </c>
      <c r="L21" s="53">
        <v>27.88</v>
      </c>
      <c r="M21" s="53">
        <v>30.44</v>
      </c>
      <c r="N21" s="53">
        <v>545.4</v>
      </c>
      <c r="O21" s="53">
        <v>0</v>
      </c>
      <c r="P21" s="53">
        <v>0.8</v>
      </c>
      <c r="Q21" s="53">
        <v>9.65</v>
      </c>
      <c r="R21" s="43"/>
      <c r="S21" s="43"/>
      <c r="T21" s="43"/>
      <c r="U21" s="43"/>
    </row>
    <row r="22" spans="1:21" s="11" customFormat="1" x14ac:dyDescent="0.25">
      <c r="A22" s="52" t="s">
        <v>144</v>
      </c>
      <c r="B22" s="53">
        <v>10.06</v>
      </c>
      <c r="C22" s="53">
        <v>29.52</v>
      </c>
      <c r="D22" s="53">
        <v>20.91</v>
      </c>
      <c r="E22" s="53">
        <v>9.26</v>
      </c>
      <c r="F22" s="53">
        <v>12.65</v>
      </c>
      <c r="G22" s="53">
        <v>4.71</v>
      </c>
      <c r="H22" s="53">
        <v>20.440000000000001</v>
      </c>
      <c r="I22" s="53">
        <v>3.02</v>
      </c>
      <c r="J22" s="53">
        <v>1.1100000000000001</v>
      </c>
      <c r="K22" s="53">
        <v>340.42</v>
      </c>
      <c r="L22" s="53">
        <v>28.27</v>
      </c>
      <c r="M22" s="53">
        <v>25.48</v>
      </c>
      <c r="N22" s="53">
        <v>494.4</v>
      </c>
      <c r="O22" s="53">
        <v>0</v>
      </c>
      <c r="P22" s="53">
        <v>0.82</v>
      </c>
      <c r="Q22" s="53">
        <v>9.66</v>
      </c>
      <c r="R22" s="43"/>
      <c r="S22" s="43"/>
      <c r="T22" s="43"/>
      <c r="U22" s="43"/>
    </row>
    <row r="23" spans="1:21" s="11" customFormat="1" x14ac:dyDescent="0.25">
      <c r="A23" s="52" t="s">
        <v>145</v>
      </c>
      <c r="B23" s="53">
        <v>6.85</v>
      </c>
      <c r="C23" s="53">
        <v>30.46</v>
      </c>
      <c r="D23" s="53">
        <v>20.73</v>
      </c>
      <c r="E23" s="53">
        <v>16.82</v>
      </c>
      <c r="F23" s="53">
        <v>12.28</v>
      </c>
      <c r="G23" s="53">
        <v>1.33</v>
      </c>
      <c r="H23" s="53">
        <v>19.5</v>
      </c>
      <c r="I23" s="53">
        <v>2.81</v>
      </c>
      <c r="J23" s="53">
        <v>0.36</v>
      </c>
      <c r="K23" s="53">
        <v>336.39</v>
      </c>
      <c r="L23" s="53">
        <v>25</v>
      </c>
      <c r="M23" s="53">
        <v>27.7</v>
      </c>
      <c r="N23" s="53">
        <v>131.5</v>
      </c>
      <c r="O23" s="53">
        <v>0</v>
      </c>
      <c r="P23" s="53">
        <v>0.71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146</v>
      </c>
      <c r="B24" s="53">
        <v>7.95</v>
      </c>
      <c r="C24" s="53">
        <v>31.37</v>
      </c>
      <c r="D24" s="53">
        <v>22.31</v>
      </c>
      <c r="E24" s="53">
        <v>20.350000000000001</v>
      </c>
      <c r="F24" s="53">
        <v>11.77</v>
      </c>
      <c r="G24" s="53">
        <v>0.59</v>
      </c>
      <c r="H24" s="53">
        <v>19.52</v>
      </c>
      <c r="I24" s="53">
        <v>2.64</v>
      </c>
      <c r="J24" s="53">
        <v>0.99</v>
      </c>
      <c r="K24" s="53">
        <v>121.97</v>
      </c>
      <c r="L24" s="53">
        <v>24.33</v>
      </c>
      <c r="M24" s="53">
        <v>31.07</v>
      </c>
      <c r="N24" s="53">
        <v>88.1</v>
      </c>
      <c r="O24" s="53">
        <v>0</v>
      </c>
      <c r="P24" s="53">
        <v>0.71</v>
      </c>
      <c r="Q24" s="53">
        <v>9.59</v>
      </c>
      <c r="R24" s="43"/>
      <c r="S24" s="43"/>
      <c r="T24" s="43"/>
      <c r="U24" s="43"/>
    </row>
    <row r="25" spans="1:21" s="11" customFormat="1" x14ac:dyDescent="0.25">
      <c r="A25" s="52" t="s">
        <v>147</v>
      </c>
      <c r="B25" s="53">
        <v>8.5</v>
      </c>
      <c r="C25" s="53">
        <v>40.64</v>
      </c>
      <c r="D25" s="53">
        <v>27.59</v>
      </c>
      <c r="E25" s="53">
        <v>28.65</v>
      </c>
      <c r="F25" s="53">
        <v>15.23</v>
      </c>
      <c r="G25" s="53">
        <v>1.65</v>
      </c>
      <c r="H25" s="53">
        <v>20.96</v>
      </c>
      <c r="I25" s="53">
        <v>2.4900000000000002</v>
      </c>
      <c r="J25" s="53">
        <v>0.56999999999999995</v>
      </c>
      <c r="K25" s="53">
        <v>103.83</v>
      </c>
      <c r="L25" s="53">
        <v>23.64</v>
      </c>
      <c r="M25" s="53">
        <v>34.28</v>
      </c>
      <c r="N25" s="53">
        <v>59.5</v>
      </c>
      <c r="O25" s="53">
        <v>0</v>
      </c>
      <c r="P25" s="53">
        <v>0.87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148</v>
      </c>
      <c r="B26" s="53">
        <v>25.57</v>
      </c>
      <c r="C26" s="53">
        <v>47.69</v>
      </c>
      <c r="D26" s="53">
        <v>42.65</v>
      </c>
      <c r="E26" s="53">
        <v>27.36</v>
      </c>
      <c r="F26" s="53">
        <v>7.43</v>
      </c>
      <c r="G26" s="53">
        <v>0.28000000000000003</v>
      </c>
      <c r="H26" s="53">
        <v>13.14</v>
      </c>
      <c r="I26" s="53">
        <v>3.27</v>
      </c>
      <c r="J26" s="53">
        <v>0.41</v>
      </c>
      <c r="K26" s="53">
        <v>350.88</v>
      </c>
      <c r="L26" s="53">
        <v>21.95</v>
      </c>
      <c r="M26" s="53">
        <v>50.28</v>
      </c>
      <c r="N26" s="53">
        <v>35.299999999999997</v>
      </c>
      <c r="O26" s="53">
        <v>0</v>
      </c>
      <c r="P26" s="53">
        <v>1.64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149</v>
      </c>
      <c r="B27" s="53">
        <v>20.399999999999999</v>
      </c>
      <c r="C27" s="53">
        <v>35.29</v>
      </c>
      <c r="D27" s="53">
        <v>30.3</v>
      </c>
      <c r="E27" s="53">
        <v>7.44</v>
      </c>
      <c r="F27" s="53">
        <v>3.25</v>
      </c>
      <c r="G27" s="53">
        <v>118.42</v>
      </c>
      <c r="H27" s="53">
        <v>48.87</v>
      </c>
      <c r="I27" s="53">
        <v>4.46</v>
      </c>
      <c r="J27" s="53">
        <v>0.42</v>
      </c>
      <c r="K27" s="53">
        <v>354.99</v>
      </c>
      <c r="L27" s="53">
        <v>19.440000000000001</v>
      </c>
      <c r="M27" s="53">
        <v>58.14</v>
      </c>
      <c r="N27" s="53">
        <v>32.299999999999997</v>
      </c>
      <c r="O27" s="53">
        <v>0</v>
      </c>
      <c r="P27" s="53">
        <v>1.42</v>
      </c>
      <c r="Q27" s="53">
        <v>9.67</v>
      </c>
      <c r="R27" s="43"/>
      <c r="S27" s="43"/>
      <c r="T27" s="43"/>
      <c r="U27" s="43"/>
    </row>
    <row r="28" spans="1:21" s="11" customFormat="1" x14ac:dyDescent="0.25">
      <c r="A28" s="52" t="s">
        <v>150</v>
      </c>
      <c r="B28" s="53">
        <v>23.57</v>
      </c>
      <c r="C28" s="53">
        <v>27.49</v>
      </c>
      <c r="D28" s="53">
        <v>31.44</v>
      </c>
      <c r="E28" s="53">
        <v>6.63</v>
      </c>
      <c r="F28" s="53">
        <v>3.21</v>
      </c>
      <c r="G28" s="53">
        <v>119.79</v>
      </c>
      <c r="H28" s="53">
        <v>51.28</v>
      </c>
      <c r="I28" s="53">
        <v>5.13</v>
      </c>
      <c r="J28" s="53">
        <v>0.34</v>
      </c>
      <c r="K28" s="53">
        <v>359.98</v>
      </c>
      <c r="L28" s="53">
        <v>18.89</v>
      </c>
      <c r="M28" s="53">
        <v>57.15</v>
      </c>
      <c r="N28" s="53">
        <v>32.1</v>
      </c>
      <c r="O28" s="53">
        <v>0</v>
      </c>
      <c r="P28" s="53">
        <v>1.55</v>
      </c>
      <c r="Q28" s="53">
        <v>9.67</v>
      </c>
      <c r="R28" s="43"/>
      <c r="S28" s="43"/>
      <c r="T28" s="43"/>
      <c r="U28" s="43"/>
    </row>
    <row r="29" spans="1:21" s="11" customFormat="1" x14ac:dyDescent="0.25">
      <c r="A29" s="52" t="s">
        <v>151</v>
      </c>
      <c r="B29" s="53">
        <v>38.07</v>
      </c>
      <c r="C29" s="53">
        <v>21.64</v>
      </c>
      <c r="D29" s="53">
        <v>37.03</v>
      </c>
      <c r="E29" s="53">
        <v>6.28</v>
      </c>
      <c r="F29" s="53">
        <v>2.84</v>
      </c>
      <c r="G29" s="53">
        <v>113.74</v>
      </c>
      <c r="H29" s="53">
        <v>49.94</v>
      </c>
      <c r="I29" s="53">
        <v>5.84</v>
      </c>
      <c r="J29" s="53">
        <v>0.37</v>
      </c>
      <c r="K29" s="53">
        <v>319.56</v>
      </c>
      <c r="L29" s="53">
        <v>17.54</v>
      </c>
      <c r="M29" s="53">
        <v>70.099999999999994</v>
      </c>
      <c r="N29" s="53">
        <v>32.1</v>
      </c>
      <c r="O29" s="53">
        <v>0</v>
      </c>
      <c r="P29" s="53">
        <v>1.92</v>
      </c>
      <c r="Q29" s="53">
        <v>9.6999999999999993</v>
      </c>
      <c r="R29" s="43"/>
      <c r="S29" s="43"/>
      <c r="T29" s="43"/>
      <c r="U29" s="43"/>
    </row>
    <row r="30" spans="1:21" s="11" customFormat="1" x14ac:dyDescent="0.25">
      <c r="A30" s="52" t="s">
        <v>152</v>
      </c>
      <c r="B30" s="53">
        <v>44.77</v>
      </c>
      <c r="C30" s="53">
        <v>13.42</v>
      </c>
      <c r="D30" s="53">
        <v>41.19</v>
      </c>
      <c r="E30" s="53">
        <v>6.7</v>
      </c>
      <c r="F30" s="53">
        <v>3.35</v>
      </c>
      <c r="G30" s="53">
        <v>112.6</v>
      </c>
      <c r="H30" s="53">
        <v>49.42</v>
      </c>
      <c r="I30" s="53">
        <v>6.61</v>
      </c>
      <c r="J30" s="53">
        <v>0.41</v>
      </c>
      <c r="K30" s="53">
        <v>324.86</v>
      </c>
      <c r="L30" s="53">
        <v>17.579999999999998</v>
      </c>
      <c r="M30" s="53">
        <v>72.319999999999993</v>
      </c>
      <c r="N30" s="53">
        <v>31.7</v>
      </c>
      <c r="O30" s="53">
        <v>0</v>
      </c>
      <c r="P30" s="53">
        <v>2.11</v>
      </c>
      <c r="Q30" s="53">
        <v>9.7200000000000006</v>
      </c>
      <c r="R30" s="43"/>
      <c r="S30" s="43"/>
      <c r="T30" s="43"/>
      <c r="U30" s="43"/>
    </row>
    <row r="31" spans="1:21" s="11" customFormat="1" x14ac:dyDescent="0.25">
      <c r="A31" s="52" t="s">
        <v>153</v>
      </c>
      <c r="B31" s="53">
        <v>43.18</v>
      </c>
      <c r="C31" s="53">
        <v>9.0500000000000007</v>
      </c>
      <c r="D31" s="53">
        <v>38.44</v>
      </c>
      <c r="E31" s="53">
        <v>6.33</v>
      </c>
      <c r="F31" s="53">
        <v>3.55</v>
      </c>
      <c r="G31" s="53">
        <v>106.95</v>
      </c>
      <c r="H31" s="53">
        <v>45.04</v>
      </c>
      <c r="I31" s="53">
        <v>6.21</v>
      </c>
      <c r="J31" s="53">
        <v>0.54</v>
      </c>
      <c r="K31" s="53">
        <v>130.33000000000001</v>
      </c>
      <c r="L31" s="53">
        <v>18.07</v>
      </c>
      <c r="M31" s="53">
        <v>50.69</v>
      </c>
      <c r="N31" s="53">
        <v>31.9</v>
      </c>
      <c r="O31" s="53">
        <v>0</v>
      </c>
      <c r="P31" s="53">
        <v>2.04</v>
      </c>
      <c r="Q31" s="53">
        <v>9.7100000000000009</v>
      </c>
      <c r="R31" s="43"/>
      <c r="S31" s="43"/>
      <c r="T31" s="43"/>
      <c r="U31" s="43"/>
    </row>
    <row r="32" spans="1:21" s="11" customFormat="1" x14ac:dyDescent="0.25">
      <c r="A32" s="52" t="s">
        <v>154</v>
      </c>
      <c r="B32" s="53">
        <v>39.04</v>
      </c>
      <c r="C32" s="53">
        <v>10.88</v>
      </c>
      <c r="D32" s="53">
        <v>35.770000000000003</v>
      </c>
      <c r="E32" s="53">
        <v>6.28</v>
      </c>
      <c r="F32" s="53">
        <v>2.92</v>
      </c>
      <c r="G32" s="53">
        <v>89.72</v>
      </c>
      <c r="H32" s="53">
        <v>36.130000000000003</v>
      </c>
      <c r="I32" s="53">
        <v>5.68</v>
      </c>
      <c r="J32" s="53">
        <v>0.22</v>
      </c>
      <c r="K32" s="53">
        <v>356.54</v>
      </c>
      <c r="L32" s="53">
        <v>17.38</v>
      </c>
      <c r="M32" s="53">
        <v>56.17</v>
      </c>
      <c r="N32" s="53">
        <v>31.9</v>
      </c>
      <c r="O32" s="53">
        <v>0</v>
      </c>
      <c r="P32" s="53">
        <v>1.79</v>
      </c>
      <c r="Q32" s="53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6.85</v>
      </c>
      <c r="C34" s="28">
        <f t="shared" si="0"/>
        <v>4.33</v>
      </c>
      <c r="D34" s="28">
        <f t="shared" si="0"/>
        <v>20.73</v>
      </c>
      <c r="E34" s="28">
        <f t="shared" si="0"/>
        <v>4.6399999999999997</v>
      </c>
      <c r="F34" s="28">
        <f t="shared" si="0"/>
        <v>2.84</v>
      </c>
      <c r="G34" s="28">
        <f t="shared" si="0"/>
        <v>0.28000000000000003</v>
      </c>
      <c r="H34" s="28">
        <f t="shared" si="0"/>
        <v>13.14</v>
      </c>
      <c r="I34" s="28">
        <f t="shared" si="0"/>
        <v>2.4900000000000002</v>
      </c>
      <c r="J34" s="28">
        <f t="shared" si="0"/>
        <v>0.22</v>
      </c>
      <c r="K34" s="28">
        <f t="shared" si="0"/>
        <v>103.83</v>
      </c>
      <c r="L34" s="28">
        <f t="shared" si="0"/>
        <v>13.46</v>
      </c>
      <c r="M34" s="28">
        <f t="shared" si="0"/>
        <v>25.48</v>
      </c>
      <c r="N34" s="28">
        <f t="shared" si="0"/>
        <v>31.7</v>
      </c>
      <c r="O34" s="28">
        <f t="shared" si="0"/>
        <v>0</v>
      </c>
      <c r="P34" s="28">
        <f t="shared" si="0"/>
        <v>0.71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51.21</v>
      </c>
      <c r="C35" s="29">
        <f t="shared" si="1"/>
        <v>47.69</v>
      </c>
      <c r="D35" s="29">
        <f t="shared" si="1"/>
        <v>42.87</v>
      </c>
      <c r="E35" s="29">
        <f t="shared" si="1"/>
        <v>28.65</v>
      </c>
      <c r="F35" s="29">
        <f t="shared" si="1"/>
        <v>15.23</v>
      </c>
      <c r="G35" s="29">
        <f t="shared" si="1"/>
        <v>121.71</v>
      </c>
      <c r="H35" s="29">
        <f t="shared" si="1"/>
        <v>51.28</v>
      </c>
      <c r="I35" s="29">
        <f t="shared" si="1"/>
        <v>6.61</v>
      </c>
      <c r="J35" s="29">
        <f t="shared" si="1"/>
        <v>1.8</v>
      </c>
      <c r="K35" s="29">
        <f t="shared" si="1"/>
        <v>359.98</v>
      </c>
      <c r="L35" s="29">
        <f t="shared" si="1"/>
        <v>28.27</v>
      </c>
      <c r="M35" s="29">
        <f t="shared" si="1"/>
        <v>80.08</v>
      </c>
      <c r="N35" s="29">
        <f t="shared" si="1"/>
        <v>586.20000000000005</v>
      </c>
      <c r="O35" s="29">
        <f t="shared" si="1"/>
        <v>0</v>
      </c>
      <c r="P35" s="29">
        <f t="shared" si="1"/>
        <v>2.27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26.513749999999991</v>
      </c>
      <c r="C36" s="28">
        <f t="shared" si="2"/>
        <v>20.530416666666671</v>
      </c>
      <c r="D36" s="28">
        <f t="shared" si="2"/>
        <v>30.529166666666669</v>
      </c>
      <c r="E36" s="28">
        <f t="shared" si="2"/>
        <v>9.0550000000000015</v>
      </c>
      <c r="F36" s="28">
        <f t="shared" si="2"/>
        <v>5.3674999999999988</v>
      </c>
      <c r="G36" s="28">
        <f t="shared" si="2"/>
        <v>67.62</v>
      </c>
      <c r="H36" s="28">
        <f t="shared" si="2"/>
        <v>33.099166666666662</v>
      </c>
      <c r="I36" s="28">
        <f t="shared" si="2"/>
        <v>4.5141666666666653</v>
      </c>
      <c r="J36" s="28">
        <f t="shared" si="2"/>
        <v>0.70208333333333328</v>
      </c>
      <c r="K36" s="28">
        <f t="shared" si="2"/>
        <v>306.68583333333333</v>
      </c>
      <c r="L36" s="28">
        <f t="shared" si="2"/>
        <v>20.134999999999998</v>
      </c>
      <c r="M36" s="28">
        <f t="shared" si="2"/>
        <v>54.326250000000009</v>
      </c>
      <c r="N36" s="28">
        <f t="shared" si="2"/>
        <v>172.04999999999998</v>
      </c>
      <c r="O36" s="28">
        <f t="shared" si="2"/>
        <v>0</v>
      </c>
      <c r="P36" s="28">
        <f t="shared" si="2"/>
        <v>1.3841666666666665</v>
      </c>
      <c r="Q36" s="28">
        <f t="shared" si="2"/>
        <v>9.6695833333333336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12.390492783301392</v>
      </c>
      <c r="C37" s="28">
        <f t="shared" ref="C37:Q37" si="3">STDEV(C9:C32)</f>
        <v>10.893022688726088</v>
      </c>
      <c r="D37" s="28">
        <f t="shared" si="3"/>
        <v>6.6938725495892859</v>
      </c>
      <c r="E37" s="28">
        <f t="shared" si="3"/>
        <v>6.9040888955937438</v>
      </c>
      <c r="F37" s="28">
        <f t="shared" si="3"/>
        <v>4.007674431366163</v>
      </c>
      <c r="G37" s="28">
        <f t="shared" si="3"/>
        <v>43.589705605596933</v>
      </c>
      <c r="H37" s="28">
        <f t="shared" si="3"/>
        <v>10.90293295867904</v>
      </c>
      <c r="I37" s="28">
        <f t="shared" si="3"/>
        <v>1.2331928043714939</v>
      </c>
      <c r="J37" s="28">
        <f t="shared" si="3"/>
        <v>0.36672438610258684</v>
      </c>
      <c r="K37" s="28">
        <f t="shared" si="3"/>
        <v>85.965438551561775</v>
      </c>
      <c r="L37" s="28">
        <f t="shared" si="3"/>
        <v>4.7085620439513232</v>
      </c>
      <c r="M37" s="28">
        <f t="shared" si="3"/>
        <v>18.977928785256292</v>
      </c>
      <c r="N37" s="28">
        <f t="shared" si="3"/>
        <v>213.48937454467907</v>
      </c>
      <c r="O37" s="28">
        <f t="shared" si="3"/>
        <v>0</v>
      </c>
      <c r="P37" s="28">
        <f t="shared" si="3"/>
        <v>0.4685956509166207</v>
      </c>
      <c r="Q37" s="28">
        <f t="shared" si="3"/>
        <v>3.2900266507003999E-2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14" sqref="J14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155</v>
      </c>
      <c r="B9" s="53">
        <v>33.35</v>
      </c>
      <c r="C9" s="53">
        <v>12.9</v>
      </c>
      <c r="D9" s="53">
        <v>32.229999999999997</v>
      </c>
      <c r="E9" s="53">
        <v>4.9400000000000004</v>
      </c>
      <c r="F9" s="53">
        <v>2.81</v>
      </c>
      <c r="G9" s="53">
        <v>71.06</v>
      </c>
      <c r="H9" s="53">
        <v>30.38</v>
      </c>
      <c r="I9" s="53">
        <v>5.53</v>
      </c>
      <c r="J9" s="53">
        <v>0.49</v>
      </c>
      <c r="K9" s="53">
        <v>325.95</v>
      </c>
      <c r="L9" s="53">
        <v>16.559999999999999</v>
      </c>
      <c r="M9" s="53">
        <v>61.84</v>
      </c>
      <c r="N9" s="53">
        <v>32.200000000000003</v>
      </c>
      <c r="O9" s="53">
        <v>0</v>
      </c>
      <c r="P9" s="53">
        <v>1.57</v>
      </c>
      <c r="Q9" s="53">
        <v>9.68</v>
      </c>
      <c r="R9" s="43"/>
      <c r="S9" s="43"/>
      <c r="T9" s="43"/>
      <c r="U9" s="43"/>
    </row>
    <row r="10" spans="1:21" s="11" customFormat="1" x14ac:dyDescent="0.25">
      <c r="A10" s="52" t="s">
        <v>156</v>
      </c>
      <c r="B10" s="53">
        <v>27.73</v>
      </c>
      <c r="C10" s="53">
        <v>14.49</v>
      </c>
      <c r="D10" s="53">
        <v>28.62</v>
      </c>
      <c r="E10" s="53">
        <v>4.68</v>
      </c>
      <c r="F10" s="53">
        <v>2.75</v>
      </c>
      <c r="G10" s="53">
        <v>60.49</v>
      </c>
      <c r="H10" s="53">
        <v>29.06</v>
      </c>
      <c r="I10" s="53">
        <v>4.97</v>
      </c>
      <c r="J10" s="53">
        <v>0.36</v>
      </c>
      <c r="K10" s="53">
        <v>321.27</v>
      </c>
      <c r="L10" s="53">
        <v>15.35</v>
      </c>
      <c r="M10" s="53">
        <v>72.03</v>
      </c>
      <c r="N10" s="53">
        <v>32.1</v>
      </c>
      <c r="O10" s="53">
        <v>0</v>
      </c>
      <c r="P10" s="53">
        <v>1.41</v>
      </c>
      <c r="Q10" s="53">
        <v>9.67</v>
      </c>
      <c r="R10" s="43"/>
      <c r="S10" s="43"/>
      <c r="T10" s="43"/>
      <c r="U10" s="43"/>
    </row>
    <row r="11" spans="1:21" s="11" customFormat="1" x14ac:dyDescent="0.25">
      <c r="A11" s="52" t="s">
        <v>157</v>
      </c>
      <c r="B11" s="53">
        <v>23.62</v>
      </c>
      <c r="C11" s="53">
        <v>15.83</v>
      </c>
      <c r="D11" s="53">
        <v>26.2</v>
      </c>
      <c r="E11" s="53">
        <v>4.68</v>
      </c>
      <c r="F11" s="53">
        <v>2.99</v>
      </c>
      <c r="G11" s="53">
        <v>57.39</v>
      </c>
      <c r="H11" s="53">
        <v>28.07</v>
      </c>
      <c r="I11" s="53">
        <v>4.6399999999999997</v>
      </c>
      <c r="J11" s="53">
        <v>0.5</v>
      </c>
      <c r="K11" s="53">
        <v>350.4</v>
      </c>
      <c r="L11" s="53">
        <v>14.93</v>
      </c>
      <c r="M11" s="53">
        <v>70.08</v>
      </c>
      <c r="N11" s="53">
        <v>31.8</v>
      </c>
      <c r="O11" s="53">
        <v>0</v>
      </c>
      <c r="P11" s="53">
        <v>1.37</v>
      </c>
      <c r="Q11" s="53">
        <v>9.67</v>
      </c>
      <c r="R11" s="43"/>
      <c r="S11" s="43"/>
      <c r="T11" s="43"/>
      <c r="U11" s="43"/>
    </row>
    <row r="12" spans="1:21" s="11" customFormat="1" x14ac:dyDescent="0.25">
      <c r="A12" s="52" t="s">
        <v>158</v>
      </c>
      <c r="B12" s="53">
        <v>20.260000000000002</v>
      </c>
      <c r="C12" s="53">
        <v>16.649999999999999</v>
      </c>
      <c r="D12" s="53">
        <v>24.08</v>
      </c>
      <c r="E12" s="53">
        <v>4.8899999999999997</v>
      </c>
      <c r="F12" s="53">
        <v>2.97</v>
      </c>
      <c r="G12" s="53">
        <v>63.03</v>
      </c>
      <c r="H12" s="53">
        <v>28.87</v>
      </c>
      <c r="I12" s="53">
        <v>4.3600000000000003</v>
      </c>
      <c r="J12" s="53">
        <v>0.84</v>
      </c>
      <c r="K12" s="53">
        <v>351.2</v>
      </c>
      <c r="L12" s="53">
        <v>14.64</v>
      </c>
      <c r="M12" s="53">
        <v>79.209999999999994</v>
      </c>
      <c r="N12" s="53">
        <v>32</v>
      </c>
      <c r="O12" s="53">
        <v>0</v>
      </c>
      <c r="P12" s="53">
        <v>1.24</v>
      </c>
      <c r="Q12" s="53">
        <v>9.66</v>
      </c>
      <c r="R12" s="43"/>
      <c r="S12" s="43"/>
      <c r="T12" s="43"/>
      <c r="U12" s="43"/>
    </row>
    <row r="13" spans="1:21" s="11" customFormat="1" x14ac:dyDescent="0.25">
      <c r="A13" s="52" t="s">
        <v>159</v>
      </c>
      <c r="B13" s="53">
        <v>17.53</v>
      </c>
      <c r="C13" s="53">
        <v>17.47</v>
      </c>
      <c r="D13" s="53">
        <v>22.41</v>
      </c>
      <c r="E13" s="53">
        <v>4.7</v>
      </c>
      <c r="F13" s="53">
        <v>2.88</v>
      </c>
      <c r="G13" s="53">
        <v>69.010000000000005</v>
      </c>
      <c r="H13" s="53">
        <v>32.409999999999997</v>
      </c>
      <c r="I13" s="53">
        <v>3.9</v>
      </c>
      <c r="J13" s="53">
        <v>0.5</v>
      </c>
      <c r="K13" s="53">
        <v>339.39</v>
      </c>
      <c r="L13" s="53">
        <v>14.14</v>
      </c>
      <c r="M13" s="53">
        <v>85.56</v>
      </c>
      <c r="N13" s="53">
        <v>32</v>
      </c>
      <c r="O13" s="53">
        <v>0</v>
      </c>
      <c r="P13" s="53">
        <v>1.1000000000000001</v>
      </c>
      <c r="Q13" s="53">
        <v>9.65</v>
      </c>
      <c r="R13" s="43"/>
      <c r="S13" s="43"/>
      <c r="T13" s="43"/>
      <c r="U13" s="43"/>
    </row>
    <row r="14" spans="1:21" s="11" customFormat="1" x14ac:dyDescent="0.25">
      <c r="A14" s="52" t="s">
        <v>160</v>
      </c>
      <c r="B14" s="53">
        <v>15.71</v>
      </c>
      <c r="C14" s="53">
        <v>17.59</v>
      </c>
      <c r="D14" s="53">
        <v>21.27</v>
      </c>
      <c r="E14" s="53">
        <v>4.45</v>
      </c>
      <c r="F14" s="53">
        <v>2.83</v>
      </c>
      <c r="G14" s="53">
        <v>67.3</v>
      </c>
      <c r="H14" s="53">
        <v>31.33</v>
      </c>
      <c r="I14" s="53">
        <v>3.65</v>
      </c>
      <c r="J14" s="53">
        <v>0.4</v>
      </c>
      <c r="K14" s="53">
        <v>328.6</v>
      </c>
      <c r="L14" s="53">
        <v>13.48</v>
      </c>
      <c r="M14" s="53">
        <v>92.21</v>
      </c>
      <c r="N14" s="53">
        <v>31.9</v>
      </c>
      <c r="O14" s="53">
        <v>0</v>
      </c>
      <c r="P14" s="53">
        <v>1</v>
      </c>
      <c r="Q14" s="53">
        <v>9.64</v>
      </c>
      <c r="R14" s="43"/>
      <c r="S14" s="43"/>
      <c r="T14" s="43"/>
      <c r="U14" s="43"/>
    </row>
    <row r="15" spans="1:21" s="11" customFormat="1" x14ac:dyDescent="0.25">
      <c r="A15" s="52" t="s">
        <v>161</v>
      </c>
      <c r="B15" s="53">
        <v>16.79</v>
      </c>
      <c r="C15" s="53">
        <v>17.77</v>
      </c>
      <c r="D15" s="53">
        <v>21.99</v>
      </c>
      <c r="E15" s="53">
        <v>4.62</v>
      </c>
      <c r="F15" s="53">
        <v>3.08</v>
      </c>
      <c r="G15" s="53">
        <v>65.239999999999995</v>
      </c>
      <c r="H15" s="53">
        <v>29.53</v>
      </c>
      <c r="I15" s="53">
        <v>3.44</v>
      </c>
      <c r="J15" s="53">
        <v>0.73</v>
      </c>
      <c r="K15" s="53">
        <v>337.34</v>
      </c>
      <c r="L15" s="53">
        <v>14.01</v>
      </c>
      <c r="M15" s="53">
        <v>91.79</v>
      </c>
      <c r="N15" s="53">
        <v>53.7</v>
      </c>
      <c r="O15" s="53">
        <v>0</v>
      </c>
      <c r="P15" s="53">
        <v>1.02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162</v>
      </c>
      <c r="B16" s="53">
        <v>20.51</v>
      </c>
      <c r="C16" s="53">
        <v>17.010000000000002</v>
      </c>
      <c r="D16" s="53">
        <v>24.24</v>
      </c>
      <c r="E16" s="53">
        <v>5.09</v>
      </c>
      <c r="F16" s="53">
        <v>2.92</v>
      </c>
      <c r="G16" s="53">
        <v>67.239999999999995</v>
      </c>
      <c r="H16" s="53">
        <v>31.33</v>
      </c>
      <c r="I16" s="53">
        <v>3.66</v>
      </c>
      <c r="J16" s="53">
        <v>0.83</v>
      </c>
      <c r="K16" s="53">
        <v>340.54</v>
      </c>
      <c r="L16" s="53">
        <v>17.920000000000002</v>
      </c>
      <c r="M16" s="53">
        <v>87.74</v>
      </c>
      <c r="N16" s="53">
        <v>225.9</v>
      </c>
      <c r="O16" s="53">
        <v>0</v>
      </c>
      <c r="P16" s="53">
        <v>1</v>
      </c>
      <c r="Q16" s="53">
        <v>9.65</v>
      </c>
      <c r="R16" s="43"/>
      <c r="S16" s="43"/>
      <c r="T16" s="43"/>
      <c r="U16" s="43"/>
    </row>
    <row r="17" spans="1:21" s="11" customFormat="1" x14ac:dyDescent="0.25">
      <c r="A17" s="52" t="s">
        <v>163</v>
      </c>
      <c r="B17" s="53">
        <v>23.03</v>
      </c>
      <c r="C17" s="53">
        <v>16.399999999999999</v>
      </c>
      <c r="D17" s="53">
        <v>26.58</v>
      </c>
      <c r="E17" s="53">
        <v>6.12</v>
      </c>
      <c r="F17" s="53">
        <v>3.2</v>
      </c>
      <c r="G17" s="53">
        <v>74.400000000000006</v>
      </c>
      <c r="H17" s="53">
        <v>33.31</v>
      </c>
      <c r="I17" s="53">
        <v>3.8</v>
      </c>
      <c r="J17" s="53">
        <v>0.93</v>
      </c>
      <c r="K17" s="53">
        <v>344.9</v>
      </c>
      <c r="L17" s="53">
        <v>21.7</v>
      </c>
      <c r="M17" s="53">
        <v>59.9</v>
      </c>
      <c r="N17" s="53">
        <v>379.1</v>
      </c>
      <c r="O17" s="53">
        <v>0</v>
      </c>
      <c r="P17" s="53">
        <v>0.94</v>
      </c>
      <c r="Q17" s="53">
        <v>9.66</v>
      </c>
      <c r="R17" s="43"/>
      <c r="S17" s="43"/>
      <c r="T17" s="43"/>
      <c r="U17" s="43"/>
    </row>
    <row r="18" spans="1:21" s="11" customFormat="1" x14ac:dyDescent="0.25">
      <c r="A18" s="52" t="s">
        <v>164</v>
      </c>
      <c r="B18" s="53">
        <v>23.72</v>
      </c>
      <c r="C18" s="53">
        <v>18.579999999999998</v>
      </c>
      <c r="D18" s="53">
        <v>27.76</v>
      </c>
      <c r="E18" s="53">
        <v>6.61</v>
      </c>
      <c r="F18" s="53">
        <v>3.05</v>
      </c>
      <c r="G18" s="53">
        <v>75.83</v>
      </c>
      <c r="H18" s="53">
        <v>32.659999999999997</v>
      </c>
      <c r="I18" s="53">
        <v>3.75</v>
      </c>
      <c r="J18" s="53">
        <v>1.07</v>
      </c>
      <c r="K18" s="53">
        <v>343.73</v>
      </c>
      <c r="L18" s="53">
        <v>23.79</v>
      </c>
      <c r="M18" s="53">
        <v>47.58</v>
      </c>
      <c r="N18" s="53">
        <v>492.3</v>
      </c>
      <c r="O18" s="53">
        <v>0</v>
      </c>
      <c r="P18" s="53">
        <v>0.91</v>
      </c>
      <c r="Q18" s="53">
        <v>9.66</v>
      </c>
      <c r="R18" s="43"/>
      <c r="S18" s="43"/>
      <c r="T18" s="43"/>
      <c r="U18" s="43"/>
    </row>
    <row r="19" spans="1:21" s="11" customFormat="1" x14ac:dyDescent="0.25">
      <c r="A19" s="52" t="s">
        <v>165</v>
      </c>
      <c r="B19" s="53">
        <v>21.88</v>
      </c>
      <c r="C19" s="53">
        <v>21.18</v>
      </c>
      <c r="D19" s="53">
        <v>27.08</v>
      </c>
      <c r="E19" s="53">
        <v>7.75</v>
      </c>
      <c r="F19" s="53">
        <v>4.0599999999999996</v>
      </c>
      <c r="G19" s="53">
        <v>74.64</v>
      </c>
      <c r="H19" s="53">
        <v>29.53</v>
      </c>
      <c r="I19" s="53">
        <v>3.63</v>
      </c>
      <c r="J19" s="53">
        <v>0.93</v>
      </c>
      <c r="K19" s="53">
        <v>340.58</v>
      </c>
      <c r="L19" s="53">
        <v>25.76</v>
      </c>
      <c r="M19" s="53">
        <v>43.13</v>
      </c>
      <c r="N19" s="53">
        <v>525.1</v>
      </c>
      <c r="O19" s="53">
        <v>0</v>
      </c>
      <c r="P19" s="53">
        <v>0.92</v>
      </c>
      <c r="Q19" s="53">
        <v>9.66</v>
      </c>
      <c r="R19" s="43"/>
      <c r="S19" s="43"/>
      <c r="T19" s="43"/>
      <c r="U19" s="43"/>
    </row>
    <row r="20" spans="1:21" s="11" customFormat="1" x14ac:dyDescent="0.25">
      <c r="A20" s="52" t="s">
        <v>166</v>
      </c>
      <c r="B20" s="53">
        <v>21.41</v>
      </c>
      <c r="C20" s="53">
        <v>21.82</v>
      </c>
      <c r="D20" s="53">
        <v>27.04</v>
      </c>
      <c r="E20" s="53">
        <v>7.63</v>
      </c>
      <c r="F20" s="53">
        <v>4.22</v>
      </c>
      <c r="G20" s="53">
        <v>71.650000000000006</v>
      </c>
      <c r="H20" s="53">
        <v>29.92</v>
      </c>
      <c r="I20" s="53">
        <v>3.52</v>
      </c>
      <c r="J20" s="53">
        <v>1.25</v>
      </c>
      <c r="K20" s="53">
        <v>342.1</v>
      </c>
      <c r="L20" s="53">
        <v>27.29</v>
      </c>
      <c r="M20" s="53">
        <v>32.83</v>
      </c>
      <c r="N20" s="53">
        <v>529.6</v>
      </c>
      <c r="O20" s="53">
        <v>0</v>
      </c>
      <c r="P20" s="53">
        <v>0.9</v>
      </c>
      <c r="Q20" s="53">
        <v>9.67</v>
      </c>
      <c r="R20" s="43"/>
      <c r="S20" s="43"/>
      <c r="T20" s="43"/>
      <c r="U20" s="43"/>
    </row>
    <row r="21" spans="1:21" s="11" customFormat="1" x14ac:dyDescent="0.25">
      <c r="A21" s="52" t="s">
        <v>167</v>
      </c>
      <c r="B21" s="53">
        <v>17.760000000000002</v>
      </c>
      <c r="C21" s="53">
        <v>25.31</v>
      </c>
      <c r="D21" s="53">
        <v>26.7</v>
      </c>
      <c r="E21" s="53">
        <v>7.8</v>
      </c>
      <c r="F21" s="53">
        <v>4.53</v>
      </c>
      <c r="G21" s="53">
        <v>65.849999999999994</v>
      </c>
      <c r="H21" s="53">
        <v>27.11</v>
      </c>
      <c r="I21" s="53">
        <v>3.3</v>
      </c>
      <c r="J21" s="53">
        <v>1.52</v>
      </c>
      <c r="K21" s="53">
        <v>342.82</v>
      </c>
      <c r="L21" s="53">
        <v>27.44</v>
      </c>
      <c r="M21" s="53">
        <v>35.43</v>
      </c>
      <c r="N21" s="53">
        <v>491.7</v>
      </c>
      <c r="O21" s="53">
        <v>0</v>
      </c>
      <c r="P21" s="53">
        <v>0.81</v>
      </c>
      <c r="Q21" s="53">
        <v>9.65</v>
      </c>
      <c r="R21" s="43"/>
      <c r="S21" s="43"/>
      <c r="T21" s="43"/>
      <c r="U21" s="43"/>
    </row>
    <row r="22" spans="1:21" s="11" customFormat="1" x14ac:dyDescent="0.25">
      <c r="A22" s="52" t="s">
        <v>168</v>
      </c>
      <c r="B22" s="53">
        <v>15.17</v>
      </c>
      <c r="C22" s="53">
        <v>26.01</v>
      </c>
      <c r="D22" s="53">
        <v>24.66</v>
      </c>
      <c r="E22" s="53">
        <v>8.39</v>
      </c>
      <c r="F22" s="53">
        <v>5.39</v>
      </c>
      <c r="G22" s="53">
        <v>60.68</v>
      </c>
      <c r="H22" s="53">
        <v>25.05</v>
      </c>
      <c r="I22" s="53">
        <v>3.13</v>
      </c>
      <c r="J22" s="53">
        <v>0.59</v>
      </c>
      <c r="K22" s="53">
        <v>348.69</v>
      </c>
      <c r="L22" s="53">
        <v>26.14</v>
      </c>
      <c r="M22" s="53">
        <v>33.92</v>
      </c>
      <c r="N22" s="53">
        <v>441.3</v>
      </c>
      <c r="O22" s="53">
        <v>0</v>
      </c>
      <c r="P22" s="53">
        <v>0.86</v>
      </c>
      <c r="Q22" s="53">
        <v>9.64</v>
      </c>
      <c r="R22" s="43"/>
      <c r="S22" s="43"/>
      <c r="T22" s="43"/>
      <c r="U22" s="43"/>
    </row>
    <row r="23" spans="1:21" s="11" customFormat="1" x14ac:dyDescent="0.25">
      <c r="A23" s="52" t="s">
        <v>169</v>
      </c>
      <c r="B23" s="53">
        <v>12.82</v>
      </c>
      <c r="C23" s="53">
        <v>28.09</v>
      </c>
      <c r="D23" s="53">
        <v>23.08</v>
      </c>
      <c r="E23" s="53">
        <v>18.059999999999999</v>
      </c>
      <c r="F23" s="53">
        <v>14.42</v>
      </c>
      <c r="G23" s="53">
        <v>55.59</v>
      </c>
      <c r="H23" s="53">
        <v>22.41</v>
      </c>
      <c r="I23" s="53">
        <v>2.98</v>
      </c>
      <c r="J23" s="53">
        <v>0.85</v>
      </c>
      <c r="K23" s="53">
        <v>336.73</v>
      </c>
      <c r="L23" s="53">
        <v>25.02</v>
      </c>
      <c r="M23" s="53">
        <v>33.18</v>
      </c>
      <c r="N23" s="53">
        <v>134.19999999999999</v>
      </c>
      <c r="O23" s="53">
        <v>0</v>
      </c>
      <c r="P23" s="53">
        <v>0.84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170</v>
      </c>
      <c r="B24" s="53">
        <v>11.58</v>
      </c>
      <c r="C24" s="53">
        <v>30.13</v>
      </c>
      <c r="D24" s="53">
        <v>24.34</v>
      </c>
      <c r="E24" s="53">
        <v>16.38</v>
      </c>
      <c r="F24" s="53">
        <v>13.84</v>
      </c>
      <c r="G24" s="53">
        <v>51.28</v>
      </c>
      <c r="H24" s="53">
        <v>21.1</v>
      </c>
      <c r="I24" s="53">
        <v>2.92</v>
      </c>
      <c r="J24" s="53">
        <v>0.75</v>
      </c>
      <c r="K24" s="53">
        <v>346.68</v>
      </c>
      <c r="L24" s="53">
        <v>24.03</v>
      </c>
      <c r="M24" s="53">
        <v>35.25</v>
      </c>
      <c r="N24" s="53">
        <v>88.1</v>
      </c>
      <c r="O24" s="53">
        <v>0</v>
      </c>
      <c r="P24" s="53">
        <v>0.93</v>
      </c>
      <c r="Q24" s="53">
        <v>9.65</v>
      </c>
      <c r="R24" s="43"/>
      <c r="S24" s="43"/>
      <c r="T24" s="43"/>
      <c r="U24" s="43"/>
    </row>
    <row r="25" spans="1:21" s="11" customFormat="1" x14ac:dyDescent="0.25">
      <c r="A25" s="52" t="s">
        <v>171</v>
      </c>
      <c r="B25" s="53">
        <v>10.72</v>
      </c>
      <c r="C25" s="53">
        <v>27.74</v>
      </c>
      <c r="D25" s="53">
        <v>22.39</v>
      </c>
      <c r="E25" s="53">
        <v>8.4700000000000006</v>
      </c>
      <c r="F25" s="53">
        <v>5.97</v>
      </c>
      <c r="G25" s="53">
        <v>50.72</v>
      </c>
      <c r="H25" s="53">
        <v>20.9</v>
      </c>
      <c r="I25" s="53">
        <v>2.93</v>
      </c>
      <c r="J25" s="53">
        <v>0.74</v>
      </c>
      <c r="K25" s="53">
        <v>347.99</v>
      </c>
      <c r="L25" s="53">
        <v>23.28</v>
      </c>
      <c r="M25" s="53">
        <v>40.04</v>
      </c>
      <c r="N25" s="53">
        <v>61</v>
      </c>
      <c r="O25" s="53">
        <v>0</v>
      </c>
      <c r="P25" s="53">
        <v>0.91</v>
      </c>
      <c r="Q25" s="53">
        <v>9.65</v>
      </c>
      <c r="R25" s="43"/>
      <c r="S25" s="43"/>
      <c r="T25" s="43"/>
      <c r="U25" s="43"/>
    </row>
    <row r="26" spans="1:21" s="11" customFormat="1" x14ac:dyDescent="0.25">
      <c r="A26" s="52" t="s">
        <v>172</v>
      </c>
      <c r="B26" s="53">
        <v>11.75</v>
      </c>
      <c r="C26" s="53">
        <v>31.02</v>
      </c>
      <c r="D26" s="53">
        <v>24.47</v>
      </c>
      <c r="E26" s="53">
        <v>7.29</v>
      </c>
      <c r="F26" s="53">
        <v>5.52</v>
      </c>
      <c r="G26" s="53">
        <v>50.36</v>
      </c>
      <c r="H26" s="53">
        <v>22.23</v>
      </c>
      <c r="I26" s="53">
        <v>2.98</v>
      </c>
      <c r="J26" s="53">
        <v>0.33</v>
      </c>
      <c r="K26" s="53">
        <v>69.33</v>
      </c>
      <c r="L26" s="53">
        <v>21.31</v>
      </c>
      <c r="M26" s="53">
        <v>52.81</v>
      </c>
      <c r="N26" s="53">
        <v>35.1</v>
      </c>
      <c r="O26" s="53">
        <v>0</v>
      </c>
      <c r="P26" s="53">
        <v>1.01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173</v>
      </c>
      <c r="B27" s="53">
        <v>19.68</v>
      </c>
      <c r="C27" s="53">
        <v>27.73</v>
      </c>
      <c r="D27" s="53">
        <v>29.81</v>
      </c>
      <c r="E27" s="53">
        <v>6.89</v>
      </c>
      <c r="F27" s="53">
        <v>3.22</v>
      </c>
      <c r="G27" s="53">
        <v>67.3</v>
      </c>
      <c r="H27" s="53">
        <v>26.35</v>
      </c>
      <c r="I27" s="53">
        <v>4.0999999999999996</v>
      </c>
      <c r="J27" s="53">
        <v>0.46</v>
      </c>
      <c r="K27" s="53">
        <v>346.09</v>
      </c>
      <c r="L27" s="53">
        <v>19.100000000000001</v>
      </c>
      <c r="M27" s="53">
        <v>62.74</v>
      </c>
      <c r="N27" s="53">
        <v>32.5</v>
      </c>
      <c r="O27" s="53">
        <v>0</v>
      </c>
      <c r="P27" s="53">
        <v>1.57</v>
      </c>
      <c r="Q27" s="53">
        <v>9.65</v>
      </c>
      <c r="R27" s="43"/>
      <c r="S27" s="43"/>
      <c r="T27" s="43"/>
      <c r="U27" s="43"/>
    </row>
    <row r="28" spans="1:21" s="11" customFormat="1" x14ac:dyDescent="0.25">
      <c r="A28" s="52" t="s">
        <v>174</v>
      </c>
      <c r="B28" s="53">
        <v>20.53</v>
      </c>
      <c r="C28" s="53">
        <v>27.49</v>
      </c>
      <c r="D28" s="53">
        <v>29.64</v>
      </c>
      <c r="E28" s="53">
        <v>7.18</v>
      </c>
      <c r="F28" s="53">
        <v>5.04</v>
      </c>
      <c r="G28" s="53">
        <v>81.95</v>
      </c>
      <c r="H28" s="53">
        <v>32.479999999999997</v>
      </c>
      <c r="I28" s="53">
        <v>4.8099999999999996</v>
      </c>
      <c r="J28" s="53">
        <v>0.27</v>
      </c>
      <c r="K28" s="53">
        <v>93.79</v>
      </c>
      <c r="L28" s="53">
        <v>18.73</v>
      </c>
      <c r="M28" s="53">
        <v>54.45</v>
      </c>
      <c r="N28" s="53">
        <v>31.8</v>
      </c>
      <c r="O28" s="53">
        <v>0</v>
      </c>
      <c r="P28" s="53">
        <v>1.48</v>
      </c>
      <c r="Q28" s="53">
        <v>9.67</v>
      </c>
      <c r="R28" s="43"/>
      <c r="S28" s="43"/>
      <c r="T28" s="43"/>
      <c r="U28" s="43"/>
    </row>
    <row r="29" spans="1:21" s="11" customFormat="1" x14ac:dyDescent="0.25">
      <c r="A29" s="52" t="s">
        <v>175</v>
      </c>
      <c r="B29" s="53">
        <v>21.83</v>
      </c>
      <c r="C29" s="53">
        <v>25.77</v>
      </c>
      <c r="D29" s="53">
        <v>28.46</v>
      </c>
      <c r="E29" s="53">
        <v>6.54</v>
      </c>
      <c r="F29" s="53">
        <v>4.91</v>
      </c>
      <c r="G29" s="53">
        <v>77.34</v>
      </c>
      <c r="H29" s="53">
        <v>31.5</v>
      </c>
      <c r="I29" s="53">
        <v>4.67</v>
      </c>
      <c r="J29" s="53">
        <v>0.21</v>
      </c>
      <c r="K29" s="53">
        <v>142.09</v>
      </c>
      <c r="L29" s="53">
        <v>18.329999999999998</v>
      </c>
      <c r="M29" s="53">
        <v>56.14</v>
      </c>
      <c r="N29" s="53">
        <v>32.1</v>
      </c>
      <c r="O29" s="53">
        <v>0</v>
      </c>
      <c r="P29" s="53">
        <v>1.48</v>
      </c>
      <c r="Q29" s="53">
        <v>9.67</v>
      </c>
      <c r="R29" s="43"/>
      <c r="S29" s="43"/>
      <c r="T29" s="43"/>
      <c r="U29" s="43"/>
    </row>
    <row r="30" spans="1:21" s="11" customFormat="1" x14ac:dyDescent="0.25">
      <c r="A30" s="52" t="s">
        <v>176</v>
      </c>
      <c r="B30" s="53">
        <v>25.57</v>
      </c>
      <c r="C30" s="53">
        <v>18.63</v>
      </c>
      <c r="D30" s="53">
        <v>28.82</v>
      </c>
      <c r="E30" s="53">
        <v>5.71</v>
      </c>
      <c r="F30" s="53">
        <v>3.01</v>
      </c>
      <c r="G30" s="53">
        <v>74.06</v>
      </c>
      <c r="H30" s="53">
        <v>31.92</v>
      </c>
      <c r="I30" s="53">
        <v>4.87</v>
      </c>
      <c r="J30" s="53">
        <v>0.37</v>
      </c>
      <c r="K30" s="53">
        <v>338.92</v>
      </c>
      <c r="L30" s="53">
        <v>17.11</v>
      </c>
      <c r="M30" s="53">
        <v>62.19</v>
      </c>
      <c r="N30" s="53">
        <v>32.1</v>
      </c>
      <c r="O30" s="53">
        <v>0</v>
      </c>
      <c r="P30" s="53">
        <v>1.5</v>
      </c>
      <c r="Q30" s="53">
        <v>9.67</v>
      </c>
      <c r="R30" s="43"/>
      <c r="S30" s="43"/>
      <c r="T30" s="43"/>
      <c r="U30" s="43"/>
    </row>
    <row r="31" spans="1:21" s="11" customFormat="1" x14ac:dyDescent="0.25">
      <c r="A31" s="52" t="s">
        <v>177</v>
      </c>
      <c r="B31" s="53">
        <v>29.61</v>
      </c>
      <c r="C31" s="53">
        <v>16.25</v>
      </c>
      <c r="D31" s="53">
        <v>31.06</v>
      </c>
      <c r="E31" s="53">
        <v>5.82</v>
      </c>
      <c r="F31" s="53">
        <v>2.95</v>
      </c>
      <c r="G31" s="53">
        <v>71.680000000000007</v>
      </c>
      <c r="H31" s="53">
        <v>31.2</v>
      </c>
      <c r="I31" s="53">
        <v>4.95</v>
      </c>
      <c r="J31" s="53">
        <v>0.37</v>
      </c>
      <c r="K31" s="53">
        <v>333.16</v>
      </c>
      <c r="L31" s="53">
        <v>16.75</v>
      </c>
      <c r="M31" s="53">
        <v>56.78</v>
      </c>
      <c r="N31" s="53">
        <v>31.9</v>
      </c>
      <c r="O31" s="53">
        <v>0</v>
      </c>
      <c r="P31" s="53">
        <v>1.52</v>
      </c>
      <c r="Q31" s="53">
        <v>9.67</v>
      </c>
      <c r="R31" s="43"/>
      <c r="S31" s="43"/>
      <c r="T31" s="43"/>
      <c r="U31" s="43"/>
    </row>
    <row r="32" spans="1:21" s="11" customFormat="1" x14ac:dyDescent="0.25">
      <c r="A32" s="52" t="s">
        <v>178</v>
      </c>
      <c r="B32" s="53">
        <v>29.61</v>
      </c>
      <c r="C32" s="53">
        <v>15.08</v>
      </c>
      <c r="D32" s="53">
        <v>30.68</v>
      </c>
      <c r="E32" s="53">
        <v>5.52</v>
      </c>
      <c r="F32" s="53">
        <v>2.54</v>
      </c>
      <c r="G32" s="53">
        <v>72.98</v>
      </c>
      <c r="H32" s="53">
        <v>32.31</v>
      </c>
      <c r="I32" s="53">
        <v>5.35</v>
      </c>
      <c r="J32" s="53">
        <v>0.27</v>
      </c>
      <c r="K32" s="53">
        <v>345.24</v>
      </c>
      <c r="L32" s="53">
        <v>16.239999999999998</v>
      </c>
      <c r="M32" s="53">
        <v>63.65</v>
      </c>
      <c r="N32" s="53">
        <v>32.1</v>
      </c>
      <c r="O32" s="53">
        <v>0</v>
      </c>
      <c r="P32" s="53">
        <v>1.48</v>
      </c>
      <c r="Q32" s="53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10.72</v>
      </c>
      <c r="C34" s="28">
        <f t="shared" si="0"/>
        <v>12.9</v>
      </c>
      <c r="D34" s="28">
        <f t="shared" si="0"/>
        <v>21.27</v>
      </c>
      <c r="E34" s="28">
        <f t="shared" si="0"/>
        <v>4.45</v>
      </c>
      <c r="F34" s="28">
        <f t="shared" si="0"/>
        <v>2.54</v>
      </c>
      <c r="G34" s="28">
        <f t="shared" si="0"/>
        <v>50.36</v>
      </c>
      <c r="H34" s="28">
        <f t="shared" si="0"/>
        <v>20.9</v>
      </c>
      <c r="I34" s="28">
        <f t="shared" si="0"/>
        <v>2.92</v>
      </c>
      <c r="J34" s="28">
        <f t="shared" si="0"/>
        <v>0.21</v>
      </c>
      <c r="K34" s="28">
        <f t="shared" si="0"/>
        <v>69.33</v>
      </c>
      <c r="L34" s="28">
        <f t="shared" si="0"/>
        <v>13.48</v>
      </c>
      <c r="M34" s="28">
        <f t="shared" si="0"/>
        <v>32.83</v>
      </c>
      <c r="N34" s="28">
        <f t="shared" si="0"/>
        <v>31.8</v>
      </c>
      <c r="O34" s="28">
        <f t="shared" si="0"/>
        <v>0</v>
      </c>
      <c r="P34" s="28">
        <f t="shared" si="0"/>
        <v>0.81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33.35</v>
      </c>
      <c r="C35" s="29">
        <f t="shared" si="1"/>
        <v>31.02</v>
      </c>
      <c r="D35" s="29">
        <f t="shared" si="1"/>
        <v>32.229999999999997</v>
      </c>
      <c r="E35" s="29">
        <f t="shared" si="1"/>
        <v>18.059999999999999</v>
      </c>
      <c r="F35" s="29">
        <f t="shared" si="1"/>
        <v>14.42</v>
      </c>
      <c r="G35" s="29">
        <f t="shared" si="1"/>
        <v>81.95</v>
      </c>
      <c r="H35" s="29">
        <f t="shared" si="1"/>
        <v>33.31</v>
      </c>
      <c r="I35" s="29">
        <f t="shared" si="1"/>
        <v>5.53</v>
      </c>
      <c r="J35" s="29">
        <f t="shared" si="1"/>
        <v>1.52</v>
      </c>
      <c r="K35" s="29">
        <f t="shared" si="1"/>
        <v>351.2</v>
      </c>
      <c r="L35" s="29">
        <f t="shared" si="1"/>
        <v>27.44</v>
      </c>
      <c r="M35" s="29">
        <f t="shared" si="1"/>
        <v>92.21</v>
      </c>
      <c r="N35" s="29">
        <f t="shared" si="1"/>
        <v>529.6</v>
      </c>
      <c r="O35" s="29">
        <f t="shared" si="1"/>
        <v>0</v>
      </c>
      <c r="P35" s="29">
        <f t="shared" si="1"/>
        <v>1.57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20.507083333333338</v>
      </c>
      <c r="C36" s="28">
        <f t="shared" si="2"/>
        <v>21.122499999999999</v>
      </c>
      <c r="D36" s="28">
        <f t="shared" si="2"/>
        <v>26.400416666666668</v>
      </c>
      <c r="E36" s="28">
        <f t="shared" si="2"/>
        <v>7.0920833333333322</v>
      </c>
      <c r="F36" s="28">
        <f t="shared" si="2"/>
        <v>4.5458333333333343</v>
      </c>
      <c r="G36" s="28">
        <f t="shared" si="2"/>
        <v>66.544583333333335</v>
      </c>
      <c r="H36" s="28">
        <f t="shared" si="2"/>
        <v>28.790000000000003</v>
      </c>
      <c r="I36" s="28">
        <f t="shared" si="2"/>
        <v>3.9933333333333336</v>
      </c>
      <c r="J36" s="28">
        <f t="shared" si="2"/>
        <v>0.64833333333333321</v>
      </c>
      <c r="K36" s="28">
        <f t="shared" si="2"/>
        <v>310.73041666666666</v>
      </c>
      <c r="L36" s="28">
        <f t="shared" si="2"/>
        <v>19.710416666666664</v>
      </c>
      <c r="M36" s="28">
        <f t="shared" si="2"/>
        <v>58.77</v>
      </c>
      <c r="N36" s="28">
        <f t="shared" si="2"/>
        <v>160.06666666666663</v>
      </c>
      <c r="O36" s="28">
        <f t="shared" si="2"/>
        <v>0</v>
      </c>
      <c r="P36" s="28">
        <f t="shared" si="2"/>
        <v>1.1570833333333335</v>
      </c>
      <c r="Q36" s="28">
        <f t="shared" si="2"/>
        <v>9.6591666666666658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6.0181778833989004</v>
      </c>
      <c r="C37" s="28">
        <f t="shared" ref="C37:Q37" si="3">STDEV(C9:C32)</f>
        <v>5.6258929725982609</v>
      </c>
      <c r="D37" s="28">
        <f t="shared" si="3"/>
        <v>3.1200104224556173</v>
      </c>
      <c r="E37" s="28">
        <f t="shared" si="3"/>
        <v>3.3807382512091073</v>
      </c>
      <c r="F37" s="28">
        <f t="shared" si="3"/>
        <v>3.1254800211037721</v>
      </c>
      <c r="G37" s="28">
        <f t="shared" si="3"/>
        <v>8.7985156748005675</v>
      </c>
      <c r="H37" s="28">
        <f t="shared" si="3"/>
        <v>3.8660068152619735</v>
      </c>
      <c r="I37" s="28">
        <f t="shared" si="3"/>
        <v>0.80992037540288564</v>
      </c>
      <c r="J37" s="28">
        <f t="shared" si="3"/>
        <v>0.3350232524917417</v>
      </c>
      <c r="K37" s="28">
        <f t="shared" si="3"/>
        <v>81.764849069126811</v>
      </c>
      <c r="L37" s="28">
        <f t="shared" si="3"/>
        <v>4.6238667040802151</v>
      </c>
      <c r="M37" s="28">
        <f t="shared" si="3"/>
        <v>19.085539256087362</v>
      </c>
      <c r="N37" s="28">
        <f t="shared" si="3"/>
        <v>193.4631672992285</v>
      </c>
      <c r="O37" s="28">
        <f t="shared" si="3"/>
        <v>0</v>
      </c>
      <c r="P37" s="28">
        <f t="shared" si="3"/>
        <v>0.27699441473990211</v>
      </c>
      <c r="Q37" s="28">
        <f t="shared" si="3"/>
        <v>1.3160106602801289E-2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179</v>
      </c>
      <c r="B9" s="53">
        <v>27.06</v>
      </c>
      <c r="C9" s="53">
        <v>15.16</v>
      </c>
      <c r="D9" s="53">
        <v>29.16</v>
      </c>
      <c r="E9" s="53">
        <v>4.88</v>
      </c>
      <c r="F9" s="53">
        <v>2.95</v>
      </c>
      <c r="G9" s="53">
        <v>75.78</v>
      </c>
      <c r="H9" s="53">
        <v>34.15</v>
      </c>
      <c r="I9" s="53">
        <v>4.93</v>
      </c>
      <c r="J9" s="53">
        <v>0.64</v>
      </c>
      <c r="K9" s="53">
        <v>343.69</v>
      </c>
      <c r="L9" s="53">
        <v>15.53</v>
      </c>
      <c r="M9" s="53">
        <v>67.59</v>
      </c>
      <c r="N9" s="53">
        <v>32.1</v>
      </c>
      <c r="O9" s="53">
        <v>0</v>
      </c>
      <c r="P9" s="53">
        <v>1.44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180</v>
      </c>
      <c r="B10" s="53">
        <v>24.3</v>
      </c>
      <c r="C10" s="53">
        <v>16.059999999999999</v>
      </c>
      <c r="D10" s="53">
        <v>27.05</v>
      </c>
      <c r="E10" s="53">
        <v>4.79</v>
      </c>
      <c r="F10" s="53">
        <v>3.02</v>
      </c>
      <c r="G10" s="53">
        <v>73.39</v>
      </c>
      <c r="H10" s="53">
        <v>32.68</v>
      </c>
      <c r="I10" s="53">
        <v>4.6500000000000004</v>
      </c>
      <c r="J10" s="53">
        <v>0.35</v>
      </c>
      <c r="K10" s="53">
        <v>350.32</v>
      </c>
      <c r="L10" s="53">
        <v>14.81</v>
      </c>
      <c r="M10" s="53">
        <v>63.83</v>
      </c>
      <c r="N10" s="53">
        <v>31.8</v>
      </c>
      <c r="O10" s="53">
        <v>0</v>
      </c>
      <c r="P10" s="53">
        <v>1.28</v>
      </c>
      <c r="Q10" s="53">
        <v>9.67</v>
      </c>
      <c r="R10" s="43"/>
      <c r="S10" s="43"/>
      <c r="T10" s="43"/>
      <c r="U10" s="43"/>
    </row>
    <row r="11" spans="1:21" s="11" customFormat="1" x14ac:dyDescent="0.25">
      <c r="A11" s="52" t="s">
        <v>181</v>
      </c>
      <c r="B11" s="53">
        <v>19.96</v>
      </c>
      <c r="C11" s="53">
        <v>17.350000000000001</v>
      </c>
      <c r="D11" s="53">
        <v>24.06</v>
      </c>
      <c r="E11" s="53">
        <v>4.43</v>
      </c>
      <c r="F11" s="53">
        <v>2.88</v>
      </c>
      <c r="G11" s="53">
        <v>67.77</v>
      </c>
      <c r="H11" s="53">
        <v>29.52</v>
      </c>
      <c r="I11" s="53">
        <v>4.17</v>
      </c>
      <c r="J11" s="53">
        <v>0.73</v>
      </c>
      <c r="K11" s="53">
        <v>350.96</v>
      </c>
      <c r="L11" s="53">
        <v>14.5</v>
      </c>
      <c r="M11" s="53">
        <v>60.71</v>
      </c>
      <c r="N11" s="53">
        <v>31.7</v>
      </c>
      <c r="O11" s="53">
        <v>0</v>
      </c>
      <c r="P11" s="53">
        <v>1.1299999999999999</v>
      </c>
      <c r="Q11" s="53">
        <v>9.66</v>
      </c>
      <c r="R11" s="43"/>
      <c r="S11" s="43"/>
      <c r="T11" s="43"/>
      <c r="U11" s="43"/>
    </row>
    <row r="12" spans="1:21" s="11" customFormat="1" x14ac:dyDescent="0.25">
      <c r="A12" s="52" t="s">
        <v>182</v>
      </c>
      <c r="B12" s="53">
        <v>16.59</v>
      </c>
      <c r="C12" s="53">
        <v>18.079999999999998</v>
      </c>
      <c r="D12" s="53">
        <v>22.09</v>
      </c>
      <c r="E12" s="53">
        <v>4.6500000000000004</v>
      </c>
      <c r="F12" s="53">
        <v>2.71</v>
      </c>
      <c r="G12" s="53">
        <v>63.27</v>
      </c>
      <c r="H12" s="53">
        <v>29.62</v>
      </c>
      <c r="I12" s="53">
        <v>3.89</v>
      </c>
      <c r="J12" s="53">
        <v>0.44</v>
      </c>
      <c r="K12" s="53">
        <v>351.06</v>
      </c>
      <c r="L12" s="53">
        <v>14.24</v>
      </c>
      <c r="M12" s="53">
        <v>64.290000000000006</v>
      </c>
      <c r="N12" s="53">
        <v>32.1</v>
      </c>
      <c r="O12" s="53">
        <v>0</v>
      </c>
      <c r="P12" s="53">
        <v>1.01</v>
      </c>
      <c r="Q12" s="53">
        <v>9.65</v>
      </c>
      <c r="R12" s="43"/>
      <c r="S12" s="43"/>
      <c r="T12" s="43"/>
      <c r="U12" s="43"/>
    </row>
    <row r="13" spans="1:21" s="11" customFormat="1" x14ac:dyDescent="0.25">
      <c r="A13" s="52" t="s">
        <v>183</v>
      </c>
      <c r="B13" s="53">
        <v>15.33</v>
      </c>
      <c r="C13" s="53">
        <v>18.149999999999999</v>
      </c>
      <c r="D13" s="53">
        <v>21.31</v>
      </c>
      <c r="E13" s="53">
        <v>4.37</v>
      </c>
      <c r="F13" s="53">
        <v>3.07</v>
      </c>
      <c r="G13" s="53">
        <v>66.28</v>
      </c>
      <c r="H13" s="53">
        <v>28.48</v>
      </c>
      <c r="I13" s="53">
        <v>4.08</v>
      </c>
      <c r="J13" s="53">
        <v>0.76</v>
      </c>
      <c r="K13" s="53">
        <v>351.3</v>
      </c>
      <c r="L13" s="53">
        <v>13.44</v>
      </c>
      <c r="M13" s="53">
        <v>68.56</v>
      </c>
      <c r="N13" s="53">
        <v>31.8</v>
      </c>
      <c r="O13" s="53">
        <v>0</v>
      </c>
      <c r="P13" s="53">
        <v>1.0900000000000001</v>
      </c>
      <c r="Q13" s="53">
        <v>9.65</v>
      </c>
      <c r="R13" s="43"/>
      <c r="S13" s="43"/>
      <c r="T13" s="43"/>
      <c r="U13" s="43"/>
    </row>
    <row r="14" spans="1:21" s="11" customFormat="1" x14ac:dyDescent="0.25">
      <c r="A14" s="52" t="s">
        <v>184</v>
      </c>
      <c r="B14" s="53">
        <v>15</v>
      </c>
      <c r="C14" s="53">
        <v>18.239999999999998</v>
      </c>
      <c r="D14" s="53">
        <v>21.09</v>
      </c>
      <c r="E14" s="53">
        <v>4.8099999999999996</v>
      </c>
      <c r="F14" s="53">
        <v>3.16</v>
      </c>
      <c r="G14" s="53">
        <v>69.52</v>
      </c>
      <c r="H14" s="53">
        <v>30.25</v>
      </c>
      <c r="I14" s="53">
        <v>4.17</v>
      </c>
      <c r="J14" s="53">
        <v>0.26</v>
      </c>
      <c r="K14" s="53">
        <v>354.93</v>
      </c>
      <c r="L14" s="53">
        <v>13.21</v>
      </c>
      <c r="M14" s="53">
        <v>67.87</v>
      </c>
      <c r="N14" s="53">
        <v>31.9</v>
      </c>
      <c r="O14" s="53">
        <v>0</v>
      </c>
      <c r="P14" s="53">
        <v>1.1499999999999999</v>
      </c>
      <c r="Q14" s="53">
        <v>9.65</v>
      </c>
      <c r="R14" s="43"/>
      <c r="S14" s="43"/>
      <c r="T14" s="43"/>
      <c r="U14" s="43"/>
    </row>
    <row r="15" spans="1:21" s="11" customFormat="1" x14ac:dyDescent="0.25">
      <c r="A15" s="52" t="s">
        <v>185</v>
      </c>
      <c r="B15" s="53">
        <v>14.57</v>
      </c>
      <c r="C15" s="53">
        <v>17.989999999999998</v>
      </c>
      <c r="D15" s="53">
        <v>20.53</v>
      </c>
      <c r="E15" s="53">
        <v>4.3899999999999997</v>
      </c>
      <c r="F15" s="53">
        <v>3</v>
      </c>
      <c r="G15" s="53">
        <v>69.260000000000005</v>
      </c>
      <c r="H15" s="53">
        <v>28.12</v>
      </c>
      <c r="I15" s="53">
        <v>4.17</v>
      </c>
      <c r="J15" s="53">
        <v>0.51</v>
      </c>
      <c r="K15" s="53">
        <v>333.44</v>
      </c>
      <c r="L15" s="53">
        <v>12.92</v>
      </c>
      <c r="M15" s="53">
        <v>63.28</v>
      </c>
      <c r="N15" s="53">
        <v>53.7</v>
      </c>
      <c r="O15" s="53">
        <v>0</v>
      </c>
      <c r="P15" s="53">
        <v>1.08</v>
      </c>
      <c r="Q15" s="53">
        <v>9.64</v>
      </c>
      <c r="R15" s="43"/>
      <c r="S15" s="43"/>
      <c r="T15" s="43"/>
      <c r="U15" s="43"/>
    </row>
    <row r="16" spans="1:21" s="11" customFormat="1" x14ac:dyDescent="0.25">
      <c r="A16" s="52" t="s">
        <v>186</v>
      </c>
      <c r="B16" s="53">
        <v>19.54</v>
      </c>
      <c r="C16" s="53">
        <v>17.68</v>
      </c>
      <c r="D16" s="53">
        <v>23.71</v>
      </c>
      <c r="E16" s="53">
        <v>6.19</v>
      </c>
      <c r="F16" s="53">
        <v>2.96</v>
      </c>
      <c r="G16" s="53">
        <v>66.790000000000006</v>
      </c>
      <c r="H16" s="53">
        <v>28.28</v>
      </c>
      <c r="I16" s="53">
        <v>4.1100000000000003</v>
      </c>
      <c r="J16" s="53">
        <v>0.77</v>
      </c>
      <c r="K16" s="53">
        <v>344.78</v>
      </c>
      <c r="L16" s="53">
        <v>18.61</v>
      </c>
      <c r="M16" s="53">
        <v>61.45</v>
      </c>
      <c r="N16" s="53">
        <v>275.2</v>
      </c>
      <c r="O16" s="53">
        <v>0</v>
      </c>
      <c r="P16" s="53">
        <v>1.06</v>
      </c>
      <c r="Q16" s="53">
        <v>9.65</v>
      </c>
      <c r="R16" s="43"/>
      <c r="S16" s="43"/>
      <c r="T16" s="43"/>
      <c r="U16" s="43"/>
    </row>
    <row r="17" spans="1:21" s="11" customFormat="1" x14ac:dyDescent="0.25">
      <c r="A17" s="52" t="s">
        <v>187</v>
      </c>
      <c r="B17" s="53">
        <v>20.03</v>
      </c>
      <c r="C17" s="53">
        <v>17.47</v>
      </c>
      <c r="D17" s="53">
        <v>24.37</v>
      </c>
      <c r="E17" s="53">
        <v>5.91</v>
      </c>
      <c r="F17" s="53">
        <v>2.81</v>
      </c>
      <c r="G17" s="53">
        <v>64.400000000000006</v>
      </c>
      <c r="H17" s="53">
        <v>27.25</v>
      </c>
      <c r="I17" s="53">
        <v>3.91</v>
      </c>
      <c r="J17" s="53">
        <v>0.8</v>
      </c>
      <c r="K17" s="53">
        <v>342.6</v>
      </c>
      <c r="L17" s="53">
        <v>21.37</v>
      </c>
      <c r="M17" s="53">
        <v>34.08</v>
      </c>
      <c r="N17" s="53">
        <v>426.4</v>
      </c>
      <c r="O17" s="53">
        <v>0</v>
      </c>
      <c r="P17" s="53">
        <v>1.06</v>
      </c>
      <c r="Q17" s="53">
        <v>9.66</v>
      </c>
      <c r="R17" s="43"/>
      <c r="S17" s="43"/>
      <c r="T17" s="43"/>
      <c r="U17" s="43"/>
    </row>
    <row r="18" spans="1:21" s="11" customFormat="1" x14ac:dyDescent="0.25">
      <c r="A18" s="52" t="s">
        <v>188</v>
      </c>
      <c r="B18" s="53">
        <v>19.23</v>
      </c>
      <c r="C18" s="53">
        <v>18.25</v>
      </c>
      <c r="D18" s="53">
        <v>24.29</v>
      </c>
      <c r="E18" s="53">
        <v>6.33</v>
      </c>
      <c r="F18" s="53">
        <v>3.24</v>
      </c>
      <c r="G18" s="53">
        <v>58.89</v>
      </c>
      <c r="H18" s="53">
        <v>25.27</v>
      </c>
      <c r="I18" s="53">
        <v>3.75</v>
      </c>
      <c r="J18" s="53">
        <v>1.02</v>
      </c>
      <c r="K18" s="53">
        <v>340.24</v>
      </c>
      <c r="L18" s="53">
        <v>24.91</v>
      </c>
      <c r="M18" s="53">
        <v>31.17</v>
      </c>
      <c r="N18" s="53">
        <v>528.1</v>
      </c>
      <c r="O18" s="53">
        <v>0</v>
      </c>
      <c r="P18" s="53">
        <v>1.04</v>
      </c>
      <c r="Q18" s="53">
        <v>9.67</v>
      </c>
      <c r="R18" s="43"/>
      <c r="S18" s="43"/>
      <c r="T18" s="43"/>
      <c r="U18" s="43"/>
    </row>
    <row r="19" spans="1:21" s="11" customFormat="1" x14ac:dyDescent="0.25">
      <c r="A19" s="52" t="s">
        <v>189</v>
      </c>
      <c r="B19" s="53">
        <v>18.809999999999999</v>
      </c>
      <c r="C19" s="53">
        <v>19.760000000000002</v>
      </c>
      <c r="D19" s="53">
        <v>24.48</v>
      </c>
      <c r="E19" s="53">
        <v>5.93</v>
      </c>
      <c r="F19" s="53">
        <v>3.39</v>
      </c>
      <c r="G19" s="53">
        <v>53.23</v>
      </c>
      <c r="H19" s="53">
        <v>21.51</v>
      </c>
      <c r="I19" s="53">
        <v>3.49</v>
      </c>
      <c r="J19" s="53">
        <v>1.31</v>
      </c>
      <c r="K19" s="53">
        <v>343.98</v>
      </c>
      <c r="L19" s="53">
        <v>26.49</v>
      </c>
      <c r="M19" s="53">
        <v>31.29</v>
      </c>
      <c r="N19" s="53">
        <v>562</v>
      </c>
      <c r="O19" s="53">
        <v>0</v>
      </c>
      <c r="P19" s="53">
        <v>0.94</v>
      </c>
      <c r="Q19" s="53">
        <v>9.69</v>
      </c>
      <c r="R19" s="43"/>
      <c r="S19" s="43"/>
      <c r="T19" s="43"/>
      <c r="U19" s="43"/>
    </row>
    <row r="20" spans="1:21" s="11" customFormat="1" x14ac:dyDescent="0.25">
      <c r="A20" s="52" t="s">
        <v>190</v>
      </c>
      <c r="B20" s="53">
        <v>16.760000000000002</v>
      </c>
      <c r="C20" s="53">
        <v>21.83</v>
      </c>
      <c r="D20" s="53">
        <v>23.67</v>
      </c>
      <c r="E20" s="53">
        <v>5.77</v>
      </c>
      <c r="F20" s="53">
        <v>2.93</v>
      </c>
      <c r="G20" s="53">
        <v>52.4</v>
      </c>
      <c r="H20" s="53">
        <v>21.46</v>
      </c>
      <c r="I20" s="53">
        <v>3.25</v>
      </c>
      <c r="J20" s="53">
        <v>1.54</v>
      </c>
      <c r="K20" s="53">
        <v>123.93</v>
      </c>
      <c r="L20" s="53">
        <v>26.21</v>
      </c>
      <c r="M20" s="53">
        <v>25.73</v>
      </c>
      <c r="N20" s="53">
        <v>572.9</v>
      </c>
      <c r="O20" s="53">
        <v>0</v>
      </c>
      <c r="P20" s="53">
        <v>0.88</v>
      </c>
      <c r="Q20" s="53">
        <v>9.68</v>
      </c>
      <c r="R20" s="43"/>
      <c r="S20" s="43"/>
      <c r="T20" s="43"/>
      <c r="U20" s="43"/>
    </row>
    <row r="21" spans="1:21" s="11" customFormat="1" x14ac:dyDescent="0.25">
      <c r="A21" s="52" t="s">
        <v>191</v>
      </c>
      <c r="B21" s="53">
        <v>14.5</v>
      </c>
      <c r="C21" s="53">
        <v>24.46</v>
      </c>
      <c r="D21" s="53">
        <v>23.2</v>
      </c>
      <c r="E21" s="53">
        <v>7.67</v>
      </c>
      <c r="F21" s="53">
        <v>4.2</v>
      </c>
      <c r="G21" s="53">
        <v>51.44</v>
      </c>
      <c r="H21" s="53">
        <v>20.55</v>
      </c>
      <c r="I21" s="53">
        <v>3.07</v>
      </c>
      <c r="J21" s="53">
        <v>1.32</v>
      </c>
      <c r="K21" s="53">
        <v>347.37</v>
      </c>
      <c r="L21" s="53">
        <v>27.7</v>
      </c>
      <c r="M21" s="53">
        <v>22.71</v>
      </c>
      <c r="N21" s="53">
        <v>549.79999999999995</v>
      </c>
      <c r="O21" s="53">
        <v>0</v>
      </c>
      <c r="P21" s="53">
        <v>0.82</v>
      </c>
      <c r="Q21" s="53">
        <v>9.68</v>
      </c>
      <c r="R21" s="43"/>
      <c r="S21" s="43"/>
      <c r="T21" s="43"/>
      <c r="U21" s="43"/>
    </row>
    <row r="22" spans="1:21" s="11" customFormat="1" x14ac:dyDescent="0.25">
      <c r="A22" s="52" t="s">
        <v>192</v>
      </c>
      <c r="B22" s="53">
        <v>12.39</v>
      </c>
      <c r="C22" s="53">
        <v>27.59</v>
      </c>
      <c r="D22" s="53">
        <v>23.89</v>
      </c>
      <c r="E22" s="53">
        <v>19.36</v>
      </c>
      <c r="F22" s="53">
        <v>8.9600000000000009</v>
      </c>
      <c r="G22" s="53">
        <v>48.96</v>
      </c>
      <c r="H22" s="53">
        <v>19.309999999999999</v>
      </c>
      <c r="I22" s="53">
        <v>2.92</v>
      </c>
      <c r="J22" s="53">
        <v>1.4</v>
      </c>
      <c r="K22" s="53">
        <v>339.66</v>
      </c>
      <c r="L22" s="53">
        <v>27.69</v>
      </c>
      <c r="M22" s="53">
        <v>21.88</v>
      </c>
      <c r="N22" s="53">
        <v>480.1</v>
      </c>
      <c r="O22" s="53">
        <v>0</v>
      </c>
      <c r="P22" s="53">
        <v>0.85</v>
      </c>
      <c r="Q22" s="53">
        <v>9.69</v>
      </c>
      <c r="R22" s="43"/>
      <c r="S22" s="43"/>
      <c r="T22" s="43"/>
      <c r="U22" s="43"/>
    </row>
    <row r="23" spans="1:21" s="11" customFormat="1" x14ac:dyDescent="0.25">
      <c r="A23" s="52" t="s">
        <v>193</v>
      </c>
      <c r="B23" s="53">
        <v>10.9</v>
      </c>
      <c r="C23" s="53">
        <v>29.61</v>
      </c>
      <c r="D23" s="53">
        <v>23.18</v>
      </c>
      <c r="E23" s="53">
        <v>19.100000000000001</v>
      </c>
      <c r="F23" s="53">
        <v>7.86</v>
      </c>
      <c r="G23" s="53">
        <v>50.56</v>
      </c>
      <c r="H23" s="53">
        <v>17.72</v>
      </c>
      <c r="I23" s="53">
        <v>2.82</v>
      </c>
      <c r="J23" s="53">
        <v>1.17</v>
      </c>
      <c r="K23" s="53">
        <v>340.07</v>
      </c>
      <c r="L23" s="53">
        <v>25.98</v>
      </c>
      <c r="M23" s="53">
        <v>22.86</v>
      </c>
      <c r="N23" s="53">
        <v>140.1</v>
      </c>
      <c r="O23" s="53">
        <v>0</v>
      </c>
      <c r="P23" s="53">
        <v>0.85</v>
      </c>
      <c r="Q23" s="53">
        <v>9.69</v>
      </c>
      <c r="R23" s="43"/>
      <c r="S23" s="43"/>
      <c r="T23" s="43"/>
      <c r="U23" s="43"/>
    </row>
    <row r="24" spans="1:21" s="11" customFormat="1" x14ac:dyDescent="0.25">
      <c r="A24" s="52" t="s">
        <v>194</v>
      </c>
      <c r="B24" s="53">
        <v>8.76</v>
      </c>
      <c r="C24" s="53">
        <v>31</v>
      </c>
      <c r="D24" s="53">
        <v>21.68</v>
      </c>
      <c r="E24" s="53">
        <v>7.43</v>
      </c>
      <c r="F24" s="53">
        <v>3.8</v>
      </c>
      <c r="G24" s="53">
        <v>60.93</v>
      </c>
      <c r="H24" s="53">
        <v>20.98</v>
      </c>
      <c r="I24" s="53">
        <v>2.8</v>
      </c>
      <c r="J24" s="53">
        <v>1.31</v>
      </c>
      <c r="K24" s="53">
        <v>337.62</v>
      </c>
      <c r="L24" s="53">
        <v>24.75</v>
      </c>
      <c r="M24" s="53">
        <v>24.72</v>
      </c>
      <c r="N24" s="53">
        <v>85.5</v>
      </c>
      <c r="O24" s="53">
        <v>0</v>
      </c>
      <c r="P24" s="53">
        <v>0.85</v>
      </c>
      <c r="Q24" s="53">
        <v>9.69</v>
      </c>
      <c r="R24" s="43"/>
      <c r="S24" s="43"/>
      <c r="T24" s="43"/>
      <c r="U24" s="43"/>
    </row>
    <row r="25" spans="1:21" s="11" customFormat="1" x14ac:dyDescent="0.25">
      <c r="A25" s="52" t="s">
        <v>195</v>
      </c>
      <c r="B25" s="53">
        <v>6.66</v>
      </c>
      <c r="C25" s="53">
        <v>32.65</v>
      </c>
      <c r="D25" s="53">
        <v>21.91</v>
      </c>
      <c r="E25" s="53">
        <v>5.76</v>
      </c>
      <c r="F25" s="53">
        <v>4.4400000000000004</v>
      </c>
      <c r="G25" s="53">
        <v>64.2</v>
      </c>
      <c r="H25" s="53">
        <v>21.98</v>
      </c>
      <c r="I25" s="53">
        <v>2.79</v>
      </c>
      <c r="J25" s="53">
        <v>1.19</v>
      </c>
      <c r="K25" s="53">
        <v>340.98</v>
      </c>
      <c r="L25" s="53">
        <v>23.56</v>
      </c>
      <c r="M25" s="53">
        <v>28.22</v>
      </c>
      <c r="N25" s="53">
        <v>67.400000000000006</v>
      </c>
      <c r="O25" s="53">
        <v>0</v>
      </c>
      <c r="P25" s="53">
        <v>0.91</v>
      </c>
      <c r="Q25" s="53">
        <v>9.68</v>
      </c>
      <c r="R25" s="43"/>
      <c r="S25" s="43"/>
      <c r="T25" s="43"/>
      <c r="U25" s="43"/>
    </row>
    <row r="26" spans="1:21" s="11" customFormat="1" x14ac:dyDescent="0.25">
      <c r="A26" s="52" t="s">
        <v>196</v>
      </c>
      <c r="B26" s="53">
        <v>23.77</v>
      </c>
      <c r="C26" s="53">
        <v>39.25</v>
      </c>
      <c r="D26" s="53">
        <v>35.630000000000003</v>
      </c>
      <c r="E26" s="53">
        <v>8.36</v>
      </c>
      <c r="F26" s="53">
        <v>6.04</v>
      </c>
      <c r="G26" s="53">
        <v>64.42</v>
      </c>
      <c r="H26" s="53">
        <v>26.04</v>
      </c>
      <c r="I26" s="53">
        <v>2.96</v>
      </c>
      <c r="J26" s="53">
        <v>0.77</v>
      </c>
      <c r="K26" s="53">
        <v>344.95</v>
      </c>
      <c r="L26" s="53">
        <v>21.38</v>
      </c>
      <c r="M26" s="53">
        <v>37.79</v>
      </c>
      <c r="N26" s="53">
        <v>36.4</v>
      </c>
      <c r="O26" s="53">
        <v>0</v>
      </c>
      <c r="P26" s="53">
        <v>1.42</v>
      </c>
      <c r="Q26" s="53">
        <v>9.67</v>
      </c>
      <c r="R26" s="43"/>
      <c r="S26" s="43"/>
      <c r="T26" s="43"/>
      <c r="U26" s="43"/>
    </row>
    <row r="27" spans="1:21" s="11" customFormat="1" x14ac:dyDescent="0.25">
      <c r="A27" s="52" t="s">
        <v>197</v>
      </c>
      <c r="B27" s="53">
        <v>18.37</v>
      </c>
      <c r="C27" s="53">
        <v>33.42</v>
      </c>
      <c r="D27" s="53">
        <v>30.03</v>
      </c>
      <c r="E27" s="53">
        <v>6.95</v>
      </c>
      <c r="F27" s="53">
        <v>3.38</v>
      </c>
      <c r="G27" s="53">
        <v>76.17</v>
      </c>
      <c r="H27" s="53">
        <v>30.61</v>
      </c>
      <c r="I27" s="53">
        <v>3.31</v>
      </c>
      <c r="J27" s="53">
        <v>0.35</v>
      </c>
      <c r="K27" s="53">
        <v>284.08</v>
      </c>
      <c r="L27" s="53">
        <v>18.38</v>
      </c>
      <c r="M27" s="53">
        <v>52.67</v>
      </c>
      <c r="N27" s="53">
        <v>32.299999999999997</v>
      </c>
      <c r="O27" s="53">
        <v>0</v>
      </c>
      <c r="P27" s="53">
        <v>1.45</v>
      </c>
      <c r="Q27" s="53">
        <v>9.68</v>
      </c>
      <c r="R27" s="43"/>
      <c r="S27" s="43"/>
      <c r="T27" s="43"/>
      <c r="U27" s="43"/>
    </row>
    <row r="28" spans="1:21" s="11" customFormat="1" x14ac:dyDescent="0.25">
      <c r="A28" s="52" t="s">
        <v>198</v>
      </c>
      <c r="B28" s="53">
        <v>48</v>
      </c>
      <c r="C28" s="53">
        <v>21.87</v>
      </c>
      <c r="D28" s="53">
        <v>43.87</v>
      </c>
      <c r="E28" s="53">
        <v>5.54</v>
      </c>
      <c r="F28" s="53">
        <v>3.24</v>
      </c>
      <c r="G28" s="53">
        <v>163.11000000000001</v>
      </c>
      <c r="H28" s="53">
        <v>43.79</v>
      </c>
      <c r="I28" s="53">
        <v>5.05</v>
      </c>
      <c r="J28" s="53">
        <v>0.18</v>
      </c>
      <c r="K28" s="53">
        <v>235.73</v>
      </c>
      <c r="L28" s="53">
        <v>16.63</v>
      </c>
      <c r="M28" s="53">
        <v>65.52</v>
      </c>
      <c r="N28" s="53">
        <v>32.1</v>
      </c>
      <c r="O28" s="53">
        <v>0</v>
      </c>
      <c r="P28" s="53">
        <v>1.83</v>
      </c>
      <c r="Q28" s="53">
        <v>9.74</v>
      </c>
      <c r="R28" s="43"/>
      <c r="S28" s="43"/>
      <c r="T28" s="43"/>
      <c r="U28" s="43"/>
    </row>
    <row r="29" spans="1:21" s="11" customFormat="1" x14ac:dyDescent="0.25">
      <c r="A29" s="52" t="s">
        <v>199</v>
      </c>
      <c r="B29" s="53">
        <v>76.87</v>
      </c>
      <c r="C29" s="53">
        <v>6.88</v>
      </c>
      <c r="D29" s="53">
        <v>59.82</v>
      </c>
      <c r="E29" s="53">
        <v>6.05</v>
      </c>
      <c r="F29" s="53">
        <v>3.17</v>
      </c>
      <c r="G29" s="53">
        <v>195.77</v>
      </c>
      <c r="H29" s="53">
        <v>60.69</v>
      </c>
      <c r="I29" s="53">
        <v>6.82</v>
      </c>
      <c r="J29" s="53">
        <v>0.39</v>
      </c>
      <c r="K29" s="53">
        <v>359.49</v>
      </c>
      <c r="L29" s="53">
        <v>15.45</v>
      </c>
      <c r="M29" s="53">
        <v>73.23</v>
      </c>
      <c r="N29" s="53">
        <v>32.1</v>
      </c>
      <c r="O29" s="53">
        <v>0</v>
      </c>
      <c r="P29" s="53">
        <v>2.54</v>
      </c>
      <c r="Q29" s="53">
        <v>9.7899999999999991</v>
      </c>
      <c r="R29" s="43"/>
      <c r="S29" s="43"/>
      <c r="T29" s="43"/>
      <c r="U29" s="43"/>
    </row>
    <row r="30" spans="1:21" s="11" customFormat="1" x14ac:dyDescent="0.25">
      <c r="A30" s="52" t="s">
        <v>200</v>
      </c>
      <c r="B30" s="53">
        <v>105.19</v>
      </c>
      <c r="C30" s="5" t="s">
        <v>14</v>
      </c>
      <c r="D30" s="53">
        <v>74.7</v>
      </c>
      <c r="E30" s="53">
        <v>6.1</v>
      </c>
      <c r="F30" s="53">
        <v>3.29</v>
      </c>
      <c r="G30" s="53">
        <v>204.06</v>
      </c>
      <c r="H30" s="53">
        <v>73.739999999999995</v>
      </c>
      <c r="I30" s="53">
        <v>8.1300000000000008</v>
      </c>
      <c r="J30" s="53">
        <v>0.38</v>
      </c>
      <c r="K30" s="53">
        <v>348.89</v>
      </c>
      <c r="L30" s="53">
        <v>14.98</v>
      </c>
      <c r="M30" s="53">
        <v>77.81</v>
      </c>
      <c r="N30" s="53">
        <v>32</v>
      </c>
      <c r="O30" s="53">
        <v>0</v>
      </c>
      <c r="P30" s="53">
        <v>3.21</v>
      </c>
      <c r="Q30" s="53">
        <v>9.84</v>
      </c>
      <c r="R30" s="43"/>
      <c r="S30" s="43"/>
      <c r="T30" s="43"/>
      <c r="U30" s="43"/>
    </row>
    <row r="31" spans="1:21" s="11" customFormat="1" x14ac:dyDescent="0.25">
      <c r="A31" s="52" t="s">
        <v>201</v>
      </c>
      <c r="B31" s="53">
        <v>114.54</v>
      </c>
      <c r="C31" s="5" t="s">
        <v>14</v>
      </c>
      <c r="D31" s="53">
        <v>78.77</v>
      </c>
      <c r="E31" s="53">
        <v>6.75</v>
      </c>
      <c r="F31" s="53">
        <v>3.65</v>
      </c>
      <c r="G31" s="53">
        <v>186.51</v>
      </c>
      <c r="H31" s="53">
        <v>85.45</v>
      </c>
      <c r="I31" s="53">
        <v>9.09</v>
      </c>
      <c r="J31" s="53">
        <v>0.4</v>
      </c>
      <c r="K31" s="53">
        <v>354.69</v>
      </c>
      <c r="L31" s="53">
        <v>14.47</v>
      </c>
      <c r="M31" s="53">
        <v>88.66</v>
      </c>
      <c r="N31" s="53">
        <v>32.1</v>
      </c>
      <c r="O31" s="53">
        <v>0</v>
      </c>
      <c r="P31" s="53">
        <v>3.58</v>
      </c>
      <c r="Q31" s="53">
        <v>9.8800000000000008</v>
      </c>
      <c r="R31" s="43"/>
      <c r="S31" s="43"/>
      <c r="T31" s="43"/>
      <c r="U31" s="43"/>
    </row>
    <row r="32" spans="1:21" s="11" customFormat="1" x14ac:dyDescent="0.25">
      <c r="A32" s="52" t="s">
        <v>202</v>
      </c>
      <c r="B32" s="53">
        <v>116.98</v>
      </c>
      <c r="C32" s="5" t="s">
        <v>14</v>
      </c>
      <c r="D32" s="53">
        <v>79.16</v>
      </c>
      <c r="E32" s="53">
        <v>6.6</v>
      </c>
      <c r="F32" s="53">
        <v>3.66</v>
      </c>
      <c r="G32" s="53">
        <v>242.06</v>
      </c>
      <c r="H32" s="53">
        <v>87.93</v>
      </c>
      <c r="I32" s="53">
        <v>9.84</v>
      </c>
      <c r="J32" s="53">
        <v>0.4</v>
      </c>
      <c r="K32" s="53">
        <v>315.67</v>
      </c>
      <c r="L32" s="53">
        <v>13.9</v>
      </c>
      <c r="M32" s="53">
        <v>95.49</v>
      </c>
      <c r="N32" s="53">
        <v>32</v>
      </c>
      <c r="O32" s="53">
        <v>0</v>
      </c>
      <c r="P32" s="53">
        <v>3.74</v>
      </c>
      <c r="Q32" s="53">
        <v>9.8699999999999992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6.66</v>
      </c>
      <c r="C34" s="28">
        <f t="shared" si="0"/>
        <v>6.88</v>
      </c>
      <c r="D34" s="28">
        <f t="shared" si="0"/>
        <v>20.53</v>
      </c>
      <c r="E34" s="28">
        <f t="shared" si="0"/>
        <v>4.37</v>
      </c>
      <c r="F34" s="28">
        <f t="shared" si="0"/>
        <v>2.71</v>
      </c>
      <c r="G34" s="28">
        <f t="shared" si="0"/>
        <v>48.96</v>
      </c>
      <c r="H34" s="28">
        <f t="shared" si="0"/>
        <v>17.72</v>
      </c>
      <c r="I34" s="28">
        <f t="shared" si="0"/>
        <v>2.79</v>
      </c>
      <c r="J34" s="28">
        <f t="shared" si="0"/>
        <v>0.18</v>
      </c>
      <c r="K34" s="28">
        <f t="shared" si="0"/>
        <v>123.93</v>
      </c>
      <c r="L34" s="28">
        <f t="shared" si="0"/>
        <v>12.92</v>
      </c>
      <c r="M34" s="28">
        <f t="shared" si="0"/>
        <v>21.88</v>
      </c>
      <c r="N34" s="28">
        <f t="shared" si="0"/>
        <v>31.7</v>
      </c>
      <c r="O34" s="28">
        <f t="shared" si="0"/>
        <v>0</v>
      </c>
      <c r="P34" s="28">
        <f t="shared" si="0"/>
        <v>0.82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116.98</v>
      </c>
      <c r="C35" s="29">
        <f t="shared" si="1"/>
        <v>39.25</v>
      </c>
      <c r="D35" s="29">
        <f t="shared" si="1"/>
        <v>79.16</v>
      </c>
      <c r="E35" s="29">
        <f t="shared" si="1"/>
        <v>19.36</v>
      </c>
      <c r="F35" s="29">
        <f t="shared" si="1"/>
        <v>8.9600000000000009</v>
      </c>
      <c r="G35" s="29">
        <f t="shared" si="1"/>
        <v>242.06</v>
      </c>
      <c r="H35" s="29">
        <f t="shared" si="1"/>
        <v>87.93</v>
      </c>
      <c r="I35" s="29">
        <f t="shared" si="1"/>
        <v>9.84</v>
      </c>
      <c r="J35" s="29">
        <f t="shared" si="1"/>
        <v>1.54</v>
      </c>
      <c r="K35" s="29">
        <f t="shared" si="1"/>
        <v>359.49</v>
      </c>
      <c r="L35" s="29">
        <f t="shared" si="1"/>
        <v>27.7</v>
      </c>
      <c r="M35" s="29">
        <f t="shared" si="1"/>
        <v>95.49</v>
      </c>
      <c r="N35" s="29">
        <f t="shared" si="1"/>
        <v>572.9</v>
      </c>
      <c r="O35" s="29">
        <f t="shared" si="1"/>
        <v>0</v>
      </c>
      <c r="P35" s="29">
        <f t="shared" si="1"/>
        <v>3.74</v>
      </c>
      <c r="Q35" s="29">
        <f t="shared" si="1"/>
        <v>9.8800000000000008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32.671249999999993</v>
      </c>
      <c r="C36" s="28">
        <f t="shared" si="2"/>
        <v>22.035714285714285</v>
      </c>
      <c r="D36" s="28">
        <f t="shared" si="2"/>
        <v>33.402083333333337</v>
      </c>
      <c r="E36" s="28">
        <f t="shared" si="2"/>
        <v>7.0049999999999999</v>
      </c>
      <c r="F36" s="28">
        <f t="shared" si="2"/>
        <v>3.8254166666666674</v>
      </c>
      <c r="G36" s="28">
        <f t="shared" si="2"/>
        <v>91.21541666666667</v>
      </c>
      <c r="H36" s="28">
        <f t="shared" si="2"/>
        <v>35.224166666666669</v>
      </c>
      <c r="I36" s="28">
        <f t="shared" si="2"/>
        <v>4.5070833333333331</v>
      </c>
      <c r="J36" s="28">
        <f t="shared" si="2"/>
        <v>0.76624999999999988</v>
      </c>
      <c r="K36" s="28">
        <f t="shared" si="2"/>
        <v>328.35124999999988</v>
      </c>
      <c r="L36" s="28">
        <f t="shared" si="2"/>
        <v>19.212916666666668</v>
      </c>
      <c r="M36" s="28">
        <f t="shared" si="2"/>
        <v>52.142083333333339</v>
      </c>
      <c r="N36" s="28">
        <f t="shared" si="2"/>
        <v>173.4</v>
      </c>
      <c r="O36" s="28">
        <f t="shared" si="2"/>
        <v>0</v>
      </c>
      <c r="P36" s="28">
        <f t="shared" si="2"/>
        <v>1.4670833333333333</v>
      </c>
      <c r="Q36" s="28">
        <f t="shared" si="2"/>
        <v>9.7016666666666662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33.896339716784361</v>
      </c>
      <c r="C37" s="28">
        <f t="shared" ref="C37:Q37" si="3">STDEV(C9:C32)</f>
        <v>7.6439790498329838</v>
      </c>
      <c r="D37" s="28">
        <f t="shared" si="3"/>
        <v>19.133216956988399</v>
      </c>
      <c r="E37" s="28">
        <f t="shared" si="3"/>
        <v>3.9134717156976127</v>
      </c>
      <c r="F37" s="28">
        <f t="shared" si="3"/>
        <v>1.5844652894977471</v>
      </c>
      <c r="G37" s="28">
        <f t="shared" si="3"/>
        <v>57.880187116909063</v>
      </c>
      <c r="H37" s="28">
        <f t="shared" si="3"/>
        <v>20.37209641443021</v>
      </c>
      <c r="I37" s="28">
        <f t="shared" si="3"/>
        <v>1.9796540742319588</v>
      </c>
      <c r="J37" s="28">
        <f t="shared" si="3"/>
        <v>0.41709984728922633</v>
      </c>
      <c r="K37" s="28">
        <f t="shared" si="3"/>
        <v>50.89750299782002</v>
      </c>
      <c r="L37" s="28">
        <f t="shared" si="3"/>
        <v>5.3663366819514557</v>
      </c>
      <c r="M37" s="28">
        <f t="shared" si="3"/>
        <v>22.73418934196317</v>
      </c>
      <c r="N37" s="28">
        <f t="shared" si="3"/>
        <v>212.60625169752078</v>
      </c>
      <c r="O37" s="28">
        <f t="shared" si="3"/>
        <v>0</v>
      </c>
      <c r="P37" s="28">
        <f t="shared" si="3"/>
        <v>0.8775533139590892</v>
      </c>
      <c r="Q37" s="28">
        <f t="shared" si="3"/>
        <v>7.007242629976658E-2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COUNT(C9:C32)+3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203</v>
      </c>
      <c r="B9" s="53">
        <v>116.71</v>
      </c>
      <c r="C9" s="5" t="s">
        <v>14</v>
      </c>
      <c r="D9" s="53">
        <v>77.87</v>
      </c>
      <c r="E9" s="53">
        <v>6.13</v>
      </c>
      <c r="F9" s="53">
        <v>3.68</v>
      </c>
      <c r="G9" s="53">
        <v>213.13</v>
      </c>
      <c r="H9" s="53">
        <v>85.59</v>
      </c>
      <c r="I9" s="53">
        <v>10.16</v>
      </c>
      <c r="J9" s="53">
        <v>0.36</v>
      </c>
      <c r="K9" s="53">
        <v>347.99</v>
      </c>
      <c r="L9" s="53">
        <v>13.76</v>
      </c>
      <c r="M9" s="53">
        <v>92.06</v>
      </c>
      <c r="N9" s="53">
        <v>32</v>
      </c>
      <c r="O9" s="53">
        <v>0</v>
      </c>
      <c r="P9" s="53">
        <v>3.79</v>
      </c>
      <c r="Q9" s="53">
        <v>9.86</v>
      </c>
      <c r="R9" s="43"/>
      <c r="S9" s="43"/>
      <c r="T9" s="43"/>
      <c r="U9" s="43"/>
    </row>
    <row r="10" spans="1:21" s="11" customFormat="1" x14ac:dyDescent="0.25">
      <c r="A10" s="52" t="s">
        <v>204</v>
      </c>
      <c r="B10" s="53">
        <v>106.29</v>
      </c>
      <c r="C10" s="5" t="s">
        <v>14</v>
      </c>
      <c r="D10" s="53">
        <v>72.180000000000007</v>
      </c>
      <c r="E10" s="53">
        <v>5.95</v>
      </c>
      <c r="F10" s="53">
        <v>3.73</v>
      </c>
      <c r="G10" s="53">
        <v>214.78</v>
      </c>
      <c r="H10" s="53">
        <v>87.87</v>
      </c>
      <c r="I10" s="53">
        <v>11.01</v>
      </c>
      <c r="J10" s="53">
        <v>0.32</v>
      </c>
      <c r="K10" s="53">
        <v>268.64</v>
      </c>
      <c r="L10" s="53">
        <v>13.39</v>
      </c>
      <c r="M10" s="53">
        <v>86.84</v>
      </c>
      <c r="N10" s="53">
        <v>32.200000000000003</v>
      </c>
      <c r="O10" s="53">
        <v>0</v>
      </c>
      <c r="P10" s="53">
        <v>3.24</v>
      </c>
      <c r="Q10" s="53">
        <v>9.83</v>
      </c>
      <c r="R10" s="43"/>
      <c r="S10" s="43"/>
      <c r="T10" s="43"/>
      <c r="U10" s="43"/>
    </row>
    <row r="11" spans="1:21" s="11" customFormat="1" x14ac:dyDescent="0.25">
      <c r="A11" s="52" t="s">
        <v>205</v>
      </c>
      <c r="B11" s="53">
        <v>88.26</v>
      </c>
      <c r="C11" s="5" t="s">
        <v>14</v>
      </c>
      <c r="D11" s="53">
        <v>62.85</v>
      </c>
      <c r="E11" s="53">
        <v>5.86</v>
      </c>
      <c r="F11" s="53">
        <v>3.65</v>
      </c>
      <c r="G11" s="53">
        <v>198.67</v>
      </c>
      <c r="H11" s="53">
        <v>87.45</v>
      </c>
      <c r="I11" s="53">
        <v>10.53</v>
      </c>
      <c r="J11" s="53">
        <v>0.33</v>
      </c>
      <c r="K11" s="53">
        <v>286.08</v>
      </c>
      <c r="L11" s="53">
        <v>13.32</v>
      </c>
      <c r="M11" s="53">
        <v>78.11</v>
      </c>
      <c r="N11" s="53">
        <v>32</v>
      </c>
      <c r="O11" s="53">
        <v>0</v>
      </c>
      <c r="P11" s="53">
        <v>3.24</v>
      </c>
      <c r="Q11" s="53">
        <v>9.8000000000000007</v>
      </c>
      <c r="R11" s="43"/>
      <c r="S11" s="43"/>
      <c r="T11" s="43"/>
      <c r="U11" s="43"/>
    </row>
    <row r="12" spans="1:21" s="11" customFormat="1" x14ac:dyDescent="0.25">
      <c r="A12" s="52" t="s">
        <v>206</v>
      </c>
      <c r="B12" s="53">
        <v>72.78</v>
      </c>
      <c r="C12" s="5" t="s">
        <v>14</v>
      </c>
      <c r="D12" s="53">
        <v>54.07</v>
      </c>
      <c r="E12" s="53">
        <v>5.41</v>
      </c>
      <c r="F12" s="53">
        <v>3.48</v>
      </c>
      <c r="G12" s="53">
        <v>167.56</v>
      </c>
      <c r="H12" s="53">
        <v>80.62</v>
      </c>
      <c r="I12" s="53">
        <v>9.9499999999999993</v>
      </c>
      <c r="J12" s="53">
        <v>0.37</v>
      </c>
      <c r="K12" s="53">
        <v>323.07</v>
      </c>
      <c r="L12" s="53">
        <v>12.52</v>
      </c>
      <c r="M12" s="53">
        <v>81.849999999999994</v>
      </c>
      <c r="N12" s="53">
        <v>32</v>
      </c>
      <c r="O12" s="53">
        <v>0</v>
      </c>
      <c r="P12" s="53">
        <v>2.95</v>
      </c>
      <c r="Q12" s="53">
        <v>9.7899999999999991</v>
      </c>
      <c r="R12" s="43"/>
      <c r="S12" s="43"/>
      <c r="T12" s="43"/>
      <c r="U12" s="43"/>
    </row>
    <row r="13" spans="1:21" s="11" customFormat="1" x14ac:dyDescent="0.25">
      <c r="A13" s="52" t="s">
        <v>207</v>
      </c>
      <c r="B13" s="53">
        <v>59.49</v>
      </c>
      <c r="C13" s="53">
        <v>0.04</v>
      </c>
      <c r="D13" s="53">
        <v>46.06</v>
      </c>
      <c r="E13" s="53">
        <v>5.18</v>
      </c>
      <c r="F13" s="53">
        <v>3.09</v>
      </c>
      <c r="G13" s="53">
        <v>127.24</v>
      </c>
      <c r="H13" s="53">
        <v>69.73</v>
      </c>
      <c r="I13" s="53">
        <v>0.1</v>
      </c>
      <c r="J13" s="53">
        <v>0.31</v>
      </c>
      <c r="K13" s="53">
        <v>325.95999999999998</v>
      </c>
      <c r="L13" s="53">
        <v>11.78</v>
      </c>
      <c r="M13" s="53">
        <v>87</v>
      </c>
      <c r="N13" s="53">
        <v>32.1</v>
      </c>
      <c r="O13" s="53">
        <v>0</v>
      </c>
      <c r="P13" s="53">
        <v>2.44</v>
      </c>
      <c r="Q13" s="53">
        <v>9.74</v>
      </c>
      <c r="R13" s="43"/>
      <c r="S13" s="43"/>
      <c r="T13" s="43"/>
      <c r="U13" s="43"/>
    </row>
    <row r="14" spans="1:21" s="11" customFormat="1" x14ac:dyDescent="0.25">
      <c r="A14" s="52" t="s">
        <v>208</v>
      </c>
      <c r="B14" s="53">
        <v>55.4</v>
      </c>
      <c r="C14" s="53">
        <v>0.13</v>
      </c>
      <c r="D14" s="53">
        <v>43.69</v>
      </c>
      <c r="E14" s="53">
        <v>4.93</v>
      </c>
      <c r="F14" s="53">
        <v>2.99</v>
      </c>
      <c r="G14" s="53">
        <v>139.16</v>
      </c>
      <c r="H14" s="53">
        <v>64.34</v>
      </c>
      <c r="I14" s="53">
        <v>0.1</v>
      </c>
      <c r="J14" s="53">
        <v>0.44</v>
      </c>
      <c r="K14" s="53">
        <v>318.19</v>
      </c>
      <c r="L14" s="53">
        <v>11.45</v>
      </c>
      <c r="M14" s="53">
        <v>98.12</v>
      </c>
      <c r="N14" s="53">
        <v>32.200000000000003</v>
      </c>
      <c r="O14" s="53">
        <v>0</v>
      </c>
      <c r="P14" s="53">
        <v>2.04</v>
      </c>
      <c r="Q14" s="53">
        <v>9.7200000000000006</v>
      </c>
      <c r="R14" s="43"/>
      <c r="S14" s="43"/>
      <c r="T14" s="43"/>
      <c r="U14" s="43"/>
    </row>
    <row r="15" spans="1:21" s="11" customFormat="1" x14ac:dyDescent="0.25">
      <c r="A15" s="52" t="s">
        <v>209</v>
      </c>
      <c r="B15" s="53">
        <v>60.13</v>
      </c>
      <c r="C15" s="5" t="s">
        <v>14</v>
      </c>
      <c r="D15" s="53">
        <v>45.8</v>
      </c>
      <c r="E15" s="53">
        <v>5.27</v>
      </c>
      <c r="F15" s="53">
        <v>3.11</v>
      </c>
      <c r="G15" s="53">
        <v>131</v>
      </c>
      <c r="H15" s="53">
        <v>56.23</v>
      </c>
      <c r="I15" s="53">
        <v>0.61</v>
      </c>
      <c r="J15" s="53">
        <v>0.47</v>
      </c>
      <c r="K15" s="53">
        <v>281.12</v>
      </c>
      <c r="L15" s="53">
        <v>11.52</v>
      </c>
      <c r="M15" s="53">
        <v>98.15</v>
      </c>
      <c r="N15" s="53">
        <v>61.4</v>
      </c>
      <c r="O15" s="53">
        <v>0</v>
      </c>
      <c r="P15" s="53">
        <v>1.79</v>
      </c>
      <c r="Q15" s="53">
        <v>9.73</v>
      </c>
      <c r="R15" s="43"/>
      <c r="S15" s="43"/>
      <c r="T15" s="43"/>
      <c r="U15" s="43"/>
    </row>
    <row r="16" spans="1:21" s="11" customFormat="1" x14ac:dyDescent="0.25">
      <c r="A16" s="52" t="s">
        <v>210</v>
      </c>
      <c r="B16" s="53">
        <v>63.8</v>
      </c>
      <c r="C16" s="5" t="s">
        <v>14</v>
      </c>
      <c r="D16" s="53">
        <v>47.81</v>
      </c>
      <c r="E16" s="53">
        <v>5.69</v>
      </c>
      <c r="F16" s="53">
        <v>3.36</v>
      </c>
      <c r="G16" s="53">
        <v>123.55</v>
      </c>
      <c r="H16" s="53">
        <v>53.31</v>
      </c>
      <c r="I16" s="53">
        <v>7.2</v>
      </c>
      <c r="J16" s="53">
        <v>0.56000000000000005</v>
      </c>
      <c r="K16" s="53">
        <v>356.29</v>
      </c>
      <c r="L16" s="53">
        <v>18.75</v>
      </c>
      <c r="M16" s="53">
        <v>98.13</v>
      </c>
      <c r="N16" s="53">
        <v>261.5</v>
      </c>
      <c r="O16" s="53">
        <v>0</v>
      </c>
      <c r="P16" s="53">
        <v>1.95</v>
      </c>
      <c r="Q16" s="53">
        <v>9.74</v>
      </c>
      <c r="R16" s="43"/>
      <c r="S16" s="43"/>
      <c r="T16" s="43"/>
      <c r="U16" s="43"/>
    </row>
    <row r="17" spans="1:21" s="11" customFormat="1" x14ac:dyDescent="0.25">
      <c r="A17" s="52" t="s">
        <v>211</v>
      </c>
      <c r="B17" s="53">
        <v>64.48</v>
      </c>
      <c r="C17" s="5" t="s">
        <v>14</v>
      </c>
      <c r="D17" s="53">
        <v>48.3</v>
      </c>
      <c r="E17" s="53">
        <v>5.96</v>
      </c>
      <c r="F17" s="53">
        <v>3.05</v>
      </c>
      <c r="G17" s="53">
        <v>129.47</v>
      </c>
      <c r="H17" s="53">
        <v>54.37</v>
      </c>
      <c r="I17" s="53">
        <v>7.11</v>
      </c>
      <c r="J17" s="53">
        <v>0.68</v>
      </c>
      <c r="K17" s="53">
        <v>347.33</v>
      </c>
      <c r="L17" s="53">
        <v>23.62</v>
      </c>
      <c r="M17" s="53">
        <v>39.53</v>
      </c>
      <c r="N17" s="53">
        <v>430.2</v>
      </c>
      <c r="O17" s="53">
        <v>0</v>
      </c>
      <c r="P17" s="53">
        <v>1.89</v>
      </c>
      <c r="Q17" s="53">
        <v>9.73</v>
      </c>
      <c r="R17" s="43"/>
      <c r="S17" s="43"/>
      <c r="T17" s="43"/>
      <c r="U17" s="43"/>
    </row>
    <row r="18" spans="1:21" s="11" customFormat="1" x14ac:dyDescent="0.25">
      <c r="A18" s="52" t="s">
        <v>212</v>
      </c>
      <c r="B18" s="53">
        <v>57.17</v>
      </c>
      <c r="C18" s="53">
        <v>7.23</v>
      </c>
      <c r="D18" s="53">
        <v>45.44</v>
      </c>
      <c r="E18" s="53">
        <v>6</v>
      </c>
      <c r="F18" s="53">
        <v>2.84</v>
      </c>
      <c r="G18" s="53">
        <v>102.31</v>
      </c>
      <c r="H18" s="53">
        <v>47.26</v>
      </c>
      <c r="I18" s="53">
        <v>6.51</v>
      </c>
      <c r="J18" s="53">
        <v>1.0900000000000001</v>
      </c>
      <c r="K18" s="53">
        <v>345.64</v>
      </c>
      <c r="L18" s="53">
        <v>27.07</v>
      </c>
      <c r="M18" s="53">
        <v>29.26</v>
      </c>
      <c r="N18" s="53">
        <v>517.9</v>
      </c>
      <c r="O18" s="53">
        <v>0</v>
      </c>
      <c r="P18" s="53">
        <v>1.62</v>
      </c>
      <c r="Q18" s="53">
        <v>9.73</v>
      </c>
      <c r="R18" s="43"/>
      <c r="S18" s="43"/>
      <c r="T18" s="43"/>
      <c r="U18" s="43"/>
    </row>
    <row r="19" spans="1:21" s="11" customFormat="1" x14ac:dyDescent="0.25">
      <c r="A19" s="52" t="s">
        <v>213</v>
      </c>
      <c r="B19" s="53">
        <v>45.4</v>
      </c>
      <c r="C19" s="53">
        <v>14.78</v>
      </c>
      <c r="D19" s="53">
        <v>41.45</v>
      </c>
      <c r="E19" s="53">
        <v>5.75</v>
      </c>
      <c r="F19" s="53">
        <v>3.12</v>
      </c>
      <c r="G19" s="53">
        <v>70.33</v>
      </c>
      <c r="H19" s="53">
        <v>39.020000000000003</v>
      </c>
      <c r="I19" s="53">
        <v>5.79</v>
      </c>
      <c r="J19" s="53">
        <v>1.34</v>
      </c>
      <c r="K19" s="53">
        <v>347.15</v>
      </c>
      <c r="L19" s="53">
        <v>28.5</v>
      </c>
      <c r="M19" s="53">
        <v>23.04</v>
      </c>
      <c r="N19" s="53">
        <v>568.70000000000005</v>
      </c>
      <c r="O19" s="53">
        <v>0</v>
      </c>
      <c r="P19" s="53">
        <v>1.4</v>
      </c>
      <c r="Q19" s="53">
        <v>9.6999999999999993</v>
      </c>
      <c r="R19" s="43"/>
      <c r="S19" s="43"/>
      <c r="T19" s="43"/>
      <c r="U19" s="43"/>
    </row>
    <row r="20" spans="1:21" s="11" customFormat="1" x14ac:dyDescent="0.25">
      <c r="A20" s="52" t="s">
        <v>214</v>
      </c>
      <c r="B20" s="53">
        <v>37.380000000000003</v>
      </c>
      <c r="C20" s="53">
        <v>21.93</v>
      </c>
      <c r="D20" s="53">
        <v>37.71</v>
      </c>
      <c r="E20" s="53">
        <v>9.25</v>
      </c>
      <c r="F20" s="53">
        <v>4.58</v>
      </c>
      <c r="G20" s="53">
        <v>60.18</v>
      </c>
      <c r="H20" s="53">
        <v>34.549999999999997</v>
      </c>
      <c r="I20" s="53">
        <v>5.2</v>
      </c>
      <c r="J20" s="53">
        <v>1.44</v>
      </c>
      <c r="K20" s="53">
        <v>341.95</v>
      </c>
      <c r="L20" s="53">
        <v>29.35</v>
      </c>
      <c r="M20" s="53">
        <v>20.3</v>
      </c>
      <c r="N20" s="53">
        <v>547.5</v>
      </c>
      <c r="O20" s="53">
        <v>0</v>
      </c>
      <c r="P20" s="53">
        <v>1.26</v>
      </c>
      <c r="Q20" s="53">
        <v>9.6999999999999993</v>
      </c>
      <c r="R20" s="43"/>
      <c r="S20" s="43"/>
      <c r="T20" s="43"/>
      <c r="U20" s="43"/>
    </row>
    <row r="21" spans="1:21" s="11" customFormat="1" x14ac:dyDescent="0.25">
      <c r="A21" s="52" t="s">
        <v>215</v>
      </c>
      <c r="B21" s="53">
        <v>28.22</v>
      </c>
      <c r="C21" s="53">
        <v>27.07</v>
      </c>
      <c r="D21" s="53">
        <v>33.92</v>
      </c>
      <c r="E21" s="53">
        <v>14.33</v>
      </c>
      <c r="F21" s="53">
        <v>5.33</v>
      </c>
      <c r="G21" s="53">
        <v>82.61</v>
      </c>
      <c r="H21" s="53">
        <v>32.47</v>
      </c>
      <c r="I21" s="53">
        <v>4.74</v>
      </c>
      <c r="J21" s="53">
        <v>1.45</v>
      </c>
      <c r="K21" s="53">
        <v>347.86</v>
      </c>
      <c r="L21" s="53">
        <v>29.26</v>
      </c>
      <c r="M21" s="53">
        <v>19.420000000000002</v>
      </c>
      <c r="N21" s="53">
        <v>514.29999999999995</v>
      </c>
      <c r="O21" s="53">
        <v>0</v>
      </c>
      <c r="P21" s="53">
        <v>1.19</v>
      </c>
      <c r="Q21" s="53">
        <v>9.68</v>
      </c>
      <c r="R21" s="43"/>
      <c r="S21" s="43"/>
      <c r="T21" s="43"/>
      <c r="U21" s="43"/>
    </row>
    <row r="22" spans="1:21" s="11" customFormat="1" x14ac:dyDescent="0.25">
      <c r="A22" s="52" t="s">
        <v>216</v>
      </c>
      <c r="B22" s="53">
        <v>19.14</v>
      </c>
      <c r="C22" s="53">
        <v>29.5</v>
      </c>
      <c r="D22" s="53">
        <v>29.78</v>
      </c>
      <c r="E22" s="53">
        <v>19.64</v>
      </c>
      <c r="F22" s="53">
        <v>9.18</v>
      </c>
      <c r="G22" s="53">
        <v>79.92</v>
      </c>
      <c r="H22" s="53">
        <v>31.87</v>
      </c>
      <c r="I22" s="53">
        <v>4.3</v>
      </c>
      <c r="J22" s="53">
        <v>0.54</v>
      </c>
      <c r="K22" s="53">
        <v>341.06</v>
      </c>
      <c r="L22" s="53">
        <v>27.9</v>
      </c>
      <c r="M22" s="53">
        <v>17.18</v>
      </c>
      <c r="N22" s="53">
        <v>509</v>
      </c>
      <c r="O22" s="53">
        <v>0</v>
      </c>
      <c r="P22" s="53">
        <v>1.25</v>
      </c>
      <c r="Q22" s="53">
        <v>9.66</v>
      </c>
      <c r="R22" s="43"/>
      <c r="S22" s="43"/>
      <c r="T22" s="43"/>
      <c r="U22" s="43"/>
    </row>
    <row r="23" spans="1:21" s="11" customFormat="1" x14ac:dyDescent="0.25">
      <c r="A23" s="52" t="s">
        <v>217</v>
      </c>
      <c r="B23" s="53">
        <v>15.41</v>
      </c>
      <c r="C23" s="53">
        <v>28.23</v>
      </c>
      <c r="D23" s="53">
        <v>26.65</v>
      </c>
      <c r="E23" s="53">
        <v>10.53</v>
      </c>
      <c r="F23" s="53">
        <v>12.05</v>
      </c>
      <c r="G23" s="53">
        <v>60.56</v>
      </c>
      <c r="H23" s="53">
        <v>26.41</v>
      </c>
      <c r="I23" s="53">
        <v>3.95</v>
      </c>
      <c r="J23" s="53">
        <v>0.82</v>
      </c>
      <c r="K23" s="53">
        <v>339.26</v>
      </c>
      <c r="L23" s="53">
        <v>26.19</v>
      </c>
      <c r="M23" s="53">
        <v>16.64</v>
      </c>
      <c r="N23" s="53">
        <v>131.69999999999999</v>
      </c>
      <c r="O23" s="53">
        <v>0</v>
      </c>
      <c r="P23" s="53">
        <v>1.0900000000000001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218</v>
      </c>
      <c r="B24" s="53">
        <v>16.829999999999998</v>
      </c>
      <c r="C24" s="53">
        <v>31.95</v>
      </c>
      <c r="D24" s="53">
        <v>29.72</v>
      </c>
      <c r="E24" s="53">
        <v>14.43</v>
      </c>
      <c r="F24" s="53">
        <v>19.46</v>
      </c>
      <c r="G24" s="53">
        <v>42.63</v>
      </c>
      <c r="H24" s="53">
        <v>22.84</v>
      </c>
      <c r="I24" s="53">
        <v>3.6</v>
      </c>
      <c r="J24" s="53">
        <v>0.67</v>
      </c>
      <c r="K24" s="53">
        <v>358.32</v>
      </c>
      <c r="L24" s="53">
        <v>25.31</v>
      </c>
      <c r="M24" s="53">
        <v>18.100000000000001</v>
      </c>
      <c r="N24" s="53">
        <v>83.6</v>
      </c>
      <c r="O24" s="53">
        <v>0</v>
      </c>
      <c r="P24" s="53">
        <v>0.97</v>
      </c>
      <c r="Q24" s="53">
        <v>9.66</v>
      </c>
      <c r="R24" s="43"/>
      <c r="S24" s="43"/>
      <c r="T24" s="43"/>
      <c r="U24" s="43"/>
    </row>
    <row r="25" spans="1:21" s="11" customFormat="1" x14ac:dyDescent="0.25">
      <c r="A25" s="52" t="s">
        <v>219</v>
      </c>
      <c r="B25" s="53">
        <v>10.210000000000001</v>
      </c>
      <c r="C25" s="53">
        <v>35.76</v>
      </c>
      <c r="D25" s="53">
        <v>26.41</v>
      </c>
      <c r="E25" s="53">
        <v>19.37</v>
      </c>
      <c r="F25" s="53">
        <v>23.59</v>
      </c>
      <c r="G25" s="53">
        <v>37.85</v>
      </c>
      <c r="H25" s="53">
        <v>17.510000000000002</v>
      </c>
      <c r="I25" s="53">
        <v>3.34</v>
      </c>
      <c r="J25" s="53">
        <v>0.36</v>
      </c>
      <c r="K25" s="53">
        <v>114.17</v>
      </c>
      <c r="L25" s="53">
        <v>24.46</v>
      </c>
      <c r="M25" s="53">
        <v>23.22</v>
      </c>
      <c r="N25" s="53">
        <v>58.3</v>
      </c>
      <c r="O25" s="53">
        <v>0</v>
      </c>
      <c r="P25" s="53">
        <v>1.05</v>
      </c>
      <c r="Q25" s="53">
        <v>9.66</v>
      </c>
      <c r="R25" s="43"/>
      <c r="S25" s="43"/>
      <c r="T25" s="43"/>
      <c r="U25" s="43"/>
    </row>
    <row r="26" spans="1:21" s="11" customFormat="1" x14ac:dyDescent="0.25">
      <c r="A26" s="52" t="s">
        <v>220</v>
      </c>
      <c r="B26" s="53">
        <v>18.350000000000001</v>
      </c>
      <c r="C26" s="53">
        <v>33.200000000000003</v>
      </c>
      <c r="D26" s="53">
        <v>27.85</v>
      </c>
      <c r="E26" s="53">
        <v>11.3</v>
      </c>
      <c r="F26" s="53">
        <v>6.97</v>
      </c>
      <c r="G26" s="53">
        <v>46.06</v>
      </c>
      <c r="H26" s="53">
        <v>19.87</v>
      </c>
      <c r="I26" s="53">
        <v>3.3</v>
      </c>
      <c r="J26" s="53">
        <v>0.39</v>
      </c>
      <c r="K26" s="53">
        <v>343.98</v>
      </c>
      <c r="L26" s="53">
        <v>22</v>
      </c>
      <c r="M26" s="53">
        <v>36.17</v>
      </c>
      <c r="N26" s="53">
        <v>36.700000000000003</v>
      </c>
      <c r="O26" s="53">
        <v>0</v>
      </c>
      <c r="P26" s="53">
        <v>1.19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221</v>
      </c>
      <c r="B27" s="53">
        <v>19.77</v>
      </c>
      <c r="C27" s="53">
        <v>29.08</v>
      </c>
      <c r="D27" s="53">
        <v>28.62</v>
      </c>
      <c r="E27" s="53">
        <v>5.18</v>
      </c>
      <c r="F27" s="53">
        <v>3.15</v>
      </c>
      <c r="G27" s="53">
        <v>67.22</v>
      </c>
      <c r="H27" s="53">
        <v>26.57</v>
      </c>
      <c r="I27" s="53">
        <v>4.3499999999999996</v>
      </c>
      <c r="J27" s="53">
        <v>0.33</v>
      </c>
      <c r="K27" s="53">
        <v>169.61</v>
      </c>
      <c r="L27" s="53">
        <v>19.36</v>
      </c>
      <c r="M27" s="53">
        <v>42.37</v>
      </c>
      <c r="N27" s="53">
        <v>32.5</v>
      </c>
      <c r="O27" s="53">
        <v>0</v>
      </c>
      <c r="P27" s="53">
        <v>1.34</v>
      </c>
      <c r="Q27" s="53">
        <v>9.64</v>
      </c>
      <c r="R27" s="43"/>
      <c r="S27" s="43"/>
      <c r="T27" s="43"/>
      <c r="U27" s="43"/>
    </row>
    <row r="28" spans="1:21" s="11" customFormat="1" x14ac:dyDescent="0.25">
      <c r="A28" s="52" t="s">
        <v>222</v>
      </c>
      <c r="B28" s="53">
        <v>35.630000000000003</v>
      </c>
      <c r="C28" s="53">
        <v>22.19</v>
      </c>
      <c r="D28" s="53">
        <v>36.65</v>
      </c>
      <c r="E28" s="53">
        <v>4.83</v>
      </c>
      <c r="F28" s="53">
        <v>2.9</v>
      </c>
      <c r="G28" s="53">
        <v>72.23</v>
      </c>
      <c r="H28" s="53">
        <v>30.42</v>
      </c>
      <c r="I28" s="53">
        <v>4.5999999999999996</v>
      </c>
      <c r="J28" s="53">
        <v>0.35</v>
      </c>
      <c r="K28" s="53">
        <v>358.99</v>
      </c>
      <c r="L28" s="53">
        <v>17.79</v>
      </c>
      <c r="M28" s="53">
        <v>56.88</v>
      </c>
      <c r="N28" s="53">
        <v>32.4</v>
      </c>
      <c r="O28" s="53">
        <v>0</v>
      </c>
      <c r="P28" s="53">
        <v>1.7</v>
      </c>
      <c r="Q28" s="53">
        <v>9.68</v>
      </c>
      <c r="R28" s="43"/>
      <c r="S28" s="43"/>
      <c r="T28" s="43"/>
      <c r="U28" s="43"/>
    </row>
    <row r="29" spans="1:21" s="11" customFormat="1" x14ac:dyDescent="0.25">
      <c r="A29" s="52" t="s">
        <v>223</v>
      </c>
      <c r="B29" s="53">
        <v>55.4</v>
      </c>
      <c r="C29" s="53">
        <v>13.76</v>
      </c>
      <c r="D29" s="53">
        <v>46.82</v>
      </c>
      <c r="E29" s="53">
        <v>5.0199999999999996</v>
      </c>
      <c r="F29" s="53">
        <v>2.99</v>
      </c>
      <c r="G29" s="53">
        <v>146.86000000000001</v>
      </c>
      <c r="H29" s="53">
        <v>40.44</v>
      </c>
      <c r="I29" s="53">
        <v>5.42</v>
      </c>
      <c r="J29" s="53">
        <v>0.38</v>
      </c>
      <c r="K29" s="53">
        <v>356.58</v>
      </c>
      <c r="L29" s="53">
        <v>16.25</v>
      </c>
      <c r="M29" s="53">
        <v>65.23</v>
      </c>
      <c r="N29" s="53">
        <v>32.200000000000003</v>
      </c>
      <c r="O29" s="53">
        <v>0</v>
      </c>
      <c r="P29" s="53">
        <v>2.0699999999999998</v>
      </c>
      <c r="Q29" s="53">
        <v>9.7200000000000006</v>
      </c>
      <c r="R29" s="43"/>
      <c r="S29" s="43"/>
      <c r="T29" s="43"/>
      <c r="U29" s="43"/>
    </row>
    <row r="30" spans="1:21" s="11" customFormat="1" x14ac:dyDescent="0.25">
      <c r="A30" s="52" t="s">
        <v>224</v>
      </c>
      <c r="B30" s="53">
        <v>97.3</v>
      </c>
      <c r="C30" s="53">
        <v>1.98</v>
      </c>
      <c r="D30" s="53">
        <v>69.03</v>
      </c>
      <c r="E30" s="53">
        <v>5.34</v>
      </c>
      <c r="F30" s="53">
        <v>3.03</v>
      </c>
      <c r="G30" s="53">
        <v>170.93</v>
      </c>
      <c r="H30" s="53">
        <v>51.72</v>
      </c>
      <c r="I30" s="53">
        <v>6.24</v>
      </c>
      <c r="J30" s="53">
        <v>0.37</v>
      </c>
      <c r="K30" s="53">
        <v>357.94</v>
      </c>
      <c r="L30" s="53">
        <v>15.2</v>
      </c>
      <c r="M30" s="53">
        <v>71.84</v>
      </c>
      <c r="N30" s="53">
        <v>32.1</v>
      </c>
      <c r="O30" s="53">
        <v>0</v>
      </c>
      <c r="P30" s="53">
        <v>2.4900000000000002</v>
      </c>
      <c r="Q30" s="53">
        <v>9.7799999999999994</v>
      </c>
      <c r="R30" s="43"/>
      <c r="S30" s="43"/>
      <c r="T30" s="43"/>
      <c r="U30" s="43"/>
    </row>
    <row r="31" spans="1:21" s="11" customFormat="1" x14ac:dyDescent="0.25">
      <c r="A31" s="52" t="s">
        <v>225</v>
      </c>
      <c r="B31" s="53">
        <v>139.63999999999999</v>
      </c>
      <c r="C31" s="5" t="s">
        <v>14</v>
      </c>
      <c r="D31" s="53">
        <v>91.5</v>
      </c>
      <c r="E31" s="53">
        <v>6.19</v>
      </c>
      <c r="F31" s="53">
        <v>3.07</v>
      </c>
      <c r="G31" s="53">
        <v>168.7</v>
      </c>
      <c r="H31" s="53">
        <v>61.47</v>
      </c>
      <c r="I31" s="53">
        <v>7.7</v>
      </c>
      <c r="J31" s="53">
        <v>0.38</v>
      </c>
      <c r="K31" s="53">
        <v>341.14</v>
      </c>
      <c r="L31" s="53">
        <v>14.83</v>
      </c>
      <c r="M31" s="53">
        <v>76.09</v>
      </c>
      <c r="N31" s="53">
        <v>32.200000000000003</v>
      </c>
      <c r="O31" s="53">
        <v>0</v>
      </c>
      <c r="P31" s="53">
        <v>2.96</v>
      </c>
      <c r="Q31" s="53">
        <v>9.86</v>
      </c>
      <c r="R31" s="43"/>
      <c r="S31" s="43"/>
      <c r="T31" s="43"/>
      <c r="U31" s="43"/>
    </row>
    <row r="32" spans="1:21" s="11" customFormat="1" x14ac:dyDescent="0.25">
      <c r="A32" s="52" t="s">
        <v>226</v>
      </c>
      <c r="B32" s="53">
        <v>152.56</v>
      </c>
      <c r="C32" s="5" t="s">
        <v>14</v>
      </c>
      <c r="D32" s="53">
        <v>98.02</v>
      </c>
      <c r="E32" s="53">
        <v>6.16</v>
      </c>
      <c r="F32" s="53">
        <v>3.27</v>
      </c>
      <c r="G32" s="53">
        <v>157</v>
      </c>
      <c r="H32" s="53">
        <v>62.87</v>
      </c>
      <c r="I32" s="53">
        <v>7.61</v>
      </c>
      <c r="J32" s="53">
        <v>0.34</v>
      </c>
      <c r="K32" s="53">
        <v>280.91000000000003</v>
      </c>
      <c r="L32" s="53">
        <v>15.06</v>
      </c>
      <c r="M32" s="53">
        <v>71.459999999999994</v>
      </c>
      <c r="N32" s="53">
        <v>32.1</v>
      </c>
      <c r="O32" s="53">
        <v>0</v>
      </c>
      <c r="P32" s="53">
        <v>3.1</v>
      </c>
      <c r="Q32" s="53">
        <v>9.9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10.210000000000001</v>
      </c>
      <c r="C34" s="28">
        <f t="shared" si="0"/>
        <v>0.04</v>
      </c>
      <c r="D34" s="28">
        <f t="shared" si="0"/>
        <v>26.41</v>
      </c>
      <c r="E34" s="28">
        <f t="shared" si="0"/>
        <v>4.83</v>
      </c>
      <c r="F34" s="28">
        <f t="shared" si="0"/>
        <v>2.84</v>
      </c>
      <c r="G34" s="28">
        <f t="shared" si="0"/>
        <v>37.85</v>
      </c>
      <c r="H34" s="28">
        <f t="shared" si="0"/>
        <v>17.510000000000002</v>
      </c>
      <c r="I34" s="28">
        <f t="shared" si="0"/>
        <v>0.1</v>
      </c>
      <c r="J34" s="28">
        <f t="shared" si="0"/>
        <v>0.31</v>
      </c>
      <c r="K34" s="28">
        <f t="shared" si="0"/>
        <v>114.17</v>
      </c>
      <c r="L34" s="28">
        <f t="shared" si="0"/>
        <v>11.45</v>
      </c>
      <c r="M34" s="28">
        <f t="shared" si="0"/>
        <v>16.64</v>
      </c>
      <c r="N34" s="28">
        <f t="shared" si="0"/>
        <v>32</v>
      </c>
      <c r="O34" s="28">
        <f t="shared" si="0"/>
        <v>0</v>
      </c>
      <c r="P34" s="28">
        <f t="shared" si="0"/>
        <v>0.97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152.56</v>
      </c>
      <c r="C35" s="29">
        <f t="shared" si="1"/>
        <v>35.76</v>
      </c>
      <c r="D35" s="29">
        <f t="shared" si="1"/>
        <v>98.02</v>
      </c>
      <c r="E35" s="29">
        <f t="shared" si="1"/>
        <v>19.64</v>
      </c>
      <c r="F35" s="29">
        <f t="shared" si="1"/>
        <v>23.59</v>
      </c>
      <c r="G35" s="29">
        <f t="shared" si="1"/>
        <v>214.78</v>
      </c>
      <c r="H35" s="29">
        <f t="shared" si="1"/>
        <v>87.87</v>
      </c>
      <c r="I35" s="29">
        <f t="shared" si="1"/>
        <v>11.01</v>
      </c>
      <c r="J35" s="29">
        <f t="shared" si="1"/>
        <v>1.45</v>
      </c>
      <c r="K35" s="29">
        <f t="shared" si="1"/>
        <v>358.99</v>
      </c>
      <c r="L35" s="29">
        <f t="shared" si="1"/>
        <v>29.35</v>
      </c>
      <c r="M35" s="29">
        <f t="shared" si="1"/>
        <v>98.15</v>
      </c>
      <c r="N35" s="29">
        <f t="shared" si="1"/>
        <v>568.70000000000005</v>
      </c>
      <c r="O35" s="29">
        <f t="shared" si="1"/>
        <v>0</v>
      </c>
      <c r="P35" s="29">
        <f t="shared" si="1"/>
        <v>3.79</v>
      </c>
      <c r="Q35" s="29">
        <f t="shared" si="1"/>
        <v>9.9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59.822916666666664</v>
      </c>
      <c r="C36" s="28">
        <f t="shared" si="2"/>
        <v>19.788666666666664</v>
      </c>
      <c r="D36" s="28">
        <f t="shared" si="2"/>
        <v>48.675000000000004</v>
      </c>
      <c r="E36" s="28">
        <f t="shared" si="2"/>
        <v>8.0708333333333346</v>
      </c>
      <c r="F36" s="28">
        <f t="shared" si="2"/>
        <v>5.6529166666666661</v>
      </c>
      <c r="G36" s="28">
        <f t="shared" si="2"/>
        <v>117.08124999999997</v>
      </c>
      <c r="H36" s="28">
        <f t="shared" si="2"/>
        <v>49.366666666666667</v>
      </c>
      <c r="I36" s="28">
        <f t="shared" si="2"/>
        <v>5.5591666666666661</v>
      </c>
      <c r="J36" s="28">
        <f t="shared" si="2"/>
        <v>0.58708333333333329</v>
      </c>
      <c r="K36" s="28">
        <f t="shared" si="2"/>
        <v>316.6345833333333</v>
      </c>
      <c r="L36" s="28">
        <f t="shared" si="2"/>
        <v>19.526666666666664</v>
      </c>
      <c r="M36" s="28">
        <f t="shared" si="2"/>
        <v>56.124583333333327</v>
      </c>
      <c r="N36" s="28">
        <f t="shared" si="2"/>
        <v>171.11666666666665</v>
      </c>
      <c r="O36" s="28">
        <f t="shared" si="2"/>
        <v>0</v>
      </c>
      <c r="P36" s="28">
        <f t="shared" si="2"/>
        <v>2.0004166666666667</v>
      </c>
      <c r="Q36" s="28">
        <f t="shared" si="2"/>
        <v>9.7333333333333325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39.775810267391613</v>
      </c>
      <c r="C37" s="28">
        <f t="shared" ref="C37:Q37" si="3">STDEV(C9:C32)</f>
        <v>12.566631476520133</v>
      </c>
      <c r="D37" s="28">
        <f t="shared" si="3"/>
        <v>20.259860293951572</v>
      </c>
      <c r="E37" s="28">
        <f t="shared" si="3"/>
        <v>4.5104216680027118</v>
      </c>
      <c r="F37" s="28">
        <f t="shared" si="3"/>
        <v>5.4041107374219166</v>
      </c>
      <c r="G37" s="28">
        <f t="shared" si="3"/>
        <v>55.075957140038092</v>
      </c>
      <c r="H37" s="28">
        <f t="shared" si="3"/>
        <v>22.145025678893248</v>
      </c>
      <c r="I37" s="28">
        <f t="shared" si="3"/>
        <v>3.0611008486812548</v>
      </c>
      <c r="J37" s="28">
        <f t="shared" si="3"/>
        <v>0.36828012928094356</v>
      </c>
      <c r="K37" s="28">
        <f t="shared" si="3"/>
        <v>60.680946940188967</v>
      </c>
      <c r="L37" s="28">
        <f t="shared" si="3"/>
        <v>6.416084182107042</v>
      </c>
      <c r="M37" s="28">
        <f t="shared" si="3"/>
        <v>30.578239204740353</v>
      </c>
      <c r="N37" s="28">
        <f t="shared" si="3"/>
        <v>209.65399998603633</v>
      </c>
      <c r="O37" s="28">
        <f t="shared" si="3"/>
        <v>0</v>
      </c>
      <c r="P37" s="28">
        <f t="shared" si="3"/>
        <v>0.83551847567148685</v>
      </c>
      <c r="Q37" s="28">
        <f t="shared" si="3"/>
        <v>7.458095494547981E-2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COUNT(C9:C32)+9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227</v>
      </c>
      <c r="B9" s="53">
        <v>145.33000000000001</v>
      </c>
      <c r="C9" s="5" t="s">
        <v>14</v>
      </c>
      <c r="D9" s="53">
        <v>94.13</v>
      </c>
      <c r="E9" s="53">
        <v>6.56</v>
      </c>
      <c r="F9" s="53">
        <v>3.27</v>
      </c>
      <c r="G9" s="53">
        <v>130.84</v>
      </c>
      <c r="H9" s="53">
        <v>56.98</v>
      </c>
      <c r="I9" s="53">
        <v>8.26</v>
      </c>
      <c r="J9" s="53">
        <v>0.28000000000000003</v>
      </c>
      <c r="K9" s="53">
        <v>347.79</v>
      </c>
      <c r="L9" s="53">
        <v>14.69</v>
      </c>
      <c r="M9" s="53">
        <v>67.52</v>
      </c>
      <c r="N9" s="53">
        <v>32.299999999999997</v>
      </c>
      <c r="O9" s="53">
        <v>0</v>
      </c>
      <c r="P9" s="53">
        <v>3.07</v>
      </c>
      <c r="Q9" s="53">
        <v>9.9</v>
      </c>
      <c r="R9" s="43"/>
      <c r="S9" s="43"/>
      <c r="T9" s="43"/>
      <c r="U9" s="43"/>
    </row>
    <row r="10" spans="1:21" s="11" customFormat="1" x14ac:dyDescent="0.25">
      <c r="A10" s="52" t="s">
        <v>228</v>
      </c>
      <c r="B10" s="53">
        <v>124.62</v>
      </c>
      <c r="C10" s="5" t="s">
        <v>14</v>
      </c>
      <c r="D10" s="53">
        <v>82.36</v>
      </c>
      <c r="E10" s="53">
        <v>6.56</v>
      </c>
      <c r="F10" s="53">
        <v>3.2</v>
      </c>
      <c r="G10" s="53">
        <v>102.37</v>
      </c>
      <c r="H10" s="53">
        <v>50.38</v>
      </c>
      <c r="I10" s="53">
        <v>7.37</v>
      </c>
      <c r="J10" s="53">
        <v>0.38</v>
      </c>
      <c r="K10" s="53">
        <v>305.91000000000003</v>
      </c>
      <c r="L10" s="53">
        <v>13.6</v>
      </c>
      <c r="M10" s="53">
        <v>96.86</v>
      </c>
      <c r="N10" s="53">
        <v>32.299999999999997</v>
      </c>
      <c r="O10" s="53">
        <v>0</v>
      </c>
      <c r="P10" s="53">
        <v>2.46</v>
      </c>
      <c r="Q10" s="53">
        <v>9.84</v>
      </c>
      <c r="R10" s="43"/>
      <c r="S10" s="43"/>
      <c r="T10" s="43"/>
      <c r="U10" s="43"/>
    </row>
    <row r="11" spans="1:21" s="11" customFormat="1" x14ac:dyDescent="0.25">
      <c r="A11" s="52" t="s">
        <v>229</v>
      </c>
      <c r="B11" s="53">
        <v>107.16</v>
      </c>
      <c r="C11" s="5" t="s">
        <v>14</v>
      </c>
      <c r="D11" s="53">
        <v>71.58</v>
      </c>
      <c r="E11" s="53">
        <v>6.07</v>
      </c>
      <c r="F11" s="53">
        <v>3.18</v>
      </c>
      <c r="G11" s="53">
        <v>106.38</v>
      </c>
      <c r="H11" s="53">
        <v>49.43</v>
      </c>
      <c r="I11" s="53">
        <v>7.06</v>
      </c>
      <c r="J11" s="53">
        <v>0.28999999999999998</v>
      </c>
      <c r="K11" s="53">
        <v>330.72</v>
      </c>
      <c r="L11" s="53">
        <v>12.34</v>
      </c>
      <c r="M11" s="53">
        <v>98.31</v>
      </c>
      <c r="N11" s="53">
        <v>32.1</v>
      </c>
      <c r="O11" s="53">
        <v>0</v>
      </c>
      <c r="P11" s="53">
        <v>2.27</v>
      </c>
      <c r="Q11" s="53">
        <v>9.81</v>
      </c>
      <c r="R11" s="43"/>
      <c r="S11" s="43"/>
      <c r="T11" s="43"/>
      <c r="U11" s="43"/>
    </row>
    <row r="12" spans="1:21" s="11" customFormat="1" x14ac:dyDescent="0.25">
      <c r="A12" s="52" t="s">
        <v>230</v>
      </c>
      <c r="B12" s="53">
        <v>92.86</v>
      </c>
      <c r="C12" s="5" t="s">
        <v>14</v>
      </c>
      <c r="D12" s="53">
        <v>62.76</v>
      </c>
      <c r="E12" s="53">
        <v>5.98</v>
      </c>
      <c r="F12" s="53">
        <v>2.99</v>
      </c>
      <c r="G12" s="53">
        <v>109.7</v>
      </c>
      <c r="H12" s="53">
        <v>50.14</v>
      </c>
      <c r="I12" s="53">
        <v>7.2</v>
      </c>
      <c r="J12" s="53">
        <v>0.36</v>
      </c>
      <c r="K12" s="53">
        <v>346.16</v>
      </c>
      <c r="L12" s="53">
        <v>11.73</v>
      </c>
      <c r="M12" s="53">
        <v>98.32</v>
      </c>
      <c r="N12" s="53">
        <v>32</v>
      </c>
      <c r="O12" s="53">
        <v>0</v>
      </c>
      <c r="P12" s="53">
        <v>2.14</v>
      </c>
      <c r="Q12" s="53">
        <v>9.7799999999999994</v>
      </c>
      <c r="R12" s="43"/>
      <c r="S12" s="43"/>
      <c r="T12" s="43"/>
      <c r="U12" s="43"/>
    </row>
    <row r="13" spans="1:21" s="11" customFormat="1" x14ac:dyDescent="0.25">
      <c r="A13" s="52" t="s">
        <v>231</v>
      </c>
      <c r="B13" s="53">
        <v>80.23</v>
      </c>
      <c r="C13" s="5" t="s">
        <v>14</v>
      </c>
      <c r="D13" s="53">
        <v>55.59</v>
      </c>
      <c r="E13" s="53">
        <v>6.21</v>
      </c>
      <c r="F13" s="53">
        <v>3.26</v>
      </c>
      <c r="G13" s="53">
        <v>126.86</v>
      </c>
      <c r="H13" s="53">
        <v>55.71</v>
      </c>
      <c r="I13" s="53">
        <v>8.01</v>
      </c>
      <c r="J13" s="53">
        <v>0.38</v>
      </c>
      <c r="K13" s="53">
        <v>324.20999999999998</v>
      </c>
      <c r="L13" s="53">
        <v>11.69</v>
      </c>
      <c r="M13" s="53">
        <v>97.11</v>
      </c>
      <c r="N13" s="53">
        <v>32.1</v>
      </c>
      <c r="O13" s="53">
        <v>0</v>
      </c>
      <c r="P13" s="53">
        <v>2.16</v>
      </c>
      <c r="Q13" s="53">
        <v>9.76</v>
      </c>
      <c r="R13" s="43"/>
      <c r="S13" s="43"/>
      <c r="T13" s="43"/>
      <c r="U13" s="43"/>
    </row>
    <row r="14" spans="1:21" s="11" customFormat="1" x14ac:dyDescent="0.25">
      <c r="A14" s="52" t="s">
        <v>232</v>
      </c>
      <c r="B14" s="53">
        <v>74.739999999999995</v>
      </c>
      <c r="C14" s="5" t="s">
        <v>14</v>
      </c>
      <c r="D14" s="53">
        <v>52.67</v>
      </c>
      <c r="E14" s="53">
        <v>6.06</v>
      </c>
      <c r="F14" s="53">
        <v>3.3</v>
      </c>
      <c r="G14" s="53">
        <v>191.91</v>
      </c>
      <c r="H14" s="53">
        <v>63.82</v>
      </c>
      <c r="I14" s="53">
        <v>7.49</v>
      </c>
      <c r="J14" s="53">
        <v>0.44</v>
      </c>
      <c r="K14" s="53">
        <v>242.31</v>
      </c>
      <c r="L14" s="53">
        <v>11.77</v>
      </c>
      <c r="M14" s="53">
        <v>98.3</v>
      </c>
      <c r="N14" s="53">
        <v>32</v>
      </c>
      <c r="O14" s="53">
        <v>0</v>
      </c>
      <c r="P14" s="53">
        <v>2.13</v>
      </c>
      <c r="Q14" s="53">
        <v>9.76</v>
      </c>
      <c r="R14" s="43"/>
      <c r="S14" s="43"/>
      <c r="T14" s="43"/>
      <c r="U14" s="43"/>
    </row>
    <row r="15" spans="1:21" s="11" customFormat="1" x14ac:dyDescent="0.25">
      <c r="A15" s="52" t="s">
        <v>233</v>
      </c>
      <c r="B15" s="53">
        <v>71.319999999999993</v>
      </c>
      <c r="C15" s="5" t="s">
        <v>14</v>
      </c>
      <c r="D15" s="53">
        <v>50.34</v>
      </c>
      <c r="E15" s="53">
        <v>6.25</v>
      </c>
      <c r="F15" s="53">
        <v>3.44</v>
      </c>
      <c r="G15" s="53">
        <v>149.96</v>
      </c>
      <c r="H15" s="53">
        <v>59.34</v>
      </c>
      <c r="I15" s="53">
        <v>7.44</v>
      </c>
      <c r="J15" s="53">
        <v>0.41</v>
      </c>
      <c r="K15" s="53">
        <v>351.05</v>
      </c>
      <c r="L15" s="53">
        <v>11.1</v>
      </c>
      <c r="M15" s="53">
        <v>98.33</v>
      </c>
      <c r="N15" s="53">
        <v>53.4</v>
      </c>
      <c r="O15" s="53">
        <v>0</v>
      </c>
      <c r="P15" s="53">
        <v>1.95</v>
      </c>
      <c r="Q15" s="53">
        <v>9.74</v>
      </c>
      <c r="R15" s="43"/>
      <c r="S15" s="43"/>
      <c r="T15" s="43"/>
      <c r="U15" s="43"/>
    </row>
    <row r="16" spans="1:21" s="11" customFormat="1" x14ac:dyDescent="0.25">
      <c r="A16" s="52" t="s">
        <v>234</v>
      </c>
      <c r="B16" s="53">
        <v>70.31</v>
      </c>
      <c r="C16" s="5" t="s">
        <v>14</v>
      </c>
      <c r="D16" s="53">
        <v>49.64</v>
      </c>
      <c r="E16" s="53">
        <v>5.95</v>
      </c>
      <c r="F16" s="53">
        <v>3.08</v>
      </c>
      <c r="G16" s="53">
        <v>112.87</v>
      </c>
      <c r="H16" s="53">
        <v>55.91</v>
      </c>
      <c r="I16" s="53">
        <v>6.94</v>
      </c>
      <c r="J16" s="53">
        <v>0.4</v>
      </c>
      <c r="K16" s="53">
        <v>274.26</v>
      </c>
      <c r="L16" s="53">
        <v>15.24</v>
      </c>
      <c r="M16" s="53">
        <v>97.84</v>
      </c>
      <c r="N16" s="53">
        <v>233.6</v>
      </c>
      <c r="O16" s="53">
        <v>0</v>
      </c>
      <c r="P16" s="53">
        <v>1.94</v>
      </c>
      <c r="Q16" s="53">
        <v>9.73</v>
      </c>
      <c r="R16" s="43"/>
      <c r="S16" s="43"/>
      <c r="T16" s="43"/>
      <c r="U16" s="43"/>
    </row>
    <row r="17" spans="1:21" s="11" customFormat="1" x14ac:dyDescent="0.25">
      <c r="A17" s="52" t="s">
        <v>235</v>
      </c>
      <c r="B17" s="53">
        <v>64.69</v>
      </c>
      <c r="C17" s="5" t="s">
        <v>14</v>
      </c>
      <c r="D17" s="53">
        <v>47.59</v>
      </c>
      <c r="E17" s="53">
        <v>6.07</v>
      </c>
      <c r="F17" s="53">
        <v>3.11</v>
      </c>
      <c r="G17" s="53">
        <v>141.94</v>
      </c>
      <c r="H17" s="53">
        <v>55.39</v>
      </c>
      <c r="I17" s="53">
        <v>6.7</v>
      </c>
      <c r="J17" s="53">
        <v>0.64</v>
      </c>
      <c r="K17" s="53">
        <v>349.57</v>
      </c>
      <c r="L17" s="53">
        <v>21.9</v>
      </c>
      <c r="M17" s="53">
        <v>71.56</v>
      </c>
      <c r="N17" s="53">
        <v>392.9</v>
      </c>
      <c r="O17" s="53">
        <v>0</v>
      </c>
      <c r="P17" s="53">
        <v>1.89</v>
      </c>
      <c r="Q17" s="53">
        <v>9.7200000000000006</v>
      </c>
      <c r="R17" s="43"/>
      <c r="S17" s="43"/>
      <c r="T17" s="43"/>
      <c r="U17" s="43"/>
    </row>
    <row r="18" spans="1:21" s="11" customFormat="1" x14ac:dyDescent="0.25">
      <c r="A18" s="52" t="s">
        <v>236</v>
      </c>
      <c r="B18" s="53">
        <v>56.98</v>
      </c>
      <c r="C18" s="53">
        <v>5.99</v>
      </c>
      <c r="D18" s="53">
        <v>45.56</v>
      </c>
      <c r="E18" s="53">
        <v>6.35</v>
      </c>
      <c r="F18" s="53">
        <v>3.34</v>
      </c>
      <c r="G18" s="53">
        <v>142.71</v>
      </c>
      <c r="H18" s="53">
        <v>57.01</v>
      </c>
      <c r="I18" s="53">
        <v>6.64</v>
      </c>
      <c r="J18" s="53">
        <v>1.06</v>
      </c>
      <c r="K18" s="53">
        <v>344.01</v>
      </c>
      <c r="L18" s="53">
        <v>27.13</v>
      </c>
      <c r="M18" s="53">
        <v>33</v>
      </c>
      <c r="N18" s="53">
        <v>521.6</v>
      </c>
      <c r="O18" s="53">
        <v>0</v>
      </c>
      <c r="P18" s="53">
        <v>1.9</v>
      </c>
      <c r="Q18" s="53">
        <v>9.7200000000000006</v>
      </c>
      <c r="R18" s="43"/>
      <c r="S18" s="43"/>
      <c r="T18" s="43"/>
      <c r="U18" s="43"/>
    </row>
    <row r="19" spans="1:21" s="11" customFormat="1" x14ac:dyDescent="0.25">
      <c r="A19" s="52" t="s">
        <v>237</v>
      </c>
      <c r="B19" s="53">
        <v>46.95</v>
      </c>
      <c r="C19" s="53">
        <v>10.02</v>
      </c>
      <c r="D19" s="53">
        <v>41.37</v>
      </c>
      <c r="E19" s="53">
        <v>6.68</v>
      </c>
      <c r="F19" s="53">
        <v>2.99</v>
      </c>
      <c r="G19" s="53">
        <v>93.26</v>
      </c>
      <c r="H19" s="53">
        <v>43.45</v>
      </c>
      <c r="I19" s="53">
        <v>6.22</v>
      </c>
      <c r="J19" s="53">
        <v>0.98</v>
      </c>
      <c r="K19" s="53">
        <v>348.77</v>
      </c>
      <c r="L19" s="53">
        <v>28.73</v>
      </c>
      <c r="M19" s="53">
        <v>23.3</v>
      </c>
      <c r="N19" s="53">
        <v>575.1</v>
      </c>
      <c r="O19" s="53">
        <v>0</v>
      </c>
      <c r="P19" s="53">
        <v>1.7</v>
      </c>
      <c r="Q19" s="53">
        <v>9.7100000000000009</v>
      </c>
      <c r="R19" s="43"/>
      <c r="S19" s="43"/>
      <c r="T19" s="43"/>
      <c r="U19" s="43"/>
    </row>
    <row r="20" spans="1:21" s="11" customFormat="1" x14ac:dyDescent="0.25">
      <c r="A20" s="52" t="s">
        <v>238</v>
      </c>
      <c r="B20" s="53">
        <v>41.51</v>
      </c>
      <c r="C20" s="53">
        <v>15.23</v>
      </c>
      <c r="D20" s="53">
        <v>38.049999999999997</v>
      </c>
      <c r="E20" s="53">
        <v>6.24</v>
      </c>
      <c r="F20" s="53">
        <v>3.41</v>
      </c>
      <c r="G20" s="53">
        <v>47.86</v>
      </c>
      <c r="H20" s="53">
        <v>35.770000000000003</v>
      </c>
      <c r="I20" s="53">
        <v>5.5</v>
      </c>
      <c r="J20" s="53">
        <v>1.21</v>
      </c>
      <c r="K20" s="53">
        <v>337.17</v>
      </c>
      <c r="L20" s="53">
        <v>31.02</v>
      </c>
      <c r="M20" s="53">
        <v>19.920000000000002</v>
      </c>
      <c r="N20" s="53">
        <v>584.6</v>
      </c>
      <c r="O20" s="53">
        <v>0</v>
      </c>
      <c r="P20" s="53">
        <v>1.47</v>
      </c>
      <c r="Q20" s="53">
        <v>9.68</v>
      </c>
      <c r="R20" s="43"/>
      <c r="S20" s="43"/>
      <c r="T20" s="43"/>
      <c r="U20" s="43"/>
    </row>
    <row r="21" spans="1:21" s="11" customFormat="1" x14ac:dyDescent="0.25">
      <c r="A21" s="52" t="s">
        <v>239</v>
      </c>
      <c r="B21" s="53">
        <v>30.14</v>
      </c>
      <c r="C21" s="53">
        <v>21.02</v>
      </c>
      <c r="D21" s="53">
        <v>32.89</v>
      </c>
      <c r="E21" s="53">
        <v>14.27</v>
      </c>
      <c r="F21" s="53">
        <v>6.01</v>
      </c>
      <c r="G21" s="53">
        <v>57.82</v>
      </c>
      <c r="H21" s="53">
        <v>31.84</v>
      </c>
      <c r="I21" s="53">
        <v>4.91</v>
      </c>
      <c r="J21" s="53">
        <v>1.36</v>
      </c>
      <c r="K21" s="53">
        <v>338.05</v>
      </c>
      <c r="L21" s="53">
        <v>30.81</v>
      </c>
      <c r="M21" s="53">
        <v>14.85</v>
      </c>
      <c r="N21" s="53">
        <v>569.29999999999995</v>
      </c>
      <c r="O21" s="53">
        <v>0</v>
      </c>
      <c r="P21" s="53">
        <v>1.3</v>
      </c>
      <c r="Q21" s="53">
        <v>9.66</v>
      </c>
      <c r="R21" s="43"/>
      <c r="S21" s="43"/>
      <c r="T21" s="43"/>
      <c r="U21" s="43"/>
    </row>
    <row r="22" spans="1:21" s="11" customFormat="1" x14ac:dyDescent="0.25">
      <c r="A22" s="52" t="s">
        <v>240</v>
      </c>
      <c r="B22" s="53">
        <v>23.13</v>
      </c>
      <c r="C22" s="53">
        <v>23.73</v>
      </c>
      <c r="D22" s="53">
        <v>29.21</v>
      </c>
      <c r="E22" s="53">
        <v>24.36</v>
      </c>
      <c r="F22" s="53">
        <v>17.239999999999998</v>
      </c>
      <c r="G22" s="53">
        <v>45.32</v>
      </c>
      <c r="H22" s="53">
        <v>27.18</v>
      </c>
      <c r="I22" s="53">
        <v>4.5199999999999996</v>
      </c>
      <c r="J22" s="53">
        <v>1.23</v>
      </c>
      <c r="K22" s="53">
        <v>356.19</v>
      </c>
      <c r="L22" s="53">
        <v>30.81</v>
      </c>
      <c r="M22" s="53">
        <v>12.3</v>
      </c>
      <c r="N22" s="53">
        <v>502.9</v>
      </c>
      <c r="O22" s="53">
        <v>0</v>
      </c>
      <c r="P22" s="53">
        <v>1.1399999999999999</v>
      </c>
      <c r="Q22" s="53">
        <v>9.68</v>
      </c>
      <c r="R22" s="43"/>
      <c r="S22" s="43"/>
      <c r="T22" s="43"/>
      <c r="U22" s="43"/>
    </row>
    <row r="23" spans="1:21" s="11" customFormat="1" x14ac:dyDescent="0.25">
      <c r="A23" s="52" t="s">
        <v>241</v>
      </c>
      <c r="B23" s="53">
        <v>20.55</v>
      </c>
      <c r="C23" s="53">
        <v>30.19</v>
      </c>
      <c r="D23" s="53">
        <v>31.79</v>
      </c>
      <c r="E23" s="53">
        <v>26.86</v>
      </c>
      <c r="F23" s="53">
        <v>15.95</v>
      </c>
      <c r="G23" s="53">
        <v>36.92</v>
      </c>
      <c r="H23" s="53">
        <v>21.53</v>
      </c>
      <c r="I23" s="53">
        <v>4.21</v>
      </c>
      <c r="J23" s="53">
        <v>1.1299999999999999</v>
      </c>
      <c r="K23" s="53">
        <v>347.73</v>
      </c>
      <c r="L23" s="53">
        <v>27.54</v>
      </c>
      <c r="M23" s="53">
        <v>14.98</v>
      </c>
      <c r="N23" s="53">
        <v>148.69999999999999</v>
      </c>
      <c r="O23" s="53">
        <v>0</v>
      </c>
      <c r="P23" s="53">
        <v>1.07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242</v>
      </c>
      <c r="B24" s="53">
        <v>16.399999999999999</v>
      </c>
      <c r="C24" s="53">
        <v>33.4</v>
      </c>
      <c r="D24" s="53">
        <v>26.09</v>
      </c>
      <c r="E24" s="53">
        <v>16.260000000000002</v>
      </c>
      <c r="F24" s="53">
        <v>16.41</v>
      </c>
      <c r="G24" s="53">
        <v>42.52</v>
      </c>
      <c r="H24" s="53">
        <v>20.88</v>
      </c>
      <c r="I24" s="53">
        <v>3.78</v>
      </c>
      <c r="J24" s="53">
        <v>0.73</v>
      </c>
      <c r="K24" s="53">
        <v>347.01</v>
      </c>
      <c r="L24" s="53">
        <v>26.06</v>
      </c>
      <c r="M24" s="53">
        <v>13.78</v>
      </c>
      <c r="N24" s="53">
        <v>80.8</v>
      </c>
      <c r="O24" s="53">
        <v>0</v>
      </c>
      <c r="P24" s="53">
        <v>1.06</v>
      </c>
      <c r="Q24" s="53">
        <v>9.65</v>
      </c>
      <c r="R24" s="43"/>
      <c r="S24" s="43"/>
      <c r="T24" s="43"/>
      <c r="U24" s="43"/>
    </row>
    <row r="25" spans="1:21" s="11" customFormat="1" x14ac:dyDescent="0.25">
      <c r="A25" s="52" t="s">
        <v>243</v>
      </c>
      <c r="B25" s="53">
        <v>16.46</v>
      </c>
      <c r="C25" s="53">
        <v>47.3</v>
      </c>
      <c r="D25" s="53">
        <v>36.049999999999997</v>
      </c>
      <c r="E25" s="53">
        <v>16.89</v>
      </c>
      <c r="F25" s="53">
        <v>16.489999999999998</v>
      </c>
      <c r="G25" s="53">
        <v>27.84</v>
      </c>
      <c r="H25" s="53">
        <v>20.04</v>
      </c>
      <c r="I25" s="53">
        <v>3.46</v>
      </c>
      <c r="J25" s="53">
        <v>0.47</v>
      </c>
      <c r="K25" s="53">
        <v>112.02</v>
      </c>
      <c r="L25" s="53">
        <v>24.97</v>
      </c>
      <c r="M25" s="53">
        <v>19.48</v>
      </c>
      <c r="N25" s="53">
        <v>74</v>
      </c>
      <c r="O25" s="53">
        <v>0</v>
      </c>
      <c r="P25" s="53">
        <v>1.31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244</v>
      </c>
      <c r="B26" s="53">
        <v>40.799999999999997</v>
      </c>
      <c r="C26" s="53">
        <v>49.41</v>
      </c>
      <c r="D26" s="53">
        <v>49.08</v>
      </c>
      <c r="E26" s="53">
        <v>12.63</v>
      </c>
      <c r="F26" s="53">
        <v>7.94</v>
      </c>
      <c r="G26" s="53">
        <v>63.65</v>
      </c>
      <c r="H26" s="53">
        <v>20.2</v>
      </c>
      <c r="I26" s="53">
        <v>3.61</v>
      </c>
      <c r="J26" s="53">
        <v>0.41</v>
      </c>
      <c r="K26" s="53">
        <v>284.29000000000002</v>
      </c>
      <c r="L26" s="53">
        <v>22.82</v>
      </c>
      <c r="M26" s="53">
        <v>33.46</v>
      </c>
      <c r="N26" s="53">
        <v>36.5</v>
      </c>
      <c r="O26" s="53">
        <v>0</v>
      </c>
      <c r="P26" s="53">
        <v>1.77</v>
      </c>
      <c r="Q26" s="53">
        <v>9.65</v>
      </c>
      <c r="R26" s="43"/>
      <c r="S26" s="43"/>
      <c r="T26" s="43"/>
      <c r="U26" s="43"/>
    </row>
    <row r="27" spans="1:21" s="11" customFormat="1" x14ac:dyDescent="0.25">
      <c r="A27" s="52" t="s">
        <v>245</v>
      </c>
      <c r="B27" s="53">
        <v>45.26</v>
      </c>
      <c r="C27" s="53">
        <v>27.91</v>
      </c>
      <c r="D27" s="53">
        <v>49.97</v>
      </c>
      <c r="E27" s="53">
        <v>7.34</v>
      </c>
      <c r="F27" s="53">
        <v>3.78</v>
      </c>
      <c r="G27" s="53">
        <v>128.55000000000001</v>
      </c>
      <c r="H27" s="53">
        <v>29.45</v>
      </c>
      <c r="I27" s="53">
        <v>4.17</v>
      </c>
      <c r="J27" s="53">
        <v>0.39</v>
      </c>
      <c r="K27" s="53">
        <v>345.28</v>
      </c>
      <c r="L27" s="53">
        <v>19.27</v>
      </c>
      <c r="M27" s="53">
        <v>44.95</v>
      </c>
      <c r="N27" s="53">
        <v>32.6</v>
      </c>
      <c r="O27" s="53">
        <v>0</v>
      </c>
      <c r="P27" s="53">
        <v>1.9</v>
      </c>
      <c r="Q27" s="53">
        <v>9.68</v>
      </c>
      <c r="R27" s="43"/>
      <c r="S27" s="43"/>
      <c r="T27" s="43"/>
      <c r="U27" s="43"/>
    </row>
    <row r="28" spans="1:21" s="11" customFormat="1" x14ac:dyDescent="0.25">
      <c r="A28" s="52" t="s">
        <v>246</v>
      </c>
      <c r="B28" s="53">
        <v>43.08</v>
      </c>
      <c r="C28" s="53">
        <v>20.27</v>
      </c>
      <c r="D28" s="53">
        <v>41.38</v>
      </c>
      <c r="E28" s="53">
        <v>5.95</v>
      </c>
      <c r="F28" s="53">
        <v>3.34</v>
      </c>
      <c r="G28" s="53">
        <v>139.12</v>
      </c>
      <c r="H28" s="53">
        <v>39.659999999999997</v>
      </c>
      <c r="I28" s="53">
        <v>4.97</v>
      </c>
      <c r="J28" s="53">
        <v>0.41</v>
      </c>
      <c r="K28" s="53">
        <v>321.83999999999997</v>
      </c>
      <c r="L28" s="53">
        <v>17.61</v>
      </c>
      <c r="M28" s="53">
        <v>50.46</v>
      </c>
      <c r="N28" s="53">
        <v>32.4</v>
      </c>
      <c r="O28" s="53">
        <v>0</v>
      </c>
      <c r="P28" s="53">
        <v>1.74</v>
      </c>
      <c r="Q28" s="53">
        <v>9.7100000000000009</v>
      </c>
      <c r="R28" s="43"/>
      <c r="S28" s="43"/>
      <c r="T28" s="43"/>
      <c r="U28" s="43"/>
    </row>
    <row r="29" spans="1:21" s="11" customFormat="1" x14ac:dyDescent="0.25">
      <c r="A29" s="52" t="s">
        <v>247</v>
      </c>
      <c r="B29" s="53">
        <v>62.23</v>
      </c>
      <c r="C29" s="53">
        <v>12.17</v>
      </c>
      <c r="D29" s="53">
        <v>51.34</v>
      </c>
      <c r="E29" s="53">
        <v>5.78</v>
      </c>
      <c r="F29" s="53">
        <v>3.14</v>
      </c>
      <c r="G29" s="53">
        <v>137.22</v>
      </c>
      <c r="H29" s="53">
        <v>44.29</v>
      </c>
      <c r="I29" s="53">
        <v>5.77</v>
      </c>
      <c r="J29" s="53">
        <v>0.28000000000000003</v>
      </c>
      <c r="K29" s="53">
        <v>326.17</v>
      </c>
      <c r="L29" s="53">
        <v>16.91</v>
      </c>
      <c r="M29" s="53">
        <v>52.92</v>
      </c>
      <c r="N29" s="53">
        <v>32.200000000000003</v>
      </c>
      <c r="O29" s="53">
        <v>0</v>
      </c>
      <c r="P29" s="53">
        <v>2.13</v>
      </c>
      <c r="Q29" s="53">
        <v>9.74</v>
      </c>
      <c r="R29" s="43"/>
      <c r="S29" s="43"/>
      <c r="T29" s="43"/>
      <c r="U29" s="43"/>
    </row>
    <row r="30" spans="1:21" s="11" customFormat="1" x14ac:dyDescent="0.25">
      <c r="A30" s="52" t="s">
        <v>248</v>
      </c>
      <c r="B30" s="53">
        <v>81.569999999999993</v>
      </c>
      <c r="C30" s="53">
        <v>0.61</v>
      </c>
      <c r="D30" s="53">
        <v>60.86</v>
      </c>
      <c r="E30" s="53">
        <v>5.88</v>
      </c>
      <c r="F30" s="53">
        <v>2.86</v>
      </c>
      <c r="G30" s="53">
        <v>133.38</v>
      </c>
      <c r="H30" s="53">
        <v>52.52</v>
      </c>
      <c r="I30" s="53">
        <v>7.17</v>
      </c>
      <c r="J30" s="53">
        <v>0.41</v>
      </c>
      <c r="K30" s="53">
        <v>291.39999999999998</v>
      </c>
      <c r="L30" s="53">
        <v>16.34</v>
      </c>
      <c r="M30" s="53">
        <v>55.32</v>
      </c>
      <c r="N30" s="53">
        <v>32.299999999999997</v>
      </c>
      <c r="O30" s="53">
        <v>0</v>
      </c>
      <c r="P30" s="53">
        <v>2.5099999999999998</v>
      </c>
      <c r="Q30" s="53">
        <v>9.76</v>
      </c>
      <c r="R30" s="43"/>
      <c r="S30" s="43"/>
      <c r="T30" s="43"/>
      <c r="U30" s="43"/>
    </row>
    <row r="31" spans="1:21" s="11" customFormat="1" x14ac:dyDescent="0.25">
      <c r="A31" s="52" t="s">
        <v>249</v>
      </c>
      <c r="B31" s="53">
        <v>91.89</v>
      </c>
      <c r="C31" s="5" t="s">
        <v>14</v>
      </c>
      <c r="D31" s="53">
        <v>65.53</v>
      </c>
      <c r="E31" s="53">
        <v>6.24</v>
      </c>
      <c r="F31" s="53">
        <v>2.87</v>
      </c>
      <c r="G31" s="53">
        <v>150.94</v>
      </c>
      <c r="H31" s="53">
        <v>53.5</v>
      </c>
      <c r="I31" s="53">
        <v>7.14</v>
      </c>
      <c r="J31" s="53">
        <v>0.46</v>
      </c>
      <c r="K31" s="53">
        <v>328.01</v>
      </c>
      <c r="L31" s="53">
        <v>15.45</v>
      </c>
      <c r="M31" s="53">
        <v>67.38</v>
      </c>
      <c r="N31" s="53">
        <v>32.6</v>
      </c>
      <c r="O31" s="53">
        <v>0</v>
      </c>
      <c r="P31" s="53">
        <v>2.73</v>
      </c>
      <c r="Q31" s="53">
        <v>9.8000000000000007</v>
      </c>
      <c r="R31" s="43"/>
      <c r="S31" s="43"/>
      <c r="T31" s="43"/>
      <c r="U31" s="43"/>
    </row>
    <row r="32" spans="1:21" s="11" customFormat="1" x14ac:dyDescent="0.25">
      <c r="A32" s="52" t="s">
        <v>250</v>
      </c>
      <c r="B32" s="53">
        <v>101.85</v>
      </c>
      <c r="C32" s="5" t="s">
        <v>14</v>
      </c>
      <c r="D32" s="53">
        <v>69.52</v>
      </c>
      <c r="E32" s="53">
        <v>6.26</v>
      </c>
      <c r="F32" s="53">
        <v>3.12</v>
      </c>
      <c r="G32" s="53">
        <v>147.75</v>
      </c>
      <c r="H32" s="53">
        <v>58.68</v>
      </c>
      <c r="I32" s="53">
        <v>1.9</v>
      </c>
      <c r="J32" s="53">
        <v>0.23</v>
      </c>
      <c r="K32" s="53">
        <v>316.64999999999998</v>
      </c>
      <c r="L32" s="53">
        <v>14.55</v>
      </c>
      <c r="M32" s="53">
        <v>76.38</v>
      </c>
      <c r="N32" s="53">
        <v>32.299999999999997</v>
      </c>
      <c r="O32" s="53">
        <v>0</v>
      </c>
      <c r="P32" s="53">
        <v>2.77</v>
      </c>
      <c r="Q32" s="53">
        <v>9.81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16.399999999999999</v>
      </c>
      <c r="C34" s="28">
        <f t="shared" si="0"/>
        <v>0.61</v>
      </c>
      <c r="D34" s="28">
        <f t="shared" si="0"/>
        <v>26.09</v>
      </c>
      <c r="E34" s="28">
        <f t="shared" si="0"/>
        <v>5.78</v>
      </c>
      <c r="F34" s="28">
        <f t="shared" si="0"/>
        <v>2.86</v>
      </c>
      <c r="G34" s="28">
        <f t="shared" si="0"/>
        <v>27.84</v>
      </c>
      <c r="H34" s="28">
        <f t="shared" si="0"/>
        <v>20.04</v>
      </c>
      <c r="I34" s="28">
        <f t="shared" si="0"/>
        <v>1.9</v>
      </c>
      <c r="J34" s="28">
        <f t="shared" si="0"/>
        <v>0.23</v>
      </c>
      <c r="K34" s="28">
        <f t="shared" si="0"/>
        <v>112.02</v>
      </c>
      <c r="L34" s="28">
        <f t="shared" si="0"/>
        <v>11.1</v>
      </c>
      <c r="M34" s="28">
        <f t="shared" si="0"/>
        <v>12.3</v>
      </c>
      <c r="N34" s="28">
        <f t="shared" si="0"/>
        <v>32</v>
      </c>
      <c r="O34" s="28">
        <f t="shared" si="0"/>
        <v>0</v>
      </c>
      <c r="P34" s="28">
        <f t="shared" si="0"/>
        <v>1.06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145.33000000000001</v>
      </c>
      <c r="C35" s="29">
        <f t="shared" si="1"/>
        <v>49.41</v>
      </c>
      <c r="D35" s="29">
        <f t="shared" si="1"/>
        <v>94.13</v>
      </c>
      <c r="E35" s="29">
        <f t="shared" si="1"/>
        <v>26.86</v>
      </c>
      <c r="F35" s="29">
        <f t="shared" si="1"/>
        <v>17.239999999999998</v>
      </c>
      <c r="G35" s="29">
        <f t="shared" si="1"/>
        <v>191.91</v>
      </c>
      <c r="H35" s="29">
        <f t="shared" si="1"/>
        <v>63.82</v>
      </c>
      <c r="I35" s="29">
        <f t="shared" si="1"/>
        <v>8.26</v>
      </c>
      <c r="J35" s="29">
        <f t="shared" si="1"/>
        <v>1.36</v>
      </c>
      <c r="K35" s="29">
        <f t="shared" si="1"/>
        <v>356.19</v>
      </c>
      <c r="L35" s="29">
        <f t="shared" si="1"/>
        <v>31.02</v>
      </c>
      <c r="M35" s="29">
        <f t="shared" si="1"/>
        <v>98.33</v>
      </c>
      <c r="N35" s="29">
        <f t="shared" si="1"/>
        <v>584.6</v>
      </c>
      <c r="O35" s="29">
        <f t="shared" si="1"/>
        <v>0</v>
      </c>
      <c r="P35" s="29">
        <f t="shared" si="1"/>
        <v>3.07</v>
      </c>
      <c r="Q35" s="29">
        <f t="shared" si="1"/>
        <v>9.9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64.585833333333326</v>
      </c>
      <c r="C36" s="28">
        <f t="shared" si="2"/>
        <v>22.865384615384617</v>
      </c>
      <c r="D36" s="28">
        <f t="shared" si="2"/>
        <v>51.472916666666663</v>
      </c>
      <c r="E36" s="28">
        <f t="shared" si="2"/>
        <v>9.3208333333333329</v>
      </c>
      <c r="F36" s="28">
        <f t="shared" si="2"/>
        <v>5.7383333333333342</v>
      </c>
      <c r="G36" s="28">
        <f t="shared" si="2"/>
        <v>106.98708333333332</v>
      </c>
      <c r="H36" s="28">
        <f t="shared" si="2"/>
        <v>43.879166666666663</v>
      </c>
      <c r="I36" s="28">
        <f t="shared" si="2"/>
        <v>5.8516666666666657</v>
      </c>
      <c r="J36" s="28">
        <f t="shared" si="2"/>
        <v>0.59750000000000014</v>
      </c>
      <c r="K36" s="28">
        <f t="shared" si="2"/>
        <v>317.35708333333332</v>
      </c>
      <c r="L36" s="28">
        <f t="shared" si="2"/>
        <v>19.753333333333334</v>
      </c>
      <c r="M36" s="28">
        <f t="shared" si="2"/>
        <v>56.526250000000005</v>
      </c>
      <c r="N36" s="28">
        <f t="shared" si="2"/>
        <v>173.35833333333335</v>
      </c>
      <c r="O36" s="28">
        <f t="shared" si="2"/>
        <v>0</v>
      </c>
      <c r="P36" s="28">
        <f t="shared" si="2"/>
        <v>1.9379166666666665</v>
      </c>
      <c r="Q36" s="28">
        <f t="shared" si="2"/>
        <v>9.7316666666666691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34.499638802982176</v>
      </c>
      <c r="C37" s="28">
        <f t="shared" ref="C37:Q37" si="3">STDEV(C9:C32)</f>
        <v>14.777255392090806</v>
      </c>
      <c r="D37" s="28">
        <f t="shared" si="3"/>
        <v>16.801223164366352</v>
      </c>
      <c r="E37" s="28">
        <f t="shared" si="3"/>
        <v>6.0689766465386823</v>
      </c>
      <c r="F37" s="28">
        <f t="shared" si="3"/>
        <v>5.0535486168818426</v>
      </c>
      <c r="G37" s="28">
        <f t="shared" si="3"/>
        <v>44.914396595723915</v>
      </c>
      <c r="H37" s="28">
        <f t="shared" si="3"/>
        <v>14.400885515244836</v>
      </c>
      <c r="I37" s="28">
        <f t="shared" si="3"/>
        <v>1.7074177468677254</v>
      </c>
      <c r="J37" s="28">
        <f t="shared" si="3"/>
        <v>0.35414624834578051</v>
      </c>
      <c r="K37" s="28">
        <f t="shared" si="3"/>
        <v>52.1387382878954</v>
      </c>
      <c r="L37" s="28">
        <f t="shared" si="3"/>
        <v>6.993958676673345</v>
      </c>
      <c r="M37" s="28">
        <f t="shared" si="3"/>
        <v>33.073149205504528</v>
      </c>
      <c r="N37" s="28">
        <f t="shared" si="3"/>
        <v>214.68212682873749</v>
      </c>
      <c r="O37" s="28">
        <f t="shared" si="3"/>
        <v>0</v>
      </c>
      <c r="P37" s="28">
        <f t="shared" si="3"/>
        <v>0.54316287225573634</v>
      </c>
      <c r="Q37" s="28">
        <f t="shared" si="3"/>
        <v>6.8757081321737815E-2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0" sqref="H4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251</v>
      </c>
      <c r="B9" s="53">
        <v>102.63</v>
      </c>
      <c r="C9" s="5" t="s">
        <v>14</v>
      </c>
      <c r="D9" s="53">
        <v>69.66</v>
      </c>
      <c r="E9" s="53">
        <v>5.09</v>
      </c>
      <c r="F9" s="53">
        <v>3.1</v>
      </c>
      <c r="G9" s="53">
        <v>151.66999999999999</v>
      </c>
      <c r="H9" s="53">
        <v>58.68</v>
      </c>
      <c r="I9" s="53">
        <v>0.1</v>
      </c>
      <c r="J9" s="53">
        <v>0.37</v>
      </c>
      <c r="K9" s="53">
        <v>279.07</v>
      </c>
      <c r="L9" s="53">
        <v>13.74</v>
      </c>
      <c r="M9" s="53">
        <v>82.79</v>
      </c>
      <c r="N9" s="53">
        <v>32.200000000000003</v>
      </c>
      <c r="O9" s="53">
        <v>0</v>
      </c>
      <c r="P9" s="53">
        <v>2.71</v>
      </c>
      <c r="Q9" s="53">
        <v>9.8000000000000007</v>
      </c>
      <c r="R9" s="43"/>
      <c r="S9" s="43"/>
      <c r="T9" s="43"/>
      <c r="U9" s="43"/>
    </row>
    <row r="10" spans="1:21" s="11" customFormat="1" x14ac:dyDescent="0.25">
      <c r="A10" s="52" t="s">
        <v>252</v>
      </c>
      <c r="B10" s="53">
        <v>95.9</v>
      </c>
      <c r="C10" s="5" t="s">
        <v>14</v>
      </c>
      <c r="D10" s="53">
        <v>65.239999999999995</v>
      </c>
      <c r="E10" s="53">
        <v>4.92</v>
      </c>
      <c r="F10" s="53">
        <v>2.94</v>
      </c>
      <c r="G10" s="53">
        <v>138.47999999999999</v>
      </c>
      <c r="H10" s="53">
        <v>58.61</v>
      </c>
      <c r="I10" s="53">
        <v>0.1</v>
      </c>
      <c r="J10" s="53">
        <v>0.41</v>
      </c>
      <c r="K10" s="53">
        <v>318.83999999999997</v>
      </c>
      <c r="L10" s="53">
        <v>12.95</v>
      </c>
      <c r="M10" s="53">
        <v>85.88</v>
      </c>
      <c r="N10" s="53">
        <v>32.4</v>
      </c>
      <c r="O10" s="53">
        <v>0</v>
      </c>
      <c r="P10" s="53">
        <v>2.34</v>
      </c>
      <c r="Q10" s="53">
        <v>9.7799999999999994</v>
      </c>
      <c r="R10" s="43"/>
      <c r="S10" s="43"/>
      <c r="T10" s="43"/>
      <c r="U10" s="43"/>
    </row>
    <row r="11" spans="1:21" s="11" customFormat="1" x14ac:dyDescent="0.25">
      <c r="A11" s="52" t="s">
        <v>253</v>
      </c>
      <c r="B11" s="53">
        <v>82.52</v>
      </c>
      <c r="C11" s="5" t="s">
        <v>14</v>
      </c>
      <c r="D11" s="53">
        <v>57.7</v>
      </c>
      <c r="E11" s="53">
        <v>4.58</v>
      </c>
      <c r="F11" s="53">
        <v>3.01</v>
      </c>
      <c r="G11" s="53">
        <v>114.6</v>
      </c>
      <c r="H11" s="53">
        <v>52.14</v>
      </c>
      <c r="I11" s="53">
        <v>0.1</v>
      </c>
      <c r="J11" s="53">
        <v>0.43</v>
      </c>
      <c r="K11" s="53">
        <v>323.91000000000003</v>
      </c>
      <c r="L11" s="53">
        <v>11.87</v>
      </c>
      <c r="M11" s="53">
        <v>89.58</v>
      </c>
      <c r="N11" s="53">
        <v>32.299999999999997</v>
      </c>
      <c r="O11" s="53">
        <v>0</v>
      </c>
      <c r="P11" s="53">
        <v>2.11</v>
      </c>
      <c r="Q11" s="53">
        <v>9.75</v>
      </c>
      <c r="R11" s="43"/>
      <c r="S11" s="43"/>
      <c r="T11" s="43"/>
      <c r="U11" s="43"/>
    </row>
    <row r="12" spans="1:21" s="11" customFormat="1" x14ac:dyDescent="0.25">
      <c r="A12" s="52" t="s">
        <v>254</v>
      </c>
      <c r="B12" s="53">
        <v>70.569999999999993</v>
      </c>
      <c r="C12" s="5" t="s">
        <v>14</v>
      </c>
      <c r="D12" s="53">
        <v>51.4</v>
      </c>
      <c r="E12" s="53">
        <v>4.33</v>
      </c>
      <c r="F12" s="53">
        <v>3.15</v>
      </c>
      <c r="G12" s="53">
        <v>104.39</v>
      </c>
      <c r="H12" s="53">
        <v>48.77</v>
      </c>
      <c r="I12" s="53">
        <v>0.1</v>
      </c>
      <c r="J12" s="53">
        <v>0.44</v>
      </c>
      <c r="K12" s="53">
        <v>323.24</v>
      </c>
      <c r="L12" s="53">
        <v>11.34</v>
      </c>
      <c r="M12" s="53">
        <v>93.38</v>
      </c>
      <c r="N12" s="53">
        <v>32.200000000000003</v>
      </c>
      <c r="O12" s="53">
        <v>0</v>
      </c>
      <c r="P12" s="53">
        <v>1.92</v>
      </c>
      <c r="Q12" s="53">
        <v>9.74</v>
      </c>
      <c r="R12" s="43"/>
      <c r="S12" s="43"/>
      <c r="T12" s="43"/>
      <c r="U12" s="43"/>
    </row>
    <row r="13" spans="1:21" s="11" customFormat="1" x14ac:dyDescent="0.25">
      <c r="A13" s="52" t="s">
        <v>255</v>
      </c>
      <c r="B13" s="53">
        <v>59.47</v>
      </c>
      <c r="C13" s="5" t="s">
        <v>14</v>
      </c>
      <c r="D13" s="53">
        <v>45.03</v>
      </c>
      <c r="E13" s="53">
        <v>4.32</v>
      </c>
      <c r="F13" s="53">
        <v>3.19</v>
      </c>
      <c r="G13" s="53">
        <v>86.45</v>
      </c>
      <c r="H13" s="53">
        <v>44.45</v>
      </c>
      <c r="I13" s="53">
        <v>0.1</v>
      </c>
      <c r="J13" s="53">
        <v>0.41</v>
      </c>
      <c r="K13" s="53">
        <v>300.44</v>
      </c>
      <c r="L13" s="53">
        <v>10.93</v>
      </c>
      <c r="M13" s="53">
        <v>97.13</v>
      </c>
      <c r="N13" s="53">
        <v>32.200000000000003</v>
      </c>
      <c r="O13" s="53">
        <v>0</v>
      </c>
      <c r="P13" s="53">
        <v>1.64</v>
      </c>
      <c r="Q13" s="53">
        <v>9.73</v>
      </c>
      <c r="R13" s="43"/>
      <c r="S13" s="43"/>
      <c r="T13" s="43"/>
      <c r="U13" s="43"/>
    </row>
    <row r="14" spans="1:21" s="11" customFormat="1" x14ac:dyDescent="0.25">
      <c r="A14" s="52" t="s">
        <v>256</v>
      </c>
      <c r="B14" s="53">
        <v>55.84</v>
      </c>
      <c r="C14" s="5" t="s">
        <v>14</v>
      </c>
      <c r="D14" s="53">
        <v>43.11</v>
      </c>
      <c r="E14" s="53">
        <v>4.29</v>
      </c>
      <c r="F14" s="53">
        <v>2.97</v>
      </c>
      <c r="G14" s="53">
        <v>89.09</v>
      </c>
      <c r="H14" s="53">
        <v>40.72</v>
      </c>
      <c r="I14" s="53">
        <v>0.1</v>
      </c>
      <c r="J14" s="53">
        <v>0.46</v>
      </c>
      <c r="K14" s="53">
        <v>297.75</v>
      </c>
      <c r="L14" s="53">
        <v>10.91</v>
      </c>
      <c r="M14" s="53">
        <v>97.85</v>
      </c>
      <c r="N14" s="53">
        <v>32.1</v>
      </c>
      <c r="O14" s="53">
        <v>0</v>
      </c>
      <c r="P14" s="53">
        <v>1.39</v>
      </c>
      <c r="Q14" s="53">
        <v>9.7200000000000006</v>
      </c>
      <c r="R14" s="43"/>
      <c r="S14" s="43"/>
      <c r="T14" s="43"/>
      <c r="U14" s="43"/>
    </row>
    <row r="15" spans="1:21" s="11" customFormat="1" x14ac:dyDescent="0.25">
      <c r="A15" s="52" t="s">
        <v>257</v>
      </c>
      <c r="B15" s="53">
        <v>59.75</v>
      </c>
      <c r="C15" s="5" t="s">
        <v>14</v>
      </c>
      <c r="D15" s="53">
        <v>45.24</v>
      </c>
      <c r="E15" s="53">
        <v>4.1500000000000004</v>
      </c>
      <c r="F15" s="53">
        <v>3.07</v>
      </c>
      <c r="G15" s="53">
        <v>86.23</v>
      </c>
      <c r="H15" s="53">
        <v>39.880000000000003</v>
      </c>
      <c r="I15" s="53">
        <v>0.1</v>
      </c>
      <c r="J15" s="53">
        <v>0.42</v>
      </c>
      <c r="K15" s="53">
        <v>308.64</v>
      </c>
      <c r="L15" s="53">
        <v>10.8</v>
      </c>
      <c r="M15" s="53">
        <v>98.26</v>
      </c>
      <c r="N15" s="53">
        <v>52</v>
      </c>
      <c r="O15" s="53">
        <v>0</v>
      </c>
      <c r="P15" s="53">
        <v>1.36</v>
      </c>
      <c r="Q15" s="53">
        <v>9.75</v>
      </c>
      <c r="R15" s="43"/>
      <c r="S15" s="43"/>
      <c r="T15" s="43"/>
      <c r="U15" s="43"/>
    </row>
    <row r="16" spans="1:21" s="11" customFormat="1" x14ac:dyDescent="0.25">
      <c r="A16" s="52" t="s">
        <v>258</v>
      </c>
      <c r="B16" s="53">
        <v>65.400000000000006</v>
      </c>
      <c r="C16" s="5" t="s">
        <v>14</v>
      </c>
      <c r="D16" s="53">
        <v>48.56</v>
      </c>
      <c r="E16" s="53">
        <v>5.52</v>
      </c>
      <c r="F16" s="53">
        <v>3.43</v>
      </c>
      <c r="G16" s="53">
        <v>109.44</v>
      </c>
      <c r="H16" s="53">
        <v>41.98</v>
      </c>
      <c r="I16" s="53">
        <v>0.1</v>
      </c>
      <c r="J16" s="53">
        <v>0.41</v>
      </c>
      <c r="K16" s="53">
        <v>332.02</v>
      </c>
      <c r="L16" s="53">
        <v>19.22</v>
      </c>
      <c r="M16" s="53">
        <v>98.25</v>
      </c>
      <c r="N16" s="53">
        <v>246.8</v>
      </c>
      <c r="O16" s="53">
        <v>0</v>
      </c>
      <c r="P16" s="53">
        <v>1.59</v>
      </c>
      <c r="Q16" s="53">
        <v>9.74</v>
      </c>
      <c r="R16" s="43"/>
      <c r="S16" s="43"/>
      <c r="T16" s="43"/>
      <c r="U16" s="43"/>
    </row>
    <row r="17" spans="1:21" s="11" customFormat="1" x14ac:dyDescent="0.25">
      <c r="A17" s="52" t="s">
        <v>259</v>
      </c>
      <c r="B17" s="53">
        <v>63.91</v>
      </c>
      <c r="C17" s="53">
        <v>0.43</v>
      </c>
      <c r="D17" s="53">
        <v>48.09</v>
      </c>
      <c r="E17" s="53">
        <v>6.89</v>
      </c>
      <c r="F17" s="53">
        <v>3.29</v>
      </c>
      <c r="G17" s="53">
        <v>125.03</v>
      </c>
      <c r="H17" s="53">
        <v>46.22</v>
      </c>
      <c r="I17" s="53">
        <v>0.1</v>
      </c>
      <c r="J17" s="53">
        <v>0.97</v>
      </c>
      <c r="K17" s="53">
        <v>344.54</v>
      </c>
      <c r="L17" s="53">
        <v>25.24</v>
      </c>
      <c r="M17" s="53">
        <v>45.34</v>
      </c>
      <c r="N17" s="53">
        <v>395</v>
      </c>
      <c r="O17" s="53">
        <v>0</v>
      </c>
      <c r="P17" s="53">
        <v>1.67</v>
      </c>
      <c r="Q17" s="53">
        <v>9.74</v>
      </c>
      <c r="R17" s="43"/>
      <c r="S17" s="43"/>
      <c r="T17" s="43"/>
      <c r="U17" s="43"/>
    </row>
    <row r="18" spans="1:21" s="11" customFormat="1" x14ac:dyDescent="0.25">
      <c r="A18" s="52" t="s">
        <v>260</v>
      </c>
      <c r="B18" s="53">
        <v>59.57</v>
      </c>
      <c r="C18" s="53">
        <v>3.7</v>
      </c>
      <c r="D18" s="53">
        <v>46.9</v>
      </c>
      <c r="E18" s="53">
        <v>5.98</v>
      </c>
      <c r="F18" s="53">
        <v>3.11</v>
      </c>
      <c r="G18" s="53">
        <v>130.16</v>
      </c>
      <c r="H18" s="53">
        <v>51.94</v>
      </c>
      <c r="I18" s="53">
        <v>0.1</v>
      </c>
      <c r="J18" s="53">
        <v>1.1299999999999999</v>
      </c>
      <c r="K18" s="53">
        <v>338.42</v>
      </c>
      <c r="L18" s="53">
        <v>27.91</v>
      </c>
      <c r="M18" s="53">
        <v>26.71</v>
      </c>
      <c r="N18" s="53">
        <v>531.4</v>
      </c>
      <c r="O18" s="53">
        <v>0</v>
      </c>
      <c r="P18" s="53">
        <v>1.69</v>
      </c>
      <c r="Q18" s="53">
        <v>9.73</v>
      </c>
      <c r="R18" s="43"/>
      <c r="S18" s="43"/>
      <c r="T18" s="43"/>
      <c r="U18" s="43"/>
    </row>
    <row r="19" spans="1:21" s="11" customFormat="1" x14ac:dyDescent="0.25">
      <c r="A19" s="52" t="s">
        <v>261</v>
      </c>
      <c r="B19" s="53">
        <v>49.24</v>
      </c>
      <c r="C19" s="53">
        <v>15.08</v>
      </c>
      <c r="D19" s="53">
        <v>42.43</v>
      </c>
      <c r="E19" s="53">
        <v>6.3</v>
      </c>
      <c r="F19" s="53">
        <v>4.5199999999999996</v>
      </c>
      <c r="G19" s="53">
        <v>105.27</v>
      </c>
      <c r="H19" s="53">
        <v>47.28</v>
      </c>
      <c r="I19" s="53">
        <v>0.1</v>
      </c>
      <c r="J19" s="53">
        <v>0.85</v>
      </c>
      <c r="K19" s="53">
        <v>347.26</v>
      </c>
      <c r="L19" s="53">
        <v>28.44</v>
      </c>
      <c r="M19" s="53">
        <v>20.6</v>
      </c>
      <c r="N19" s="53">
        <v>567.9</v>
      </c>
      <c r="O19" s="53">
        <v>0</v>
      </c>
      <c r="P19" s="53">
        <v>1.52</v>
      </c>
      <c r="Q19" s="53">
        <v>9.6999999999999993</v>
      </c>
      <c r="R19" s="43"/>
      <c r="S19" s="43"/>
      <c r="T19" s="43"/>
      <c r="U19" s="43"/>
    </row>
    <row r="20" spans="1:21" s="11" customFormat="1" x14ac:dyDescent="0.25">
      <c r="A20" s="52" t="s">
        <v>262</v>
      </c>
      <c r="B20" s="53">
        <v>31.66</v>
      </c>
      <c r="C20" s="53">
        <v>33.700000000000003</v>
      </c>
      <c r="D20" s="53">
        <v>34.49</v>
      </c>
      <c r="E20" s="53">
        <v>9.24</v>
      </c>
      <c r="F20" s="53">
        <v>10.62</v>
      </c>
      <c r="G20" s="53">
        <v>51.52</v>
      </c>
      <c r="H20" s="53">
        <v>34.92</v>
      </c>
      <c r="I20" s="53">
        <v>3.3</v>
      </c>
      <c r="J20" s="53">
        <v>1.47</v>
      </c>
      <c r="K20" s="53">
        <v>359.27</v>
      </c>
      <c r="L20" s="53">
        <v>29.27</v>
      </c>
      <c r="M20" s="53">
        <v>19.559999999999999</v>
      </c>
      <c r="N20" s="53">
        <v>583</v>
      </c>
      <c r="O20" s="53">
        <v>0</v>
      </c>
      <c r="P20" s="53">
        <v>1.24</v>
      </c>
      <c r="Q20" s="53">
        <v>9.68</v>
      </c>
      <c r="R20" s="43"/>
      <c r="S20" s="43"/>
      <c r="T20" s="43"/>
      <c r="U20" s="43"/>
    </row>
    <row r="21" spans="1:21" s="11" customFormat="1" x14ac:dyDescent="0.25">
      <c r="A21" s="52" t="s">
        <v>263</v>
      </c>
      <c r="B21" s="53">
        <v>6.06</v>
      </c>
      <c r="C21" s="53">
        <v>30.81</v>
      </c>
      <c r="D21" s="53">
        <v>19.850000000000001</v>
      </c>
      <c r="E21" s="53">
        <v>13.46</v>
      </c>
      <c r="F21" s="53">
        <v>21.88</v>
      </c>
      <c r="G21" s="18" t="s">
        <v>12</v>
      </c>
      <c r="H21" s="18" t="s">
        <v>12</v>
      </c>
      <c r="I21" s="53">
        <v>1.2</v>
      </c>
      <c r="J21" s="53">
        <v>1.82</v>
      </c>
      <c r="K21" s="53">
        <v>357.88</v>
      </c>
      <c r="L21" s="53">
        <v>29.36</v>
      </c>
      <c r="M21" s="53">
        <v>18.53</v>
      </c>
      <c r="N21" s="53">
        <v>565.6</v>
      </c>
      <c r="O21" s="53">
        <v>0</v>
      </c>
      <c r="P21" s="53">
        <v>0.49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264</v>
      </c>
      <c r="B22" s="53">
        <v>7.8</v>
      </c>
      <c r="C22" s="53">
        <v>28.84</v>
      </c>
      <c r="D22" s="53">
        <v>20.16</v>
      </c>
      <c r="E22" s="53">
        <v>9.89</v>
      </c>
      <c r="F22" s="53">
        <v>15.39</v>
      </c>
      <c r="G22" s="18" t="s">
        <v>12</v>
      </c>
      <c r="H22" s="18" t="s">
        <v>12</v>
      </c>
      <c r="I22" s="53">
        <v>1.07</v>
      </c>
      <c r="J22" s="53">
        <v>1.69</v>
      </c>
      <c r="K22" s="53">
        <v>352.94</v>
      </c>
      <c r="L22" s="53">
        <v>28.73</v>
      </c>
      <c r="M22" s="53">
        <v>18.690000000000001</v>
      </c>
      <c r="N22" s="53">
        <v>516.6</v>
      </c>
      <c r="O22" s="53">
        <v>0</v>
      </c>
      <c r="P22" s="53">
        <v>0.55000000000000004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265</v>
      </c>
      <c r="B23" s="53">
        <v>7.13</v>
      </c>
      <c r="C23" s="53">
        <v>29.71</v>
      </c>
      <c r="D23" s="53">
        <v>19.420000000000002</v>
      </c>
      <c r="E23" s="53">
        <v>7.49</v>
      </c>
      <c r="F23" s="53">
        <v>11.93</v>
      </c>
      <c r="G23" s="53">
        <v>7.85</v>
      </c>
      <c r="H23" s="53">
        <v>1.66</v>
      </c>
      <c r="I23" s="53">
        <v>0.1</v>
      </c>
      <c r="J23" s="53">
        <v>1.17</v>
      </c>
      <c r="K23" s="53">
        <v>355.97</v>
      </c>
      <c r="L23" s="53">
        <v>26.87</v>
      </c>
      <c r="M23" s="53">
        <v>24.04</v>
      </c>
      <c r="N23" s="53">
        <v>118</v>
      </c>
      <c r="O23" s="53">
        <v>0</v>
      </c>
      <c r="P23" s="53">
        <v>0.56999999999999995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266</v>
      </c>
      <c r="B24" s="53">
        <v>8.42</v>
      </c>
      <c r="C24" s="53">
        <v>32.72</v>
      </c>
      <c r="D24" s="53">
        <v>22.17</v>
      </c>
      <c r="E24" s="53">
        <v>13.85</v>
      </c>
      <c r="F24" s="53">
        <v>18.45</v>
      </c>
      <c r="G24" s="53">
        <v>39.79</v>
      </c>
      <c r="H24" s="53">
        <v>7.47</v>
      </c>
      <c r="I24" s="53">
        <v>0.1</v>
      </c>
      <c r="J24" s="53">
        <v>1.48</v>
      </c>
      <c r="K24" s="53">
        <v>344.02</v>
      </c>
      <c r="L24" s="53">
        <v>25.42</v>
      </c>
      <c r="M24" s="53">
        <v>27.04</v>
      </c>
      <c r="N24" s="53">
        <v>73.8</v>
      </c>
      <c r="O24" s="53">
        <v>0</v>
      </c>
      <c r="P24" s="53">
        <v>0.64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267</v>
      </c>
      <c r="B25" s="53">
        <v>10.6</v>
      </c>
      <c r="C25" s="53">
        <v>40.49</v>
      </c>
      <c r="D25" s="53">
        <v>27.84</v>
      </c>
      <c r="E25" s="53">
        <v>10.69</v>
      </c>
      <c r="F25" s="53">
        <v>11.52</v>
      </c>
      <c r="G25" s="53">
        <v>42.04</v>
      </c>
      <c r="H25" s="53">
        <v>10.15</v>
      </c>
      <c r="I25" s="53">
        <v>0.1</v>
      </c>
      <c r="J25" s="53">
        <v>0.74</v>
      </c>
      <c r="K25" s="53">
        <v>355.26</v>
      </c>
      <c r="L25" s="53">
        <v>24.75</v>
      </c>
      <c r="M25" s="53">
        <v>31.11</v>
      </c>
      <c r="N25" s="53">
        <v>57.9</v>
      </c>
      <c r="O25" s="53">
        <v>0</v>
      </c>
      <c r="P25" s="53">
        <v>1.02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268</v>
      </c>
      <c r="B26" s="53">
        <v>16.28</v>
      </c>
      <c r="C26" s="53">
        <v>39.99</v>
      </c>
      <c r="D26" s="53">
        <v>28.72</v>
      </c>
      <c r="E26" s="53">
        <v>7.94</v>
      </c>
      <c r="F26" s="53">
        <v>5.03</v>
      </c>
      <c r="G26" s="53">
        <v>57.14</v>
      </c>
      <c r="H26" s="53">
        <v>12.62</v>
      </c>
      <c r="I26" s="53">
        <v>0.1</v>
      </c>
      <c r="J26" s="53">
        <v>0.64</v>
      </c>
      <c r="K26" s="53">
        <v>305.33</v>
      </c>
      <c r="L26" s="53">
        <v>22.4</v>
      </c>
      <c r="M26" s="53">
        <v>45.7</v>
      </c>
      <c r="N26" s="53">
        <v>36</v>
      </c>
      <c r="O26" s="53">
        <v>0</v>
      </c>
      <c r="P26" s="53">
        <v>0.92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269</v>
      </c>
      <c r="B27" s="53">
        <v>35.799999999999997</v>
      </c>
      <c r="C27" s="53">
        <v>27.58</v>
      </c>
      <c r="D27" s="53">
        <v>38.01</v>
      </c>
      <c r="E27" s="53">
        <v>4.29</v>
      </c>
      <c r="F27" s="53">
        <v>2.93</v>
      </c>
      <c r="G27" s="53">
        <v>138.28</v>
      </c>
      <c r="H27" s="53">
        <v>26.57</v>
      </c>
      <c r="I27" s="53">
        <v>0.1</v>
      </c>
      <c r="J27" s="53">
        <v>0.66</v>
      </c>
      <c r="K27" s="53">
        <v>299.42</v>
      </c>
      <c r="L27" s="53">
        <v>18.45</v>
      </c>
      <c r="M27" s="53">
        <v>56.68</v>
      </c>
      <c r="N27" s="53">
        <v>32.6</v>
      </c>
      <c r="O27" s="53">
        <v>0</v>
      </c>
      <c r="P27" s="53">
        <v>1.24</v>
      </c>
      <c r="Q27" s="53">
        <v>9.68</v>
      </c>
      <c r="R27" s="43"/>
      <c r="S27" s="43"/>
      <c r="T27" s="43"/>
      <c r="U27" s="43"/>
    </row>
    <row r="28" spans="1:21" s="11" customFormat="1" x14ac:dyDescent="0.25">
      <c r="A28" s="52" t="s">
        <v>270</v>
      </c>
      <c r="B28" s="53">
        <v>66.44</v>
      </c>
      <c r="C28" s="53">
        <v>14.55</v>
      </c>
      <c r="D28" s="53">
        <v>53.47</v>
      </c>
      <c r="E28" s="53">
        <v>5.04</v>
      </c>
      <c r="F28" s="53">
        <v>2.84</v>
      </c>
      <c r="G28" s="53">
        <v>161.11000000000001</v>
      </c>
      <c r="H28" s="53">
        <v>38.21</v>
      </c>
      <c r="I28" s="53">
        <v>0.1</v>
      </c>
      <c r="J28" s="53">
        <v>0.67</v>
      </c>
      <c r="K28" s="53">
        <v>307.3</v>
      </c>
      <c r="L28" s="53">
        <v>16.96</v>
      </c>
      <c r="M28" s="53">
        <v>68.3</v>
      </c>
      <c r="N28" s="53">
        <v>32.5</v>
      </c>
      <c r="O28" s="53">
        <v>0</v>
      </c>
      <c r="P28" s="53">
        <v>1.76</v>
      </c>
      <c r="Q28" s="53">
        <v>9.73</v>
      </c>
      <c r="R28" s="43"/>
      <c r="S28" s="43"/>
      <c r="T28" s="43"/>
      <c r="U28" s="43"/>
    </row>
    <row r="29" spans="1:21" s="11" customFormat="1" x14ac:dyDescent="0.25">
      <c r="A29" s="52" t="s">
        <v>271</v>
      </c>
      <c r="B29" s="53">
        <v>105.01</v>
      </c>
      <c r="C29" s="5" t="s">
        <v>14</v>
      </c>
      <c r="D29" s="53">
        <v>73.48</v>
      </c>
      <c r="E29" s="53">
        <v>5.49</v>
      </c>
      <c r="F29" s="53">
        <v>2.91</v>
      </c>
      <c r="G29" s="53">
        <v>170.81</v>
      </c>
      <c r="H29" s="53">
        <v>51.67</v>
      </c>
      <c r="I29" s="53">
        <v>0.1</v>
      </c>
      <c r="J29" s="53">
        <v>0.63</v>
      </c>
      <c r="K29" s="53">
        <v>333.54</v>
      </c>
      <c r="L29" s="53">
        <v>16.05</v>
      </c>
      <c r="M29" s="53">
        <v>73.69</v>
      </c>
      <c r="N29" s="53">
        <v>32.5</v>
      </c>
      <c r="O29" s="53">
        <v>0</v>
      </c>
      <c r="P29" s="53">
        <v>2.4300000000000002</v>
      </c>
      <c r="Q29" s="53">
        <v>9.82</v>
      </c>
      <c r="R29" s="43"/>
      <c r="S29" s="43"/>
      <c r="T29" s="43"/>
      <c r="U29" s="43"/>
    </row>
    <row r="30" spans="1:21" s="11" customFormat="1" x14ac:dyDescent="0.25">
      <c r="A30" s="52" t="s">
        <v>272</v>
      </c>
      <c r="B30" s="53">
        <v>153.63999999999999</v>
      </c>
      <c r="C30" s="5" t="s">
        <v>14</v>
      </c>
      <c r="D30" s="53">
        <v>98.54</v>
      </c>
      <c r="E30" s="53">
        <v>6.34</v>
      </c>
      <c r="F30" s="53">
        <v>3.2</v>
      </c>
      <c r="G30" s="53">
        <v>207.58</v>
      </c>
      <c r="H30" s="53">
        <v>66.33</v>
      </c>
      <c r="I30" s="53">
        <v>0.1</v>
      </c>
      <c r="J30" s="53">
        <v>0.51</v>
      </c>
      <c r="K30" s="53">
        <v>303.99</v>
      </c>
      <c r="L30" s="53">
        <v>15.35</v>
      </c>
      <c r="M30" s="53">
        <v>82.78</v>
      </c>
      <c r="N30" s="53">
        <v>32.4</v>
      </c>
      <c r="O30" s="53">
        <v>0</v>
      </c>
      <c r="P30" s="53">
        <v>3.13</v>
      </c>
      <c r="Q30" s="53">
        <v>9.91</v>
      </c>
      <c r="R30" s="43"/>
      <c r="S30" s="43"/>
      <c r="T30" s="43"/>
      <c r="U30" s="43"/>
    </row>
    <row r="31" spans="1:21" s="11" customFormat="1" x14ac:dyDescent="0.25">
      <c r="A31" s="52" t="s">
        <v>273</v>
      </c>
      <c r="B31" s="53">
        <v>183.75</v>
      </c>
      <c r="C31" s="5" t="s">
        <v>14</v>
      </c>
      <c r="D31" s="53">
        <v>113.87</v>
      </c>
      <c r="E31" s="53">
        <v>6.76</v>
      </c>
      <c r="F31" s="53">
        <v>3.4</v>
      </c>
      <c r="G31" s="53">
        <v>230.65</v>
      </c>
      <c r="H31" s="53">
        <v>82.15</v>
      </c>
      <c r="I31" s="53">
        <v>0.1</v>
      </c>
      <c r="J31" s="53">
        <v>0.68</v>
      </c>
      <c r="K31" s="53">
        <v>332.09</v>
      </c>
      <c r="L31" s="53">
        <v>15.02</v>
      </c>
      <c r="M31" s="53">
        <v>97.14</v>
      </c>
      <c r="N31" s="53">
        <v>32.299999999999997</v>
      </c>
      <c r="O31" s="53">
        <v>0</v>
      </c>
      <c r="P31" s="53">
        <v>3.87</v>
      </c>
      <c r="Q31" s="53">
        <v>9.9700000000000006</v>
      </c>
      <c r="R31" s="43"/>
      <c r="S31" s="43"/>
      <c r="T31" s="43"/>
      <c r="U31" s="43"/>
    </row>
    <row r="32" spans="1:21" s="11" customFormat="1" x14ac:dyDescent="0.25">
      <c r="A32" s="52" t="s">
        <v>274</v>
      </c>
      <c r="B32" s="53">
        <v>186.41</v>
      </c>
      <c r="C32" s="5" t="s">
        <v>14</v>
      </c>
      <c r="D32" s="53">
        <v>114.52</v>
      </c>
      <c r="E32" s="53">
        <v>6.6</v>
      </c>
      <c r="F32" s="53">
        <v>3.28</v>
      </c>
      <c r="G32" s="53">
        <v>179.26</v>
      </c>
      <c r="H32" s="53">
        <v>82.17</v>
      </c>
      <c r="I32" s="53">
        <v>0.1</v>
      </c>
      <c r="J32" s="53">
        <v>0.74</v>
      </c>
      <c r="K32" s="53">
        <v>338.68</v>
      </c>
      <c r="L32" s="53">
        <v>14.6</v>
      </c>
      <c r="M32" s="53">
        <v>93.07</v>
      </c>
      <c r="N32" s="53">
        <v>32.4</v>
      </c>
      <c r="O32" s="53">
        <v>0</v>
      </c>
      <c r="P32" s="53">
        <v>4.3600000000000003</v>
      </c>
      <c r="Q32" s="53">
        <v>9.98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6.06</v>
      </c>
      <c r="C34" s="28">
        <f t="shared" si="0"/>
        <v>0.43</v>
      </c>
      <c r="D34" s="28">
        <f t="shared" si="0"/>
        <v>19.420000000000002</v>
      </c>
      <c r="E34" s="28">
        <f t="shared" si="0"/>
        <v>4.1500000000000004</v>
      </c>
      <c r="F34" s="28">
        <f t="shared" si="0"/>
        <v>2.84</v>
      </c>
      <c r="G34" s="28">
        <f t="shared" si="0"/>
        <v>7.85</v>
      </c>
      <c r="H34" s="28">
        <f t="shared" si="0"/>
        <v>1.66</v>
      </c>
      <c r="I34" s="28">
        <f t="shared" si="0"/>
        <v>0.1</v>
      </c>
      <c r="J34" s="28">
        <f t="shared" si="0"/>
        <v>0.37</v>
      </c>
      <c r="K34" s="28">
        <f t="shared" si="0"/>
        <v>279.07</v>
      </c>
      <c r="L34" s="28">
        <f t="shared" si="0"/>
        <v>10.8</v>
      </c>
      <c r="M34" s="28">
        <f t="shared" si="0"/>
        <v>18.53</v>
      </c>
      <c r="N34" s="28">
        <f t="shared" si="0"/>
        <v>32.1</v>
      </c>
      <c r="O34" s="28">
        <f t="shared" si="0"/>
        <v>0</v>
      </c>
      <c r="P34" s="28">
        <f t="shared" si="0"/>
        <v>0.49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186.41</v>
      </c>
      <c r="C35" s="29">
        <f t="shared" si="1"/>
        <v>40.49</v>
      </c>
      <c r="D35" s="29">
        <f t="shared" si="1"/>
        <v>114.52</v>
      </c>
      <c r="E35" s="29">
        <f t="shared" si="1"/>
        <v>13.85</v>
      </c>
      <c r="F35" s="29">
        <f t="shared" si="1"/>
        <v>21.88</v>
      </c>
      <c r="G35" s="29">
        <f t="shared" si="1"/>
        <v>230.65</v>
      </c>
      <c r="H35" s="29">
        <f t="shared" si="1"/>
        <v>82.17</v>
      </c>
      <c r="I35" s="29">
        <f t="shared" si="1"/>
        <v>3.3</v>
      </c>
      <c r="J35" s="29">
        <f t="shared" si="1"/>
        <v>1.82</v>
      </c>
      <c r="K35" s="29">
        <f t="shared" si="1"/>
        <v>359.27</v>
      </c>
      <c r="L35" s="29">
        <f t="shared" si="1"/>
        <v>29.36</v>
      </c>
      <c r="M35" s="29">
        <f t="shared" si="1"/>
        <v>98.26</v>
      </c>
      <c r="N35" s="29">
        <f t="shared" si="1"/>
        <v>583</v>
      </c>
      <c r="O35" s="29">
        <f t="shared" si="1"/>
        <v>0</v>
      </c>
      <c r="P35" s="29">
        <f t="shared" si="1"/>
        <v>4.3600000000000003</v>
      </c>
      <c r="Q35" s="29">
        <f t="shared" si="1"/>
        <v>9.98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65.99166666666666</v>
      </c>
      <c r="C36" s="28">
        <f t="shared" si="2"/>
        <v>24.8</v>
      </c>
      <c r="D36" s="28">
        <f t="shared" si="2"/>
        <v>51.162499999999994</v>
      </c>
      <c r="E36" s="28">
        <f t="shared" si="2"/>
        <v>6.810416666666665</v>
      </c>
      <c r="F36" s="28">
        <f t="shared" si="2"/>
        <v>6.2149999999999999</v>
      </c>
      <c r="G36" s="28">
        <f t="shared" si="2"/>
        <v>114.85636363636364</v>
      </c>
      <c r="H36" s="28">
        <f t="shared" si="2"/>
        <v>42.935909090909092</v>
      </c>
      <c r="I36" s="28">
        <f t="shared" si="2"/>
        <v>0.31958333333333316</v>
      </c>
      <c r="J36" s="28">
        <f t="shared" si="2"/>
        <v>0.79999999999999993</v>
      </c>
      <c r="K36" s="28">
        <f t="shared" si="2"/>
        <v>327.49250000000001</v>
      </c>
      <c r="L36" s="28">
        <f t="shared" si="2"/>
        <v>19.440833333333334</v>
      </c>
      <c r="M36" s="28">
        <f t="shared" si="2"/>
        <v>62.170833333333341</v>
      </c>
      <c r="N36" s="28">
        <f t="shared" si="2"/>
        <v>172.17083333333332</v>
      </c>
      <c r="O36" s="28">
        <f t="shared" si="2"/>
        <v>0</v>
      </c>
      <c r="P36" s="28">
        <f t="shared" si="2"/>
        <v>1.7566666666666666</v>
      </c>
      <c r="Q36" s="28">
        <f t="shared" si="2"/>
        <v>9.7387499999999978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51.920308891245227</v>
      </c>
      <c r="C37" s="28">
        <f t="shared" ref="C37:Q37" si="3">STDEV(C9:C32)</f>
        <v>13.286269741216435</v>
      </c>
      <c r="D37" s="28">
        <f t="shared" si="3"/>
        <v>27.037867527502666</v>
      </c>
      <c r="E37" s="28">
        <f t="shared" si="3"/>
        <v>2.7769368159376904</v>
      </c>
      <c r="F37" s="28">
        <f t="shared" si="3"/>
        <v>5.5876680988233982</v>
      </c>
      <c r="G37" s="28">
        <f t="shared" si="3"/>
        <v>56.262533126106533</v>
      </c>
      <c r="H37" s="28">
        <f t="shared" si="3"/>
        <v>21.548451200357732</v>
      </c>
      <c r="I37" s="28">
        <f t="shared" si="3"/>
        <v>0.69887163196900071</v>
      </c>
      <c r="J37" s="28">
        <f t="shared" si="3"/>
        <v>0.43665726287031037</v>
      </c>
      <c r="K37" s="28">
        <f t="shared" si="3"/>
        <v>22.93832359023725</v>
      </c>
      <c r="L37" s="28">
        <f t="shared" si="3"/>
        <v>6.8884275461073807</v>
      </c>
      <c r="M37" s="28">
        <f t="shared" si="3"/>
        <v>31.90914097145566</v>
      </c>
      <c r="N37" s="28">
        <f t="shared" si="3"/>
        <v>216.32778365684806</v>
      </c>
      <c r="O37" s="28">
        <f t="shared" si="3"/>
        <v>0</v>
      </c>
      <c r="P37" s="28">
        <f t="shared" si="3"/>
        <v>0.99732104929271326</v>
      </c>
      <c r="Q37" s="28">
        <f t="shared" si="3"/>
        <v>0.10074990559926533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44" sqref="I44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323</v>
      </c>
      <c r="B9" s="53">
        <v>187.21</v>
      </c>
      <c r="C9" s="5" t="s">
        <v>14</v>
      </c>
      <c r="D9" s="53">
        <v>114.67</v>
      </c>
      <c r="E9" s="53">
        <v>6.84</v>
      </c>
      <c r="F9" s="53">
        <v>3.32</v>
      </c>
      <c r="G9" s="53">
        <v>165.41</v>
      </c>
      <c r="H9" s="53">
        <v>76.260000000000005</v>
      </c>
      <c r="I9" s="53">
        <v>0.1</v>
      </c>
      <c r="J9" s="53">
        <v>0.65</v>
      </c>
      <c r="K9" s="53">
        <v>283.5</v>
      </c>
      <c r="L9" s="53">
        <v>14</v>
      </c>
      <c r="M9" s="53">
        <v>88.15</v>
      </c>
      <c r="N9" s="53">
        <v>32.4</v>
      </c>
      <c r="O9" s="53">
        <v>0</v>
      </c>
      <c r="P9" s="53">
        <v>4.59</v>
      </c>
      <c r="Q9" s="53">
        <v>9.98</v>
      </c>
      <c r="R9" s="43"/>
      <c r="S9" s="43"/>
      <c r="T9" s="43"/>
      <c r="U9" s="43"/>
    </row>
    <row r="10" spans="1:21" s="11" customFormat="1" x14ac:dyDescent="0.25">
      <c r="A10" s="52" t="s">
        <v>324</v>
      </c>
      <c r="B10" s="53">
        <v>169.84</v>
      </c>
      <c r="C10" s="5" t="s">
        <v>14</v>
      </c>
      <c r="D10" s="53">
        <v>105.25</v>
      </c>
      <c r="E10" s="53">
        <v>7.02</v>
      </c>
      <c r="F10" s="53">
        <v>3.29</v>
      </c>
      <c r="G10" s="53">
        <v>173.68</v>
      </c>
      <c r="H10" s="53">
        <v>76.52</v>
      </c>
      <c r="I10" s="53">
        <v>0.1</v>
      </c>
      <c r="J10" s="53">
        <v>0.72</v>
      </c>
      <c r="K10" s="53">
        <v>222.07</v>
      </c>
      <c r="L10" s="53">
        <v>14.74</v>
      </c>
      <c r="M10" s="53">
        <v>82.91</v>
      </c>
      <c r="N10" s="53">
        <v>32.1</v>
      </c>
      <c r="O10" s="53">
        <v>0</v>
      </c>
      <c r="P10" s="53">
        <v>3.67</v>
      </c>
      <c r="Q10" s="53">
        <v>9.94</v>
      </c>
      <c r="R10" s="43"/>
      <c r="S10" s="43"/>
      <c r="T10" s="43"/>
      <c r="U10" s="43"/>
    </row>
    <row r="11" spans="1:21" s="11" customFormat="1" x14ac:dyDescent="0.25">
      <c r="A11" s="52" t="s">
        <v>325</v>
      </c>
      <c r="B11" s="53">
        <v>145.12</v>
      </c>
      <c r="C11" s="5" t="s">
        <v>14</v>
      </c>
      <c r="D11" s="53">
        <v>91.49</v>
      </c>
      <c r="E11" s="53">
        <v>6.53</v>
      </c>
      <c r="F11" s="53">
        <v>3.5</v>
      </c>
      <c r="G11" s="53">
        <v>163.56</v>
      </c>
      <c r="H11" s="53">
        <v>72.38</v>
      </c>
      <c r="I11" s="53">
        <v>0.1</v>
      </c>
      <c r="J11" s="53">
        <v>0.62</v>
      </c>
      <c r="K11" s="53">
        <v>142.79</v>
      </c>
      <c r="L11" s="53">
        <v>14.6</v>
      </c>
      <c r="M11" s="53">
        <v>61.79</v>
      </c>
      <c r="N11" s="53">
        <v>32.5</v>
      </c>
      <c r="O11" s="53">
        <v>0</v>
      </c>
      <c r="P11" s="53">
        <v>3.31</v>
      </c>
      <c r="Q11" s="53">
        <v>9.9</v>
      </c>
      <c r="R11" s="43"/>
      <c r="S11" s="43"/>
      <c r="T11" s="43"/>
      <c r="U11" s="43"/>
    </row>
    <row r="12" spans="1:21" s="11" customFormat="1" x14ac:dyDescent="0.25">
      <c r="A12" s="52" t="s">
        <v>326</v>
      </c>
      <c r="B12" s="53">
        <v>119.91</v>
      </c>
      <c r="C12" s="5" t="s">
        <v>14</v>
      </c>
      <c r="D12" s="53">
        <v>77.430000000000007</v>
      </c>
      <c r="E12" s="53">
        <v>6.04</v>
      </c>
      <c r="F12" s="53">
        <v>3.07</v>
      </c>
      <c r="G12" s="53">
        <v>152.94999999999999</v>
      </c>
      <c r="H12" s="53">
        <v>68.349999999999994</v>
      </c>
      <c r="I12" s="53">
        <v>0.1</v>
      </c>
      <c r="J12" s="53">
        <v>0.57999999999999996</v>
      </c>
      <c r="K12" s="53">
        <v>242.45</v>
      </c>
      <c r="L12" s="53">
        <v>14.05</v>
      </c>
      <c r="M12" s="53">
        <v>67.739999999999995</v>
      </c>
      <c r="N12" s="53">
        <v>32.5</v>
      </c>
      <c r="O12" s="53">
        <v>0</v>
      </c>
      <c r="P12" s="53">
        <v>2.7</v>
      </c>
      <c r="Q12" s="53">
        <v>9.84</v>
      </c>
      <c r="R12" s="43"/>
      <c r="S12" s="43"/>
      <c r="T12" s="43"/>
      <c r="U12" s="43"/>
    </row>
    <row r="13" spans="1:21" s="11" customFormat="1" x14ac:dyDescent="0.25">
      <c r="A13" s="52" t="s">
        <v>327</v>
      </c>
      <c r="B13" s="53">
        <v>98.32</v>
      </c>
      <c r="C13" s="5" t="s">
        <v>14</v>
      </c>
      <c r="D13" s="53">
        <v>65.67</v>
      </c>
      <c r="E13" s="53">
        <v>5.55</v>
      </c>
      <c r="F13" s="53">
        <v>2.77</v>
      </c>
      <c r="G13" s="53">
        <v>107.83</v>
      </c>
      <c r="H13" s="53">
        <v>55.36</v>
      </c>
      <c r="I13" s="53">
        <v>0.1</v>
      </c>
      <c r="J13" s="53">
        <v>0.67</v>
      </c>
      <c r="K13" s="53">
        <v>286.23</v>
      </c>
      <c r="L13" s="53">
        <v>12.71</v>
      </c>
      <c r="M13" s="53">
        <v>79.010000000000005</v>
      </c>
      <c r="N13" s="53">
        <v>32.6</v>
      </c>
      <c r="O13" s="53">
        <v>0</v>
      </c>
      <c r="P13" s="53">
        <v>2.25</v>
      </c>
      <c r="Q13" s="53">
        <v>9.8000000000000007</v>
      </c>
      <c r="R13" s="43"/>
      <c r="S13" s="43"/>
      <c r="T13" s="43"/>
      <c r="U13" s="43"/>
    </row>
    <row r="14" spans="1:21" s="11" customFormat="1" x14ac:dyDescent="0.25">
      <c r="A14" s="52" t="s">
        <v>328</v>
      </c>
      <c r="B14" s="53">
        <v>82.71</v>
      </c>
      <c r="C14" s="5" t="s">
        <v>14</v>
      </c>
      <c r="D14" s="53">
        <v>57.59</v>
      </c>
      <c r="E14" s="53">
        <v>5.46</v>
      </c>
      <c r="F14" s="53">
        <v>2.9</v>
      </c>
      <c r="G14" s="53">
        <v>83.18</v>
      </c>
      <c r="H14" s="53">
        <v>52.18</v>
      </c>
      <c r="I14" s="53">
        <v>0.1</v>
      </c>
      <c r="J14" s="53">
        <v>0.74</v>
      </c>
      <c r="K14" s="53">
        <v>235.15</v>
      </c>
      <c r="L14" s="53">
        <v>12.08</v>
      </c>
      <c r="M14" s="53">
        <v>98.74</v>
      </c>
      <c r="N14" s="53">
        <v>32.5</v>
      </c>
      <c r="O14" s="53">
        <v>0</v>
      </c>
      <c r="P14" s="53">
        <v>1.96</v>
      </c>
      <c r="Q14" s="53">
        <v>9.77</v>
      </c>
      <c r="R14" s="43"/>
      <c r="S14" s="43"/>
      <c r="T14" s="43"/>
      <c r="U14" s="43"/>
    </row>
    <row r="15" spans="1:21" s="11" customFormat="1" x14ac:dyDescent="0.25">
      <c r="A15" s="52" t="s">
        <v>329</v>
      </c>
      <c r="B15" s="53">
        <v>71.91</v>
      </c>
      <c r="C15" s="5" t="s">
        <v>14</v>
      </c>
      <c r="D15" s="53">
        <v>51.71</v>
      </c>
      <c r="E15" s="53">
        <v>5.47</v>
      </c>
      <c r="F15" s="53">
        <v>3.17</v>
      </c>
      <c r="G15" s="53">
        <v>135.1</v>
      </c>
      <c r="H15" s="53">
        <v>51.01</v>
      </c>
      <c r="I15" s="53">
        <v>0.1</v>
      </c>
      <c r="J15" s="53">
        <v>0.63</v>
      </c>
      <c r="K15" s="53">
        <v>355.84</v>
      </c>
      <c r="L15" s="53">
        <v>10.68</v>
      </c>
      <c r="M15" s="53">
        <v>98.79</v>
      </c>
      <c r="N15" s="53">
        <v>52.8</v>
      </c>
      <c r="O15" s="53">
        <v>0</v>
      </c>
      <c r="P15" s="53">
        <v>1.7</v>
      </c>
      <c r="Q15" s="53">
        <v>9.75</v>
      </c>
      <c r="R15" s="43"/>
      <c r="S15" s="43"/>
      <c r="T15" s="43"/>
      <c r="U15" s="43"/>
    </row>
    <row r="16" spans="1:21" s="11" customFormat="1" x14ac:dyDescent="0.25">
      <c r="A16" s="52" t="s">
        <v>330</v>
      </c>
      <c r="B16" s="53">
        <v>62.42</v>
      </c>
      <c r="C16" s="5" t="s">
        <v>14</v>
      </c>
      <c r="D16" s="53">
        <v>46.62</v>
      </c>
      <c r="E16" s="53">
        <v>5.08</v>
      </c>
      <c r="F16" s="53">
        <v>3.15</v>
      </c>
      <c r="G16" s="53">
        <v>112.33</v>
      </c>
      <c r="H16" s="53">
        <v>48.21</v>
      </c>
      <c r="I16" s="53">
        <v>0.1</v>
      </c>
      <c r="J16" s="53">
        <v>0.67</v>
      </c>
      <c r="K16" s="53">
        <v>81.180000000000007</v>
      </c>
      <c r="L16" s="53">
        <v>18.3</v>
      </c>
      <c r="M16" s="53">
        <v>98.73</v>
      </c>
      <c r="N16" s="53">
        <v>263.7</v>
      </c>
      <c r="O16" s="53">
        <v>0</v>
      </c>
      <c r="P16" s="53">
        <v>1.82</v>
      </c>
      <c r="Q16" s="53">
        <v>9.73</v>
      </c>
      <c r="R16" s="43"/>
      <c r="S16" s="43"/>
      <c r="T16" s="43"/>
      <c r="U16" s="43"/>
    </row>
    <row r="17" spans="1:21" s="11" customFormat="1" x14ac:dyDescent="0.25">
      <c r="A17" s="52" t="s">
        <v>331</v>
      </c>
      <c r="B17" s="53">
        <v>63.47</v>
      </c>
      <c r="C17" s="53">
        <v>0.45</v>
      </c>
      <c r="D17" s="53">
        <v>49.11</v>
      </c>
      <c r="E17" s="53">
        <v>5.4</v>
      </c>
      <c r="F17" s="53">
        <v>2.97</v>
      </c>
      <c r="G17" s="53">
        <v>197.38</v>
      </c>
      <c r="H17" s="53">
        <v>51.37</v>
      </c>
      <c r="I17" s="53">
        <v>0.1</v>
      </c>
      <c r="J17" s="53">
        <v>0.94</v>
      </c>
      <c r="K17" s="53">
        <v>354.51</v>
      </c>
      <c r="L17" s="53">
        <v>24.71</v>
      </c>
      <c r="M17" s="53">
        <v>50.3</v>
      </c>
      <c r="N17" s="53">
        <v>443.5</v>
      </c>
      <c r="O17" s="53">
        <v>0</v>
      </c>
      <c r="P17" s="53">
        <v>1.83</v>
      </c>
      <c r="Q17" s="53">
        <v>9.74</v>
      </c>
      <c r="R17" s="43"/>
      <c r="S17" s="43"/>
      <c r="T17" s="43"/>
      <c r="U17" s="43"/>
    </row>
    <row r="18" spans="1:21" s="11" customFormat="1" x14ac:dyDescent="0.25">
      <c r="A18" s="52" t="s">
        <v>332</v>
      </c>
      <c r="B18" s="53">
        <v>58.58</v>
      </c>
      <c r="C18" s="53">
        <v>6.42</v>
      </c>
      <c r="D18" s="53">
        <v>47.58</v>
      </c>
      <c r="E18" s="53">
        <v>5.56</v>
      </c>
      <c r="F18" s="53">
        <v>3.69</v>
      </c>
      <c r="G18" s="53">
        <v>142.56</v>
      </c>
      <c r="H18" s="53">
        <v>51.68</v>
      </c>
      <c r="I18" s="53">
        <v>0.1</v>
      </c>
      <c r="J18" s="53">
        <v>1.55</v>
      </c>
      <c r="K18" s="53">
        <v>346.6</v>
      </c>
      <c r="L18" s="53">
        <v>26.41</v>
      </c>
      <c r="M18" s="53">
        <v>31.5</v>
      </c>
      <c r="N18" s="53">
        <v>529.4</v>
      </c>
      <c r="O18" s="53">
        <v>0</v>
      </c>
      <c r="P18" s="53">
        <v>1.8</v>
      </c>
      <c r="Q18" s="53">
        <v>9.7100000000000009</v>
      </c>
      <c r="R18" s="43"/>
      <c r="S18" s="43"/>
      <c r="T18" s="43"/>
      <c r="U18" s="43"/>
    </row>
    <row r="19" spans="1:21" s="11" customFormat="1" x14ac:dyDescent="0.25">
      <c r="A19" s="52" t="s">
        <v>333</v>
      </c>
      <c r="B19" s="53">
        <v>50.46</v>
      </c>
      <c r="C19" s="53">
        <v>9.2100000000000009</v>
      </c>
      <c r="D19" s="53">
        <v>43.56</v>
      </c>
      <c r="E19" s="53">
        <v>6.15</v>
      </c>
      <c r="F19" s="53">
        <v>3.88</v>
      </c>
      <c r="G19" s="53">
        <v>23.27</v>
      </c>
      <c r="H19" s="53">
        <v>43.29</v>
      </c>
      <c r="I19" s="53">
        <v>0.1</v>
      </c>
      <c r="J19" s="53">
        <v>1.34</v>
      </c>
      <c r="K19" s="53">
        <v>338.14</v>
      </c>
      <c r="L19" s="53">
        <v>27.54</v>
      </c>
      <c r="M19" s="53">
        <v>25.37</v>
      </c>
      <c r="N19" s="53">
        <v>581.6</v>
      </c>
      <c r="O19" s="53">
        <v>0</v>
      </c>
      <c r="P19" s="53">
        <v>1.67</v>
      </c>
      <c r="Q19" s="53">
        <v>9.7200000000000006</v>
      </c>
      <c r="R19" s="43"/>
      <c r="S19" s="43"/>
      <c r="T19" s="43"/>
      <c r="U19" s="43"/>
    </row>
    <row r="20" spans="1:21" s="11" customFormat="1" x14ac:dyDescent="0.25">
      <c r="A20" s="52" t="s">
        <v>334</v>
      </c>
      <c r="B20" s="53">
        <v>41.31</v>
      </c>
      <c r="C20" s="53">
        <v>16.87</v>
      </c>
      <c r="D20" s="53">
        <v>38.49</v>
      </c>
      <c r="E20" s="53">
        <v>5.45</v>
      </c>
      <c r="F20" s="53">
        <v>3.91</v>
      </c>
      <c r="G20" s="53">
        <v>32.81</v>
      </c>
      <c r="H20" s="53">
        <v>28.78</v>
      </c>
      <c r="I20" s="53">
        <v>0.1</v>
      </c>
      <c r="J20" s="53">
        <v>1.34</v>
      </c>
      <c r="K20" s="53">
        <v>337.08</v>
      </c>
      <c r="L20" s="53">
        <v>28.33</v>
      </c>
      <c r="M20" s="53">
        <v>18.66</v>
      </c>
      <c r="N20" s="53">
        <v>589.5</v>
      </c>
      <c r="O20" s="53">
        <v>0</v>
      </c>
      <c r="P20" s="53">
        <v>1.35</v>
      </c>
      <c r="Q20" s="53">
        <v>9.6999999999999993</v>
      </c>
      <c r="R20" s="43"/>
      <c r="S20" s="43"/>
      <c r="T20" s="43"/>
      <c r="U20" s="43"/>
    </row>
    <row r="21" spans="1:21" s="11" customFormat="1" x14ac:dyDescent="0.25">
      <c r="A21" s="52" t="s">
        <v>335</v>
      </c>
      <c r="B21" s="53">
        <v>29.02</v>
      </c>
      <c r="C21" s="53">
        <v>24.33</v>
      </c>
      <c r="D21" s="53">
        <v>32.340000000000003</v>
      </c>
      <c r="E21" s="53">
        <v>6.53</v>
      </c>
      <c r="F21" s="53">
        <v>6.48</v>
      </c>
      <c r="G21" s="53">
        <v>17.38</v>
      </c>
      <c r="H21" s="53">
        <v>25.71</v>
      </c>
      <c r="I21" s="53">
        <v>0.1</v>
      </c>
      <c r="J21" s="53">
        <v>1.61</v>
      </c>
      <c r="K21" s="53">
        <v>357</v>
      </c>
      <c r="L21" s="53">
        <v>28.36</v>
      </c>
      <c r="M21" s="53">
        <v>14.95</v>
      </c>
      <c r="N21" s="53">
        <v>575</v>
      </c>
      <c r="O21" s="53">
        <v>0</v>
      </c>
      <c r="P21" s="53">
        <v>1.1100000000000001</v>
      </c>
      <c r="Q21" s="53">
        <v>9.67</v>
      </c>
      <c r="R21" s="43"/>
      <c r="S21" s="43"/>
      <c r="T21" s="43"/>
      <c r="U21" s="43"/>
    </row>
    <row r="22" spans="1:21" s="11" customFormat="1" x14ac:dyDescent="0.25">
      <c r="A22" s="52" t="s">
        <v>336</v>
      </c>
      <c r="B22" s="53">
        <v>20.58</v>
      </c>
      <c r="C22" s="53">
        <v>25.56</v>
      </c>
      <c r="D22" s="53">
        <v>28.16</v>
      </c>
      <c r="E22" s="53">
        <v>9.24</v>
      </c>
      <c r="F22" s="53">
        <v>8.25</v>
      </c>
      <c r="G22" s="53">
        <v>81.66</v>
      </c>
      <c r="H22" s="53">
        <v>20.56</v>
      </c>
      <c r="I22" s="53">
        <v>0.1</v>
      </c>
      <c r="J22" s="53">
        <v>1.04</v>
      </c>
      <c r="K22" s="53">
        <v>343.24</v>
      </c>
      <c r="L22" s="53">
        <v>27.26</v>
      </c>
      <c r="M22" s="53">
        <v>13.69</v>
      </c>
      <c r="N22" s="53">
        <v>517.9</v>
      </c>
      <c r="O22" s="53">
        <v>0</v>
      </c>
      <c r="P22" s="53">
        <v>1.04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337</v>
      </c>
      <c r="B23" s="53">
        <v>17.98</v>
      </c>
      <c r="C23" s="53">
        <v>29.72</v>
      </c>
      <c r="D23" s="53">
        <v>28.59</v>
      </c>
      <c r="E23" s="53">
        <v>15.54</v>
      </c>
      <c r="F23" s="53">
        <v>8.83</v>
      </c>
      <c r="G23" s="53">
        <v>38.26</v>
      </c>
      <c r="H23" s="53">
        <v>16.38</v>
      </c>
      <c r="I23" s="53">
        <v>0.1</v>
      </c>
      <c r="J23" s="53">
        <v>1.5</v>
      </c>
      <c r="K23" s="53">
        <v>345.87</v>
      </c>
      <c r="L23" s="53">
        <v>26.16</v>
      </c>
      <c r="M23" s="53">
        <v>13.36</v>
      </c>
      <c r="N23" s="53">
        <v>140.4</v>
      </c>
      <c r="O23" s="53">
        <v>0</v>
      </c>
      <c r="P23" s="53">
        <v>1.1299999999999999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338</v>
      </c>
      <c r="B24" s="53">
        <v>14.91</v>
      </c>
      <c r="C24" s="53">
        <v>30.75</v>
      </c>
      <c r="D24" s="53">
        <v>26.58</v>
      </c>
      <c r="E24" s="53">
        <v>11.78</v>
      </c>
      <c r="F24" s="53">
        <v>6.2</v>
      </c>
      <c r="G24" s="53">
        <v>49.56</v>
      </c>
      <c r="H24" s="53">
        <v>16.690000000000001</v>
      </c>
      <c r="I24" s="53">
        <v>0.1</v>
      </c>
      <c r="J24" s="53">
        <v>1.78</v>
      </c>
      <c r="K24" s="53">
        <v>348.05</v>
      </c>
      <c r="L24" s="53">
        <v>24.97</v>
      </c>
      <c r="M24" s="53">
        <v>15.39</v>
      </c>
      <c r="N24" s="53">
        <v>77.7</v>
      </c>
      <c r="O24" s="53">
        <v>0</v>
      </c>
      <c r="P24" s="53">
        <v>1.1100000000000001</v>
      </c>
      <c r="Q24" s="53">
        <v>9.65</v>
      </c>
      <c r="R24" s="43"/>
      <c r="S24" s="43"/>
      <c r="T24" s="43"/>
      <c r="U24" s="43"/>
    </row>
    <row r="25" spans="1:21" s="11" customFormat="1" x14ac:dyDescent="0.25">
      <c r="A25" s="52" t="s">
        <v>339</v>
      </c>
      <c r="B25" s="53">
        <v>14.72</v>
      </c>
      <c r="C25" s="53">
        <v>32.65</v>
      </c>
      <c r="D25" s="53">
        <v>28.4</v>
      </c>
      <c r="E25" s="53">
        <v>10.31</v>
      </c>
      <c r="F25" s="53">
        <v>5.62</v>
      </c>
      <c r="G25" s="53">
        <v>65.760000000000005</v>
      </c>
      <c r="H25" s="53">
        <v>18.61</v>
      </c>
      <c r="I25" s="53">
        <v>0.1</v>
      </c>
      <c r="J25" s="53">
        <v>1.64</v>
      </c>
      <c r="K25" s="53">
        <v>343.3</v>
      </c>
      <c r="L25" s="53">
        <v>23.93</v>
      </c>
      <c r="M25" s="53">
        <v>28.45</v>
      </c>
      <c r="N25" s="53">
        <v>58.5</v>
      </c>
      <c r="O25" s="53">
        <v>0</v>
      </c>
      <c r="P25" s="53">
        <v>1.06</v>
      </c>
      <c r="Q25" s="53">
        <v>9.64</v>
      </c>
      <c r="R25" s="43"/>
      <c r="S25" s="43"/>
      <c r="T25" s="43"/>
      <c r="U25" s="43"/>
    </row>
    <row r="26" spans="1:21" s="11" customFormat="1" x14ac:dyDescent="0.25">
      <c r="A26" s="52" t="s">
        <v>340</v>
      </c>
      <c r="B26" s="53">
        <v>16.66</v>
      </c>
      <c r="C26" s="53">
        <v>33.880000000000003</v>
      </c>
      <c r="D26" s="53">
        <v>28.15</v>
      </c>
      <c r="E26" s="53">
        <v>6.35</v>
      </c>
      <c r="F26" s="53">
        <v>4.18</v>
      </c>
      <c r="G26" s="53">
        <v>77.52</v>
      </c>
      <c r="H26" s="53">
        <v>24.68</v>
      </c>
      <c r="I26" s="53">
        <v>0.1</v>
      </c>
      <c r="J26" s="53">
        <v>0.72</v>
      </c>
      <c r="K26" s="53">
        <v>297.29000000000002</v>
      </c>
      <c r="L26" s="53">
        <v>21.22</v>
      </c>
      <c r="M26" s="53">
        <v>39.450000000000003</v>
      </c>
      <c r="N26" s="53">
        <v>36.299999999999997</v>
      </c>
      <c r="O26" s="53">
        <v>0</v>
      </c>
      <c r="P26" s="53">
        <v>1.18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341</v>
      </c>
      <c r="B27" s="53">
        <v>36.200000000000003</v>
      </c>
      <c r="C27" s="53">
        <v>26.97</v>
      </c>
      <c r="D27" s="53">
        <v>38.799999999999997</v>
      </c>
      <c r="E27" s="53">
        <v>4.62</v>
      </c>
      <c r="F27" s="53">
        <v>2.74</v>
      </c>
      <c r="G27" s="53">
        <v>124.6</v>
      </c>
      <c r="H27" s="53">
        <v>38.020000000000003</v>
      </c>
      <c r="I27" s="53">
        <v>0.1</v>
      </c>
      <c r="J27" s="53">
        <v>0.67</v>
      </c>
      <c r="K27" s="53">
        <v>227.51</v>
      </c>
      <c r="L27" s="53">
        <v>17.73</v>
      </c>
      <c r="M27" s="53">
        <v>50.41</v>
      </c>
      <c r="N27" s="53">
        <v>32.700000000000003</v>
      </c>
      <c r="O27" s="53">
        <v>0</v>
      </c>
      <c r="P27" s="53">
        <v>1.62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342</v>
      </c>
      <c r="B28" s="53">
        <v>69.849999999999994</v>
      </c>
      <c r="C28" s="53">
        <v>16.38</v>
      </c>
      <c r="D28" s="53">
        <v>56.83</v>
      </c>
      <c r="E28" s="53">
        <v>4.91</v>
      </c>
      <c r="F28" s="53">
        <v>3</v>
      </c>
      <c r="G28" s="53">
        <v>194.56</v>
      </c>
      <c r="H28" s="53">
        <v>58.54</v>
      </c>
      <c r="I28" s="53">
        <v>0.1</v>
      </c>
      <c r="J28" s="53">
        <v>0.68</v>
      </c>
      <c r="K28" s="53">
        <v>279.39999999999998</v>
      </c>
      <c r="L28" s="53">
        <v>16.25</v>
      </c>
      <c r="M28" s="53">
        <v>61.22</v>
      </c>
      <c r="N28" s="53">
        <v>32.4</v>
      </c>
      <c r="O28" s="53">
        <v>0</v>
      </c>
      <c r="P28" s="53">
        <v>2.21</v>
      </c>
      <c r="Q28" s="53">
        <v>9.75</v>
      </c>
      <c r="R28" s="43"/>
      <c r="S28" s="43"/>
      <c r="T28" s="43"/>
      <c r="U28" s="43"/>
    </row>
    <row r="29" spans="1:21" s="11" customFormat="1" x14ac:dyDescent="0.25">
      <c r="A29" s="52" t="s">
        <v>343</v>
      </c>
      <c r="B29" s="53">
        <v>109.51</v>
      </c>
      <c r="C29" s="53">
        <v>0.02</v>
      </c>
      <c r="D29" s="53">
        <v>77.75</v>
      </c>
      <c r="E29" s="53">
        <v>5.82</v>
      </c>
      <c r="F29" s="53">
        <v>3.15</v>
      </c>
      <c r="G29" s="53">
        <v>240.59</v>
      </c>
      <c r="H29" s="53">
        <v>81.87</v>
      </c>
      <c r="I29" s="53">
        <v>0.1</v>
      </c>
      <c r="J29" s="53">
        <v>0.68</v>
      </c>
      <c r="K29" s="53">
        <v>343.92</v>
      </c>
      <c r="L29" s="53">
        <v>15.19</v>
      </c>
      <c r="M29" s="53">
        <v>67.430000000000007</v>
      </c>
      <c r="N29" s="53">
        <v>32.5</v>
      </c>
      <c r="O29" s="53">
        <v>0</v>
      </c>
      <c r="P29" s="53">
        <v>3</v>
      </c>
      <c r="Q29" s="53">
        <v>9.84</v>
      </c>
      <c r="R29" s="43"/>
      <c r="S29" s="43"/>
      <c r="T29" s="43"/>
      <c r="U29" s="43"/>
    </row>
    <row r="30" spans="1:21" s="11" customFormat="1" x14ac:dyDescent="0.25">
      <c r="A30" s="52" t="s">
        <v>344</v>
      </c>
      <c r="B30" s="53">
        <v>143.72</v>
      </c>
      <c r="C30" s="5" t="s">
        <v>14</v>
      </c>
      <c r="D30" s="53">
        <v>94.72</v>
      </c>
      <c r="E30" s="53">
        <v>6.27</v>
      </c>
      <c r="F30" s="53">
        <v>3.55</v>
      </c>
      <c r="G30" s="53">
        <v>265.23</v>
      </c>
      <c r="H30" s="53">
        <v>95.56</v>
      </c>
      <c r="I30" s="53">
        <v>0.1</v>
      </c>
      <c r="J30" s="53">
        <v>0.73</v>
      </c>
      <c r="K30" s="53">
        <v>337.72</v>
      </c>
      <c r="L30" s="53">
        <v>14.47</v>
      </c>
      <c r="M30" s="53">
        <v>81.400000000000006</v>
      </c>
      <c r="N30" s="53">
        <v>32.4</v>
      </c>
      <c r="O30" s="53">
        <v>0</v>
      </c>
      <c r="P30" s="53">
        <v>3.67</v>
      </c>
      <c r="Q30" s="53">
        <v>9.89</v>
      </c>
      <c r="R30" s="43"/>
      <c r="S30" s="43"/>
      <c r="T30" s="43"/>
      <c r="U30" s="43"/>
    </row>
    <row r="31" spans="1:21" s="11" customFormat="1" x14ac:dyDescent="0.25">
      <c r="A31" s="52" t="s">
        <v>345</v>
      </c>
      <c r="B31" s="53">
        <v>159.5</v>
      </c>
      <c r="C31" s="5" t="s">
        <v>14</v>
      </c>
      <c r="D31" s="53">
        <v>102.17</v>
      </c>
      <c r="E31" s="53">
        <v>6.43</v>
      </c>
      <c r="F31" s="53">
        <v>3.51</v>
      </c>
      <c r="G31" s="53">
        <v>259.85000000000002</v>
      </c>
      <c r="H31" s="53">
        <v>103.27</v>
      </c>
      <c r="I31" s="53">
        <v>0.1</v>
      </c>
      <c r="J31" s="53">
        <v>0.45</v>
      </c>
      <c r="K31" s="53">
        <v>306.55</v>
      </c>
      <c r="L31" s="53">
        <v>13.87</v>
      </c>
      <c r="M31" s="53">
        <v>80</v>
      </c>
      <c r="N31" s="53">
        <v>32.5</v>
      </c>
      <c r="O31" s="53">
        <v>0</v>
      </c>
      <c r="P31" s="53">
        <v>4.12</v>
      </c>
      <c r="Q31" s="53">
        <v>9.92</v>
      </c>
      <c r="R31" s="43"/>
      <c r="S31" s="43"/>
      <c r="T31" s="43"/>
      <c r="U31" s="43"/>
    </row>
    <row r="32" spans="1:21" s="11" customFormat="1" x14ac:dyDescent="0.25">
      <c r="A32" s="52" t="s">
        <v>346</v>
      </c>
      <c r="B32" s="53">
        <v>168.02</v>
      </c>
      <c r="C32" s="5" t="s">
        <v>14</v>
      </c>
      <c r="D32" s="53">
        <v>106.03</v>
      </c>
      <c r="E32" s="53">
        <v>6.54</v>
      </c>
      <c r="F32" s="53">
        <v>3.43</v>
      </c>
      <c r="G32" s="53">
        <v>217.19</v>
      </c>
      <c r="H32" s="53">
        <v>92.26</v>
      </c>
      <c r="I32" s="53">
        <v>0.1</v>
      </c>
      <c r="J32" s="53">
        <v>0.75</v>
      </c>
      <c r="K32" s="53">
        <v>328.66</v>
      </c>
      <c r="L32" s="53">
        <v>13.3</v>
      </c>
      <c r="M32" s="53">
        <v>92.26</v>
      </c>
      <c r="N32" s="53">
        <v>32.5</v>
      </c>
      <c r="O32" s="53">
        <v>0</v>
      </c>
      <c r="P32" s="53">
        <v>4.33</v>
      </c>
      <c r="Q32" s="53">
        <v>9.9499999999999993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14.72</v>
      </c>
      <c r="C34" s="28">
        <f t="shared" si="0"/>
        <v>0.02</v>
      </c>
      <c r="D34" s="28">
        <f t="shared" si="0"/>
        <v>26.58</v>
      </c>
      <c r="E34" s="28">
        <f t="shared" si="0"/>
        <v>4.62</v>
      </c>
      <c r="F34" s="28">
        <f t="shared" si="0"/>
        <v>2.74</v>
      </c>
      <c r="G34" s="28">
        <f t="shared" si="0"/>
        <v>17.38</v>
      </c>
      <c r="H34" s="28">
        <f t="shared" si="0"/>
        <v>16.38</v>
      </c>
      <c r="I34" s="28">
        <f t="shared" si="0"/>
        <v>0.1</v>
      </c>
      <c r="J34" s="28">
        <f t="shared" si="0"/>
        <v>0.45</v>
      </c>
      <c r="K34" s="28">
        <f t="shared" si="0"/>
        <v>81.180000000000007</v>
      </c>
      <c r="L34" s="28">
        <f t="shared" si="0"/>
        <v>10.68</v>
      </c>
      <c r="M34" s="28">
        <f t="shared" si="0"/>
        <v>13.36</v>
      </c>
      <c r="N34" s="28">
        <f t="shared" si="0"/>
        <v>32.1</v>
      </c>
      <c r="O34" s="28">
        <f t="shared" si="0"/>
        <v>0</v>
      </c>
      <c r="P34" s="28">
        <f t="shared" si="0"/>
        <v>1.04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187.21</v>
      </c>
      <c r="C35" s="29">
        <f t="shared" si="1"/>
        <v>33.880000000000003</v>
      </c>
      <c r="D35" s="29">
        <f t="shared" si="1"/>
        <v>114.67</v>
      </c>
      <c r="E35" s="29">
        <f t="shared" si="1"/>
        <v>15.54</v>
      </c>
      <c r="F35" s="29">
        <f t="shared" si="1"/>
        <v>8.83</v>
      </c>
      <c r="G35" s="29">
        <f t="shared" si="1"/>
        <v>265.23</v>
      </c>
      <c r="H35" s="29">
        <f t="shared" si="1"/>
        <v>103.27</v>
      </c>
      <c r="I35" s="29">
        <f t="shared" si="1"/>
        <v>0.1</v>
      </c>
      <c r="J35" s="29">
        <f t="shared" si="1"/>
        <v>1.78</v>
      </c>
      <c r="K35" s="29">
        <f t="shared" si="1"/>
        <v>357</v>
      </c>
      <c r="L35" s="29">
        <f t="shared" si="1"/>
        <v>28.36</v>
      </c>
      <c r="M35" s="29">
        <f t="shared" si="1"/>
        <v>98.79</v>
      </c>
      <c r="N35" s="29">
        <f t="shared" si="1"/>
        <v>589.5</v>
      </c>
      <c r="O35" s="29">
        <f t="shared" si="1"/>
        <v>0</v>
      </c>
      <c r="P35" s="29">
        <f t="shared" si="1"/>
        <v>4.59</v>
      </c>
      <c r="Q35" s="29">
        <f t="shared" si="1"/>
        <v>9.98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81.330416666666665</v>
      </c>
      <c r="C36" s="28">
        <f t="shared" si="2"/>
        <v>19.477692307692308</v>
      </c>
      <c r="D36" s="28">
        <f t="shared" si="2"/>
        <v>59.903750000000002</v>
      </c>
      <c r="E36" s="28">
        <f t="shared" si="2"/>
        <v>6.8704166666666664</v>
      </c>
      <c r="F36" s="28">
        <f t="shared" si="2"/>
        <v>4.1066666666666674</v>
      </c>
      <c r="G36" s="28">
        <f t="shared" si="2"/>
        <v>130.0925</v>
      </c>
      <c r="H36" s="28">
        <f t="shared" si="2"/>
        <v>52.814166666666658</v>
      </c>
      <c r="I36" s="28">
        <f t="shared" si="2"/>
        <v>0.10000000000000003</v>
      </c>
      <c r="J36" s="28">
        <f t="shared" si="2"/>
        <v>0.94583333333333341</v>
      </c>
      <c r="K36" s="28">
        <f t="shared" si="2"/>
        <v>295.16874999999999</v>
      </c>
      <c r="L36" s="28">
        <f t="shared" si="2"/>
        <v>19.202500000000001</v>
      </c>
      <c r="M36" s="28">
        <f t="shared" si="2"/>
        <v>56.654166666666676</v>
      </c>
      <c r="N36" s="28">
        <f t="shared" si="2"/>
        <v>177.32916666666665</v>
      </c>
      <c r="O36" s="28">
        <f t="shared" si="2"/>
        <v>0</v>
      </c>
      <c r="P36" s="28">
        <f t="shared" si="2"/>
        <v>2.2595833333333331</v>
      </c>
      <c r="Q36" s="28">
        <f t="shared" si="2"/>
        <v>9.7704166666666659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56.214588349440938</v>
      </c>
      <c r="C37" s="28">
        <f t="shared" ref="C37:Q37" si="3">STDEV(C9:C32)</f>
        <v>12.119403969011948</v>
      </c>
      <c r="D37" s="28">
        <f t="shared" si="3"/>
        <v>29.039335812936912</v>
      </c>
      <c r="E37" s="28">
        <f t="shared" si="3"/>
        <v>2.5014508471244654</v>
      </c>
      <c r="F37" s="28">
        <f t="shared" si="3"/>
        <v>1.6970349248709893</v>
      </c>
      <c r="G37" s="28">
        <f t="shared" si="3"/>
        <v>74.98892406621593</v>
      </c>
      <c r="H37" s="28">
        <f t="shared" si="3"/>
        <v>26.236888885799683</v>
      </c>
      <c r="I37" s="28">
        <f t="shared" si="3"/>
        <v>2.8352538009326866E-17</v>
      </c>
      <c r="J37" s="28">
        <f t="shared" si="3"/>
        <v>0.41086247214182581</v>
      </c>
      <c r="K37" s="28">
        <f t="shared" si="3"/>
        <v>71.775335373196015</v>
      </c>
      <c r="L37" s="28">
        <f t="shared" si="3"/>
        <v>6.1349953049129766</v>
      </c>
      <c r="M37" s="28">
        <f t="shared" si="3"/>
        <v>30.643563323941365</v>
      </c>
      <c r="N37" s="28">
        <f t="shared" si="3"/>
        <v>220.90129505233125</v>
      </c>
      <c r="O37" s="28">
        <f t="shared" si="3"/>
        <v>0</v>
      </c>
      <c r="P37" s="28">
        <f t="shared" si="3"/>
        <v>1.1342895848586638</v>
      </c>
      <c r="Q37" s="28">
        <f t="shared" si="3"/>
        <v>0.11098292726778973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27" sqref="F27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275</v>
      </c>
      <c r="B9" s="53">
        <v>169.99</v>
      </c>
      <c r="C9" s="5" t="s">
        <v>14</v>
      </c>
      <c r="D9" s="53">
        <v>107.21</v>
      </c>
      <c r="E9" s="53">
        <v>6.77</v>
      </c>
      <c r="F9" s="53">
        <v>3.35</v>
      </c>
      <c r="G9" s="53">
        <v>216.85</v>
      </c>
      <c r="H9" s="53">
        <v>97.92</v>
      </c>
      <c r="I9" s="53">
        <v>0.1</v>
      </c>
      <c r="J9" s="53">
        <v>0.7</v>
      </c>
      <c r="K9" s="53">
        <v>319.82</v>
      </c>
      <c r="L9" s="53">
        <v>12.95</v>
      </c>
      <c r="M9" s="53">
        <v>92.13</v>
      </c>
      <c r="N9" s="53">
        <v>32.5</v>
      </c>
      <c r="O9" s="53">
        <v>0</v>
      </c>
      <c r="P9" s="53">
        <v>4.41</v>
      </c>
      <c r="Q9" s="53">
        <v>9.94</v>
      </c>
      <c r="R9" s="43"/>
      <c r="S9" s="43"/>
      <c r="T9" s="43"/>
      <c r="U9" s="43"/>
    </row>
    <row r="10" spans="1:21" s="11" customFormat="1" x14ac:dyDescent="0.25">
      <c r="A10" s="52" t="s">
        <v>276</v>
      </c>
      <c r="B10" s="53">
        <v>161.15</v>
      </c>
      <c r="C10" s="5" t="s">
        <v>14</v>
      </c>
      <c r="D10" s="53">
        <v>101.79</v>
      </c>
      <c r="E10" s="53">
        <v>6.81</v>
      </c>
      <c r="F10" s="53">
        <v>3.64</v>
      </c>
      <c r="G10" s="53">
        <v>179.66</v>
      </c>
      <c r="H10" s="53">
        <v>86.82</v>
      </c>
      <c r="I10" s="53">
        <v>0.1</v>
      </c>
      <c r="J10" s="53">
        <v>0.7</v>
      </c>
      <c r="K10" s="53">
        <v>319.36</v>
      </c>
      <c r="L10" s="53">
        <v>12.88</v>
      </c>
      <c r="M10" s="53">
        <v>87.61</v>
      </c>
      <c r="N10" s="53">
        <v>32.5</v>
      </c>
      <c r="O10" s="53">
        <v>0</v>
      </c>
      <c r="P10" s="53">
        <v>3.74</v>
      </c>
      <c r="Q10" s="53">
        <v>9.93</v>
      </c>
      <c r="R10" s="43"/>
      <c r="S10" s="43"/>
      <c r="T10" s="43"/>
      <c r="U10" s="43"/>
    </row>
    <row r="11" spans="1:21" s="11" customFormat="1" x14ac:dyDescent="0.25">
      <c r="A11" s="52" t="s">
        <v>277</v>
      </c>
      <c r="B11" s="53">
        <v>142.71</v>
      </c>
      <c r="C11" s="5" t="s">
        <v>14</v>
      </c>
      <c r="D11" s="53">
        <v>90.49</v>
      </c>
      <c r="E11" s="53">
        <v>6.47</v>
      </c>
      <c r="F11" s="53">
        <v>3.47</v>
      </c>
      <c r="G11" s="53">
        <v>188.9</v>
      </c>
      <c r="H11" s="53">
        <v>85.03</v>
      </c>
      <c r="I11" s="53">
        <v>0.1</v>
      </c>
      <c r="J11" s="53">
        <v>0.7</v>
      </c>
      <c r="K11" s="53">
        <v>248.29</v>
      </c>
      <c r="L11" s="53">
        <v>12.44</v>
      </c>
      <c r="M11" s="53">
        <v>79.53</v>
      </c>
      <c r="N11" s="53">
        <v>32.6</v>
      </c>
      <c r="O11" s="53">
        <v>0</v>
      </c>
      <c r="P11" s="53">
        <v>3.44</v>
      </c>
      <c r="Q11" s="53">
        <v>9.89</v>
      </c>
      <c r="R11" s="43"/>
      <c r="S11" s="43"/>
      <c r="T11" s="43"/>
      <c r="U11" s="43"/>
    </row>
    <row r="12" spans="1:21" s="11" customFormat="1" x14ac:dyDescent="0.25">
      <c r="A12" s="52" t="s">
        <v>278</v>
      </c>
      <c r="B12" s="53">
        <v>117.33</v>
      </c>
      <c r="C12" s="5" t="s">
        <v>14</v>
      </c>
      <c r="D12" s="53">
        <v>76.22</v>
      </c>
      <c r="E12" s="53">
        <v>5.86</v>
      </c>
      <c r="F12" s="53">
        <v>3.16</v>
      </c>
      <c r="G12" s="53">
        <v>160.47999999999999</v>
      </c>
      <c r="H12" s="53">
        <v>76.61</v>
      </c>
      <c r="I12" s="53">
        <v>0.1</v>
      </c>
      <c r="J12" s="53">
        <v>0.72</v>
      </c>
      <c r="K12" s="53">
        <v>328.87</v>
      </c>
      <c r="L12" s="53">
        <v>11.55</v>
      </c>
      <c r="M12" s="53">
        <v>84.57</v>
      </c>
      <c r="N12" s="53">
        <v>32.700000000000003</v>
      </c>
      <c r="O12" s="53">
        <v>0</v>
      </c>
      <c r="P12" s="53">
        <v>2.96</v>
      </c>
      <c r="Q12" s="53">
        <v>9.83</v>
      </c>
      <c r="R12" s="43"/>
      <c r="S12" s="43"/>
      <c r="T12" s="43"/>
      <c r="U12" s="43"/>
    </row>
    <row r="13" spans="1:21" s="11" customFormat="1" x14ac:dyDescent="0.25">
      <c r="A13" s="52" t="s">
        <v>279</v>
      </c>
      <c r="B13" s="53">
        <v>96.58</v>
      </c>
      <c r="C13" s="5" t="s">
        <v>14</v>
      </c>
      <c r="D13" s="53">
        <v>64.77</v>
      </c>
      <c r="E13" s="53">
        <v>5.57</v>
      </c>
      <c r="F13" s="53">
        <v>3.22</v>
      </c>
      <c r="G13" s="53">
        <v>132.63999999999999</v>
      </c>
      <c r="H13" s="53">
        <v>61.35</v>
      </c>
      <c r="I13" s="53">
        <v>0.1</v>
      </c>
      <c r="J13" s="53">
        <v>0.78</v>
      </c>
      <c r="K13" s="53">
        <v>258.98</v>
      </c>
      <c r="L13" s="53">
        <v>10.95</v>
      </c>
      <c r="M13" s="53">
        <v>94.43</v>
      </c>
      <c r="N13" s="53">
        <v>32.4</v>
      </c>
      <c r="O13" s="53">
        <v>0</v>
      </c>
      <c r="P13" s="53">
        <v>2.6</v>
      </c>
      <c r="Q13" s="53">
        <v>9.8000000000000007</v>
      </c>
      <c r="R13" s="43"/>
      <c r="S13" s="43"/>
      <c r="T13" s="43"/>
      <c r="U13" s="43"/>
    </row>
    <row r="14" spans="1:21" s="11" customFormat="1" x14ac:dyDescent="0.25">
      <c r="A14" s="52" t="s">
        <v>280</v>
      </c>
      <c r="B14" s="53">
        <v>84</v>
      </c>
      <c r="C14" s="5" t="s">
        <v>14</v>
      </c>
      <c r="D14" s="53">
        <v>58.25</v>
      </c>
      <c r="E14" s="53">
        <v>5.47</v>
      </c>
      <c r="F14" s="53">
        <v>3.26</v>
      </c>
      <c r="G14" s="53">
        <v>128.76</v>
      </c>
      <c r="H14" s="53">
        <v>59.13</v>
      </c>
      <c r="I14" s="53">
        <v>0.1</v>
      </c>
      <c r="J14" s="53">
        <v>0.7</v>
      </c>
      <c r="K14" s="53">
        <v>328.31</v>
      </c>
      <c r="L14" s="53">
        <v>10.84</v>
      </c>
      <c r="M14" s="53">
        <v>98.83</v>
      </c>
      <c r="N14" s="53">
        <v>32.6</v>
      </c>
      <c r="O14" s="53">
        <v>0</v>
      </c>
      <c r="P14" s="53">
        <v>2.44</v>
      </c>
      <c r="Q14" s="53">
        <v>9.7799999999999994</v>
      </c>
      <c r="R14" s="43"/>
      <c r="S14" s="43"/>
      <c r="T14" s="43"/>
      <c r="U14" s="43"/>
    </row>
    <row r="15" spans="1:21" s="11" customFormat="1" x14ac:dyDescent="0.25">
      <c r="A15" s="52" t="s">
        <v>281</v>
      </c>
      <c r="B15" s="53">
        <v>72.760000000000005</v>
      </c>
      <c r="C15" s="5" t="s">
        <v>14</v>
      </c>
      <c r="D15" s="53">
        <v>51.51</v>
      </c>
      <c r="E15" s="53">
        <v>5.41</v>
      </c>
      <c r="F15" s="53">
        <v>3.6</v>
      </c>
      <c r="G15" s="53">
        <v>115.6</v>
      </c>
      <c r="H15" s="53">
        <v>53.56</v>
      </c>
      <c r="I15" s="53">
        <v>0.1</v>
      </c>
      <c r="J15" s="53">
        <v>0.76</v>
      </c>
      <c r="K15" s="53">
        <v>276.24</v>
      </c>
      <c r="L15" s="53">
        <v>10.44</v>
      </c>
      <c r="M15" s="53">
        <v>97.85</v>
      </c>
      <c r="N15" s="53">
        <v>51.2</v>
      </c>
      <c r="O15" s="53">
        <v>0</v>
      </c>
      <c r="P15" s="53">
        <v>2.1</v>
      </c>
      <c r="Q15" s="53">
        <v>9.75</v>
      </c>
      <c r="R15" s="43"/>
      <c r="S15" s="43"/>
      <c r="T15" s="43"/>
      <c r="U15" s="43"/>
    </row>
    <row r="16" spans="1:21" s="11" customFormat="1" x14ac:dyDescent="0.25">
      <c r="A16" s="52" t="s">
        <v>282</v>
      </c>
      <c r="B16" s="53">
        <v>71.86</v>
      </c>
      <c r="C16" s="5" t="s">
        <v>14</v>
      </c>
      <c r="D16" s="53">
        <v>51.57</v>
      </c>
      <c r="E16" s="53">
        <v>5.0999999999999996</v>
      </c>
      <c r="F16" s="53">
        <v>3.2</v>
      </c>
      <c r="G16" s="53">
        <v>128.35</v>
      </c>
      <c r="H16" s="53">
        <v>54.33</v>
      </c>
      <c r="I16" s="53">
        <v>0.1</v>
      </c>
      <c r="J16" s="53">
        <v>0.77</v>
      </c>
      <c r="K16" s="53">
        <v>234.39</v>
      </c>
      <c r="L16" s="53">
        <v>15.45</v>
      </c>
      <c r="M16" s="53">
        <v>91.87</v>
      </c>
      <c r="N16" s="53">
        <v>241.6</v>
      </c>
      <c r="O16" s="53">
        <v>0</v>
      </c>
      <c r="P16" s="53">
        <v>2.1800000000000002</v>
      </c>
      <c r="Q16" s="53">
        <v>9.74</v>
      </c>
      <c r="R16" s="43"/>
      <c r="S16" s="43"/>
      <c r="T16" s="43"/>
      <c r="U16" s="43"/>
    </row>
    <row r="17" spans="1:21" s="11" customFormat="1" x14ac:dyDescent="0.25">
      <c r="A17" s="52" t="s">
        <v>283</v>
      </c>
      <c r="B17" s="53">
        <v>65.25</v>
      </c>
      <c r="C17" s="53">
        <v>1.72</v>
      </c>
      <c r="D17" s="53">
        <v>49.28</v>
      </c>
      <c r="E17" s="53">
        <v>5.36</v>
      </c>
      <c r="F17" s="53">
        <v>3.13</v>
      </c>
      <c r="G17" s="53">
        <v>155.88999999999999</v>
      </c>
      <c r="H17" s="53">
        <v>61.88</v>
      </c>
      <c r="I17" s="53">
        <v>0.1</v>
      </c>
      <c r="J17" s="53">
        <v>1.35</v>
      </c>
      <c r="K17" s="53">
        <v>336.33</v>
      </c>
      <c r="L17" s="53">
        <v>20.149999999999999</v>
      </c>
      <c r="M17" s="53">
        <v>55.96</v>
      </c>
      <c r="N17" s="53">
        <v>377</v>
      </c>
      <c r="O17" s="53">
        <v>0</v>
      </c>
      <c r="P17" s="53">
        <v>2.11</v>
      </c>
      <c r="Q17" s="53">
        <v>9.73</v>
      </c>
      <c r="R17" s="43"/>
      <c r="S17" s="43"/>
      <c r="T17" s="43"/>
      <c r="U17" s="43"/>
    </row>
    <row r="18" spans="1:21" s="11" customFormat="1" x14ac:dyDescent="0.25">
      <c r="A18" s="52" t="s">
        <v>284</v>
      </c>
      <c r="B18" s="53">
        <v>57.16</v>
      </c>
      <c r="C18" s="53">
        <v>10.66</v>
      </c>
      <c r="D18" s="53">
        <v>47.5</v>
      </c>
      <c r="E18" s="53">
        <v>5.29</v>
      </c>
      <c r="F18" s="53">
        <v>3.18</v>
      </c>
      <c r="G18" s="53">
        <v>161.28</v>
      </c>
      <c r="H18" s="53">
        <v>64.349999999999994</v>
      </c>
      <c r="I18" s="53">
        <v>0.1</v>
      </c>
      <c r="J18" s="53">
        <v>1.1599999999999999</v>
      </c>
      <c r="K18" s="53">
        <v>337.41</v>
      </c>
      <c r="L18" s="53">
        <v>24.1</v>
      </c>
      <c r="M18" s="53">
        <v>47.29</v>
      </c>
      <c r="N18" s="53">
        <v>493.2</v>
      </c>
      <c r="O18" s="53">
        <v>0</v>
      </c>
      <c r="P18" s="53">
        <v>2.15</v>
      </c>
      <c r="Q18" s="53">
        <v>9.73</v>
      </c>
      <c r="R18" s="43"/>
      <c r="S18" s="43"/>
      <c r="T18" s="43"/>
      <c r="U18" s="43"/>
    </row>
    <row r="19" spans="1:21" s="11" customFormat="1" x14ac:dyDescent="0.25">
      <c r="A19" s="52" t="s">
        <v>285</v>
      </c>
      <c r="B19" s="53">
        <v>45.14</v>
      </c>
      <c r="C19" s="53">
        <v>14.86</v>
      </c>
      <c r="D19" s="53">
        <v>42.4</v>
      </c>
      <c r="E19" s="53">
        <v>5.56</v>
      </c>
      <c r="F19" s="53">
        <v>3.33</v>
      </c>
      <c r="G19" s="53">
        <v>116.21</v>
      </c>
      <c r="H19" s="53">
        <v>53.35</v>
      </c>
      <c r="I19" s="53">
        <v>0.1</v>
      </c>
      <c r="J19" s="53">
        <v>2.0099999999999998</v>
      </c>
      <c r="K19" s="53">
        <v>352.96</v>
      </c>
      <c r="L19" s="53">
        <v>27.28</v>
      </c>
      <c r="M19" s="53">
        <v>27.09</v>
      </c>
      <c r="N19" s="53">
        <v>555.1</v>
      </c>
      <c r="O19" s="53">
        <v>0</v>
      </c>
      <c r="P19" s="53">
        <v>2</v>
      </c>
      <c r="Q19" s="53">
        <v>9.7200000000000006</v>
      </c>
      <c r="R19" s="43"/>
      <c r="S19" s="43"/>
      <c r="T19" s="43"/>
      <c r="U19" s="43"/>
    </row>
    <row r="20" spans="1:21" s="11" customFormat="1" x14ac:dyDescent="0.25">
      <c r="A20" s="52" t="s">
        <v>286</v>
      </c>
      <c r="B20" s="53">
        <v>35.68</v>
      </c>
      <c r="C20" s="53">
        <v>20.81</v>
      </c>
      <c r="D20" s="53">
        <v>36.869999999999997</v>
      </c>
      <c r="E20" s="53">
        <v>5.45</v>
      </c>
      <c r="F20" s="53">
        <v>4.0999999999999996</v>
      </c>
      <c r="G20" s="53">
        <v>45.84</v>
      </c>
      <c r="H20" s="53">
        <v>36.51</v>
      </c>
      <c r="I20" s="53">
        <v>0.1</v>
      </c>
      <c r="J20" s="53">
        <v>0.98</v>
      </c>
      <c r="K20" s="53">
        <v>342.03</v>
      </c>
      <c r="L20" s="53">
        <v>26.55</v>
      </c>
      <c r="M20" s="53">
        <v>23.19</v>
      </c>
      <c r="N20" s="53">
        <v>572.70000000000005</v>
      </c>
      <c r="O20" s="53">
        <v>0</v>
      </c>
      <c r="P20" s="53">
        <v>1.58</v>
      </c>
      <c r="Q20" s="53">
        <v>9.69</v>
      </c>
      <c r="R20" s="43"/>
      <c r="S20" s="43"/>
      <c r="T20" s="43"/>
      <c r="U20" s="43"/>
    </row>
    <row r="21" spans="1:21" s="11" customFormat="1" x14ac:dyDescent="0.25">
      <c r="A21" s="52" t="s">
        <v>287</v>
      </c>
      <c r="B21" s="53">
        <v>27.88</v>
      </c>
      <c r="C21" s="53">
        <v>25.13</v>
      </c>
      <c r="D21" s="53">
        <v>33.06</v>
      </c>
      <c r="E21" s="53">
        <v>4.97</v>
      </c>
      <c r="F21" s="53">
        <v>4.7300000000000004</v>
      </c>
      <c r="G21" s="53">
        <v>49.83</v>
      </c>
      <c r="H21" s="53">
        <v>27.17</v>
      </c>
      <c r="I21" s="53">
        <v>0.1</v>
      </c>
      <c r="J21" s="53">
        <v>1.63</v>
      </c>
      <c r="K21" s="53">
        <v>127.68</v>
      </c>
      <c r="L21" s="53">
        <v>26.24</v>
      </c>
      <c r="M21" s="53">
        <v>21.26</v>
      </c>
      <c r="N21" s="53">
        <v>545.5</v>
      </c>
      <c r="O21" s="53">
        <v>0</v>
      </c>
      <c r="P21" s="53">
        <v>1.35</v>
      </c>
      <c r="Q21" s="53">
        <v>9.68</v>
      </c>
      <c r="R21" s="43"/>
      <c r="S21" s="43"/>
      <c r="T21" s="43"/>
      <c r="U21" s="43"/>
    </row>
    <row r="22" spans="1:21" s="11" customFormat="1" x14ac:dyDescent="0.25">
      <c r="A22" s="52" t="s">
        <v>288</v>
      </c>
      <c r="B22" s="53">
        <v>17.88</v>
      </c>
      <c r="C22" s="53">
        <v>26.76</v>
      </c>
      <c r="D22" s="53">
        <v>26.5</v>
      </c>
      <c r="E22" s="53">
        <v>6.73</v>
      </c>
      <c r="F22" s="53">
        <v>8.2100000000000009</v>
      </c>
      <c r="G22" s="53">
        <v>44.21</v>
      </c>
      <c r="H22" s="53">
        <v>21.97</v>
      </c>
      <c r="I22" s="53">
        <v>0.1</v>
      </c>
      <c r="J22" s="53">
        <v>1.77</v>
      </c>
      <c r="K22" s="53">
        <v>131.13</v>
      </c>
      <c r="L22" s="53">
        <v>25.48</v>
      </c>
      <c r="M22" s="53">
        <v>18.96</v>
      </c>
      <c r="N22" s="53">
        <v>490.1</v>
      </c>
      <c r="O22" s="53">
        <v>0</v>
      </c>
      <c r="P22" s="53">
        <v>1.25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289</v>
      </c>
      <c r="B23" s="53">
        <v>12.33</v>
      </c>
      <c r="C23" s="53">
        <v>26.63</v>
      </c>
      <c r="D23" s="53">
        <v>23.34</v>
      </c>
      <c r="E23" s="53">
        <v>12.99</v>
      </c>
      <c r="F23" s="53">
        <v>11.97</v>
      </c>
      <c r="G23" s="53">
        <v>21.4</v>
      </c>
      <c r="H23" s="53">
        <v>18.87</v>
      </c>
      <c r="I23" s="53">
        <v>0.1</v>
      </c>
      <c r="J23" s="53">
        <v>1.61</v>
      </c>
      <c r="K23" s="53">
        <v>136.35</v>
      </c>
      <c r="L23" s="53">
        <v>24.86</v>
      </c>
      <c r="M23" s="53">
        <v>16.239999999999998</v>
      </c>
      <c r="N23" s="53">
        <v>155.1</v>
      </c>
      <c r="O23" s="53">
        <v>0</v>
      </c>
      <c r="P23" s="53">
        <v>1.07</v>
      </c>
      <c r="Q23" s="53">
        <v>9.66</v>
      </c>
      <c r="R23" s="43"/>
      <c r="S23" s="43"/>
      <c r="T23" s="43"/>
      <c r="U23" s="43"/>
    </row>
    <row r="24" spans="1:21" s="11" customFormat="1" x14ac:dyDescent="0.25">
      <c r="A24" s="52" t="s">
        <v>290</v>
      </c>
      <c r="B24" s="53">
        <v>11.08</v>
      </c>
      <c r="C24" s="53">
        <v>27.91</v>
      </c>
      <c r="D24" s="53">
        <v>23</v>
      </c>
      <c r="E24" s="53">
        <v>17.53</v>
      </c>
      <c r="F24" s="53">
        <v>13.57</v>
      </c>
      <c r="G24" s="53">
        <v>23.49</v>
      </c>
      <c r="H24" s="53">
        <v>14.03</v>
      </c>
      <c r="I24" s="53">
        <v>0.1</v>
      </c>
      <c r="J24" s="53">
        <v>0.79</v>
      </c>
      <c r="K24" s="53">
        <v>149.86000000000001</v>
      </c>
      <c r="L24" s="53">
        <v>24.1</v>
      </c>
      <c r="M24" s="53">
        <v>19.82</v>
      </c>
      <c r="N24" s="53">
        <v>76</v>
      </c>
      <c r="O24" s="53">
        <v>0</v>
      </c>
      <c r="P24" s="53">
        <v>0.9</v>
      </c>
      <c r="Q24" s="53">
        <v>9.64</v>
      </c>
      <c r="R24" s="43"/>
      <c r="S24" s="43"/>
      <c r="T24" s="43"/>
      <c r="U24" s="43"/>
    </row>
    <row r="25" spans="1:21" s="11" customFormat="1" x14ac:dyDescent="0.25">
      <c r="A25" s="52" t="s">
        <v>291</v>
      </c>
      <c r="B25" s="53">
        <v>16.23</v>
      </c>
      <c r="C25" s="53">
        <v>36.06</v>
      </c>
      <c r="D25" s="53">
        <v>29.88</v>
      </c>
      <c r="E25" s="53">
        <v>11.29</v>
      </c>
      <c r="F25" s="53">
        <v>7.94</v>
      </c>
      <c r="G25" s="53">
        <v>38</v>
      </c>
      <c r="H25" s="53">
        <v>15.31</v>
      </c>
      <c r="I25" s="53">
        <v>0.1</v>
      </c>
      <c r="J25" s="53">
        <v>0.66</v>
      </c>
      <c r="K25" s="53">
        <v>287.66000000000003</v>
      </c>
      <c r="L25" s="53">
        <v>23.21</v>
      </c>
      <c r="M25" s="53">
        <v>34.28</v>
      </c>
      <c r="N25" s="53">
        <v>56.9</v>
      </c>
      <c r="O25" s="53">
        <v>0</v>
      </c>
      <c r="P25" s="53">
        <v>0.97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292</v>
      </c>
      <c r="B26" s="53">
        <v>31.1</v>
      </c>
      <c r="C26" s="53">
        <v>28.81</v>
      </c>
      <c r="D26" s="53">
        <v>35.74</v>
      </c>
      <c r="E26" s="53">
        <v>6.05</v>
      </c>
      <c r="F26" s="53">
        <v>2.89</v>
      </c>
      <c r="G26" s="53">
        <v>72.180000000000007</v>
      </c>
      <c r="H26" s="53">
        <v>20.21</v>
      </c>
      <c r="I26" s="53">
        <v>0.1</v>
      </c>
      <c r="J26" s="53">
        <v>0.63</v>
      </c>
      <c r="K26" s="53">
        <v>340.75</v>
      </c>
      <c r="L26" s="53">
        <v>20.45</v>
      </c>
      <c r="M26" s="53">
        <v>56.57</v>
      </c>
      <c r="N26" s="53">
        <v>36.4</v>
      </c>
      <c r="O26" s="53">
        <v>0</v>
      </c>
      <c r="P26" s="53">
        <v>1.22</v>
      </c>
      <c r="Q26" s="53">
        <v>9.66</v>
      </c>
      <c r="R26" s="43"/>
      <c r="S26" s="43"/>
      <c r="T26" s="43"/>
      <c r="U26" s="43"/>
    </row>
    <row r="27" spans="1:21" s="11" customFormat="1" x14ac:dyDescent="0.25">
      <c r="A27" s="52" t="s">
        <v>293</v>
      </c>
      <c r="B27" s="53">
        <v>56.07</v>
      </c>
      <c r="C27" s="53">
        <v>19.14</v>
      </c>
      <c r="D27" s="53">
        <v>48.76</v>
      </c>
      <c r="E27" s="53">
        <v>6.41</v>
      </c>
      <c r="F27" s="53">
        <v>2.66</v>
      </c>
      <c r="G27" s="53">
        <v>139.97999999999999</v>
      </c>
      <c r="H27" s="53">
        <v>30.61</v>
      </c>
      <c r="I27" s="53">
        <v>0.1</v>
      </c>
      <c r="J27" s="53">
        <v>0.77</v>
      </c>
      <c r="K27" s="53">
        <v>315.83</v>
      </c>
      <c r="L27" s="53">
        <v>17.8</v>
      </c>
      <c r="M27" s="53">
        <v>67.05</v>
      </c>
      <c r="N27" s="53">
        <v>32.700000000000003</v>
      </c>
      <c r="O27" s="53">
        <v>0</v>
      </c>
      <c r="P27" s="53">
        <v>1.56</v>
      </c>
      <c r="Q27" s="53">
        <v>9.7100000000000009</v>
      </c>
      <c r="R27" s="43"/>
      <c r="S27" s="43"/>
      <c r="T27" s="43"/>
      <c r="U27" s="43"/>
    </row>
    <row r="28" spans="1:21" s="11" customFormat="1" x14ac:dyDescent="0.25">
      <c r="A28" s="52" t="s">
        <v>294</v>
      </c>
      <c r="B28" s="53">
        <v>88.99</v>
      </c>
      <c r="C28" s="53">
        <v>4.6399999999999997</v>
      </c>
      <c r="D28" s="53">
        <v>65.92</v>
      </c>
      <c r="E28" s="53">
        <v>6.72</v>
      </c>
      <c r="F28" s="53">
        <v>2.95</v>
      </c>
      <c r="G28" s="53">
        <v>190.22</v>
      </c>
      <c r="H28" s="53">
        <v>49.81</v>
      </c>
      <c r="I28" s="53">
        <v>0.1</v>
      </c>
      <c r="J28" s="53">
        <v>0.69</v>
      </c>
      <c r="K28" s="53">
        <v>298.5</v>
      </c>
      <c r="L28" s="53">
        <v>16.739999999999998</v>
      </c>
      <c r="M28" s="53">
        <v>80.89</v>
      </c>
      <c r="N28" s="53">
        <v>32.700000000000003</v>
      </c>
      <c r="O28" s="53">
        <v>0</v>
      </c>
      <c r="P28" s="53">
        <v>1.82</v>
      </c>
      <c r="Q28" s="53">
        <v>9.7899999999999991</v>
      </c>
      <c r="R28" s="43"/>
      <c r="S28" s="43"/>
      <c r="T28" s="43"/>
      <c r="U28" s="43"/>
    </row>
    <row r="29" spans="1:21" s="11" customFormat="1" x14ac:dyDescent="0.25">
      <c r="A29" s="52" t="s">
        <v>295</v>
      </c>
      <c r="B29" s="53">
        <v>126.36</v>
      </c>
      <c r="C29" s="5" t="s">
        <v>14</v>
      </c>
      <c r="D29" s="53">
        <v>85.89</v>
      </c>
      <c r="E29" s="53">
        <v>6.86</v>
      </c>
      <c r="F29" s="53">
        <v>2.99</v>
      </c>
      <c r="G29" s="53">
        <v>231.24</v>
      </c>
      <c r="H29" s="53">
        <v>65.569999999999993</v>
      </c>
      <c r="I29" s="53">
        <v>0.1</v>
      </c>
      <c r="J29" s="53">
        <v>0.68</v>
      </c>
      <c r="K29" s="53">
        <v>321.75</v>
      </c>
      <c r="L29" s="53">
        <v>15.33</v>
      </c>
      <c r="M29" s="53">
        <v>72.77</v>
      </c>
      <c r="N29" s="53">
        <v>32.6</v>
      </c>
      <c r="O29" s="53">
        <v>0</v>
      </c>
      <c r="P29" s="53">
        <v>2.4</v>
      </c>
      <c r="Q29" s="53">
        <v>9.84</v>
      </c>
      <c r="R29" s="43"/>
      <c r="S29" s="43"/>
      <c r="T29" s="43"/>
      <c r="U29" s="43"/>
    </row>
    <row r="30" spans="1:21" s="11" customFormat="1" x14ac:dyDescent="0.25">
      <c r="A30" s="52" t="s">
        <v>296</v>
      </c>
      <c r="B30" s="53">
        <v>175.54</v>
      </c>
      <c r="C30" s="5" t="s">
        <v>14</v>
      </c>
      <c r="D30" s="53">
        <v>112.05</v>
      </c>
      <c r="E30" s="53">
        <v>7.47</v>
      </c>
      <c r="F30" s="53">
        <v>3.28</v>
      </c>
      <c r="G30" s="53">
        <v>233.55</v>
      </c>
      <c r="H30" s="53">
        <v>76.75</v>
      </c>
      <c r="I30" s="53">
        <v>0.1</v>
      </c>
      <c r="J30" s="53">
        <v>0.5</v>
      </c>
      <c r="K30" s="53">
        <v>330.88</v>
      </c>
      <c r="L30" s="53">
        <v>15.09</v>
      </c>
      <c r="M30" s="53">
        <v>82.46</v>
      </c>
      <c r="N30" s="53">
        <v>32.799999999999997</v>
      </c>
      <c r="O30" s="53">
        <v>0</v>
      </c>
      <c r="P30" s="53">
        <v>3.22</v>
      </c>
      <c r="Q30" s="53">
        <v>9.93</v>
      </c>
      <c r="R30" s="43"/>
      <c r="S30" s="43"/>
      <c r="T30" s="43"/>
      <c r="U30" s="43"/>
    </row>
    <row r="31" spans="1:21" s="11" customFormat="1" x14ac:dyDescent="0.25">
      <c r="A31" s="52" t="s">
        <v>297</v>
      </c>
      <c r="B31" s="53">
        <v>185.21</v>
      </c>
      <c r="C31" s="5" t="s">
        <v>14</v>
      </c>
      <c r="D31" s="53">
        <v>117.37</v>
      </c>
      <c r="E31" s="53">
        <v>7.74</v>
      </c>
      <c r="F31" s="53">
        <v>3.16</v>
      </c>
      <c r="G31" s="53">
        <v>255.44</v>
      </c>
      <c r="H31" s="53">
        <v>96.25</v>
      </c>
      <c r="I31" s="53">
        <v>0.1</v>
      </c>
      <c r="J31" s="53">
        <v>0.71</v>
      </c>
      <c r="K31" s="53">
        <v>316.64999999999998</v>
      </c>
      <c r="L31" s="53">
        <v>14.39</v>
      </c>
      <c r="M31" s="53">
        <v>80.39</v>
      </c>
      <c r="N31" s="53">
        <v>32.700000000000003</v>
      </c>
      <c r="O31" s="53">
        <v>0</v>
      </c>
      <c r="P31" s="53">
        <v>3.62</v>
      </c>
      <c r="Q31" s="53">
        <v>9.9700000000000006</v>
      </c>
      <c r="R31" s="43"/>
      <c r="S31" s="43"/>
      <c r="T31" s="43"/>
      <c r="U31" s="43"/>
    </row>
    <row r="32" spans="1:21" s="11" customFormat="1" x14ac:dyDescent="0.25">
      <c r="A32" s="52" t="s">
        <v>298</v>
      </c>
      <c r="B32" s="53">
        <v>183.67</v>
      </c>
      <c r="C32" s="5" t="s">
        <v>14</v>
      </c>
      <c r="D32" s="53">
        <v>116.33</v>
      </c>
      <c r="E32" s="53">
        <v>7.91</v>
      </c>
      <c r="F32" s="53">
        <v>3.66</v>
      </c>
      <c r="G32" s="53">
        <v>191.67</v>
      </c>
      <c r="H32" s="53">
        <v>85.57</v>
      </c>
      <c r="I32" s="53">
        <v>0.1</v>
      </c>
      <c r="J32" s="53">
        <v>0.76</v>
      </c>
      <c r="K32" s="53">
        <v>317.54000000000002</v>
      </c>
      <c r="L32" s="53">
        <v>13.85</v>
      </c>
      <c r="M32" s="53">
        <v>77.209999999999994</v>
      </c>
      <c r="N32" s="53">
        <v>32.799999999999997</v>
      </c>
      <c r="O32" s="53">
        <v>0</v>
      </c>
      <c r="P32" s="53">
        <v>3.63</v>
      </c>
      <c r="Q32" s="53">
        <v>9.9700000000000006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11.08</v>
      </c>
      <c r="C34" s="28">
        <f t="shared" si="0"/>
        <v>1.72</v>
      </c>
      <c r="D34" s="28">
        <f t="shared" si="0"/>
        <v>23</v>
      </c>
      <c r="E34" s="28">
        <f t="shared" si="0"/>
        <v>4.97</v>
      </c>
      <c r="F34" s="28">
        <f t="shared" si="0"/>
        <v>2.66</v>
      </c>
      <c r="G34" s="28">
        <f t="shared" si="0"/>
        <v>21.4</v>
      </c>
      <c r="H34" s="28">
        <f t="shared" si="0"/>
        <v>14.03</v>
      </c>
      <c r="I34" s="28">
        <f t="shared" si="0"/>
        <v>0.1</v>
      </c>
      <c r="J34" s="28">
        <f t="shared" si="0"/>
        <v>0.5</v>
      </c>
      <c r="K34" s="28">
        <f t="shared" si="0"/>
        <v>127.68</v>
      </c>
      <c r="L34" s="28">
        <f t="shared" si="0"/>
        <v>10.44</v>
      </c>
      <c r="M34" s="28">
        <f t="shared" si="0"/>
        <v>16.239999999999998</v>
      </c>
      <c r="N34" s="28">
        <f t="shared" si="0"/>
        <v>32.4</v>
      </c>
      <c r="O34" s="28">
        <f t="shared" si="0"/>
        <v>0</v>
      </c>
      <c r="P34" s="28">
        <f t="shared" si="0"/>
        <v>0.9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185.21</v>
      </c>
      <c r="C35" s="29">
        <f t="shared" si="1"/>
        <v>36.06</v>
      </c>
      <c r="D35" s="29">
        <f t="shared" si="1"/>
        <v>117.37</v>
      </c>
      <c r="E35" s="29">
        <f t="shared" si="1"/>
        <v>17.53</v>
      </c>
      <c r="F35" s="29">
        <f t="shared" si="1"/>
        <v>13.57</v>
      </c>
      <c r="G35" s="29">
        <f t="shared" si="1"/>
        <v>255.44</v>
      </c>
      <c r="H35" s="29">
        <f t="shared" si="1"/>
        <v>97.92</v>
      </c>
      <c r="I35" s="29">
        <f t="shared" si="1"/>
        <v>0.1</v>
      </c>
      <c r="J35" s="29">
        <f t="shared" si="1"/>
        <v>2.0099999999999998</v>
      </c>
      <c r="K35" s="29">
        <f t="shared" si="1"/>
        <v>352.96</v>
      </c>
      <c r="L35" s="29">
        <f t="shared" si="1"/>
        <v>27.28</v>
      </c>
      <c r="M35" s="29">
        <f t="shared" si="1"/>
        <v>98.83</v>
      </c>
      <c r="N35" s="29">
        <f t="shared" si="1"/>
        <v>572.70000000000005</v>
      </c>
      <c r="O35" s="29">
        <f t="shared" si="1"/>
        <v>0</v>
      </c>
      <c r="P35" s="29">
        <f t="shared" si="1"/>
        <v>4.41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85.497916666666683</v>
      </c>
      <c r="C36" s="28">
        <f t="shared" si="2"/>
        <v>20.260833333333334</v>
      </c>
      <c r="D36" s="28">
        <f t="shared" si="2"/>
        <v>62.320833333333347</v>
      </c>
      <c r="E36" s="28">
        <f t="shared" si="2"/>
        <v>7.1579166666666678</v>
      </c>
      <c r="F36" s="28">
        <f t="shared" si="2"/>
        <v>4.5270833333333327</v>
      </c>
      <c r="G36" s="28">
        <f t="shared" si="2"/>
        <v>134.23624999999998</v>
      </c>
      <c r="H36" s="28">
        <f t="shared" si="2"/>
        <v>54.706666666666671</v>
      </c>
      <c r="I36" s="28">
        <f t="shared" si="2"/>
        <v>0.10000000000000003</v>
      </c>
      <c r="J36" s="28">
        <f t="shared" si="2"/>
        <v>0.93875000000000008</v>
      </c>
      <c r="K36" s="28">
        <f t="shared" si="2"/>
        <v>281.56541666666664</v>
      </c>
      <c r="L36" s="28">
        <f t="shared" si="2"/>
        <v>18.046666666666667</v>
      </c>
      <c r="M36" s="28">
        <f t="shared" si="2"/>
        <v>62.843750000000021</v>
      </c>
      <c r="N36" s="28">
        <f t="shared" si="2"/>
        <v>168.43333333333334</v>
      </c>
      <c r="O36" s="28">
        <f t="shared" si="2"/>
        <v>0</v>
      </c>
      <c r="P36" s="28">
        <f t="shared" si="2"/>
        <v>2.2799999999999998</v>
      </c>
      <c r="Q36" s="28">
        <f t="shared" si="2"/>
        <v>9.7775000000000016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58.87424157947148</v>
      </c>
      <c r="C37" s="28">
        <f t="shared" ref="C37:Q37" si="3">STDEV(C9:C32)</f>
        <v>10.43770129546412</v>
      </c>
      <c r="D37" s="28">
        <f t="shared" si="3"/>
        <v>31.197496822197348</v>
      </c>
      <c r="E37" s="28">
        <f t="shared" si="3"/>
        <v>2.9041858533872218</v>
      </c>
      <c r="F37" s="28">
        <f t="shared" si="3"/>
        <v>2.9049545071146641</v>
      </c>
      <c r="G37" s="28">
        <f t="shared" si="3"/>
        <v>71.043827796190627</v>
      </c>
      <c r="H37" s="28">
        <f t="shared" si="3"/>
        <v>26.570954175510927</v>
      </c>
      <c r="I37" s="28">
        <f t="shared" si="3"/>
        <v>2.8352538009326866E-17</v>
      </c>
      <c r="J37" s="28">
        <f t="shared" si="3"/>
        <v>0.41585232014972928</v>
      </c>
      <c r="K37" s="28">
        <f t="shared" si="3"/>
        <v>72.942736741207725</v>
      </c>
      <c r="L37" s="28">
        <f t="shared" si="3"/>
        <v>5.8182685805454479</v>
      </c>
      <c r="M37" s="28">
        <f t="shared" si="3"/>
        <v>29.189314425495375</v>
      </c>
      <c r="N37" s="28">
        <f t="shared" si="3"/>
        <v>207.10802194416132</v>
      </c>
      <c r="O37" s="28">
        <f t="shared" si="3"/>
        <v>0</v>
      </c>
      <c r="P37" s="28">
        <f t="shared" si="3"/>
        <v>0.99216934038499693</v>
      </c>
      <c r="Q37" s="28">
        <f t="shared" si="3"/>
        <v>0.1109739491561165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299</v>
      </c>
      <c r="B9" s="53">
        <v>165.57</v>
      </c>
      <c r="C9" s="5" t="s">
        <v>14</v>
      </c>
      <c r="D9" s="53">
        <v>104.78</v>
      </c>
      <c r="E9" s="53">
        <v>6.44</v>
      </c>
      <c r="F9" s="53">
        <v>3.28</v>
      </c>
      <c r="G9" s="53">
        <v>112.72</v>
      </c>
      <c r="H9" s="53">
        <v>65.569999999999993</v>
      </c>
      <c r="I9" s="53">
        <v>0.1</v>
      </c>
      <c r="J9" s="53">
        <v>0.73</v>
      </c>
      <c r="K9" s="53">
        <v>309.02</v>
      </c>
      <c r="L9" s="53">
        <v>13.31</v>
      </c>
      <c r="M9" s="53">
        <v>75.819999999999993</v>
      </c>
      <c r="N9" s="53">
        <v>32.9</v>
      </c>
      <c r="O9" s="53">
        <v>0</v>
      </c>
      <c r="P9" s="53">
        <v>3.27</v>
      </c>
      <c r="Q9" s="53">
        <v>9.93</v>
      </c>
      <c r="R9" s="43"/>
      <c r="S9" s="43"/>
      <c r="T9" s="43"/>
      <c r="U9" s="43"/>
    </row>
    <row r="10" spans="1:21" s="11" customFormat="1" x14ac:dyDescent="0.25">
      <c r="A10" s="52" t="s">
        <v>300</v>
      </c>
      <c r="B10" s="53">
        <v>136.69</v>
      </c>
      <c r="C10" s="5" t="s">
        <v>14</v>
      </c>
      <c r="D10" s="53">
        <v>88.47</v>
      </c>
      <c r="E10" s="53">
        <v>5.72</v>
      </c>
      <c r="F10" s="53">
        <v>3.1</v>
      </c>
      <c r="G10" s="53">
        <v>100.36</v>
      </c>
      <c r="H10" s="53">
        <v>45.82</v>
      </c>
      <c r="I10" s="53">
        <v>0.1</v>
      </c>
      <c r="J10" s="53">
        <v>0.73</v>
      </c>
      <c r="K10" s="53">
        <v>197.74</v>
      </c>
      <c r="L10" s="53">
        <v>12.52</v>
      </c>
      <c r="M10" s="53">
        <v>87.91</v>
      </c>
      <c r="N10" s="53">
        <v>32.9</v>
      </c>
      <c r="O10" s="53">
        <v>0</v>
      </c>
      <c r="P10" s="53">
        <v>2.56</v>
      </c>
      <c r="Q10" s="53">
        <v>9.8699999999999992</v>
      </c>
      <c r="R10" s="43"/>
      <c r="S10" s="43"/>
      <c r="T10" s="43"/>
      <c r="U10" s="43"/>
    </row>
    <row r="11" spans="1:21" s="11" customFormat="1" x14ac:dyDescent="0.25">
      <c r="A11" s="52" t="s">
        <v>301</v>
      </c>
      <c r="B11" s="53">
        <v>109.06</v>
      </c>
      <c r="C11" s="5" t="s">
        <v>14</v>
      </c>
      <c r="D11" s="53">
        <v>73.19</v>
      </c>
      <c r="E11" s="53">
        <v>5.44</v>
      </c>
      <c r="F11" s="53">
        <v>3.26</v>
      </c>
      <c r="G11" s="53">
        <v>76.099999999999994</v>
      </c>
      <c r="H11" s="53">
        <v>42.73</v>
      </c>
      <c r="I11" s="53">
        <v>0.1</v>
      </c>
      <c r="J11" s="53">
        <v>0.62</v>
      </c>
      <c r="K11" s="53">
        <v>321.83999999999997</v>
      </c>
      <c r="L11" s="53">
        <v>12.23</v>
      </c>
      <c r="M11" s="53">
        <v>100.75</v>
      </c>
      <c r="N11" s="53">
        <v>32.700000000000003</v>
      </c>
      <c r="O11" s="53">
        <v>0</v>
      </c>
      <c r="P11" s="53">
        <v>2.31</v>
      </c>
      <c r="Q11" s="53">
        <v>9.81</v>
      </c>
      <c r="R11" s="43"/>
      <c r="S11" s="43"/>
      <c r="T11" s="43"/>
      <c r="U11" s="43"/>
    </row>
    <row r="12" spans="1:21" s="11" customFormat="1" x14ac:dyDescent="0.25">
      <c r="A12" s="52" t="s">
        <v>302</v>
      </c>
      <c r="B12" s="53">
        <v>89.14</v>
      </c>
      <c r="C12" s="5" t="s">
        <v>14</v>
      </c>
      <c r="D12" s="53">
        <v>62.68</v>
      </c>
      <c r="E12" s="53">
        <v>5.49</v>
      </c>
      <c r="F12" s="53">
        <v>3.27</v>
      </c>
      <c r="G12" s="53">
        <v>103.76</v>
      </c>
      <c r="H12" s="53">
        <v>41.24</v>
      </c>
      <c r="I12" s="53">
        <v>0.1</v>
      </c>
      <c r="J12" s="53">
        <v>0.68</v>
      </c>
      <c r="K12" s="53">
        <v>355.22</v>
      </c>
      <c r="L12" s="53">
        <v>12.38</v>
      </c>
      <c r="M12" s="53">
        <v>101.31</v>
      </c>
      <c r="N12" s="53">
        <v>32.9</v>
      </c>
      <c r="O12" s="53">
        <v>0</v>
      </c>
      <c r="P12" s="53">
        <v>2.19</v>
      </c>
      <c r="Q12" s="53">
        <v>9.7899999999999991</v>
      </c>
      <c r="R12" s="43"/>
      <c r="S12" s="43"/>
      <c r="T12" s="43"/>
      <c r="U12" s="43"/>
    </row>
    <row r="13" spans="1:21" s="11" customFormat="1" x14ac:dyDescent="0.25">
      <c r="A13" s="52" t="s">
        <v>303</v>
      </c>
      <c r="B13" s="53">
        <v>77.41</v>
      </c>
      <c r="C13" s="5" t="s">
        <v>14</v>
      </c>
      <c r="D13" s="53">
        <v>56.24</v>
      </c>
      <c r="E13" s="53">
        <v>5.61</v>
      </c>
      <c r="F13" s="53">
        <v>3.2</v>
      </c>
      <c r="G13" s="53">
        <v>115.95</v>
      </c>
      <c r="H13" s="53">
        <v>49.21</v>
      </c>
      <c r="I13" s="53">
        <v>0.1</v>
      </c>
      <c r="J13" s="53">
        <v>0.62</v>
      </c>
      <c r="K13" s="53">
        <v>292.38</v>
      </c>
      <c r="L13" s="53">
        <v>11.82</v>
      </c>
      <c r="M13" s="53">
        <v>99.29</v>
      </c>
      <c r="N13" s="53">
        <v>32.700000000000003</v>
      </c>
      <c r="O13" s="53">
        <v>0</v>
      </c>
      <c r="P13" s="53">
        <v>2.0499999999999998</v>
      </c>
      <c r="Q13" s="53">
        <v>9.76</v>
      </c>
      <c r="R13" s="43"/>
      <c r="S13" s="43"/>
      <c r="T13" s="43"/>
      <c r="U13" s="43"/>
    </row>
    <row r="14" spans="1:21" s="11" customFormat="1" x14ac:dyDescent="0.25">
      <c r="A14" s="52" t="s">
        <v>304</v>
      </c>
      <c r="B14" s="53">
        <v>77.069999999999993</v>
      </c>
      <c r="C14" s="5" t="s">
        <v>14</v>
      </c>
      <c r="D14" s="53">
        <v>55.63</v>
      </c>
      <c r="E14" s="53">
        <v>5.1100000000000003</v>
      </c>
      <c r="F14" s="53">
        <v>3.1</v>
      </c>
      <c r="G14" s="53">
        <v>136.77000000000001</v>
      </c>
      <c r="H14" s="53">
        <v>57.25</v>
      </c>
      <c r="I14" s="53">
        <v>0.1</v>
      </c>
      <c r="J14" s="53">
        <v>0.73</v>
      </c>
      <c r="K14" s="53">
        <v>287.32</v>
      </c>
      <c r="L14" s="53">
        <v>11.36</v>
      </c>
      <c r="M14" s="53">
        <v>101.53</v>
      </c>
      <c r="N14" s="53">
        <v>32.9</v>
      </c>
      <c r="O14" s="53">
        <v>0</v>
      </c>
      <c r="P14" s="53">
        <v>1.91</v>
      </c>
      <c r="Q14" s="53">
        <v>9.75</v>
      </c>
      <c r="R14" s="43"/>
      <c r="S14" s="43"/>
      <c r="T14" s="43"/>
      <c r="U14" s="43"/>
    </row>
    <row r="15" spans="1:21" s="11" customFormat="1" x14ac:dyDescent="0.25">
      <c r="A15" s="52" t="s">
        <v>305</v>
      </c>
      <c r="B15" s="53">
        <v>73.72</v>
      </c>
      <c r="C15" s="5" t="s">
        <v>14</v>
      </c>
      <c r="D15" s="53">
        <v>53.57</v>
      </c>
      <c r="E15" s="53">
        <v>5.07</v>
      </c>
      <c r="F15" s="53">
        <v>3.12</v>
      </c>
      <c r="G15" s="53">
        <v>103.42</v>
      </c>
      <c r="H15" s="53">
        <v>45.91</v>
      </c>
      <c r="I15" s="53">
        <v>0.1</v>
      </c>
      <c r="J15" s="53">
        <v>0.77</v>
      </c>
      <c r="K15" s="53">
        <v>311.86</v>
      </c>
      <c r="L15" s="53">
        <v>10.99</v>
      </c>
      <c r="M15" s="53">
        <v>102.61</v>
      </c>
      <c r="N15" s="53">
        <v>51.3</v>
      </c>
      <c r="O15" s="53">
        <v>0</v>
      </c>
      <c r="P15" s="53">
        <v>1.72</v>
      </c>
      <c r="Q15" s="53">
        <v>9.76</v>
      </c>
      <c r="R15" s="43"/>
      <c r="S15" s="43"/>
      <c r="T15" s="43"/>
      <c r="U15" s="43"/>
    </row>
    <row r="16" spans="1:21" s="11" customFormat="1" x14ac:dyDescent="0.25">
      <c r="A16" s="52" t="s">
        <v>306</v>
      </c>
      <c r="B16" s="53">
        <v>70.31</v>
      </c>
      <c r="C16" s="5" t="s">
        <v>14</v>
      </c>
      <c r="D16" s="53">
        <v>52.26</v>
      </c>
      <c r="E16" s="53">
        <v>5.55</v>
      </c>
      <c r="F16" s="53">
        <v>3.03</v>
      </c>
      <c r="G16" s="53">
        <v>98.77</v>
      </c>
      <c r="H16" s="53">
        <v>41.05</v>
      </c>
      <c r="I16" s="53">
        <v>0.1</v>
      </c>
      <c r="J16" s="53">
        <v>0.7</v>
      </c>
      <c r="K16" s="53">
        <v>332.39</v>
      </c>
      <c r="L16" s="53">
        <v>14.31</v>
      </c>
      <c r="M16" s="53">
        <v>102.4</v>
      </c>
      <c r="N16" s="53">
        <v>226.9</v>
      </c>
      <c r="O16" s="53">
        <v>0</v>
      </c>
      <c r="P16" s="53">
        <v>1.75</v>
      </c>
      <c r="Q16" s="53">
        <v>9.75</v>
      </c>
      <c r="R16" s="43"/>
      <c r="S16" s="43"/>
      <c r="T16" s="43"/>
      <c r="U16" s="43"/>
    </row>
    <row r="17" spans="1:21" s="11" customFormat="1" x14ac:dyDescent="0.25">
      <c r="A17" s="52" t="s">
        <v>307</v>
      </c>
      <c r="B17" s="53">
        <v>56.63</v>
      </c>
      <c r="C17" s="53">
        <v>4.59</v>
      </c>
      <c r="D17" s="53">
        <v>45.29</v>
      </c>
      <c r="E17" s="53">
        <v>5.97</v>
      </c>
      <c r="F17" s="53">
        <v>3.17</v>
      </c>
      <c r="G17" s="53">
        <v>74.66</v>
      </c>
      <c r="H17" s="53">
        <v>32.47</v>
      </c>
      <c r="I17" s="53">
        <v>0.1</v>
      </c>
      <c r="J17" s="53">
        <v>1.06</v>
      </c>
      <c r="K17" s="53">
        <v>132.47</v>
      </c>
      <c r="L17" s="53">
        <v>19.73</v>
      </c>
      <c r="M17" s="53">
        <v>75.64</v>
      </c>
      <c r="N17" s="53">
        <v>364.4</v>
      </c>
      <c r="O17" s="53">
        <v>0</v>
      </c>
      <c r="P17" s="53">
        <v>1.61</v>
      </c>
      <c r="Q17" s="53">
        <v>9.7200000000000006</v>
      </c>
      <c r="R17" s="43"/>
      <c r="S17" s="43"/>
      <c r="T17" s="43"/>
      <c r="U17" s="43"/>
    </row>
    <row r="18" spans="1:21" s="11" customFormat="1" x14ac:dyDescent="0.25">
      <c r="A18" s="52" t="s">
        <v>308</v>
      </c>
      <c r="B18" s="53">
        <v>48.46</v>
      </c>
      <c r="C18" s="53">
        <v>12.9</v>
      </c>
      <c r="D18" s="53">
        <v>41.63</v>
      </c>
      <c r="E18" s="53">
        <v>5.74</v>
      </c>
      <c r="F18" s="53">
        <v>3.16</v>
      </c>
      <c r="G18" s="53">
        <v>90.21</v>
      </c>
      <c r="H18" s="53">
        <v>37.909999999999997</v>
      </c>
      <c r="I18" s="53">
        <v>0.1</v>
      </c>
      <c r="J18" s="53">
        <v>1.19</v>
      </c>
      <c r="K18" s="53">
        <v>336.81</v>
      </c>
      <c r="L18" s="53">
        <v>25.59</v>
      </c>
      <c r="M18" s="53">
        <v>49.45</v>
      </c>
      <c r="N18" s="53">
        <v>461.1</v>
      </c>
      <c r="O18" s="53">
        <v>0</v>
      </c>
      <c r="P18" s="53">
        <v>1.44</v>
      </c>
      <c r="Q18" s="53">
        <v>9.7100000000000009</v>
      </c>
      <c r="R18" s="43"/>
      <c r="S18" s="43"/>
      <c r="T18" s="43"/>
      <c r="U18" s="43"/>
    </row>
    <row r="19" spans="1:21" s="11" customFormat="1" x14ac:dyDescent="0.25">
      <c r="A19" s="52" t="s">
        <v>309</v>
      </c>
      <c r="B19" s="53">
        <v>40.68</v>
      </c>
      <c r="C19" s="53">
        <v>19.57</v>
      </c>
      <c r="D19" s="53">
        <v>39.76</v>
      </c>
      <c r="E19" s="53">
        <v>5.7</v>
      </c>
      <c r="F19" s="53">
        <v>2.99</v>
      </c>
      <c r="G19" s="53">
        <v>112.53</v>
      </c>
      <c r="H19" s="53">
        <v>42.24</v>
      </c>
      <c r="I19" s="53">
        <v>0.1</v>
      </c>
      <c r="J19" s="53">
        <v>1.25</v>
      </c>
      <c r="K19" s="53">
        <v>142.01</v>
      </c>
      <c r="L19" s="53">
        <v>24.55</v>
      </c>
      <c r="M19" s="53">
        <v>33.74</v>
      </c>
      <c r="N19" s="53">
        <v>501.1</v>
      </c>
      <c r="O19" s="53">
        <v>0</v>
      </c>
      <c r="P19" s="53">
        <v>1.45</v>
      </c>
      <c r="Q19" s="53">
        <v>9.69</v>
      </c>
      <c r="R19" s="43"/>
      <c r="S19" s="43"/>
      <c r="T19" s="43"/>
      <c r="U19" s="43"/>
    </row>
    <row r="20" spans="1:21" s="11" customFormat="1" x14ac:dyDescent="0.25">
      <c r="A20" s="52" t="s">
        <v>310</v>
      </c>
      <c r="B20" s="53">
        <v>31.49</v>
      </c>
      <c r="C20" s="53">
        <v>22.87</v>
      </c>
      <c r="D20" s="53">
        <v>35.51</v>
      </c>
      <c r="E20" s="53">
        <v>6.89</v>
      </c>
      <c r="F20" s="53">
        <v>3.75</v>
      </c>
      <c r="G20" s="53">
        <v>74.42</v>
      </c>
      <c r="H20" s="53">
        <v>37.869999999999997</v>
      </c>
      <c r="I20" s="53">
        <v>0.1</v>
      </c>
      <c r="J20" s="53">
        <v>2.12</v>
      </c>
      <c r="K20" s="53">
        <v>348.55</v>
      </c>
      <c r="L20" s="53">
        <v>26.14</v>
      </c>
      <c r="M20" s="53">
        <v>30.89</v>
      </c>
      <c r="N20" s="53">
        <v>536</v>
      </c>
      <c r="O20" s="53">
        <v>0</v>
      </c>
      <c r="P20" s="53">
        <v>1.36</v>
      </c>
      <c r="Q20" s="53">
        <v>9.68</v>
      </c>
      <c r="R20" s="43"/>
      <c r="S20" s="43"/>
      <c r="T20" s="43"/>
      <c r="U20" s="43"/>
    </row>
    <row r="21" spans="1:21" s="11" customFormat="1" x14ac:dyDescent="0.25">
      <c r="A21" s="52" t="s">
        <v>311</v>
      </c>
      <c r="B21" s="53">
        <v>24.43</v>
      </c>
      <c r="C21" s="53">
        <v>28.08</v>
      </c>
      <c r="D21" s="53">
        <v>32.090000000000003</v>
      </c>
      <c r="E21" s="53">
        <v>11.1</v>
      </c>
      <c r="F21" s="53">
        <v>4.75</v>
      </c>
      <c r="G21" s="53">
        <v>42.5</v>
      </c>
      <c r="H21" s="53">
        <v>24.86</v>
      </c>
      <c r="I21" s="53">
        <v>0.1</v>
      </c>
      <c r="J21" s="53">
        <v>1.17</v>
      </c>
      <c r="K21" s="53">
        <v>339.26</v>
      </c>
      <c r="L21" s="53">
        <v>29.08</v>
      </c>
      <c r="M21" s="53">
        <v>23.15</v>
      </c>
      <c r="N21" s="53">
        <v>501.6</v>
      </c>
      <c r="O21" s="53">
        <v>0</v>
      </c>
      <c r="P21" s="53">
        <v>1.29</v>
      </c>
      <c r="Q21" s="53">
        <v>9.66</v>
      </c>
      <c r="R21" s="43"/>
      <c r="S21" s="43"/>
      <c r="T21" s="43"/>
      <c r="U21" s="43"/>
    </row>
    <row r="22" spans="1:21" s="11" customFormat="1" x14ac:dyDescent="0.25">
      <c r="A22" s="52" t="s">
        <v>312</v>
      </c>
      <c r="B22" s="53">
        <v>20.92</v>
      </c>
      <c r="C22" s="53">
        <v>30.31</v>
      </c>
      <c r="D22" s="53">
        <v>30.31</v>
      </c>
      <c r="E22" s="53">
        <v>14.92</v>
      </c>
      <c r="F22" s="53">
        <v>7.8</v>
      </c>
      <c r="G22" s="53">
        <v>56.83</v>
      </c>
      <c r="H22" s="53">
        <v>22.24</v>
      </c>
      <c r="I22" s="53">
        <v>0.1</v>
      </c>
      <c r="J22" s="53">
        <v>1.3</v>
      </c>
      <c r="K22" s="53">
        <v>339.33</v>
      </c>
      <c r="L22" s="53">
        <v>28.56</v>
      </c>
      <c r="M22" s="53">
        <v>23.98</v>
      </c>
      <c r="N22" s="53">
        <v>452.9</v>
      </c>
      <c r="O22" s="53">
        <v>0</v>
      </c>
      <c r="P22" s="53">
        <v>1.1599999999999999</v>
      </c>
      <c r="Q22" s="53">
        <v>9.66</v>
      </c>
      <c r="R22" s="43"/>
      <c r="S22" s="43"/>
      <c r="T22" s="43"/>
      <c r="U22" s="43"/>
    </row>
    <row r="23" spans="1:21" s="11" customFormat="1" x14ac:dyDescent="0.25">
      <c r="A23" s="52" t="s">
        <v>313</v>
      </c>
      <c r="B23" s="53">
        <v>13.71</v>
      </c>
      <c r="C23" s="53">
        <v>35.11</v>
      </c>
      <c r="D23" s="53">
        <v>28.88</v>
      </c>
      <c r="E23" s="53">
        <v>19.559999999999999</v>
      </c>
      <c r="F23" s="53">
        <v>9.6</v>
      </c>
      <c r="G23" s="53">
        <v>63.33</v>
      </c>
      <c r="H23" s="53">
        <v>21.35</v>
      </c>
      <c r="I23" s="53">
        <v>0.1</v>
      </c>
      <c r="J23" s="53">
        <v>0.74</v>
      </c>
      <c r="K23" s="53">
        <v>336.93</v>
      </c>
      <c r="L23" s="53">
        <v>25.86</v>
      </c>
      <c r="M23" s="53">
        <v>25.44</v>
      </c>
      <c r="N23" s="53">
        <v>151.80000000000001</v>
      </c>
      <c r="O23" s="53">
        <v>0</v>
      </c>
      <c r="P23" s="53">
        <v>1.04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314</v>
      </c>
      <c r="B24" s="53">
        <v>11.12</v>
      </c>
      <c r="C24" s="53">
        <v>34.229999999999997</v>
      </c>
      <c r="D24" s="53">
        <v>26.34</v>
      </c>
      <c r="E24" s="53">
        <v>43</v>
      </c>
      <c r="F24" s="53">
        <v>19.23</v>
      </c>
      <c r="G24" s="53">
        <v>61.22</v>
      </c>
      <c r="H24" s="53">
        <v>23.45</v>
      </c>
      <c r="I24" s="53">
        <v>0.1</v>
      </c>
      <c r="J24" s="53">
        <v>1.1399999999999999</v>
      </c>
      <c r="K24" s="53">
        <v>131.1</v>
      </c>
      <c r="L24" s="53">
        <v>24.91</v>
      </c>
      <c r="M24" s="53">
        <v>27.39</v>
      </c>
      <c r="N24" s="53">
        <v>84.1</v>
      </c>
      <c r="O24" s="53">
        <v>0</v>
      </c>
      <c r="P24" s="53">
        <v>0.97</v>
      </c>
      <c r="Q24" s="53">
        <v>9.65</v>
      </c>
      <c r="R24" s="43"/>
      <c r="S24" s="43"/>
      <c r="T24" s="43"/>
      <c r="U24" s="43"/>
    </row>
    <row r="25" spans="1:21" s="11" customFormat="1" x14ac:dyDescent="0.25">
      <c r="A25" s="52" t="s">
        <v>315</v>
      </c>
      <c r="B25" s="53">
        <v>19.11</v>
      </c>
      <c r="C25" s="53">
        <v>45.47</v>
      </c>
      <c r="D25" s="53">
        <v>37.6</v>
      </c>
      <c r="E25" s="53">
        <v>43.2</v>
      </c>
      <c r="F25" s="53">
        <v>13.46</v>
      </c>
      <c r="G25" s="53">
        <v>70.78</v>
      </c>
      <c r="H25" s="53">
        <v>26.22</v>
      </c>
      <c r="I25" s="53">
        <v>0.1</v>
      </c>
      <c r="J25" s="53">
        <v>0.95</v>
      </c>
      <c r="K25" s="53">
        <v>349.24</v>
      </c>
      <c r="L25" s="53">
        <v>23.75</v>
      </c>
      <c r="M25" s="53">
        <v>40.82</v>
      </c>
      <c r="N25" s="53">
        <v>60.1</v>
      </c>
      <c r="O25" s="53">
        <v>0</v>
      </c>
      <c r="P25" s="53">
        <v>1.4</v>
      </c>
      <c r="Q25" s="53">
        <v>9.65</v>
      </c>
      <c r="R25" s="43"/>
      <c r="S25" s="43"/>
      <c r="T25" s="43"/>
      <c r="U25" s="43"/>
    </row>
    <row r="26" spans="1:21" s="11" customFormat="1" x14ac:dyDescent="0.25">
      <c r="A26" s="52" t="s">
        <v>316</v>
      </c>
      <c r="B26" s="53">
        <v>18.190000000000001</v>
      </c>
      <c r="C26" s="53">
        <v>39.49</v>
      </c>
      <c r="D26" s="53">
        <v>33.93</v>
      </c>
      <c r="E26" s="53">
        <v>14.8</v>
      </c>
      <c r="F26" s="53">
        <v>4.87</v>
      </c>
      <c r="G26" s="53">
        <v>91.32</v>
      </c>
      <c r="H26" s="53">
        <v>30.55</v>
      </c>
      <c r="I26" s="53">
        <v>0.1</v>
      </c>
      <c r="J26" s="53">
        <v>0.62</v>
      </c>
      <c r="K26" s="53">
        <v>344.91</v>
      </c>
      <c r="L26" s="53">
        <v>21.42</v>
      </c>
      <c r="M26" s="53">
        <v>50.23</v>
      </c>
      <c r="N26" s="53">
        <v>36.1</v>
      </c>
      <c r="O26" s="53">
        <v>0</v>
      </c>
      <c r="P26" s="53">
        <v>1.37</v>
      </c>
      <c r="Q26" s="53">
        <v>9.65</v>
      </c>
      <c r="R26" s="43"/>
      <c r="S26" s="43"/>
      <c r="T26" s="43"/>
      <c r="U26" s="43"/>
    </row>
    <row r="27" spans="1:21" s="11" customFormat="1" x14ac:dyDescent="0.25">
      <c r="A27" s="52" t="s">
        <v>317</v>
      </c>
      <c r="B27" s="53">
        <v>32.76</v>
      </c>
      <c r="C27" s="53">
        <v>28.49</v>
      </c>
      <c r="D27" s="53">
        <v>38.81</v>
      </c>
      <c r="E27" s="53">
        <v>5.92</v>
      </c>
      <c r="F27" s="53">
        <v>2.96</v>
      </c>
      <c r="G27" s="53">
        <v>118.26</v>
      </c>
      <c r="H27" s="53">
        <v>38.89</v>
      </c>
      <c r="I27" s="53">
        <v>0.1</v>
      </c>
      <c r="J27" s="53">
        <v>0.67</v>
      </c>
      <c r="K27" s="53">
        <v>147.76</v>
      </c>
      <c r="L27" s="53">
        <v>18.29</v>
      </c>
      <c r="M27" s="53">
        <v>57.67</v>
      </c>
      <c r="N27" s="53">
        <v>33</v>
      </c>
      <c r="O27" s="53">
        <v>0</v>
      </c>
      <c r="P27" s="53">
        <v>1.6</v>
      </c>
      <c r="Q27" s="53">
        <v>9.68</v>
      </c>
      <c r="R27" s="43"/>
      <c r="S27" s="43"/>
      <c r="T27" s="43"/>
      <c r="U27" s="43"/>
    </row>
    <row r="28" spans="1:21" s="11" customFormat="1" x14ac:dyDescent="0.25">
      <c r="A28" s="52" t="s">
        <v>318</v>
      </c>
      <c r="B28" s="53">
        <v>51.46</v>
      </c>
      <c r="C28" s="53">
        <v>22.24</v>
      </c>
      <c r="D28" s="53">
        <v>48.43</v>
      </c>
      <c r="E28" s="53">
        <v>5.84</v>
      </c>
      <c r="F28" s="53">
        <v>2.94</v>
      </c>
      <c r="G28" s="53">
        <v>148.29</v>
      </c>
      <c r="H28" s="53">
        <v>48.19</v>
      </c>
      <c r="I28" s="53">
        <v>0.1</v>
      </c>
      <c r="J28" s="53">
        <v>0.81</v>
      </c>
      <c r="K28" s="53">
        <v>271.57</v>
      </c>
      <c r="L28" s="53">
        <v>17.43</v>
      </c>
      <c r="M28" s="53">
        <v>64.790000000000006</v>
      </c>
      <c r="N28" s="53">
        <v>32.9</v>
      </c>
      <c r="O28" s="53">
        <v>0</v>
      </c>
      <c r="P28" s="53">
        <v>2.04</v>
      </c>
      <c r="Q28" s="53">
        <v>9.7100000000000009</v>
      </c>
      <c r="R28" s="43"/>
      <c r="S28" s="43"/>
      <c r="T28" s="43"/>
      <c r="U28" s="43"/>
    </row>
    <row r="29" spans="1:21" s="11" customFormat="1" x14ac:dyDescent="0.25">
      <c r="A29" s="52" t="s">
        <v>319</v>
      </c>
      <c r="B29" s="53">
        <v>79.180000000000007</v>
      </c>
      <c r="C29" s="53">
        <v>11.58</v>
      </c>
      <c r="D29" s="53">
        <v>63.02</v>
      </c>
      <c r="E29" s="53">
        <v>6.39</v>
      </c>
      <c r="F29" s="53">
        <v>3.12</v>
      </c>
      <c r="G29" s="53">
        <v>181.6</v>
      </c>
      <c r="H29" s="53">
        <v>61.91</v>
      </c>
      <c r="I29" s="53">
        <v>0.1</v>
      </c>
      <c r="J29" s="53">
        <v>0.79</v>
      </c>
      <c r="K29" s="53">
        <v>316.35000000000002</v>
      </c>
      <c r="L29" s="53">
        <v>16.350000000000001</v>
      </c>
      <c r="M29" s="53">
        <v>72.599999999999994</v>
      </c>
      <c r="N29" s="53">
        <v>32.9</v>
      </c>
      <c r="O29" s="53">
        <v>0</v>
      </c>
      <c r="P29" s="53">
        <v>2.67</v>
      </c>
      <c r="Q29" s="53">
        <v>9.76</v>
      </c>
      <c r="R29" s="43"/>
      <c r="S29" s="43"/>
      <c r="T29" s="43"/>
      <c r="U29" s="43"/>
    </row>
    <row r="30" spans="1:21" s="11" customFormat="1" x14ac:dyDescent="0.25">
      <c r="A30" s="52" t="s">
        <v>320</v>
      </c>
      <c r="B30" s="53">
        <v>120.83</v>
      </c>
      <c r="C30" s="5" t="s">
        <v>14</v>
      </c>
      <c r="D30" s="53">
        <v>84.39</v>
      </c>
      <c r="E30" s="53">
        <v>6.56</v>
      </c>
      <c r="F30" s="53">
        <v>3.41</v>
      </c>
      <c r="G30" s="53">
        <v>210.84</v>
      </c>
      <c r="H30" s="53">
        <v>74.569999999999993</v>
      </c>
      <c r="I30" s="53">
        <v>0.1</v>
      </c>
      <c r="J30" s="53">
        <v>0.7</v>
      </c>
      <c r="K30" s="53">
        <v>330.66</v>
      </c>
      <c r="L30" s="53">
        <v>15.54</v>
      </c>
      <c r="M30" s="53">
        <v>84.98</v>
      </c>
      <c r="N30" s="53">
        <v>32.9</v>
      </c>
      <c r="O30" s="53">
        <v>0</v>
      </c>
      <c r="P30" s="53">
        <v>3.22</v>
      </c>
      <c r="Q30" s="53">
        <v>9.85</v>
      </c>
      <c r="R30" s="43"/>
      <c r="S30" s="43"/>
      <c r="T30" s="43"/>
      <c r="U30" s="43"/>
    </row>
    <row r="31" spans="1:21" s="11" customFormat="1" x14ac:dyDescent="0.25">
      <c r="A31" s="52" t="s">
        <v>321</v>
      </c>
      <c r="B31" s="53">
        <v>155.32</v>
      </c>
      <c r="C31" s="5" t="s">
        <v>14</v>
      </c>
      <c r="D31" s="53">
        <v>102.04</v>
      </c>
      <c r="E31" s="53">
        <v>7.29</v>
      </c>
      <c r="F31" s="53">
        <v>3.47</v>
      </c>
      <c r="G31" s="53">
        <v>247.58</v>
      </c>
      <c r="H31" s="53">
        <v>84.6</v>
      </c>
      <c r="I31" s="53">
        <v>0.1</v>
      </c>
      <c r="J31" s="53">
        <v>0.8</v>
      </c>
      <c r="K31" s="53">
        <v>356.44</v>
      </c>
      <c r="L31" s="53">
        <v>15.26</v>
      </c>
      <c r="M31" s="53">
        <v>90.33</v>
      </c>
      <c r="N31" s="53">
        <v>32.9</v>
      </c>
      <c r="O31" s="53">
        <v>0</v>
      </c>
      <c r="P31" s="53">
        <v>3.73</v>
      </c>
      <c r="Q31" s="53">
        <v>9.91</v>
      </c>
      <c r="R31" s="43"/>
      <c r="S31" s="43"/>
      <c r="T31" s="43"/>
      <c r="U31" s="43"/>
    </row>
    <row r="32" spans="1:21" s="11" customFormat="1" x14ac:dyDescent="0.25">
      <c r="A32" s="52" t="s">
        <v>322</v>
      </c>
      <c r="B32" s="53">
        <v>174.76</v>
      </c>
      <c r="C32" s="5" t="s">
        <v>14</v>
      </c>
      <c r="D32" s="53">
        <v>111.45</v>
      </c>
      <c r="E32" s="53">
        <v>7.24</v>
      </c>
      <c r="F32" s="53">
        <v>3.38</v>
      </c>
      <c r="G32" s="53">
        <v>253.93</v>
      </c>
      <c r="H32" s="53">
        <v>91.73</v>
      </c>
      <c r="I32" s="53">
        <v>0.1</v>
      </c>
      <c r="J32" s="53">
        <v>0.78</v>
      </c>
      <c r="K32" s="53">
        <v>307.44</v>
      </c>
      <c r="L32" s="53">
        <v>14.35</v>
      </c>
      <c r="M32" s="53">
        <v>103.15</v>
      </c>
      <c r="N32" s="53">
        <v>32.9</v>
      </c>
      <c r="O32" s="53">
        <v>0</v>
      </c>
      <c r="P32" s="53">
        <v>4.0999999999999996</v>
      </c>
      <c r="Q32" s="53">
        <v>9.94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11.12</v>
      </c>
      <c r="C34" s="28">
        <f t="shared" si="0"/>
        <v>4.59</v>
      </c>
      <c r="D34" s="28">
        <f t="shared" si="0"/>
        <v>26.34</v>
      </c>
      <c r="E34" s="28">
        <f t="shared" si="0"/>
        <v>5.07</v>
      </c>
      <c r="F34" s="28">
        <f t="shared" si="0"/>
        <v>2.94</v>
      </c>
      <c r="G34" s="28">
        <f t="shared" si="0"/>
        <v>42.5</v>
      </c>
      <c r="H34" s="28">
        <f t="shared" si="0"/>
        <v>21.35</v>
      </c>
      <c r="I34" s="28">
        <f t="shared" si="0"/>
        <v>0.1</v>
      </c>
      <c r="J34" s="28">
        <f t="shared" si="0"/>
        <v>0.62</v>
      </c>
      <c r="K34" s="28">
        <f t="shared" si="0"/>
        <v>131.1</v>
      </c>
      <c r="L34" s="28">
        <f t="shared" si="0"/>
        <v>10.99</v>
      </c>
      <c r="M34" s="28">
        <f t="shared" si="0"/>
        <v>23.15</v>
      </c>
      <c r="N34" s="28">
        <f t="shared" si="0"/>
        <v>32.700000000000003</v>
      </c>
      <c r="O34" s="28">
        <f t="shared" si="0"/>
        <v>0</v>
      </c>
      <c r="P34" s="28">
        <f t="shared" si="0"/>
        <v>0.97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174.76</v>
      </c>
      <c r="C35" s="29">
        <f t="shared" si="1"/>
        <v>45.47</v>
      </c>
      <c r="D35" s="29">
        <f t="shared" si="1"/>
        <v>111.45</v>
      </c>
      <c r="E35" s="29">
        <f t="shared" si="1"/>
        <v>43.2</v>
      </c>
      <c r="F35" s="29">
        <f t="shared" si="1"/>
        <v>19.23</v>
      </c>
      <c r="G35" s="29">
        <f t="shared" si="1"/>
        <v>253.93</v>
      </c>
      <c r="H35" s="29">
        <f t="shared" si="1"/>
        <v>91.73</v>
      </c>
      <c r="I35" s="29">
        <f t="shared" si="1"/>
        <v>0.1</v>
      </c>
      <c r="J35" s="29">
        <f t="shared" si="1"/>
        <v>2.12</v>
      </c>
      <c r="K35" s="29">
        <f t="shared" si="1"/>
        <v>356.44</v>
      </c>
      <c r="L35" s="29">
        <f t="shared" si="1"/>
        <v>29.08</v>
      </c>
      <c r="M35" s="29">
        <f t="shared" si="1"/>
        <v>103.15</v>
      </c>
      <c r="N35" s="29">
        <f t="shared" si="1"/>
        <v>536</v>
      </c>
      <c r="O35" s="29">
        <f t="shared" si="1"/>
        <v>0</v>
      </c>
      <c r="P35" s="29">
        <f t="shared" si="1"/>
        <v>4.0999999999999996</v>
      </c>
      <c r="Q35" s="29">
        <f t="shared" si="1"/>
        <v>9.94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70.750833333333318</v>
      </c>
      <c r="C36" s="28">
        <f t="shared" si="2"/>
        <v>25.763846153846153</v>
      </c>
      <c r="D36" s="28">
        <f t="shared" si="2"/>
        <v>56.095833333333339</v>
      </c>
      <c r="E36" s="28">
        <f t="shared" si="2"/>
        <v>10.606249999999999</v>
      </c>
      <c r="F36" s="28">
        <f t="shared" si="2"/>
        <v>4.8925000000000001</v>
      </c>
      <c r="G36" s="28">
        <f t="shared" si="2"/>
        <v>114.42291666666665</v>
      </c>
      <c r="H36" s="28">
        <f t="shared" si="2"/>
        <v>45.326249999999995</v>
      </c>
      <c r="I36" s="28">
        <f t="shared" si="2"/>
        <v>0.10000000000000003</v>
      </c>
      <c r="J36" s="28">
        <f t="shared" si="2"/>
        <v>0.9029166666666667</v>
      </c>
      <c r="K36" s="28">
        <f t="shared" si="2"/>
        <v>289.10833333333329</v>
      </c>
      <c r="L36" s="28">
        <f t="shared" si="2"/>
        <v>18.572083333333339</v>
      </c>
      <c r="M36" s="28">
        <f t="shared" si="2"/>
        <v>67.744583333333338</v>
      </c>
      <c r="N36" s="28">
        <f t="shared" si="2"/>
        <v>159.24583333333337</v>
      </c>
      <c r="O36" s="28">
        <f t="shared" si="2"/>
        <v>0</v>
      </c>
      <c r="P36" s="28">
        <f t="shared" si="2"/>
        <v>2.0087499999999996</v>
      </c>
      <c r="Q36" s="28">
        <f t="shared" si="2"/>
        <v>9.7491666666666674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50.048472670668659</v>
      </c>
      <c r="C37" s="28">
        <f t="shared" ref="C37:Q37" si="3">STDEV(C9:C32)</f>
        <v>11.70248373812267</v>
      </c>
      <c r="D37" s="28">
        <f t="shared" si="3"/>
        <v>25.429809436388123</v>
      </c>
      <c r="E37" s="28">
        <f t="shared" si="3"/>
        <v>10.668964259456734</v>
      </c>
      <c r="F37" s="28">
        <f t="shared" si="3"/>
        <v>3.9644663547898693</v>
      </c>
      <c r="G37" s="28">
        <f t="shared" si="3"/>
        <v>57.086917063534322</v>
      </c>
      <c r="H37" s="28">
        <f t="shared" si="3"/>
        <v>19.063989685199452</v>
      </c>
      <c r="I37" s="28">
        <f t="shared" si="3"/>
        <v>2.8352538009326866E-17</v>
      </c>
      <c r="J37" s="28">
        <f t="shared" si="3"/>
        <v>0.33645826883384267</v>
      </c>
      <c r="K37" s="28">
        <f t="shared" si="3"/>
        <v>76.675386712661791</v>
      </c>
      <c r="L37" s="28">
        <f t="shared" si="3"/>
        <v>6.0520574864123882</v>
      </c>
      <c r="M37" s="28">
        <f t="shared" si="3"/>
        <v>30.000725350530612</v>
      </c>
      <c r="N37" s="28">
        <f t="shared" si="3"/>
        <v>190.42434759189035</v>
      </c>
      <c r="O37" s="28">
        <f t="shared" si="3"/>
        <v>0</v>
      </c>
      <c r="P37" s="28">
        <f t="shared" si="3"/>
        <v>0.85559698202610246</v>
      </c>
      <c r="Q37" s="28">
        <f t="shared" si="3"/>
        <v>9.3199956459528097E-2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347</v>
      </c>
      <c r="B9" s="53">
        <v>173.99</v>
      </c>
      <c r="C9" s="5" t="s">
        <v>14</v>
      </c>
      <c r="D9" s="53">
        <v>110.49</v>
      </c>
      <c r="E9" s="53">
        <v>7.53</v>
      </c>
      <c r="F9" s="53">
        <v>3.22</v>
      </c>
      <c r="G9" s="53">
        <v>232.46</v>
      </c>
      <c r="H9" s="53">
        <v>94.88</v>
      </c>
      <c r="I9" s="53">
        <v>0.1</v>
      </c>
      <c r="J9" s="53">
        <v>0.81</v>
      </c>
      <c r="K9" s="53">
        <v>316.05</v>
      </c>
      <c r="L9" s="53">
        <v>13.74</v>
      </c>
      <c r="M9" s="53">
        <v>100.98</v>
      </c>
      <c r="N9" s="53">
        <v>32.9</v>
      </c>
      <c r="O9" s="53">
        <v>0</v>
      </c>
      <c r="P9" s="53">
        <v>4.09</v>
      </c>
      <c r="Q9" s="53">
        <v>9.94</v>
      </c>
      <c r="R9" s="43"/>
      <c r="S9" s="43"/>
      <c r="T9" s="43"/>
      <c r="U9" s="43"/>
    </row>
    <row r="10" spans="1:21" s="11" customFormat="1" x14ac:dyDescent="0.25">
      <c r="A10" s="52" t="s">
        <v>348</v>
      </c>
      <c r="B10" s="53">
        <v>151.12</v>
      </c>
      <c r="C10" s="5" t="s">
        <v>14</v>
      </c>
      <c r="D10" s="53">
        <v>97.76</v>
      </c>
      <c r="E10" s="53">
        <v>7.39</v>
      </c>
      <c r="F10" s="53">
        <v>3.36</v>
      </c>
      <c r="G10" s="53">
        <v>132.56</v>
      </c>
      <c r="H10" s="53">
        <v>73.069999999999993</v>
      </c>
      <c r="I10" s="53">
        <v>0.1</v>
      </c>
      <c r="J10" s="53">
        <v>0.72</v>
      </c>
      <c r="K10" s="53">
        <v>297.3</v>
      </c>
      <c r="L10" s="53">
        <v>13.6</v>
      </c>
      <c r="M10" s="53">
        <v>101.55</v>
      </c>
      <c r="N10" s="53">
        <v>32.799999999999997</v>
      </c>
      <c r="O10" s="53">
        <v>0</v>
      </c>
      <c r="P10" s="53">
        <v>3.32</v>
      </c>
      <c r="Q10" s="53">
        <v>9.92</v>
      </c>
      <c r="R10" s="43"/>
      <c r="S10" s="43"/>
      <c r="T10" s="43"/>
      <c r="U10" s="43"/>
    </row>
    <row r="11" spans="1:21" s="11" customFormat="1" x14ac:dyDescent="0.25">
      <c r="A11" s="52" t="s">
        <v>349</v>
      </c>
      <c r="B11" s="53">
        <v>129.87</v>
      </c>
      <c r="C11" s="5" t="s">
        <v>14</v>
      </c>
      <c r="D11" s="53">
        <v>85.86</v>
      </c>
      <c r="E11" s="53">
        <v>7.23</v>
      </c>
      <c r="F11" s="53">
        <v>3.54</v>
      </c>
      <c r="G11" s="53">
        <v>140.41999999999999</v>
      </c>
      <c r="H11" s="53">
        <v>67.709999999999994</v>
      </c>
      <c r="I11" s="53">
        <v>0.1</v>
      </c>
      <c r="J11" s="53">
        <v>0.76</v>
      </c>
      <c r="K11" s="53">
        <v>329.77</v>
      </c>
      <c r="L11" s="53">
        <v>13.05</v>
      </c>
      <c r="M11" s="53">
        <v>97.97</v>
      </c>
      <c r="N11" s="53">
        <v>32.9</v>
      </c>
      <c r="O11" s="53">
        <v>0</v>
      </c>
      <c r="P11" s="53">
        <v>3.18</v>
      </c>
      <c r="Q11" s="53">
        <v>9.86</v>
      </c>
      <c r="R11" s="43"/>
      <c r="S11" s="43"/>
      <c r="T11" s="43"/>
      <c r="U11" s="43"/>
    </row>
    <row r="12" spans="1:21" s="11" customFormat="1" x14ac:dyDescent="0.25">
      <c r="A12" s="52" t="s">
        <v>350</v>
      </c>
      <c r="B12" s="53">
        <v>111.91</v>
      </c>
      <c r="C12" s="5" t="s">
        <v>14</v>
      </c>
      <c r="D12" s="53">
        <v>75.510000000000005</v>
      </c>
      <c r="E12" s="53">
        <v>6.72</v>
      </c>
      <c r="F12" s="53">
        <v>3.21</v>
      </c>
      <c r="G12" s="53">
        <v>152.87</v>
      </c>
      <c r="H12" s="53">
        <v>65.34</v>
      </c>
      <c r="I12" s="53">
        <v>0.1</v>
      </c>
      <c r="J12" s="53">
        <v>0.81</v>
      </c>
      <c r="K12" s="53">
        <v>326.12</v>
      </c>
      <c r="L12" s="53">
        <v>12.32</v>
      </c>
      <c r="M12" s="53">
        <v>98</v>
      </c>
      <c r="N12" s="53">
        <v>32.9</v>
      </c>
      <c r="O12" s="53">
        <v>0</v>
      </c>
      <c r="P12" s="53">
        <v>2.78</v>
      </c>
      <c r="Q12" s="53">
        <v>9.81</v>
      </c>
      <c r="R12" s="43"/>
      <c r="S12" s="43"/>
      <c r="T12" s="43"/>
      <c r="U12" s="43"/>
    </row>
    <row r="13" spans="1:21" s="11" customFormat="1" x14ac:dyDescent="0.25">
      <c r="A13" s="52" t="s">
        <v>351</v>
      </c>
      <c r="B13" s="53">
        <v>98.32</v>
      </c>
      <c r="C13" s="5" t="s">
        <v>14</v>
      </c>
      <c r="D13" s="53">
        <v>67.989999999999995</v>
      </c>
      <c r="E13" s="53">
        <v>6.77</v>
      </c>
      <c r="F13" s="53">
        <v>3.05</v>
      </c>
      <c r="G13" s="53">
        <v>124.31</v>
      </c>
      <c r="H13" s="53">
        <v>61.13</v>
      </c>
      <c r="I13" s="53">
        <v>0.1</v>
      </c>
      <c r="J13" s="53">
        <v>0.5</v>
      </c>
      <c r="K13" s="53">
        <v>318.26</v>
      </c>
      <c r="L13" s="53">
        <v>12</v>
      </c>
      <c r="M13" s="53">
        <v>98.03</v>
      </c>
      <c r="N13" s="53">
        <v>32.9</v>
      </c>
      <c r="O13" s="53">
        <v>0</v>
      </c>
      <c r="P13" s="53">
        <v>2.5</v>
      </c>
      <c r="Q13" s="53">
        <v>9.8000000000000007</v>
      </c>
      <c r="R13" s="43"/>
      <c r="S13" s="43"/>
      <c r="T13" s="43"/>
      <c r="U13" s="43"/>
    </row>
    <row r="14" spans="1:21" s="11" customFormat="1" x14ac:dyDescent="0.25">
      <c r="A14" s="52" t="s">
        <v>352</v>
      </c>
      <c r="B14" s="53">
        <v>98.63</v>
      </c>
      <c r="C14" s="5" t="s">
        <v>14</v>
      </c>
      <c r="D14" s="53">
        <v>67.760000000000005</v>
      </c>
      <c r="E14" s="53">
        <v>6.7</v>
      </c>
      <c r="F14" s="53">
        <v>3.33</v>
      </c>
      <c r="G14" s="53">
        <v>132.4</v>
      </c>
      <c r="H14" s="53">
        <v>59.4</v>
      </c>
      <c r="I14" s="53">
        <v>0.1</v>
      </c>
      <c r="J14" s="53">
        <v>0.82</v>
      </c>
      <c r="K14" s="53">
        <v>305.51</v>
      </c>
      <c r="L14" s="53">
        <v>11.72</v>
      </c>
      <c r="M14" s="53">
        <v>98.08</v>
      </c>
      <c r="N14" s="53">
        <v>32.9</v>
      </c>
      <c r="O14" s="53">
        <v>0</v>
      </c>
      <c r="P14" s="53">
        <v>2.39</v>
      </c>
      <c r="Q14" s="53">
        <v>9.81</v>
      </c>
      <c r="R14" s="43"/>
      <c r="S14" s="43"/>
      <c r="T14" s="43"/>
      <c r="U14" s="43"/>
    </row>
    <row r="15" spans="1:21" s="11" customFormat="1" x14ac:dyDescent="0.25">
      <c r="A15" s="52" t="s">
        <v>353</v>
      </c>
      <c r="B15" s="53">
        <v>106.69</v>
      </c>
      <c r="C15" s="5" t="s">
        <v>14</v>
      </c>
      <c r="D15" s="53">
        <v>71.52</v>
      </c>
      <c r="E15" s="53">
        <v>6.82</v>
      </c>
      <c r="F15" s="53">
        <v>3.34</v>
      </c>
      <c r="G15" s="53">
        <v>150.37</v>
      </c>
      <c r="H15" s="53">
        <v>59.39</v>
      </c>
      <c r="I15" s="53">
        <v>0.1</v>
      </c>
      <c r="J15" s="53">
        <v>0.79</v>
      </c>
      <c r="K15" s="53">
        <v>338.22</v>
      </c>
      <c r="L15" s="53">
        <v>11.66</v>
      </c>
      <c r="M15" s="53">
        <v>98</v>
      </c>
      <c r="N15" s="53">
        <v>51.3</v>
      </c>
      <c r="O15" s="53">
        <v>0</v>
      </c>
      <c r="P15" s="53">
        <v>2.29</v>
      </c>
      <c r="Q15" s="53">
        <v>9.82</v>
      </c>
      <c r="R15" s="43"/>
      <c r="S15" s="43"/>
      <c r="T15" s="43"/>
      <c r="U15" s="43"/>
    </row>
    <row r="16" spans="1:21" s="11" customFormat="1" x14ac:dyDescent="0.25">
      <c r="A16" s="52" t="s">
        <v>354</v>
      </c>
      <c r="B16" s="53">
        <v>112.34</v>
      </c>
      <c r="C16" s="5" t="s">
        <v>14</v>
      </c>
      <c r="D16" s="53">
        <v>74.5</v>
      </c>
      <c r="E16" s="53">
        <v>6.82</v>
      </c>
      <c r="F16" s="53">
        <v>3.44</v>
      </c>
      <c r="G16" s="53">
        <v>162.97999999999999</v>
      </c>
      <c r="H16" s="53">
        <v>65.73</v>
      </c>
      <c r="I16" s="53">
        <v>0.1</v>
      </c>
      <c r="J16" s="53">
        <v>0.95</v>
      </c>
      <c r="K16" s="53">
        <v>347.24</v>
      </c>
      <c r="L16" s="53">
        <v>17.14</v>
      </c>
      <c r="M16" s="53">
        <v>97.97</v>
      </c>
      <c r="N16" s="53">
        <v>188.6</v>
      </c>
      <c r="O16" s="53">
        <v>0</v>
      </c>
      <c r="P16" s="53">
        <v>2.4700000000000002</v>
      </c>
      <c r="Q16" s="53">
        <v>9.82</v>
      </c>
      <c r="R16" s="43"/>
      <c r="S16" s="43"/>
      <c r="T16" s="43"/>
      <c r="U16" s="43"/>
    </row>
    <row r="17" spans="1:21" s="11" customFormat="1" x14ac:dyDescent="0.25">
      <c r="A17" s="52" t="s">
        <v>355</v>
      </c>
      <c r="B17" s="53">
        <v>110.28</v>
      </c>
      <c r="C17" s="5" t="s">
        <v>14</v>
      </c>
      <c r="D17" s="53">
        <v>74.09</v>
      </c>
      <c r="E17" s="53">
        <v>6.34</v>
      </c>
      <c r="F17" s="53">
        <v>3.47</v>
      </c>
      <c r="G17" s="53">
        <v>214.52</v>
      </c>
      <c r="H17" s="53">
        <v>76.709999999999994</v>
      </c>
      <c r="I17" s="53">
        <v>0.1</v>
      </c>
      <c r="J17" s="53">
        <v>1.37</v>
      </c>
      <c r="K17" s="53">
        <v>343.49</v>
      </c>
      <c r="L17" s="53">
        <v>23.05</v>
      </c>
      <c r="M17" s="53">
        <v>64.38</v>
      </c>
      <c r="N17" s="53">
        <v>300.7</v>
      </c>
      <c r="O17" s="53">
        <v>0</v>
      </c>
      <c r="P17" s="53">
        <v>2.69</v>
      </c>
      <c r="Q17" s="53">
        <v>9.81</v>
      </c>
      <c r="R17" s="43"/>
      <c r="S17" s="43"/>
      <c r="T17" s="43"/>
      <c r="U17" s="43"/>
    </row>
    <row r="18" spans="1:21" s="11" customFormat="1" x14ac:dyDescent="0.25">
      <c r="A18" s="52" t="s">
        <v>356</v>
      </c>
      <c r="B18" s="53">
        <v>96.14</v>
      </c>
      <c r="C18" s="53">
        <v>0.33</v>
      </c>
      <c r="D18" s="53">
        <v>69.13</v>
      </c>
      <c r="E18" s="53">
        <v>6.42</v>
      </c>
      <c r="F18" s="53">
        <v>3.43</v>
      </c>
      <c r="G18" s="53">
        <v>336.04</v>
      </c>
      <c r="H18" s="53">
        <v>94.4</v>
      </c>
      <c r="I18" s="53">
        <v>0.1</v>
      </c>
      <c r="J18" s="53">
        <v>1.42</v>
      </c>
      <c r="K18" s="53">
        <v>344.06</v>
      </c>
      <c r="L18" s="53">
        <v>26.65</v>
      </c>
      <c r="M18" s="53">
        <v>35.46</v>
      </c>
      <c r="N18" s="53">
        <v>437.6</v>
      </c>
      <c r="O18" s="53">
        <v>0</v>
      </c>
      <c r="P18" s="53">
        <v>2.7</v>
      </c>
      <c r="Q18" s="53">
        <v>9.8000000000000007</v>
      </c>
      <c r="R18" s="43"/>
      <c r="S18" s="43"/>
      <c r="T18" s="43"/>
      <c r="U18" s="43"/>
    </row>
    <row r="19" spans="1:21" s="11" customFormat="1" x14ac:dyDescent="0.25">
      <c r="A19" s="52" t="s">
        <v>357</v>
      </c>
      <c r="B19" s="53">
        <v>79.2</v>
      </c>
      <c r="C19" s="53">
        <v>3.3</v>
      </c>
      <c r="D19" s="53">
        <v>61.59</v>
      </c>
      <c r="E19" s="53">
        <v>7.05</v>
      </c>
      <c r="F19" s="53">
        <v>4.4800000000000004</v>
      </c>
      <c r="G19" s="53">
        <v>112.45</v>
      </c>
      <c r="H19" s="53">
        <v>63.63</v>
      </c>
      <c r="I19" s="53">
        <v>0.1</v>
      </c>
      <c r="J19" s="53">
        <v>1.3</v>
      </c>
      <c r="K19" s="53">
        <v>347.35</v>
      </c>
      <c r="L19" s="53">
        <v>27.75</v>
      </c>
      <c r="M19" s="53">
        <v>31.59</v>
      </c>
      <c r="N19" s="53">
        <v>519.5</v>
      </c>
      <c r="O19" s="53">
        <v>0</v>
      </c>
      <c r="P19" s="53">
        <v>2.5499999999999998</v>
      </c>
      <c r="Q19" s="53">
        <v>9.7799999999999994</v>
      </c>
      <c r="R19" s="43"/>
      <c r="S19" s="43"/>
      <c r="T19" s="43"/>
      <c r="U19" s="43"/>
    </row>
    <row r="20" spans="1:21" s="11" customFormat="1" x14ac:dyDescent="0.25">
      <c r="A20" s="52" t="s">
        <v>358</v>
      </c>
      <c r="B20" s="53">
        <v>66.52</v>
      </c>
      <c r="C20" s="53">
        <v>8.5299999999999994</v>
      </c>
      <c r="D20" s="53">
        <v>54.97</v>
      </c>
      <c r="E20" s="53">
        <v>6.34</v>
      </c>
      <c r="F20" s="53">
        <v>3.4</v>
      </c>
      <c r="G20" s="53">
        <v>72.36</v>
      </c>
      <c r="H20" s="53">
        <v>44.66</v>
      </c>
      <c r="I20" s="53">
        <v>0.1</v>
      </c>
      <c r="J20" s="53">
        <v>1.79</v>
      </c>
      <c r="K20" s="53">
        <v>130.28</v>
      </c>
      <c r="L20" s="53">
        <v>26.78</v>
      </c>
      <c r="M20" s="53">
        <v>31.88</v>
      </c>
      <c r="N20" s="53">
        <v>531.70000000000005</v>
      </c>
      <c r="O20" s="53">
        <v>0</v>
      </c>
      <c r="P20" s="53">
        <v>2.25</v>
      </c>
      <c r="Q20" s="53">
        <v>9.74</v>
      </c>
      <c r="R20" s="43"/>
      <c r="S20" s="43"/>
      <c r="T20" s="43"/>
      <c r="U20" s="43"/>
    </row>
    <row r="21" spans="1:21" s="11" customFormat="1" x14ac:dyDescent="0.25">
      <c r="A21" s="52" t="s">
        <v>359</v>
      </c>
      <c r="B21" s="53">
        <v>51.89</v>
      </c>
      <c r="C21" s="53">
        <v>16.170000000000002</v>
      </c>
      <c r="D21" s="53">
        <v>46.65</v>
      </c>
      <c r="E21" s="53">
        <v>6.8</v>
      </c>
      <c r="F21" s="53">
        <v>4.24</v>
      </c>
      <c r="G21" s="53">
        <v>47.43</v>
      </c>
      <c r="H21" s="53">
        <v>26.31</v>
      </c>
      <c r="I21" s="53">
        <v>0.1</v>
      </c>
      <c r="J21" s="53">
        <v>1.65</v>
      </c>
      <c r="K21" s="53">
        <v>346.64</v>
      </c>
      <c r="L21" s="53">
        <v>27.97</v>
      </c>
      <c r="M21" s="53">
        <v>24.58</v>
      </c>
      <c r="N21" s="53">
        <v>510.2</v>
      </c>
      <c r="O21" s="53">
        <v>0</v>
      </c>
      <c r="P21" s="53">
        <v>1.86</v>
      </c>
      <c r="Q21" s="53">
        <v>9.7100000000000009</v>
      </c>
      <c r="R21" s="43"/>
      <c r="S21" s="43"/>
      <c r="T21" s="43"/>
      <c r="U21" s="43"/>
    </row>
    <row r="22" spans="1:21" s="11" customFormat="1" x14ac:dyDescent="0.25">
      <c r="A22" s="52" t="s">
        <v>360</v>
      </c>
      <c r="B22" s="53">
        <v>37.58</v>
      </c>
      <c r="C22" s="53">
        <v>26.21</v>
      </c>
      <c r="D22" s="53">
        <v>39.47</v>
      </c>
      <c r="E22" s="53">
        <v>22.79</v>
      </c>
      <c r="F22" s="53">
        <v>8.9499999999999993</v>
      </c>
      <c r="G22" s="53">
        <v>43.92</v>
      </c>
      <c r="H22" s="53">
        <v>18.100000000000001</v>
      </c>
      <c r="I22" s="53">
        <v>0.1</v>
      </c>
      <c r="J22" s="53">
        <v>0.84</v>
      </c>
      <c r="K22" s="53">
        <v>342.19</v>
      </c>
      <c r="L22" s="53">
        <v>27.08</v>
      </c>
      <c r="M22" s="53">
        <v>26.76</v>
      </c>
      <c r="N22" s="53">
        <v>409.6</v>
      </c>
      <c r="O22" s="53">
        <v>0</v>
      </c>
      <c r="P22" s="53">
        <v>1.6</v>
      </c>
      <c r="Q22" s="53">
        <v>9.69</v>
      </c>
      <c r="R22" s="43"/>
      <c r="S22" s="43"/>
      <c r="T22" s="43"/>
      <c r="U22" s="43"/>
    </row>
    <row r="23" spans="1:21" s="11" customFormat="1" x14ac:dyDescent="0.25">
      <c r="A23" s="52" t="s">
        <v>361</v>
      </c>
      <c r="B23" s="53">
        <v>30.37</v>
      </c>
      <c r="C23" s="53">
        <v>28.09</v>
      </c>
      <c r="D23" s="53">
        <v>37.29</v>
      </c>
      <c r="E23" s="53">
        <v>22.58</v>
      </c>
      <c r="F23" s="53">
        <v>6.64</v>
      </c>
      <c r="G23" s="53">
        <v>54.74</v>
      </c>
      <c r="H23" s="53">
        <v>24.22</v>
      </c>
      <c r="I23" s="53">
        <v>0.1</v>
      </c>
      <c r="J23" s="53">
        <v>1.87</v>
      </c>
      <c r="K23" s="53">
        <v>339.25</v>
      </c>
      <c r="L23" s="53">
        <v>26.31</v>
      </c>
      <c r="M23" s="53">
        <v>26.59</v>
      </c>
      <c r="N23" s="53">
        <v>147.9</v>
      </c>
      <c r="O23" s="53">
        <v>0</v>
      </c>
      <c r="P23" s="53">
        <v>1.52</v>
      </c>
      <c r="Q23" s="53">
        <v>9.69</v>
      </c>
      <c r="R23" s="43"/>
      <c r="S23" s="43"/>
      <c r="T23" s="43"/>
      <c r="U23" s="43"/>
    </row>
    <row r="24" spans="1:21" s="11" customFormat="1" x14ac:dyDescent="0.25">
      <c r="A24" s="52" t="s">
        <v>362</v>
      </c>
      <c r="B24" s="53">
        <v>22.57</v>
      </c>
      <c r="C24" s="53">
        <v>33.549999999999997</v>
      </c>
      <c r="D24" s="53">
        <v>33.57</v>
      </c>
      <c r="E24" s="53">
        <v>7.43</v>
      </c>
      <c r="F24" s="53">
        <v>7.3</v>
      </c>
      <c r="G24" s="53">
        <v>57.93</v>
      </c>
      <c r="H24" s="53">
        <v>21.92</v>
      </c>
      <c r="I24" s="53">
        <v>0.1</v>
      </c>
      <c r="J24" s="53">
        <v>1.74</v>
      </c>
      <c r="K24" s="53">
        <v>348.13</v>
      </c>
      <c r="L24" s="53">
        <v>25.42</v>
      </c>
      <c r="M24" s="53">
        <v>25.63</v>
      </c>
      <c r="N24" s="53">
        <v>87.2</v>
      </c>
      <c r="O24" s="53">
        <v>0</v>
      </c>
      <c r="P24" s="53">
        <v>1.38</v>
      </c>
      <c r="Q24" s="53">
        <v>9.65</v>
      </c>
      <c r="R24" s="43"/>
      <c r="S24" s="43"/>
      <c r="T24" s="43"/>
      <c r="U24" s="43"/>
    </row>
    <row r="25" spans="1:21" s="11" customFormat="1" x14ac:dyDescent="0.25">
      <c r="A25" s="52" t="s">
        <v>363</v>
      </c>
      <c r="B25" s="53">
        <v>17.559999999999999</v>
      </c>
      <c r="C25" s="53">
        <v>42.78</v>
      </c>
      <c r="D25" s="53">
        <v>35.1</v>
      </c>
      <c r="E25" s="53">
        <v>12.33</v>
      </c>
      <c r="F25" s="53">
        <v>8.09</v>
      </c>
      <c r="G25" s="53">
        <v>51.74</v>
      </c>
      <c r="H25" s="53">
        <v>18.55</v>
      </c>
      <c r="I25" s="53">
        <v>0.1</v>
      </c>
      <c r="J25" s="53">
        <v>1.28</v>
      </c>
      <c r="K25" s="53">
        <v>350.26</v>
      </c>
      <c r="L25" s="53">
        <v>24.28</v>
      </c>
      <c r="M25" s="53">
        <v>32.659999999999997</v>
      </c>
      <c r="N25" s="53">
        <v>60.8</v>
      </c>
      <c r="O25" s="53">
        <v>0</v>
      </c>
      <c r="P25" s="53">
        <v>1.36</v>
      </c>
      <c r="Q25" s="53">
        <v>9.64</v>
      </c>
      <c r="R25" s="43"/>
      <c r="S25" s="43"/>
      <c r="T25" s="43"/>
      <c r="U25" s="43"/>
    </row>
    <row r="26" spans="1:21" s="11" customFormat="1" x14ac:dyDescent="0.25">
      <c r="A26" s="52" t="s">
        <v>364</v>
      </c>
      <c r="B26" s="53">
        <v>34.31</v>
      </c>
      <c r="C26" s="53">
        <v>49.34</v>
      </c>
      <c r="D26" s="53">
        <v>43.22</v>
      </c>
      <c r="E26" s="53">
        <v>11.3</v>
      </c>
      <c r="F26" s="53">
        <v>5.64</v>
      </c>
      <c r="G26" s="53">
        <v>63.69</v>
      </c>
      <c r="H26" s="53">
        <v>19.309999999999999</v>
      </c>
      <c r="I26" s="53">
        <v>0.1</v>
      </c>
      <c r="J26" s="53">
        <v>0.6</v>
      </c>
      <c r="K26" s="53">
        <v>342.23</v>
      </c>
      <c r="L26" s="53">
        <v>21.85</v>
      </c>
      <c r="M26" s="53">
        <v>50.96</v>
      </c>
      <c r="N26" s="53">
        <v>36.9</v>
      </c>
      <c r="O26" s="53">
        <v>0</v>
      </c>
      <c r="P26" s="53">
        <v>1.71</v>
      </c>
      <c r="Q26" s="53">
        <v>9.68</v>
      </c>
      <c r="R26" s="43"/>
      <c r="S26" s="43"/>
      <c r="T26" s="43"/>
      <c r="U26" s="43"/>
    </row>
    <row r="27" spans="1:21" s="11" customFormat="1" x14ac:dyDescent="0.25">
      <c r="A27" s="52" t="s">
        <v>365</v>
      </c>
      <c r="B27" s="53">
        <v>33.04</v>
      </c>
      <c r="C27" s="53">
        <v>29.98</v>
      </c>
      <c r="D27" s="53">
        <v>39.72</v>
      </c>
      <c r="E27" s="53">
        <v>7.07</v>
      </c>
      <c r="F27" s="53">
        <v>3.29</v>
      </c>
      <c r="G27" s="53">
        <v>90.54</v>
      </c>
      <c r="H27" s="53">
        <v>29.53</v>
      </c>
      <c r="I27" s="53">
        <v>0.1</v>
      </c>
      <c r="J27" s="53">
        <v>0.84</v>
      </c>
      <c r="K27" s="53">
        <v>128.99</v>
      </c>
      <c r="L27" s="53">
        <v>18.63</v>
      </c>
      <c r="M27" s="53">
        <v>62.63</v>
      </c>
      <c r="N27" s="53">
        <v>33.1</v>
      </c>
      <c r="O27" s="53">
        <v>0</v>
      </c>
      <c r="P27" s="53">
        <v>1.63</v>
      </c>
      <c r="Q27" s="53">
        <v>9.68</v>
      </c>
      <c r="R27" s="43"/>
      <c r="S27" s="43"/>
      <c r="T27" s="43"/>
      <c r="U27" s="43"/>
    </row>
    <row r="28" spans="1:21" s="11" customFormat="1" x14ac:dyDescent="0.25">
      <c r="A28" s="52" t="s">
        <v>366</v>
      </c>
      <c r="B28" s="53">
        <v>48.68</v>
      </c>
      <c r="C28" s="53">
        <v>23.1</v>
      </c>
      <c r="D28" s="53">
        <v>46.09</v>
      </c>
      <c r="E28" s="53">
        <v>5.85</v>
      </c>
      <c r="F28" s="53">
        <v>3.17</v>
      </c>
      <c r="G28" s="53">
        <v>122.91</v>
      </c>
      <c r="H28" s="53">
        <v>36.17</v>
      </c>
      <c r="I28" s="53">
        <v>0.1</v>
      </c>
      <c r="J28" s="53">
        <v>0.74</v>
      </c>
      <c r="K28" s="53">
        <v>356.26</v>
      </c>
      <c r="L28" s="53">
        <v>17.239999999999998</v>
      </c>
      <c r="M28" s="53">
        <v>74.3</v>
      </c>
      <c r="N28" s="53">
        <v>33.1</v>
      </c>
      <c r="O28" s="53">
        <v>0</v>
      </c>
      <c r="P28" s="53">
        <v>1.96</v>
      </c>
      <c r="Q28" s="53">
        <v>9.73</v>
      </c>
      <c r="R28" s="43"/>
      <c r="S28" s="43"/>
      <c r="T28" s="43"/>
      <c r="U28" s="43"/>
    </row>
    <row r="29" spans="1:21" s="11" customFormat="1" x14ac:dyDescent="0.25">
      <c r="A29" s="52" t="s">
        <v>367</v>
      </c>
      <c r="B29" s="53">
        <v>78.760000000000005</v>
      </c>
      <c r="C29" s="53">
        <v>10.98</v>
      </c>
      <c r="D29" s="53">
        <v>62.18</v>
      </c>
      <c r="E29" s="53">
        <v>6.26</v>
      </c>
      <c r="F29" s="53">
        <v>3</v>
      </c>
      <c r="G29" s="53">
        <v>162.69999999999999</v>
      </c>
      <c r="H29" s="53">
        <v>45.76</v>
      </c>
      <c r="I29" s="53">
        <v>0.1</v>
      </c>
      <c r="J29" s="53">
        <v>0.8</v>
      </c>
      <c r="K29" s="53">
        <v>313.94</v>
      </c>
      <c r="L29" s="53">
        <v>16.37</v>
      </c>
      <c r="M29" s="53">
        <v>79.09</v>
      </c>
      <c r="N29" s="53">
        <v>33</v>
      </c>
      <c r="O29" s="53">
        <v>0</v>
      </c>
      <c r="P29" s="53">
        <v>2.4700000000000002</v>
      </c>
      <c r="Q29" s="53">
        <v>9.75</v>
      </c>
      <c r="R29" s="43"/>
      <c r="S29" s="43"/>
      <c r="T29" s="43"/>
      <c r="U29" s="43"/>
    </row>
    <row r="30" spans="1:21" s="11" customFormat="1" x14ac:dyDescent="0.25">
      <c r="A30" s="52" t="s">
        <v>368</v>
      </c>
      <c r="B30" s="53">
        <v>109.83</v>
      </c>
      <c r="C30" s="5" t="s">
        <v>14</v>
      </c>
      <c r="D30" s="53">
        <v>78.63</v>
      </c>
      <c r="E30" s="53">
        <v>6.34</v>
      </c>
      <c r="F30" s="53">
        <v>2.87</v>
      </c>
      <c r="G30" s="53">
        <v>141.63999999999999</v>
      </c>
      <c r="H30" s="53">
        <v>43.97</v>
      </c>
      <c r="I30" s="53">
        <v>0.1</v>
      </c>
      <c r="J30" s="53">
        <v>0.76</v>
      </c>
      <c r="K30" s="53">
        <v>304.86</v>
      </c>
      <c r="L30" s="53">
        <v>15.63</v>
      </c>
      <c r="M30" s="53">
        <v>91.85</v>
      </c>
      <c r="N30" s="53">
        <v>33</v>
      </c>
      <c r="O30" s="53">
        <v>0</v>
      </c>
      <c r="P30" s="53">
        <v>3.07</v>
      </c>
      <c r="Q30" s="53">
        <v>9.83</v>
      </c>
      <c r="R30" s="43"/>
      <c r="S30" s="43"/>
      <c r="T30" s="43"/>
      <c r="U30" s="43"/>
    </row>
    <row r="31" spans="1:21" s="11" customFormat="1" x14ac:dyDescent="0.25">
      <c r="A31" s="52" t="s">
        <v>369</v>
      </c>
      <c r="B31" s="53">
        <v>145.84</v>
      </c>
      <c r="C31" s="5" t="s">
        <v>14</v>
      </c>
      <c r="D31" s="53">
        <v>97.13</v>
      </c>
      <c r="E31" s="53">
        <v>6.99</v>
      </c>
      <c r="F31" s="53">
        <v>3.31</v>
      </c>
      <c r="G31" s="53">
        <v>165.26</v>
      </c>
      <c r="H31" s="53">
        <v>50.84</v>
      </c>
      <c r="I31" s="53">
        <v>0.1</v>
      </c>
      <c r="J31" s="53">
        <v>0.8</v>
      </c>
      <c r="K31" s="53">
        <v>330.92</v>
      </c>
      <c r="L31" s="53">
        <v>14.9</v>
      </c>
      <c r="M31" s="53">
        <v>97.91</v>
      </c>
      <c r="N31" s="53">
        <v>33.200000000000003</v>
      </c>
      <c r="O31" s="53">
        <v>0</v>
      </c>
      <c r="P31" s="53">
        <v>3.5</v>
      </c>
      <c r="Q31" s="53">
        <v>9.8699999999999992</v>
      </c>
      <c r="R31" s="43"/>
      <c r="S31" s="43"/>
      <c r="T31" s="43"/>
      <c r="U31" s="43"/>
    </row>
    <row r="32" spans="1:21" s="11" customFormat="1" x14ac:dyDescent="0.25">
      <c r="A32" s="52" t="s">
        <v>370</v>
      </c>
      <c r="B32" s="53">
        <v>163.51</v>
      </c>
      <c r="C32" s="5" t="s">
        <v>14</v>
      </c>
      <c r="D32" s="53">
        <v>105.37</v>
      </c>
      <c r="E32" s="53">
        <v>7.19</v>
      </c>
      <c r="F32" s="53">
        <v>3.45</v>
      </c>
      <c r="G32" s="53">
        <v>163.77000000000001</v>
      </c>
      <c r="H32" s="53">
        <v>56.38</v>
      </c>
      <c r="I32" s="53">
        <v>0.1</v>
      </c>
      <c r="J32" s="53">
        <v>0.78</v>
      </c>
      <c r="K32" s="53">
        <v>348.87</v>
      </c>
      <c r="L32" s="53">
        <v>14.5</v>
      </c>
      <c r="M32" s="53">
        <v>97.9</v>
      </c>
      <c r="N32" s="53">
        <v>33.1</v>
      </c>
      <c r="O32" s="53">
        <v>0</v>
      </c>
      <c r="P32" s="53">
        <v>3.69</v>
      </c>
      <c r="Q32" s="53">
        <v>9.92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17.559999999999999</v>
      </c>
      <c r="C34" s="28">
        <f t="shared" si="0"/>
        <v>0.33</v>
      </c>
      <c r="D34" s="28">
        <f t="shared" si="0"/>
        <v>33.57</v>
      </c>
      <c r="E34" s="28">
        <f t="shared" si="0"/>
        <v>5.85</v>
      </c>
      <c r="F34" s="28">
        <f t="shared" si="0"/>
        <v>2.87</v>
      </c>
      <c r="G34" s="28">
        <f t="shared" si="0"/>
        <v>43.92</v>
      </c>
      <c r="H34" s="28">
        <f t="shared" si="0"/>
        <v>18.100000000000001</v>
      </c>
      <c r="I34" s="28">
        <f t="shared" si="0"/>
        <v>0.1</v>
      </c>
      <c r="J34" s="28">
        <f t="shared" si="0"/>
        <v>0.5</v>
      </c>
      <c r="K34" s="28">
        <f t="shared" si="0"/>
        <v>128.99</v>
      </c>
      <c r="L34" s="28">
        <f t="shared" si="0"/>
        <v>11.66</v>
      </c>
      <c r="M34" s="28">
        <f t="shared" si="0"/>
        <v>24.58</v>
      </c>
      <c r="N34" s="28">
        <f t="shared" si="0"/>
        <v>32.799999999999997</v>
      </c>
      <c r="O34" s="28">
        <f t="shared" si="0"/>
        <v>0</v>
      </c>
      <c r="P34" s="28">
        <f t="shared" si="0"/>
        <v>1.36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173.99</v>
      </c>
      <c r="C35" s="29">
        <f t="shared" si="1"/>
        <v>49.34</v>
      </c>
      <c r="D35" s="29">
        <f t="shared" si="1"/>
        <v>110.49</v>
      </c>
      <c r="E35" s="29">
        <f t="shared" si="1"/>
        <v>22.79</v>
      </c>
      <c r="F35" s="29">
        <f t="shared" si="1"/>
        <v>8.9499999999999993</v>
      </c>
      <c r="G35" s="29">
        <f t="shared" si="1"/>
        <v>336.04</v>
      </c>
      <c r="H35" s="29">
        <f t="shared" si="1"/>
        <v>94.88</v>
      </c>
      <c r="I35" s="29">
        <f t="shared" si="1"/>
        <v>0.1</v>
      </c>
      <c r="J35" s="29">
        <f t="shared" si="1"/>
        <v>1.87</v>
      </c>
      <c r="K35" s="29">
        <f t="shared" si="1"/>
        <v>356.26</v>
      </c>
      <c r="L35" s="29">
        <f t="shared" si="1"/>
        <v>27.97</v>
      </c>
      <c r="M35" s="29">
        <f t="shared" si="1"/>
        <v>101.55</v>
      </c>
      <c r="N35" s="29">
        <f t="shared" si="1"/>
        <v>531.70000000000005</v>
      </c>
      <c r="O35" s="29">
        <f t="shared" si="1"/>
        <v>0</v>
      </c>
      <c r="P35" s="29">
        <f t="shared" si="1"/>
        <v>4.09</v>
      </c>
      <c r="Q35" s="29">
        <f t="shared" si="1"/>
        <v>9.94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87.872916666666654</v>
      </c>
      <c r="C36" s="28">
        <f t="shared" si="2"/>
        <v>22.696666666666669</v>
      </c>
      <c r="D36" s="28">
        <f t="shared" si="2"/>
        <v>65.649583333333339</v>
      </c>
      <c r="E36" s="28">
        <f t="shared" si="2"/>
        <v>8.5441666666666674</v>
      </c>
      <c r="F36" s="28">
        <f t="shared" si="2"/>
        <v>4.2175000000000011</v>
      </c>
      <c r="G36" s="28">
        <f t="shared" si="2"/>
        <v>130.4170833333333</v>
      </c>
      <c r="H36" s="28">
        <f t="shared" si="2"/>
        <v>50.712916666666665</v>
      </c>
      <c r="I36" s="28">
        <f t="shared" si="2"/>
        <v>0.10000000000000003</v>
      </c>
      <c r="J36" s="28">
        <f t="shared" si="2"/>
        <v>1.0308333333333335</v>
      </c>
      <c r="K36" s="28">
        <f t="shared" si="2"/>
        <v>316.50791666666663</v>
      </c>
      <c r="L36" s="28">
        <f t="shared" si="2"/>
        <v>19.151666666666667</v>
      </c>
      <c r="M36" s="28">
        <f t="shared" si="2"/>
        <v>68.531250000000014</v>
      </c>
      <c r="N36" s="28">
        <f t="shared" si="2"/>
        <v>153.24166666666665</v>
      </c>
      <c r="O36" s="28">
        <f t="shared" si="2"/>
        <v>0</v>
      </c>
      <c r="P36" s="28">
        <f t="shared" si="2"/>
        <v>2.4566666666666666</v>
      </c>
      <c r="Q36" s="28">
        <f t="shared" si="2"/>
        <v>9.7812500000000018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46.360678379622989</v>
      </c>
      <c r="C37" s="28">
        <f t="shared" ref="C37:Q37" si="3">STDEV(C9:C32)</f>
        <v>15.322930133586979</v>
      </c>
      <c r="D37" s="28">
        <f t="shared" si="3"/>
        <v>22.845704472883256</v>
      </c>
      <c r="E37" s="28">
        <f t="shared" si="3"/>
        <v>4.5981394315401136</v>
      </c>
      <c r="F37" s="28">
        <f t="shared" si="3"/>
        <v>1.7458154940114439</v>
      </c>
      <c r="G37" s="28">
        <f t="shared" si="3"/>
        <v>68.111950140872949</v>
      </c>
      <c r="H37" s="28">
        <f t="shared" si="3"/>
        <v>23.030279969444905</v>
      </c>
      <c r="I37" s="28">
        <f t="shared" si="3"/>
        <v>2.8352538009326866E-17</v>
      </c>
      <c r="J37" s="28">
        <f t="shared" si="3"/>
        <v>0.40710982031523285</v>
      </c>
      <c r="K37" s="28">
        <f t="shared" si="3"/>
        <v>59.826752193978585</v>
      </c>
      <c r="L37" s="28">
        <f t="shared" si="3"/>
        <v>6.0527353979090677</v>
      </c>
      <c r="M37" s="28">
        <f t="shared" si="3"/>
        <v>31.274443561935595</v>
      </c>
      <c r="N37" s="28">
        <f t="shared" si="3"/>
        <v>184.71793989442557</v>
      </c>
      <c r="O37" s="28">
        <f t="shared" si="3"/>
        <v>0</v>
      </c>
      <c r="P37" s="28">
        <f t="shared" si="3"/>
        <v>0.75304983764091749</v>
      </c>
      <c r="Q37" s="28">
        <f t="shared" si="3"/>
        <v>8.6240941553301614E-2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371</v>
      </c>
      <c r="B9" s="53">
        <v>169.53</v>
      </c>
      <c r="C9" s="5" t="s">
        <v>14</v>
      </c>
      <c r="D9" s="53">
        <v>108.14</v>
      </c>
      <c r="E9" s="53">
        <v>6.79</v>
      </c>
      <c r="F9" s="53">
        <v>3.56</v>
      </c>
      <c r="G9" s="53">
        <v>134.18</v>
      </c>
      <c r="H9" s="53">
        <v>55.02</v>
      </c>
      <c r="I9" s="53">
        <v>0.1</v>
      </c>
      <c r="J9" s="53">
        <v>0.67</v>
      </c>
      <c r="K9" s="53">
        <v>323.95</v>
      </c>
      <c r="L9" s="53">
        <v>14.34</v>
      </c>
      <c r="M9" s="53">
        <v>97.8</v>
      </c>
      <c r="N9" s="53">
        <v>33.1</v>
      </c>
      <c r="O9" s="53">
        <v>0</v>
      </c>
      <c r="P9" s="53">
        <v>3.8</v>
      </c>
      <c r="Q9" s="53">
        <v>9.93</v>
      </c>
      <c r="R9" s="43"/>
      <c r="S9" s="43"/>
      <c r="T9" s="43"/>
      <c r="U9" s="43"/>
    </row>
    <row r="10" spans="1:21" s="11" customFormat="1" x14ac:dyDescent="0.25">
      <c r="A10" s="52" t="s">
        <v>372</v>
      </c>
      <c r="B10" s="53">
        <v>160.16</v>
      </c>
      <c r="C10" s="5" t="s">
        <v>14</v>
      </c>
      <c r="D10" s="53">
        <v>102.39</v>
      </c>
      <c r="E10" s="53">
        <v>6.7</v>
      </c>
      <c r="F10" s="53">
        <v>3.34</v>
      </c>
      <c r="G10" s="53">
        <v>107.53</v>
      </c>
      <c r="H10" s="53">
        <v>47.94</v>
      </c>
      <c r="I10" s="53">
        <v>0.1</v>
      </c>
      <c r="J10" s="53">
        <v>0.95</v>
      </c>
      <c r="K10" s="53">
        <v>300.79000000000002</v>
      </c>
      <c r="L10" s="53">
        <v>13.89</v>
      </c>
      <c r="M10" s="53">
        <v>97.9</v>
      </c>
      <c r="N10" s="53">
        <v>33.200000000000003</v>
      </c>
      <c r="O10" s="53">
        <v>0</v>
      </c>
      <c r="P10" s="53">
        <v>3.41</v>
      </c>
      <c r="Q10" s="53">
        <v>9.91</v>
      </c>
      <c r="R10" s="43"/>
      <c r="S10" s="43"/>
      <c r="T10" s="43"/>
      <c r="U10" s="43"/>
    </row>
    <row r="11" spans="1:21" s="11" customFormat="1" x14ac:dyDescent="0.25">
      <c r="A11" s="52" t="s">
        <v>373</v>
      </c>
      <c r="B11" s="53">
        <v>148.38</v>
      </c>
      <c r="C11" s="5" t="s">
        <v>14</v>
      </c>
      <c r="D11" s="53">
        <v>95.54</v>
      </c>
      <c r="E11" s="53">
        <v>6.69</v>
      </c>
      <c r="F11" s="53">
        <v>3.21</v>
      </c>
      <c r="G11" s="53">
        <v>106.67</v>
      </c>
      <c r="H11" s="53">
        <v>46.23</v>
      </c>
      <c r="I11" s="53">
        <v>0.1</v>
      </c>
      <c r="J11" s="53">
        <v>0.79</v>
      </c>
      <c r="K11" s="53">
        <v>341.39</v>
      </c>
      <c r="L11" s="53">
        <v>13.28</v>
      </c>
      <c r="M11" s="53">
        <v>97.95</v>
      </c>
      <c r="N11" s="53">
        <v>33.299999999999997</v>
      </c>
      <c r="O11" s="53">
        <v>0</v>
      </c>
      <c r="P11" s="53">
        <v>3.41</v>
      </c>
      <c r="Q11" s="53">
        <v>9.8800000000000008</v>
      </c>
      <c r="R11" s="43"/>
      <c r="S11" s="43"/>
      <c r="T11" s="43"/>
      <c r="U11" s="43"/>
    </row>
    <row r="12" spans="1:21" s="11" customFormat="1" x14ac:dyDescent="0.25">
      <c r="A12" s="52" t="s">
        <v>374</v>
      </c>
      <c r="B12" s="53">
        <v>136.5</v>
      </c>
      <c r="C12" s="5" t="s">
        <v>14</v>
      </c>
      <c r="D12" s="53">
        <v>88.42</v>
      </c>
      <c r="E12" s="53">
        <v>6.44</v>
      </c>
      <c r="F12" s="53">
        <v>3.28</v>
      </c>
      <c r="G12" s="53">
        <v>97.11</v>
      </c>
      <c r="H12" s="53">
        <v>43.47</v>
      </c>
      <c r="I12" s="53">
        <v>0.1</v>
      </c>
      <c r="J12" s="53">
        <v>0.82</v>
      </c>
      <c r="K12" s="53">
        <v>349.89</v>
      </c>
      <c r="L12" s="53">
        <v>12.88</v>
      </c>
      <c r="M12" s="53">
        <v>97.95</v>
      </c>
      <c r="N12" s="53">
        <v>33.1</v>
      </c>
      <c r="O12" s="53">
        <v>0</v>
      </c>
      <c r="P12" s="53">
        <v>3.25</v>
      </c>
      <c r="Q12" s="53">
        <v>9.8699999999999992</v>
      </c>
      <c r="R12" s="43"/>
      <c r="S12" s="43"/>
      <c r="T12" s="43"/>
      <c r="U12" s="43"/>
    </row>
    <row r="13" spans="1:21" s="11" customFormat="1" x14ac:dyDescent="0.25">
      <c r="A13" s="52" t="s">
        <v>375</v>
      </c>
      <c r="B13" s="53">
        <v>119.65</v>
      </c>
      <c r="C13" s="5" t="s">
        <v>14</v>
      </c>
      <c r="D13" s="53">
        <v>78.73</v>
      </c>
      <c r="E13" s="53">
        <v>6.18</v>
      </c>
      <c r="F13" s="53">
        <v>3.3</v>
      </c>
      <c r="G13" s="53">
        <v>97.41</v>
      </c>
      <c r="H13" s="53">
        <v>40.04</v>
      </c>
      <c r="I13" s="53">
        <v>0.1</v>
      </c>
      <c r="J13" s="53">
        <v>1.1100000000000001</v>
      </c>
      <c r="K13" s="53">
        <v>331.15</v>
      </c>
      <c r="L13" s="53">
        <v>12.97</v>
      </c>
      <c r="M13" s="53">
        <v>97.87</v>
      </c>
      <c r="N13" s="53">
        <v>33.299999999999997</v>
      </c>
      <c r="O13" s="53">
        <v>0</v>
      </c>
      <c r="P13" s="53">
        <v>2.86</v>
      </c>
      <c r="Q13" s="53">
        <v>9.82</v>
      </c>
      <c r="R13" s="43"/>
      <c r="S13" s="43"/>
      <c r="T13" s="43"/>
      <c r="U13" s="43"/>
    </row>
    <row r="14" spans="1:21" s="11" customFormat="1" x14ac:dyDescent="0.25">
      <c r="A14" s="52" t="s">
        <v>376</v>
      </c>
      <c r="B14" s="53">
        <v>98.72</v>
      </c>
      <c r="C14" s="5" t="s">
        <v>14</v>
      </c>
      <c r="D14" s="53">
        <v>67.42</v>
      </c>
      <c r="E14" s="53">
        <v>5.97</v>
      </c>
      <c r="F14" s="53">
        <v>2.95</v>
      </c>
      <c r="G14" s="53">
        <v>62.87</v>
      </c>
      <c r="H14" s="53">
        <v>34.58</v>
      </c>
      <c r="I14" s="53">
        <v>0.1</v>
      </c>
      <c r="J14" s="53">
        <v>0.56999999999999995</v>
      </c>
      <c r="K14" s="53">
        <v>293.62</v>
      </c>
      <c r="L14" s="53">
        <v>11.91</v>
      </c>
      <c r="M14" s="53">
        <v>97.88</v>
      </c>
      <c r="N14" s="53">
        <v>33.200000000000003</v>
      </c>
      <c r="O14" s="53">
        <v>0</v>
      </c>
      <c r="P14" s="53">
        <v>2.42</v>
      </c>
      <c r="Q14" s="53">
        <v>9.7899999999999991</v>
      </c>
      <c r="R14" s="43"/>
      <c r="S14" s="43"/>
      <c r="T14" s="43"/>
      <c r="U14" s="43"/>
    </row>
    <row r="15" spans="1:21" s="11" customFormat="1" x14ac:dyDescent="0.25">
      <c r="A15" s="52" t="s">
        <v>377</v>
      </c>
      <c r="B15" s="53">
        <v>92.05</v>
      </c>
      <c r="C15" s="5" t="s">
        <v>14</v>
      </c>
      <c r="D15" s="53">
        <v>64.069999999999993</v>
      </c>
      <c r="E15" s="53">
        <v>5.57</v>
      </c>
      <c r="F15" s="53">
        <v>3.42</v>
      </c>
      <c r="G15" s="53">
        <v>72.34</v>
      </c>
      <c r="H15" s="53">
        <v>34.049999999999997</v>
      </c>
      <c r="I15" s="53">
        <v>0.1</v>
      </c>
      <c r="J15" s="53">
        <v>0.8</v>
      </c>
      <c r="K15" s="53">
        <v>316.22000000000003</v>
      </c>
      <c r="L15" s="53">
        <v>11.63</v>
      </c>
      <c r="M15" s="53">
        <v>97.9</v>
      </c>
      <c r="N15" s="53">
        <v>51.9</v>
      </c>
      <c r="O15" s="53">
        <v>0</v>
      </c>
      <c r="P15" s="53">
        <v>2.2000000000000002</v>
      </c>
      <c r="Q15" s="53">
        <v>9.7899999999999991</v>
      </c>
      <c r="R15" s="43"/>
      <c r="S15" s="43"/>
      <c r="T15" s="43"/>
      <c r="U15" s="43"/>
    </row>
    <row r="16" spans="1:21" s="11" customFormat="1" x14ac:dyDescent="0.25">
      <c r="A16" s="52" t="s">
        <v>378</v>
      </c>
      <c r="B16" s="53">
        <v>98.98</v>
      </c>
      <c r="C16" s="5" t="s">
        <v>14</v>
      </c>
      <c r="D16" s="53">
        <v>67.86</v>
      </c>
      <c r="E16" s="53">
        <v>5.77</v>
      </c>
      <c r="F16" s="53">
        <v>3.65</v>
      </c>
      <c r="G16" s="53">
        <v>88.56</v>
      </c>
      <c r="H16" s="53">
        <v>33.74</v>
      </c>
      <c r="I16" s="53">
        <v>0.1</v>
      </c>
      <c r="J16" s="53">
        <v>1.1599999999999999</v>
      </c>
      <c r="K16" s="53">
        <v>349.89</v>
      </c>
      <c r="L16" s="53">
        <v>17.11</v>
      </c>
      <c r="M16" s="53">
        <v>97.85</v>
      </c>
      <c r="N16" s="53">
        <v>185.7</v>
      </c>
      <c r="O16" s="53">
        <v>0</v>
      </c>
      <c r="P16" s="53">
        <v>2.2400000000000002</v>
      </c>
      <c r="Q16" s="53">
        <v>9.81</v>
      </c>
      <c r="R16" s="43"/>
      <c r="S16" s="43"/>
      <c r="T16" s="43"/>
      <c r="U16" s="43"/>
    </row>
    <row r="17" spans="1:21" s="11" customFormat="1" x14ac:dyDescent="0.25">
      <c r="A17" s="52" t="s">
        <v>379</v>
      </c>
      <c r="B17" s="53">
        <v>96.51</v>
      </c>
      <c r="C17" s="5" t="s">
        <v>14</v>
      </c>
      <c r="D17" s="53">
        <v>66.52</v>
      </c>
      <c r="E17" s="53">
        <v>6.01</v>
      </c>
      <c r="F17" s="53">
        <v>3.2</v>
      </c>
      <c r="G17" s="53">
        <v>96.72</v>
      </c>
      <c r="H17" s="53">
        <v>34.82</v>
      </c>
      <c r="I17" s="53">
        <v>0.1</v>
      </c>
      <c r="J17" s="53">
        <v>1.56</v>
      </c>
      <c r="K17" s="53">
        <v>351.3</v>
      </c>
      <c r="L17" s="53">
        <v>23.11</v>
      </c>
      <c r="M17" s="53">
        <v>52.61</v>
      </c>
      <c r="N17" s="53">
        <v>327.2</v>
      </c>
      <c r="O17" s="53">
        <v>0</v>
      </c>
      <c r="P17" s="53">
        <v>2.1</v>
      </c>
      <c r="Q17" s="53">
        <v>9.8000000000000007</v>
      </c>
      <c r="R17" s="43"/>
      <c r="S17" s="43"/>
      <c r="T17" s="43"/>
      <c r="U17" s="43"/>
    </row>
    <row r="18" spans="1:21" s="11" customFormat="1" x14ac:dyDescent="0.25">
      <c r="A18" s="52" t="s">
        <v>380</v>
      </c>
      <c r="B18" s="53">
        <v>80.95</v>
      </c>
      <c r="C18" s="53">
        <v>0.02</v>
      </c>
      <c r="D18" s="53">
        <v>59.7</v>
      </c>
      <c r="E18" s="53">
        <v>6.22</v>
      </c>
      <c r="F18" s="53">
        <v>2.83</v>
      </c>
      <c r="G18" s="53">
        <v>78.540000000000006</v>
      </c>
      <c r="H18" s="53">
        <v>30.61</v>
      </c>
      <c r="I18" s="53">
        <v>0.1</v>
      </c>
      <c r="J18" s="53">
        <v>1.63</v>
      </c>
      <c r="K18" s="53">
        <v>341.42</v>
      </c>
      <c r="L18" s="53">
        <v>25.57</v>
      </c>
      <c r="M18" s="53">
        <v>37.69</v>
      </c>
      <c r="N18" s="53">
        <v>413</v>
      </c>
      <c r="O18" s="53">
        <v>0</v>
      </c>
      <c r="P18" s="53">
        <v>1.82</v>
      </c>
      <c r="Q18" s="53">
        <v>9.76</v>
      </c>
      <c r="R18" s="43"/>
      <c r="S18" s="43"/>
      <c r="T18" s="43"/>
      <c r="U18" s="43"/>
    </row>
    <row r="19" spans="1:21" s="11" customFormat="1" x14ac:dyDescent="0.25">
      <c r="A19" s="52" t="s">
        <v>381</v>
      </c>
      <c r="B19" s="53">
        <v>66.319999999999993</v>
      </c>
      <c r="C19" s="53">
        <v>8.69</v>
      </c>
      <c r="D19" s="53">
        <v>53.58</v>
      </c>
      <c r="E19" s="53">
        <v>6.55</v>
      </c>
      <c r="F19" s="53">
        <v>3.18</v>
      </c>
      <c r="G19" s="53">
        <v>79.510000000000005</v>
      </c>
      <c r="H19" s="53">
        <v>31.09</v>
      </c>
      <c r="I19" s="53">
        <v>0.1</v>
      </c>
      <c r="J19" s="53">
        <v>1.89</v>
      </c>
      <c r="K19" s="53">
        <v>342.12</v>
      </c>
      <c r="L19" s="53">
        <v>27.21</v>
      </c>
      <c r="M19" s="53">
        <v>32.08</v>
      </c>
      <c r="N19" s="53">
        <v>458.3</v>
      </c>
      <c r="O19" s="53">
        <v>0</v>
      </c>
      <c r="P19" s="53">
        <v>1.65</v>
      </c>
      <c r="Q19" s="53">
        <v>9.74</v>
      </c>
      <c r="R19" s="43"/>
      <c r="S19" s="43"/>
      <c r="T19" s="43"/>
      <c r="U19" s="43"/>
    </row>
    <row r="20" spans="1:21" s="11" customFormat="1" x14ac:dyDescent="0.25">
      <c r="A20" s="52" t="s">
        <v>382</v>
      </c>
      <c r="B20" s="53">
        <v>52.34</v>
      </c>
      <c r="C20" s="53">
        <v>16.399999999999999</v>
      </c>
      <c r="D20" s="53">
        <v>47.62</v>
      </c>
      <c r="E20" s="53">
        <v>7.92</v>
      </c>
      <c r="F20" s="53">
        <v>4.6100000000000003</v>
      </c>
      <c r="G20" s="53">
        <v>81.569999999999993</v>
      </c>
      <c r="H20" s="53">
        <v>28.46</v>
      </c>
      <c r="I20" s="53">
        <v>0.1</v>
      </c>
      <c r="J20" s="53">
        <v>1.34</v>
      </c>
      <c r="K20" s="53">
        <v>342.59</v>
      </c>
      <c r="L20" s="53">
        <v>28.05</v>
      </c>
      <c r="M20" s="53">
        <v>29.43</v>
      </c>
      <c r="N20" s="53">
        <v>483.9</v>
      </c>
      <c r="O20" s="53">
        <v>0</v>
      </c>
      <c r="P20" s="53">
        <v>1.6</v>
      </c>
      <c r="Q20" s="53">
        <v>9.7200000000000006</v>
      </c>
      <c r="R20" s="43"/>
      <c r="S20" s="43"/>
      <c r="T20" s="43"/>
      <c r="U20" s="43"/>
    </row>
    <row r="21" spans="1:21" s="11" customFormat="1" x14ac:dyDescent="0.25">
      <c r="A21" s="52" t="s">
        <v>383</v>
      </c>
      <c r="B21" s="53">
        <v>44.54</v>
      </c>
      <c r="C21" s="53">
        <v>21.36</v>
      </c>
      <c r="D21" s="53">
        <v>43.51</v>
      </c>
      <c r="E21" s="53">
        <v>10.82</v>
      </c>
      <c r="F21" s="53">
        <v>5.2</v>
      </c>
      <c r="G21" s="53">
        <v>53.76</v>
      </c>
      <c r="H21" s="53">
        <v>26.84</v>
      </c>
      <c r="I21" s="53">
        <v>0.1</v>
      </c>
      <c r="J21" s="53">
        <v>1.1499999999999999</v>
      </c>
      <c r="K21" s="53">
        <v>125.55</v>
      </c>
      <c r="L21" s="53">
        <v>26.64</v>
      </c>
      <c r="M21" s="53">
        <v>28.69</v>
      </c>
      <c r="N21" s="53">
        <v>486.9</v>
      </c>
      <c r="O21" s="53">
        <v>0</v>
      </c>
      <c r="P21" s="53">
        <v>1.46</v>
      </c>
      <c r="Q21" s="53">
        <v>9.7100000000000009</v>
      </c>
      <c r="R21" s="43"/>
      <c r="S21" s="43"/>
      <c r="T21" s="43"/>
      <c r="U21" s="43"/>
    </row>
    <row r="22" spans="1:21" s="11" customFormat="1" x14ac:dyDescent="0.25">
      <c r="A22" s="52" t="s">
        <v>384</v>
      </c>
      <c r="B22" s="53">
        <v>32.64</v>
      </c>
      <c r="C22" s="53">
        <v>26.64</v>
      </c>
      <c r="D22" s="53">
        <v>36.67</v>
      </c>
      <c r="E22" s="53">
        <v>11.87</v>
      </c>
      <c r="F22" s="53">
        <v>5.63</v>
      </c>
      <c r="G22" s="53">
        <v>57.18</v>
      </c>
      <c r="H22" s="53">
        <v>21.65</v>
      </c>
      <c r="I22" s="53">
        <v>0.1</v>
      </c>
      <c r="J22" s="53">
        <v>1.02</v>
      </c>
      <c r="K22" s="53">
        <v>353.68</v>
      </c>
      <c r="L22" s="53">
        <v>28.33</v>
      </c>
      <c r="M22" s="53">
        <v>25.22</v>
      </c>
      <c r="N22" s="53">
        <v>443.9</v>
      </c>
      <c r="O22" s="53">
        <v>0</v>
      </c>
      <c r="P22" s="53">
        <v>1.35</v>
      </c>
      <c r="Q22" s="53">
        <v>9.69</v>
      </c>
      <c r="R22" s="43"/>
      <c r="S22" s="43"/>
      <c r="T22" s="43"/>
      <c r="U22" s="43"/>
    </row>
    <row r="23" spans="1:21" s="11" customFormat="1" x14ac:dyDescent="0.25">
      <c r="A23" s="52" t="s">
        <v>385</v>
      </c>
      <c r="B23" s="53">
        <v>23.82</v>
      </c>
      <c r="C23" s="53">
        <v>30.66</v>
      </c>
      <c r="D23" s="53">
        <v>33.35</v>
      </c>
      <c r="E23" s="53">
        <v>19.079999999999998</v>
      </c>
      <c r="F23" s="53">
        <v>9.36</v>
      </c>
      <c r="G23" s="53">
        <v>43.25</v>
      </c>
      <c r="H23" s="53">
        <v>18.489999999999998</v>
      </c>
      <c r="I23" s="53">
        <v>0.1</v>
      </c>
      <c r="J23" s="53">
        <v>1.62</v>
      </c>
      <c r="K23" s="53">
        <v>330.6</v>
      </c>
      <c r="L23" s="53">
        <v>25.98</v>
      </c>
      <c r="M23" s="53">
        <v>28.6</v>
      </c>
      <c r="N23" s="53">
        <v>154.30000000000001</v>
      </c>
      <c r="O23" s="53">
        <v>0</v>
      </c>
      <c r="P23" s="53">
        <v>1.23</v>
      </c>
      <c r="Q23" s="53">
        <v>9.67</v>
      </c>
      <c r="R23" s="43"/>
      <c r="S23" s="43"/>
      <c r="T23" s="43"/>
      <c r="U23" s="43"/>
    </row>
    <row r="24" spans="1:21" s="11" customFormat="1" x14ac:dyDescent="0.25">
      <c r="A24" s="52" t="s">
        <v>386</v>
      </c>
      <c r="B24" s="53">
        <v>15.34</v>
      </c>
      <c r="C24" s="53">
        <v>33.659999999999997</v>
      </c>
      <c r="D24" s="53">
        <v>29.04</v>
      </c>
      <c r="E24" s="53">
        <v>23.34</v>
      </c>
      <c r="F24" s="53">
        <v>14.51</v>
      </c>
      <c r="G24" s="53">
        <v>42.61</v>
      </c>
      <c r="H24" s="53">
        <v>18.34</v>
      </c>
      <c r="I24" s="53">
        <v>0.1</v>
      </c>
      <c r="J24" s="53">
        <v>1.64</v>
      </c>
      <c r="K24" s="53">
        <v>343.67</v>
      </c>
      <c r="L24" s="53">
        <v>24.22</v>
      </c>
      <c r="M24" s="53">
        <v>31.14</v>
      </c>
      <c r="N24" s="53">
        <v>91.2</v>
      </c>
      <c r="O24" s="53">
        <v>0</v>
      </c>
      <c r="P24" s="53">
        <v>1.2</v>
      </c>
      <c r="Q24" s="53">
        <v>9.66</v>
      </c>
      <c r="R24" s="43"/>
      <c r="S24" s="43"/>
      <c r="T24" s="43"/>
      <c r="U24" s="43"/>
    </row>
    <row r="25" spans="1:21" s="11" customFormat="1" x14ac:dyDescent="0.25">
      <c r="A25" s="52" t="s">
        <v>387</v>
      </c>
      <c r="B25" s="53">
        <v>14.14</v>
      </c>
      <c r="C25" s="53">
        <v>36.93</v>
      </c>
      <c r="D25" s="53">
        <v>29.17</v>
      </c>
      <c r="E25" s="53">
        <v>13.82</v>
      </c>
      <c r="F25" s="53">
        <v>6.86</v>
      </c>
      <c r="G25" s="53">
        <v>48.09</v>
      </c>
      <c r="H25" s="53">
        <v>18.190000000000001</v>
      </c>
      <c r="I25" s="53">
        <v>0.1</v>
      </c>
      <c r="J25" s="53">
        <v>1.59</v>
      </c>
      <c r="K25" s="53">
        <v>348.28</v>
      </c>
      <c r="L25" s="53">
        <v>23.7</v>
      </c>
      <c r="M25" s="53">
        <v>37.47</v>
      </c>
      <c r="N25" s="53">
        <v>62.1</v>
      </c>
      <c r="O25" s="53">
        <v>0</v>
      </c>
      <c r="P25" s="53">
        <v>1.2</v>
      </c>
      <c r="Q25" s="53">
        <v>9.66</v>
      </c>
      <c r="R25" s="43"/>
      <c r="S25" s="43"/>
      <c r="T25" s="43"/>
      <c r="U25" s="43"/>
    </row>
    <row r="26" spans="1:21" s="11" customFormat="1" x14ac:dyDescent="0.25">
      <c r="A26" s="52" t="s">
        <v>388</v>
      </c>
      <c r="B26" s="53">
        <v>18.84</v>
      </c>
      <c r="C26" s="53">
        <v>38.24</v>
      </c>
      <c r="D26" s="53">
        <v>33.840000000000003</v>
      </c>
      <c r="E26" s="53">
        <v>10.34</v>
      </c>
      <c r="F26" s="53">
        <v>4.08</v>
      </c>
      <c r="G26" s="53">
        <v>56.07</v>
      </c>
      <c r="H26" s="53">
        <v>18.420000000000002</v>
      </c>
      <c r="I26" s="53">
        <v>0.1</v>
      </c>
      <c r="J26" s="53">
        <v>0.87</v>
      </c>
      <c r="K26" s="53">
        <v>40.28</v>
      </c>
      <c r="L26" s="53">
        <v>21.29</v>
      </c>
      <c r="M26" s="53">
        <v>49.38</v>
      </c>
      <c r="N26" s="53">
        <v>36.9</v>
      </c>
      <c r="O26" s="53">
        <v>0</v>
      </c>
      <c r="P26" s="53">
        <v>1.35</v>
      </c>
      <c r="Q26" s="53">
        <v>9.66</v>
      </c>
      <c r="R26" s="43"/>
      <c r="S26" s="43"/>
      <c r="T26" s="43"/>
      <c r="U26" s="43"/>
    </row>
    <row r="27" spans="1:21" s="11" customFormat="1" x14ac:dyDescent="0.25">
      <c r="A27" s="52" t="s">
        <v>389</v>
      </c>
      <c r="B27" s="53">
        <v>17.66</v>
      </c>
      <c r="C27" s="53">
        <v>34.78</v>
      </c>
      <c r="D27" s="53">
        <v>31.87</v>
      </c>
      <c r="E27" s="53">
        <v>7.93</v>
      </c>
      <c r="F27" s="53">
        <v>3.55</v>
      </c>
      <c r="G27" s="53">
        <v>71.69</v>
      </c>
      <c r="H27" s="53">
        <v>26.29</v>
      </c>
      <c r="I27" s="53">
        <v>0.1</v>
      </c>
      <c r="J27" s="53">
        <v>0.79</v>
      </c>
      <c r="K27" s="53">
        <v>99.38</v>
      </c>
      <c r="L27" s="53">
        <v>19.45</v>
      </c>
      <c r="M27" s="53">
        <v>53.92</v>
      </c>
      <c r="N27" s="53">
        <v>33.5</v>
      </c>
      <c r="O27" s="53">
        <v>0</v>
      </c>
      <c r="P27" s="53">
        <v>1.42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390</v>
      </c>
      <c r="B28" s="53">
        <v>19.96</v>
      </c>
      <c r="C28" s="53">
        <v>32.69</v>
      </c>
      <c r="D28" s="53">
        <v>31.47</v>
      </c>
      <c r="E28" s="53">
        <v>7.22</v>
      </c>
      <c r="F28" s="53">
        <v>3.05</v>
      </c>
      <c r="G28" s="53">
        <v>84.68</v>
      </c>
      <c r="H28" s="53">
        <v>30.82</v>
      </c>
      <c r="I28" s="53">
        <v>0.1</v>
      </c>
      <c r="J28" s="53">
        <v>0.6</v>
      </c>
      <c r="K28" s="53">
        <v>321.68</v>
      </c>
      <c r="L28" s="53">
        <v>18.059999999999999</v>
      </c>
      <c r="M28" s="53">
        <v>62.93</v>
      </c>
      <c r="N28" s="53">
        <v>33.4</v>
      </c>
      <c r="O28" s="53">
        <v>0</v>
      </c>
      <c r="P28" s="53">
        <v>1.68</v>
      </c>
      <c r="Q28" s="53">
        <v>9.67</v>
      </c>
      <c r="R28" s="43"/>
      <c r="S28" s="43"/>
      <c r="T28" s="43"/>
      <c r="U28" s="43"/>
    </row>
    <row r="29" spans="1:21" s="11" customFormat="1" x14ac:dyDescent="0.25">
      <c r="A29" s="52" t="s">
        <v>391</v>
      </c>
      <c r="B29" s="53">
        <v>31.6</v>
      </c>
      <c r="C29" s="53">
        <v>28.88</v>
      </c>
      <c r="D29" s="53">
        <v>37.6</v>
      </c>
      <c r="E29" s="53">
        <v>6.85</v>
      </c>
      <c r="F29" s="53">
        <v>3.08</v>
      </c>
      <c r="G29" s="53">
        <v>94.62</v>
      </c>
      <c r="H29" s="53">
        <v>34.299999999999997</v>
      </c>
      <c r="I29" s="53">
        <v>0.1</v>
      </c>
      <c r="J29" s="53">
        <v>0.82</v>
      </c>
      <c r="K29" s="53">
        <v>348.55</v>
      </c>
      <c r="L29" s="53">
        <v>17.12</v>
      </c>
      <c r="M29" s="53">
        <v>74.87</v>
      </c>
      <c r="N29" s="53">
        <v>33.5</v>
      </c>
      <c r="O29" s="53">
        <v>0</v>
      </c>
      <c r="P29" s="53">
        <v>2.13</v>
      </c>
      <c r="Q29" s="53">
        <v>9.69</v>
      </c>
      <c r="R29" s="43"/>
      <c r="S29" s="43"/>
      <c r="T29" s="43"/>
      <c r="U29" s="43"/>
    </row>
    <row r="30" spans="1:21" s="11" customFormat="1" x14ac:dyDescent="0.25">
      <c r="A30" s="52" t="s">
        <v>392</v>
      </c>
      <c r="B30" s="53">
        <v>48.71</v>
      </c>
      <c r="C30" s="53">
        <v>22.78</v>
      </c>
      <c r="D30" s="53">
        <v>46.55</v>
      </c>
      <c r="E30" s="53">
        <v>7.18</v>
      </c>
      <c r="F30" s="53">
        <v>3.14</v>
      </c>
      <c r="G30" s="53">
        <v>110.34</v>
      </c>
      <c r="H30" s="53">
        <v>38.04</v>
      </c>
      <c r="I30" s="53">
        <v>0.1</v>
      </c>
      <c r="J30" s="53">
        <v>0.82</v>
      </c>
      <c r="K30" s="53">
        <v>346.32</v>
      </c>
      <c r="L30" s="53">
        <v>16.16</v>
      </c>
      <c r="M30" s="53">
        <v>77.92</v>
      </c>
      <c r="N30" s="53">
        <v>33.299999999999997</v>
      </c>
      <c r="O30" s="53">
        <v>0</v>
      </c>
      <c r="P30" s="53">
        <v>2.46</v>
      </c>
      <c r="Q30" s="53">
        <v>9.7200000000000006</v>
      </c>
      <c r="R30" s="43"/>
      <c r="S30" s="43"/>
      <c r="T30" s="43"/>
      <c r="U30" s="43"/>
    </row>
    <row r="31" spans="1:21" s="11" customFormat="1" x14ac:dyDescent="0.25">
      <c r="A31" s="52" t="s">
        <v>393</v>
      </c>
      <c r="B31" s="53">
        <v>58.48</v>
      </c>
      <c r="C31" s="53">
        <v>13.63</v>
      </c>
      <c r="D31" s="53">
        <v>51.55</v>
      </c>
      <c r="E31" s="53">
        <v>7.32</v>
      </c>
      <c r="F31" s="53">
        <v>3.25</v>
      </c>
      <c r="G31" s="53">
        <v>115.99</v>
      </c>
      <c r="H31" s="53">
        <v>39.909999999999997</v>
      </c>
      <c r="I31" s="53">
        <v>0.1</v>
      </c>
      <c r="J31" s="53">
        <v>0.79</v>
      </c>
      <c r="K31" s="53">
        <v>313.7</v>
      </c>
      <c r="L31" s="53">
        <v>15.62</v>
      </c>
      <c r="M31" s="53">
        <v>87.23</v>
      </c>
      <c r="N31" s="53">
        <v>33.5</v>
      </c>
      <c r="O31" s="53">
        <v>0</v>
      </c>
      <c r="P31" s="53">
        <v>2.52</v>
      </c>
      <c r="Q31" s="53">
        <v>9.73</v>
      </c>
      <c r="R31" s="43"/>
      <c r="S31" s="43"/>
      <c r="T31" s="43"/>
      <c r="U31" s="43"/>
    </row>
    <row r="32" spans="1:21" s="11" customFormat="1" x14ac:dyDescent="0.25">
      <c r="A32" s="52" t="s">
        <v>394</v>
      </c>
      <c r="B32" s="53">
        <v>77.16</v>
      </c>
      <c r="C32" s="53">
        <v>7.34</v>
      </c>
      <c r="D32" s="53">
        <v>61.55</v>
      </c>
      <c r="E32" s="53">
        <v>7.23</v>
      </c>
      <c r="F32" s="53">
        <v>3.04</v>
      </c>
      <c r="G32" s="53">
        <v>114.4</v>
      </c>
      <c r="H32" s="53">
        <v>41.29</v>
      </c>
      <c r="I32" s="53">
        <v>0.1</v>
      </c>
      <c r="J32" s="53">
        <v>0.47</v>
      </c>
      <c r="K32" s="53">
        <v>338.65</v>
      </c>
      <c r="L32" s="53">
        <v>15.32</v>
      </c>
      <c r="M32" s="53">
        <v>89.47</v>
      </c>
      <c r="N32" s="53">
        <v>33.299999999999997</v>
      </c>
      <c r="O32" s="53">
        <v>0</v>
      </c>
      <c r="P32" s="53">
        <v>2.63</v>
      </c>
      <c r="Q32" s="53">
        <v>9.76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14.14</v>
      </c>
      <c r="C34" s="28">
        <f t="shared" si="0"/>
        <v>0.02</v>
      </c>
      <c r="D34" s="28">
        <f t="shared" si="0"/>
        <v>29.04</v>
      </c>
      <c r="E34" s="28">
        <f t="shared" si="0"/>
        <v>5.57</v>
      </c>
      <c r="F34" s="28">
        <f t="shared" si="0"/>
        <v>2.83</v>
      </c>
      <c r="G34" s="28">
        <f t="shared" si="0"/>
        <v>42.61</v>
      </c>
      <c r="H34" s="28">
        <f t="shared" si="0"/>
        <v>18.190000000000001</v>
      </c>
      <c r="I34" s="28">
        <f t="shared" si="0"/>
        <v>0.1</v>
      </c>
      <c r="J34" s="28">
        <f t="shared" si="0"/>
        <v>0.47</v>
      </c>
      <c r="K34" s="28">
        <f t="shared" si="0"/>
        <v>40.28</v>
      </c>
      <c r="L34" s="28">
        <f t="shared" si="0"/>
        <v>11.63</v>
      </c>
      <c r="M34" s="28">
        <f t="shared" si="0"/>
        <v>25.22</v>
      </c>
      <c r="N34" s="28">
        <f t="shared" si="0"/>
        <v>33.1</v>
      </c>
      <c r="O34" s="28">
        <f t="shared" si="0"/>
        <v>0</v>
      </c>
      <c r="P34" s="28">
        <f t="shared" si="0"/>
        <v>1.2</v>
      </c>
      <c r="Q34" s="28">
        <f t="shared" si="0"/>
        <v>9.66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169.53</v>
      </c>
      <c r="C35" s="29">
        <f t="shared" si="1"/>
        <v>38.24</v>
      </c>
      <c r="D35" s="29">
        <f t="shared" si="1"/>
        <v>108.14</v>
      </c>
      <c r="E35" s="29">
        <f t="shared" si="1"/>
        <v>23.34</v>
      </c>
      <c r="F35" s="29">
        <f t="shared" si="1"/>
        <v>14.51</v>
      </c>
      <c r="G35" s="29">
        <f t="shared" si="1"/>
        <v>134.18</v>
      </c>
      <c r="H35" s="29">
        <f t="shared" si="1"/>
        <v>55.02</v>
      </c>
      <c r="I35" s="29">
        <f t="shared" si="1"/>
        <v>0.1</v>
      </c>
      <c r="J35" s="29">
        <f t="shared" si="1"/>
        <v>1.89</v>
      </c>
      <c r="K35" s="29">
        <f t="shared" si="1"/>
        <v>353.68</v>
      </c>
      <c r="L35" s="29">
        <f t="shared" si="1"/>
        <v>28.33</v>
      </c>
      <c r="M35" s="29">
        <f t="shared" si="1"/>
        <v>97.95</v>
      </c>
      <c r="N35" s="29">
        <f t="shared" si="1"/>
        <v>486.9</v>
      </c>
      <c r="O35" s="29">
        <f t="shared" si="1"/>
        <v>0</v>
      </c>
      <c r="P35" s="29">
        <f t="shared" si="1"/>
        <v>3.8</v>
      </c>
      <c r="Q35" s="29">
        <f t="shared" si="1"/>
        <v>9.93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71.790833333333339</v>
      </c>
      <c r="C36" s="28">
        <f t="shared" si="2"/>
        <v>23.513333333333332</v>
      </c>
      <c r="D36" s="28">
        <f t="shared" si="2"/>
        <v>56.923333333333325</v>
      </c>
      <c r="E36" s="28">
        <f t="shared" si="2"/>
        <v>8.7420833333333317</v>
      </c>
      <c r="F36" s="28">
        <f t="shared" si="2"/>
        <v>4.3866666666666667</v>
      </c>
      <c r="G36" s="28">
        <f t="shared" si="2"/>
        <v>83.153750000000002</v>
      </c>
      <c r="H36" s="28">
        <f t="shared" si="2"/>
        <v>33.02624999999999</v>
      </c>
      <c r="I36" s="28">
        <f t="shared" si="2"/>
        <v>0.10000000000000003</v>
      </c>
      <c r="J36" s="28">
        <f t="shared" si="2"/>
        <v>1.06125</v>
      </c>
      <c r="K36" s="28">
        <f t="shared" si="2"/>
        <v>303.94458333333336</v>
      </c>
      <c r="L36" s="28">
        <f t="shared" si="2"/>
        <v>19.326666666666668</v>
      </c>
      <c r="M36" s="28">
        <f t="shared" si="2"/>
        <v>65.906250000000014</v>
      </c>
      <c r="N36" s="28">
        <f t="shared" si="2"/>
        <v>149.79166666666669</v>
      </c>
      <c r="O36" s="28">
        <f t="shared" si="2"/>
        <v>0</v>
      </c>
      <c r="P36" s="28">
        <f t="shared" si="2"/>
        <v>2.1412500000000008</v>
      </c>
      <c r="Q36" s="28">
        <f t="shared" si="2"/>
        <v>9.7541666666666647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48.698320202854141</v>
      </c>
      <c r="C37" s="28">
        <f t="shared" ref="C37:Q37" si="3">STDEV(C9:C32)</f>
        <v>11.914386661671239</v>
      </c>
      <c r="D37" s="28">
        <f t="shared" si="3"/>
        <v>23.920871851689007</v>
      </c>
      <c r="E37" s="28">
        <f t="shared" si="3"/>
        <v>4.401870135340868</v>
      </c>
      <c r="F37" s="28">
        <f t="shared" si="3"/>
        <v>2.6287369535604901</v>
      </c>
      <c r="G37" s="28">
        <f t="shared" si="3"/>
        <v>25.301840766941336</v>
      </c>
      <c r="H37" s="28">
        <f t="shared" si="3"/>
        <v>9.993889790875949</v>
      </c>
      <c r="I37" s="28">
        <f t="shared" si="3"/>
        <v>2.8352538009326866E-17</v>
      </c>
      <c r="J37" s="28">
        <f t="shared" si="3"/>
        <v>0.40402660803466922</v>
      </c>
      <c r="K37" s="28">
        <f t="shared" si="3"/>
        <v>85.70605685963811</v>
      </c>
      <c r="L37" s="28">
        <f t="shared" si="3"/>
        <v>5.7320431645774912</v>
      </c>
      <c r="M37" s="28">
        <f t="shared" si="3"/>
        <v>29.295989607200763</v>
      </c>
      <c r="N37" s="28">
        <f t="shared" si="3"/>
        <v>175.1124282746141</v>
      </c>
      <c r="O37" s="28">
        <f t="shared" si="3"/>
        <v>0</v>
      </c>
      <c r="P37" s="28">
        <f t="shared" si="3"/>
        <v>0.77970068114239299</v>
      </c>
      <c r="Q37" s="28">
        <f t="shared" si="3"/>
        <v>8.329709356935236E-2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COUNT(C9:C32)+9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8" sqref="G38:H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395</v>
      </c>
      <c r="B9" s="53">
        <v>73.849999999999994</v>
      </c>
      <c r="C9" s="53">
        <v>5.76</v>
      </c>
      <c r="D9" s="53">
        <v>59.36</v>
      </c>
      <c r="E9" s="53">
        <v>5.7</v>
      </c>
      <c r="F9" s="53">
        <v>2.91</v>
      </c>
      <c r="G9" s="53">
        <v>110.01</v>
      </c>
      <c r="H9" s="53">
        <v>42.07</v>
      </c>
      <c r="I9" s="53">
        <v>0.1</v>
      </c>
      <c r="J9" s="53">
        <v>0.78</v>
      </c>
      <c r="K9" s="53">
        <v>264.45</v>
      </c>
      <c r="L9" s="53">
        <v>15.55</v>
      </c>
      <c r="M9" s="53">
        <v>77.989999999999995</v>
      </c>
      <c r="N9" s="53">
        <v>33.6</v>
      </c>
      <c r="O9" s="53">
        <v>0</v>
      </c>
      <c r="P9" s="53">
        <v>2.58</v>
      </c>
      <c r="Q9" s="53">
        <v>9.77</v>
      </c>
      <c r="R9" s="43"/>
      <c r="S9" s="43"/>
      <c r="T9" s="43"/>
      <c r="U9" s="43"/>
    </row>
    <row r="10" spans="1:21" s="11" customFormat="1" x14ac:dyDescent="0.25">
      <c r="A10" s="52" t="s">
        <v>396</v>
      </c>
      <c r="B10" s="53">
        <v>61.01</v>
      </c>
      <c r="C10" s="53">
        <v>10.28</v>
      </c>
      <c r="D10" s="53">
        <v>52.07</v>
      </c>
      <c r="E10" s="53">
        <v>5.5</v>
      </c>
      <c r="F10" s="53">
        <v>3</v>
      </c>
      <c r="G10" s="53">
        <v>101.32</v>
      </c>
      <c r="H10" s="53">
        <v>39.119999999999997</v>
      </c>
      <c r="I10" s="53">
        <v>0.1</v>
      </c>
      <c r="J10" s="53">
        <v>0.78</v>
      </c>
      <c r="K10" s="53">
        <v>352.47</v>
      </c>
      <c r="L10" s="53">
        <v>14.58</v>
      </c>
      <c r="M10" s="53">
        <v>93.39</v>
      </c>
      <c r="N10" s="53">
        <v>33.6</v>
      </c>
      <c r="O10" s="53">
        <v>0</v>
      </c>
      <c r="P10" s="53">
        <v>2.19</v>
      </c>
      <c r="Q10" s="53">
        <v>9.74</v>
      </c>
      <c r="R10" s="43"/>
      <c r="S10" s="43"/>
      <c r="T10" s="43"/>
      <c r="U10" s="43"/>
    </row>
    <row r="11" spans="1:21" s="11" customFormat="1" x14ac:dyDescent="0.25">
      <c r="A11" s="52" t="s">
        <v>397</v>
      </c>
      <c r="B11" s="53">
        <v>49.83</v>
      </c>
      <c r="C11" s="53">
        <v>13.47</v>
      </c>
      <c r="D11" s="53">
        <v>45.41</v>
      </c>
      <c r="E11" s="53">
        <v>5.52</v>
      </c>
      <c r="F11" s="53">
        <v>3.43</v>
      </c>
      <c r="G11" s="53">
        <v>92.73</v>
      </c>
      <c r="H11" s="53">
        <v>37.89</v>
      </c>
      <c r="I11" s="53">
        <v>0.1</v>
      </c>
      <c r="J11" s="53">
        <v>0.84</v>
      </c>
      <c r="K11" s="53">
        <v>339.53</v>
      </c>
      <c r="L11" s="53">
        <v>13.76</v>
      </c>
      <c r="M11" s="53">
        <v>96.52</v>
      </c>
      <c r="N11" s="53">
        <v>33.6</v>
      </c>
      <c r="O11" s="53">
        <v>0</v>
      </c>
      <c r="P11" s="53">
        <v>2.09</v>
      </c>
      <c r="Q11" s="53">
        <v>9.7200000000000006</v>
      </c>
      <c r="R11" s="43"/>
      <c r="S11" s="43"/>
      <c r="T11" s="43"/>
      <c r="U11" s="43"/>
    </row>
    <row r="12" spans="1:21" s="11" customFormat="1" x14ac:dyDescent="0.25">
      <c r="A12" s="52" t="s">
        <v>398</v>
      </c>
      <c r="B12" s="53">
        <v>40.42</v>
      </c>
      <c r="C12" s="53">
        <v>16.66</v>
      </c>
      <c r="D12" s="53">
        <v>39.43</v>
      </c>
      <c r="E12" s="53">
        <v>5.15</v>
      </c>
      <c r="F12" s="53">
        <v>3.34</v>
      </c>
      <c r="G12" s="53">
        <v>78.77</v>
      </c>
      <c r="H12" s="53">
        <v>35.36</v>
      </c>
      <c r="I12" s="53">
        <v>0.1</v>
      </c>
      <c r="J12" s="53">
        <v>0.88</v>
      </c>
      <c r="K12" s="53">
        <v>345.29</v>
      </c>
      <c r="L12" s="53">
        <v>13.55</v>
      </c>
      <c r="M12" s="53">
        <v>97.93</v>
      </c>
      <c r="N12" s="53">
        <v>33.5</v>
      </c>
      <c r="O12" s="53">
        <v>0</v>
      </c>
      <c r="P12" s="53">
        <v>1.79</v>
      </c>
      <c r="Q12" s="53">
        <v>9.69</v>
      </c>
      <c r="R12" s="43"/>
      <c r="S12" s="43"/>
      <c r="T12" s="43"/>
      <c r="U12" s="43"/>
    </row>
    <row r="13" spans="1:21" s="11" customFormat="1" x14ac:dyDescent="0.25">
      <c r="A13" s="52" t="s">
        <v>399</v>
      </c>
      <c r="B13" s="53">
        <v>33.229999999999997</v>
      </c>
      <c r="C13" s="53">
        <v>18.82</v>
      </c>
      <c r="D13" s="53">
        <v>35.159999999999997</v>
      </c>
      <c r="E13" s="53">
        <v>4.8499999999999996</v>
      </c>
      <c r="F13" s="53">
        <v>3.02</v>
      </c>
      <c r="G13" s="53">
        <v>79.040000000000006</v>
      </c>
      <c r="H13" s="53">
        <v>33.74</v>
      </c>
      <c r="I13" s="53">
        <v>0.1</v>
      </c>
      <c r="J13" s="53">
        <v>0.61</v>
      </c>
      <c r="K13" s="53">
        <v>90.1</v>
      </c>
      <c r="L13" s="53">
        <v>13.3</v>
      </c>
      <c r="M13" s="53">
        <v>94.94</v>
      </c>
      <c r="N13" s="53">
        <v>33.299999999999997</v>
      </c>
      <c r="O13" s="53">
        <v>0</v>
      </c>
      <c r="P13" s="53">
        <v>1.57</v>
      </c>
      <c r="Q13" s="53">
        <v>9.68</v>
      </c>
      <c r="R13" s="43"/>
      <c r="S13" s="43"/>
      <c r="T13" s="43"/>
      <c r="U13" s="43"/>
    </row>
    <row r="14" spans="1:21" s="11" customFormat="1" x14ac:dyDescent="0.25">
      <c r="A14" s="52" t="s">
        <v>400</v>
      </c>
      <c r="B14" s="53">
        <v>27.35</v>
      </c>
      <c r="C14" s="53">
        <v>21.47</v>
      </c>
      <c r="D14" s="53">
        <v>31.86</v>
      </c>
      <c r="E14" s="53">
        <v>4.9400000000000004</v>
      </c>
      <c r="F14" s="53">
        <v>2.95</v>
      </c>
      <c r="G14" s="53">
        <v>68.13</v>
      </c>
      <c r="H14" s="53">
        <v>30.13</v>
      </c>
      <c r="I14" s="53">
        <v>0.1</v>
      </c>
      <c r="J14" s="53">
        <v>0.54</v>
      </c>
      <c r="K14" s="53">
        <v>352.83</v>
      </c>
      <c r="L14" s="53">
        <v>13.2</v>
      </c>
      <c r="M14" s="53">
        <v>95.19</v>
      </c>
      <c r="N14" s="53">
        <v>33.200000000000003</v>
      </c>
      <c r="O14" s="53">
        <v>0</v>
      </c>
      <c r="P14" s="53">
        <v>1.45</v>
      </c>
      <c r="Q14" s="53">
        <v>9.67</v>
      </c>
      <c r="R14" s="43"/>
      <c r="S14" s="43"/>
      <c r="T14" s="43"/>
      <c r="U14" s="43"/>
    </row>
    <row r="15" spans="1:21" s="11" customFormat="1" x14ac:dyDescent="0.25">
      <c r="A15" s="52" t="s">
        <v>401</v>
      </c>
      <c r="B15" s="53">
        <v>23.62</v>
      </c>
      <c r="C15" s="53">
        <v>22.18</v>
      </c>
      <c r="D15" s="53">
        <v>29.84</v>
      </c>
      <c r="E15" s="53">
        <v>4.82</v>
      </c>
      <c r="F15" s="53">
        <v>3.3</v>
      </c>
      <c r="G15" s="53">
        <v>90.51</v>
      </c>
      <c r="H15" s="53">
        <v>30.42</v>
      </c>
      <c r="I15" s="53">
        <v>0.1</v>
      </c>
      <c r="J15" s="53">
        <v>0.67</v>
      </c>
      <c r="K15" s="53">
        <v>356.4</v>
      </c>
      <c r="L15" s="53">
        <v>12.96</v>
      </c>
      <c r="M15" s="53">
        <v>97.53</v>
      </c>
      <c r="N15" s="53">
        <v>50.5</v>
      </c>
      <c r="O15" s="53">
        <v>0</v>
      </c>
      <c r="P15" s="53">
        <v>1.37</v>
      </c>
      <c r="Q15" s="53">
        <v>9.68</v>
      </c>
      <c r="R15" s="43"/>
      <c r="S15" s="43"/>
      <c r="T15" s="43"/>
      <c r="U15" s="43"/>
    </row>
    <row r="16" spans="1:21" s="11" customFormat="1" x14ac:dyDescent="0.25">
      <c r="A16" s="52" t="s">
        <v>402</v>
      </c>
      <c r="B16" s="53">
        <v>25.09</v>
      </c>
      <c r="C16" s="53">
        <v>21.84</v>
      </c>
      <c r="D16" s="53">
        <v>30.76</v>
      </c>
      <c r="E16" s="53">
        <v>5.63</v>
      </c>
      <c r="F16" s="53">
        <v>3.2</v>
      </c>
      <c r="G16" s="53">
        <v>178.23</v>
      </c>
      <c r="H16" s="53">
        <v>30.31</v>
      </c>
      <c r="I16" s="53">
        <v>0.1</v>
      </c>
      <c r="J16" s="53">
        <v>1.2</v>
      </c>
      <c r="K16" s="53">
        <v>350.11</v>
      </c>
      <c r="L16" s="53">
        <v>16.64</v>
      </c>
      <c r="M16" s="53">
        <v>95.53</v>
      </c>
      <c r="N16" s="53">
        <v>158.9</v>
      </c>
      <c r="O16" s="53">
        <v>0</v>
      </c>
      <c r="P16" s="53">
        <v>1.4</v>
      </c>
      <c r="Q16" s="53">
        <v>9.67</v>
      </c>
      <c r="R16" s="43"/>
      <c r="S16" s="43"/>
      <c r="T16" s="43"/>
      <c r="U16" s="43"/>
    </row>
    <row r="17" spans="1:21" s="11" customFormat="1" x14ac:dyDescent="0.25">
      <c r="A17" s="52" t="s">
        <v>403</v>
      </c>
      <c r="B17" s="53">
        <v>26.68</v>
      </c>
      <c r="C17" s="53">
        <v>22.52</v>
      </c>
      <c r="D17" s="53">
        <v>32.119999999999997</v>
      </c>
      <c r="E17" s="53">
        <v>5.72</v>
      </c>
      <c r="F17" s="53">
        <v>2.75</v>
      </c>
      <c r="G17" s="53">
        <v>104.95</v>
      </c>
      <c r="H17" s="53">
        <v>33.19</v>
      </c>
      <c r="I17" s="53">
        <v>0.1</v>
      </c>
      <c r="J17" s="53">
        <v>1.48</v>
      </c>
      <c r="K17" s="53">
        <v>348.4</v>
      </c>
      <c r="L17" s="53">
        <v>19.64</v>
      </c>
      <c r="M17" s="53">
        <v>68.77</v>
      </c>
      <c r="N17" s="53">
        <v>289.10000000000002</v>
      </c>
      <c r="O17" s="53">
        <v>0</v>
      </c>
      <c r="P17" s="53">
        <v>1.44</v>
      </c>
      <c r="Q17" s="53">
        <v>9.66</v>
      </c>
      <c r="R17" s="43"/>
      <c r="S17" s="43"/>
      <c r="T17" s="43"/>
      <c r="U17" s="43"/>
    </row>
    <row r="18" spans="1:21" s="11" customFormat="1" x14ac:dyDescent="0.25">
      <c r="A18" s="52" t="s">
        <v>404</v>
      </c>
      <c r="B18" s="53">
        <v>25.5</v>
      </c>
      <c r="C18" s="53">
        <v>25.29</v>
      </c>
      <c r="D18" s="53">
        <v>32.020000000000003</v>
      </c>
      <c r="E18" s="53">
        <v>6.34</v>
      </c>
      <c r="F18" s="53">
        <v>2.85</v>
      </c>
      <c r="G18" s="53">
        <v>77.77</v>
      </c>
      <c r="H18" s="53">
        <v>32.92</v>
      </c>
      <c r="I18" s="53">
        <v>0.1</v>
      </c>
      <c r="J18" s="53">
        <v>1.51</v>
      </c>
      <c r="K18" s="53">
        <v>341.16</v>
      </c>
      <c r="L18" s="53">
        <v>24.17</v>
      </c>
      <c r="M18" s="53">
        <v>53.18</v>
      </c>
      <c r="N18" s="53">
        <v>383.2</v>
      </c>
      <c r="O18" s="53">
        <v>0</v>
      </c>
      <c r="P18" s="53">
        <v>1.52</v>
      </c>
      <c r="Q18" s="53">
        <v>9.66</v>
      </c>
      <c r="R18" s="43"/>
      <c r="S18" s="43"/>
      <c r="T18" s="43"/>
      <c r="U18" s="43"/>
    </row>
    <row r="19" spans="1:21" s="11" customFormat="1" x14ac:dyDescent="0.25">
      <c r="A19" s="52" t="s">
        <v>405</v>
      </c>
      <c r="B19" s="53">
        <v>23.4</v>
      </c>
      <c r="C19" s="53">
        <v>25.83</v>
      </c>
      <c r="D19" s="53">
        <v>31.72</v>
      </c>
      <c r="E19" s="53">
        <v>6.67</v>
      </c>
      <c r="F19" s="53">
        <v>3.24</v>
      </c>
      <c r="G19" s="53">
        <v>77.849999999999994</v>
      </c>
      <c r="H19" s="53">
        <v>32.03</v>
      </c>
      <c r="I19" s="53">
        <v>0.1</v>
      </c>
      <c r="J19" s="53">
        <v>1.33</v>
      </c>
      <c r="K19" s="53">
        <v>345.76</v>
      </c>
      <c r="L19" s="53">
        <v>27.22</v>
      </c>
      <c r="M19" s="53">
        <v>44.77</v>
      </c>
      <c r="N19" s="53">
        <v>429.4</v>
      </c>
      <c r="O19" s="53">
        <v>0</v>
      </c>
      <c r="P19" s="53">
        <v>1.54</v>
      </c>
      <c r="Q19" s="53">
        <v>9.68</v>
      </c>
      <c r="R19" s="43"/>
      <c r="S19" s="43"/>
      <c r="T19" s="43"/>
      <c r="U19" s="43"/>
    </row>
    <row r="20" spans="1:21" s="11" customFormat="1" x14ac:dyDescent="0.25">
      <c r="A20" s="52" t="s">
        <v>406</v>
      </c>
      <c r="B20" s="53">
        <v>23.3</v>
      </c>
      <c r="C20" s="53">
        <v>28.85</v>
      </c>
      <c r="D20" s="53">
        <v>31.28</v>
      </c>
      <c r="E20" s="53">
        <v>7.05</v>
      </c>
      <c r="F20" s="53">
        <v>3.93</v>
      </c>
      <c r="G20" s="18" t="s">
        <v>12</v>
      </c>
      <c r="H20" s="18" t="s">
        <v>12</v>
      </c>
      <c r="I20" s="53">
        <v>0.1</v>
      </c>
      <c r="J20" s="53">
        <v>1.39</v>
      </c>
      <c r="K20" s="53">
        <v>359.9</v>
      </c>
      <c r="L20" s="53">
        <v>27.12</v>
      </c>
      <c r="M20" s="53">
        <v>41.31</v>
      </c>
      <c r="N20" s="53">
        <v>453.7</v>
      </c>
      <c r="O20" s="53">
        <v>0</v>
      </c>
      <c r="P20" s="53">
        <v>1.5</v>
      </c>
      <c r="Q20" s="53">
        <v>9.69</v>
      </c>
      <c r="R20" s="43"/>
      <c r="S20" s="43"/>
      <c r="T20" s="43"/>
      <c r="U20" s="43"/>
    </row>
    <row r="21" spans="1:21" s="11" customFormat="1" x14ac:dyDescent="0.25">
      <c r="A21" s="52" t="s">
        <v>407</v>
      </c>
      <c r="B21" s="53">
        <v>16.559999999999999</v>
      </c>
      <c r="C21" s="53">
        <v>41</v>
      </c>
      <c r="D21" s="53">
        <v>31.08</v>
      </c>
      <c r="E21" s="53">
        <v>8.2200000000000006</v>
      </c>
      <c r="F21" s="53">
        <v>7.26</v>
      </c>
      <c r="G21" s="18" t="s">
        <v>12</v>
      </c>
      <c r="H21" s="18" t="s">
        <v>12</v>
      </c>
      <c r="I21" s="53">
        <v>0.1</v>
      </c>
      <c r="J21" s="53">
        <v>1.48</v>
      </c>
      <c r="K21" s="53">
        <v>334.59</v>
      </c>
      <c r="L21" s="53">
        <v>28.49</v>
      </c>
      <c r="M21" s="53">
        <v>32.29</v>
      </c>
      <c r="N21" s="53">
        <v>432.4</v>
      </c>
      <c r="O21" s="53">
        <v>0</v>
      </c>
      <c r="P21" s="53">
        <v>1.37</v>
      </c>
      <c r="Q21" s="53">
        <v>9.65</v>
      </c>
      <c r="R21" s="43"/>
      <c r="S21" s="43"/>
      <c r="T21" s="43"/>
      <c r="U21" s="43"/>
    </row>
    <row r="22" spans="1:21" s="11" customFormat="1" x14ac:dyDescent="0.25">
      <c r="A22" s="52" t="s">
        <v>408</v>
      </c>
      <c r="B22" s="53">
        <v>5.63</v>
      </c>
      <c r="C22" s="53">
        <v>41.17</v>
      </c>
      <c r="D22" s="53">
        <v>25.04</v>
      </c>
      <c r="E22" s="53">
        <v>26.31</v>
      </c>
      <c r="F22" s="53">
        <v>21.5</v>
      </c>
      <c r="G22" s="53">
        <v>43.91</v>
      </c>
      <c r="H22" s="53">
        <v>16.93</v>
      </c>
      <c r="I22" s="53">
        <v>0.1</v>
      </c>
      <c r="J22" s="53">
        <v>1.26</v>
      </c>
      <c r="K22" s="53">
        <v>343.55</v>
      </c>
      <c r="L22" s="53">
        <v>26.81</v>
      </c>
      <c r="M22" s="53">
        <v>33.65</v>
      </c>
      <c r="N22" s="53">
        <v>416</v>
      </c>
      <c r="O22" s="53">
        <v>0</v>
      </c>
      <c r="P22" s="53">
        <v>1.1499999999999999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409</v>
      </c>
      <c r="B23" s="53">
        <v>3.84</v>
      </c>
      <c r="C23" s="53">
        <v>35.65</v>
      </c>
      <c r="D23" s="53">
        <v>21.24</v>
      </c>
      <c r="E23" s="53">
        <v>35.29</v>
      </c>
      <c r="F23" s="53">
        <v>24.92</v>
      </c>
      <c r="G23" s="53">
        <v>48.75</v>
      </c>
      <c r="H23" s="53">
        <v>17.63</v>
      </c>
      <c r="I23" s="53">
        <v>0.1</v>
      </c>
      <c r="J23" s="53">
        <v>1.48</v>
      </c>
      <c r="K23" s="53">
        <v>125.53</v>
      </c>
      <c r="L23" s="53">
        <v>24.53</v>
      </c>
      <c r="M23" s="53">
        <v>34.869999999999997</v>
      </c>
      <c r="N23" s="53">
        <v>183.5</v>
      </c>
      <c r="O23" s="53">
        <v>0</v>
      </c>
      <c r="P23" s="53">
        <v>1.1299999999999999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410</v>
      </c>
      <c r="B24" s="53">
        <v>5.25</v>
      </c>
      <c r="C24" s="53">
        <v>41.98</v>
      </c>
      <c r="D24" s="53">
        <v>25.24</v>
      </c>
      <c r="E24" s="53">
        <v>31.16</v>
      </c>
      <c r="F24" s="53">
        <v>23.86</v>
      </c>
      <c r="G24" s="53">
        <v>51.43</v>
      </c>
      <c r="H24" s="53">
        <v>21.69</v>
      </c>
      <c r="I24" s="53">
        <v>0.1</v>
      </c>
      <c r="J24" s="53">
        <v>1.01</v>
      </c>
      <c r="K24" s="53">
        <v>350.24</v>
      </c>
      <c r="L24" s="53">
        <v>24</v>
      </c>
      <c r="M24" s="53">
        <v>39.9</v>
      </c>
      <c r="N24" s="53">
        <v>115.8</v>
      </c>
      <c r="O24" s="53">
        <v>0</v>
      </c>
      <c r="P24" s="53">
        <v>1.1299999999999999</v>
      </c>
      <c r="Q24" s="53">
        <v>9.66</v>
      </c>
      <c r="R24" s="43"/>
      <c r="S24" s="43"/>
      <c r="T24" s="43"/>
      <c r="U24" s="43"/>
    </row>
    <row r="25" spans="1:21" s="11" customFormat="1" x14ac:dyDescent="0.25">
      <c r="A25" s="52" t="s">
        <v>411</v>
      </c>
      <c r="B25" s="53">
        <v>16.34</v>
      </c>
      <c r="C25" s="53">
        <v>45.16</v>
      </c>
      <c r="D25" s="53">
        <v>36.24</v>
      </c>
      <c r="E25" s="53">
        <v>17.45</v>
      </c>
      <c r="F25" s="53">
        <v>8.26</v>
      </c>
      <c r="G25" s="53">
        <v>58.2</v>
      </c>
      <c r="H25" s="53">
        <v>21.44</v>
      </c>
      <c r="I25" s="53">
        <v>0.1</v>
      </c>
      <c r="J25" s="53">
        <v>1.3</v>
      </c>
      <c r="K25" s="53">
        <v>357.7</v>
      </c>
      <c r="L25" s="53">
        <v>23.66</v>
      </c>
      <c r="M25" s="53">
        <v>46.27</v>
      </c>
      <c r="N25" s="53">
        <v>84.4</v>
      </c>
      <c r="O25" s="53">
        <v>0</v>
      </c>
      <c r="P25" s="53">
        <v>1.34</v>
      </c>
      <c r="Q25" s="53">
        <v>9.64</v>
      </c>
      <c r="R25" s="43"/>
      <c r="S25" s="43"/>
      <c r="T25" s="43"/>
      <c r="U25" s="43"/>
    </row>
    <row r="26" spans="1:21" s="11" customFormat="1" x14ac:dyDescent="0.25">
      <c r="A26" s="52" t="s">
        <v>412</v>
      </c>
      <c r="B26" s="53">
        <v>19.8</v>
      </c>
      <c r="C26" s="53">
        <v>46.8</v>
      </c>
      <c r="D26" s="53">
        <v>38.659999999999997</v>
      </c>
      <c r="E26" s="53">
        <v>10.71</v>
      </c>
      <c r="F26" s="53">
        <v>4.9400000000000004</v>
      </c>
      <c r="G26" s="53">
        <v>67.12</v>
      </c>
      <c r="H26" s="53">
        <v>23.92</v>
      </c>
      <c r="I26" s="53">
        <v>0.1</v>
      </c>
      <c r="J26" s="53">
        <v>0.88</v>
      </c>
      <c r="K26" s="53">
        <v>29.65</v>
      </c>
      <c r="L26" s="53">
        <v>21.5</v>
      </c>
      <c r="M26" s="53">
        <v>54.98</v>
      </c>
      <c r="N26" s="53">
        <v>57.7</v>
      </c>
      <c r="O26" s="53">
        <v>0</v>
      </c>
      <c r="P26" s="53">
        <v>1.62</v>
      </c>
      <c r="Q26" s="53">
        <v>9.68</v>
      </c>
      <c r="R26" s="43"/>
      <c r="S26" s="43"/>
      <c r="T26" s="43"/>
      <c r="U26" s="43"/>
    </row>
    <row r="27" spans="1:21" s="11" customFormat="1" x14ac:dyDescent="0.25">
      <c r="A27" s="52" t="s">
        <v>413</v>
      </c>
      <c r="B27" s="53">
        <v>25.59</v>
      </c>
      <c r="C27" s="53">
        <v>42.95</v>
      </c>
      <c r="D27" s="53">
        <v>41.32</v>
      </c>
      <c r="E27" s="53">
        <v>7.48</v>
      </c>
      <c r="F27" s="53">
        <v>5.46</v>
      </c>
      <c r="G27" s="53">
        <v>85.2</v>
      </c>
      <c r="H27" s="53">
        <v>32.44</v>
      </c>
      <c r="I27" s="53">
        <v>0.1</v>
      </c>
      <c r="J27" s="53">
        <v>0.78</v>
      </c>
      <c r="K27" s="53">
        <v>351.89</v>
      </c>
      <c r="L27" s="53">
        <v>19.670000000000002</v>
      </c>
      <c r="M27" s="53">
        <v>57.99</v>
      </c>
      <c r="N27" s="53">
        <v>54.7</v>
      </c>
      <c r="O27" s="53">
        <v>0</v>
      </c>
      <c r="P27" s="53">
        <v>2.2400000000000002</v>
      </c>
      <c r="Q27" s="53">
        <v>9.69</v>
      </c>
      <c r="R27" s="43"/>
      <c r="S27" s="43"/>
      <c r="T27" s="43"/>
      <c r="U27" s="43"/>
    </row>
    <row r="28" spans="1:21" s="11" customFormat="1" x14ac:dyDescent="0.25">
      <c r="A28" s="52" t="s">
        <v>414</v>
      </c>
      <c r="B28" s="53">
        <v>24.49</v>
      </c>
      <c r="C28" s="53">
        <v>42.1</v>
      </c>
      <c r="D28" s="53">
        <v>39.380000000000003</v>
      </c>
      <c r="E28" s="53">
        <v>7.47</v>
      </c>
      <c r="F28" s="53">
        <v>4.29</v>
      </c>
      <c r="G28" s="53">
        <v>151.54</v>
      </c>
      <c r="H28" s="53">
        <v>41.42</v>
      </c>
      <c r="I28" s="53">
        <v>0.1</v>
      </c>
      <c r="J28" s="53">
        <v>0.89</v>
      </c>
      <c r="K28" s="53">
        <v>314.64999999999998</v>
      </c>
      <c r="L28" s="53">
        <v>19.27</v>
      </c>
      <c r="M28" s="53">
        <v>62.95</v>
      </c>
      <c r="N28" s="53">
        <v>55</v>
      </c>
      <c r="O28" s="53">
        <v>0</v>
      </c>
      <c r="P28" s="53">
        <v>2.0499999999999998</v>
      </c>
      <c r="Q28" s="53">
        <v>9.6999999999999993</v>
      </c>
      <c r="R28" s="43"/>
      <c r="S28" s="43"/>
      <c r="T28" s="43"/>
      <c r="U28" s="43"/>
    </row>
    <row r="29" spans="1:21" s="11" customFormat="1" x14ac:dyDescent="0.25">
      <c r="A29" s="52" t="s">
        <v>415</v>
      </c>
      <c r="B29" s="53">
        <v>43.73</v>
      </c>
      <c r="C29" s="53">
        <v>32.31</v>
      </c>
      <c r="D29" s="53">
        <v>46.9</v>
      </c>
      <c r="E29" s="53">
        <v>5.83</v>
      </c>
      <c r="F29" s="53">
        <v>3.45</v>
      </c>
      <c r="G29" s="53">
        <v>144.52000000000001</v>
      </c>
      <c r="H29" s="53">
        <v>47.38</v>
      </c>
      <c r="I29" s="53">
        <v>0.1</v>
      </c>
      <c r="J29" s="53">
        <v>0.64</v>
      </c>
      <c r="K29" s="53">
        <v>352.43</v>
      </c>
      <c r="L29" s="53">
        <v>17.600000000000001</v>
      </c>
      <c r="M29" s="53">
        <v>80.349999999999994</v>
      </c>
      <c r="N29" s="53">
        <v>55.8</v>
      </c>
      <c r="O29" s="53">
        <v>0</v>
      </c>
      <c r="P29" s="53">
        <v>2.2999999999999998</v>
      </c>
      <c r="Q29" s="53">
        <v>9.7100000000000009</v>
      </c>
      <c r="R29" s="43"/>
      <c r="S29" s="43"/>
      <c r="T29" s="43"/>
      <c r="U29" s="43"/>
    </row>
    <row r="30" spans="1:21" s="11" customFormat="1" x14ac:dyDescent="0.25">
      <c r="A30" s="52" t="s">
        <v>416</v>
      </c>
      <c r="B30" s="53">
        <v>55.38</v>
      </c>
      <c r="C30" s="53">
        <v>21.16</v>
      </c>
      <c r="D30" s="53">
        <v>52.46</v>
      </c>
      <c r="E30" s="53">
        <v>4.96</v>
      </c>
      <c r="F30" s="53">
        <v>3.32</v>
      </c>
      <c r="G30" s="53">
        <v>132.88999999999999</v>
      </c>
      <c r="H30" s="53">
        <v>48.08</v>
      </c>
      <c r="I30" s="53">
        <v>0.1</v>
      </c>
      <c r="J30" s="53">
        <v>0.94</v>
      </c>
      <c r="K30" s="53">
        <v>343.32</v>
      </c>
      <c r="L30" s="53">
        <v>17.2</v>
      </c>
      <c r="M30" s="53">
        <v>85.65</v>
      </c>
      <c r="N30" s="53">
        <v>56.6</v>
      </c>
      <c r="O30" s="53">
        <v>0</v>
      </c>
      <c r="P30" s="53">
        <v>2.52</v>
      </c>
      <c r="Q30" s="53">
        <v>9.74</v>
      </c>
      <c r="R30" s="43"/>
      <c r="S30" s="43"/>
      <c r="T30" s="43"/>
      <c r="U30" s="43"/>
    </row>
    <row r="31" spans="1:21" s="11" customFormat="1" x14ac:dyDescent="0.25">
      <c r="A31" s="52" t="s">
        <v>417</v>
      </c>
      <c r="B31" s="53">
        <v>63.22</v>
      </c>
      <c r="C31" s="53">
        <v>13.87</v>
      </c>
      <c r="D31" s="53">
        <v>55.65</v>
      </c>
      <c r="E31" s="53">
        <v>5.19</v>
      </c>
      <c r="F31" s="53">
        <v>3.07</v>
      </c>
      <c r="G31" s="53">
        <v>130.47999999999999</v>
      </c>
      <c r="H31" s="53">
        <v>50.82</v>
      </c>
      <c r="I31" s="53">
        <v>0.1</v>
      </c>
      <c r="J31" s="53">
        <v>0.84</v>
      </c>
      <c r="K31" s="53">
        <v>332.8</v>
      </c>
      <c r="L31" s="53">
        <v>15.67</v>
      </c>
      <c r="M31" s="53">
        <v>93.8</v>
      </c>
      <c r="N31" s="53">
        <v>56.7</v>
      </c>
      <c r="O31" s="53">
        <v>0</v>
      </c>
      <c r="P31" s="53">
        <v>2.78</v>
      </c>
      <c r="Q31" s="53">
        <v>9.74</v>
      </c>
      <c r="R31" s="43"/>
      <c r="S31" s="43"/>
      <c r="T31" s="43"/>
      <c r="U31" s="43"/>
    </row>
    <row r="32" spans="1:21" s="11" customFormat="1" x14ac:dyDescent="0.25">
      <c r="A32" s="52" t="s">
        <v>418</v>
      </c>
      <c r="B32" s="53">
        <v>62.39</v>
      </c>
      <c r="C32" s="53">
        <v>11.18</v>
      </c>
      <c r="D32" s="53">
        <v>54.93</v>
      </c>
      <c r="E32" s="53">
        <v>5.51</v>
      </c>
      <c r="F32" s="53">
        <v>3.29</v>
      </c>
      <c r="G32" s="53">
        <v>118.14</v>
      </c>
      <c r="H32" s="53">
        <v>47.63</v>
      </c>
      <c r="I32" s="53">
        <v>0.1</v>
      </c>
      <c r="J32" s="53">
        <v>0.55000000000000004</v>
      </c>
      <c r="K32" s="53">
        <v>317.37</v>
      </c>
      <c r="L32" s="53">
        <v>15.01</v>
      </c>
      <c r="M32" s="53">
        <v>98.22</v>
      </c>
      <c r="N32" s="53">
        <v>56.2</v>
      </c>
      <c r="O32" s="53">
        <v>0</v>
      </c>
      <c r="P32" s="53">
        <v>2.83</v>
      </c>
      <c r="Q32" s="53">
        <v>9.75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3.84</v>
      </c>
      <c r="C34" s="28">
        <f t="shared" si="0"/>
        <v>5.76</v>
      </c>
      <c r="D34" s="28">
        <f t="shared" si="0"/>
        <v>21.24</v>
      </c>
      <c r="E34" s="28">
        <f t="shared" si="0"/>
        <v>4.82</v>
      </c>
      <c r="F34" s="28">
        <f t="shared" si="0"/>
        <v>2.75</v>
      </c>
      <c r="G34" s="28">
        <f t="shared" si="0"/>
        <v>43.91</v>
      </c>
      <c r="H34" s="28">
        <f t="shared" si="0"/>
        <v>16.93</v>
      </c>
      <c r="I34" s="28">
        <f t="shared" si="0"/>
        <v>0.1</v>
      </c>
      <c r="J34" s="28">
        <f t="shared" si="0"/>
        <v>0.54</v>
      </c>
      <c r="K34" s="28">
        <f t="shared" si="0"/>
        <v>29.65</v>
      </c>
      <c r="L34" s="28">
        <f t="shared" si="0"/>
        <v>12.96</v>
      </c>
      <c r="M34" s="28">
        <f t="shared" si="0"/>
        <v>32.29</v>
      </c>
      <c r="N34" s="28">
        <f t="shared" si="0"/>
        <v>33.200000000000003</v>
      </c>
      <c r="O34" s="28">
        <f t="shared" si="0"/>
        <v>0</v>
      </c>
      <c r="P34" s="28">
        <f t="shared" si="0"/>
        <v>1.1299999999999999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73.849999999999994</v>
      </c>
      <c r="C35" s="29">
        <f t="shared" si="1"/>
        <v>46.8</v>
      </c>
      <c r="D35" s="29">
        <f t="shared" si="1"/>
        <v>59.36</v>
      </c>
      <c r="E35" s="29">
        <f t="shared" si="1"/>
        <v>35.29</v>
      </c>
      <c r="F35" s="29">
        <f t="shared" si="1"/>
        <v>24.92</v>
      </c>
      <c r="G35" s="29">
        <f t="shared" si="1"/>
        <v>178.23</v>
      </c>
      <c r="H35" s="29">
        <f t="shared" si="1"/>
        <v>50.82</v>
      </c>
      <c r="I35" s="29">
        <f t="shared" si="1"/>
        <v>0.1</v>
      </c>
      <c r="J35" s="29">
        <f t="shared" si="1"/>
        <v>1.51</v>
      </c>
      <c r="K35" s="29">
        <f t="shared" si="1"/>
        <v>359.9</v>
      </c>
      <c r="L35" s="29">
        <f t="shared" si="1"/>
        <v>28.49</v>
      </c>
      <c r="M35" s="29">
        <f t="shared" si="1"/>
        <v>98.22</v>
      </c>
      <c r="N35" s="29">
        <f t="shared" si="1"/>
        <v>453.7</v>
      </c>
      <c r="O35" s="29">
        <f t="shared" si="1"/>
        <v>0</v>
      </c>
      <c r="P35" s="29">
        <f t="shared" si="1"/>
        <v>2.83</v>
      </c>
      <c r="Q35" s="29">
        <f t="shared" si="1"/>
        <v>9.77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32.3125</v>
      </c>
      <c r="C36" s="28">
        <f t="shared" si="2"/>
        <v>27.012500000000003</v>
      </c>
      <c r="D36" s="28">
        <f t="shared" si="2"/>
        <v>38.298749999999998</v>
      </c>
      <c r="E36" s="28">
        <f t="shared" si="2"/>
        <v>9.7279166666666672</v>
      </c>
      <c r="F36" s="28">
        <f t="shared" si="2"/>
        <v>6.314166666666666</v>
      </c>
      <c r="G36" s="28">
        <f t="shared" si="2"/>
        <v>95.067727272727282</v>
      </c>
      <c r="H36" s="28">
        <f t="shared" si="2"/>
        <v>33.934545454545464</v>
      </c>
      <c r="I36" s="28">
        <f t="shared" si="2"/>
        <v>0.10000000000000003</v>
      </c>
      <c r="J36" s="28">
        <f t="shared" si="2"/>
        <v>1.0025000000000002</v>
      </c>
      <c r="K36" s="28">
        <f t="shared" si="2"/>
        <v>308.33833333333331</v>
      </c>
      <c r="L36" s="28">
        <f t="shared" si="2"/>
        <v>19.379166666666666</v>
      </c>
      <c r="M36" s="28">
        <f t="shared" si="2"/>
        <v>69.915416666666673</v>
      </c>
      <c r="N36" s="28">
        <f t="shared" si="2"/>
        <v>149.6</v>
      </c>
      <c r="O36" s="28">
        <f t="shared" si="2"/>
        <v>0</v>
      </c>
      <c r="P36" s="28">
        <f t="shared" si="2"/>
        <v>1.7874999999999996</v>
      </c>
      <c r="Q36" s="28">
        <f t="shared" si="2"/>
        <v>9.6904166666666676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19.623759611867133</v>
      </c>
      <c r="C37" s="28">
        <f t="shared" ref="C37:Q37" si="3">STDEV(C9:C32)</f>
        <v>12.477853163313679</v>
      </c>
      <c r="D37" s="28">
        <f t="shared" si="3"/>
        <v>10.614177685284105</v>
      </c>
      <c r="E37" s="28">
        <f t="shared" si="3"/>
        <v>8.7015136010509888</v>
      </c>
      <c r="F37" s="28">
        <f t="shared" si="3"/>
        <v>6.7675844490750405</v>
      </c>
      <c r="G37" s="28">
        <f t="shared" si="3"/>
        <v>35.791679524159967</v>
      </c>
      <c r="H37" s="28">
        <f t="shared" si="3"/>
        <v>9.8297777561819846</v>
      </c>
      <c r="I37" s="28">
        <f t="shared" si="3"/>
        <v>2.8352538009326866E-17</v>
      </c>
      <c r="J37" s="28">
        <f t="shared" si="3"/>
        <v>0.3267394920302315</v>
      </c>
      <c r="K37" s="28">
        <f t="shared" si="3"/>
        <v>90.795356549850808</v>
      </c>
      <c r="L37" s="28">
        <f t="shared" si="3"/>
        <v>5.1974265510561244</v>
      </c>
      <c r="M37" s="28">
        <f t="shared" si="3"/>
        <v>24.746957999997125</v>
      </c>
      <c r="N37" s="28">
        <f t="shared" si="3"/>
        <v>155.24355339132515</v>
      </c>
      <c r="O37" s="28">
        <f t="shared" si="3"/>
        <v>0</v>
      </c>
      <c r="P37" s="28">
        <f t="shared" si="3"/>
        <v>0.53250229638206747</v>
      </c>
      <c r="Q37" s="28">
        <f t="shared" si="3"/>
        <v>3.6173394819309111E-2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4" sqref="E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419</v>
      </c>
      <c r="B9" s="53">
        <v>66.19</v>
      </c>
      <c r="C9" s="53">
        <v>8.49</v>
      </c>
      <c r="D9" s="53">
        <v>55.49</v>
      </c>
      <c r="E9" s="53">
        <v>6</v>
      </c>
      <c r="F9" s="53">
        <v>3.83</v>
      </c>
      <c r="G9" s="53">
        <v>120.23</v>
      </c>
      <c r="H9" s="53">
        <v>48.81</v>
      </c>
      <c r="I9" s="53">
        <v>0.1</v>
      </c>
      <c r="J9" s="53">
        <v>0.8</v>
      </c>
      <c r="K9" s="53">
        <v>319.05</v>
      </c>
      <c r="L9" s="53">
        <v>14.21</v>
      </c>
      <c r="M9" s="53">
        <v>98.26</v>
      </c>
      <c r="N9" s="53">
        <v>56.4</v>
      </c>
      <c r="O9" s="53">
        <v>0</v>
      </c>
      <c r="P9" s="53">
        <v>2.86</v>
      </c>
      <c r="Q9" s="53">
        <v>9.77</v>
      </c>
      <c r="R9" s="43"/>
      <c r="S9" s="43"/>
      <c r="T9" s="43"/>
      <c r="U9" s="43"/>
    </row>
    <row r="10" spans="1:21" s="11" customFormat="1" x14ac:dyDescent="0.25">
      <c r="A10" s="52" t="s">
        <v>420</v>
      </c>
      <c r="B10" s="53">
        <v>66.31</v>
      </c>
      <c r="C10" s="53">
        <v>3.77</v>
      </c>
      <c r="D10" s="53">
        <v>54.68</v>
      </c>
      <c r="E10" s="53">
        <v>5.57</v>
      </c>
      <c r="F10" s="53">
        <v>3.54</v>
      </c>
      <c r="G10" s="53">
        <v>119.35</v>
      </c>
      <c r="H10" s="53">
        <v>49.4</v>
      </c>
      <c r="I10" s="53">
        <v>0.1</v>
      </c>
      <c r="J10" s="53">
        <v>0.89</v>
      </c>
      <c r="K10" s="53">
        <v>334.64</v>
      </c>
      <c r="L10" s="53">
        <v>13.68</v>
      </c>
      <c r="M10" s="53">
        <v>98.19</v>
      </c>
      <c r="N10" s="53">
        <v>56.2</v>
      </c>
      <c r="O10" s="53">
        <v>0</v>
      </c>
      <c r="P10" s="53">
        <v>2.63</v>
      </c>
      <c r="Q10" s="53">
        <v>9.77</v>
      </c>
      <c r="R10" s="43"/>
      <c r="S10" s="43"/>
      <c r="T10" s="43"/>
      <c r="U10" s="43"/>
    </row>
    <row r="11" spans="1:21" s="11" customFormat="1" x14ac:dyDescent="0.25">
      <c r="A11" s="52" t="s">
        <v>421</v>
      </c>
      <c r="B11" s="53">
        <v>63.74</v>
      </c>
      <c r="C11" s="53">
        <v>4.59</v>
      </c>
      <c r="D11" s="53">
        <v>52.39</v>
      </c>
      <c r="E11" s="53">
        <v>5.74</v>
      </c>
      <c r="F11" s="53">
        <v>3.1</v>
      </c>
      <c r="G11" s="53">
        <v>128.79</v>
      </c>
      <c r="H11" s="53">
        <v>49.99</v>
      </c>
      <c r="I11" s="53">
        <v>0.1</v>
      </c>
      <c r="J11" s="53">
        <v>0.77</v>
      </c>
      <c r="K11" s="53">
        <v>330</v>
      </c>
      <c r="L11" s="53">
        <v>13.65</v>
      </c>
      <c r="M11" s="53">
        <v>98.15</v>
      </c>
      <c r="N11" s="53">
        <v>56</v>
      </c>
      <c r="O11" s="53">
        <v>0</v>
      </c>
      <c r="P11" s="53">
        <v>2.62</v>
      </c>
      <c r="Q11" s="53">
        <v>9.75</v>
      </c>
      <c r="R11" s="43"/>
      <c r="S11" s="43"/>
      <c r="T11" s="43"/>
      <c r="U11" s="43"/>
    </row>
    <row r="12" spans="1:21" s="11" customFormat="1" x14ac:dyDescent="0.25">
      <c r="A12" s="52" t="s">
        <v>422</v>
      </c>
      <c r="B12" s="53">
        <v>56.38</v>
      </c>
      <c r="C12" s="53">
        <v>9.1300000000000008</v>
      </c>
      <c r="D12" s="53">
        <v>47.91</v>
      </c>
      <c r="E12" s="53">
        <v>5.74</v>
      </c>
      <c r="F12" s="53">
        <v>3.64</v>
      </c>
      <c r="G12" s="53">
        <v>140.74</v>
      </c>
      <c r="H12" s="53">
        <v>53.69</v>
      </c>
      <c r="I12" s="53">
        <v>0.1</v>
      </c>
      <c r="J12" s="53">
        <v>0.78</v>
      </c>
      <c r="K12" s="53">
        <v>336.6</v>
      </c>
      <c r="L12" s="53">
        <v>13.37</v>
      </c>
      <c r="M12" s="53">
        <v>98.17</v>
      </c>
      <c r="N12" s="53">
        <v>55.7</v>
      </c>
      <c r="O12" s="53">
        <v>0</v>
      </c>
      <c r="P12" s="53">
        <v>2.59</v>
      </c>
      <c r="Q12" s="53">
        <v>9.7200000000000006</v>
      </c>
      <c r="R12" s="43"/>
      <c r="S12" s="43"/>
      <c r="T12" s="43"/>
      <c r="U12" s="43"/>
    </row>
    <row r="13" spans="1:21" s="11" customFormat="1" x14ac:dyDescent="0.25">
      <c r="A13" s="52" t="s">
        <v>423</v>
      </c>
      <c r="B13" s="53">
        <v>49.29</v>
      </c>
      <c r="C13" s="53">
        <v>11.96</v>
      </c>
      <c r="D13" s="53">
        <v>44.07</v>
      </c>
      <c r="E13" s="53">
        <v>5.54</v>
      </c>
      <c r="F13" s="53">
        <v>3.44</v>
      </c>
      <c r="G13" s="53">
        <v>131.54</v>
      </c>
      <c r="H13" s="53">
        <v>52.9</v>
      </c>
      <c r="I13" s="53">
        <v>0.1</v>
      </c>
      <c r="J13" s="53">
        <v>0.71</v>
      </c>
      <c r="K13" s="53">
        <v>321.44</v>
      </c>
      <c r="L13" s="53">
        <v>13.38</v>
      </c>
      <c r="M13" s="53">
        <v>98.15</v>
      </c>
      <c r="N13" s="53">
        <v>55.7</v>
      </c>
      <c r="O13" s="53">
        <v>0</v>
      </c>
      <c r="P13" s="53">
        <v>2.4900000000000002</v>
      </c>
      <c r="Q13" s="53">
        <v>9.73</v>
      </c>
      <c r="R13" s="43"/>
      <c r="S13" s="43"/>
      <c r="T13" s="43"/>
      <c r="U13" s="43"/>
    </row>
    <row r="14" spans="1:21" s="11" customFormat="1" x14ac:dyDescent="0.25">
      <c r="A14" s="52" t="s">
        <v>424</v>
      </c>
      <c r="B14" s="53">
        <v>43.65</v>
      </c>
      <c r="C14" s="53">
        <v>13.17</v>
      </c>
      <c r="D14" s="53">
        <v>40.83</v>
      </c>
      <c r="E14" s="53">
        <v>5.21</v>
      </c>
      <c r="F14" s="53">
        <v>3.21</v>
      </c>
      <c r="G14" s="53">
        <v>118.87</v>
      </c>
      <c r="H14" s="53">
        <v>51.03</v>
      </c>
      <c r="I14" s="53">
        <v>0.1</v>
      </c>
      <c r="J14" s="53">
        <v>0.48</v>
      </c>
      <c r="K14" s="53">
        <v>353.51</v>
      </c>
      <c r="L14" s="53">
        <v>13.41</v>
      </c>
      <c r="M14" s="53">
        <v>98.18</v>
      </c>
      <c r="N14" s="53">
        <v>55.7</v>
      </c>
      <c r="O14" s="53">
        <v>0</v>
      </c>
      <c r="P14" s="53">
        <v>2.2999999999999998</v>
      </c>
      <c r="Q14" s="53">
        <v>9.7100000000000009</v>
      </c>
      <c r="R14" s="43"/>
      <c r="S14" s="43"/>
      <c r="T14" s="43"/>
      <c r="U14" s="43"/>
    </row>
    <row r="15" spans="1:21" s="11" customFormat="1" x14ac:dyDescent="0.25">
      <c r="A15" s="52" t="s">
        <v>425</v>
      </c>
      <c r="B15" s="53">
        <v>39.659999999999997</v>
      </c>
      <c r="C15" s="53">
        <v>15.31</v>
      </c>
      <c r="D15" s="53">
        <v>38.68</v>
      </c>
      <c r="E15" s="53">
        <v>4.8</v>
      </c>
      <c r="F15" s="53">
        <v>2.98</v>
      </c>
      <c r="G15" s="53">
        <v>113.13</v>
      </c>
      <c r="H15" s="53">
        <v>47.68</v>
      </c>
      <c r="I15" s="53">
        <v>0.1</v>
      </c>
      <c r="J15" s="53">
        <v>0.81</v>
      </c>
      <c r="K15" s="53">
        <v>329.05</v>
      </c>
      <c r="L15" s="53">
        <v>13.36</v>
      </c>
      <c r="M15" s="53">
        <v>98.17</v>
      </c>
      <c r="N15" s="53">
        <v>73.2</v>
      </c>
      <c r="O15" s="53">
        <v>0</v>
      </c>
      <c r="P15" s="53">
        <v>2.0099999999999998</v>
      </c>
      <c r="Q15" s="53">
        <v>9.7100000000000009</v>
      </c>
      <c r="R15" s="43"/>
      <c r="S15" s="43"/>
      <c r="T15" s="43"/>
      <c r="U15" s="43"/>
    </row>
    <row r="16" spans="1:21" s="11" customFormat="1" x14ac:dyDescent="0.25">
      <c r="A16" s="52" t="s">
        <v>426</v>
      </c>
      <c r="B16" s="53">
        <v>46.44</v>
      </c>
      <c r="C16" s="53">
        <v>13.28</v>
      </c>
      <c r="D16" s="53">
        <v>42.4</v>
      </c>
      <c r="E16" s="53">
        <v>5.0999999999999996</v>
      </c>
      <c r="F16" s="53">
        <v>2.81</v>
      </c>
      <c r="G16" s="53">
        <v>102.73</v>
      </c>
      <c r="H16" s="53">
        <v>44.31</v>
      </c>
      <c r="I16" s="53">
        <v>0.1</v>
      </c>
      <c r="J16" s="53">
        <v>1.37</v>
      </c>
      <c r="K16" s="53">
        <v>326.17</v>
      </c>
      <c r="L16" s="53">
        <v>15.74</v>
      </c>
      <c r="M16" s="53">
        <v>98.18</v>
      </c>
      <c r="N16" s="53">
        <v>185.3</v>
      </c>
      <c r="O16" s="53">
        <v>0</v>
      </c>
      <c r="P16" s="53">
        <v>2.04</v>
      </c>
      <c r="Q16" s="53">
        <v>9.7200000000000006</v>
      </c>
      <c r="R16" s="43"/>
      <c r="S16" s="43"/>
      <c r="T16" s="43"/>
      <c r="U16" s="43"/>
    </row>
    <row r="17" spans="1:21" s="11" customFormat="1" x14ac:dyDescent="0.25">
      <c r="A17" s="52" t="s">
        <v>427</v>
      </c>
      <c r="B17" s="53">
        <v>43.48</v>
      </c>
      <c r="C17" s="53">
        <v>15.73</v>
      </c>
      <c r="D17" s="53">
        <v>40.92</v>
      </c>
      <c r="E17" s="53">
        <v>5.44</v>
      </c>
      <c r="F17" s="53">
        <v>3.25</v>
      </c>
      <c r="G17" s="53">
        <v>84.32</v>
      </c>
      <c r="H17" s="53">
        <v>40.72</v>
      </c>
      <c r="I17" s="53">
        <v>0.1</v>
      </c>
      <c r="J17" s="53">
        <v>1.92</v>
      </c>
      <c r="K17" s="53">
        <v>126.93</v>
      </c>
      <c r="L17" s="53">
        <v>17.489999999999998</v>
      </c>
      <c r="M17" s="53">
        <v>85.75</v>
      </c>
      <c r="N17" s="53">
        <v>327.5</v>
      </c>
      <c r="O17" s="53">
        <v>0</v>
      </c>
      <c r="P17" s="53">
        <v>2</v>
      </c>
      <c r="Q17" s="53">
        <v>9.7100000000000009</v>
      </c>
      <c r="R17" s="43"/>
      <c r="S17" s="43"/>
      <c r="T17" s="43"/>
      <c r="U17" s="43"/>
    </row>
    <row r="18" spans="1:21" s="11" customFormat="1" x14ac:dyDescent="0.25">
      <c r="A18" s="52" t="s">
        <v>428</v>
      </c>
      <c r="B18" s="53">
        <v>36.619999999999997</v>
      </c>
      <c r="C18" s="53">
        <v>18.68</v>
      </c>
      <c r="D18" s="53">
        <v>37.07</v>
      </c>
      <c r="E18" s="53">
        <v>6.04</v>
      </c>
      <c r="F18" s="53">
        <v>3.66</v>
      </c>
      <c r="G18" s="53">
        <v>70.099999999999994</v>
      </c>
      <c r="H18" s="53">
        <v>33.11</v>
      </c>
      <c r="I18" s="53">
        <v>0.1</v>
      </c>
      <c r="J18" s="53">
        <v>1.71</v>
      </c>
      <c r="K18" s="53">
        <v>136.46</v>
      </c>
      <c r="L18" s="53">
        <v>20.23</v>
      </c>
      <c r="M18" s="53">
        <v>69.37</v>
      </c>
      <c r="N18" s="53">
        <v>411</v>
      </c>
      <c r="O18" s="53">
        <v>0</v>
      </c>
      <c r="P18" s="53">
        <v>1.82</v>
      </c>
      <c r="Q18" s="53">
        <v>9.69</v>
      </c>
      <c r="R18" s="43"/>
      <c r="S18" s="43"/>
      <c r="T18" s="43"/>
      <c r="U18" s="43"/>
    </row>
    <row r="19" spans="1:21" s="11" customFormat="1" x14ac:dyDescent="0.25">
      <c r="A19" s="52" t="s">
        <v>429</v>
      </c>
      <c r="B19" s="53">
        <v>29.97</v>
      </c>
      <c r="C19" s="53">
        <v>23.33</v>
      </c>
      <c r="D19" s="53">
        <v>33.979999999999997</v>
      </c>
      <c r="E19" s="53">
        <v>5.7</v>
      </c>
      <c r="F19" s="53">
        <v>3.2</v>
      </c>
      <c r="G19" s="53">
        <v>65.069999999999993</v>
      </c>
      <c r="H19" s="53">
        <v>30.81</v>
      </c>
      <c r="I19" s="53">
        <v>0.1</v>
      </c>
      <c r="J19" s="53">
        <v>1.76</v>
      </c>
      <c r="K19" s="53">
        <v>116.64</v>
      </c>
      <c r="L19" s="53">
        <v>24.12</v>
      </c>
      <c r="M19" s="53">
        <v>57.09</v>
      </c>
      <c r="N19" s="53">
        <v>467</v>
      </c>
      <c r="O19" s="53">
        <v>0</v>
      </c>
      <c r="P19" s="53">
        <v>1.53</v>
      </c>
      <c r="Q19" s="53">
        <v>9.69</v>
      </c>
      <c r="R19" s="43"/>
      <c r="S19" s="43"/>
      <c r="T19" s="43"/>
      <c r="U19" s="43"/>
    </row>
    <row r="20" spans="1:21" s="11" customFormat="1" x14ac:dyDescent="0.25">
      <c r="A20" s="52" t="s">
        <v>430</v>
      </c>
      <c r="B20" s="53">
        <v>23.31</v>
      </c>
      <c r="C20" s="53">
        <v>27</v>
      </c>
      <c r="D20" s="53">
        <v>31.04</v>
      </c>
      <c r="E20" s="53">
        <v>5.52</v>
      </c>
      <c r="F20" s="53">
        <v>2.68</v>
      </c>
      <c r="G20" s="53">
        <v>61.88</v>
      </c>
      <c r="H20" s="53">
        <v>28.49</v>
      </c>
      <c r="I20" s="53">
        <v>0.1</v>
      </c>
      <c r="J20" s="53">
        <v>1.36</v>
      </c>
      <c r="K20" s="53">
        <v>129.02000000000001</v>
      </c>
      <c r="L20" s="53">
        <v>24.78</v>
      </c>
      <c r="M20" s="53">
        <v>42.25</v>
      </c>
      <c r="N20" s="53">
        <v>469.9</v>
      </c>
      <c r="O20" s="53">
        <v>0</v>
      </c>
      <c r="P20" s="53">
        <v>1.39</v>
      </c>
      <c r="Q20" s="53">
        <v>9.66</v>
      </c>
      <c r="R20" s="43"/>
      <c r="S20" s="43"/>
      <c r="T20" s="43"/>
      <c r="U20" s="43"/>
    </row>
    <row r="21" spans="1:21" s="11" customFormat="1" x14ac:dyDescent="0.25">
      <c r="A21" s="52" t="s">
        <v>431</v>
      </c>
      <c r="B21" s="53">
        <v>17.059999999999999</v>
      </c>
      <c r="C21" s="53">
        <v>31.28</v>
      </c>
      <c r="D21" s="53">
        <v>27.67</v>
      </c>
      <c r="E21" s="53">
        <v>9.49</v>
      </c>
      <c r="F21" s="53">
        <v>5.53</v>
      </c>
      <c r="G21" s="53">
        <v>54.11</v>
      </c>
      <c r="H21" s="53">
        <v>26.21</v>
      </c>
      <c r="I21" s="53">
        <v>0.1</v>
      </c>
      <c r="J21" s="53">
        <v>1.1499999999999999</v>
      </c>
      <c r="K21" s="53">
        <v>340.68</v>
      </c>
      <c r="L21" s="53">
        <v>28.04</v>
      </c>
      <c r="M21" s="53">
        <v>40.94</v>
      </c>
      <c r="N21" s="53">
        <v>458.4</v>
      </c>
      <c r="O21" s="53">
        <v>0</v>
      </c>
      <c r="P21" s="53">
        <v>1.36</v>
      </c>
      <c r="Q21" s="53">
        <v>9.67</v>
      </c>
      <c r="R21" s="43"/>
      <c r="S21" s="43"/>
      <c r="T21" s="43"/>
      <c r="U21" s="43"/>
    </row>
    <row r="22" spans="1:21" s="11" customFormat="1" x14ac:dyDescent="0.25">
      <c r="A22" s="52" t="s">
        <v>432</v>
      </c>
      <c r="B22" s="53">
        <v>12</v>
      </c>
      <c r="C22" s="53">
        <v>34.15</v>
      </c>
      <c r="D22" s="53">
        <v>26.87</v>
      </c>
      <c r="E22" s="53">
        <v>14.87</v>
      </c>
      <c r="F22" s="53">
        <v>8.98</v>
      </c>
      <c r="G22" s="53">
        <v>47.48</v>
      </c>
      <c r="H22" s="53">
        <v>23.95</v>
      </c>
      <c r="I22" s="53">
        <v>0.1</v>
      </c>
      <c r="J22" s="53">
        <v>1.27</v>
      </c>
      <c r="K22" s="53">
        <v>332.39</v>
      </c>
      <c r="L22" s="53">
        <v>28.17</v>
      </c>
      <c r="M22" s="53">
        <v>30.76</v>
      </c>
      <c r="N22" s="53">
        <v>418.3</v>
      </c>
      <c r="O22" s="53">
        <v>0</v>
      </c>
      <c r="P22" s="53">
        <v>1.31</v>
      </c>
      <c r="Q22" s="53">
        <v>9.67</v>
      </c>
      <c r="R22" s="43"/>
      <c r="S22" s="43"/>
      <c r="T22" s="43"/>
      <c r="U22" s="43"/>
    </row>
    <row r="23" spans="1:21" s="11" customFormat="1" x14ac:dyDescent="0.25">
      <c r="A23" s="52" t="s">
        <v>433</v>
      </c>
      <c r="B23" s="53">
        <v>9.11</v>
      </c>
      <c r="C23" s="53">
        <v>37.119999999999997</v>
      </c>
      <c r="D23" s="53">
        <v>26.06</v>
      </c>
      <c r="E23" s="53">
        <v>9.09</v>
      </c>
      <c r="F23" s="53">
        <v>10.32</v>
      </c>
      <c r="G23" s="53">
        <v>50.85</v>
      </c>
      <c r="H23" s="53">
        <v>22.53</v>
      </c>
      <c r="I23" s="53">
        <v>0.1</v>
      </c>
      <c r="J23" s="53">
        <v>1.2</v>
      </c>
      <c r="K23" s="53">
        <v>338.67</v>
      </c>
      <c r="L23" s="53">
        <v>26.52</v>
      </c>
      <c r="M23" s="53">
        <v>35.07</v>
      </c>
      <c r="N23" s="53">
        <v>174.4</v>
      </c>
      <c r="O23" s="53">
        <v>0</v>
      </c>
      <c r="P23" s="53">
        <v>1.1399999999999999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434</v>
      </c>
      <c r="B24" s="53">
        <v>7.81</v>
      </c>
      <c r="C24" s="53">
        <v>40.619999999999997</v>
      </c>
      <c r="D24" s="53">
        <v>27.03</v>
      </c>
      <c r="E24" s="53">
        <v>15.92</v>
      </c>
      <c r="F24" s="53">
        <v>11.4</v>
      </c>
      <c r="G24" s="53">
        <v>52.16</v>
      </c>
      <c r="H24" s="53">
        <v>21.57</v>
      </c>
      <c r="I24" s="53">
        <v>0.1</v>
      </c>
      <c r="J24" s="53">
        <v>0.91</v>
      </c>
      <c r="K24" s="53">
        <v>348.79</v>
      </c>
      <c r="L24" s="53">
        <v>24.64</v>
      </c>
      <c r="M24" s="53">
        <v>37.44</v>
      </c>
      <c r="N24" s="53">
        <v>113.6</v>
      </c>
      <c r="O24" s="53">
        <v>0</v>
      </c>
      <c r="P24" s="53">
        <v>1.0900000000000001</v>
      </c>
      <c r="Q24" s="53">
        <v>9.6</v>
      </c>
      <c r="R24" s="43"/>
      <c r="S24" s="43"/>
      <c r="T24" s="43"/>
      <c r="U24" s="43"/>
    </row>
    <row r="25" spans="1:21" s="11" customFormat="1" x14ac:dyDescent="0.25">
      <c r="A25" s="52" t="s">
        <v>435</v>
      </c>
      <c r="B25" s="53">
        <v>9.75</v>
      </c>
      <c r="C25" s="53">
        <v>48.74</v>
      </c>
      <c r="D25" s="53">
        <v>32.729999999999997</v>
      </c>
      <c r="E25" s="53">
        <v>29.36</v>
      </c>
      <c r="F25" s="53">
        <v>14.2</v>
      </c>
      <c r="G25" s="53">
        <v>54.96</v>
      </c>
      <c r="H25" s="53">
        <v>22.67</v>
      </c>
      <c r="I25" s="53">
        <v>0.1</v>
      </c>
      <c r="J25" s="53">
        <v>0.84</v>
      </c>
      <c r="K25" s="53">
        <v>334.35</v>
      </c>
      <c r="L25" s="53">
        <v>23.88</v>
      </c>
      <c r="M25" s="53">
        <v>47.91</v>
      </c>
      <c r="N25" s="53">
        <v>81.5</v>
      </c>
      <c r="O25" s="53">
        <v>0</v>
      </c>
      <c r="P25" s="53">
        <v>1.29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436</v>
      </c>
      <c r="B26" s="53">
        <v>32.340000000000003</v>
      </c>
      <c r="C26" s="53">
        <v>51.95</v>
      </c>
      <c r="D26" s="53">
        <v>47.68</v>
      </c>
      <c r="E26" s="53">
        <v>14.76</v>
      </c>
      <c r="F26" s="53">
        <v>3.73</v>
      </c>
      <c r="G26" s="53">
        <v>68.67</v>
      </c>
      <c r="H26" s="53">
        <v>23.45</v>
      </c>
      <c r="I26" s="53">
        <v>0.1</v>
      </c>
      <c r="J26" s="53">
        <v>0.77</v>
      </c>
      <c r="K26" s="53">
        <v>325.85000000000002</v>
      </c>
      <c r="L26" s="53">
        <v>21.34</v>
      </c>
      <c r="M26" s="53">
        <v>69.33</v>
      </c>
      <c r="N26" s="53">
        <v>54.5</v>
      </c>
      <c r="O26" s="53">
        <v>0</v>
      </c>
      <c r="P26" s="53">
        <v>1.71</v>
      </c>
      <c r="Q26" s="53">
        <v>9.66</v>
      </c>
      <c r="R26" s="43"/>
      <c r="S26" s="43"/>
      <c r="T26" s="43"/>
      <c r="U26" s="43"/>
    </row>
    <row r="27" spans="1:21" s="11" customFormat="1" x14ac:dyDescent="0.25">
      <c r="A27" s="52" t="s">
        <v>437</v>
      </c>
      <c r="B27" s="53">
        <v>20.51</v>
      </c>
      <c r="C27" s="53">
        <v>36.159999999999997</v>
      </c>
      <c r="D27" s="53">
        <v>34.869999999999997</v>
      </c>
      <c r="E27" s="53">
        <v>6.98</v>
      </c>
      <c r="F27" s="53">
        <v>3.58</v>
      </c>
      <c r="G27" s="53">
        <v>131.03</v>
      </c>
      <c r="H27" s="53">
        <v>32.67</v>
      </c>
      <c r="I27" s="53">
        <v>0.1</v>
      </c>
      <c r="J27" s="53">
        <v>0.85</v>
      </c>
      <c r="K27" s="53">
        <v>357.86</v>
      </c>
      <c r="L27" s="53">
        <v>19.059999999999999</v>
      </c>
      <c r="M27" s="53">
        <v>74.290000000000006</v>
      </c>
      <c r="N27" s="53">
        <v>51.8</v>
      </c>
      <c r="O27" s="53">
        <v>0</v>
      </c>
      <c r="P27" s="53">
        <v>1.61</v>
      </c>
      <c r="Q27" s="53">
        <v>9.68</v>
      </c>
      <c r="R27" s="43"/>
      <c r="S27" s="43"/>
      <c r="T27" s="43"/>
      <c r="U27" s="43"/>
    </row>
    <row r="28" spans="1:21" s="11" customFormat="1" x14ac:dyDescent="0.25">
      <c r="A28" s="52" t="s">
        <v>438</v>
      </c>
      <c r="B28" s="53">
        <v>23.32</v>
      </c>
      <c r="C28" s="53">
        <v>33.65</v>
      </c>
      <c r="D28" s="53">
        <v>34.25</v>
      </c>
      <c r="E28" s="53">
        <v>6.74</v>
      </c>
      <c r="F28" s="53">
        <v>3.05</v>
      </c>
      <c r="G28" s="53">
        <v>126.39</v>
      </c>
      <c r="H28" s="53">
        <v>40.130000000000003</v>
      </c>
      <c r="I28" s="53">
        <v>0.1</v>
      </c>
      <c r="J28" s="53">
        <v>0.6</v>
      </c>
      <c r="K28" s="53">
        <v>300.27</v>
      </c>
      <c r="L28" s="53">
        <v>18.57</v>
      </c>
      <c r="M28" s="53">
        <v>76.28</v>
      </c>
      <c r="N28" s="53">
        <v>52</v>
      </c>
      <c r="O28" s="53">
        <v>0</v>
      </c>
      <c r="P28" s="53">
        <v>2</v>
      </c>
      <c r="Q28" s="53">
        <v>9.69</v>
      </c>
      <c r="R28" s="43"/>
      <c r="S28" s="43"/>
      <c r="T28" s="43"/>
      <c r="U28" s="43"/>
    </row>
    <row r="29" spans="1:21" s="11" customFormat="1" x14ac:dyDescent="0.25">
      <c r="A29" s="52" t="s">
        <v>439</v>
      </c>
      <c r="B29" s="53">
        <v>37.01</v>
      </c>
      <c r="C29" s="53">
        <v>29.23</v>
      </c>
      <c r="D29" s="53">
        <v>41.13</v>
      </c>
      <c r="E29" s="53">
        <v>6.05</v>
      </c>
      <c r="F29" s="53">
        <v>3.12</v>
      </c>
      <c r="G29" s="53">
        <v>142.96</v>
      </c>
      <c r="H29" s="53">
        <v>45.65</v>
      </c>
      <c r="I29" s="53">
        <v>0.1</v>
      </c>
      <c r="J29" s="53">
        <v>0.81</v>
      </c>
      <c r="K29" s="53">
        <v>132.72999999999999</v>
      </c>
      <c r="L29" s="53">
        <v>17.059999999999999</v>
      </c>
      <c r="M29" s="53">
        <v>94.71</v>
      </c>
      <c r="N29" s="53">
        <v>52</v>
      </c>
      <c r="O29" s="53">
        <v>0</v>
      </c>
      <c r="P29" s="53">
        <v>2.5499999999999998</v>
      </c>
      <c r="Q29" s="53">
        <v>9.7100000000000009</v>
      </c>
      <c r="R29" s="43"/>
      <c r="S29" s="43"/>
      <c r="T29" s="43"/>
      <c r="U29" s="43"/>
    </row>
    <row r="30" spans="1:21" s="11" customFormat="1" x14ac:dyDescent="0.25">
      <c r="A30" s="52" t="s">
        <v>440</v>
      </c>
      <c r="B30" s="53">
        <v>73.48</v>
      </c>
      <c r="C30" s="53">
        <v>17.77</v>
      </c>
      <c r="D30" s="53">
        <v>60.33</v>
      </c>
      <c r="E30" s="53">
        <v>6.78</v>
      </c>
      <c r="F30" s="53">
        <v>3.37</v>
      </c>
      <c r="G30" s="53">
        <v>141.63</v>
      </c>
      <c r="H30" s="53">
        <v>43.31</v>
      </c>
      <c r="I30" s="53">
        <v>0.1</v>
      </c>
      <c r="J30" s="53">
        <v>0.82</v>
      </c>
      <c r="K30" s="53">
        <v>319.85000000000002</v>
      </c>
      <c r="L30" s="53">
        <v>16.149999999999999</v>
      </c>
      <c r="M30" s="53">
        <v>98.15</v>
      </c>
      <c r="N30" s="53">
        <v>52.4</v>
      </c>
      <c r="O30" s="53">
        <v>0</v>
      </c>
      <c r="P30" s="53">
        <v>3.22</v>
      </c>
      <c r="Q30" s="53">
        <v>9.76</v>
      </c>
      <c r="R30" s="43"/>
      <c r="S30" s="43"/>
      <c r="T30" s="43"/>
      <c r="U30" s="43"/>
    </row>
    <row r="31" spans="1:21" s="11" customFormat="1" x14ac:dyDescent="0.25">
      <c r="A31" s="52" t="s">
        <v>441</v>
      </c>
      <c r="B31" s="53">
        <v>91.58</v>
      </c>
      <c r="C31" s="53">
        <v>0.39</v>
      </c>
      <c r="D31" s="53">
        <v>68.86</v>
      </c>
      <c r="E31" s="53">
        <v>7.08</v>
      </c>
      <c r="F31" s="53">
        <v>3.9</v>
      </c>
      <c r="G31" s="53">
        <v>146.96</v>
      </c>
      <c r="H31" s="53">
        <v>51.42</v>
      </c>
      <c r="I31" s="53">
        <v>0.1</v>
      </c>
      <c r="J31" s="53">
        <v>0.67</v>
      </c>
      <c r="K31" s="53">
        <v>286.7</v>
      </c>
      <c r="L31" s="53">
        <v>15.52</v>
      </c>
      <c r="M31" s="53">
        <v>98.15</v>
      </c>
      <c r="N31" s="53">
        <v>52.8</v>
      </c>
      <c r="O31" s="53">
        <v>0</v>
      </c>
      <c r="P31" s="53">
        <v>3.55</v>
      </c>
      <c r="Q31" s="53">
        <v>9.8000000000000007</v>
      </c>
      <c r="R31" s="43"/>
      <c r="S31" s="43"/>
      <c r="T31" s="43"/>
      <c r="U31" s="43"/>
    </row>
    <row r="32" spans="1:21" s="11" customFormat="1" x14ac:dyDescent="0.25">
      <c r="A32" s="52" t="s">
        <v>442</v>
      </c>
      <c r="B32" s="53">
        <v>97.05</v>
      </c>
      <c r="C32" s="53">
        <v>0</v>
      </c>
      <c r="D32" s="53">
        <v>70.77</v>
      </c>
      <c r="E32" s="53">
        <v>7.15</v>
      </c>
      <c r="F32" s="53">
        <v>3.77</v>
      </c>
      <c r="G32" s="53">
        <v>145.13999999999999</v>
      </c>
      <c r="H32" s="53">
        <v>50.54</v>
      </c>
      <c r="I32" s="53">
        <v>0.1</v>
      </c>
      <c r="J32" s="53">
        <v>0.82</v>
      </c>
      <c r="K32" s="53">
        <v>330.92</v>
      </c>
      <c r="L32" s="53">
        <v>15.05</v>
      </c>
      <c r="M32" s="53">
        <v>98.17</v>
      </c>
      <c r="N32" s="53">
        <v>52.9</v>
      </c>
      <c r="O32" s="53">
        <v>0</v>
      </c>
      <c r="P32" s="53">
        <v>3.64</v>
      </c>
      <c r="Q32" s="53">
        <v>9.81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7.81</v>
      </c>
      <c r="C34" s="28">
        <f t="shared" si="0"/>
        <v>0</v>
      </c>
      <c r="D34" s="28">
        <f t="shared" si="0"/>
        <v>26.06</v>
      </c>
      <c r="E34" s="28">
        <f t="shared" si="0"/>
        <v>4.8</v>
      </c>
      <c r="F34" s="28">
        <f t="shared" si="0"/>
        <v>2.68</v>
      </c>
      <c r="G34" s="28">
        <f t="shared" si="0"/>
        <v>47.48</v>
      </c>
      <c r="H34" s="28">
        <f t="shared" si="0"/>
        <v>21.57</v>
      </c>
      <c r="I34" s="28">
        <f t="shared" si="0"/>
        <v>0.1</v>
      </c>
      <c r="J34" s="28">
        <f t="shared" si="0"/>
        <v>0.48</v>
      </c>
      <c r="K34" s="28">
        <f t="shared" si="0"/>
        <v>116.64</v>
      </c>
      <c r="L34" s="28">
        <f t="shared" si="0"/>
        <v>13.36</v>
      </c>
      <c r="M34" s="28">
        <f t="shared" si="0"/>
        <v>30.76</v>
      </c>
      <c r="N34" s="28">
        <f t="shared" si="0"/>
        <v>51.8</v>
      </c>
      <c r="O34" s="28">
        <f t="shared" si="0"/>
        <v>0</v>
      </c>
      <c r="P34" s="28">
        <f t="shared" si="0"/>
        <v>1.0900000000000001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97.05</v>
      </c>
      <c r="C35" s="29">
        <f t="shared" si="1"/>
        <v>51.95</v>
      </c>
      <c r="D35" s="29">
        <f t="shared" si="1"/>
        <v>70.77</v>
      </c>
      <c r="E35" s="29">
        <f t="shared" si="1"/>
        <v>29.36</v>
      </c>
      <c r="F35" s="29">
        <f t="shared" si="1"/>
        <v>14.2</v>
      </c>
      <c r="G35" s="29">
        <f t="shared" si="1"/>
        <v>146.96</v>
      </c>
      <c r="H35" s="29">
        <f t="shared" si="1"/>
        <v>53.69</v>
      </c>
      <c r="I35" s="29">
        <f t="shared" si="1"/>
        <v>0.1</v>
      </c>
      <c r="J35" s="29">
        <f t="shared" si="1"/>
        <v>1.92</v>
      </c>
      <c r="K35" s="29">
        <f t="shared" si="1"/>
        <v>357.86</v>
      </c>
      <c r="L35" s="29">
        <f t="shared" si="1"/>
        <v>28.17</v>
      </c>
      <c r="M35" s="29">
        <f t="shared" si="1"/>
        <v>98.26</v>
      </c>
      <c r="N35" s="29">
        <f t="shared" si="1"/>
        <v>469.9</v>
      </c>
      <c r="O35" s="29">
        <f t="shared" si="1"/>
        <v>0</v>
      </c>
      <c r="P35" s="29">
        <f t="shared" si="1"/>
        <v>3.64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41.502499999999998</v>
      </c>
      <c r="C36" s="28">
        <f t="shared" si="2"/>
        <v>21.895833333333332</v>
      </c>
      <c r="D36" s="28">
        <f t="shared" si="2"/>
        <v>42.404583333333328</v>
      </c>
      <c r="E36" s="28">
        <f t="shared" si="2"/>
        <v>8.3612500000000001</v>
      </c>
      <c r="F36" s="28">
        <f t="shared" si="2"/>
        <v>4.7620833333333348</v>
      </c>
      <c r="G36" s="28">
        <f t="shared" si="2"/>
        <v>100.79541666666667</v>
      </c>
      <c r="H36" s="28">
        <f t="shared" si="2"/>
        <v>38.96</v>
      </c>
      <c r="I36" s="28">
        <f t="shared" si="2"/>
        <v>0.10000000000000003</v>
      </c>
      <c r="J36" s="28">
        <f t="shared" si="2"/>
        <v>1.0029166666666669</v>
      </c>
      <c r="K36" s="28">
        <f t="shared" si="2"/>
        <v>287.85708333333326</v>
      </c>
      <c r="L36" s="28">
        <f t="shared" si="2"/>
        <v>18.809166666666663</v>
      </c>
      <c r="M36" s="28">
        <f t="shared" si="2"/>
        <v>76.712916666666686</v>
      </c>
      <c r="N36" s="28">
        <f t="shared" si="2"/>
        <v>161.8416666666667</v>
      </c>
      <c r="O36" s="28">
        <f t="shared" si="2"/>
        <v>0</v>
      </c>
      <c r="P36" s="28">
        <f t="shared" si="2"/>
        <v>2.114583333333333</v>
      </c>
      <c r="Q36" s="28">
        <f t="shared" si="2"/>
        <v>9.7062500000000007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25.26146184106981</v>
      </c>
      <c r="C37" s="28">
        <f t="shared" ref="C37:Q37" si="3">STDEV(C9:C32)</f>
        <v>14.946982512597122</v>
      </c>
      <c r="D37" s="28">
        <f t="shared" si="3"/>
        <v>12.744865966909696</v>
      </c>
      <c r="E37" s="28">
        <f t="shared" si="3"/>
        <v>5.501287843294751</v>
      </c>
      <c r="F37" s="28">
        <f t="shared" si="3"/>
        <v>3.106556851405506</v>
      </c>
      <c r="G37" s="28">
        <f t="shared" si="3"/>
        <v>36.511157553627307</v>
      </c>
      <c r="H37" s="28">
        <f t="shared" si="3"/>
        <v>11.539697456662536</v>
      </c>
      <c r="I37" s="28">
        <f t="shared" si="3"/>
        <v>2.8352538009326866E-17</v>
      </c>
      <c r="J37" s="28">
        <f t="shared" si="3"/>
        <v>0.3817975694762481</v>
      </c>
      <c r="K37" s="28">
        <f t="shared" si="3"/>
        <v>84.942684076262594</v>
      </c>
      <c r="L37" s="28">
        <f t="shared" si="3"/>
        <v>5.1187013610083358</v>
      </c>
      <c r="M37" s="28">
        <f t="shared" si="3"/>
        <v>25.243940724401575</v>
      </c>
      <c r="N37" s="28">
        <f t="shared" si="3"/>
        <v>161.43185105868008</v>
      </c>
      <c r="O37" s="28">
        <f t="shared" si="3"/>
        <v>0</v>
      </c>
      <c r="P37" s="28">
        <f t="shared" si="3"/>
        <v>0.73979420855701117</v>
      </c>
      <c r="Q37" s="28">
        <f t="shared" si="3"/>
        <v>5.2487058446323995E-2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443</v>
      </c>
      <c r="B9" s="53">
        <v>93.21</v>
      </c>
      <c r="C9" s="5" t="s">
        <v>14</v>
      </c>
      <c r="D9" s="53">
        <v>68.16</v>
      </c>
      <c r="E9" s="53">
        <v>5.91</v>
      </c>
      <c r="F9" s="53">
        <v>3.27</v>
      </c>
      <c r="G9" s="53">
        <v>121.78</v>
      </c>
      <c r="H9" s="53">
        <v>47.26</v>
      </c>
      <c r="I9" s="53">
        <v>0.1</v>
      </c>
      <c r="J9" s="53">
        <v>0.8</v>
      </c>
      <c r="K9" s="53">
        <v>250.81</v>
      </c>
      <c r="L9" s="53">
        <v>14.35</v>
      </c>
      <c r="M9" s="53">
        <v>98.16</v>
      </c>
      <c r="N9" s="53">
        <v>52.4</v>
      </c>
      <c r="O9" s="53">
        <v>0</v>
      </c>
      <c r="P9" s="53">
        <v>3.52</v>
      </c>
      <c r="Q9" s="53">
        <v>9.7899999999999991</v>
      </c>
      <c r="R9" s="43"/>
      <c r="S9" s="43"/>
      <c r="T9" s="43"/>
      <c r="U9" s="43"/>
    </row>
    <row r="10" spans="1:21" s="11" customFormat="1" x14ac:dyDescent="0.25">
      <c r="A10" s="52" t="s">
        <v>444</v>
      </c>
      <c r="B10" s="53">
        <v>81.599999999999994</v>
      </c>
      <c r="C10" s="5" t="s">
        <v>14</v>
      </c>
      <c r="D10" s="53">
        <v>60.97</v>
      </c>
      <c r="E10" s="53">
        <v>5.82</v>
      </c>
      <c r="F10" s="53">
        <v>3.24</v>
      </c>
      <c r="G10" s="53">
        <v>91.19</v>
      </c>
      <c r="H10" s="53">
        <v>39.380000000000003</v>
      </c>
      <c r="I10" s="53">
        <v>0.1</v>
      </c>
      <c r="J10" s="53">
        <v>0.82</v>
      </c>
      <c r="K10" s="53">
        <v>305.87</v>
      </c>
      <c r="L10" s="53">
        <v>13.64</v>
      </c>
      <c r="M10" s="53">
        <v>98.18</v>
      </c>
      <c r="N10" s="53">
        <v>52.4</v>
      </c>
      <c r="O10" s="53">
        <v>0</v>
      </c>
      <c r="P10" s="53">
        <v>2.96</v>
      </c>
      <c r="Q10" s="53">
        <v>9.77</v>
      </c>
      <c r="R10" s="43"/>
      <c r="S10" s="43"/>
      <c r="T10" s="43"/>
      <c r="U10" s="43"/>
    </row>
    <row r="11" spans="1:21" s="11" customFormat="1" x14ac:dyDescent="0.25">
      <c r="A11" s="52" t="s">
        <v>445</v>
      </c>
      <c r="B11" s="53">
        <v>72.94</v>
      </c>
      <c r="C11" s="5" t="s">
        <v>14</v>
      </c>
      <c r="D11" s="53">
        <v>56.01</v>
      </c>
      <c r="E11" s="53">
        <v>6.03</v>
      </c>
      <c r="F11" s="53">
        <v>3.54</v>
      </c>
      <c r="G11" s="53">
        <v>75.319999999999993</v>
      </c>
      <c r="H11" s="53">
        <v>34.67</v>
      </c>
      <c r="I11" s="53">
        <v>0.1</v>
      </c>
      <c r="J11" s="53">
        <v>0.89</v>
      </c>
      <c r="K11" s="53">
        <v>327.87</v>
      </c>
      <c r="L11" s="53">
        <v>13.41</v>
      </c>
      <c r="M11" s="53">
        <v>98.15</v>
      </c>
      <c r="N11" s="53">
        <v>52.4</v>
      </c>
      <c r="O11" s="53">
        <v>0</v>
      </c>
      <c r="P11" s="53">
        <v>2.79</v>
      </c>
      <c r="Q11" s="53">
        <v>9.75</v>
      </c>
      <c r="R11" s="43"/>
      <c r="S11" s="43"/>
      <c r="T11" s="43"/>
      <c r="U11" s="43"/>
    </row>
    <row r="12" spans="1:21" s="11" customFormat="1" x14ac:dyDescent="0.25">
      <c r="A12" s="52" t="s">
        <v>446</v>
      </c>
      <c r="B12" s="53">
        <v>62.78</v>
      </c>
      <c r="C12" s="53">
        <v>4.5199999999999996</v>
      </c>
      <c r="D12" s="53">
        <v>50.13</v>
      </c>
      <c r="E12" s="53">
        <v>5.58</v>
      </c>
      <c r="F12" s="53">
        <v>3.35</v>
      </c>
      <c r="G12" s="53">
        <v>71.37</v>
      </c>
      <c r="H12" s="53">
        <v>32.47</v>
      </c>
      <c r="I12" s="53">
        <v>0.1</v>
      </c>
      <c r="J12" s="53">
        <v>0.86</v>
      </c>
      <c r="K12" s="53">
        <v>256.62</v>
      </c>
      <c r="L12" s="53">
        <v>12.81</v>
      </c>
      <c r="M12" s="53">
        <v>98.13</v>
      </c>
      <c r="N12" s="53">
        <v>52.2</v>
      </c>
      <c r="O12" s="53">
        <v>0</v>
      </c>
      <c r="P12" s="53">
        <v>2.39</v>
      </c>
      <c r="Q12" s="53">
        <v>9.75</v>
      </c>
      <c r="R12" s="43"/>
      <c r="S12" s="43"/>
      <c r="T12" s="43"/>
      <c r="U12" s="43"/>
    </row>
    <row r="13" spans="1:21" s="11" customFormat="1" x14ac:dyDescent="0.25">
      <c r="A13" s="52" t="s">
        <v>447</v>
      </c>
      <c r="B13" s="53">
        <v>51.5</v>
      </c>
      <c r="C13" s="53">
        <v>9.48</v>
      </c>
      <c r="D13" s="53">
        <v>43.78</v>
      </c>
      <c r="E13" s="53">
        <v>5.22</v>
      </c>
      <c r="F13" s="53">
        <v>2.87</v>
      </c>
      <c r="G13" s="53">
        <v>62.43</v>
      </c>
      <c r="H13" s="53">
        <v>29.74</v>
      </c>
      <c r="I13" s="53">
        <v>0.1</v>
      </c>
      <c r="J13" s="53">
        <v>0.77</v>
      </c>
      <c r="K13" s="53">
        <v>233.3</v>
      </c>
      <c r="L13" s="53">
        <v>12.32</v>
      </c>
      <c r="M13" s="53">
        <v>98.16</v>
      </c>
      <c r="N13" s="53">
        <v>52.3</v>
      </c>
      <c r="O13" s="53">
        <v>0</v>
      </c>
      <c r="P13" s="53">
        <v>2.0099999999999998</v>
      </c>
      <c r="Q13" s="53">
        <v>9.7200000000000006</v>
      </c>
      <c r="R13" s="43"/>
      <c r="S13" s="43"/>
      <c r="T13" s="43"/>
      <c r="U13" s="43"/>
    </row>
    <row r="14" spans="1:21" s="11" customFormat="1" x14ac:dyDescent="0.25">
      <c r="A14" s="52" t="s">
        <v>448</v>
      </c>
      <c r="B14" s="53">
        <v>41.8</v>
      </c>
      <c r="C14" s="53">
        <v>13.59</v>
      </c>
      <c r="D14" s="53">
        <v>38.54</v>
      </c>
      <c r="E14" s="53">
        <v>5.0599999999999996</v>
      </c>
      <c r="F14" s="53">
        <v>3.26</v>
      </c>
      <c r="G14" s="53">
        <v>25.92</v>
      </c>
      <c r="H14" s="53">
        <v>24.95</v>
      </c>
      <c r="I14" s="53">
        <v>0.1</v>
      </c>
      <c r="J14" s="53">
        <v>0.68</v>
      </c>
      <c r="K14" s="53">
        <v>307.04000000000002</v>
      </c>
      <c r="L14" s="53">
        <v>11.67</v>
      </c>
      <c r="M14" s="53">
        <v>98.18</v>
      </c>
      <c r="N14" s="53">
        <v>52.3</v>
      </c>
      <c r="O14" s="53">
        <v>0</v>
      </c>
      <c r="P14" s="53">
        <v>1.73</v>
      </c>
      <c r="Q14" s="53">
        <v>9.6999999999999993</v>
      </c>
      <c r="R14" s="43"/>
      <c r="S14" s="43"/>
      <c r="T14" s="43"/>
      <c r="U14" s="43"/>
    </row>
    <row r="15" spans="1:21" s="11" customFormat="1" x14ac:dyDescent="0.25">
      <c r="A15" s="52" t="s">
        <v>449</v>
      </c>
      <c r="B15" s="53">
        <v>34.56</v>
      </c>
      <c r="C15" s="53">
        <v>15.61</v>
      </c>
      <c r="D15" s="53">
        <v>34.82</v>
      </c>
      <c r="E15" s="53">
        <v>5.29</v>
      </c>
      <c r="F15" s="53">
        <v>3.34</v>
      </c>
      <c r="G15" s="53">
        <v>60.02</v>
      </c>
      <c r="H15" s="53">
        <v>23.62</v>
      </c>
      <c r="I15" s="53">
        <v>0.1</v>
      </c>
      <c r="J15" s="53">
        <v>0.82</v>
      </c>
      <c r="K15" s="53">
        <v>317.52</v>
      </c>
      <c r="L15" s="53">
        <v>11.26</v>
      </c>
      <c r="M15" s="53">
        <v>98.2</v>
      </c>
      <c r="N15" s="53">
        <v>71.5</v>
      </c>
      <c r="O15" s="53">
        <v>0</v>
      </c>
      <c r="P15" s="53">
        <v>1.69</v>
      </c>
      <c r="Q15" s="53">
        <v>9.69</v>
      </c>
      <c r="R15" s="43"/>
      <c r="S15" s="43"/>
      <c r="T15" s="43"/>
      <c r="U15" s="43"/>
    </row>
    <row r="16" spans="1:21" s="11" customFormat="1" x14ac:dyDescent="0.25">
      <c r="A16" s="52" t="s">
        <v>450</v>
      </c>
      <c r="B16" s="53">
        <v>32.14</v>
      </c>
      <c r="C16" s="53">
        <v>17.52</v>
      </c>
      <c r="D16" s="53">
        <v>33.81</v>
      </c>
      <c r="E16" s="53">
        <v>5.27</v>
      </c>
      <c r="F16" s="53">
        <v>3.43</v>
      </c>
      <c r="G16" s="53">
        <v>96.16</v>
      </c>
      <c r="H16" s="53">
        <v>22.75</v>
      </c>
      <c r="I16" s="53">
        <v>0.1</v>
      </c>
      <c r="J16" s="53">
        <v>1.08</v>
      </c>
      <c r="K16" s="53">
        <v>270.5</v>
      </c>
      <c r="L16" s="53">
        <v>14.03</v>
      </c>
      <c r="M16" s="53">
        <v>98.2</v>
      </c>
      <c r="N16" s="53">
        <v>196.1</v>
      </c>
      <c r="O16" s="53">
        <v>0</v>
      </c>
      <c r="P16" s="53">
        <v>1.67</v>
      </c>
      <c r="Q16" s="53">
        <v>9.68</v>
      </c>
      <c r="R16" s="43"/>
      <c r="S16" s="43"/>
      <c r="T16" s="43"/>
      <c r="U16" s="43"/>
    </row>
    <row r="17" spans="1:21" s="11" customFormat="1" x14ac:dyDescent="0.25">
      <c r="A17" s="52" t="s">
        <v>451</v>
      </c>
      <c r="B17" s="53">
        <v>29.83</v>
      </c>
      <c r="C17" s="53">
        <v>19.57</v>
      </c>
      <c r="D17" s="53">
        <v>33.68</v>
      </c>
      <c r="E17" s="53">
        <v>4.66</v>
      </c>
      <c r="F17" s="53">
        <v>3.1</v>
      </c>
      <c r="G17" s="53">
        <v>77.260000000000005</v>
      </c>
      <c r="H17" s="53">
        <v>24.51</v>
      </c>
      <c r="I17" s="53">
        <v>0.1</v>
      </c>
      <c r="J17" s="53">
        <v>1.05</v>
      </c>
      <c r="K17" s="53">
        <v>353.69</v>
      </c>
      <c r="L17" s="53">
        <v>20.59</v>
      </c>
      <c r="M17" s="53">
        <v>96.64</v>
      </c>
      <c r="N17" s="53">
        <v>326.3</v>
      </c>
      <c r="O17" s="53">
        <v>0</v>
      </c>
      <c r="P17" s="53">
        <v>1.61</v>
      </c>
      <c r="Q17" s="53">
        <v>9.69</v>
      </c>
      <c r="R17" s="43"/>
      <c r="S17" s="43"/>
      <c r="T17" s="43"/>
      <c r="U17" s="43"/>
    </row>
    <row r="18" spans="1:21" s="11" customFormat="1" x14ac:dyDescent="0.25">
      <c r="A18" s="52" t="s">
        <v>452</v>
      </c>
      <c r="B18" s="53">
        <v>29.86</v>
      </c>
      <c r="C18" s="53">
        <v>23.5</v>
      </c>
      <c r="D18" s="53">
        <v>34.29</v>
      </c>
      <c r="E18" s="53">
        <v>4.87</v>
      </c>
      <c r="F18" s="53">
        <v>3.29</v>
      </c>
      <c r="G18" s="53">
        <v>83.97</v>
      </c>
      <c r="H18" s="53">
        <v>26.08</v>
      </c>
      <c r="I18" s="53">
        <v>0.1</v>
      </c>
      <c r="J18" s="53">
        <v>1.54</v>
      </c>
      <c r="K18" s="53">
        <v>295.39999999999998</v>
      </c>
      <c r="L18" s="53">
        <v>21.62</v>
      </c>
      <c r="M18" s="53">
        <v>70.260000000000005</v>
      </c>
      <c r="N18" s="53">
        <v>397.6</v>
      </c>
      <c r="O18" s="53">
        <v>0</v>
      </c>
      <c r="P18" s="53">
        <v>1.74</v>
      </c>
      <c r="Q18" s="53">
        <v>9.69</v>
      </c>
      <c r="R18" s="43"/>
      <c r="S18" s="43"/>
      <c r="T18" s="43"/>
      <c r="U18" s="43"/>
    </row>
    <row r="19" spans="1:21" s="11" customFormat="1" x14ac:dyDescent="0.25">
      <c r="A19" s="52" t="s">
        <v>453</v>
      </c>
      <c r="B19" s="53">
        <v>24.79</v>
      </c>
      <c r="C19" s="53">
        <v>28.88</v>
      </c>
      <c r="D19" s="53">
        <v>32.47</v>
      </c>
      <c r="E19" s="53">
        <v>4.9000000000000004</v>
      </c>
      <c r="F19" s="53">
        <v>3.32</v>
      </c>
      <c r="G19" s="53">
        <v>80.59</v>
      </c>
      <c r="H19" s="53">
        <v>29.42</v>
      </c>
      <c r="I19" s="53">
        <v>0.1</v>
      </c>
      <c r="J19" s="53">
        <v>1.05</v>
      </c>
      <c r="K19" s="53">
        <v>329.79</v>
      </c>
      <c r="L19" s="53">
        <v>26.17</v>
      </c>
      <c r="M19" s="53">
        <v>62.15</v>
      </c>
      <c r="N19" s="53">
        <v>446.1</v>
      </c>
      <c r="O19" s="53">
        <v>0</v>
      </c>
      <c r="P19" s="53">
        <v>1.81</v>
      </c>
      <c r="Q19" s="53">
        <v>9.67</v>
      </c>
      <c r="R19" s="43"/>
      <c r="S19" s="43"/>
      <c r="T19" s="43"/>
      <c r="U19" s="43"/>
    </row>
    <row r="20" spans="1:21" s="11" customFormat="1" x14ac:dyDescent="0.25">
      <c r="A20" s="52" t="s">
        <v>454</v>
      </c>
      <c r="B20" s="53">
        <v>20.03</v>
      </c>
      <c r="C20" s="53">
        <v>33.33</v>
      </c>
      <c r="D20" s="53">
        <v>31.38</v>
      </c>
      <c r="E20" s="53">
        <v>5.34</v>
      </c>
      <c r="F20" s="53">
        <v>4.05</v>
      </c>
      <c r="G20" s="53">
        <v>75.42</v>
      </c>
      <c r="H20" s="53">
        <v>27.82</v>
      </c>
      <c r="I20" s="53">
        <v>0.1</v>
      </c>
      <c r="J20" s="53">
        <v>1.38</v>
      </c>
      <c r="K20" s="53">
        <v>338.09</v>
      </c>
      <c r="L20" s="53">
        <v>28.1</v>
      </c>
      <c r="M20" s="53">
        <v>40.29</v>
      </c>
      <c r="N20" s="53">
        <v>461.8</v>
      </c>
      <c r="O20" s="53">
        <v>0</v>
      </c>
      <c r="P20" s="53">
        <v>1.78</v>
      </c>
      <c r="Q20" s="53">
        <v>9.67</v>
      </c>
      <c r="R20" s="43"/>
      <c r="S20" s="43"/>
      <c r="T20" s="43"/>
      <c r="U20" s="43"/>
    </row>
    <row r="21" spans="1:21" s="11" customFormat="1" x14ac:dyDescent="0.25">
      <c r="A21" s="52" t="s">
        <v>455</v>
      </c>
      <c r="B21" s="53">
        <v>14.11</v>
      </c>
      <c r="C21" s="53">
        <v>37.56</v>
      </c>
      <c r="D21" s="53">
        <v>28.93</v>
      </c>
      <c r="E21" s="53">
        <v>5.68</v>
      </c>
      <c r="F21" s="53">
        <v>5.82</v>
      </c>
      <c r="G21" s="53">
        <v>62.84</v>
      </c>
      <c r="H21" s="53">
        <v>26.4</v>
      </c>
      <c r="I21" s="53">
        <v>0.1</v>
      </c>
      <c r="J21" s="53">
        <v>1.1000000000000001</v>
      </c>
      <c r="K21" s="53">
        <v>327.89</v>
      </c>
      <c r="L21" s="53">
        <v>28.73</v>
      </c>
      <c r="M21" s="53">
        <v>37.21</v>
      </c>
      <c r="N21" s="53">
        <v>440.1</v>
      </c>
      <c r="O21" s="53">
        <v>0</v>
      </c>
      <c r="P21" s="53">
        <v>1.55</v>
      </c>
      <c r="Q21" s="53">
        <v>9.66</v>
      </c>
      <c r="R21" s="43"/>
      <c r="S21" s="43"/>
      <c r="T21" s="43"/>
      <c r="U21" s="43"/>
    </row>
    <row r="22" spans="1:21" s="11" customFormat="1" x14ac:dyDescent="0.25">
      <c r="A22" s="52" t="s">
        <v>456</v>
      </c>
      <c r="B22" s="53">
        <v>7.95</v>
      </c>
      <c r="C22" s="53">
        <v>45.16</v>
      </c>
      <c r="D22" s="53">
        <v>27.9</v>
      </c>
      <c r="E22" s="53">
        <v>11.91</v>
      </c>
      <c r="F22" s="53">
        <v>11.79</v>
      </c>
      <c r="G22" s="53">
        <v>56.74</v>
      </c>
      <c r="H22" s="53">
        <v>24.19</v>
      </c>
      <c r="I22" s="53">
        <v>0.1</v>
      </c>
      <c r="J22" s="53">
        <v>1</v>
      </c>
      <c r="K22" s="53">
        <v>348.58</v>
      </c>
      <c r="L22" s="53">
        <v>28.1</v>
      </c>
      <c r="M22" s="53">
        <v>33.08</v>
      </c>
      <c r="N22" s="53">
        <v>362.7</v>
      </c>
      <c r="O22" s="53">
        <v>0</v>
      </c>
      <c r="P22" s="53">
        <v>1.5</v>
      </c>
      <c r="Q22" s="53">
        <v>9.64</v>
      </c>
      <c r="R22" s="43"/>
      <c r="S22" s="43"/>
      <c r="T22" s="43"/>
      <c r="U22" s="43"/>
    </row>
    <row r="23" spans="1:21" s="11" customFormat="1" x14ac:dyDescent="0.25">
      <c r="A23" s="52" t="s">
        <v>457</v>
      </c>
      <c r="B23" s="53">
        <v>9.1</v>
      </c>
      <c r="C23" s="53">
        <v>47.87</v>
      </c>
      <c r="D23" s="53">
        <v>31.75</v>
      </c>
      <c r="E23" s="53">
        <v>32.86</v>
      </c>
      <c r="F23" s="53">
        <v>21.94</v>
      </c>
      <c r="G23" s="53">
        <v>68.87</v>
      </c>
      <c r="H23" s="53">
        <v>24.04</v>
      </c>
      <c r="I23" s="53">
        <v>0.1</v>
      </c>
      <c r="J23" s="53">
        <v>1.0900000000000001</v>
      </c>
      <c r="K23" s="53">
        <v>335.88</v>
      </c>
      <c r="L23" s="53">
        <v>26.95</v>
      </c>
      <c r="M23" s="53">
        <v>35.18</v>
      </c>
      <c r="N23" s="53">
        <v>152.19999999999999</v>
      </c>
      <c r="O23" s="53">
        <v>0</v>
      </c>
      <c r="P23" s="53">
        <v>1.71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458</v>
      </c>
      <c r="B24" s="53">
        <v>9.5500000000000007</v>
      </c>
      <c r="C24" s="53">
        <v>43.03</v>
      </c>
      <c r="D24" s="53">
        <v>29.68</v>
      </c>
      <c r="E24" s="53">
        <v>25.59</v>
      </c>
      <c r="F24" s="53">
        <v>12.13</v>
      </c>
      <c r="G24" s="53">
        <v>75.02</v>
      </c>
      <c r="H24" s="53">
        <v>24.87</v>
      </c>
      <c r="I24" s="53">
        <v>0.1</v>
      </c>
      <c r="J24" s="53">
        <v>1.36</v>
      </c>
      <c r="K24" s="53">
        <v>337.49</v>
      </c>
      <c r="L24" s="53">
        <v>26.28</v>
      </c>
      <c r="M24" s="53">
        <v>29.67</v>
      </c>
      <c r="N24" s="53">
        <v>105.1</v>
      </c>
      <c r="O24" s="53">
        <v>0</v>
      </c>
      <c r="P24" s="53">
        <v>1.55</v>
      </c>
      <c r="Q24" s="53">
        <v>9.66</v>
      </c>
      <c r="R24" s="43"/>
      <c r="S24" s="43"/>
      <c r="T24" s="43"/>
      <c r="U24" s="43"/>
    </row>
    <row r="25" spans="1:21" s="11" customFormat="1" x14ac:dyDescent="0.25">
      <c r="A25" s="52" t="s">
        <v>459</v>
      </c>
      <c r="B25" s="53">
        <v>21.89</v>
      </c>
      <c r="C25" s="53">
        <v>44.7</v>
      </c>
      <c r="D25" s="53">
        <v>39.479999999999997</v>
      </c>
      <c r="E25" s="53">
        <v>12.51</v>
      </c>
      <c r="F25" s="53">
        <v>8.0299999999999994</v>
      </c>
      <c r="G25" s="53">
        <v>67.09</v>
      </c>
      <c r="H25" s="53">
        <v>23.75</v>
      </c>
      <c r="I25" s="53">
        <v>0.1</v>
      </c>
      <c r="J25" s="53">
        <v>1.47</v>
      </c>
      <c r="K25" s="53">
        <v>349.84</v>
      </c>
      <c r="L25" s="53">
        <v>25.12</v>
      </c>
      <c r="M25" s="53">
        <v>39.11</v>
      </c>
      <c r="N25" s="53">
        <v>75.900000000000006</v>
      </c>
      <c r="O25" s="53">
        <v>0</v>
      </c>
      <c r="P25" s="53">
        <v>1.72</v>
      </c>
      <c r="Q25" s="53">
        <v>9.66</v>
      </c>
      <c r="R25" s="43"/>
      <c r="S25" s="43"/>
      <c r="T25" s="43"/>
      <c r="U25" s="43"/>
    </row>
    <row r="26" spans="1:21" s="11" customFormat="1" x14ac:dyDescent="0.25">
      <c r="A26" s="52" t="s">
        <v>460</v>
      </c>
      <c r="B26" s="53">
        <v>23.44</v>
      </c>
      <c r="C26" s="53">
        <v>39.880000000000003</v>
      </c>
      <c r="D26" s="53">
        <v>35.67</v>
      </c>
      <c r="E26" s="53">
        <v>7.89</v>
      </c>
      <c r="F26" s="53">
        <v>4.25</v>
      </c>
      <c r="G26" s="53">
        <v>65.47</v>
      </c>
      <c r="H26" s="53">
        <v>22.5</v>
      </c>
      <c r="I26" s="53">
        <v>0.1</v>
      </c>
      <c r="J26" s="53">
        <v>0.78</v>
      </c>
      <c r="K26" s="53">
        <v>251.91</v>
      </c>
      <c r="L26" s="53">
        <v>21.89</v>
      </c>
      <c r="M26" s="53">
        <v>59.49</v>
      </c>
      <c r="N26" s="53">
        <v>52.1</v>
      </c>
      <c r="O26" s="53">
        <v>0</v>
      </c>
      <c r="P26" s="53">
        <v>1.67</v>
      </c>
      <c r="Q26" s="53">
        <v>9.68</v>
      </c>
      <c r="R26" s="43"/>
      <c r="S26" s="43"/>
      <c r="T26" s="43"/>
      <c r="U26" s="43"/>
    </row>
    <row r="27" spans="1:21" s="11" customFormat="1" x14ac:dyDescent="0.25">
      <c r="A27" s="52" t="s">
        <v>461</v>
      </c>
      <c r="B27" s="53">
        <v>45.9</v>
      </c>
      <c r="C27" s="53">
        <v>27.41</v>
      </c>
      <c r="D27" s="53">
        <v>45.22</v>
      </c>
      <c r="E27" s="53">
        <v>4.7</v>
      </c>
      <c r="F27" s="53">
        <v>2.8</v>
      </c>
      <c r="G27" s="53">
        <v>84.02</v>
      </c>
      <c r="H27" s="53">
        <v>25.33</v>
      </c>
      <c r="I27" s="53">
        <v>0.1</v>
      </c>
      <c r="J27" s="53">
        <v>0.78</v>
      </c>
      <c r="K27" s="53">
        <v>353.11</v>
      </c>
      <c r="L27" s="53">
        <v>18.59</v>
      </c>
      <c r="M27" s="53">
        <v>74.09</v>
      </c>
      <c r="N27" s="53">
        <v>49.1</v>
      </c>
      <c r="O27" s="53">
        <v>0</v>
      </c>
      <c r="P27" s="53">
        <v>2.0099999999999998</v>
      </c>
      <c r="Q27" s="53">
        <v>9.7200000000000006</v>
      </c>
      <c r="R27" s="43"/>
      <c r="S27" s="43"/>
      <c r="T27" s="43"/>
      <c r="U27" s="43"/>
    </row>
    <row r="28" spans="1:21" s="11" customFormat="1" x14ac:dyDescent="0.25">
      <c r="A28" s="52" t="s">
        <v>462</v>
      </c>
      <c r="B28" s="53">
        <v>67.760000000000005</v>
      </c>
      <c r="C28" s="53">
        <v>14.56</v>
      </c>
      <c r="D28" s="53">
        <v>56.73</v>
      </c>
      <c r="E28" s="53">
        <v>5.47</v>
      </c>
      <c r="F28" s="53">
        <v>3.08</v>
      </c>
      <c r="G28" s="53">
        <v>107.69</v>
      </c>
      <c r="H28" s="53">
        <v>29.93</v>
      </c>
      <c r="I28" s="53">
        <v>0.1</v>
      </c>
      <c r="J28" s="53">
        <v>0.52</v>
      </c>
      <c r="K28" s="53">
        <v>327.22000000000003</v>
      </c>
      <c r="L28" s="53">
        <v>17.28</v>
      </c>
      <c r="M28" s="53">
        <v>84.36</v>
      </c>
      <c r="N28" s="53">
        <v>49.3</v>
      </c>
      <c r="O28" s="53">
        <v>0</v>
      </c>
      <c r="P28" s="53">
        <v>2.39</v>
      </c>
      <c r="Q28" s="53">
        <v>9.75</v>
      </c>
      <c r="R28" s="43"/>
      <c r="S28" s="43"/>
      <c r="T28" s="43"/>
      <c r="U28" s="43"/>
    </row>
    <row r="29" spans="1:21" s="11" customFormat="1" x14ac:dyDescent="0.25">
      <c r="A29" s="52" t="s">
        <v>463</v>
      </c>
      <c r="B29" s="53">
        <v>83.85</v>
      </c>
      <c r="C29" s="53">
        <v>5.0199999999999996</v>
      </c>
      <c r="D29" s="53">
        <v>64.11</v>
      </c>
      <c r="E29" s="53">
        <v>5.75</v>
      </c>
      <c r="F29" s="53">
        <v>3.67</v>
      </c>
      <c r="G29" s="53">
        <v>106.98</v>
      </c>
      <c r="H29" s="53">
        <v>35.14</v>
      </c>
      <c r="I29" s="53">
        <v>0.1</v>
      </c>
      <c r="J29" s="53">
        <v>0.82</v>
      </c>
      <c r="K29" s="53">
        <v>326.75</v>
      </c>
      <c r="L29" s="53">
        <v>16.649999999999999</v>
      </c>
      <c r="M29" s="53">
        <v>83.11</v>
      </c>
      <c r="N29" s="53">
        <v>49.8</v>
      </c>
      <c r="O29" s="53">
        <v>0</v>
      </c>
      <c r="P29" s="53">
        <v>2.75</v>
      </c>
      <c r="Q29" s="53">
        <v>9.77</v>
      </c>
      <c r="R29" s="43"/>
      <c r="S29" s="43"/>
      <c r="T29" s="43"/>
      <c r="U29" s="43"/>
    </row>
    <row r="30" spans="1:21" s="11" customFormat="1" x14ac:dyDescent="0.25">
      <c r="A30" s="52" t="s">
        <v>464</v>
      </c>
      <c r="B30" s="53">
        <v>113.54</v>
      </c>
      <c r="C30" s="5" t="s">
        <v>14</v>
      </c>
      <c r="D30" s="53">
        <v>79.680000000000007</v>
      </c>
      <c r="E30" s="53">
        <v>5.73</v>
      </c>
      <c r="F30" s="53">
        <v>3.34</v>
      </c>
      <c r="G30" s="53">
        <v>677.88</v>
      </c>
      <c r="H30" s="53">
        <v>35.700000000000003</v>
      </c>
      <c r="I30" s="53">
        <v>0.1</v>
      </c>
      <c r="J30" s="53">
        <v>0.55000000000000004</v>
      </c>
      <c r="K30" s="53">
        <v>320.66000000000003</v>
      </c>
      <c r="L30" s="53">
        <v>15.79</v>
      </c>
      <c r="M30" s="53">
        <v>84.23</v>
      </c>
      <c r="N30" s="53">
        <v>50.1</v>
      </c>
      <c r="O30" s="53">
        <v>0</v>
      </c>
      <c r="P30" s="53">
        <v>3.16</v>
      </c>
      <c r="Q30" s="53">
        <v>9.83</v>
      </c>
      <c r="R30" s="43"/>
      <c r="S30" s="43"/>
      <c r="T30" s="43"/>
      <c r="U30" s="43"/>
    </row>
    <row r="31" spans="1:21" s="11" customFormat="1" x14ac:dyDescent="0.25">
      <c r="A31" s="52" t="s">
        <v>465</v>
      </c>
      <c r="B31" s="53">
        <v>150.61000000000001</v>
      </c>
      <c r="C31" s="5" t="s">
        <v>14</v>
      </c>
      <c r="D31" s="53">
        <v>98.29</v>
      </c>
      <c r="E31" s="53">
        <v>6.23</v>
      </c>
      <c r="F31" s="53">
        <v>3.23</v>
      </c>
      <c r="G31" s="53">
        <v>382.38</v>
      </c>
      <c r="H31" s="53">
        <v>37.67</v>
      </c>
      <c r="I31" s="53">
        <v>0.1</v>
      </c>
      <c r="J31" s="53">
        <v>0.71</v>
      </c>
      <c r="K31" s="53">
        <v>294.95</v>
      </c>
      <c r="L31" s="53">
        <v>15.19</v>
      </c>
      <c r="M31" s="53">
        <v>97.97</v>
      </c>
      <c r="N31" s="53">
        <v>50.7</v>
      </c>
      <c r="O31" s="53">
        <v>0</v>
      </c>
      <c r="P31" s="53">
        <v>3.68</v>
      </c>
      <c r="Q31" s="53">
        <v>9.86</v>
      </c>
      <c r="R31" s="43"/>
      <c r="S31" s="43"/>
      <c r="T31" s="43"/>
      <c r="U31" s="43"/>
    </row>
    <row r="32" spans="1:21" s="11" customFormat="1" x14ac:dyDescent="0.25">
      <c r="A32" s="52" t="s">
        <v>466</v>
      </c>
      <c r="B32" s="53">
        <v>167.77</v>
      </c>
      <c r="C32" s="5" t="s">
        <v>14</v>
      </c>
      <c r="D32" s="53">
        <v>107.34</v>
      </c>
      <c r="E32" s="53">
        <v>7.13</v>
      </c>
      <c r="F32" s="53">
        <v>3.43</v>
      </c>
      <c r="G32" s="53">
        <v>136.13</v>
      </c>
      <c r="H32" s="53">
        <v>43.24</v>
      </c>
      <c r="I32" s="53">
        <v>0.1</v>
      </c>
      <c r="J32" s="53">
        <v>0.83</v>
      </c>
      <c r="K32" s="53">
        <v>281.2</v>
      </c>
      <c r="L32" s="53">
        <v>14.73</v>
      </c>
      <c r="M32" s="53">
        <v>98</v>
      </c>
      <c r="N32" s="53">
        <v>57.1</v>
      </c>
      <c r="O32" s="53">
        <v>0</v>
      </c>
      <c r="P32" s="53">
        <v>4.17</v>
      </c>
      <c r="Q32" s="53">
        <v>9.8800000000000008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4.5199999999999996</v>
      </c>
      <c r="D34" s="28">
        <f t="shared" si="0"/>
        <v>27.9</v>
      </c>
      <c r="E34" s="28">
        <f t="shared" si="0"/>
        <v>4.66</v>
      </c>
      <c r="F34" s="28">
        <f t="shared" si="0"/>
        <v>2.8</v>
      </c>
      <c r="G34" s="28">
        <f t="shared" si="0"/>
        <v>25.92</v>
      </c>
      <c r="H34" s="28">
        <f t="shared" si="0"/>
        <v>22.5</v>
      </c>
      <c r="I34" s="28">
        <f t="shared" si="0"/>
        <v>0.1</v>
      </c>
      <c r="J34" s="28">
        <f t="shared" si="0"/>
        <v>0.52</v>
      </c>
      <c r="K34" s="28">
        <f t="shared" si="0"/>
        <v>233.3</v>
      </c>
      <c r="L34" s="28">
        <f t="shared" si="0"/>
        <v>11.26</v>
      </c>
      <c r="M34" s="28">
        <f t="shared" si="0"/>
        <v>29.67</v>
      </c>
      <c r="N34" s="28">
        <f t="shared" si="0"/>
        <v>49.1</v>
      </c>
      <c r="O34" s="28">
        <f t="shared" si="0"/>
        <v>0</v>
      </c>
      <c r="P34" s="28">
        <f t="shared" si="0"/>
        <v>1.5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167.77</v>
      </c>
      <c r="C35" s="29">
        <f t="shared" si="1"/>
        <v>47.87</v>
      </c>
      <c r="D35" s="29">
        <f t="shared" si="1"/>
        <v>107.34</v>
      </c>
      <c r="E35" s="29">
        <f t="shared" si="1"/>
        <v>32.86</v>
      </c>
      <c r="F35" s="29">
        <f t="shared" si="1"/>
        <v>21.94</v>
      </c>
      <c r="G35" s="29">
        <f t="shared" si="1"/>
        <v>677.88</v>
      </c>
      <c r="H35" s="29">
        <f t="shared" si="1"/>
        <v>47.26</v>
      </c>
      <c r="I35" s="29">
        <f t="shared" si="1"/>
        <v>0.1</v>
      </c>
      <c r="J35" s="29">
        <f t="shared" si="1"/>
        <v>1.54</v>
      </c>
      <c r="K35" s="29">
        <f t="shared" si="1"/>
        <v>353.69</v>
      </c>
      <c r="L35" s="29">
        <f t="shared" si="1"/>
        <v>28.73</v>
      </c>
      <c r="M35" s="29">
        <f t="shared" si="1"/>
        <v>98.2</v>
      </c>
      <c r="N35" s="29">
        <f t="shared" si="1"/>
        <v>461.8</v>
      </c>
      <c r="O35" s="29">
        <f t="shared" si="1"/>
        <v>0</v>
      </c>
      <c r="P35" s="29">
        <f t="shared" si="1"/>
        <v>4.17</v>
      </c>
      <c r="Q35" s="29">
        <f t="shared" si="1"/>
        <v>9.8800000000000008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53.771249999999988</v>
      </c>
      <c r="C36" s="28">
        <f t="shared" si="2"/>
        <v>26.177222222222223</v>
      </c>
      <c r="D36" s="28">
        <f t="shared" si="2"/>
        <v>48.450833333333321</v>
      </c>
      <c r="E36" s="28">
        <f t="shared" si="2"/>
        <v>8.1416666666666639</v>
      </c>
      <c r="F36" s="28">
        <f t="shared" si="2"/>
        <v>5.1487500000000006</v>
      </c>
      <c r="G36" s="28">
        <f t="shared" si="2"/>
        <v>117.18916666666668</v>
      </c>
      <c r="H36" s="28">
        <f t="shared" si="2"/>
        <v>29.809583333333332</v>
      </c>
      <c r="I36" s="28">
        <f t="shared" si="2"/>
        <v>0.10000000000000003</v>
      </c>
      <c r="J36" s="28">
        <f t="shared" si="2"/>
        <v>0.94791666666666685</v>
      </c>
      <c r="K36" s="28">
        <f t="shared" si="2"/>
        <v>310.08249999999998</v>
      </c>
      <c r="L36" s="28">
        <f t="shared" si="2"/>
        <v>18.969583333333333</v>
      </c>
      <c r="M36" s="28">
        <f t="shared" si="2"/>
        <v>75.424999999999997</v>
      </c>
      <c r="N36" s="28">
        <f t="shared" si="2"/>
        <v>154.48333333333332</v>
      </c>
      <c r="O36" s="28">
        <f t="shared" si="2"/>
        <v>0</v>
      </c>
      <c r="P36" s="28">
        <f t="shared" si="2"/>
        <v>2.2316666666666665</v>
      </c>
      <c r="Q36" s="28">
        <f t="shared" si="2"/>
        <v>9.7216666666666658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43.516811575228189</v>
      </c>
      <c r="C37" s="28">
        <f t="shared" ref="C37:Q37" si="3">STDEV(C9:C32)</f>
        <v>14.474415077303309</v>
      </c>
      <c r="D37" s="28">
        <f t="shared" si="3"/>
        <v>21.889704134625735</v>
      </c>
      <c r="E37" s="28">
        <f t="shared" si="3"/>
        <v>6.8747481640304944</v>
      </c>
      <c r="F37" s="28">
        <f t="shared" si="3"/>
        <v>4.4056616859791156</v>
      </c>
      <c r="G37" s="28">
        <f t="shared" si="3"/>
        <v>136.35473993823311</v>
      </c>
      <c r="H37" s="28">
        <f t="shared" si="3"/>
        <v>6.9190376807426421</v>
      </c>
      <c r="I37" s="28">
        <f t="shared" si="3"/>
        <v>2.8352538009326866E-17</v>
      </c>
      <c r="J37" s="28">
        <f t="shared" si="3"/>
        <v>0.27328881309398406</v>
      </c>
      <c r="K37" s="28">
        <f t="shared" si="3"/>
        <v>35.692520864352147</v>
      </c>
      <c r="L37" s="28">
        <f t="shared" si="3"/>
        <v>6.0348902076873499</v>
      </c>
      <c r="M37" s="28">
        <f t="shared" si="3"/>
        <v>26.211192265900493</v>
      </c>
      <c r="N37" s="28">
        <f t="shared" si="3"/>
        <v>154.30732650944597</v>
      </c>
      <c r="O37" s="28">
        <f t="shared" si="3"/>
        <v>0</v>
      </c>
      <c r="P37" s="28">
        <f t="shared" si="3"/>
        <v>0.7751671161569067</v>
      </c>
      <c r="Q37" s="28">
        <f t="shared" si="3"/>
        <v>6.7480539331023354E-2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COUNT(C9:C32)+6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467</v>
      </c>
      <c r="B9" s="53">
        <v>167.07</v>
      </c>
      <c r="C9" s="5" t="s">
        <v>14</v>
      </c>
      <c r="D9" s="53">
        <v>106.72</v>
      </c>
      <c r="E9" s="53">
        <v>7.41</v>
      </c>
      <c r="F9" s="53">
        <v>3.54</v>
      </c>
      <c r="G9" s="53">
        <v>68.87</v>
      </c>
      <c r="H9" s="53">
        <v>42.7</v>
      </c>
      <c r="I9" s="53">
        <v>0.1</v>
      </c>
      <c r="J9" s="53">
        <v>0.8</v>
      </c>
      <c r="K9" s="53">
        <v>317.52999999999997</v>
      </c>
      <c r="L9" s="53">
        <v>14.39</v>
      </c>
      <c r="M9" s="53">
        <v>98.01</v>
      </c>
      <c r="N9" s="53">
        <v>80.3</v>
      </c>
      <c r="O9" s="53">
        <v>0</v>
      </c>
      <c r="P9" s="53">
        <v>4.1900000000000004</v>
      </c>
      <c r="Q9" s="53">
        <v>9.8800000000000008</v>
      </c>
      <c r="R9" s="43"/>
      <c r="S9" s="43"/>
      <c r="T9" s="43"/>
      <c r="U9" s="43"/>
    </row>
    <row r="10" spans="1:21" s="11" customFormat="1" x14ac:dyDescent="0.25">
      <c r="A10" s="52" t="s">
        <v>468</v>
      </c>
      <c r="B10" s="53">
        <v>155.91</v>
      </c>
      <c r="C10" s="5" t="s">
        <v>14</v>
      </c>
      <c r="D10" s="53">
        <v>98.81</v>
      </c>
      <c r="E10" s="53">
        <v>7.03</v>
      </c>
      <c r="F10" s="53">
        <v>3.61</v>
      </c>
      <c r="G10" s="53">
        <v>108.27</v>
      </c>
      <c r="H10" s="53">
        <v>40.130000000000003</v>
      </c>
      <c r="I10" s="53">
        <v>0.1</v>
      </c>
      <c r="J10" s="53">
        <v>0.79</v>
      </c>
      <c r="K10" s="53">
        <v>357.87</v>
      </c>
      <c r="L10" s="53">
        <v>13.42</v>
      </c>
      <c r="M10" s="53">
        <v>98.03</v>
      </c>
      <c r="N10" s="53">
        <v>83</v>
      </c>
      <c r="O10" s="53">
        <v>0</v>
      </c>
      <c r="P10" s="53">
        <v>3.55</v>
      </c>
      <c r="Q10" s="53">
        <v>9.86</v>
      </c>
      <c r="R10" s="43"/>
      <c r="S10" s="43"/>
      <c r="T10" s="43"/>
      <c r="U10" s="43"/>
    </row>
    <row r="11" spans="1:21" s="11" customFormat="1" x14ac:dyDescent="0.25">
      <c r="A11" s="52" t="s">
        <v>469</v>
      </c>
      <c r="B11" s="53">
        <v>139.29</v>
      </c>
      <c r="C11" s="5" t="s">
        <v>14</v>
      </c>
      <c r="D11" s="53">
        <v>89.61</v>
      </c>
      <c r="E11" s="53">
        <v>6.42</v>
      </c>
      <c r="F11" s="53">
        <v>3.19</v>
      </c>
      <c r="G11" s="53">
        <v>92.93</v>
      </c>
      <c r="H11" s="53">
        <v>37.409999999999997</v>
      </c>
      <c r="I11" s="53">
        <v>0.1</v>
      </c>
      <c r="J11" s="53">
        <v>0.78</v>
      </c>
      <c r="K11" s="53">
        <v>354.32</v>
      </c>
      <c r="L11" s="53">
        <v>12.97</v>
      </c>
      <c r="M11" s="53">
        <v>98.04</v>
      </c>
      <c r="N11" s="53">
        <v>98.6</v>
      </c>
      <c r="O11" s="53">
        <v>0</v>
      </c>
      <c r="P11" s="53">
        <v>3.43</v>
      </c>
      <c r="Q11" s="53">
        <v>9.83</v>
      </c>
      <c r="R11" s="43"/>
      <c r="S11" s="43"/>
      <c r="T11" s="43"/>
      <c r="U11" s="43"/>
    </row>
    <row r="12" spans="1:21" s="11" customFormat="1" x14ac:dyDescent="0.25">
      <c r="A12" s="52" t="s">
        <v>470</v>
      </c>
      <c r="B12" s="53">
        <v>121.26</v>
      </c>
      <c r="C12" s="5" t="s">
        <v>14</v>
      </c>
      <c r="D12" s="53">
        <v>79.739999999999995</v>
      </c>
      <c r="E12" s="53">
        <v>6.48</v>
      </c>
      <c r="F12" s="53">
        <v>3.03</v>
      </c>
      <c r="G12" s="53">
        <v>72.540000000000006</v>
      </c>
      <c r="H12" s="53">
        <v>35.549999999999997</v>
      </c>
      <c r="I12" s="53">
        <v>0.1</v>
      </c>
      <c r="J12" s="53">
        <v>0.56999999999999995</v>
      </c>
      <c r="K12" s="53">
        <v>326.55</v>
      </c>
      <c r="L12" s="53">
        <v>12.44</v>
      </c>
      <c r="M12" s="53">
        <v>98.03</v>
      </c>
      <c r="N12" s="53">
        <v>87.2</v>
      </c>
      <c r="O12" s="53">
        <v>0</v>
      </c>
      <c r="P12" s="53">
        <v>3.14</v>
      </c>
      <c r="Q12" s="53">
        <v>9.81</v>
      </c>
      <c r="R12" s="43"/>
      <c r="S12" s="43"/>
      <c r="T12" s="43"/>
      <c r="U12" s="43"/>
    </row>
    <row r="13" spans="1:21" s="11" customFormat="1" x14ac:dyDescent="0.25">
      <c r="A13" s="52" t="s">
        <v>471</v>
      </c>
      <c r="B13" s="53">
        <v>108.25</v>
      </c>
      <c r="C13" s="5" t="s">
        <v>14</v>
      </c>
      <c r="D13" s="53">
        <v>72.209999999999994</v>
      </c>
      <c r="E13" s="53">
        <v>6.8</v>
      </c>
      <c r="F13" s="53">
        <v>3.72</v>
      </c>
      <c r="G13" s="53">
        <v>69.08</v>
      </c>
      <c r="H13" s="53">
        <v>34.369999999999997</v>
      </c>
      <c r="I13" s="53">
        <v>0.1</v>
      </c>
      <c r="J13" s="53">
        <v>0.91</v>
      </c>
      <c r="K13" s="53">
        <v>262.14999999999998</v>
      </c>
      <c r="L13" s="53">
        <v>12.12</v>
      </c>
      <c r="M13" s="53">
        <v>98.03</v>
      </c>
      <c r="N13" s="53">
        <v>87.9</v>
      </c>
      <c r="O13" s="53">
        <v>0</v>
      </c>
      <c r="P13" s="53">
        <v>3.03</v>
      </c>
      <c r="Q13" s="53">
        <v>9.7799999999999994</v>
      </c>
      <c r="R13" s="43"/>
      <c r="S13" s="43"/>
      <c r="T13" s="43"/>
      <c r="U13" s="43"/>
    </row>
    <row r="14" spans="1:21" s="11" customFormat="1" x14ac:dyDescent="0.25">
      <c r="A14" s="52" t="s">
        <v>472</v>
      </c>
      <c r="B14" s="53">
        <v>105.03</v>
      </c>
      <c r="C14" s="5" t="s">
        <v>14</v>
      </c>
      <c r="D14" s="53">
        <v>69.81</v>
      </c>
      <c r="E14" s="53">
        <v>6.69</v>
      </c>
      <c r="F14" s="53">
        <v>3.84</v>
      </c>
      <c r="G14" s="53">
        <v>94.86</v>
      </c>
      <c r="H14" s="53">
        <v>34.32</v>
      </c>
      <c r="I14" s="53">
        <v>0.1</v>
      </c>
      <c r="J14" s="53">
        <v>0.8</v>
      </c>
      <c r="K14" s="53">
        <v>342.46</v>
      </c>
      <c r="L14" s="53">
        <v>11.8</v>
      </c>
      <c r="M14" s="53">
        <v>98.07</v>
      </c>
      <c r="N14" s="53">
        <v>66.599999999999994</v>
      </c>
      <c r="O14" s="53">
        <v>0</v>
      </c>
      <c r="P14" s="53">
        <v>2.86</v>
      </c>
      <c r="Q14" s="53">
        <v>9.7799999999999994</v>
      </c>
      <c r="R14" s="43"/>
      <c r="S14" s="43"/>
      <c r="T14" s="43"/>
      <c r="U14" s="43"/>
    </row>
    <row r="15" spans="1:21" s="11" customFormat="1" x14ac:dyDescent="0.25">
      <c r="A15" s="52" t="s">
        <v>473</v>
      </c>
      <c r="B15" s="53">
        <v>112.28</v>
      </c>
      <c r="C15" s="5" t="s">
        <v>14</v>
      </c>
      <c r="D15" s="53">
        <v>73.05</v>
      </c>
      <c r="E15" s="53">
        <v>6.24</v>
      </c>
      <c r="F15" s="53">
        <v>3.41</v>
      </c>
      <c r="G15" s="53">
        <v>86.1</v>
      </c>
      <c r="H15" s="53">
        <v>32.07</v>
      </c>
      <c r="I15" s="53">
        <v>0.1</v>
      </c>
      <c r="J15" s="53">
        <v>0.82</v>
      </c>
      <c r="K15" s="53">
        <v>329.04</v>
      </c>
      <c r="L15" s="53">
        <v>11.38</v>
      </c>
      <c r="M15" s="53">
        <v>98.1</v>
      </c>
      <c r="N15" s="53">
        <v>85.9</v>
      </c>
      <c r="O15" s="53">
        <v>0</v>
      </c>
      <c r="P15" s="53">
        <v>2.4500000000000002</v>
      </c>
      <c r="Q15" s="53">
        <v>9.7899999999999991</v>
      </c>
      <c r="R15" s="43"/>
      <c r="S15" s="43"/>
      <c r="T15" s="43"/>
      <c r="U15" s="43"/>
    </row>
    <row r="16" spans="1:21" s="11" customFormat="1" x14ac:dyDescent="0.25">
      <c r="A16" s="52" t="s">
        <v>474</v>
      </c>
      <c r="B16" s="53">
        <v>114.52</v>
      </c>
      <c r="C16" s="5" t="s">
        <v>14</v>
      </c>
      <c r="D16" s="53">
        <v>74.31</v>
      </c>
      <c r="E16" s="53">
        <v>6.13</v>
      </c>
      <c r="F16" s="53">
        <v>3.26</v>
      </c>
      <c r="G16" s="53">
        <v>79.459999999999994</v>
      </c>
      <c r="H16" s="53">
        <v>31.22</v>
      </c>
      <c r="I16" s="53">
        <v>0.1</v>
      </c>
      <c r="J16" s="53">
        <v>1.01</v>
      </c>
      <c r="K16" s="53">
        <v>345.71</v>
      </c>
      <c r="L16" s="53">
        <v>17.91</v>
      </c>
      <c r="M16" s="53">
        <v>98.1</v>
      </c>
      <c r="N16" s="53">
        <v>244.5</v>
      </c>
      <c r="O16" s="53">
        <v>0</v>
      </c>
      <c r="P16" s="53">
        <v>2.5499999999999998</v>
      </c>
      <c r="Q16" s="53">
        <v>9.8000000000000007</v>
      </c>
      <c r="R16" s="43"/>
      <c r="S16" s="43"/>
      <c r="T16" s="43"/>
      <c r="U16" s="43"/>
    </row>
    <row r="17" spans="1:21" s="11" customFormat="1" x14ac:dyDescent="0.25">
      <c r="A17" s="52" t="s">
        <v>475</v>
      </c>
      <c r="B17" s="53">
        <v>110.68</v>
      </c>
      <c r="C17" s="5" t="s">
        <v>14</v>
      </c>
      <c r="D17" s="53">
        <v>72.94</v>
      </c>
      <c r="E17" s="53">
        <v>6.07</v>
      </c>
      <c r="F17" s="53">
        <v>3</v>
      </c>
      <c r="G17" s="53">
        <v>80.08</v>
      </c>
      <c r="H17" s="53">
        <v>31.19</v>
      </c>
      <c r="I17" s="53">
        <v>0.1</v>
      </c>
      <c r="J17" s="53">
        <v>1.45</v>
      </c>
      <c r="K17" s="53">
        <v>345.96</v>
      </c>
      <c r="L17" s="53">
        <v>23.92</v>
      </c>
      <c r="M17" s="53">
        <v>52.51</v>
      </c>
      <c r="N17" s="53">
        <v>321.3</v>
      </c>
      <c r="O17" s="53">
        <v>0</v>
      </c>
      <c r="P17" s="53">
        <v>2.62</v>
      </c>
      <c r="Q17" s="53">
        <v>9.77</v>
      </c>
      <c r="R17" s="43"/>
      <c r="S17" s="43"/>
      <c r="T17" s="43"/>
      <c r="U17" s="43"/>
    </row>
    <row r="18" spans="1:21" s="11" customFormat="1" x14ac:dyDescent="0.25">
      <c r="A18" s="52" t="s">
        <v>476</v>
      </c>
      <c r="B18" s="53">
        <v>99.29</v>
      </c>
      <c r="C18" s="53">
        <v>0.43</v>
      </c>
      <c r="D18" s="53">
        <v>68.790000000000006</v>
      </c>
      <c r="E18" s="53">
        <v>8.36</v>
      </c>
      <c r="F18" s="53">
        <v>4.2</v>
      </c>
      <c r="G18" s="53">
        <v>281.82</v>
      </c>
      <c r="H18" s="53">
        <v>35.81</v>
      </c>
      <c r="I18" s="53">
        <v>0.1</v>
      </c>
      <c r="J18" s="53">
        <v>1.1200000000000001</v>
      </c>
      <c r="K18" s="53">
        <v>345.88</v>
      </c>
      <c r="L18" s="53">
        <v>26.09</v>
      </c>
      <c r="M18" s="53">
        <v>41.82</v>
      </c>
      <c r="N18" s="53">
        <v>488.4</v>
      </c>
      <c r="O18" s="53">
        <v>0</v>
      </c>
      <c r="P18" s="53">
        <v>2.78</v>
      </c>
      <c r="Q18" s="53">
        <v>9.77</v>
      </c>
      <c r="R18" s="43"/>
      <c r="S18" s="43"/>
      <c r="T18" s="43"/>
      <c r="U18" s="43"/>
    </row>
    <row r="19" spans="1:21" s="11" customFormat="1" x14ac:dyDescent="0.25">
      <c r="A19" s="52" t="s">
        <v>477</v>
      </c>
      <c r="B19" s="5" t="s">
        <v>14</v>
      </c>
      <c r="C19" s="53">
        <v>0.88</v>
      </c>
      <c r="D19" s="53">
        <v>0</v>
      </c>
      <c r="E19" s="53">
        <v>7.53</v>
      </c>
      <c r="F19" s="53">
        <v>5.67</v>
      </c>
      <c r="G19" s="53">
        <v>46.87</v>
      </c>
      <c r="H19" s="53">
        <v>11.6</v>
      </c>
      <c r="I19" s="53">
        <v>0.1</v>
      </c>
      <c r="J19" s="53">
        <v>1.57</v>
      </c>
      <c r="K19" s="53">
        <v>348.13</v>
      </c>
      <c r="L19" s="53">
        <v>28.01</v>
      </c>
      <c r="M19" s="53">
        <v>30.05</v>
      </c>
      <c r="N19" s="53">
        <v>527.9</v>
      </c>
      <c r="O19" s="53">
        <v>0</v>
      </c>
      <c r="P19" s="53">
        <v>2.09</v>
      </c>
      <c r="Q19" s="53">
        <v>9.7200000000000006</v>
      </c>
      <c r="R19" s="43"/>
      <c r="S19" s="43"/>
      <c r="T19" s="43"/>
      <c r="U19" s="43"/>
    </row>
    <row r="20" spans="1:21" s="11" customFormat="1" x14ac:dyDescent="0.25">
      <c r="A20" s="52" t="s">
        <v>478</v>
      </c>
      <c r="B20" s="53">
        <v>1.05</v>
      </c>
      <c r="C20" s="53">
        <v>31.26</v>
      </c>
      <c r="D20" s="53">
        <v>16.72</v>
      </c>
      <c r="E20" s="53">
        <v>6.19</v>
      </c>
      <c r="F20" s="53">
        <v>4.6399999999999997</v>
      </c>
      <c r="G20" s="53">
        <v>46.87</v>
      </c>
      <c r="H20" s="53">
        <v>11.6</v>
      </c>
      <c r="I20" s="53">
        <v>0.1</v>
      </c>
      <c r="J20" s="53">
        <v>0.79</v>
      </c>
      <c r="K20" s="53">
        <v>352.6</v>
      </c>
      <c r="L20" s="53">
        <v>27.38</v>
      </c>
      <c r="M20" s="53">
        <v>29.66</v>
      </c>
      <c r="N20" s="53">
        <v>531</v>
      </c>
      <c r="O20" s="53">
        <v>0</v>
      </c>
      <c r="P20" s="53">
        <v>1.36</v>
      </c>
      <c r="Q20" s="53">
        <v>9.69</v>
      </c>
      <c r="R20" s="43"/>
      <c r="S20" s="43"/>
      <c r="T20" s="43"/>
      <c r="U20" s="43"/>
    </row>
    <row r="21" spans="1:21" s="11" customFormat="1" x14ac:dyDescent="0.25">
      <c r="A21" s="52" t="s">
        <v>479</v>
      </c>
      <c r="B21" s="53">
        <v>2.81</v>
      </c>
      <c r="C21" s="53">
        <v>34.909999999999997</v>
      </c>
      <c r="D21" s="53">
        <v>19.64</v>
      </c>
      <c r="E21" s="53">
        <v>16.04</v>
      </c>
      <c r="F21" s="53">
        <v>7.07</v>
      </c>
      <c r="G21" s="53">
        <v>39.18</v>
      </c>
      <c r="H21" s="53">
        <v>11.55</v>
      </c>
      <c r="I21" s="53">
        <v>0.1</v>
      </c>
      <c r="J21" s="53">
        <v>1.43</v>
      </c>
      <c r="K21" s="53">
        <v>357.42</v>
      </c>
      <c r="L21" s="53">
        <v>28.15</v>
      </c>
      <c r="M21" s="53">
        <v>25.79</v>
      </c>
      <c r="N21" s="53">
        <v>488.3</v>
      </c>
      <c r="O21" s="53">
        <v>0</v>
      </c>
      <c r="P21" s="53">
        <v>0.86</v>
      </c>
      <c r="Q21" s="53">
        <v>9.67</v>
      </c>
      <c r="R21" s="43"/>
      <c r="S21" s="43"/>
      <c r="T21" s="43"/>
      <c r="U21" s="43"/>
    </row>
    <row r="22" spans="1:21" s="11" customFormat="1" x14ac:dyDescent="0.25">
      <c r="A22" s="52" t="s">
        <v>480</v>
      </c>
      <c r="B22" s="53">
        <v>3.78</v>
      </c>
      <c r="C22" s="53">
        <v>33.35</v>
      </c>
      <c r="D22" s="53">
        <v>19.8</v>
      </c>
      <c r="E22" s="53">
        <v>19.45</v>
      </c>
      <c r="F22" s="53">
        <v>11.65</v>
      </c>
      <c r="G22" s="53">
        <v>39.18</v>
      </c>
      <c r="H22" s="53">
        <v>11.35</v>
      </c>
      <c r="I22" s="53">
        <v>0.1</v>
      </c>
      <c r="J22" s="53">
        <v>1.2</v>
      </c>
      <c r="K22" s="53">
        <v>352.58</v>
      </c>
      <c r="L22" s="53">
        <v>27.94</v>
      </c>
      <c r="M22" s="53">
        <v>21.46</v>
      </c>
      <c r="N22" s="53">
        <v>441.6</v>
      </c>
      <c r="O22" s="53">
        <v>0</v>
      </c>
      <c r="P22" s="53">
        <v>0.93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481</v>
      </c>
      <c r="B23" s="53">
        <v>7.32</v>
      </c>
      <c r="C23" s="53">
        <v>34.549999999999997</v>
      </c>
      <c r="D23" s="53">
        <v>22.82</v>
      </c>
      <c r="E23" s="53">
        <v>16.100000000000001</v>
      </c>
      <c r="F23" s="53">
        <v>9.65</v>
      </c>
      <c r="G23" s="53">
        <v>31.26</v>
      </c>
      <c r="H23" s="53">
        <v>9.16</v>
      </c>
      <c r="I23" s="53">
        <v>0.1</v>
      </c>
      <c r="J23" s="53">
        <v>1.74</v>
      </c>
      <c r="K23" s="53">
        <v>346.07</v>
      </c>
      <c r="L23" s="53">
        <v>26.01</v>
      </c>
      <c r="M23" s="53">
        <v>22.6</v>
      </c>
      <c r="N23" s="53">
        <v>170.5</v>
      </c>
      <c r="O23" s="53">
        <v>0</v>
      </c>
      <c r="P23" s="53">
        <v>0.79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482</v>
      </c>
      <c r="B24" s="53">
        <v>5.03</v>
      </c>
      <c r="C24" s="53">
        <v>34.33</v>
      </c>
      <c r="D24" s="53">
        <v>21.3</v>
      </c>
      <c r="E24" s="53">
        <v>8.07</v>
      </c>
      <c r="F24" s="53">
        <v>4.75</v>
      </c>
      <c r="G24" s="53">
        <v>38.68</v>
      </c>
      <c r="H24" s="53">
        <v>8.89</v>
      </c>
      <c r="I24" s="53">
        <v>0.1</v>
      </c>
      <c r="J24" s="53">
        <v>2.0499999999999998</v>
      </c>
      <c r="K24" s="53">
        <v>333.43</v>
      </c>
      <c r="L24" s="53">
        <v>25.2</v>
      </c>
      <c r="M24" s="53">
        <v>22.29</v>
      </c>
      <c r="N24" s="53">
        <v>93.6</v>
      </c>
      <c r="O24" s="53">
        <v>0</v>
      </c>
      <c r="P24" s="53">
        <v>0.65</v>
      </c>
      <c r="Q24" s="53">
        <v>9.6</v>
      </c>
      <c r="R24" s="43"/>
      <c r="S24" s="43"/>
      <c r="T24" s="43"/>
      <c r="U24" s="43"/>
    </row>
    <row r="25" spans="1:21" s="11" customFormat="1" x14ac:dyDescent="0.25">
      <c r="A25" s="52" t="s">
        <v>483</v>
      </c>
      <c r="B25" s="53">
        <v>21.04</v>
      </c>
      <c r="C25" s="53">
        <v>32.159999999999997</v>
      </c>
      <c r="D25" s="53">
        <v>51.1</v>
      </c>
      <c r="E25" s="53">
        <v>15.98</v>
      </c>
      <c r="F25" s="53">
        <v>11.29</v>
      </c>
      <c r="G25" s="53">
        <v>38.68</v>
      </c>
      <c r="H25" s="53">
        <v>8.4499999999999993</v>
      </c>
      <c r="I25" s="53">
        <v>0.1</v>
      </c>
      <c r="J25" s="53">
        <v>1.85</v>
      </c>
      <c r="K25" s="53">
        <v>344.29</v>
      </c>
      <c r="L25" s="53">
        <v>24.07</v>
      </c>
      <c r="M25" s="53">
        <v>26.6</v>
      </c>
      <c r="N25" s="53">
        <v>76.3</v>
      </c>
      <c r="O25" s="53">
        <v>0</v>
      </c>
      <c r="P25" s="53">
        <v>0.99</v>
      </c>
      <c r="Q25" s="53">
        <v>9.57</v>
      </c>
      <c r="R25" s="43"/>
      <c r="S25" s="43"/>
      <c r="T25" s="43"/>
      <c r="U25" s="43"/>
    </row>
    <row r="26" spans="1:21" s="11" customFormat="1" x14ac:dyDescent="0.25">
      <c r="A26" s="52" t="s">
        <v>484</v>
      </c>
      <c r="B26" s="53">
        <v>23.48</v>
      </c>
      <c r="C26" s="53">
        <v>41.92</v>
      </c>
      <c r="D26" s="53">
        <v>34.700000000000003</v>
      </c>
      <c r="E26" s="53">
        <v>13.51</v>
      </c>
      <c r="F26" s="53">
        <v>7.18</v>
      </c>
      <c r="G26" s="53">
        <v>33.090000000000003</v>
      </c>
      <c r="H26" s="53">
        <v>8.7899999999999991</v>
      </c>
      <c r="I26" s="53">
        <v>0.1</v>
      </c>
      <c r="J26" s="53">
        <v>0.56000000000000005</v>
      </c>
      <c r="K26" s="53">
        <v>288.32</v>
      </c>
      <c r="L26" s="53">
        <v>22.09</v>
      </c>
      <c r="M26" s="53">
        <v>43.29</v>
      </c>
      <c r="N26" s="53">
        <v>57.2</v>
      </c>
      <c r="O26" s="53">
        <v>0</v>
      </c>
      <c r="P26" s="53">
        <v>1.33</v>
      </c>
      <c r="Q26" s="53">
        <v>9.65</v>
      </c>
      <c r="R26" s="43"/>
      <c r="S26" s="43"/>
      <c r="T26" s="43"/>
      <c r="U26" s="43"/>
    </row>
    <row r="27" spans="1:21" s="11" customFormat="1" x14ac:dyDescent="0.25">
      <c r="A27" s="52" t="s">
        <v>485</v>
      </c>
      <c r="B27" s="53">
        <v>35.42</v>
      </c>
      <c r="C27" s="53">
        <v>26.45</v>
      </c>
      <c r="D27" s="53">
        <v>40.590000000000003</v>
      </c>
      <c r="E27" s="53">
        <v>6.37</v>
      </c>
      <c r="F27" s="53">
        <v>2.7</v>
      </c>
      <c r="G27" s="53">
        <v>73.56</v>
      </c>
      <c r="H27" s="53">
        <v>14.37</v>
      </c>
      <c r="I27" s="53">
        <v>0.1</v>
      </c>
      <c r="J27" s="53">
        <v>0.78</v>
      </c>
      <c r="K27" s="53">
        <v>298.74</v>
      </c>
      <c r="L27" s="53">
        <v>18.64</v>
      </c>
      <c r="M27" s="53">
        <v>57.55</v>
      </c>
      <c r="N27" s="53">
        <v>53</v>
      </c>
      <c r="O27" s="53">
        <v>0</v>
      </c>
      <c r="P27" s="53">
        <v>1.3</v>
      </c>
      <c r="Q27" s="53">
        <v>9.67</v>
      </c>
      <c r="R27" s="43"/>
      <c r="S27" s="43"/>
      <c r="T27" s="43"/>
      <c r="U27" s="43"/>
    </row>
    <row r="28" spans="1:21" s="11" customFormat="1" x14ac:dyDescent="0.25">
      <c r="A28" s="52" t="s">
        <v>486</v>
      </c>
      <c r="B28" s="53">
        <v>63.02</v>
      </c>
      <c r="C28" s="53">
        <v>15.52</v>
      </c>
      <c r="D28" s="53">
        <v>50.39</v>
      </c>
      <c r="E28" s="53">
        <v>5.59</v>
      </c>
      <c r="F28" s="53">
        <v>2.72</v>
      </c>
      <c r="G28" s="53">
        <v>88.98</v>
      </c>
      <c r="H28" s="53">
        <v>20</v>
      </c>
      <c r="I28" s="53">
        <v>0.1</v>
      </c>
      <c r="J28" s="53">
        <v>0.66</v>
      </c>
      <c r="K28" s="53">
        <v>324.43</v>
      </c>
      <c r="L28" s="53">
        <v>17.09</v>
      </c>
      <c r="M28" s="53">
        <v>69.38</v>
      </c>
      <c r="N28" s="53">
        <v>52.8</v>
      </c>
      <c r="O28" s="53">
        <v>0</v>
      </c>
      <c r="P28" s="53">
        <v>1.57</v>
      </c>
      <c r="Q28" s="53">
        <v>9.73</v>
      </c>
      <c r="R28" s="43"/>
      <c r="S28" s="43"/>
      <c r="T28" s="43"/>
      <c r="U28" s="43"/>
    </row>
    <row r="29" spans="1:21" s="11" customFormat="1" x14ac:dyDescent="0.25">
      <c r="A29" s="52" t="s">
        <v>487</v>
      </c>
      <c r="B29" s="53">
        <v>107.71</v>
      </c>
      <c r="C29" s="5" t="s">
        <v>14</v>
      </c>
      <c r="D29" s="53">
        <v>72.760000000000005</v>
      </c>
      <c r="E29" s="53">
        <v>6.02</v>
      </c>
      <c r="F29" s="53">
        <v>2.48</v>
      </c>
      <c r="G29" s="53">
        <v>110.05</v>
      </c>
      <c r="H29" s="53">
        <v>28.82</v>
      </c>
      <c r="I29" s="53">
        <v>0.1</v>
      </c>
      <c r="J29" s="53">
        <v>0.69</v>
      </c>
      <c r="K29" s="53">
        <v>297.81</v>
      </c>
      <c r="L29" s="53">
        <v>16.43</v>
      </c>
      <c r="M29" s="53">
        <v>80.34</v>
      </c>
      <c r="N29" s="53">
        <v>52.7</v>
      </c>
      <c r="O29" s="53">
        <v>0</v>
      </c>
      <c r="P29" s="53">
        <v>2.2599999999999998</v>
      </c>
      <c r="Q29" s="53">
        <v>9.7799999999999994</v>
      </c>
      <c r="R29" s="43"/>
      <c r="S29" s="43"/>
      <c r="T29" s="43"/>
      <c r="U29" s="43"/>
    </row>
    <row r="30" spans="1:21" s="11" customFormat="1" x14ac:dyDescent="0.25">
      <c r="A30" s="52" t="s">
        <v>488</v>
      </c>
      <c r="B30" s="53">
        <v>145.78</v>
      </c>
      <c r="C30" s="5" t="s">
        <v>14</v>
      </c>
      <c r="D30" s="53">
        <v>92.08</v>
      </c>
      <c r="E30" s="53">
        <v>6.62</v>
      </c>
      <c r="F30" s="53">
        <v>2.6</v>
      </c>
      <c r="G30" s="53">
        <v>110.86</v>
      </c>
      <c r="H30" s="53">
        <v>34.25</v>
      </c>
      <c r="I30" s="53">
        <v>0.1</v>
      </c>
      <c r="J30" s="53">
        <v>0.56000000000000005</v>
      </c>
      <c r="K30" s="53">
        <v>352.39</v>
      </c>
      <c r="L30" s="53">
        <v>15.95</v>
      </c>
      <c r="M30" s="53">
        <v>86.8</v>
      </c>
      <c r="N30" s="53">
        <v>52.7</v>
      </c>
      <c r="O30" s="53">
        <v>0</v>
      </c>
      <c r="P30" s="53">
        <v>3.03</v>
      </c>
      <c r="Q30" s="53">
        <v>9.81</v>
      </c>
      <c r="R30" s="43"/>
      <c r="S30" s="43"/>
      <c r="T30" s="43"/>
      <c r="U30" s="43"/>
    </row>
    <row r="31" spans="1:21" s="11" customFormat="1" x14ac:dyDescent="0.25">
      <c r="A31" s="52" t="s">
        <v>489</v>
      </c>
      <c r="B31" s="53">
        <v>141.91</v>
      </c>
      <c r="C31" s="5" t="s">
        <v>14</v>
      </c>
      <c r="D31" s="53">
        <v>90.21</v>
      </c>
      <c r="E31" s="53">
        <v>6.88</v>
      </c>
      <c r="F31" s="53">
        <v>2.64</v>
      </c>
      <c r="G31" s="53">
        <v>110.86</v>
      </c>
      <c r="H31" s="53">
        <v>34.25</v>
      </c>
      <c r="I31" s="53">
        <v>0.1</v>
      </c>
      <c r="J31" s="53">
        <v>0.59</v>
      </c>
      <c r="K31" s="53">
        <v>312.02999999999997</v>
      </c>
      <c r="L31" s="53">
        <v>15.73</v>
      </c>
      <c r="M31" s="53">
        <v>80.61</v>
      </c>
      <c r="N31" s="53">
        <v>52.8</v>
      </c>
      <c r="O31" s="53">
        <v>0</v>
      </c>
      <c r="P31" s="53">
        <v>3.09</v>
      </c>
      <c r="Q31" s="53">
        <v>9.83</v>
      </c>
      <c r="R31" s="43"/>
      <c r="S31" s="43"/>
      <c r="T31" s="43"/>
      <c r="U31" s="43"/>
    </row>
    <row r="32" spans="1:21" s="11" customFormat="1" x14ac:dyDescent="0.25">
      <c r="A32" s="52" t="s">
        <v>490</v>
      </c>
      <c r="B32" s="53">
        <v>139.15</v>
      </c>
      <c r="C32" s="5" t="s">
        <v>14</v>
      </c>
      <c r="D32" s="53">
        <v>87.34</v>
      </c>
      <c r="E32" s="53">
        <v>6.72</v>
      </c>
      <c r="F32" s="53">
        <v>2.76</v>
      </c>
      <c r="G32" s="53">
        <v>85.13</v>
      </c>
      <c r="H32" s="53">
        <v>30.97</v>
      </c>
      <c r="I32" s="53">
        <v>0.1</v>
      </c>
      <c r="J32" s="53">
        <v>0.7</v>
      </c>
      <c r="K32" s="53">
        <v>339.87</v>
      </c>
      <c r="L32" s="53">
        <v>14.59</v>
      </c>
      <c r="M32" s="53">
        <v>89.02</v>
      </c>
      <c r="N32" s="53">
        <v>52.8</v>
      </c>
      <c r="O32" s="53">
        <v>0</v>
      </c>
      <c r="P32" s="53">
        <v>3.19</v>
      </c>
      <c r="Q32" s="53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1.05</v>
      </c>
      <c r="C34" s="28">
        <f t="shared" si="0"/>
        <v>0.43</v>
      </c>
      <c r="D34" s="28">
        <f t="shared" si="0"/>
        <v>0</v>
      </c>
      <c r="E34" s="28">
        <f t="shared" si="0"/>
        <v>5.59</v>
      </c>
      <c r="F34" s="28">
        <f t="shared" si="0"/>
        <v>2.48</v>
      </c>
      <c r="G34" s="28">
        <f t="shared" si="0"/>
        <v>31.26</v>
      </c>
      <c r="H34" s="28">
        <f t="shared" si="0"/>
        <v>8.4499999999999993</v>
      </c>
      <c r="I34" s="28">
        <f t="shared" si="0"/>
        <v>0.1</v>
      </c>
      <c r="J34" s="28">
        <f t="shared" si="0"/>
        <v>0.56000000000000005</v>
      </c>
      <c r="K34" s="28">
        <f t="shared" si="0"/>
        <v>262.14999999999998</v>
      </c>
      <c r="L34" s="28">
        <f t="shared" si="0"/>
        <v>11.38</v>
      </c>
      <c r="M34" s="28">
        <f t="shared" si="0"/>
        <v>21.46</v>
      </c>
      <c r="N34" s="28">
        <f t="shared" si="0"/>
        <v>52.7</v>
      </c>
      <c r="O34" s="28">
        <f t="shared" si="0"/>
        <v>0</v>
      </c>
      <c r="P34" s="28">
        <f t="shared" si="0"/>
        <v>0.65</v>
      </c>
      <c r="Q34" s="28">
        <f t="shared" si="0"/>
        <v>9.57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167.07</v>
      </c>
      <c r="C35" s="29">
        <f t="shared" si="1"/>
        <v>41.92</v>
      </c>
      <c r="D35" s="29">
        <f t="shared" si="1"/>
        <v>106.72</v>
      </c>
      <c r="E35" s="29">
        <f t="shared" si="1"/>
        <v>19.45</v>
      </c>
      <c r="F35" s="29">
        <f t="shared" si="1"/>
        <v>11.65</v>
      </c>
      <c r="G35" s="29">
        <f t="shared" si="1"/>
        <v>281.82</v>
      </c>
      <c r="H35" s="29">
        <f t="shared" si="1"/>
        <v>42.7</v>
      </c>
      <c r="I35" s="29">
        <f t="shared" si="1"/>
        <v>0.1</v>
      </c>
      <c r="J35" s="29">
        <f t="shared" si="1"/>
        <v>2.0499999999999998</v>
      </c>
      <c r="K35" s="29">
        <f t="shared" si="1"/>
        <v>357.87</v>
      </c>
      <c r="L35" s="29">
        <f t="shared" si="1"/>
        <v>28.15</v>
      </c>
      <c r="M35" s="29">
        <f t="shared" si="1"/>
        <v>98.1</v>
      </c>
      <c r="N35" s="29">
        <f t="shared" si="1"/>
        <v>531</v>
      </c>
      <c r="O35" s="29">
        <f t="shared" si="1"/>
        <v>0</v>
      </c>
      <c r="P35" s="29">
        <f t="shared" si="1"/>
        <v>4.1900000000000004</v>
      </c>
      <c r="Q35" s="29">
        <f t="shared" si="1"/>
        <v>9.8800000000000008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83.96</v>
      </c>
      <c r="C36" s="28">
        <f t="shared" si="2"/>
        <v>25.978181818181813</v>
      </c>
      <c r="D36" s="28">
        <f t="shared" si="2"/>
        <v>59.393333333333338</v>
      </c>
      <c r="E36" s="28">
        <f t="shared" si="2"/>
        <v>8.6958333333333329</v>
      </c>
      <c r="F36" s="28">
        <f t="shared" si="2"/>
        <v>4.6916666666666673</v>
      </c>
      <c r="G36" s="28">
        <f t="shared" si="2"/>
        <v>80.302499999999995</v>
      </c>
      <c r="H36" s="28">
        <f t="shared" si="2"/>
        <v>24.950833333333339</v>
      </c>
      <c r="I36" s="28">
        <f t="shared" si="2"/>
        <v>0.10000000000000003</v>
      </c>
      <c r="J36" s="28">
        <f t="shared" si="2"/>
        <v>1.0091666666666665</v>
      </c>
      <c r="K36" s="28">
        <f t="shared" si="2"/>
        <v>332.31583333333333</v>
      </c>
      <c r="L36" s="28">
        <f t="shared" si="2"/>
        <v>19.321666666666662</v>
      </c>
      <c r="M36" s="28">
        <f t="shared" si="2"/>
        <v>65.17416666666665</v>
      </c>
      <c r="N36" s="28">
        <f t="shared" si="2"/>
        <v>181.12083333333331</v>
      </c>
      <c r="O36" s="28">
        <f t="shared" si="2"/>
        <v>0</v>
      </c>
      <c r="P36" s="28">
        <f t="shared" si="2"/>
        <v>2.2516666666666665</v>
      </c>
      <c r="Q36" s="28">
        <f t="shared" si="2"/>
        <v>9.7454166666666655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57.780449980940794</v>
      </c>
      <c r="C37" s="28">
        <f t="shared" ref="C37:Q37" si="3">STDEV(C9:C32)</f>
        <v>14.106128326498267</v>
      </c>
      <c r="D37" s="28">
        <f t="shared" si="3"/>
        <v>30.538857594684274</v>
      </c>
      <c r="E37" s="28">
        <f t="shared" si="3"/>
        <v>4.086880299165875</v>
      </c>
      <c r="F37" s="28">
        <f t="shared" si="3"/>
        <v>2.7218290951469379</v>
      </c>
      <c r="G37" s="28">
        <f t="shared" si="3"/>
        <v>50.530777642249255</v>
      </c>
      <c r="H37" s="28">
        <f t="shared" si="3"/>
        <v>12.08442904577284</v>
      </c>
      <c r="I37" s="28">
        <f t="shared" si="3"/>
        <v>2.8352538009326866E-17</v>
      </c>
      <c r="J37" s="28">
        <f t="shared" si="3"/>
        <v>0.44157737680971049</v>
      </c>
      <c r="K37" s="28">
        <f t="shared" si="3"/>
        <v>24.846528043111007</v>
      </c>
      <c r="L37" s="28">
        <f t="shared" si="3"/>
        <v>6.0788690786496176</v>
      </c>
      <c r="M37" s="28">
        <f t="shared" si="3"/>
        <v>31.283354918031716</v>
      </c>
      <c r="N37" s="28">
        <f t="shared" si="3"/>
        <v>177.19759537863663</v>
      </c>
      <c r="O37" s="28">
        <f t="shared" si="3"/>
        <v>0</v>
      </c>
      <c r="P37" s="28">
        <f t="shared" si="3"/>
        <v>1.0288603516456478</v>
      </c>
      <c r="Q37" s="28">
        <f t="shared" si="3"/>
        <v>8.5464417547109373E-2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</f>
        <v>24</v>
      </c>
      <c r="C38" s="32">
        <f>COUNT(C9:C32)+13</f>
        <v>24</v>
      </c>
      <c r="D38" s="32">
        <f t="shared" ref="D38:Q38" si="4">COUNT(D9:D32)</f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51" sqref="E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491</v>
      </c>
      <c r="B9" s="53">
        <v>135.13999999999999</v>
      </c>
      <c r="C9" s="57" t="s">
        <v>14</v>
      </c>
      <c r="D9" s="53">
        <v>84.39</v>
      </c>
      <c r="E9" s="53">
        <v>5.14</v>
      </c>
      <c r="F9" s="53">
        <v>2.5299999999999998</v>
      </c>
      <c r="G9" s="53">
        <v>85.14</v>
      </c>
      <c r="H9" s="53">
        <v>30.97</v>
      </c>
      <c r="I9" s="53">
        <v>0.1</v>
      </c>
      <c r="J9" s="53">
        <v>0.7</v>
      </c>
      <c r="K9" s="53">
        <v>346.39</v>
      </c>
      <c r="L9" s="53">
        <v>13.88</v>
      </c>
      <c r="M9" s="53">
        <v>93.81</v>
      </c>
      <c r="N9" s="53">
        <v>52.7</v>
      </c>
      <c r="O9" s="53">
        <v>0</v>
      </c>
      <c r="P9" s="53">
        <v>3.23</v>
      </c>
      <c r="Q9" s="53">
        <v>9.7899999999999991</v>
      </c>
      <c r="R9" s="43"/>
      <c r="S9" s="43"/>
      <c r="T9" s="43"/>
      <c r="U9" s="43"/>
    </row>
    <row r="10" spans="1:21" s="11" customFormat="1" x14ac:dyDescent="0.25">
      <c r="A10" s="52" t="s">
        <v>492</v>
      </c>
      <c r="B10" s="53">
        <v>124.13</v>
      </c>
      <c r="C10" s="57" t="s">
        <v>14</v>
      </c>
      <c r="D10" s="53">
        <v>78.08</v>
      </c>
      <c r="E10" s="53">
        <v>4.8499999999999996</v>
      </c>
      <c r="F10" s="53">
        <v>2.4900000000000002</v>
      </c>
      <c r="G10" s="53">
        <v>69.88</v>
      </c>
      <c r="H10" s="53">
        <v>30.66</v>
      </c>
      <c r="I10" s="53">
        <v>0.1</v>
      </c>
      <c r="J10" s="53">
        <v>0.66</v>
      </c>
      <c r="K10" s="53">
        <v>228.23</v>
      </c>
      <c r="L10" s="53">
        <v>13.42</v>
      </c>
      <c r="M10" s="53">
        <v>95.22</v>
      </c>
      <c r="N10" s="53">
        <v>52.8</v>
      </c>
      <c r="O10" s="53">
        <v>0</v>
      </c>
      <c r="P10" s="53">
        <v>2.86</v>
      </c>
      <c r="Q10" s="53">
        <v>9.7799999999999994</v>
      </c>
      <c r="R10" s="43"/>
      <c r="S10" s="43"/>
      <c r="T10" s="43"/>
      <c r="U10" s="43"/>
    </row>
    <row r="11" spans="1:21" s="11" customFormat="1" x14ac:dyDescent="0.25">
      <c r="A11" s="52" t="s">
        <v>493</v>
      </c>
      <c r="B11" s="53">
        <v>108.41</v>
      </c>
      <c r="C11" s="57" t="s">
        <v>14</v>
      </c>
      <c r="D11" s="53">
        <v>69.599999999999994</v>
      </c>
      <c r="E11" s="53">
        <v>4.87</v>
      </c>
      <c r="F11" s="53">
        <v>2.64</v>
      </c>
      <c r="G11" s="53">
        <v>70.930000000000007</v>
      </c>
      <c r="H11" s="53">
        <v>24.59</v>
      </c>
      <c r="I11" s="53">
        <v>0.1</v>
      </c>
      <c r="J11" s="53">
        <v>0.82</v>
      </c>
      <c r="K11" s="53">
        <v>236.81</v>
      </c>
      <c r="L11" s="53">
        <v>13.39</v>
      </c>
      <c r="M11" s="53">
        <v>93.53</v>
      </c>
      <c r="N11" s="53">
        <v>52.8</v>
      </c>
      <c r="O11" s="53">
        <v>0</v>
      </c>
      <c r="P11" s="53">
        <v>2.77</v>
      </c>
      <c r="Q11" s="53">
        <v>9.76</v>
      </c>
      <c r="R11" s="43"/>
      <c r="S11" s="43"/>
      <c r="T11" s="43"/>
      <c r="U11" s="43"/>
    </row>
    <row r="12" spans="1:21" s="11" customFormat="1" x14ac:dyDescent="0.25">
      <c r="A12" s="52" t="s">
        <v>494</v>
      </c>
      <c r="B12" s="53">
        <v>91.07</v>
      </c>
      <c r="C12" s="57" t="s">
        <v>14</v>
      </c>
      <c r="D12" s="53">
        <v>60.42</v>
      </c>
      <c r="E12" s="53">
        <v>4.93</v>
      </c>
      <c r="F12" s="53">
        <v>2.68</v>
      </c>
      <c r="G12" s="53">
        <v>71.099999999999994</v>
      </c>
      <c r="H12" s="53">
        <v>24.13</v>
      </c>
      <c r="I12" s="53">
        <v>0.1</v>
      </c>
      <c r="J12" s="53">
        <v>0.74</v>
      </c>
      <c r="K12" s="53">
        <v>310.61</v>
      </c>
      <c r="L12" s="53">
        <v>12.27</v>
      </c>
      <c r="M12" s="53">
        <v>97.76</v>
      </c>
      <c r="N12" s="53">
        <v>52.8</v>
      </c>
      <c r="O12" s="53">
        <v>0</v>
      </c>
      <c r="P12" s="53">
        <v>2.44</v>
      </c>
      <c r="Q12" s="53">
        <v>9.75</v>
      </c>
      <c r="R12" s="43"/>
      <c r="S12" s="43"/>
      <c r="T12" s="43"/>
      <c r="U12" s="43"/>
    </row>
    <row r="13" spans="1:21" s="11" customFormat="1" x14ac:dyDescent="0.25">
      <c r="A13" s="52" t="s">
        <v>495</v>
      </c>
      <c r="B13" s="53">
        <v>82.81</v>
      </c>
      <c r="C13" s="57" t="s">
        <v>14</v>
      </c>
      <c r="D13" s="53">
        <v>55.12</v>
      </c>
      <c r="E13" s="53">
        <v>4.7</v>
      </c>
      <c r="F13" s="53">
        <v>2.63</v>
      </c>
      <c r="G13" s="53">
        <v>54.3</v>
      </c>
      <c r="H13" s="53">
        <v>21.7</v>
      </c>
      <c r="I13" s="53">
        <v>0.1</v>
      </c>
      <c r="J13" s="53">
        <v>0.83</v>
      </c>
      <c r="K13" s="53">
        <v>265.87</v>
      </c>
      <c r="L13" s="53">
        <v>11.81</v>
      </c>
      <c r="M13" s="53">
        <v>97.9</v>
      </c>
      <c r="N13" s="53">
        <v>52.8</v>
      </c>
      <c r="O13" s="53">
        <v>0</v>
      </c>
      <c r="P13" s="53">
        <v>2.06</v>
      </c>
      <c r="Q13" s="53">
        <v>9.73</v>
      </c>
      <c r="R13" s="43"/>
      <c r="S13" s="43"/>
      <c r="T13" s="43"/>
      <c r="U13" s="43"/>
    </row>
    <row r="14" spans="1:21" s="11" customFormat="1" x14ac:dyDescent="0.25">
      <c r="A14" s="52" t="s">
        <v>496</v>
      </c>
      <c r="B14" s="53">
        <v>74.760000000000005</v>
      </c>
      <c r="C14" s="57" t="s">
        <v>14</v>
      </c>
      <c r="D14" s="53">
        <v>50.58</v>
      </c>
      <c r="E14" s="53">
        <v>4.04</v>
      </c>
      <c r="F14" s="53">
        <v>2.48</v>
      </c>
      <c r="G14" s="53">
        <v>57.53</v>
      </c>
      <c r="H14" s="53">
        <v>20.88</v>
      </c>
      <c r="I14" s="53">
        <v>0.1</v>
      </c>
      <c r="J14" s="53">
        <v>0.83</v>
      </c>
      <c r="K14" s="53">
        <v>321.51</v>
      </c>
      <c r="L14" s="53">
        <v>10.98</v>
      </c>
      <c r="M14" s="53">
        <v>98.02</v>
      </c>
      <c r="N14" s="53">
        <v>52.8</v>
      </c>
      <c r="O14" s="53">
        <v>0</v>
      </c>
      <c r="P14" s="53">
        <v>1.75</v>
      </c>
      <c r="Q14" s="53">
        <v>9.6999999999999993</v>
      </c>
      <c r="R14" s="43"/>
      <c r="S14" s="43"/>
      <c r="T14" s="43"/>
      <c r="U14" s="43"/>
    </row>
    <row r="15" spans="1:21" s="11" customFormat="1" x14ac:dyDescent="0.25">
      <c r="A15" s="52" t="s">
        <v>497</v>
      </c>
      <c r="B15" s="53">
        <v>69.64</v>
      </c>
      <c r="C15" s="57" t="s">
        <v>14</v>
      </c>
      <c r="D15" s="53">
        <v>47.61</v>
      </c>
      <c r="E15" s="53">
        <v>4.38</v>
      </c>
      <c r="F15" s="53">
        <v>2.4500000000000002</v>
      </c>
      <c r="G15" s="53">
        <v>57.64</v>
      </c>
      <c r="H15" s="53">
        <v>20.88</v>
      </c>
      <c r="I15" s="53">
        <v>0.1</v>
      </c>
      <c r="J15" s="53">
        <v>0.5</v>
      </c>
      <c r="K15" s="53">
        <v>288.87</v>
      </c>
      <c r="L15" s="53">
        <v>10.53</v>
      </c>
      <c r="M15" s="53">
        <v>97.97</v>
      </c>
      <c r="N15" s="53">
        <v>68.599999999999994</v>
      </c>
      <c r="O15" s="53">
        <v>0</v>
      </c>
      <c r="P15" s="53">
        <v>1.6</v>
      </c>
      <c r="Q15" s="53">
        <v>9.6999999999999993</v>
      </c>
      <c r="R15" s="43"/>
      <c r="S15" s="43"/>
      <c r="T15" s="43"/>
      <c r="U15" s="43"/>
    </row>
    <row r="16" spans="1:21" s="11" customFormat="1" x14ac:dyDescent="0.25">
      <c r="A16" s="52" t="s">
        <v>498</v>
      </c>
      <c r="B16" s="53">
        <v>68.86</v>
      </c>
      <c r="C16" s="57" t="s">
        <v>14</v>
      </c>
      <c r="D16" s="53">
        <v>47.97</v>
      </c>
      <c r="E16" s="53">
        <v>5.78</v>
      </c>
      <c r="F16" s="53">
        <v>2.76</v>
      </c>
      <c r="G16" s="53">
        <v>63.95</v>
      </c>
      <c r="H16" s="53">
        <v>18.55</v>
      </c>
      <c r="I16" s="53">
        <v>0.1</v>
      </c>
      <c r="J16" s="53">
        <v>0.92</v>
      </c>
      <c r="K16" s="53">
        <v>354.45</v>
      </c>
      <c r="L16" s="53">
        <v>16.5</v>
      </c>
      <c r="M16" s="53">
        <v>97.96</v>
      </c>
      <c r="N16" s="53">
        <v>235.8</v>
      </c>
      <c r="O16" s="53">
        <v>0</v>
      </c>
      <c r="P16" s="53">
        <v>1.52</v>
      </c>
      <c r="Q16" s="53">
        <v>9.69</v>
      </c>
      <c r="R16" s="43"/>
      <c r="S16" s="43"/>
      <c r="T16" s="43"/>
      <c r="U16" s="43"/>
    </row>
    <row r="17" spans="1:21" s="11" customFormat="1" x14ac:dyDescent="0.25">
      <c r="A17" s="52" t="s">
        <v>499</v>
      </c>
      <c r="B17" s="53">
        <v>72.290000000000006</v>
      </c>
      <c r="C17" s="57" t="s">
        <v>14</v>
      </c>
      <c r="D17" s="53">
        <v>50.21</v>
      </c>
      <c r="E17" s="53">
        <v>5.5</v>
      </c>
      <c r="F17" s="53">
        <v>2.75</v>
      </c>
      <c r="G17" s="53">
        <v>71.06</v>
      </c>
      <c r="H17" s="53">
        <v>20.8</v>
      </c>
      <c r="I17" s="53">
        <v>0.1</v>
      </c>
      <c r="J17" s="53">
        <v>1.01</v>
      </c>
      <c r="K17" s="53">
        <v>348.19</v>
      </c>
      <c r="L17" s="53">
        <v>21.38</v>
      </c>
      <c r="M17" s="53">
        <v>59.15</v>
      </c>
      <c r="N17" s="53">
        <v>406.2</v>
      </c>
      <c r="O17" s="53">
        <v>0</v>
      </c>
      <c r="P17" s="53">
        <v>1.49</v>
      </c>
      <c r="Q17" s="53">
        <v>9.7100000000000009</v>
      </c>
      <c r="R17" s="43"/>
      <c r="S17" s="43"/>
      <c r="T17" s="43"/>
      <c r="U17" s="43"/>
    </row>
    <row r="18" spans="1:21" s="11" customFormat="1" x14ac:dyDescent="0.25">
      <c r="A18" s="52" t="s">
        <v>500</v>
      </c>
      <c r="B18" s="53">
        <v>64.930000000000007</v>
      </c>
      <c r="C18" s="57" t="s">
        <v>14</v>
      </c>
      <c r="D18" s="53">
        <v>47.23</v>
      </c>
      <c r="E18" s="53">
        <v>6.15</v>
      </c>
      <c r="F18" s="53">
        <v>2.69</v>
      </c>
      <c r="G18" s="53">
        <v>72.349999999999994</v>
      </c>
      <c r="H18" s="53">
        <v>22.07</v>
      </c>
      <c r="I18" s="53">
        <v>0.1</v>
      </c>
      <c r="J18" s="53">
        <v>1.37</v>
      </c>
      <c r="K18" s="53">
        <v>344.22</v>
      </c>
      <c r="L18" s="53">
        <v>26.62</v>
      </c>
      <c r="M18" s="53">
        <v>42.96</v>
      </c>
      <c r="N18" s="53">
        <v>481.5</v>
      </c>
      <c r="O18" s="53">
        <v>0</v>
      </c>
      <c r="P18" s="53">
        <v>1.39</v>
      </c>
      <c r="Q18" s="53">
        <v>9.6999999999999993</v>
      </c>
      <c r="R18" s="43"/>
      <c r="S18" s="43"/>
      <c r="T18" s="43"/>
      <c r="U18" s="43"/>
    </row>
    <row r="19" spans="1:21" s="11" customFormat="1" x14ac:dyDescent="0.25">
      <c r="A19" s="52" t="s">
        <v>501</v>
      </c>
      <c r="B19" s="53">
        <v>57.83</v>
      </c>
      <c r="C19" s="53">
        <v>5.8</v>
      </c>
      <c r="D19" s="53">
        <v>45.38</v>
      </c>
      <c r="E19" s="53">
        <v>6.53</v>
      </c>
      <c r="F19" s="53">
        <v>2.83</v>
      </c>
      <c r="G19" s="53">
        <v>72.349999999999994</v>
      </c>
      <c r="H19" s="53">
        <v>22.07</v>
      </c>
      <c r="I19" s="53">
        <v>0.1</v>
      </c>
      <c r="J19" s="53">
        <v>1.43</v>
      </c>
      <c r="K19" s="53">
        <v>337.93</v>
      </c>
      <c r="L19" s="53">
        <v>28.73</v>
      </c>
      <c r="M19" s="53">
        <v>23.43</v>
      </c>
      <c r="N19" s="53">
        <v>503.1</v>
      </c>
      <c r="O19" s="53">
        <v>0</v>
      </c>
      <c r="P19" s="53">
        <v>1.36</v>
      </c>
      <c r="Q19" s="53">
        <v>9.67</v>
      </c>
      <c r="R19" s="43"/>
      <c r="S19" s="43"/>
      <c r="T19" s="43"/>
      <c r="U19" s="43"/>
    </row>
    <row r="20" spans="1:21" s="11" customFormat="1" x14ac:dyDescent="0.25">
      <c r="A20" s="52" t="s">
        <v>502</v>
      </c>
      <c r="B20" s="53">
        <v>47.69</v>
      </c>
      <c r="C20" s="53">
        <v>10.029999999999999</v>
      </c>
      <c r="D20" s="53">
        <v>40.76</v>
      </c>
      <c r="E20" s="53">
        <v>6.07</v>
      </c>
      <c r="F20" s="53">
        <v>3.18</v>
      </c>
      <c r="G20" s="53">
        <v>51.58</v>
      </c>
      <c r="H20" s="53">
        <v>20.309999999999999</v>
      </c>
      <c r="I20" s="53">
        <v>0.1</v>
      </c>
      <c r="J20" s="53">
        <v>1.51</v>
      </c>
      <c r="K20" s="53">
        <v>332.38</v>
      </c>
      <c r="L20" s="53">
        <v>28.55</v>
      </c>
      <c r="M20" s="53">
        <v>23.76</v>
      </c>
      <c r="N20" s="53">
        <v>501.5</v>
      </c>
      <c r="O20" s="53">
        <v>0</v>
      </c>
      <c r="P20" s="53">
        <v>1.29</v>
      </c>
      <c r="Q20" s="53">
        <v>9.68</v>
      </c>
      <c r="R20" s="43"/>
      <c r="S20" s="43"/>
      <c r="T20" s="43"/>
      <c r="U20" s="43"/>
    </row>
    <row r="21" spans="1:21" s="11" customFormat="1" x14ac:dyDescent="0.25">
      <c r="A21" s="52" t="s">
        <v>503</v>
      </c>
      <c r="B21" s="53">
        <v>39.549999999999997</v>
      </c>
      <c r="C21" s="53">
        <v>15.02</v>
      </c>
      <c r="D21" s="53">
        <v>36.9</v>
      </c>
      <c r="E21" s="53">
        <v>5.98</v>
      </c>
      <c r="F21" s="53">
        <v>4.42</v>
      </c>
      <c r="G21" s="53">
        <v>42.16</v>
      </c>
      <c r="H21" s="53">
        <v>16.64</v>
      </c>
      <c r="I21" s="53">
        <v>0.1</v>
      </c>
      <c r="J21" s="53">
        <v>1.47</v>
      </c>
      <c r="K21" s="53">
        <v>340.25</v>
      </c>
      <c r="L21" s="53">
        <v>28.04</v>
      </c>
      <c r="M21" s="53">
        <v>24.13</v>
      </c>
      <c r="N21" s="53">
        <v>489.1</v>
      </c>
      <c r="O21" s="53">
        <v>0</v>
      </c>
      <c r="P21" s="53">
        <v>1.1499999999999999</v>
      </c>
      <c r="Q21" s="53">
        <v>9.67</v>
      </c>
      <c r="R21" s="43"/>
      <c r="S21" s="43"/>
      <c r="T21" s="43"/>
      <c r="U21" s="43"/>
    </row>
    <row r="22" spans="1:21" s="11" customFormat="1" x14ac:dyDescent="0.25">
      <c r="A22" s="52" t="s">
        <v>504</v>
      </c>
      <c r="B22" s="53">
        <v>28.37</v>
      </c>
      <c r="C22" s="53">
        <v>21.13</v>
      </c>
      <c r="D22" s="53">
        <v>31.34</v>
      </c>
      <c r="E22" s="53">
        <v>5.8</v>
      </c>
      <c r="F22" s="53">
        <v>4.1399999999999997</v>
      </c>
      <c r="G22" s="53">
        <v>31.48</v>
      </c>
      <c r="H22" s="53">
        <v>12.29</v>
      </c>
      <c r="I22" s="53">
        <v>0.1</v>
      </c>
      <c r="J22" s="53">
        <v>1.31</v>
      </c>
      <c r="K22" s="53">
        <v>334.68</v>
      </c>
      <c r="L22" s="53">
        <v>28.08</v>
      </c>
      <c r="M22" s="53">
        <v>24.83</v>
      </c>
      <c r="N22" s="53">
        <v>460.5</v>
      </c>
      <c r="O22" s="53">
        <v>0</v>
      </c>
      <c r="P22" s="53">
        <v>1.17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505</v>
      </c>
      <c r="B23" s="53">
        <v>20.47</v>
      </c>
      <c r="C23" s="53">
        <v>23.34</v>
      </c>
      <c r="D23" s="53">
        <v>27.71</v>
      </c>
      <c r="E23" s="53">
        <v>6.19</v>
      </c>
      <c r="F23" s="53">
        <v>4.4800000000000004</v>
      </c>
      <c r="G23" s="53">
        <v>188.54</v>
      </c>
      <c r="H23" s="53">
        <v>10.91</v>
      </c>
      <c r="I23" s="53">
        <v>0.1</v>
      </c>
      <c r="J23" s="53">
        <v>1.51</v>
      </c>
      <c r="K23" s="53">
        <v>338.4</v>
      </c>
      <c r="L23" s="53">
        <v>25.68</v>
      </c>
      <c r="M23" s="53">
        <v>26.11</v>
      </c>
      <c r="N23" s="53">
        <v>156.5</v>
      </c>
      <c r="O23" s="53">
        <v>0</v>
      </c>
      <c r="P23" s="53">
        <v>1.0900000000000001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506</v>
      </c>
      <c r="B24" s="53">
        <v>17.77</v>
      </c>
      <c r="C24" s="53">
        <v>25.42</v>
      </c>
      <c r="D24" s="53">
        <v>25.95</v>
      </c>
      <c r="E24" s="53">
        <v>6.31</v>
      </c>
      <c r="F24" s="53">
        <v>4.8499999999999996</v>
      </c>
      <c r="G24" s="53">
        <v>190.58</v>
      </c>
      <c r="H24" s="53">
        <v>9.1</v>
      </c>
      <c r="I24" s="53">
        <v>0.1</v>
      </c>
      <c r="J24" s="53">
        <v>1.93</v>
      </c>
      <c r="K24" s="53">
        <v>347.92</v>
      </c>
      <c r="L24" s="53">
        <v>24.04</v>
      </c>
      <c r="M24" s="53">
        <v>27.43</v>
      </c>
      <c r="N24" s="53">
        <v>91.8</v>
      </c>
      <c r="O24" s="53">
        <v>0</v>
      </c>
      <c r="P24" s="53">
        <v>1.01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507</v>
      </c>
      <c r="B25" s="53">
        <v>21.64</v>
      </c>
      <c r="C25" s="53">
        <v>27.52</v>
      </c>
      <c r="D25" s="53">
        <v>30.75</v>
      </c>
      <c r="E25" s="53">
        <v>10.48</v>
      </c>
      <c r="F25" s="53">
        <v>4.2</v>
      </c>
      <c r="G25" s="53">
        <v>159.57</v>
      </c>
      <c r="H25" s="53">
        <v>10.24</v>
      </c>
      <c r="I25" s="53">
        <v>0.1</v>
      </c>
      <c r="J25" s="53">
        <v>1.51</v>
      </c>
      <c r="K25" s="53">
        <v>352.59</v>
      </c>
      <c r="L25" s="53">
        <v>23.11</v>
      </c>
      <c r="M25" s="53">
        <v>32.33</v>
      </c>
      <c r="N25" s="53">
        <v>75.599999999999994</v>
      </c>
      <c r="O25" s="53">
        <v>0</v>
      </c>
      <c r="P25" s="53">
        <v>1.1299999999999999</v>
      </c>
      <c r="Q25" s="53">
        <v>9.65</v>
      </c>
      <c r="R25" s="43"/>
      <c r="S25" s="43"/>
      <c r="T25" s="43"/>
      <c r="U25" s="43"/>
    </row>
    <row r="26" spans="1:21" s="11" customFormat="1" x14ac:dyDescent="0.25">
      <c r="A26" s="52" t="s">
        <v>508</v>
      </c>
      <c r="B26" s="53">
        <v>30.33</v>
      </c>
      <c r="C26" s="53">
        <v>32.799999999999997</v>
      </c>
      <c r="D26" s="53">
        <v>40.799999999999997</v>
      </c>
      <c r="E26" s="53">
        <v>7.17</v>
      </c>
      <c r="F26" s="53">
        <v>2.63</v>
      </c>
      <c r="G26" s="53">
        <v>0</v>
      </c>
      <c r="H26" s="53">
        <v>10.24</v>
      </c>
      <c r="I26" s="53">
        <v>0.1</v>
      </c>
      <c r="J26" s="53">
        <v>0.76</v>
      </c>
      <c r="K26" s="53">
        <v>342.17</v>
      </c>
      <c r="L26" s="53">
        <v>20.92</v>
      </c>
      <c r="M26" s="53">
        <v>43.68</v>
      </c>
      <c r="N26" s="53">
        <v>55</v>
      </c>
      <c r="O26" s="53">
        <v>0</v>
      </c>
      <c r="P26" s="53">
        <v>1.69</v>
      </c>
      <c r="Q26" s="53">
        <v>9.67</v>
      </c>
      <c r="R26" s="43"/>
      <c r="S26" s="43"/>
      <c r="T26" s="43"/>
      <c r="U26" s="43"/>
    </row>
    <row r="27" spans="1:21" s="11" customFormat="1" x14ac:dyDescent="0.25">
      <c r="A27" s="52" t="s">
        <v>509</v>
      </c>
      <c r="B27" s="53">
        <v>34.729999999999997</v>
      </c>
      <c r="C27" s="53">
        <v>39.340000000000003</v>
      </c>
      <c r="D27" s="53">
        <v>45.77</v>
      </c>
      <c r="E27" s="53">
        <v>7.06</v>
      </c>
      <c r="F27" s="53">
        <v>2.83</v>
      </c>
      <c r="G27" s="53">
        <v>41.37</v>
      </c>
      <c r="H27" s="53">
        <v>19.87</v>
      </c>
      <c r="I27" s="53">
        <v>0.1</v>
      </c>
      <c r="J27" s="53">
        <v>0.89</v>
      </c>
      <c r="K27" s="53">
        <v>94.8</v>
      </c>
      <c r="L27" s="53">
        <v>19.05</v>
      </c>
      <c r="M27" s="53">
        <v>46.75</v>
      </c>
      <c r="N27" s="53">
        <v>50.7</v>
      </c>
      <c r="O27" s="53">
        <v>0</v>
      </c>
      <c r="P27" s="53">
        <v>2.48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510</v>
      </c>
      <c r="B28" s="53">
        <v>28.58</v>
      </c>
      <c r="C28" s="53">
        <v>36.21</v>
      </c>
      <c r="D28" s="53">
        <v>41.18</v>
      </c>
      <c r="E28" s="53">
        <v>6.4</v>
      </c>
      <c r="F28" s="53">
        <v>3.81</v>
      </c>
      <c r="G28" s="53">
        <v>57.29</v>
      </c>
      <c r="H28" s="53">
        <v>20.82</v>
      </c>
      <c r="I28" s="53">
        <v>0.1</v>
      </c>
      <c r="J28" s="53">
        <v>0.51</v>
      </c>
      <c r="K28" s="53">
        <v>340.31</v>
      </c>
      <c r="L28" s="53">
        <v>18.05</v>
      </c>
      <c r="M28" s="53">
        <v>44.68</v>
      </c>
      <c r="N28" s="53">
        <v>50.5</v>
      </c>
      <c r="O28" s="53">
        <v>0</v>
      </c>
      <c r="P28" s="53">
        <v>1.96</v>
      </c>
      <c r="Q28" s="53">
        <v>9.66</v>
      </c>
      <c r="R28" s="43"/>
      <c r="S28" s="43"/>
      <c r="T28" s="43"/>
      <c r="U28" s="43"/>
    </row>
    <row r="29" spans="1:21" s="11" customFormat="1" x14ac:dyDescent="0.25">
      <c r="A29" s="52" t="s">
        <v>511</v>
      </c>
      <c r="B29" s="53">
        <v>35.590000000000003</v>
      </c>
      <c r="C29" s="53">
        <v>26.79</v>
      </c>
      <c r="D29" s="53">
        <v>38.19</v>
      </c>
      <c r="E29" s="53">
        <v>5.45</v>
      </c>
      <c r="F29" s="53">
        <v>2.86</v>
      </c>
      <c r="G29" s="53">
        <v>54.03</v>
      </c>
      <c r="H29" s="53">
        <v>20.92</v>
      </c>
      <c r="I29" s="53">
        <v>0.1</v>
      </c>
      <c r="J29" s="53">
        <v>0.81</v>
      </c>
      <c r="K29" s="53">
        <v>340.48</v>
      </c>
      <c r="L29" s="53">
        <v>17.510000000000002</v>
      </c>
      <c r="M29" s="53">
        <v>60.29</v>
      </c>
      <c r="N29" s="53">
        <v>50.7</v>
      </c>
      <c r="O29" s="53">
        <v>0</v>
      </c>
      <c r="P29" s="53">
        <v>2.0099999999999998</v>
      </c>
      <c r="Q29" s="53">
        <v>9.68</v>
      </c>
      <c r="R29" s="43"/>
      <c r="S29" s="43"/>
      <c r="T29" s="43"/>
      <c r="U29" s="43"/>
    </row>
    <row r="30" spans="1:21" s="11" customFormat="1" x14ac:dyDescent="0.25">
      <c r="A30" s="52" t="s">
        <v>512</v>
      </c>
      <c r="B30" s="53">
        <v>47.52</v>
      </c>
      <c r="C30" s="53">
        <v>15.49</v>
      </c>
      <c r="D30" s="53">
        <v>42.79</v>
      </c>
      <c r="E30" s="53">
        <v>5.4</v>
      </c>
      <c r="F30" s="53">
        <v>2.52</v>
      </c>
      <c r="G30" s="53">
        <v>56.43</v>
      </c>
      <c r="H30" s="53">
        <v>26.03</v>
      </c>
      <c r="I30" s="53">
        <v>0.1</v>
      </c>
      <c r="J30" s="53">
        <v>0.83</v>
      </c>
      <c r="K30" s="53">
        <v>332.56</v>
      </c>
      <c r="L30" s="53">
        <v>15.92</v>
      </c>
      <c r="M30" s="53">
        <v>62.65</v>
      </c>
      <c r="N30" s="53">
        <v>50.6</v>
      </c>
      <c r="O30" s="53">
        <v>0</v>
      </c>
      <c r="P30" s="53">
        <v>2.1800000000000002</v>
      </c>
      <c r="Q30" s="53">
        <v>9.69</v>
      </c>
      <c r="R30" s="43"/>
      <c r="S30" s="43"/>
      <c r="T30" s="43"/>
      <c r="U30" s="43"/>
    </row>
    <row r="31" spans="1:21" s="11" customFormat="1" x14ac:dyDescent="0.25">
      <c r="A31" s="52" t="s">
        <v>513</v>
      </c>
      <c r="B31" s="53">
        <v>47.47</v>
      </c>
      <c r="C31" s="53">
        <v>10.5</v>
      </c>
      <c r="D31" s="53">
        <v>42.43</v>
      </c>
      <c r="E31" s="53">
        <v>5.07</v>
      </c>
      <c r="F31" s="53">
        <v>2.5299999999999998</v>
      </c>
      <c r="G31" s="53">
        <v>57.2</v>
      </c>
      <c r="H31" s="53">
        <v>26.41</v>
      </c>
      <c r="I31" s="53">
        <v>0.1</v>
      </c>
      <c r="J31" s="53">
        <v>1.07</v>
      </c>
      <c r="K31" s="53">
        <v>340.65</v>
      </c>
      <c r="L31" s="53">
        <v>16.13</v>
      </c>
      <c r="M31" s="53">
        <v>58.75</v>
      </c>
      <c r="N31" s="53">
        <v>50.1</v>
      </c>
      <c r="O31" s="53">
        <v>0</v>
      </c>
      <c r="P31" s="53">
        <v>2.17</v>
      </c>
      <c r="Q31" s="53">
        <v>9.68</v>
      </c>
      <c r="R31" s="43"/>
      <c r="S31" s="43"/>
      <c r="T31" s="43"/>
      <c r="U31" s="43"/>
    </row>
    <row r="32" spans="1:21" s="11" customFormat="1" x14ac:dyDescent="0.25">
      <c r="A32" s="52" t="s">
        <v>514</v>
      </c>
      <c r="B32" s="53">
        <v>42.52</v>
      </c>
      <c r="C32" s="53">
        <v>11.12</v>
      </c>
      <c r="D32" s="53">
        <v>38.700000000000003</v>
      </c>
      <c r="E32" s="53">
        <v>5.0999999999999996</v>
      </c>
      <c r="F32" s="53">
        <v>2.64</v>
      </c>
      <c r="G32" s="53">
        <v>53.03</v>
      </c>
      <c r="H32" s="53">
        <v>22.73</v>
      </c>
      <c r="I32" s="53">
        <v>0.1</v>
      </c>
      <c r="J32" s="53">
        <v>0.84</v>
      </c>
      <c r="K32" s="53">
        <v>337.36</v>
      </c>
      <c r="L32" s="53">
        <v>15.78</v>
      </c>
      <c r="M32" s="53">
        <v>64.290000000000006</v>
      </c>
      <c r="N32" s="53">
        <v>50.3</v>
      </c>
      <c r="O32" s="53">
        <v>0</v>
      </c>
      <c r="P32" s="53">
        <v>2.11</v>
      </c>
      <c r="Q32" s="53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17.77</v>
      </c>
      <c r="C34" s="28">
        <f t="shared" si="0"/>
        <v>5.8</v>
      </c>
      <c r="D34" s="28">
        <f t="shared" si="0"/>
        <v>25.95</v>
      </c>
      <c r="E34" s="28">
        <f t="shared" si="0"/>
        <v>4.04</v>
      </c>
      <c r="F34" s="28">
        <f t="shared" si="0"/>
        <v>2.4500000000000002</v>
      </c>
      <c r="G34" s="28">
        <f t="shared" si="0"/>
        <v>0</v>
      </c>
      <c r="H34" s="28">
        <f t="shared" si="0"/>
        <v>9.1</v>
      </c>
      <c r="I34" s="28">
        <f t="shared" si="0"/>
        <v>0.1</v>
      </c>
      <c r="J34" s="28">
        <f t="shared" si="0"/>
        <v>0.5</v>
      </c>
      <c r="K34" s="28">
        <f t="shared" si="0"/>
        <v>94.8</v>
      </c>
      <c r="L34" s="28">
        <f t="shared" si="0"/>
        <v>10.53</v>
      </c>
      <c r="M34" s="28">
        <f t="shared" si="0"/>
        <v>23.43</v>
      </c>
      <c r="N34" s="28">
        <f t="shared" si="0"/>
        <v>50.1</v>
      </c>
      <c r="O34" s="28">
        <f t="shared" si="0"/>
        <v>0</v>
      </c>
      <c r="P34" s="28">
        <f t="shared" si="0"/>
        <v>1.01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135.13999999999999</v>
      </c>
      <c r="C35" s="29">
        <f t="shared" si="1"/>
        <v>39.340000000000003</v>
      </c>
      <c r="D35" s="29">
        <f t="shared" si="1"/>
        <v>84.39</v>
      </c>
      <c r="E35" s="29">
        <f t="shared" si="1"/>
        <v>10.48</v>
      </c>
      <c r="F35" s="29">
        <f t="shared" si="1"/>
        <v>4.8499999999999996</v>
      </c>
      <c r="G35" s="29">
        <f t="shared" si="1"/>
        <v>190.58</v>
      </c>
      <c r="H35" s="29">
        <f t="shared" si="1"/>
        <v>30.97</v>
      </c>
      <c r="I35" s="29">
        <f t="shared" si="1"/>
        <v>0.1</v>
      </c>
      <c r="J35" s="29">
        <f t="shared" si="1"/>
        <v>1.93</v>
      </c>
      <c r="K35" s="29">
        <f t="shared" si="1"/>
        <v>354.45</v>
      </c>
      <c r="L35" s="29">
        <f t="shared" si="1"/>
        <v>28.73</v>
      </c>
      <c r="M35" s="29">
        <f t="shared" si="1"/>
        <v>98.02</v>
      </c>
      <c r="N35" s="29">
        <f t="shared" si="1"/>
        <v>503.1</v>
      </c>
      <c r="O35" s="29">
        <f t="shared" si="1"/>
        <v>0</v>
      </c>
      <c r="P35" s="29">
        <f t="shared" si="1"/>
        <v>3.23</v>
      </c>
      <c r="Q35" s="29">
        <f t="shared" si="1"/>
        <v>9.7899999999999991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58.004166666666656</v>
      </c>
      <c r="C36" s="28">
        <f t="shared" si="2"/>
        <v>21.465000000000003</v>
      </c>
      <c r="D36" s="28">
        <f t="shared" si="2"/>
        <v>46.660833333333336</v>
      </c>
      <c r="E36" s="28">
        <f t="shared" si="2"/>
        <v>5.8062499999999995</v>
      </c>
      <c r="F36" s="28">
        <f t="shared" si="2"/>
        <v>3.0841666666666669</v>
      </c>
      <c r="G36" s="28">
        <f t="shared" si="2"/>
        <v>72.06208333333332</v>
      </c>
      <c r="H36" s="28">
        <f t="shared" si="2"/>
        <v>20.158750000000005</v>
      </c>
      <c r="I36" s="28">
        <f t="shared" si="2"/>
        <v>0.10000000000000003</v>
      </c>
      <c r="J36" s="28">
        <f t="shared" si="2"/>
        <v>1.0316666666666667</v>
      </c>
      <c r="K36" s="28">
        <f t="shared" si="2"/>
        <v>314.90124999999995</v>
      </c>
      <c r="L36" s="28">
        <f t="shared" si="2"/>
        <v>19.182083333333335</v>
      </c>
      <c r="M36" s="28">
        <f t="shared" si="2"/>
        <v>59.891250000000007</v>
      </c>
      <c r="N36" s="28">
        <f t="shared" si="2"/>
        <v>172.69999999999996</v>
      </c>
      <c r="O36" s="28">
        <f t="shared" si="2"/>
        <v>0</v>
      </c>
      <c r="P36" s="28">
        <f t="shared" si="2"/>
        <v>1.8295833333333331</v>
      </c>
      <c r="Q36" s="28">
        <f t="shared" si="2"/>
        <v>9.6920833333333327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32.41679434794721</v>
      </c>
      <c r="C37" s="28">
        <f t="shared" ref="C37:Q37" si="3">STDEV(C9:C32)</f>
        <v>10.489341660063245</v>
      </c>
      <c r="D37" s="28">
        <f t="shared" si="3"/>
        <v>14.550529623310627</v>
      </c>
      <c r="E37" s="28">
        <f t="shared" si="3"/>
        <v>1.2782216331600185</v>
      </c>
      <c r="F37" s="28">
        <f t="shared" si="3"/>
        <v>0.76105142754108135</v>
      </c>
      <c r="G37" s="28">
        <f t="shared" si="3"/>
        <v>45.068653425168733</v>
      </c>
      <c r="H37" s="28">
        <f t="shared" si="3"/>
        <v>6.0306047807611307</v>
      </c>
      <c r="I37" s="28">
        <f t="shared" si="3"/>
        <v>2.8352538009326866E-17</v>
      </c>
      <c r="J37" s="28">
        <f t="shared" si="3"/>
        <v>0.37793105728157733</v>
      </c>
      <c r="K37" s="28">
        <f t="shared" si="3"/>
        <v>58.300947066101408</v>
      </c>
      <c r="L37" s="28">
        <f t="shared" si="3"/>
        <v>6.1252116053361672</v>
      </c>
      <c r="M37" s="28">
        <f t="shared" si="3"/>
        <v>29.371674363088385</v>
      </c>
      <c r="N37" s="28">
        <f t="shared" si="3"/>
        <v>183.0775886837624</v>
      </c>
      <c r="O37" s="28">
        <f t="shared" si="3"/>
        <v>0</v>
      </c>
      <c r="P37" s="28">
        <f t="shared" si="3"/>
        <v>0.61582379726295244</v>
      </c>
      <c r="Q37" s="28">
        <f t="shared" si="3"/>
        <v>4.2628747869571722E-2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COUNT(C9:C32)+10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50" sqref="F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515</v>
      </c>
      <c r="B9" s="53">
        <v>37.08</v>
      </c>
      <c r="C9" s="53">
        <v>12.33</v>
      </c>
      <c r="D9" s="53">
        <v>35.03</v>
      </c>
      <c r="E9" s="53">
        <v>5.49</v>
      </c>
      <c r="F9" s="53">
        <v>2.64</v>
      </c>
      <c r="G9" s="53">
        <v>50.59</v>
      </c>
      <c r="H9" s="53">
        <v>18.91</v>
      </c>
      <c r="I9" s="53">
        <v>0.1</v>
      </c>
      <c r="J9" s="53">
        <v>0.53</v>
      </c>
      <c r="K9" s="53">
        <v>303.44</v>
      </c>
      <c r="L9" s="53">
        <v>14.89</v>
      </c>
      <c r="M9" s="53">
        <v>69.739999999999995</v>
      </c>
      <c r="N9" s="53">
        <v>50.3</v>
      </c>
      <c r="O9" s="53">
        <v>0</v>
      </c>
      <c r="P9" s="53">
        <v>1.91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516</v>
      </c>
      <c r="B10" s="53">
        <v>30.1</v>
      </c>
      <c r="C10" s="53">
        <v>15.17</v>
      </c>
      <c r="D10" s="53">
        <v>30.31</v>
      </c>
      <c r="E10" s="53">
        <v>5.31</v>
      </c>
      <c r="F10" s="53">
        <v>2.75</v>
      </c>
      <c r="G10" s="53">
        <v>46.58</v>
      </c>
      <c r="H10" s="53">
        <v>17.93</v>
      </c>
      <c r="I10" s="53">
        <v>0.1</v>
      </c>
      <c r="J10" s="53">
        <v>0.43</v>
      </c>
      <c r="K10" s="53">
        <v>316.79000000000002</v>
      </c>
      <c r="L10" s="53">
        <v>14.32</v>
      </c>
      <c r="M10" s="53">
        <v>73</v>
      </c>
      <c r="N10" s="53">
        <v>50.3</v>
      </c>
      <c r="O10" s="53">
        <v>0</v>
      </c>
      <c r="P10" s="53">
        <v>1.6</v>
      </c>
      <c r="Q10" s="53">
        <v>9.66</v>
      </c>
      <c r="R10" s="43"/>
      <c r="S10" s="43"/>
      <c r="T10" s="43"/>
      <c r="U10" s="43"/>
    </row>
    <row r="11" spans="1:21" s="11" customFormat="1" x14ac:dyDescent="0.25">
      <c r="A11" s="52" t="s">
        <v>517</v>
      </c>
      <c r="B11" s="53">
        <v>23.26</v>
      </c>
      <c r="C11" s="53">
        <v>17.04</v>
      </c>
      <c r="D11" s="53">
        <v>26.22</v>
      </c>
      <c r="E11" s="53">
        <v>5</v>
      </c>
      <c r="F11" s="53">
        <v>2.39</v>
      </c>
      <c r="G11" s="53">
        <v>39.78</v>
      </c>
      <c r="H11" s="53">
        <v>16.71</v>
      </c>
      <c r="I11" s="53">
        <v>0.1</v>
      </c>
      <c r="J11" s="53">
        <v>0.47</v>
      </c>
      <c r="K11" s="53">
        <v>184.28</v>
      </c>
      <c r="L11" s="53">
        <v>13.79</v>
      </c>
      <c r="M11" s="53">
        <v>74.38</v>
      </c>
      <c r="N11" s="53">
        <v>50.2</v>
      </c>
      <c r="O11" s="53">
        <v>0</v>
      </c>
      <c r="P11" s="53">
        <v>1.44</v>
      </c>
      <c r="Q11" s="53">
        <v>9.65</v>
      </c>
      <c r="R11" s="43"/>
      <c r="S11" s="43"/>
      <c r="T11" s="43"/>
      <c r="U11" s="43"/>
    </row>
    <row r="12" spans="1:21" s="11" customFormat="1" x14ac:dyDescent="0.25">
      <c r="A12" s="52" t="s">
        <v>518</v>
      </c>
      <c r="B12" s="53">
        <v>17.82</v>
      </c>
      <c r="C12" s="53">
        <v>19.03</v>
      </c>
      <c r="D12" s="53">
        <v>22.87</v>
      </c>
      <c r="E12" s="53">
        <v>4.91</v>
      </c>
      <c r="F12" s="53">
        <v>2.46</v>
      </c>
      <c r="G12" s="53">
        <v>32.17</v>
      </c>
      <c r="H12" s="53">
        <v>13.81</v>
      </c>
      <c r="I12" s="53">
        <v>0.1</v>
      </c>
      <c r="J12" s="53">
        <v>0.41</v>
      </c>
      <c r="K12" s="53">
        <v>354.92</v>
      </c>
      <c r="L12" s="53">
        <v>13.28</v>
      </c>
      <c r="M12" s="53">
        <v>79.38</v>
      </c>
      <c r="N12" s="53">
        <v>50.2</v>
      </c>
      <c r="O12" s="53">
        <v>0</v>
      </c>
      <c r="P12" s="53">
        <v>1.26</v>
      </c>
      <c r="Q12" s="53">
        <v>9.64</v>
      </c>
      <c r="R12" s="43"/>
      <c r="S12" s="43"/>
      <c r="T12" s="43"/>
      <c r="U12" s="43"/>
    </row>
    <row r="13" spans="1:21" s="11" customFormat="1" x14ac:dyDescent="0.25">
      <c r="A13" s="52" t="s">
        <v>519</v>
      </c>
      <c r="B13" s="53">
        <v>14.6</v>
      </c>
      <c r="C13" s="53">
        <v>19.12</v>
      </c>
      <c r="D13" s="53">
        <v>20.93</v>
      </c>
      <c r="E13" s="53">
        <v>4.7699999999999996</v>
      </c>
      <c r="F13" s="53">
        <v>2.38</v>
      </c>
      <c r="G13" s="53">
        <v>31.79</v>
      </c>
      <c r="H13" s="53">
        <v>13.13</v>
      </c>
      <c r="I13" s="53">
        <v>0.1</v>
      </c>
      <c r="J13" s="53">
        <v>0.84</v>
      </c>
      <c r="K13" s="53">
        <v>357.15</v>
      </c>
      <c r="L13" s="53">
        <v>12.49</v>
      </c>
      <c r="M13" s="53">
        <v>84.26</v>
      </c>
      <c r="N13" s="53">
        <v>50.4</v>
      </c>
      <c r="O13" s="53">
        <v>0</v>
      </c>
      <c r="P13" s="53">
        <v>1.19</v>
      </c>
      <c r="Q13" s="53">
        <v>9.64</v>
      </c>
      <c r="R13" s="43"/>
      <c r="S13" s="43"/>
      <c r="T13" s="43"/>
      <c r="U13" s="43"/>
    </row>
    <row r="14" spans="1:21" s="11" customFormat="1" x14ac:dyDescent="0.25">
      <c r="A14" s="52" t="s">
        <v>520</v>
      </c>
      <c r="B14" s="53">
        <v>13.5</v>
      </c>
      <c r="C14" s="53">
        <v>19.34</v>
      </c>
      <c r="D14" s="53">
        <v>20.16</v>
      </c>
      <c r="E14" s="53">
        <v>4.79</v>
      </c>
      <c r="F14" s="53">
        <v>2.72</v>
      </c>
      <c r="G14" s="53">
        <v>34.01</v>
      </c>
      <c r="H14" s="53">
        <v>13.4</v>
      </c>
      <c r="I14" s="53">
        <v>0.1</v>
      </c>
      <c r="J14" s="53">
        <v>1.1200000000000001</v>
      </c>
      <c r="K14" s="53">
        <v>349.97</v>
      </c>
      <c r="L14" s="53">
        <v>12.42</v>
      </c>
      <c r="M14" s="53">
        <v>94.2</v>
      </c>
      <c r="N14" s="53">
        <v>50.5</v>
      </c>
      <c r="O14" s="53">
        <v>0</v>
      </c>
      <c r="P14" s="53">
        <v>1.03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521</v>
      </c>
      <c r="B15" s="53">
        <v>17.940000000000001</v>
      </c>
      <c r="C15" s="53">
        <v>19.100000000000001</v>
      </c>
      <c r="D15" s="53">
        <v>22.87</v>
      </c>
      <c r="E15" s="53">
        <v>5.04</v>
      </c>
      <c r="F15" s="53">
        <v>2.65</v>
      </c>
      <c r="G15" s="53">
        <v>41.34</v>
      </c>
      <c r="H15" s="53">
        <v>16.600000000000001</v>
      </c>
      <c r="I15" s="53">
        <v>0.1</v>
      </c>
      <c r="J15" s="53">
        <v>1.04</v>
      </c>
      <c r="K15" s="53">
        <v>350.86</v>
      </c>
      <c r="L15" s="53">
        <v>11.98</v>
      </c>
      <c r="M15" s="53">
        <v>97.11</v>
      </c>
      <c r="N15" s="53">
        <v>66.3</v>
      </c>
      <c r="O15" s="53">
        <v>0</v>
      </c>
      <c r="P15" s="53">
        <v>1.1200000000000001</v>
      </c>
      <c r="Q15" s="53">
        <v>9.64</v>
      </c>
      <c r="R15" s="43"/>
      <c r="S15" s="43"/>
      <c r="T15" s="43"/>
      <c r="U15" s="43"/>
    </row>
    <row r="16" spans="1:21" s="11" customFormat="1" x14ac:dyDescent="0.25">
      <c r="A16" s="52" t="s">
        <v>522</v>
      </c>
      <c r="B16" s="53">
        <v>22.52</v>
      </c>
      <c r="C16" s="53">
        <v>16.91</v>
      </c>
      <c r="D16" s="53">
        <v>25.48</v>
      </c>
      <c r="E16" s="53">
        <v>4.88</v>
      </c>
      <c r="F16" s="53">
        <v>2.2400000000000002</v>
      </c>
      <c r="G16" s="53">
        <v>51.98</v>
      </c>
      <c r="H16" s="53">
        <v>20.56</v>
      </c>
      <c r="I16" s="53">
        <v>0.1</v>
      </c>
      <c r="J16" s="53">
        <v>0.89</v>
      </c>
      <c r="K16" s="53">
        <v>336.74</v>
      </c>
      <c r="L16" s="53">
        <v>14.44</v>
      </c>
      <c r="M16" s="53">
        <v>95.5</v>
      </c>
      <c r="N16" s="53">
        <v>199.3</v>
      </c>
      <c r="O16" s="53">
        <v>0</v>
      </c>
      <c r="P16" s="53">
        <v>1.37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523</v>
      </c>
      <c r="B17" s="53">
        <v>22.95</v>
      </c>
      <c r="C17" s="53">
        <v>15.62</v>
      </c>
      <c r="D17" s="53">
        <v>25.74</v>
      </c>
      <c r="E17" s="53">
        <v>4.8499999999999996</v>
      </c>
      <c r="F17" s="53">
        <v>2.4500000000000002</v>
      </c>
      <c r="G17" s="53">
        <v>55.09</v>
      </c>
      <c r="H17" s="53">
        <v>20.74</v>
      </c>
      <c r="I17" s="53">
        <v>0.1</v>
      </c>
      <c r="J17" s="53">
        <v>1.74</v>
      </c>
      <c r="K17" s="53">
        <v>126.45</v>
      </c>
      <c r="L17" s="53">
        <v>17.100000000000001</v>
      </c>
      <c r="M17" s="53">
        <v>71.709999999999994</v>
      </c>
      <c r="N17" s="53">
        <v>351</v>
      </c>
      <c r="O17" s="53">
        <v>0</v>
      </c>
      <c r="P17" s="53">
        <v>1.39</v>
      </c>
      <c r="Q17" s="53">
        <v>9.64</v>
      </c>
      <c r="R17" s="43"/>
      <c r="S17" s="43"/>
      <c r="T17" s="43"/>
      <c r="U17" s="43"/>
    </row>
    <row r="18" spans="1:21" s="11" customFormat="1" x14ac:dyDescent="0.25">
      <c r="A18" s="52" t="s">
        <v>524</v>
      </c>
      <c r="B18" s="53">
        <v>21.7</v>
      </c>
      <c r="C18" s="53">
        <v>17.309999999999999</v>
      </c>
      <c r="D18" s="53">
        <v>24.97</v>
      </c>
      <c r="E18" s="53">
        <v>5.03</v>
      </c>
      <c r="F18" s="53">
        <v>2.65</v>
      </c>
      <c r="G18" s="53">
        <v>52.72</v>
      </c>
      <c r="H18" s="53">
        <v>19.16</v>
      </c>
      <c r="I18" s="53">
        <v>0.1</v>
      </c>
      <c r="J18" s="53">
        <v>1.92</v>
      </c>
      <c r="K18" s="53">
        <v>124.21</v>
      </c>
      <c r="L18" s="53">
        <v>18.850000000000001</v>
      </c>
      <c r="M18" s="53">
        <v>63.97</v>
      </c>
      <c r="N18" s="53">
        <v>460</v>
      </c>
      <c r="O18" s="53">
        <v>0</v>
      </c>
      <c r="P18" s="53">
        <v>1.32</v>
      </c>
      <c r="Q18" s="53">
        <v>9.64</v>
      </c>
      <c r="R18" s="43"/>
      <c r="S18" s="43"/>
      <c r="T18" s="43"/>
      <c r="U18" s="43"/>
    </row>
    <row r="19" spans="1:21" s="11" customFormat="1" x14ac:dyDescent="0.25">
      <c r="A19" s="52" t="s">
        <v>525</v>
      </c>
      <c r="B19" s="53">
        <v>19.809999999999999</v>
      </c>
      <c r="C19" s="53">
        <v>19.95</v>
      </c>
      <c r="D19" s="53">
        <v>24.77</v>
      </c>
      <c r="E19" s="53">
        <v>4.9800000000000004</v>
      </c>
      <c r="F19" s="53">
        <v>2.54</v>
      </c>
      <c r="G19" s="53">
        <v>48.52</v>
      </c>
      <c r="H19" s="53">
        <v>17.32</v>
      </c>
      <c r="I19" s="53">
        <v>0.1</v>
      </c>
      <c r="J19" s="53">
        <v>1.3</v>
      </c>
      <c r="K19" s="53">
        <v>336.03</v>
      </c>
      <c r="L19" s="53">
        <v>26.28</v>
      </c>
      <c r="M19" s="53">
        <v>50.59</v>
      </c>
      <c r="N19" s="53">
        <v>486.6</v>
      </c>
      <c r="O19" s="53">
        <v>0</v>
      </c>
      <c r="P19" s="53">
        <v>1.17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526</v>
      </c>
      <c r="B20" s="53">
        <v>18.190000000000001</v>
      </c>
      <c r="C20" s="53">
        <v>24.06</v>
      </c>
      <c r="D20" s="53">
        <v>24.86</v>
      </c>
      <c r="E20" s="53">
        <v>5.74</v>
      </c>
      <c r="F20" s="53">
        <v>2.8</v>
      </c>
      <c r="G20" s="53">
        <v>45.05</v>
      </c>
      <c r="H20" s="53">
        <v>15.76</v>
      </c>
      <c r="I20" s="53">
        <v>0.1</v>
      </c>
      <c r="J20" s="53">
        <v>1.49</v>
      </c>
      <c r="K20" s="53">
        <v>345.34</v>
      </c>
      <c r="L20" s="53">
        <v>27.54</v>
      </c>
      <c r="M20" s="53">
        <v>32.340000000000003</v>
      </c>
      <c r="N20" s="53">
        <v>476.5</v>
      </c>
      <c r="O20" s="53">
        <v>0</v>
      </c>
      <c r="P20" s="53">
        <v>1.1499999999999999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527</v>
      </c>
      <c r="B21" s="53">
        <v>14.57</v>
      </c>
      <c r="C21" s="53">
        <v>27.49</v>
      </c>
      <c r="D21" s="53">
        <v>25.23</v>
      </c>
      <c r="E21" s="53">
        <v>19.34</v>
      </c>
      <c r="F21" s="53">
        <v>5.38</v>
      </c>
      <c r="G21" s="53">
        <v>46.55</v>
      </c>
      <c r="H21" s="53">
        <v>17.16</v>
      </c>
      <c r="I21" s="53">
        <v>0.1</v>
      </c>
      <c r="J21" s="53">
        <v>1.63</v>
      </c>
      <c r="K21" s="53">
        <v>337.62</v>
      </c>
      <c r="L21" s="53">
        <v>27.73</v>
      </c>
      <c r="M21" s="53">
        <v>30.46</v>
      </c>
      <c r="N21" s="53">
        <v>460.5</v>
      </c>
      <c r="O21" s="53">
        <v>0</v>
      </c>
      <c r="P21" s="53">
        <v>1.21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528</v>
      </c>
      <c r="B22" s="53">
        <v>14.68</v>
      </c>
      <c r="C22" s="53">
        <v>29.89</v>
      </c>
      <c r="D22" s="53">
        <v>26.2</v>
      </c>
      <c r="E22" s="53">
        <v>14.07</v>
      </c>
      <c r="F22" s="53">
        <v>5.65</v>
      </c>
      <c r="G22" s="53">
        <v>47.45</v>
      </c>
      <c r="H22" s="53">
        <v>17.239999999999998</v>
      </c>
      <c r="I22" s="53">
        <v>0.1</v>
      </c>
      <c r="J22" s="53">
        <v>2.0099999999999998</v>
      </c>
      <c r="K22" s="53">
        <v>335.68</v>
      </c>
      <c r="L22" s="53">
        <v>26.97</v>
      </c>
      <c r="M22" s="53">
        <v>29.91</v>
      </c>
      <c r="N22" s="53">
        <v>364.5</v>
      </c>
      <c r="O22" s="53">
        <v>0</v>
      </c>
      <c r="P22" s="53">
        <v>1.1399999999999999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529</v>
      </c>
      <c r="B23" s="53">
        <v>10.02</v>
      </c>
      <c r="C23" s="53">
        <v>32.85</v>
      </c>
      <c r="D23" s="53">
        <v>23.12</v>
      </c>
      <c r="E23" s="53">
        <v>6.83</v>
      </c>
      <c r="F23" s="53">
        <v>4.46</v>
      </c>
      <c r="G23" s="53">
        <v>93.02</v>
      </c>
      <c r="H23" s="53">
        <v>16.899999999999999</v>
      </c>
      <c r="I23" s="53">
        <v>0.1</v>
      </c>
      <c r="J23" s="53">
        <v>1.81</v>
      </c>
      <c r="K23" s="53">
        <v>342.3</v>
      </c>
      <c r="L23" s="53">
        <v>25.64</v>
      </c>
      <c r="M23" s="53">
        <v>29.26</v>
      </c>
      <c r="N23" s="53">
        <v>167.8</v>
      </c>
      <c r="O23" s="53">
        <v>0</v>
      </c>
      <c r="P23" s="53">
        <v>1.03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530</v>
      </c>
      <c r="B24" s="53">
        <v>14.72</v>
      </c>
      <c r="C24" s="53">
        <v>33.880000000000003</v>
      </c>
      <c r="D24" s="53">
        <v>28.85</v>
      </c>
      <c r="E24" s="53">
        <v>10.62</v>
      </c>
      <c r="F24" s="53">
        <v>4.75</v>
      </c>
      <c r="G24" s="53">
        <v>111.68</v>
      </c>
      <c r="H24" s="53">
        <v>15.77</v>
      </c>
      <c r="I24" s="53">
        <v>0.1</v>
      </c>
      <c r="J24" s="53">
        <v>1.56</v>
      </c>
      <c r="K24" s="53">
        <v>355.47</v>
      </c>
      <c r="L24" s="53">
        <v>24.07</v>
      </c>
      <c r="M24" s="53">
        <v>29.87</v>
      </c>
      <c r="N24" s="53">
        <v>101.9</v>
      </c>
      <c r="O24" s="53">
        <v>0</v>
      </c>
      <c r="P24" s="53">
        <v>0.98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531</v>
      </c>
      <c r="B25" s="53">
        <v>19.309999999999999</v>
      </c>
      <c r="C25" s="53">
        <v>38.99</v>
      </c>
      <c r="D25" s="53">
        <v>31.64</v>
      </c>
      <c r="E25" s="53">
        <v>19.02</v>
      </c>
      <c r="F25" s="53">
        <v>6.4</v>
      </c>
      <c r="G25" s="53">
        <v>0</v>
      </c>
      <c r="H25" s="53">
        <v>15.98</v>
      </c>
      <c r="I25" s="53">
        <v>0.1</v>
      </c>
      <c r="J25" s="53">
        <v>1.03</v>
      </c>
      <c r="K25" s="53">
        <v>347.88</v>
      </c>
      <c r="L25" s="53">
        <v>22.69</v>
      </c>
      <c r="M25" s="53">
        <v>39.340000000000003</v>
      </c>
      <c r="N25" s="53">
        <v>77.3</v>
      </c>
      <c r="O25" s="53">
        <v>0</v>
      </c>
      <c r="P25" s="53">
        <v>1.29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532</v>
      </c>
      <c r="B26" s="53">
        <v>25.85</v>
      </c>
      <c r="C26" s="53">
        <v>33.79</v>
      </c>
      <c r="D26" s="53">
        <v>35.96</v>
      </c>
      <c r="E26" s="53">
        <v>15.96</v>
      </c>
      <c r="F26" s="53">
        <v>3.71</v>
      </c>
      <c r="G26" s="53">
        <v>136.6</v>
      </c>
      <c r="H26" s="53">
        <v>20.46</v>
      </c>
      <c r="I26" s="53">
        <v>0.1</v>
      </c>
      <c r="J26" s="53">
        <v>0.86</v>
      </c>
      <c r="K26" s="53">
        <v>358.04</v>
      </c>
      <c r="L26" s="53">
        <v>20.27</v>
      </c>
      <c r="M26" s="53">
        <v>48.31</v>
      </c>
      <c r="N26" s="53">
        <v>56</v>
      </c>
      <c r="O26" s="53">
        <v>0</v>
      </c>
      <c r="P26" s="53">
        <v>1.57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533</v>
      </c>
      <c r="B27" s="53">
        <v>21.99</v>
      </c>
      <c r="C27" s="53">
        <v>24.4</v>
      </c>
      <c r="D27" s="53">
        <v>28.79</v>
      </c>
      <c r="E27" s="53">
        <v>5.86</v>
      </c>
      <c r="F27" s="53">
        <v>2.63</v>
      </c>
      <c r="G27" s="53">
        <v>189.14</v>
      </c>
      <c r="H27" s="53">
        <v>22.82</v>
      </c>
      <c r="I27" s="53">
        <v>0.1</v>
      </c>
      <c r="J27" s="53">
        <v>0.77</v>
      </c>
      <c r="K27" s="53">
        <v>60.72</v>
      </c>
      <c r="L27" s="53">
        <v>18.649999999999999</v>
      </c>
      <c r="M27" s="53">
        <v>52.96</v>
      </c>
      <c r="N27" s="53">
        <v>51.8</v>
      </c>
      <c r="O27" s="53">
        <v>0</v>
      </c>
      <c r="P27" s="53">
        <v>1.46</v>
      </c>
      <c r="Q27" s="53">
        <v>9.65</v>
      </c>
      <c r="R27" s="43"/>
      <c r="S27" s="43"/>
      <c r="T27" s="43"/>
      <c r="U27" s="43"/>
    </row>
    <row r="28" spans="1:21" s="11" customFormat="1" x14ac:dyDescent="0.25">
      <c r="A28" s="52" t="s">
        <v>534</v>
      </c>
      <c r="B28" s="53">
        <v>30.12</v>
      </c>
      <c r="C28" s="53">
        <v>21.85</v>
      </c>
      <c r="D28" s="53">
        <v>32.96</v>
      </c>
      <c r="E28" s="53">
        <v>5.43</v>
      </c>
      <c r="F28" s="53">
        <v>2.54</v>
      </c>
      <c r="G28" s="53">
        <v>85.34</v>
      </c>
      <c r="H28" s="53">
        <v>26.91</v>
      </c>
      <c r="I28" s="53">
        <v>0.1</v>
      </c>
      <c r="J28" s="53">
        <v>0.8</v>
      </c>
      <c r="K28" s="53">
        <v>354.9</v>
      </c>
      <c r="L28" s="53">
        <v>17</v>
      </c>
      <c r="M28" s="53">
        <v>65.81</v>
      </c>
      <c r="N28" s="53">
        <v>51.7</v>
      </c>
      <c r="O28" s="53">
        <v>0</v>
      </c>
      <c r="P28" s="53">
        <v>1.91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535</v>
      </c>
      <c r="B29" s="53">
        <v>41.16</v>
      </c>
      <c r="C29" s="53">
        <v>15.89</v>
      </c>
      <c r="D29" s="53">
        <v>38.450000000000003</v>
      </c>
      <c r="E29" s="53">
        <v>5.66</v>
      </c>
      <c r="F29" s="53">
        <v>2.57</v>
      </c>
      <c r="G29" s="53">
        <v>86.74</v>
      </c>
      <c r="H29" s="53">
        <v>29.09</v>
      </c>
      <c r="I29" s="53">
        <v>0.1</v>
      </c>
      <c r="J29" s="53">
        <v>0.8</v>
      </c>
      <c r="K29" s="53">
        <v>341.87</v>
      </c>
      <c r="L29" s="53">
        <v>16.309999999999999</v>
      </c>
      <c r="M29" s="53">
        <v>66.599999999999994</v>
      </c>
      <c r="N29" s="53">
        <v>51.7</v>
      </c>
      <c r="O29" s="53">
        <v>0</v>
      </c>
      <c r="P29" s="53">
        <v>2.23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536</v>
      </c>
      <c r="B30" s="53">
        <v>56</v>
      </c>
      <c r="C30" s="53">
        <v>10.51</v>
      </c>
      <c r="D30" s="53">
        <v>45.98</v>
      </c>
      <c r="E30" s="53">
        <v>5.46</v>
      </c>
      <c r="F30" s="53">
        <v>2.2999999999999998</v>
      </c>
      <c r="G30" s="53">
        <v>83.27</v>
      </c>
      <c r="H30" s="53">
        <v>29.51</v>
      </c>
      <c r="I30" s="53">
        <v>0.1</v>
      </c>
      <c r="J30" s="53">
        <v>0.86</v>
      </c>
      <c r="K30" s="53">
        <v>339.57</v>
      </c>
      <c r="L30" s="53">
        <v>15.45</v>
      </c>
      <c r="M30" s="53">
        <v>75.709999999999994</v>
      </c>
      <c r="N30" s="53">
        <v>51.7</v>
      </c>
      <c r="O30" s="53">
        <v>0</v>
      </c>
      <c r="P30" s="53">
        <v>2.5499999999999998</v>
      </c>
      <c r="Q30" s="53">
        <v>9.68</v>
      </c>
      <c r="R30" s="43"/>
      <c r="S30" s="43"/>
      <c r="T30" s="43"/>
      <c r="U30" s="43"/>
    </row>
    <row r="31" spans="1:21" s="11" customFormat="1" x14ac:dyDescent="0.25">
      <c r="A31" s="52" t="s">
        <v>537</v>
      </c>
      <c r="B31" s="53">
        <v>61.39</v>
      </c>
      <c r="C31" s="53">
        <v>1.4</v>
      </c>
      <c r="D31" s="53">
        <v>48.64</v>
      </c>
      <c r="E31" s="53">
        <v>5.77</v>
      </c>
      <c r="F31" s="53">
        <v>2.64</v>
      </c>
      <c r="G31" s="53">
        <v>320.08999999999997</v>
      </c>
      <c r="H31" s="53">
        <v>29.54</v>
      </c>
      <c r="I31" s="53">
        <v>0.1</v>
      </c>
      <c r="J31" s="53">
        <v>1.05</v>
      </c>
      <c r="K31" s="53">
        <v>311.48</v>
      </c>
      <c r="L31" s="53">
        <v>16.25</v>
      </c>
      <c r="M31" s="53">
        <v>73.17</v>
      </c>
      <c r="N31" s="53">
        <v>51</v>
      </c>
      <c r="O31" s="53">
        <v>0</v>
      </c>
      <c r="P31" s="53">
        <v>2.61</v>
      </c>
      <c r="Q31" s="53">
        <v>9.7100000000000009</v>
      </c>
      <c r="R31" s="43"/>
      <c r="S31" s="43"/>
      <c r="T31" s="43"/>
      <c r="U31" s="43"/>
    </row>
    <row r="32" spans="1:21" s="11" customFormat="1" x14ac:dyDescent="0.25">
      <c r="A32" s="52" t="s">
        <v>538</v>
      </c>
      <c r="B32" s="53">
        <v>54.26</v>
      </c>
      <c r="C32" s="53">
        <v>6.09</v>
      </c>
      <c r="D32" s="53">
        <v>44.13</v>
      </c>
      <c r="E32" s="53">
        <v>5.72</v>
      </c>
      <c r="F32" s="53">
        <v>2.74</v>
      </c>
      <c r="G32" s="53">
        <v>409.69</v>
      </c>
      <c r="H32" s="53">
        <v>25.21</v>
      </c>
      <c r="I32" s="53">
        <v>0.1</v>
      </c>
      <c r="J32" s="53">
        <v>0.82</v>
      </c>
      <c r="K32" s="53">
        <v>117.45</v>
      </c>
      <c r="L32" s="53">
        <v>16.149999999999999</v>
      </c>
      <c r="M32" s="53">
        <v>56</v>
      </c>
      <c r="N32" s="53">
        <v>51.4</v>
      </c>
      <c r="O32" s="53">
        <v>0</v>
      </c>
      <c r="P32" s="53">
        <v>2.3199999999999998</v>
      </c>
      <c r="Q32" s="53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10.02</v>
      </c>
      <c r="C34" s="28">
        <f t="shared" si="0"/>
        <v>1.4</v>
      </c>
      <c r="D34" s="28">
        <f t="shared" si="0"/>
        <v>20.16</v>
      </c>
      <c r="E34" s="28">
        <f t="shared" si="0"/>
        <v>4.7699999999999996</v>
      </c>
      <c r="F34" s="28">
        <f t="shared" si="0"/>
        <v>2.2400000000000002</v>
      </c>
      <c r="G34" s="28">
        <f t="shared" si="0"/>
        <v>0</v>
      </c>
      <c r="H34" s="28">
        <f t="shared" si="0"/>
        <v>13.13</v>
      </c>
      <c r="I34" s="28">
        <f t="shared" si="0"/>
        <v>0.1</v>
      </c>
      <c r="J34" s="28">
        <f t="shared" si="0"/>
        <v>0.41</v>
      </c>
      <c r="K34" s="28">
        <f t="shared" si="0"/>
        <v>60.72</v>
      </c>
      <c r="L34" s="28">
        <f t="shared" si="0"/>
        <v>11.98</v>
      </c>
      <c r="M34" s="28">
        <f t="shared" si="0"/>
        <v>29.26</v>
      </c>
      <c r="N34" s="28">
        <f t="shared" si="0"/>
        <v>50.2</v>
      </c>
      <c r="O34" s="28">
        <f t="shared" si="0"/>
        <v>0</v>
      </c>
      <c r="P34" s="28">
        <f t="shared" si="0"/>
        <v>0.98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61.39</v>
      </c>
      <c r="C35" s="29">
        <f t="shared" si="1"/>
        <v>38.99</v>
      </c>
      <c r="D35" s="29">
        <f t="shared" si="1"/>
        <v>48.64</v>
      </c>
      <c r="E35" s="29">
        <f t="shared" si="1"/>
        <v>19.34</v>
      </c>
      <c r="F35" s="29">
        <f t="shared" si="1"/>
        <v>6.4</v>
      </c>
      <c r="G35" s="29">
        <f t="shared" si="1"/>
        <v>409.69</v>
      </c>
      <c r="H35" s="29">
        <f t="shared" si="1"/>
        <v>29.54</v>
      </c>
      <c r="I35" s="29">
        <f t="shared" si="1"/>
        <v>0.1</v>
      </c>
      <c r="J35" s="29">
        <f t="shared" si="1"/>
        <v>2.0099999999999998</v>
      </c>
      <c r="K35" s="29">
        <f t="shared" si="1"/>
        <v>358.04</v>
      </c>
      <c r="L35" s="29">
        <f t="shared" si="1"/>
        <v>27.73</v>
      </c>
      <c r="M35" s="29">
        <f t="shared" si="1"/>
        <v>97.11</v>
      </c>
      <c r="N35" s="29">
        <f t="shared" si="1"/>
        <v>486.6</v>
      </c>
      <c r="O35" s="29">
        <f t="shared" si="1"/>
        <v>0</v>
      </c>
      <c r="P35" s="29">
        <f t="shared" si="1"/>
        <v>2.61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25.980833333333337</v>
      </c>
      <c r="C36" s="28">
        <f t="shared" si="2"/>
        <v>20.500416666666666</v>
      </c>
      <c r="D36" s="28">
        <f t="shared" si="2"/>
        <v>29.756666666666671</v>
      </c>
      <c r="E36" s="28">
        <f t="shared" si="2"/>
        <v>7.5220833333333355</v>
      </c>
      <c r="F36" s="28">
        <f t="shared" si="2"/>
        <v>3.1850000000000001</v>
      </c>
      <c r="G36" s="28">
        <f t="shared" si="2"/>
        <v>89.132916666666645</v>
      </c>
      <c r="H36" s="28">
        <f t="shared" si="2"/>
        <v>19.609166666666667</v>
      </c>
      <c r="I36" s="28">
        <f t="shared" si="2"/>
        <v>0.10000000000000003</v>
      </c>
      <c r="J36" s="28">
        <f t="shared" si="2"/>
        <v>1.0908333333333335</v>
      </c>
      <c r="K36" s="28">
        <f t="shared" si="2"/>
        <v>295.3816666666666</v>
      </c>
      <c r="L36" s="28">
        <f t="shared" si="2"/>
        <v>18.52333333333333</v>
      </c>
      <c r="M36" s="28">
        <f t="shared" si="2"/>
        <v>61.81583333333333</v>
      </c>
      <c r="N36" s="28">
        <f t="shared" si="2"/>
        <v>161.62083333333334</v>
      </c>
      <c r="O36" s="28">
        <f t="shared" si="2"/>
        <v>0</v>
      </c>
      <c r="P36" s="28">
        <f t="shared" si="2"/>
        <v>1.510416666666667</v>
      </c>
      <c r="Q36" s="28">
        <f t="shared" si="2"/>
        <v>9.6454166666666676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14.149052485303885</v>
      </c>
      <c r="C37" s="28">
        <f t="shared" ref="C37:Q37" si="3">STDEV(C9:C32)</f>
        <v>9.0216673862172669</v>
      </c>
      <c r="D37" s="28">
        <f t="shared" si="3"/>
        <v>7.9258414265515338</v>
      </c>
      <c r="E37" s="28">
        <f t="shared" si="3"/>
        <v>4.6183273644174987</v>
      </c>
      <c r="F37" s="28">
        <f t="shared" si="3"/>
        <v>1.1985425932465192</v>
      </c>
      <c r="G37" s="28">
        <f t="shared" si="3"/>
        <v>94.517434576639246</v>
      </c>
      <c r="H37" s="28">
        <f t="shared" si="3"/>
        <v>5.0496378834153184</v>
      </c>
      <c r="I37" s="28">
        <f t="shared" si="3"/>
        <v>2.8352538009326866E-17</v>
      </c>
      <c r="J37" s="28">
        <f t="shared" si="3"/>
        <v>0.48225842491945842</v>
      </c>
      <c r="K37" s="28">
        <f t="shared" si="3"/>
        <v>93.372614208117795</v>
      </c>
      <c r="L37" s="28">
        <f t="shared" si="3"/>
        <v>5.2870651566833118</v>
      </c>
      <c r="M37" s="28">
        <f t="shared" si="3"/>
        <v>21.796097958852272</v>
      </c>
      <c r="N37" s="28">
        <f t="shared" si="3"/>
        <v>166.75231822693792</v>
      </c>
      <c r="O37" s="28">
        <f t="shared" si="3"/>
        <v>0</v>
      </c>
      <c r="P37" s="28">
        <f t="shared" si="3"/>
        <v>0.48698253844837419</v>
      </c>
      <c r="Q37" s="28">
        <f t="shared" si="3"/>
        <v>2.3027236551275591E-2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1" sqref="C31:C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539</v>
      </c>
      <c r="B9" s="53">
        <v>42.89</v>
      </c>
      <c r="C9" s="53">
        <v>11.21</v>
      </c>
      <c r="D9" s="53">
        <v>37.57</v>
      </c>
      <c r="E9" s="53">
        <v>5.66</v>
      </c>
      <c r="F9" s="53">
        <v>2.56</v>
      </c>
      <c r="G9" s="53">
        <v>65.22</v>
      </c>
      <c r="H9" s="53">
        <v>20.93</v>
      </c>
      <c r="I9" s="53">
        <v>0.1</v>
      </c>
      <c r="J9" s="53">
        <v>0.39</v>
      </c>
      <c r="K9" s="53">
        <v>342.26</v>
      </c>
      <c r="L9" s="53">
        <v>15.37</v>
      </c>
      <c r="M9" s="53">
        <v>59.43</v>
      </c>
      <c r="N9" s="53">
        <v>51.5</v>
      </c>
      <c r="O9" s="53">
        <v>0</v>
      </c>
      <c r="P9" s="53">
        <v>2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540</v>
      </c>
      <c r="B10" s="53">
        <v>33.299999999999997</v>
      </c>
      <c r="C10" s="53">
        <v>13.59</v>
      </c>
      <c r="D10" s="53">
        <v>32.08</v>
      </c>
      <c r="E10" s="53">
        <v>5.27</v>
      </c>
      <c r="F10" s="53">
        <v>2.5499999999999998</v>
      </c>
      <c r="G10" s="53">
        <v>65.989999999999995</v>
      </c>
      <c r="H10" s="53">
        <v>18.75</v>
      </c>
      <c r="I10" s="53">
        <v>0.1</v>
      </c>
      <c r="J10" s="53">
        <v>0.88</v>
      </c>
      <c r="K10" s="53">
        <v>318.39</v>
      </c>
      <c r="L10" s="53">
        <v>14.78</v>
      </c>
      <c r="M10" s="53">
        <v>69.47</v>
      </c>
      <c r="N10" s="53">
        <v>51.7</v>
      </c>
      <c r="O10" s="53">
        <v>0</v>
      </c>
      <c r="P10" s="53">
        <v>1.77</v>
      </c>
      <c r="Q10" s="53">
        <v>9.65</v>
      </c>
      <c r="R10" s="43"/>
      <c r="S10" s="43"/>
      <c r="T10" s="43"/>
      <c r="U10" s="43"/>
    </row>
    <row r="11" spans="1:21" s="11" customFormat="1" x14ac:dyDescent="0.25">
      <c r="A11" s="52" t="s">
        <v>541</v>
      </c>
      <c r="B11" s="53">
        <v>27.25</v>
      </c>
      <c r="C11" s="53">
        <v>14.72</v>
      </c>
      <c r="D11" s="53">
        <v>28.47</v>
      </c>
      <c r="E11" s="53">
        <v>5.2</v>
      </c>
      <c r="F11" s="53">
        <v>2.87</v>
      </c>
      <c r="G11" s="53">
        <v>65.23</v>
      </c>
      <c r="H11" s="53">
        <v>16.36</v>
      </c>
      <c r="I11" s="53">
        <v>0.1</v>
      </c>
      <c r="J11" s="53">
        <v>0.86</v>
      </c>
      <c r="K11" s="53">
        <v>256.27</v>
      </c>
      <c r="L11" s="53">
        <v>13.48</v>
      </c>
      <c r="M11" s="53">
        <v>77.08</v>
      </c>
      <c r="N11" s="53">
        <v>51.6</v>
      </c>
      <c r="O11" s="53">
        <v>0</v>
      </c>
      <c r="P11" s="53">
        <v>1.69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542</v>
      </c>
      <c r="B12" s="53">
        <v>22.14</v>
      </c>
      <c r="C12" s="53">
        <v>15.79</v>
      </c>
      <c r="D12" s="53">
        <v>24.71</v>
      </c>
      <c r="E12" s="53">
        <v>5.24</v>
      </c>
      <c r="F12" s="53">
        <v>2.74</v>
      </c>
      <c r="G12" s="53">
        <v>80.37</v>
      </c>
      <c r="H12" s="53">
        <v>14.74</v>
      </c>
      <c r="I12" s="53">
        <v>0.1</v>
      </c>
      <c r="J12" s="53">
        <v>0.8</v>
      </c>
      <c r="K12" s="53">
        <v>327.73</v>
      </c>
      <c r="L12" s="53">
        <v>12.63</v>
      </c>
      <c r="M12" s="53">
        <v>94.08</v>
      </c>
      <c r="N12" s="53">
        <v>51.6</v>
      </c>
      <c r="O12" s="53">
        <v>0</v>
      </c>
      <c r="P12" s="53">
        <v>1.44</v>
      </c>
      <c r="Q12" s="53">
        <v>9.64</v>
      </c>
      <c r="R12" s="43"/>
      <c r="S12" s="43"/>
      <c r="T12" s="43"/>
      <c r="U12" s="43"/>
    </row>
    <row r="13" spans="1:21" s="11" customFormat="1" x14ac:dyDescent="0.25">
      <c r="A13" s="52" t="s">
        <v>543</v>
      </c>
      <c r="B13" s="53">
        <v>25.11</v>
      </c>
      <c r="C13" s="53">
        <v>15.5</v>
      </c>
      <c r="D13" s="53">
        <v>26.07</v>
      </c>
      <c r="E13" s="53">
        <v>5.05</v>
      </c>
      <c r="F13" s="53">
        <v>2.46</v>
      </c>
      <c r="G13" s="53">
        <v>47.53</v>
      </c>
      <c r="H13" s="53">
        <v>17.03</v>
      </c>
      <c r="I13" s="53">
        <v>0.1</v>
      </c>
      <c r="J13" s="53">
        <v>0.84</v>
      </c>
      <c r="K13" s="53">
        <v>287.72000000000003</v>
      </c>
      <c r="L13" s="53">
        <v>11.62</v>
      </c>
      <c r="M13" s="53">
        <v>97.93</v>
      </c>
      <c r="N13" s="53">
        <v>51.4</v>
      </c>
      <c r="O13" s="53">
        <v>0</v>
      </c>
      <c r="P13" s="53">
        <v>1.26</v>
      </c>
      <c r="Q13" s="53">
        <v>9.64</v>
      </c>
      <c r="R13" s="43"/>
      <c r="S13" s="43"/>
      <c r="T13" s="43"/>
      <c r="U13" s="43"/>
    </row>
    <row r="14" spans="1:21" s="11" customFormat="1" x14ac:dyDescent="0.25">
      <c r="A14" s="52" t="s">
        <v>544</v>
      </c>
      <c r="B14" s="53">
        <v>29.32</v>
      </c>
      <c r="C14" s="53">
        <v>11.38</v>
      </c>
      <c r="D14" s="53">
        <v>28.13</v>
      </c>
      <c r="E14" s="53">
        <v>4.9400000000000004</v>
      </c>
      <c r="F14" s="53">
        <v>2.4700000000000002</v>
      </c>
      <c r="G14" s="53">
        <v>50.63</v>
      </c>
      <c r="H14" s="53">
        <v>17.14</v>
      </c>
      <c r="I14" s="53">
        <v>0.1</v>
      </c>
      <c r="J14" s="53">
        <v>0.48</v>
      </c>
      <c r="K14" s="53">
        <v>253.85</v>
      </c>
      <c r="L14" s="53">
        <v>11.51</v>
      </c>
      <c r="M14" s="53">
        <v>97.93</v>
      </c>
      <c r="N14" s="53">
        <v>51.2</v>
      </c>
      <c r="O14" s="53">
        <v>0</v>
      </c>
      <c r="P14" s="53">
        <v>1.28</v>
      </c>
      <c r="Q14" s="53">
        <v>9.64</v>
      </c>
      <c r="R14" s="43"/>
      <c r="S14" s="43"/>
      <c r="T14" s="43"/>
      <c r="U14" s="43"/>
    </row>
    <row r="15" spans="1:21" s="11" customFormat="1" x14ac:dyDescent="0.25">
      <c r="A15" s="52" t="s">
        <v>545</v>
      </c>
      <c r="B15" s="53">
        <v>29.04</v>
      </c>
      <c r="C15" s="53">
        <v>10.98</v>
      </c>
      <c r="D15" s="53">
        <v>28.05</v>
      </c>
      <c r="E15" s="53">
        <v>5.04</v>
      </c>
      <c r="F15" s="53">
        <v>2.56</v>
      </c>
      <c r="G15" s="53">
        <v>50.93</v>
      </c>
      <c r="H15" s="53">
        <v>16.899999999999999</v>
      </c>
      <c r="I15" s="53">
        <v>0.1</v>
      </c>
      <c r="J15" s="53">
        <v>0.44</v>
      </c>
      <c r="K15" s="53">
        <v>287.13</v>
      </c>
      <c r="L15" s="53">
        <v>11.51</v>
      </c>
      <c r="M15" s="53">
        <v>96.78</v>
      </c>
      <c r="N15" s="53">
        <v>68.7</v>
      </c>
      <c r="O15" s="53">
        <v>0</v>
      </c>
      <c r="P15" s="53">
        <v>1.28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546</v>
      </c>
      <c r="B16" s="53">
        <v>30.07</v>
      </c>
      <c r="C16" s="53">
        <v>10.93</v>
      </c>
      <c r="D16" s="53">
        <v>28.59</v>
      </c>
      <c r="E16" s="53">
        <v>5.98</v>
      </c>
      <c r="F16" s="53">
        <v>2.75</v>
      </c>
      <c r="G16" s="53">
        <v>51.8</v>
      </c>
      <c r="H16" s="53">
        <v>18.09</v>
      </c>
      <c r="I16" s="53">
        <v>0.1</v>
      </c>
      <c r="J16" s="53">
        <v>0.78</v>
      </c>
      <c r="K16" s="53">
        <v>292</v>
      </c>
      <c r="L16" s="53">
        <v>15.48</v>
      </c>
      <c r="M16" s="53">
        <v>95.22</v>
      </c>
      <c r="N16" s="53">
        <v>211.8</v>
      </c>
      <c r="O16" s="53">
        <v>0</v>
      </c>
      <c r="P16" s="53">
        <v>1.1299999999999999</v>
      </c>
      <c r="Q16" s="53">
        <v>9.66</v>
      </c>
      <c r="R16" s="43"/>
      <c r="S16" s="43"/>
      <c r="T16" s="43"/>
      <c r="U16" s="43"/>
    </row>
    <row r="17" spans="1:21" s="11" customFormat="1" x14ac:dyDescent="0.25">
      <c r="A17" s="52" t="s">
        <v>547</v>
      </c>
      <c r="B17" s="53">
        <v>31.03</v>
      </c>
      <c r="C17" s="53">
        <v>10.86</v>
      </c>
      <c r="D17" s="53">
        <v>29.28</v>
      </c>
      <c r="E17" s="53">
        <v>6.38</v>
      </c>
      <c r="F17" s="53">
        <v>2.4900000000000002</v>
      </c>
      <c r="G17" s="53">
        <v>59.4</v>
      </c>
      <c r="H17" s="53">
        <v>21.5</v>
      </c>
      <c r="I17" s="53">
        <v>0.1</v>
      </c>
      <c r="J17" s="53">
        <v>1.53</v>
      </c>
      <c r="K17" s="53">
        <v>151.62</v>
      </c>
      <c r="L17" s="53">
        <v>18.73</v>
      </c>
      <c r="M17" s="53">
        <v>66.11</v>
      </c>
      <c r="N17" s="53">
        <v>365.7</v>
      </c>
      <c r="O17" s="53">
        <v>0</v>
      </c>
      <c r="P17" s="53">
        <v>1.07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548</v>
      </c>
      <c r="B18" s="53">
        <v>28.97</v>
      </c>
      <c r="C18" s="53">
        <v>12.73</v>
      </c>
      <c r="D18" s="53">
        <v>28.7</v>
      </c>
      <c r="E18" s="53">
        <v>6.66</v>
      </c>
      <c r="F18" s="53">
        <v>2.7</v>
      </c>
      <c r="G18" s="53">
        <v>60.91</v>
      </c>
      <c r="H18" s="53">
        <v>21.65</v>
      </c>
      <c r="I18" s="53">
        <v>0.1</v>
      </c>
      <c r="J18" s="53">
        <v>2.0699999999999998</v>
      </c>
      <c r="K18" s="53">
        <v>124.48</v>
      </c>
      <c r="L18" s="53">
        <v>20.420000000000002</v>
      </c>
      <c r="M18" s="53">
        <v>48.41</v>
      </c>
      <c r="N18" s="53">
        <v>454.9</v>
      </c>
      <c r="O18" s="53">
        <v>0</v>
      </c>
      <c r="P18" s="53">
        <v>1.07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549</v>
      </c>
      <c r="B19" s="53">
        <v>26.73</v>
      </c>
      <c r="C19" s="53">
        <v>14.96</v>
      </c>
      <c r="D19" s="53">
        <v>27.7</v>
      </c>
      <c r="E19" s="53">
        <v>6.93</v>
      </c>
      <c r="F19" s="53">
        <v>2.75</v>
      </c>
      <c r="G19" s="53">
        <v>42.13</v>
      </c>
      <c r="H19" s="53">
        <v>19.829999999999998</v>
      </c>
      <c r="I19" s="53">
        <v>0.1</v>
      </c>
      <c r="J19" s="53">
        <v>2.23</v>
      </c>
      <c r="K19" s="53">
        <v>125.78</v>
      </c>
      <c r="L19" s="53">
        <v>21.98</v>
      </c>
      <c r="M19" s="53">
        <v>44.3</v>
      </c>
      <c r="N19" s="53">
        <v>496.7</v>
      </c>
      <c r="O19" s="53">
        <v>0</v>
      </c>
      <c r="P19" s="53">
        <v>1.05</v>
      </c>
      <c r="Q19" s="53">
        <v>9.65</v>
      </c>
      <c r="R19" s="43"/>
      <c r="S19" s="43"/>
      <c r="T19" s="43"/>
      <c r="U19" s="43"/>
    </row>
    <row r="20" spans="1:21" s="11" customFormat="1" x14ac:dyDescent="0.25">
      <c r="A20" s="52" t="s">
        <v>550</v>
      </c>
      <c r="B20" s="53">
        <v>24.42</v>
      </c>
      <c r="C20" s="53">
        <v>16.34</v>
      </c>
      <c r="D20" s="53">
        <v>26.7</v>
      </c>
      <c r="E20" s="53">
        <v>7.65</v>
      </c>
      <c r="F20" s="53">
        <v>2.78</v>
      </c>
      <c r="G20" s="53">
        <v>38.270000000000003</v>
      </c>
      <c r="H20" s="53">
        <v>18.72</v>
      </c>
      <c r="I20" s="53">
        <v>0.1</v>
      </c>
      <c r="J20" s="53">
        <v>1.52</v>
      </c>
      <c r="K20" s="53">
        <v>352.07</v>
      </c>
      <c r="L20" s="53">
        <v>27.25</v>
      </c>
      <c r="M20" s="53">
        <v>31.48</v>
      </c>
      <c r="N20" s="53">
        <v>472.8</v>
      </c>
      <c r="O20" s="53">
        <v>0</v>
      </c>
      <c r="P20" s="53">
        <v>1.01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551</v>
      </c>
      <c r="B21" s="53">
        <v>22.27</v>
      </c>
      <c r="C21" s="53">
        <v>20.010000000000002</v>
      </c>
      <c r="D21" s="53">
        <v>26.43</v>
      </c>
      <c r="E21" s="53">
        <v>7.6</v>
      </c>
      <c r="F21" s="53">
        <v>2.9</v>
      </c>
      <c r="G21" s="53">
        <v>41.04</v>
      </c>
      <c r="H21" s="53">
        <v>16.05</v>
      </c>
      <c r="I21" s="53">
        <v>0.1</v>
      </c>
      <c r="J21" s="53">
        <v>1.25</v>
      </c>
      <c r="K21" s="53">
        <v>348.74</v>
      </c>
      <c r="L21" s="53">
        <v>28.04</v>
      </c>
      <c r="M21" s="53">
        <v>26.47</v>
      </c>
      <c r="N21" s="53">
        <v>444.4</v>
      </c>
      <c r="O21" s="53">
        <v>0</v>
      </c>
      <c r="P21" s="53">
        <v>0.9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552</v>
      </c>
      <c r="B22" s="53">
        <v>20.22</v>
      </c>
      <c r="C22" s="53">
        <v>22.88</v>
      </c>
      <c r="D22" s="53">
        <v>26.63</v>
      </c>
      <c r="E22" s="53">
        <v>14.91</v>
      </c>
      <c r="F22" s="53">
        <v>4.43</v>
      </c>
      <c r="G22" s="53">
        <v>45.9</v>
      </c>
      <c r="H22" s="53">
        <v>17.149999999999999</v>
      </c>
      <c r="I22" s="53">
        <v>0.1</v>
      </c>
      <c r="J22" s="53">
        <v>1.1599999999999999</v>
      </c>
      <c r="K22" s="53">
        <v>359.45</v>
      </c>
      <c r="L22" s="53">
        <v>26.2</v>
      </c>
      <c r="M22" s="53">
        <v>27.71</v>
      </c>
      <c r="N22" s="53">
        <v>329.1</v>
      </c>
      <c r="O22" s="53">
        <v>0</v>
      </c>
      <c r="P22" s="53">
        <v>1.03</v>
      </c>
      <c r="Q22" s="53">
        <v>9.64</v>
      </c>
      <c r="R22" s="43"/>
      <c r="S22" s="43"/>
      <c r="T22" s="43"/>
      <c r="U22" s="43"/>
    </row>
    <row r="23" spans="1:21" s="11" customFormat="1" x14ac:dyDescent="0.25">
      <c r="A23" s="52" t="s">
        <v>553</v>
      </c>
      <c r="B23" s="53">
        <v>17.559999999999999</v>
      </c>
      <c r="C23" s="53">
        <v>27.31</v>
      </c>
      <c r="D23" s="53">
        <v>25.41</v>
      </c>
      <c r="E23" s="53">
        <v>17.32</v>
      </c>
      <c r="F23" s="53">
        <v>7.51</v>
      </c>
      <c r="G23" s="53">
        <v>47.95</v>
      </c>
      <c r="H23" s="53">
        <v>17.23</v>
      </c>
      <c r="I23" s="53">
        <v>0.1</v>
      </c>
      <c r="J23" s="53">
        <v>1.56</v>
      </c>
      <c r="K23" s="53">
        <v>339.83</v>
      </c>
      <c r="L23" s="53">
        <v>25.57</v>
      </c>
      <c r="M23" s="53">
        <v>27.87</v>
      </c>
      <c r="N23" s="53">
        <v>158.30000000000001</v>
      </c>
      <c r="O23" s="53">
        <v>0</v>
      </c>
      <c r="P23" s="53">
        <v>1.06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554</v>
      </c>
      <c r="B24" s="53">
        <v>14.08</v>
      </c>
      <c r="C24" s="53">
        <v>27.06</v>
      </c>
      <c r="D24" s="53">
        <v>24.67</v>
      </c>
      <c r="E24" s="53">
        <v>20.04</v>
      </c>
      <c r="F24" s="53">
        <v>8.0500000000000007</v>
      </c>
      <c r="G24" s="53">
        <v>44.29</v>
      </c>
      <c r="H24" s="53">
        <v>15.45</v>
      </c>
      <c r="I24" s="53">
        <v>0.1</v>
      </c>
      <c r="J24" s="53">
        <v>1.72</v>
      </c>
      <c r="K24" s="53">
        <v>345.37</v>
      </c>
      <c r="L24" s="53">
        <v>24.04</v>
      </c>
      <c r="M24" s="53">
        <v>25.58</v>
      </c>
      <c r="N24" s="53">
        <v>96</v>
      </c>
      <c r="O24" s="53">
        <v>0</v>
      </c>
      <c r="P24" s="53">
        <v>1.1100000000000001</v>
      </c>
      <c r="Q24" s="53">
        <v>9.64</v>
      </c>
      <c r="R24" s="43"/>
      <c r="S24" s="43"/>
      <c r="T24" s="43"/>
      <c r="U24" s="43"/>
    </row>
    <row r="25" spans="1:21" s="11" customFormat="1" x14ac:dyDescent="0.25">
      <c r="A25" s="52" t="s">
        <v>555</v>
      </c>
      <c r="B25" s="53">
        <v>15.83</v>
      </c>
      <c r="C25" s="53">
        <v>31.3</v>
      </c>
      <c r="D25" s="53">
        <v>28.39</v>
      </c>
      <c r="E25" s="53">
        <v>15.86</v>
      </c>
      <c r="F25" s="53">
        <v>5.74</v>
      </c>
      <c r="G25" s="53">
        <v>44.85</v>
      </c>
      <c r="H25" s="53">
        <v>16.22</v>
      </c>
      <c r="I25" s="53">
        <v>0.1</v>
      </c>
      <c r="J25" s="53">
        <v>1.0900000000000001</v>
      </c>
      <c r="K25" s="53">
        <v>357.75</v>
      </c>
      <c r="L25" s="53">
        <v>22.97</v>
      </c>
      <c r="M25" s="53">
        <v>31.76</v>
      </c>
      <c r="N25" s="53">
        <v>72.8</v>
      </c>
      <c r="O25" s="53">
        <v>0</v>
      </c>
      <c r="P25" s="53">
        <v>1.1499999999999999</v>
      </c>
      <c r="Q25" s="53">
        <v>9.64</v>
      </c>
      <c r="R25" s="43"/>
      <c r="S25" s="43"/>
      <c r="T25" s="43"/>
      <c r="U25" s="43"/>
    </row>
    <row r="26" spans="1:21" s="11" customFormat="1" x14ac:dyDescent="0.25">
      <c r="A26" s="52" t="s">
        <v>556</v>
      </c>
      <c r="B26" s="53">
        <v>20.95</v>
      </c>
      <c r="C26" s="53">
        <v>27.54</v>
      </c>
      <c r="D26" s="53">
        <v>28.01</v>
      </c>
      <c r="E26" s="53">
        <v>7.4</v>
      </c>
      <c r="F26" s="53">
        <v>3.16</v>
      </c>
      <c r="G26" s="53">
        <v>55.38</v>
      </c>
      <c r="H26" s="53">
        <v>18.84</v>
      </c>
      <c r="I26" s="53">
        <v>0.1</v>
      </c>
      <c r="J26" s="53">
        <v>0.75</v>
      </c>
      <c r="K26" s="53">
        <v>333.7</v>
      </c>
      <c r="L26" s="53">
        <v>20.41</v>
      </c>
      <c r="M26" s="53">
        <v>50.24</v>
      </c>
      <c r="N26" s="53">
        <v>51.8</v>
      </c>
      <c r="O26" s="53">
        <v>0</v>
      </c>
      <c r="P26" s="53">
        <v>1.24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557</v>
      </c>
      <c r="B27" s="53">
        <v>42.94</v>
      </c>
      <c r="C27" s="53">
        <v>21.05</v>
      </c>
      <c r="D27" s="53">
        <v>40.99</v>
      </c>
      <c r="E27" s="53">
        <v>6.6</v>
      </c>
      <c r="F27" s="53">
        <v>2.56</v>
      </c>
      <c r="G27" s="53">
        <v>87.59</v>
      </c>
      <c r="H27" s="53">
        <v>25.88</v>
      </c>
      <c r="I27" s="53">
        <v>0.1</v>
      </c>
      <c r="J27" s="53">
        <v>0.82</v>
      </c>
      <c r="K27" s="53">
        <v>198.65</v>
      </c>
      <c r="L27" s="53">
        <v>17.690000000000001</v>
      </c>
      <c r="M27" s="53">
        <v>69.599999999999994</v>
      </c>
      <c r="N27" s="53">
        <v>46.3</v>
      </c>
      <c r="O27" s="53">
        <v>0</v>
      </c>
      <c r="P27" s="53">
        <v>1.68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558</v>
      </c>
      <c r="B28" s="53">
        <v>58.56</v>
      </c>
      <c r="C28" s="53">
        <v>10.14</v>
      </c>
      <c r="D28" s="53">
        <v>47.47</v>
      </c>
      <c r="E28" s="53">
        <v>6.73</v>
      </c>
      <c r="F28" s="53">
        <v>2.52</v>
      </c>
      <c r="G28" s="53">
        <v>104.93</v>
      </c>
      <c r="H28" s="53">
        <v>29.89</v>
      </c>
      <c r="I28" s="53">
        <v>0.1</v>
      </c>
      <c r="J28" s="53">
        <v>0.79</v>
      </c>
      <c r="K28" s="53">
        <v>148.5</v>
      </c>
      <c r="L28" s="53">
        <v>15.95</v>
      </c>
      <c r="M28" s="53">
        <v>74.959999999999994</v>
      </c>
      <c r="N28" s="53">
        <v>45.9</v>
      </c>
      <c r="O28" s="53">
        <v>0</v>
      </c>
      <c r="P28" s="53">
        <v>1.86</v>
      </c>
      <c r="Q28" s="53">
        <v>9.69</v>
      </c>
      <c r="R28" s="43"/>
      <c r="S28" s="43"/>
      <c r="T28" s="43"/>
      <c r="U28" s="43"/>
    </row>
    <row r="29" spans="1:21" s="11" customFormat="1" x14ac:dyDescent="0.25">
      <c r="A29" s="52" t="s">
        <v>559</v>
      </c>
      <c r="B29" s="53">
        <v>79.06</v>
      </c>
      <c r="C29" s="53">
        <v>0.13</v>
      </c>
      <c r="D29" s="53">
        <v>57.6</v>
      </c>
      <c r="E29" s="53">
        <v>6.62</v>
      </c>
      <c r="F29" s="53">
        <v>2.65</v>
      </c>
      <c r="G29" s="53">
        <v>108.46</v>
      </c>
      <c r="H29" s="53">
        <v>33.83</v>
      </c>
      <c r="I29" s="53">
        <v>0.1</v>
      </c>
      <c r="J29" s="53">
        <v>0.83</v>
      </c>
      <c r="K29" s="53">
        <v>359.94</v>
      </c>
      <c r="L29" s="53">
        <v>15.44</v>
      </c>
      <c r="M29" s="53">
        <v>76.86</v>
      </c>
      <c r="N29" s="53">
        <v>46</v>
      </c>
      <c r="O29" s="53">
        <v>0</v>
      </c>
      <c r="P29" s="53">
        <v>2.37</v>
      </c>
      <c r="Q29" s="53">
        <v>9.7100000000000009</v>
      </c>
      <c r="R29" s="43"/>
      <c r="S29" s="43"/>
      <c r="T29" s="43"/>
      <c r="U29" s="43"/>
    </row>
    <row r="30" spans="1:21" s="11" customFormat="1" x14ac:dyDescent="0.25">
      <c r="A30" s="52" t="s">
        <v>560</v>
      </c>
      <c r="B30" s="53">
        <v>101.57</v>
      </c>
      <c r="C30" s="53">
        <v>0.13</v>
      </c>
      <c r="D30" s="53">
        <v>69.08</v>
      </c>
      <c r="E30" s="53">
        <v>6.9</v>
      </c>
      <c r="F30" s="53">
        <v>2.69</v>
      </c>
      <c r="G30" s="53">
        <v>112.32</v>
      </c>
      <c r="H30" s="53">
        <v>38.75</v>
      </c>
      <c r="I30" s="53">
        <v>0.1</v>
      </c>
      <c r="J30" s="53">
        <v>0.76</v>
      </c>
      <c r="K30" s="53">
        <v>317.29000000000002</v>
      </c>
      <c r="L30" s="53">
        <v>14.89</v>
      </c>
      <c r="M30" s="53">
        <v>84</v>
      </c>
      <c r="N30" s="53">
        <v>45.9</v>
      </c>
      <c r="O30" s="53">
        <v>0</v>
      </c>
      <c r="P30" s="53">
        <v>2.78</v>
      </c>
      <c r="Q30" s="53">
        <v>9.73</v>
      </c>
      <c r="R30" s="43"/>
      <c r="S30" s="43"/>
      <c r="T30" s="43"/>
      <c r="U30" s="43"/>
    </row>
    <row r="31" spans="1:21" s="11" customFormat="1" x14ac:dyDescent="0.25">
      <c r="A31" s="52" t="s">
        <v>561</v>
      </c>
      <c r="B31" s="53">
        <v>122.7</v>
      </c>
      <c r="C31" s="53">
        <v>0.13</v>
      </c>
      <c r="D31" s="53">
        <v>79.16</v>
      </c>
      <c r="E31" s="53">
        <v>7.15</v>
      </c>
      <c r="F31" s="53">
        <v>2.62</v>
      </c>
      <c r="G31" s="53">
        <v>123.7</v>
      </c>
      <c r="H31" s="53">
        <v>42.41</v>
      </c>
      <c r="I31" s="53">
        <v>0.1</v>
      </c>
      <c r="J31" s="53">
        <v>0.76</v>
      </c>
      <c r="K31" s="53">
        <v>324.8</v>
      </c>
      <c r="L31" s="53">
        <v>14.13</v>
      </c>
      <c r="M31" s="53">
        <v>93.36</v>
      </c>
      <c r="N31" s="53">
        <v>46</v>
      </c>
      <c r="O31" s="53">
        <v>0</v>
      </c>
      <c r="P31" s="53">
        <v>3.12</v>
      </c>
      <c r="Q31" s="53">
        <v>9.77</v>
      </c>
      <c r="R31" s="43"/>
      <c r="S31" s="43"/>
      <c r="T31" s="43"/>
      <c r="U31" s="43"/>
    </row>
    <row r="32" spans="1:21" s="11" customFormat="1" x14ac:dyDescent="0.25">
      <c r="A32" s="52" t="s">
        <v>562</v>
      </c>
      <c r="B32" s="53">
        <v>131.04</v>
      </c>
      <c r="C32" s="53">
        <v>0.13</v>
      </c>
      <c r="D32" s="53">
        <v>82.76</v>
      </c>
      <c r="E32" s="53">
        <v>7.05</v>
      </c>
      <c r="F32" s="53">
        <v>2.33</v>
      </c>
      <c r="G32" s="53">
        <v>127.58</v>
      </c>
      <c r="H32" s="53">
        <v>42.56</v>
      </c>
      <c r="I32" s="53">
        <v>0.1</v>
      </c>
      <c r="J32" s="53">
        <v>0.83</v>
      </c>
      <c r="K32" s="53">
        <v>318.20999999999998</v>
      </c>
      <c r="L32" s="53">
        <v>13.43</v>
      </c>
      <c r="M32" s="53">
        <v>97.89</v>
      </c>
      <c r="N32" s="53">
        <v>46</v>
      </c>
      <c r="O32" s="53">
        <v>0</v>
      </c>
      <c r="P32" s="53">
        <v>3.32</v>
      </c>
      <c r="Q32" s="53">
        <v>9.7799999999999994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14.08</v>
      </c>
      <c r="C34" s="28">
        <f t="shared" si="0"/>
        <v>0.13</v>
      </c>
      <c r="D34" s="28">
        <f t="shared" si="0"/>
        <v>24.67</v>
      </c>
      <c r="E34" s="28">
        <f t="shared" si="0"/>
        <v>4.9400000000000004</v>
      </c>
      <c r="F34" s="28">
        <f t="shared" si="0"/>
        <v>2.33</v>
      </c>
      <c r="G34" s="28">
        <f t="shared" si="0"/>
        <v>38.270000000000003</v>
      </c>
      <c r="H34" s="28">
        <f t="shared" si="0"/>
        <v>14.74</v>
      </c>
      <c r="I34" s="28">
        <f t="shared" si="0"/>
        <v>0.1</v>
      </c>
      <c r="J34" s="28">
        <f t="shared" si="0"/>
        <v>0.39</v>
      </c>
      <c r="K34" s="28">
        <f t="shared" si="0"/>
        <v>124.48</v>
      </c>
      <c r="L34" s="28">
        <f t="shared" si="0"/>
        <v>11.51</v>
      </c>
      <c r="M34" s="28">
        <f t="shared" si="0"/>
        <v>25.58</v>
      </c>
      <c r="N34" s="28">
        <f t="shared" si="0"/>
        <v>45.9</v>
      </c>
      <c r="O34" s="28">
        <f t="shared" si="0"/>
        <v>0</v>
      </c>
      <c r="P34" s="28">
        <f t="shared" si="0"/>
        <v>0.9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131.04</v>
      </c>
      <c r="C35" s="29">
        <f t="shared" si="1"/>
        <v>31.3</v>
      </c>
      <c r="D35" s="29">
        <f t="shared" si="1"/>
        <v>82.76</v>
      </c>
      <c r="E35" s="29">
        <f t="shared" si="1"/>
        <v>20.04</v>
      </c>
      <c r="F35" s="29">
        <f t="shared" si="1"/>
        <v>8.0500000000000007</v>
      </c>
      <c r="G35" s="29">
        <f t="shared" si="1"/>
        <v>127.58</v>
      </c>
      <c r="H35" s="29">
        <f t="shared" si="1"/>
        <v>42.56</v>
      </c>
      <c r="I35" s="29">
        <f t="shared" si="1"/>
        <v>0.1</v>
      </c>
      <c r="J35" s="29">
        <f t="shared" si="1"/>
        <v>2.23</v>
      </c>
      <c r="K35" s="29">
        <f t="shared" si="1"/>
        <v>359.94</v>
      </c>
      <c r="L35" s="29">
        <f t="shared" si="1"/>
        <v>28.04</v>
      </c>
      <c r="M35" s="29">
        <f t="shared" si="1"/>
        <v>97.93</v>
      </c>
      <c r="N35" s="29">
        <f t="shared" si="1"/>
        <v>496.7</v>
      </c>
      <c r="O35" s="29">
        <f t="shared" si="1"/>
        <v>0</v>
      </c>
      <c r="P35" s="29">
        <f t="shared" si="1"/>
        <v>3.32</v>
      </c>
      <c r="Q35" s="29">
        <f t="shared" si="1"/>
        <v>9.7799999999999994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41.543749999999996</v>
      </c>
      <c r="C36" s="28">
        <f t="shared" si="2"/>
        <v>14.450000000000001</v>
      </c>
      <c r="D36" s="28">
        <f t="shared" si="2"/>
        <v>36.777083333333337</v>
      </c>
      <c r="E36" s="28">
        <f t="shared" si="2"/>
        <v>8.0908333333333324</v>
      </c>
      <c r="F36" s="28">
        <f t="shared" si="2"/>
        <v>3.2850000000000006</v>
      </c>
      <c r="G36" s="28">
        <f t="shared" si="2"/>
        <v>67.599999999999994</v>
      </c>
      <c r="H36" s="28">
        <f t="shared" si="2"/>
        <v>22.329166666666662</v>
      </c>
      <c r="I36" s="28">
        <f t="shared" si="2"/>
        <v>0.10000000000000003</v>
      </c>
      <c r="J36" s="28">
        <f t="shared" si="2"/>
        <v>1.0474999999999999</v>
      </c>
      <c r="K36" s="28">
        <f t="shared" si="2"/>
        <v>286.31374999999997</v>
      </c>
      <c r="L36" s="28">
        <f t="shared" si="2"/>
        <v>18.063333333333336</v>
      </c>
      <c r="M36" s="28">
        <f t="shared" si="2"/>
        <v>65.188333333333333</v>
      </c>
      <c r="N36" s="28">
        <f t="shared" si="2"/>
        <v>158.67083333333338</v>
      </c>
      <c r="O36" s="28">
        <f t="shared" si="2"/>
        <v>0</v>
      </c>
      <c r="P36" s="28">
        <f t="shared" si="2"/>
        <v>1.5695833333333331</v>
      </c>
      <c r="Q36" s="28">
        <f t="shared" si="2"/>
        <v>9.6645833333333311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33.152067521924806</v>
      </c>
      <c r="C37" s="28">
        <f t="shared" ref="C37:Q37" si="3">STDEV(C9:C32)</f>
        <v>8.9242454315050654</v>
      </c>
      <c r="D37" s="28">
        <f t="shared" si="3"/>
        <v>17.480705009951034</v>
      </c>
      <c r="E37" s="28">
        <f t="shared" si="3"/>
        <v>4.247595654082402</v>
      </c>
      <c r="F37" s="28">
        <f t="shared" si="3"/>
        <v>1.5671547189232697</v>
      </c>
      <c r="G37" s="28">
        <f t="shared" si="3"/>
        <v>27.972251312296272</v>
      </c>
      <c r="H37" s="28">
        <f t="shared" si="3"/>
        <v>8.6077734921844833</v>
      </c>
      <c r="I37" s="28">
        <f t="shared" si="3"/>
        <v>2.8352538009326866E-17</v>
      </c>
      <c r="J37" s="28">
        <f t="shared" si="3"/>
        <v>0.48897630421826849</v>
      </c>
      <c r="K37" s="28">
        <f t="shared" si="3"/>
        <v>78.240393649122097</v>
      </c>
      <c r="L37" s="28">
        <f t="shared" si="3"/>
        <v>5.3335147614068674</v>
      </c>
      <c r="M37" s="28">
        <f t="shared" si="3"/>
        <v>26.865810609586031</v>
      </c>
      <c r="N37" s="28">
        <f t="shared" si="3"/>
        <v>165.88902387666766</v>
      </c>
      <c r="O37" s="28">
        <f t="shared" si="3"/>
        <v>0</v>
      </c>
      <c r="P37" s="28">
        <f t="shared" si="3"/>
        <v>0.6903337514606962</v>
      </c>
      <c r="Q37" s="28">
        <f t="shared" si="3"/>
        <v>4.1596317423401599E-2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563</v>
      </c>
      <c r="B9" s="53">
        <v>131.36000000000001</v>
      </c>
      <c r="C9" s="5" t="s">
        <v>14</v>
      </c>
      <c r="D9" s="53">
        <v>82.66</v>
      </c>
      <c r="E9" s="53">
        <v>5.05</v>
      </c>
      <c r="F9" s="53">
        <v>2.56</v>
      </c>
      <c r="G9" s="53">
        <v>116.55</v>
      </c>
      <c r="H9" s="53">
        <v>42.03</v>
      </c>
      <c r="I9" s="53">
        <v>0.1</v>
      </c>
      <c r="J9" s="53">
        <v>0.76</v>
      </c>
      <c r="K9" s="53">
        <v>328.54</v>
      </c>
      <c r="L9" s="53">
        <v>13</v>
      </c>
      <c r="M9" s="53">
        <v>97.56</v>
      </c>
      <c r="N9" s="53">
        <v>45.8</v>
      </c>
      <c r="O9" s="53">
        <v>0</v>
      </c>
      <c r="P9" s="53">
        <v>3.32</v>
      </c>
      <c r="Q9" s="53">
        <v>9.77</v>
      </c>
      <c r="R9" s="43"/>
      <c r="S9" s="43"/>
      <c r="T9" s="43"/>
      <c r="U9" s="43"/>
    </row>
    <row r="10" spans="1:21" s="11" customFormat="1" x14ac:dyDescent="0.25">
      <c r="A10" s="52" t="s">
        <v>564</v>
      </c>
      <c r="B10" s="53">
        <v>119.18</v>
      </c>
      <c r="C10" s="5" t="s">
        <v>14</v>
      </c>
      <c r="D10" s="53">
        <v>75.150000000000006</v>
      </c>
      <c r="E10" s="53">
        <v>4.97</v>
      </c>
      <c r="F10" s="53">
        <v>2.63</v>
      </c>
      <c r="G10" s="53">
        <v>93.93</v>
      </c>
      <c r="H10" s="53">
        <v>38.03</v>
      </c>
      <c r="I10" s="53">
        <v>0.1</v>
      </c>
      <c r="J10" s="53">
        <v>0.78</v>
      </c>
      <c r="K10" s="53">
        <v>254.35</v>
      </c>
      <c r="L10" s="53">
        <v>13.01</v>
      </c>
      <c r="M10" s="53">
        <v>97.91</v>
      </c>
      <c r="N10" s="53">
        <v>46</v>
      </c>
      <c r="O10" s="53">
        <v>0</v>
      </c>
      <c r="P10" s="53">
        <v>2.75</v>
      </c>
      <c r="Q10" s="53">
        <v>9.74</v>
      </c>
      <c r="R10" s="43"/>
      <c r="S10" s="43"/>
      <c r="T10" s="43"/>
      <c r="U10" s="43"/>
    </row>
    <row r="11" spans="1:21" s="11" customFormat="1" x14ac:dyDescent="0.25">
      <c r="A11" s="52" t="s">
        <v>565</v>
      </c>
      <c r="B11" s="53">
        <v>105.66</v>
      </c>
      <c r="C11" s="5" t="s">
        <v>14</v>
      </c>
      <c r="D11" s="53">
        <v>67.69</v>
      </c>
      <c r="E11" s="53">
        <v>4.66</v>
      </c>
      <c r="F11" s="53">
        <v>2.57</v>
      </c>
      <c r="G11" s="53">
        <v>110.52</v>
      </c>
      <c r="H11" s="53">
        <v>44.27</v>
      </c>
      <c r="I11" s="53">
        <v>0.1</v>
      </c>
      <c r="J11" s="53">
        <v>0.34</v>
      </c>
      <c r="K11" s="53">
        <v>139.09</v>
      </c>
      <c r="L11" s="53">
        <v>12.36</v>
      </c>
      <c r="M11" s="53">
        <v>97.97</v>
      </c>
      <c r="N11" s="53">
        <v>45.8</v>
      </c>
      <c r="O11" s="53">
        <v>0</v>
      </c>
      <c r="P11" s="53">
        <v>2.9</v>
      </c>
      <c r="Q11" s="53">
        <v>9.74</v>
      </c>
      <c r="R11" s="43"/>
      <c r="S11" s="43"/>
      <c r="T11" s="43"/>
      <c r="U11" s="43"/>
    </row>
    <row r="12" spans="1:21" s="11" customFormat="1" x14ac:dyDescent="0.25">
      <c r="A12" s="52" t="s">
        <v>566</v>
      </c>
      <c r="B12" s="53">
        <v>97.36</v>
      </c>
      <c r="C12" s="5" t="s">
        <v>14</v>
      </c>
      <c r="D12" s="53">
        <v>62.75</v>
      </c>
      <c r="E12" s="53">
        <v>4.54</v>
      </c>
      <c r="F12" s="53">
        <v>2.4500000000000002</v>
      </c>
      <c r="G12" s="53">
        <v>116.76</v>
      </c>
      <c r="H12" s="53">
        <v>44.56</v>
      </c>
      <c r="I12" s="53">
        <v>0.1</v>
      </c>
      <c r="J12" s="53">
        <v>0.83</v>
      </c>
      <c r="K12" s="53">
        <v>317.61</v>
      </c>
      <c r="L12" s="53">
        <v>12.28</v>
      </c>
      <c r="M12" s="53">
        <v>97.34</v>
      </c>
      <c r="N12" s="53">
        <v>45.9</v>
      </c>
      <c r="O12" s="53">
        <v>0</v>
      </c>
      <c r="P12" s="53">
        <v>2.9</v>
      </c>
      <c r="Q12" s="53">
        <v>9.7200000000000006</v>
      </c>
      <c r="R12" s="43"/>
      <c r="S12" s="43"/>
      <c r="T12" s="43"/>
      <c r="U12" s="43"/>
    </row>
    <row r="13" spans="1:21" s="11" customFormat="1" x14ac:dyDescent="0.25">
      <c r="A13" s="52" t="s">
        <v>567</v>
      </c>
      <c r="B13" s="53">
        <v>84.91</v>
      </c>
      <c r="C13" s="5" t="s">
        <v>14</v>
      </c>
      <c r="D13" s="53">
        <v>56.15</v>
      </c>
      <c r="E13" s="53">
        <v>4.62</v>
      </c>
      <c r="F13" s="53">
        <v>2.4700000000000002</v>
      </c>
      <c r="G13" s="53">
        <v>103.69</v>
      </c>
      <c r="H13" s="53">
        <v>39.14</v>
      </c>
      <c r="I13" s="53">
        <v>0.1</v>
      </c>
      <c r="J13" s="53">
        <v>0.78</v>
      </c>
      <c r="K13" s="53">
        <v>323.02</v>
      </c>
      <c r="L13" s="53">
        <v>11.97</v>
      </c>
      <c r="M13" s="53">
        <v>91.34</v>
      </c>
      <c r="N13" s="53">
        <v>45.9</v>
      </c>
      <c r="O13" s="53">
        <v>0</v>
      </c>
      <c r="P13" s="53">
        <v>2.8</v>
      </c>
      <c r="Q13" s="53">
        <v>9.7100000000000009</v>
      </c>
      <c r="R13" s="43"/>
      <c r="S13" s="43"/>
      <c r="T13" s="43"/>
      <c r="U13" s="43"/>
    </row>
    <row r="14" spans="1:21" s="11" customFormat="1" x14ac:dyDescent="0.25">
      <c r="A14" s="52" t="s">
        <v>568</v>
      </c>
      <c r="B14" s="53">
        <v>72.02</v>
      </c>
      <c r="C14" s="5" t="s">
        <v>14</v>
      </c>
      <c r="D14" s="53">
        <v>49.64</v>
      </c>
      <c r="E14" s="53">
        <v>4.4000000000000004</v>
      </c>
      <c r="F14" s="53">
        <v>2.5299999999999998</v>
      </c>
      <c r="G14" s="53">
        <v>145.81</v>
      </c>
      <c r="H14" s="53">
        <v>31.13</v>
      </c>
      <c r="I14" s="53">
        <v>0.1</v>
      </c>
      <c r="J14" s="53">
        <v>0.83</v>
      </c>
      <c r="K14" s="53">
        <v>320.64</v>
      </c>
      <c r="L14" s="53">
        <v>11.8</v>
      </c>
      <c r="M14" s="53">
        <v>91.41</v>
      </c>
      <c r="N14" s="53">
        <v>45.9</v>
      </c>
      <c r="O14" s="53">
        <v>0</v>
      </c>
      <c r="P14" s="53">
        <v>2.42</v>
      </c>
      <c r="Q14" s="53">
        <v>9.6999999999999993</v>
      </c>
      <c r="R14" s="43"/>
      <c r="S14" s="43"/>
      <c r="T14" s="43"/>
      <c r="U14" s="43"/>
    </row>
    <row r="15" spans="1:21" s="11" customFormat="1" x14ac:dyDescent="0.25">
      <c r="A15" s="52" t="s">
        <v>569</v>
      </c>
      <c r="B15" s="53">
        <v>64.47</v>
      </c>
      <c r="C15" s="5" t="s">
        <v>14</v>
      </c>
      <c r="D15" s="53">
        <v>45.84</v>
      </c>
      <c r="E15" s="53">
        <v>4.25</v>
      </c>
      <c r="F15" s="53">
        <v>2.44</v>
      </c>
      <c r="G15" s="53">
        <v>34.200000000000003</v>
      </c>
      <c r="H15" s="53">
        <v>27.09</v>
      </c>
      <c r="I15" s="53">
        <v>0.1</v>
      </c>
      <c r="J15" s="53">
        <v>0.8</v>
      </c>
      <c r="K15" s="53">
        <v>353.42</v>
      </c>
      <c r="L15" s="53">
        <v>12.33</v>
      </c>
      <c r="M15" s="53">
        <v>85.85</v>
      </c>
      <c r="N15" s="53">
        <v>61.3</v>
      </c>
      <c r="O15" s="53">
        <v>0</v>
      </c>
      <c r="P15" s="53">
        <v>1.96</v>
      </c>
      <c r="Q15" s="53">
        <v>9.68</v>
      </c>
      <c r="R15" s="43"/>
      <c r="S15" s="43"/>
      <c r="T15" s="43"/>
      <c r="U15" s="43"/>
    </row>
    <row r="16" spans="1:21" s="11" customFormat="1" x14ac:dyDescent="0.25">
      <c r="A16" s="52" t="s">
        <v>570</v>
      </c>
      <c r="B16" s="53">
        <v>56.32</v>
      </c>
      <c r="C16" s="5" t="s">
        <v>14</v>
      </c>
      <c r="D16" s="53">
        <v>42.2</v>
      </c>
      <c r="E16" s="53">
        <v>5.22</v>
      </c>
      <c r="F16" s="53">
        <v>2.58</v>
      </c>
      <c r="G16" s="53">
        <v>54.87</v>
      </c>
      <c r="H16" s="53">
        <v>19.100000000000001</v>
      </c>
      <c r="I16" s="53">
        <v>0.1</v>
      </c>
      <c r="J16" s="53">
        <v>0.9</v>
      </c>
      <c r="K16" s="53">
        <v>340.9</v>
      </c>
      <c r="L16" s="53">
        <v>15.42</v>
      </c>
      <c r="M16" s="53">
        <v>85.19</v>
      </c>
      <c r="N16" s="53">
        <v>194.2</v>
      </c>
      <c r="O16" s="53">
        <v>0</v>
      </c>
      <c r="P16" s="53">
        <v>1.84</v>
      </c>
      <c r="Q16" s="53">
        <v>9.67</v>
      </c>
      <c r="R16" s="43"/>
      <c r="S16" s="43"/>
      <c r="T16" s="43"/>
      <c r="U16" s="43"/>
    </row>
    <row r="17" spans="1:21" s="11" customFormat="1" x14ac:dyDescent="0.25">
      <c r="A17" s="52" t="s">
        <v>571</v>
      </c>
      <c r="B17" s="53">
        <v>50.62</v>
      </c>
      <c r="C17" s="53">
        <v>3.32</v>
      </c>
      <c r="D17" s="53">
        <v>39.49</v>
      </c>
      <c r="E17" s="53">
        <v>5.99</v>
      </c>
      <c r="F17" s="53">
        <v>2.5099999999999998</v>
      </c>
      <c r="G17" s="53">
        <v>62.27</v>
      </c>
      <c r="H17" s="53">
        <v>19.02</v>
      </c>
      <c r="I17" s="53">
        <v>0.1</v>
      </c>
      <c r="J17" s="53">
        <v>0.71</v>
      </c>
      <c r="K17" s="53">
        <v>129.52000000000001</v>
      </c>
      <c r="L17" s="53">
        <v>19.05</v>
      </c>
      <c r="M17" s="53">
        <v>66.16</v>
      </c>
      <c r="N17" s="53">
        <v>330.8</v>
      </c>
      <c r="O17" s="53">
        <v>0</v>
      </c>
      <c r="P17" s="53">
        <v>1.74</v>
      </c>
      <c r="Q17" s="53">
        <v>9.67</v>
      </c>
      <c r="R17" s="43"/>
      <c r="S17" s="43"/>
      <c r="T17" s="43"/>
      <c r="U17" s="43"/>
    </row>
    <row r="18" spans="1:21" s="11" customFormat="1" x14ac:dyDescent="0.25">
      <c r="A18" s="52" t="s">
        <v>572</v>
      </c>
      <c r="B18" s="53">
        <v>44.56</v>
      </c>
      <c r="C18" s="53">
        <v>6.18</v>
      </c>
      <c r="D18" s="53">
        <v>36.82</v>
      </c>
      <c r="E18" s="53">
        <v>6.17</v>
      </c>
      <c r="F18" s="53">
        <v>2.48</v>
      </c>
      <c r="G18" s="53">
        <v>55.58</v>
      </c>
      <c r="H18" s="53">
        <v>19.11</v>
      </c>
      <c r="I18" s="53">
        <v>0.1</v>
      </c>
      <c r="J18" s="53">
        <v>1.37</v>
      </c>
      <c r="K18" s="53">
        <v>342.67</v>
      </c>
      <c r="L18" s="53">
        <v>24.11</v>
      </c>
      <c r="M18" s="53">
        <v>48.4</v>
      </c>
      <c r="N18" s="53">
        <v>421.4</v>
      </c>
      <c r="O18" s="53">
        <v>0</v>
      </c>
      <c r="P18" s="53">
        <v>1.62</v>
      </c>
      <c r="Q18" s="53">
        <v>9.66</v>
      </c>
      <c r="R18" s="43"/>
      <c r="S18" s="43"/>
      <c r="T18" s="43"/>
      <c r="U18" s="43"/>
    </row>
    <row r="19" spans="1:21" s="11" customFormat="1" x14ac:dyDescent="0.25">
      <c r="A19" s="52" t="s">
        <v>573</v>
      </c>
      <c r="B19" s="53">
        <v>41.22</v>
      </c>
      <c r="C19" s="53">
        <v>10.9</v>
      </c>
      <c r="D19" s="53">
        <v>36.03</v>
      </c>
      <c r="E19" s="53">
        <v>6.26</v>
      </c>
      <c r="F19" s="53">
        <v>2.78</v>
      </c>
      <c r="G19" s="53">
        <v>52.94</v>
      </c>
      <c r="H19" s="53">
        <v>19.12</v>
      </c>
      <c r="I19" s="53">
        <v>0.1</v>
      </c>
      <c r="J19" s="53">
        <v>1.48</v>
      </c>
      <c r="K19" s="53">
        <v>342.79</v>
      </c>
      <c r="L19" s="53">
        <v>26.07</v>
      </c>
      <c r="M19" s="53">
        <v>35.28</v>
      </c>
      <c r="N19" s="53">
        <v>469.1</v>
      </c>
      <c r="O19" s="53">
        <v>0</v>
      </c>
      <c r="P19" s="53">
        <v>1.45</v>
      </c>
      <c r="Q19" s="53">
        <v>9.65</v>
      </c>
      <c r="R19" s="43"/>
      <c r="S19" s="43"/>
      <c r="T19" s="43"/>
      <c r="U19" s="43"/>
    </row>
    <row r="20" spans="1:21" s="11" customFormat="1" x14ac:dyDescent="0.25">
      <c r="A20" s="52" t="s">
        <v>574</v>
      </c>
      <c r="B20" s="53">
        <v>36.33</v>
      </c>
      <c r="C20" s="53">
        <v>14.89</v>
      </c>
      <c r="D20" s="53">
        <v>34.71</v>
      </c>
      <c r="E20" s="53">
        <v>5.8</v>
      </c>
      <c r="F20" s="53">
        <v>2.68</v>
      </c>
      <c r="G20" s="53">
        <v>44.12</v>
      </c>
      <c r="H20" s="53">
        <v>17.93</v>
      </c>
      <c r="I20" s="53">
        <v>0.1</v>
      </c>
      <c r="J20" s="53">
        <v>2.09</v>
      </c>
      <c r="K20" s="53">
        <v>129.72</v>
      </c>
      <c r="L20" s="53">
        <v>23.62</v>
      </c>
      <c r="M20" s="53">
        <v>40.11</v>
      </c>
      <c r="N20" s="53">
        <v>478.1</v>
      </c>
      <c r="O20" s="53">
        <v>0</v>
      </c>
      <c r="P20" s="53">
        <v>1.31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575</v>
      </c>
      <c r="B21" s="53">
        <v>28.07</v>
      </c>
      <c r="C21" s="53">
        <v>20.12</v>
      </c>
      <c r="D21" s="53">
        <v>30.32</v>
      </c>
      <c r="E21" s="53">
        <v>10.62</v>
      </c>
      <c r="F21" s="53">
        <v>5.79</v>
      </c>
      <c r="G21" s="53">
        <v>48.58</v>
      </c>
      <c r="H21" s="53">
        <v>16.5</v>
      </c>
      <c r="I21" s="53">
        <v>0.1</v>
      </c>
      <c r="J21" s="53">
        <v>1.25</v>
      </c>
      <c r="K21" s="53">
        <v>340.51</v>
      </c>
      <c r="L21" s="53">
        <v>26.58</v>
      </c>
      <c r="M21" s="53">
        <v>31.02</v>
      </c>
      <c r="N21" s="53">
        <v>464.4</v>
      </c>
      <c r="O21" s="53">
        <v>0</v>
      </c>
      <c r="P21" s="53">
        <v>1.17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576</v>
      </c>
      <c r="B22" s="53">
        <v>18.93</v>
      </c>
      <c r="C22" s="53">
        <v>26.56</v>
      </c>
      <c r="D22" s="53">
        <v>27.87</v>
      </c>
      <c r="E22" s="53">
        <v>16.940000000000001</v>
      </c>
      <c r="F22" s="53">
        <v>9.1300000000000008</v>
      </c>
      <c r="G22" s="53">
        <v>43.48</v>
      </c>
      <c r="H22" s="53">
        <v>16.059999999999999</v>
      </c>
      <c r="I22" s="53">
        <v>0.1</v>
      </c>
      <c r="J22" s="53">
        <v>1.1299999999999999</v>
      </c>
      <c r="K22" s="53">
        <v>322.77999999999997</v>
      </c>
      <c r="L22" s="53">
        <v>24.37</v>
      </c>
      <c r="M22" s="53">
        <v>31.49</v>
      </c>
      <c r="N22" s="53">
        <v>340.9</v>
      </c>
      <c r="O22" s="53">
        <v>0</v>
      </c>
      <c r="P22" s="53">
        <v>1.21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577</v>
      </c>
      <c r="B23" s="53">
        <v>19.29</v>
      </c>
      <c r="C23" s="53">
        <v>24.96</v>
      </c>
      <c r="D23" s="53">
        <v>26.22</v>
      </c>
      <c r="E23" s="53">
        <v>11.9</v>
      </c>
      <c r="F23" s="53">
        <v>6.09</v>
      </c>
      <c r="G23" s="53">
        <v>30.43</v>
      </c>
      <c r="H23" s="53">
        <v>16.190000000000001</v>
      </c>
      <c r="I23" s="53">
        <v>0.1</v>
      </c>
      <c r="J23" s="53">
        <v>1.1000000000000001</v>
      </c>
      <c r="K23" s="53">
        <v>135.07</v>
      </c>
      <c r="L23" s="53">
        <v>24.65</v>
      </c>
      <c r="M23" s="53">
        <v>35.57</v>
      </c>
      <c r="N23" s="53">
        <v>172</v>
      </c>
      <c r="O23" s="53">
        <v>0</v>
      </c>
      <c r="P23" s="53">
        <v>1.18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578</v>
      </c>
      <c r="B24" s="53">
        <v>15.37</v>
      </c>
      <c r="C24" s="53">
        <v>28.16</v>
      </c>
      <c r="D24" s="53">
        <v>25.98</v>
      </c>
      <c r="E24" s="53">
        <v>20.87</v>
      </c>
      <c r="F24" s="53">
        <v>7.42</v>
      </c>
      <c r="G24" s="53">
        <v>71.959999999999994</v>
      </c>
      <c r="H24" s="53">
        <v>34.520000000000003</v>
      </c>
      <c r="I24" s="53">
        <v>0.1</v>
      </c>
      <c r="J24" s="53">
        <v>1.29</v>
      </c>
      <c r="K24" s="53">
        <v>341.23</v>
      </c>
      <c r="L24" s="53">
        <v>23.45</v>
      </c>
      <c r="M24" s="53">
        <v>34.450000000000003</v>
      </c>
      <c r="N24" s="53">
        <v>98.8</v>
      </c>
      <c r="O24" s="53">
        <v>0</v>
      </c>
      <c r="P24" s="53">
        <v>1.03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579</v>
      </c>
      <c r="B25" s="53">
        <v>21.63</v>
      </c>
      <c r="C25" s="53">
        <v>34.950000000000003</v>
      </c>
      <c r="D25" s="53">
        <v>33.21</v>
      </c>
      <c r="E25" s="53">
        <v>40.85</v>
      </c>
      <c r="F25" s="53">
        <v>6.17</v>
      </c>
      <c r="G25" s="53">
        <v>80.5</v>
      </c>
      <c r="H25" s="53">
        <v>18.760000000000002</v>
      </c>
      <c r="I25" s="53">
        <v>0.1</v>
      </c>
      <c r="J25" s="53">
        <v>0.68</v>
      </c>
      <c r="K25" s="53">
        <v>342.65</v>
      </c>
      <c r="L25" s="53">
        <v>22.7</v>
      </c>
      <c r="M25" s="53">
        <v>40.409999999999997</v>
      </c>
      <c r="N25" s="53">
        <v>72.2</v>
      </c>
      <c r="O25" s="53">
        <v>0</v>
      </c>
      <c r="P25" s="53">
        <v>1.36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580</v>
      </c>
      <c r="B26" s="53">
        <v>41.47</v>
      </c>
      <c r="C26" s="53">
        <v>34.15</v>
      </c>
      <c r="D26" s="53">
        <v>41.49</v>
      </c>
      <c r="E26" s="53">
        <v>34.450000000000003</v>
      </c>
      <c r="F26" s="53">
        <v>3.38</v>
      </c>
      <c r="G26" s="53">
        <v>43.97</v>
      </c>
      <c r="H26" s="53">
        <v>18.43</v>
      </c>
      <c r="I26" s="53">
        <v>0.1</v>
      </c>
      <c r="J26" s="53">
        <v>0.85</v>
      </c>
      <c r="K26" s="53">
        <v>359.31</v>
      </c>
      <c r="L26" s="53">
        <v>20.86</v>
      </c>
      <c r="M26" s="53">
        <v>62.89</v>
      </c>
      <c r="N26" s="53">
        <v>50.8</v>
      </c>
      <c r="O26" s="53">
        <v>0</v>
      </c>
      <c r="P26" s="53">
        <v>1.85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581</v>
      </c>
      <c r="B27" s="53">
        <v>46.95</v>
      </c>
      <c r="C27" s="53">
        <v>15.53</v>
      </c>
      <c r="D27" s="53">
        <v>43.73</v>
      </c>
      <c r="E27" s="53">
        <v>10.29</v>
      </c>
      <c r="F27" s="53">
        <v>2.72</v>
      </c>
      <c r="G27" s="53">
        <v>43.97</v>
      </c>
      <c r="H27" s="53">
        <v>23.04</v>
      </c>
      <c r="I27" s="53">
        <v>0.1</v>
      </c>
      <c r="J27" s="53">
        <v>0.8</v>
      </c>
      <c r="K27" s="53">
        <v>322.56</v>
      </c>
      <c r="L27" s="53">
        <v>17.77</v>
      </c>
      <c r="M27" s="53">
        <v>72.84</v>
      </c>
      <c r="N27" s="53">
        <v>46.7</v>
      </c>
      <c r="O27" s="53">
        <v>0</v>
      </c>
      <c r="P27" s="53">
        <v>1.86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582</v>
      </c>
      <c r="B28" s="53">
        <v>50.02</v>
      </c>
      <c r="C28" s="53">
        <v>12.8</v>
      </c>
      <c r="D28" s="53">
        <v>42.8</v>
      </c>
      <c r="E28" s="53">
        <v>6.61</v>
      </c>
      <c r="F28" s="53">
        <v>2.62</v>
      </c>
      <c r="G28" s="53">
        <v>57.52</v>
      </c>
      <c r="H28" s="53">
        <v>24.2</v>
      </c>
      <c r="I28" s="53">
        <v>0.1</v>
      </c>
      <c r="J28" s="53">
        <v>0.81</v>
      </c>
      <c r="K28" s="53">
        <v>336.8</v>
      </c>
      <c r="L28" s="53">
        <v>17.12</v>
      </c>
      <c r="M28" s="53">
        <v>78.209999999999994</v>
      </c>
      <c r="N28" s="53">
        <v>46.7</v>
      </c>
      <c r="O28" s="53">
        <v>0</v>
      </c>
      <c r="P28" s="53">
        <v>2.11</v>
      </c>
      <c r="Q28" s="53">
        <v>9.66</v>
      </c>
      <c r="R28" s="43"/>
      <c r="S28" s="43"/>
      <c r="T28" s="43"/>
      <c r="U28" s="43"/>
    </row>
    <row r="29" spans="1:21" s="11" customFormat="1" x14ac:dyDescent="0.25">
      <c r="A29" s="52" t="s">
        <v>583</v>
      </c>
      <c r="B29" s="53">
        <v>75.19</v>
      </c>
      <c r="C29" s="53">
        <v>3.83</v>
      </c>
      <c r="D29" s="53">
        <v>55.84</v>
      </c>
      <c r="E29" s="53">
        <v>6.33</v>
      </c>
      <c r="F29" s="53">
        <v>2.54</v>
      </c>
      <c r="G29" s="53">
        <v>57.52</v>
      </c>
      <c r="H29" s="53">
        <v>28.87</v>
      </c>
      <c r="I29" s="53">
        <v>0.1</v>
      </c>
      <c r="J29" s="53">
        <v>0.88</v>
      </c>
      <c r="K29" s="53">
        <v>358.8</v>
      </c>
      <c r="L29" s="53">
        <v>16.07</v>
      </c>
      <c r="M29" s="53">
        <v>86.56</v>
      </c>
      <c r="N29" s="53">
        <v>46.8</v>
      </c>
      <c r="O29" s="53">
        <v>0</v>
      </c>
      <c r="P29" s="53">
        <v>2.69</v>
      </c>
      <c r="Q29" s="53">
        <v>9.69</v>
      </c>
      <c r="R29" s="43"/>
      <c r="S29" s="43"/>
      <c r="T29" s="43"/>
      <c r="U29" s="43"/>
    </row>
    <row r="30" spans="1:21" s="11" customFormat="1" x14ac:dyDescent="0.25">
      <c r="A30" s="52" t="s">
        <v>584</v>
      </c>
      <c r="B30" s="53">
        <v>102.75</v>
      </c>
      <c r="C30" s="57" t="s">
        <v>14</v>
      </c>
      <c r="D30" s="53">
        <v>70.03</v>
      </c>
      <c r="E30" s="53">
        <v>7.11</v>
      </c>
      <c r="F30" s="53">
        <v>2.58</v>
      </c>
      <c r="G30" s="53">
        <v>189.23</v>
      </c>
      <c r="H30" s="53">
        <v>33.44</v>
      </c>
      <c r="I30" s="53">
        <v>0.1</v>
      </c>
      <c r="J30" s="53">
        <v>0.83</v>
      </c>
      <c r="K30" s="53">
        <v>326.17</v>
      </c>
      <c r="L30" s="53">
        <v>15.32</v>
      </c>
      <c r="M30" s="53">
        <v>89.77</v>
      </c>
      <c r="N30" s="53">
        <v>46.7</v>
      </c>
      <c r="O30" s="53">
        <v>0</v>
      </c>
      <c r="P30" s="53">
        <v>3.35</v>
      </c>
      <c r="Q30" s="53">
        <v>9.73</v>
      </c>
      <c r="R30" s="43"/>
      <c r="S30" s="43"/>
      <c r="T30" s="43"/>
      <c r="U30" s="43"/>
    </row>
    <row r="31" spans="1:21" s="11" customFormat="1" x14ac:dyDescent="0.25">
      <c r="A31" s="52" t="s">
        <v>585</v>
      </c>
      <c r="B31" s="53">
        <v>112.17</v>
      </c>
      <c r="C31" s="57" t="s">
        <v>14</v>
      </c>
      <c r="D31" s="53">
        <v>74.569999999999993</v>
      </c>
      <c r="E31" s="53">
        <v>7.22</v>
      </c>
      <c r="F31" s="53">
        <v>2.67</v>
      </c>
      <c r="G31" s="53">
        <v>1587.8</v>
      </c>
      <c r="H31" s="53">
        <v>34.4</v>
      </c>
      <c r="I31" s="53">
        <v>0.1</v>
      </c>
      <c r="J31" s="53">
        <v>0.61</v>
      </c>
      <c r="K31" s="53">
        <v>348.14</v>
      </c>
      <c r="L31" s="53">
        <v>14.75</v>
      </c>
      <c r="M31" s="53">
        <v>96.33</v>
      </c>
      <c r="N31" s="53">
        <v>46.7</v>
      </c>
      <c r="O31" s="53">
        <v>0</v>
      </c>
      <c r="P31" s="53">
        <v>3.61</v>
      </c>
      <c r="Q31" s="53">
        <v>9.74</v>
      </c>
      <c r="R31" s="43"/>
      <c r="S31" s="43"/>
      <c r="T31" s="43"/>
      <c r="U31" s="43"/>
    </row>
    <row r="32" spans="1:21" s="11" customFormat="1" x14ac:dyDescent="0.25">
      <c r="A32" s="52" t="s">
        <v>586</v>
      </c>
      <c r="B32" s="53">
        <v>120.99</v>
      </c>
      <c r="C32" s="57" t="s">
        <v>14</v>
      </c>
      <c r="D32" s="53">
        <v>78.56</v>
      </c>
      <c r="E32" s="53">
        <v>7.29</v>
      </c>
      <c r="F32" s="53">
        <v>2.58</v>
      </c>
      <c r="G32" s="53">
        <v>1587.8</v>
      </c>
      <c r="H32" s="53">
        <v>34.520000000000003</v>
      </c>
      <c r="I32" s="53">
        <v>0.1</v>
      </c>
      <c r="J32" s="53">
        <v>0.68</v>
      </c>
      <c r="K32" s="53">
        <v>308.39999999999998</v>
      </c>
      <c r="L32" s="53">
        <v>14.18</v>
      </c>
      <c r="M32" s="53">
        <v>97.92</v>
      </c>
      <c r="N32" s="53">
        <v>46.7</v>
      </c>
      <c r="O32" s="53">
        <v>0</v>
      </c>
      <c r="P32" s="53">
        <v>3.68</v>
      </c>
      <c r="Q32" s="53">
        <v>9.75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15.37</v>
      </c>
      <c r="C34" s="28">
        <f t="shared" si="0"/>
        <v>3.32</v>
      </c>
      <c r="D34" s="28">
        <f t="shared" si="0"/>
        <v>25.98</v>
      </c>
      <c r="E34" s="28">
        <f t="shared" si="0"/>
        <v>4.25</v>
      </c>
      <c r="F34" s="28">
        <f t="shared" si="0"/>
        <v>2.44</v>
      </c>
      <c r="G34" s="28">
        <f t="shared" si="0"/>
        <v>30.43</v>
      </c>
      <c r="H34" s="28">
        <f t="shared" si="0"/>
        <v>16.059999999999999</v>
      </c>
      <c r="I34" s="28">
        <f t="shared" si="0"/>
        <v>0.1</v>
      </c>
      <c r="J34" s="28">
        <f t="shared" si="0"/>
        <v>0.34</v>
      </c>
      <c r="K34" s="28">
        <f t="shared" si="0"/>
        <v>129.52000000000001</v>
      </c>
      <c r="L34" s="28">
        <f t="shared" si="0"/>
        <v>11.8</v>
      </c>
      <c r="M34" s="28">
        <f t="shared" si="0"/>
        <v>31.02</v>
      </c>
      <c r="N34" s="28">
        <f t="shared" si="0"/>
        <v>45.8</v>
      </c>
      <c r="O34" s="28">
        <f t="shared" si="0"/>
        <v>0</v>
      </c>
      <c r="P34" s="28">
        <f t="shared" si="0"/>
        <v>1.03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131.36000000000001</v>
      </c>
      <c r="C35" s="29">
        <f t="shared" si="1"/>
        <v>34.950000000000003</v>
      </c>
      <c r="D35" s="29">
        <f t="shared" si="1"/>
        <v>82.66</v>
      </c>
      <c r="E35" s="29">
        <f t="shared" si="1"/>
        <v>40.85</v>
      </c>
      <c r="F35" s="29">
        <f t="shared" si="1"/>
        <v>9.1300000000000008</v>
      </c>
      <c r="G35" s="29">
        <f t="shared" si="1"/>
        <v>1587.8</v>
      </c>
      <c r="H35" s="29">
        <f t="shared" si="1"/>
        <v>44.56</v>
      </c>
      <c r="I35" s="29">
        <f t="shared" si="1"/>
        <v>0.1</v>
      </c>
      <c r="J35" s="29">
        <f t="shared" si="1"/>
        <v>2.09</v>
      </c>
      <c r="K35" s="29">
        <f t="shared" si="1"/>
        <v>359.31</v>
      </c>
      <c r="L35" s="29">
        <f t="shared" si="1"/>
        <v>26.58</v>
      </c>
      <c r="M35" s="29">
        <f t="shared" si="1"/>
        <v>97.97</v>
      </c>
      <c r="N35" s="29">
        <f t="shared" si="1"/>
        <v>478.1</v>
      </c>
      <c r="O35" s="29">
        <f t="shared" si="1"/>
        <v>0</v>
      </c>
      <c r="P35" s="29">
        <f t="shared" si="1"/>
        <v>3.68</v>
      </c>
      <c r="Q35" s="29">
        <f t="shared" si="1"/>
        <v>9.77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64.868333333333339</v>
      </c>
      <c r="C36" s="28">
        <f t="shared" si="2"/>
        <v>18.180769230769236</v>
      </c>
      <c r="D36" s="28">
        <f t="shared" si="2"/>
        <v>49.15625</v>
      </c>
      <c r="E36" s="28">
        <f t="shared" si="2"/>
        <v>10.100416666666668</v>
      </c>
      <c r="F36" s="28">
        <f t="shared" si="2"/>
        <v>3.5154166666666673</v>
      </c>
      <c r="G36" s="28">
        <f t="shared" si="2"/>
        <v>201.41666666666666</v>
      </c>
      <c r="H36" s="28">
        <f t="shared" si="2"/>
        <v>27.477499999999996</v>
      </c>
      <c r="I36" s="28">
        <f t="shared" si="2"/>
        <v>0.10000000000000003</v>
      </c>
      <c r="J36" s="28">
        <f t="shared" si="2"/>
        <v>0.9408333333333333</v>
      </c>
      <c r="K36" s="28">
        <f t="shared" si="2"/>
        <v>298.52875</v>
      </c>
      <c r="L36" s="28">
        <f t="shared" si="2"/>
        <v>18.034999999999997</v>
      </c>
      <c r="M36" s="28">
        <f t="shared" si="2"/>
        <v>70.499166666666667</v>
      </c>
      <c r="N36" s="28">
        <f t="shared" si="2"/>
        <v>154.56666666666663</v>
      </c>
      <c r="O36" s="28">
        <f t="shared" si="2"/>
        <v>0</v>
      </c>
      <c r="P36" s="28">
        <f t="shared" si="2"/>
        <v>2.1712500000000001</v>
      </c>
      <c r="Q36" s="28">
        <f t="shared" si="2"/>
        <v>9.6820833333333329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36.406447907964896</v>
      </c>
      <c r="C37" s="28">
        <f t="shared" ref="C37:Q37" si="3">STDEV(C9:C32)</f>
        <v>10.902454205008501</v>
      </c>
      <c r="D37" s="28">
        <f t="shared" si="3"/>
        <v>17.823355662310554</v>
      </c>
      <c r="E37" s="28">
        <f t="shared" si="3"/>
        <v>9.4519151402686941</v>
      </c>
      <c r="F37" s="28">
        <f t="shared" si="3"/>
        <v>1.8839158551472928</v>
      </c>
      <c r="G37" s="28">
        <f t="shared" si="3"/>
        <v>428.74230042184371</v>
      </c>
      <c r="H37" s="28">
        <f t="shared" si="3"/>
        <v>9.7140141928623187</v>
      </c>
      <c r="I37" s="28">
        <f t="shared" si="3"/>
        <v>2.8352538009326866E-17</v>
      </c>
      <c r="J37" s="28">
        <f t="shared" si="3"/>
        <v>0.35665007410951</v>
      </c>
      <c r="K37" s="28">
        <f t="shared" si="3"/>
        <v>78.306401998953731</v>
      </c>
      <c r="L37" s="28">
        <f t="shared" si="3"/>
        <v>5.185373241356297</v>
      </c>
      <c r="M37" s="28">
        <f t="shared" si="3"/>
        <v>26.06800152722084</v>
      </c>
      <c r="N37" s="28">
        <f t="shared" si="3"/>
        <v>162.65157924804799</v>
      </c>
      <c r="O37" s="28">
        <f t="shared" si="3"/>
        <v>0</v>
      </c>
      <c r="P37" s="28">
        <f t="shared" si="3"/>
        <v>0.83817769466031822</v>
      </c>
      <c r="Q37" s="28">
        <f t="shared" si="3"/>
        <v>4.587119648174294E-2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587</v>
      </c>
      <c r="B9" s="53">
        <v>119.68</v>
      </c>
      <c r="C9" s="5" t="s">
        <v>14</v>
      </c>
      <c r="D9" s="53">
        <v>77.7</v>
      </c>
      <c r="E9" s="53">
        <v>6.44</v>
      </c>
      <c r="F9" s="53">
        <v>2.52</v>
      </c>
      <c r="G9" s="53">
        <v>98.1</v>
      </c>
      <c r="H9" s="53">
        <v>34.520000000000003</v>
      </c>
      <c r="I9" s="53">
        <v>0.1</v>
      </c>
      <c r="J9" s="53">
        <v>0.74</v>
      </c>
      <c r="K9" s="53">
        <v>349.67</v>
      </c>
      <c r="L9" s="53">
        <v>13.74</v>
      </c>
      <c r="M9" s="53">
        <v>97.95</v>
      </c>
      <c r="N9" s="53">
        <v>46.6</v>
      </c>
      <c r="O9" s="53">
        <v>0</v>
      </c>
      <c r="P9" s="53">
        <v>3.64</v>
      </c>
      <c r="Q9" s="53">
        <v>9.76</v>
      </c>
      <c r="R9" s="43"/>
      <c r="S9" s="43"/>
      <c r="T9" s="43"/>
      <c r="U9" s="43"/>
    </row>
    <row r="10" spans="1:21" s="11" customFormat="1" x14ac:dyDescent="0.25">
      <c r="A10" s="52" t="s">
        <v>588</v>
      </c>
      <c r="B10" s="53">
        <v>105.44</v>
      </c>
      <c r="C10" s="5" t="s">
        <v>14</v>
      </c>
      <c r="D10" s="53">
        <v>69.819999999999993</v>
      </c>
      <c r="E10" s="53">
        <v>6.07</v>
      </c>
      <c r="F10" s="53">
        <v>2.33</v>
      </c>
      <c r="G10" s="53">
        <v>83.21</v>
      </c>
      <c r="H10" s="53">
        <v>32.79</v>
      </c>
      <c r="I10" s="53">
        <v>0.1</v>
      </c>
      <c r="J10" s="53">
        <v>0.81</v>
      </c>
      <c r="K10" s="53">
        <v>316.88</v>
      </c>
      <c r="L10" s="53">
        <v>13.28</v>
      </c>
      <c r="M10" s="53">
        <v>97.94</v>
      </c>
      <c r="N10" s="53">
        <v>46.6</v>
      </c>
      <c r="O10" s="53">
        <v>0</v>
      </c>
      <c r="P10" s="53">
        <v>3.09</v>
      </c>
      <c r="Q10" s="53">
        <v>9.7200000000000006</v>
      </c>
      <c r="R10" s="43"/>
      <c r="S10" s="43"/>
      <c r="T10" s="43"/>
      <c r="U10" s="43"/>
    </row>
    <row r="11" spans="1:21" s="11" customFormat="1" x14ac:dyDescent="0.25">
      <c r="A11" s="52" t="s">
        <v>589</v>
      </c>
      <c r="B11" s="53">
        <v>87.1</v>
      </c>
      <c r="C11" s="5" t="s">
        <v>14</v>
      </c>
      <c r="D11" s="53">
        <v>60</v>
      </c>
      <c r="E11" s="53">
        <v>5.92</v>
      </c>
      <c r="F11" s="53">
        <v>2.57</v>
      </c>
      <c r="G11" s="53">
        <v>75.510000000000005</v>
      </c>
      <c r="H11" s="53">
        <v>30.55</v>
      </c>
      <c r="I11" s="53">
        <v>0.1</v>
      </c>
      <c r="J11" s="53">
        <v>0.8</v>
      </c>
      <c r="K11" s="53">
        <v>308.01</v>
      </c>
      <c r="L11" s="53">
        <v>12.82</v>
      </c>
      <c r="M11" s="53">
        <v>97.96</v>
      </c>
      <c r="N11" s="53">
        <v>46.7</v>
      </c>
      <c r="O11" s="53">
        <v>0</v>
      </c>
      <c r="P11" s="53">
        <v>2.97</v>
      </c>
      <c r="Q11" s="53">
        <v>9.7100000000000009</v>
      </c>
      <c r="R11" s="43"/>
      <c r="S11" s="43"/>
      <c r="T11" s="43"/>
      <c r="U11" s="43"/>
    </row>
    <row r="12" spans="1:21" s="11" customFormat="1" x14ac:dyDescent="0.25">
      <c r="A12" s="52" t="s">
        <v>590</v>
      </c>
      <c r="B12" s="53">
        <v>72.63</v>
      </c>
      <c r="C12" s="5" t="s">
        <v>14</v>
      </c>
      <c r="D12" s="53">
        <v>52.15</v>
      </c>
      <c r="E12" s="53">
        <v>5.72</v>
      </c>
      <c r="F12" s="53">
        <v>2.7</v>
      </c>
      <c r="G12" s="53">
        <v>90.12</v>
      </c>
      <c r="H12" s="53">
        <v>30.81</v>
      </c>
      <c r="I12" s="53">
        <v>0.1</v>
      </c>
      <c r="J12" s="53">
        <v>0.85</v>
      </c>
      <c r="K12" s="53">
        <v>349.99</v>
      </c>
      <c r="L12" s="53">
        <v>12.19</v>
      </c>
      <c r="M12" s="53">
        <v>98.03</v>
      </c>
      <c r="N12" s="53">
        <v>46.6</v>
      </c>
      <c r="O12" s="53">
        <v>0</v>
      </c>
      <c r="P12" s="53">
        <v>2.71</v>
      </c>
      <c r="Q12" s="53">
        <v>9.69</v>
      </c>
      <c r="R12" s="43"/>
      <c r="S12" s="43"/>
      <c r="T12" s="43"/>
      <c r="U12" s="43"/>
    </row>
    <row r="13" spans="1:21" s="11" customFormat="1" x14ac:dyDescent="0.25">
      <c r="A13" s="52" t="s">
        <v>591</v>
      </c>
      <c r="B13" s="53">
        <v>63.3</v>
      </c>
      <c r="C13" s="5" t="s">
        <v>14</v>
      </c>
      <c r="D13" s="53">
        <v>46.4</v>
      </c>
      <c r="E13" s="53">
        <v>5.57</v>
      </c>
      <c r="F13" s="53">
        <v>2.4</v>
      </c>
      <c r="G13" s="53">
        <v>90.12</v>
      </c>
      <c r="H13" s="53">
        <v>30.81</v>
      </c>
      <c r="I13" s="53">
        <v>0.1</v>
      </c>
      <c r="J13" s="53">
        <v>0.84</v>
      </c>
      <c r="K13" s="53">
        <v>332.27</v>
      </c>
      <c r="L13" s="53">
        <v>11.73</v>
      </c>
      <c r="M13" s="53">
        <v>98.04</v>
      </c>
      <c r="N13" s="53">
        <v>46.7</v>
      </c>
      <c r="O13" s="53">
        <v>0</v>
      </c>
      <c r="P13" s="53">
        <v>2.31</v>
      </c>
      <c r="Q13" s="53">
        <v>9.68</v>
      </c>
      <c r="R13" s="43"/>
      <c r="S13" s="43"/>
      <c r="T13" s="43"/>
      <c r="U13" s="43"/>
    </row>
    <row r="14" spans="1:21" s="11" customFormat="1" x14ac:dyDescent="0.25">
      <c r="A14" s="52" t="s">
        <v>592</v>
      </c>
      <c r="B14" s="53">
        <v>62.22</v>
      </c>
      <c r="C14" s="5" t="s">
        <v>14</v>
      </c>
      <c r="D14" s="53">
        <v>45.55</v>
      </c>
      <c r="E14" s="53">
        <v>5.2</v>
      </c>
      <c r="F14" s="53">
        <v>2.62</v>
      </c>
      <c r="G14" s="53">
        <v>64.400000000000006</v>
      </c>
      <c r="H14" s="53">
        <v>28.78</v>
      </c>
      <c r="I14" s="53">
        <v>0.1</v>
      </c>
      <c r="J14" s="53">
        <v>0.83</v>
      </c>
      <c r="K14" s="53">
        <v>330.24</v>
      </c>
      <c r="L14" s="53">
        <v>11.46</v>
      </c>
      <c r="M14" s="53">
        <v>98.04</v>
      </c>
      <c r="N14" s="53">
        <v>46.5</v>
      </c>
      <c r="O14" s="53">
        <v>0</v>
      </c>
      <c r="P14" s="53">
        <v>2.0699999999999998</v>
      </c>
      <c r="Q14" s="53">
        <v>9.68</v>
      </c>
      <c r="R14" s="43"/>
      <c r="S14" s="43"/>
      <c r="T14" s="43"/>
      <c r="U14" s="43"/>
    </row>
    <row r="15" spans="1:21" s="11" customFormat="1" x14ac:dyDescent="0.25">
      <c r="A15" s="52" t="s">
        <v>593</v>
      </c>
      <c r="B15" s="53">
        <v>60.03</v>
      </c>
      <c r="C15" s="5" t="s">
        <v>14</v>
      </c>
      <c r="D15" s="53">
        <v>44.13</v>
      </c>
      <c r="E15" s="53">
        <v>5.43</v>
      </c>
      <c r="F15" s="53">
        <v>2.58</v>
      </c>
      <c r="G15" s="53">
        <v>63.8</v>
      </c>
      <c r="H15" s="53">
        <v>28.78</v>
      </c>
      <c r="I15" s="53">
        <v>0.1</v>
      </c>
      <c r="J15" s="53">
        <v>0.82</v>
      </c>
      <c r="K15" s="53">
        <v>322.44</v>
      </c>
      <c r="L15" s="53">
        <v>12.08</v>
      </c>
      <c r="M15" s="53">
        <v>97.97</v>
      </c>
      <c r="N15" s="53">
        <v>60.9</v>
      </c>
      <c r="O15" s="53">
        <v>0</v>
      </c>
      <c r="P15" s="53">
        <v>1.9</v>
      </c>
      <c r="Q15" s="53">
        <v>9.68</v>
      </c>
      <c r="R15" s="43"/>
      <c r="S15" s="43"/>
      <c r="T15" s="43"/>
      <c r="U15" s="43"/>
    </row>
    <row r="16" spans="1:21" s="11" customFormat="1" x14ac:dyDescent="0.25">
      <c r="A16" s="52" t="s">
        <v>594</v>
      </c>
      <c r="B16" s="53">
        <v>52.03</v>
      </c>
      <c r="C16" s="53">
        <v>2.0299999999999998</v>
      </c>
      <c r="D16" s="53">
        <v>40.700000000000003</v>
      </c>
      <c r="E16" s="53">
        <v>5.46</v>
      </c>
      <c r="F16" s="53">
        <v>2.38</v>
      </c>
      <c r="G16" s="53">
        <v>58.29</v>
      </c>
      <c r="H16" s="53">
        <v>26.1</v>
      </c>
      <c r="I16" s="53">
        <v>0.1</v>
      </c>
      <c r="J16" s="53">
        <v>1.44</v>
      </c>
      <c r="K16" s="53">
        <v>287.13</v>
      </c>
      <c r="L16" s="53">
        <v>14.73</v>
      </c>
      <c r="M16" s="53">
        <v>92.39</v>
      </c>
      <c r="N16" s="53">
        <v>186.6</v>
      </c>
      <c r="O16" s="53">
        <v>0</v>
      </c>
      <c r="P16" s="53">
        <v>1.78</v>
      </c>
      <c r="Q16" s="53">
        <v>9.68</v>
      </c>
      <c r="R16" s="43"/>
      <c r="S16" s="43"/>
      <c r="T16" s="43"/>
      <c r="U16" s="43"/>
    </row>
    <row r="17" spans="1:21" s="11" customFormat="1" x14ac:dyDescent="0.25">
      <c r="A17" s="52" t="s">
        <v>595</v>
      </c>
      <c r="B17" s="53">
        <v>45.08</v>
      </c>
      <c r="C17" s="53">
        <v>7.16</v>
      </c>
      <c r="D17" s="53">
        <v>37.07</v>
      </c>
      <c r="E17" s="53">
        <v>5.0599999999999996</v>
      </c>
      <c r="F17" s="53">
        <v>2.6</v>
      </c>
      <c r="G17" s="53">
        <v>53.48</v>
      </c>
      <c r="H17" s="53">
        <v>22.47</v>
      </c>
      <c r="I17" s="53">
        <v>0.1</v>
      </c>
      <c r="J17" s="53">
        <v>1.18</v>
      </c>
      <c r="K17" s="53">
        <v>117.86</v>
      </c>
      <c r="L17" s="53">
        <v>19.079999999999998</v>
      </c>
      <c r="M17" s="53">
        <v>76.319999999999993</v>
      </c>
      <c r="N17" s="53">
        <v>324.3</v>
      </c>
      <c r="O17" s="53">
        <v>0</v>
      </c>
      <c r="P17" s="53">
        <v>1.58</v>
      </c>
      <c r="Q17" s="53">
        <v>9.66</v>
      </c>
      <c r="R17" s="43"/>
      <c r="S17" s="43"/>
      <c r="T17" s="43"/>
      <c r="U17" s="43"/>
    </row>
    <row r="18" spans="1:21" s="11" customFormat="1" x14ac:dyDescent="0.25">
      <c r="A18" s="52" t="s">
        <v>596</v>
      </c>
      <c r="B18" s="53">
        <v>39.19</v>
      </c>
      <c r="C18" s="53">
        <v>9.7100000000000009</v>
      </c>
      <c r="D18" s="53">
        <v>34.68</v>
      </c>
      <c r="E18" s="53">
        <v>5.09</v>
      </c>
      <c r="F18" s="53">
        <v>2.8</v>
      </c>
      <c r="G18" s="53">
        <v>53.48</v>
      </c>
      <c r="H18" s="53">
        <v>20.88</v>
      </c>
      <c r="I18" s="53">
        <v>0.1</v>
      </c>
      <c r="J18" s="53">
        <v>1.84</v>
      </c>
      <c r="K18" s="53">
        <v>126.44</v>
      </c>
      <c r="L18" s="53">
        <v>21.42</v>
      </c>
      <c r="M18" s="53">
        <v>56.87</v>
      </c>
      <c r="N18" s="53">
        <v>415.4</v>
      </c>
      <c r="O18" s="53">
        <v>0</v>
      </c>
      <c r="P18" s="53">
        <v>1.4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597</v>
      </c>
      <c r="B19" s="53">
        <v>35.54</v>
      </c>
      <c r="C19" s="53">
        <v>13.36</v>
      </c>
      <c r="D19" s="53">
        <v>34.58</v>
      </c>
      <c r="E19" s="53">
        <v>5.7</v>
      </c>
      <c r="F19" s="53">
        <v>2.66</v>
      </c>
      <c r="G19" s="53">
        <v>47.65</v>
      </c>
      <c r="H19" s="53">
        <v>19.05</v>
      </c>
      <c r="I19" s="53">
        <v>0.1</v>
      </c>
      <c r="J19" s="53">
        <v>1.77</v>
      </c>
      <c r="K19" s="53">
        <v>355.75</v>
      </c>
      <c r="L19" s="53">
        <v>25.09</v>
      </c>
      <c r="M19" s="53">
        <v>40.799999999999997</v>
      </c>
      <c r="N19" s="53">
        <v>455.9</v>
      </c>
      <c r="O19" s="53">
        <v>0</v>
      </c>
      <c r="P19" s="53">
        <v>1.29</v>
      </c>
      <c r="Q19" s="53">
        <v>9.65</v>
      </c>
      <c r="R19" s="43"/>
      <c r="S19" s="43"/>
      <c r="T19" s="43"/>
      <c r="U19" s="43"/>
    </row>
    <row r="20" spans="1:21" s="11" customFormat="1" x14ac:dyDescent="0.25">
      <c r="A20" s="52" t="s">
        <v>598</v>
      </c>
      <c r="B20" s="53">
        <v>33.07</v>
      </c>
      <c r="C20" s="53">
        <v>15.42</v>
      </c>
      <c r="D20" s="53">
        <v>33.15</v>
      </c>
      <c r="E20" s="53">
        <v>5.63</v>
      </c>
      <c r="F20" s="53">
        <v>3.26</v>
      </c>
      <c r="G20" s="53">
        <v>47.65</v>
      </c>
      <c r="H20" s="53">
        <v>19.05</v>
      </c>
      <c r="I20" s="53">
        <v>0.1</v>
      </c>
      <c r="J20" s="53">
        <v>1.49</v>
      </c>
      <c r="K20" s="53">
        <v>123.24</v>
      </c>
      <c r="L20" s="53">
        <v>24.16</v>
      </c>
      <c r="M20" s="53">
        <v>38.54</v>
      </c>
      <c r="N20" s="53">
        <v>460.7</v>
      </c>
      <c r="O20" s="53">
        <v>0</v>
      </c>
      <c r="P20" s="53">
        <v>1.25</v>
      </c>
      <c r="Q20" s="53">
        <v>9.67</v>
      </c>
      <c r="R20" s="43"/>
      <c r="S20" s="43"/>
      <c r="T20" s="43"/>
      <c r="U20" s="43"/>
    </row>
    <row r="21" spans="1:21" s="11" customFormat="1" x14ac:dyDescent="0.25">
      <c r="A21" s="52" t="s">
        <v>599</v>
      </c>
      <c r="B21" s="53">
        <v>29.4</v>
      </c>
      <c r="C21" s="53">
        <v>18.22</v>
      </c>
      <c r="D21" s="53">
        <v>31.18</v>
      </c>
      <c r="E21" s="53">
        <v>6.18</v>
      </c>
      <c r="F21" s="53">
        <v>2.93</v>
      </c>
      <c r="G21" s="53">
        <v>39.74</v>
      </c>
      <c r="H21" s="53">
        <v>16.5</v>
      </c>
      <c r="I21" s="53">
        <v>0.1</v>
      </c>
      <c r="J21" s="53">
        <v>1.59</v>
      </c>
      <c r="K21" s="53">
        <v>128.22999999999999</v>
      </c>
      <c r="L21" s="53">
        <v>25.35</v>
      </c>
      <c r="M21" s="53">
        <v>38.049999999999997</v>
      </c>
      <c r="N21" s="53">
        <v>428.8</v>
      </c>
      <c r="O21" s="53">
        <v>0</v>
      </c>
      <c r="P21" s="53">
        <v>1.1399999999999999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600</v>
      </c>
      <c r="B22" s="53">
        <v>23.95</v>
      </c>
      <c r="C22" s="53">
        <v>25.47</v>
      </c>
      <c r="D22" s="53">
        <v>29.21</v>
      </c>
      <c r="E22" s="53">
        <v>10.84</v>
      </c>
      <c r="F22" s="53">
        <v>5.16</v>
      </c>
      <c r="G22" s="53">
        <v>36.81</v>
      </c>
      <c r="H22" s="53">
        <v>16.55</v>
      </c>
      <c r="I22" s="53">
        <v>0.1</v>
      </c>
      <c r="J22" s="53">
        <v>1.0900000000000001</v>
      </c>
      <c r="K22" s="53">
        <v>350.65</v>
      </c>
      <c r="L22" s="53">
        <v>26.16</v>
      </c>
      <c r="M22" s="53">
        <v>32.380000000000003</v>
      </c>
      <c r="N22" s="53">
        <v>354.5</v>
      </c>
      <c r="O22" s="53">
        <v>0</v>
      </c>
      <c r="P22" s="53">
        <v>1.1599999999999999</v>
      </c>
      <c r="Q22" s="53">
        <v>9.64</v>
      </c>
      <c r="R22" s="43"/>
      <c r="S22" s="43"/>
      <c r="T22" s="43"/>
      <c r="U22" s="43"/>
    </row>
    <row r="23" spans="1:21" s="11" customFormat="1" x14ac:dyDescent="0.25">
      <c r="A23" s="52" t="s">
        <v>601</v>
      </c>
      <c r="B23" s="53">
        <v>16.29</v>
      </c>
      <c r="C23" s="53">
        <v>30.1</v>
      </c>
      <c r="D23" s="53">
        <v>26.64</v>
      </c>
      <c r="E23" s="53">
        <v>13.58</v>
      </c>
      <c r="F23" s="53">
        <v>6.99</v>
      </c>
      <c r="G23" s="53">
        <v>49.64</v>
      </c>
      <c r="H23" s="53">
        <v>16.55</v>
      </c>
      <c r="I23" s="53">
        <v>0.1</v>
      </c>
      <c r="J23" s="53">
        <v>1.91</v>
      </c>
      <c r="K23" s="53">
        <v>342.34</v>
      </c>
      <c r="L23" s="53">
        <v>25.81</v>
      </c>
      <c r="M23" s="53">
        <v>32.94</v>
      </c>
      <c r="N23" s="53">
        <v>149.19999999999999</v>
      </c>
      <c r="O23" s="53">
        <v>0</v>
      </c>
      <c r="P23" s="53">
        <v>1.1499999999999999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602</v>
      </c>
      <c r="B24" s="53">
        <v>14.58</v>
      </c>
      <c r="C24" s="53">
        <v>34.97</v>
      </c>
      <c r="D24" s="53">
        <v>27.82</v>
      </c>
      <c r="E24" s="53">
        <v>26.53</v>
      </c>
      <c r="F24" s="53">
        <v>9.92</v>
      </c>
      <c r="G24" s="53">
        <v>52.99</v>
      </c>
      <c r="H24" s="53">
        <v>17.850000000000001</v>
      </c>
      <c r="I24" s="53">
        <v>0.1</v>
      </c>
      <c r="J24" s="53">
        <v>1.68</v>
      </c>
      <c r="K24" s="53">
        <v>345.5</v>
      </c>
      <c r="L24" s="53">
        <v>24.69</v>
      </c>
      <c r="M24" s="53">
        <v>30.54</v>
      </c>
      <c r="N24" s="53">
        <v>92.4</v>
      </c>
      <c r="O24" s="53">
        <v>0</v>
      </c>
      <c r="P24" s="53">
        <v>1.22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603</v>
      </c>
      <c r="B25" s="53">
        <v>15.17</v>
      </c>
      <c r="C25" s="53">
        <v>31.85</v>
      </c>
      <c r="D25" s="53">
        <v>27.85</v>
      </c>
      <c r="E25" s="53">
        <v>24.58</v>
      </c>
      <c r="F25" s="53">
        <v>7.34</v>
      </c>
      <c r="G25" s="53">
        <v>52.99</v>
      </c>
      <c r="H25" s="53">
        <v>17.850000000000001</v>
      </c>
      <c r="I25" s="53">
        <v>0.1</v>
      </c>
      <c r="J25" s="53">
        <v>1.65</v>
      </c>
      <c r="K25" s="53">
        <v>350.24</v>
      </c>
      <c r="L25" s="53">
        <v>23.49</v>
      </c>
      <c r="M25" s="53">
        <v>32.18</v>
      </c>
      <c r="N25" s="53">
        <v>66.400000000000006</v>
      </c>
      <c r="O25" s="53">
        <v>0</v>
      </c>
      <c r="P25" s="53">
        <v>1.28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604</v>
      </c>
      <c r="B26" s="53">
        <v>19.41</v>
      </c>
      <c r="C26" s="53">
        <v>31.13</v>
      </c>
      <c r="D26" s="53">
        <v>28.17</v>
      </c>
      <c r="E26" s="53">
        <v>7.66</v>
      </c>
      <c r="F26" s="53">
        <v>3.01</v>
      </c>
      <c r="G26" s="53">
        <v>49.15</v>
      </c>
      <c r="H26" s="53">
        <v>16.34</v>
      </c>
      <c r="I26" s="53">
        <v>0.1</v>
      </c>
      <c r="J26" s="53">
        <v>0.69</v>
      </c>
      <c r="K26" s="53">
        <v>335.13</v>
      </c>
      <c r="L26" s="53">
        <v>21.02</v>
      </c>
      <c r="M26" s="53">
        <v>49.78</v>
      </c>
      <c r="N26" s="53">
        <v>46.9</v>
      </c>
      <c r="O26" s="53">
        <v>0</v>
      </c>
      <c r="P26" s="53">
        <v>1.29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605</v>
      </c>
      <c r="B27" s="53">
        <v>41.84</v>
      </c>
      <c r="C27" s="53">
        <v>21.93</v>
      </c>
      <c r="D27" s="53">
        <v>38.97</v>
      </c>
      <c r="E27" s="53">
        <v>6.24</v>
      </c>
      <c r="F27" s="53">
        <v>2.4900000000000002</v>
      </c>
      <c r="G27" s="53">
        <v>70.27</v>
      </c>
      <c r="H27" s="53">
        <v>20.55</v>
      </c>
      <c r="I27" s="53">
        <v>0.1</v>
      </c>
      <c r="J27" s="53">
        <v>0.88</v>
      </c>
      <c r="K27" s="53">
        <v>354.06</v>
      </c>
      <c r="L27" s="53">
        <v>17.71</v>
      </c>
      <c r="M27" s="53">
        <v>70.19</v>
      </c>
      <c r="N27" s="53">
        <v>42.5</v>
      </c>
      <c r="O27" s="53">
        <v>0</v>
      </c>
      <c r="P27" s="53">
        <v>1.71</v>
      </c>
      <c r="Q27" s="53">
        <v>9.65</v>
      </c>
      <c r="R27" s="43"/>
      <c r="S27" s="43"/>
      <c r="T27" s="43"/>
      <c r="U27" s="43"/>
    </row>
    <row r="28" spans="1:21" s="11" customFormat="1" x14ac:dyDescent="0.25">
      <c r="A28" s="52" t="s">
        <v>606</v>
      </c>
      <c r="B28" s="53">
        <v>67.94</v>
      </c>
      <c r="C28" s="53">
        <v>7.24</v>
      </c>
      <c r="D28" s="53">
        <v>51.71</v>
      </c>
      <c r="E28" s="53">
        <v>6.49</v>
      </c>
      <c r="F28" s="53">
        <v>2.38</v>
      </c>
      <c r="G28" s="53">
        <v>108.95</v>
      </c>
      <c r="H28" s="53">
        <v>28.7</v>
      </c>
      <c r="I28" s="53">
        <v>0.1</v>
      </c>
      <c r="J28" s="53">
        <v>0.84</v>
      </c>
      <c r="K28" s="53">
        <v>330.43</v>
      </c>
      <c r="L28" s="53">
        <v>16.309999999999999</v>
      </c>
      <c r="M28" s="53">
        <v>80.48</v>
      </c>
      <c r="N28" s="53">
        <v>42.4</v>
      </c>
      <c r="O28" s="53">
        <v>0</v>
      </c>
      <c r="P28" s="53">
        <v>2.25</v>
      </c>
      <c r="Q28" s="53">
        <v>9.68</v>
      </c>
      <c r="R28" s="43"/>
      <c r="S28" s="43"/>
      <c r="T28" s="43"/>
      <c r="U28" s="43"/>
    </row>
    <row r="29" spans="1:21" s="11" customFormat="1" x14ac:dyDescent="0.25">
      <c r="A29" s="52" t="s">
        <v>607</v>
      </c>
      <c r="B29" s="53">
        <v>102.05</v>
      </c>
      <c r="C29" s="57" t="s">
        <v>14</v>
      </c>
      <c r="D29" s="53">
        <v>68.73</v>
      </c>
      <c r="E29" s="53">
        <v>7.48</v>
      </c>
      <c r="F29" s="53">
        <v>2.5099999999999998</v>
      </c>
      <c r="G29" s="53">
        <v>109.4</v>
      </c>
      <c r="H29" s="53">
        <v>31.07</v>
      </c>
      <c r="I29" s="53">
        <v>0.1</v>
      </c>
      <c r="J29" s="53">
        <v>0.83</v>
      </c>
      <c r="K29" s="53">
        <v>355.49</v>
      </c>
      <c r="L29" s="53">
        <v>15.5</v>
      </c>
      <c r="M29" s="53">
        <v>86.38</v>
      </c>
      <c r="N29" s="53">
        <v>42.3</v>
      </c>
      <c r="O29" s="53">
        <v>0</v>
      </c>
      <c r="P29" s="53">
        <v>2.98</v>
      </c>
      <c r="Q29" s="53">
        <v>9.7200000000000006</v>
      </c>
      <c r="R29" s="43"/>
      <c r="S29" s="43"/>
      <c r="T29" s="43"/>
      <c r="U29" s="43"/>
    </row>
    <row r="30" spans="1:21" s="11" customFormat="1" x14ac:dyDescent="0.25">
      <c r="A30" s="52" t="s">
        <v>608</v>
      </c>
      <c r="B30" s="53">
        <v>140.69</v>
      </c>
      <c r="C30" s="57" t="s">
        <v>14</v>
      </c>
      <c r="D30" s="53">
        <v>87.85</v>
      </c>
      <c r="E30" s="53">
        <v>7.59</v>
      </c>
      <c r="F30" s="53">
        <v>2.5</v>
      </c>
      <c r="G30" s="53">
        <v>125.89</v>
      </c>
      <c r="H30" s="53">
        <v>36.94</v>
      </c>
      <c r="I30" s="53">
        <v>0.1</v>
      </c>
      <c r="J30" s="53">
        <v>0.74</v>
      </c>
      <c r="K30" s="53">
        <v>334.13</v>
      </c>
      <c r="L30" s="53">
        <v>14.99</v>
      </c>
      <c r="M30" s="53">
        <v>95.37</v>
      </c>
      <c r="N30" s="53">
        <v>42.4</v>
      </c>
      <c r="O30" s="53">
        <v>0</v>
      </c>
      <c r="P30" s="53">
        <v>3.78</v>
      </c>
      <c r="Q30" s="53">
        <v>9.75</v>
      </c>
      <c r="R30" s="43"/>
      <c r="S30" s="43"/>
      <c r="T30" s="43"/>
      <c r="U30" s="43"/>
    </row>
    <row r="31" spans="1:21" s="11" customFormat="1" x14ac:dyDescent="0.25">
      <c r="A31" s="52" t="s">
        <v>609</v>
      </c>
      <c r="B31" s="53">
        <v>176.37</v>
      </c>
      <c r="C31" s="57" t="s">
        <v>14</v>
      </c>
      <c r="D31" s="53">
        <v>105.71</v>
      </c>
      <c r="E31" s="53">
        <v>7.84</v>
      </c>
      <c r="F31" s="53">
        <v>2.79</v>
      </c>
      <c r="G31" s="53">
        <v>126.72</v>
      </c>
      <c r="H31" s="53">
        <v>41.4</v>
      </c>
      <c r="I31" s="53">
        <v>0.1</v>
      </c>
      <c r="J31" s="53">
        <v>0.83</v>
      </c>
      <c r="K31" s="53">
        <v>345.24</v>
      </c>
      <c r="L31" s="53">
        <v>14.47</v>
      </c>
      <c r="M31" s="53">
        <v>97.87</v>
      </c>
      <c r="N31" s="53">
        <v>42.4</v>
      </c>
      <c r="O31" s="53">
        <v>0</v>
      </c>
      <c r="P31" s="53">
        <v>4.5599999999999996</v>
      </c>
      <c r="Q31" s="53">
        <v>9.7899999999999991</v>
      </c>
      <c r="R31" s="43"/>
      <c r="S31" s="43"/>
      <c r="T31" s="43"/>
      <c r="U31" s="43"/>
    </row>
    <row r="32" spans="1:21" s="11" customFormat="1" x14ac:dyDescent="0.25">
      <c r="A32" s="52" t="s">
        <v>610</v>
      </c>
      <c r="B32" s="53">
        <v>206.15</v>
      </c>
      <c r="C32" s="57" t="s">
        <v>14</v>
      </c>
      <c r="D32" s="53">
        <v>120.58</v>
      </c>
      <c r="E32" s="53">
        <v>8.42</v>
      </c>
      <c r="F32" s="53">
        <v>2.5099999999999998</v>
      </c>
      <c r="G32" s="53">
        <v>126.72</v>
      </c>
      <c r="H32" s="53">
        <v>41.4</v>
      </c>
      <c r="I32" s="53">
        <v>0.1</v>
      </c>
      <c r="J32" s="53">
        <v>0.8</v>
      </c>
      <c r="K32" s="53">
        <v>356.75</v>
      </c>
      <c r="L32" s="53">
        <v>13.89</v>
      </c>
      <c r="M32" s="53">
        <v>97.94</v>
      </c>
      <c r="N32" s="53">
        <v>42.4</v>
      </c>
      <c r="O32" s="53">
        <v>0</v>
      </c>
      <c r="P32" s="53">
        <v>5.22</v>
      </c>
      <c r="Q32" s="53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14.58</v>
      </c>
      <c r="C34" s="28">
        <f t="shared" si="0"/>
        <v>2.0299999999999998</v>
      </c>
      <c r="D34" s="28">
        <f t="shared" si="0"/>
        <v>26.64</v>
      </c>
      <c r="E34" s="28">
        <f t="shared" si="0"/>
        <v>5.0599999999999996</v>
      </c>
      <c r="F34" s="28">
        <f t="shared" si="0"/>
        <v>2.33</v>
      </c>
      <c r="G34" s="28">
        <f t="shared" si="0"/>
        <v>36.81</v>
      </c>
      <c r="H34" s="28">
        <f t="shared" si="0"/>
        <v>16.34</v>
      </c>
      <c r="I34" s="28">
        <f t="shared" si="0"/>
        <v>0.1</v>
      </c>
      <c r="J34" s="28">
        <f t="shared" si="0"/>
        <v>0.69</v>
      </c>
      <c r="K34" s="28">
        <f t="shared" si="0"/>
        <v>117.86</v>
      </c>
      <c r="L34" s="28">
        <f t="shared" si="0"/>
        <v>11.46</v>
      </c>
      <c r="M34" s="28">
        <f t="shared" si="0"/>
        <v>30.54</v>
      </c>
      <c r="N34" s="28">
        <f t="shared" si="0"/>
        <v>42.3</v>
      </c>
      <c r="O34" s="28">
        <f t="shared" si="0"/>
        <v>0</v>
      </c>
      <c r="P34" s="28">
        <f t="shared" si="0"/>
        <v>1.1399999999999999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206.15</v>
      </c>
      <c r="C35" s="29">
        <f t="shared" si="1"/>
        <v>34.97</v>
      </c>
      <c r="D35" s="29">
        <f t="shared" si="1"/>
        <v>120.58</v>
      </c>
      <c r="E35" s="29">
        <f t="shared" si="1"/>
        <v>26.53</v>
      </c>
      <c r="F35" s="29">
        <f t="shared" si="1"/>
        <v>9.92</v>
      </c>
      <c r="G35" s="29">
        <f t="shared" si="1"/>
        <v>126.72</v>
      </c>
      <c r="H35" s="29">
        <f t="shared" si="1"/>
        <v>41.4</v>
      </c>
      <c r="I35" s="29">
        <f t="shared" si="1"/>
        <v>0.1</v>
      </c>
      <c r="J35" s="29">
        <f t="shared" si="1"/>
        <v>1.91</v>
      </c>
      <c r="K35" s="29">
        <f t="shared" si="1"/>
        <v>356.75</v>
      </c>
      <c r="L35" s="29">
        <f t="shared" si="1"/>
        <v>26.16</v>
      </c>
      <c r="M35" s="29">
        <f t="shared" si="1"/>
        <v>98.04</v>
      </c>
      <c r="N35" s="29">
        <f t="shared" si="1"/>
        <v>460.7</v>
      </c>
      <c r="O35" s="29">
        <f t="shared" si="1"/>
        <v>0</v>
      </c>
      <c r="P35" s="29">
        <f t="shared" si="1"/>
        <v>5.22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67.881250000000009</v>
      </c>
      <c r="C36" s="28">
        <f t="shared" si="2"/>
        <v>19.122307692307693</v>
      </c>
      <c r="D36" s="28">
        <f t="shared" si="2"/>
        <v>50.847916666666663</v>
      </c>
      <c r="E36" s="28">
        <f t="shared" si="2"/>
        <v>8.3633333333333333</v>
      </c>
      <c r="F36" s="28">
        <f t="shared" si="2"/>
        <v>3.4145833333333342</v>
      </c>
      <c r="G36" s="28">
        <f t="shared" si="2"/>
        <v>73.961666666666673</v>
      </c>
      <c r="H36" s="28">
        <f t="shared" si="2"/>
        <v>26.095416666666665</v>
      </c>
      <c r="I36" s="28">
        <f t="shared" si="2"/>
        <v>0.10000000000000003</v>
      </c>
      <c r="J36" s="28">
        <f t="shared" si="2"/>
        <v>1.1224999999999998</v>
      </c>
      <c r="K36" s="28">
        <f t="shared" si="2"/>
        <v>302.00458333333336</v>
      </c>
      <c r="L36" s="28">
        <f t="shared" si="2"/>
        <v>17.965416666666666</v>
      </c>
      <c r="M36" s="28">
        <f t="shared" si="2"/>
        <v>72.28958333333334</v>
      </c>
      <c r="N36" s="28">
        <f t="shared" si="2"/>
        <v>149.00416666666669</v>
      </c>
      <c r="O36" s="28">
        <f t="shared" si="2"/>
        <v>0</v>
      </c>
      <c r="P36" s="28">
        <f t="shared" si="2"/>
        <v>2.23875</v>
      </c>
      <c r="Q36" s="28">
        <f t="shared" si="2"/>
        <v>9.682500000000001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51.299924087790252</v>
      </c>
      <c r="C37" s="28">
        <f t="shared" ref="C37:Q37" si="3">STDEV(C9:C32)</f>
        <v>10.94974973370484</v>
      </c>
      <c r="D37" s="28">
        <f t="shared" si="3"/>
        <v>25.630464376726906</v>
      </c>
      <c r="E37" s="28">
        <f t="shared" si="3"/>
        <v>5.6500886231346286</v>
      </c>
      <c r="F37" s="28">
        <f t="shared" si="3"/>
        <v>1.9449935266834633</v>
      </c>
      <c r="G37" s="28">
        <f t="shared" si="3"/>
        <v>28.931657050887097</v>
      </c>
      <c r="H37" s="28">
        <f t="shared" si="3"/>
        <v>8.0431293818776322</v>
      </c>
      <c r="I37" s="28">
        <f t="shared" si="3"/>
        <v>2.8352538009326866E-17</v>
      </c>
      <c r="J37" s="28">
        <f t="shared" si="3"/>
        <v>0.41849887018703696</v>
      </c>
      <c r="K37" s="28">
        <f t="shared" si="3"/>
        <v>83.025694921573063</v>
      </c>
      <c r="L37" s="28">
        <f t="shared" si="3"/>
        <v>5.2878457676372204</v>
      </c>
      <c r="M37" s="28">
        <f t="shared" si="3"/>
        <v>27.740485478834874</v>
      </c>
      <c r="N37" s="28">
        <f t="shared" si="3"/>
        <v>158.01258474693017</v>
      </c>
      <c r="O37" s="28">
        <f t="shared" si="3"/>
        <v>0</v>
      </c>
      <c r="P37" s="28">
        <f t="shared" si="3"/>
        <v>1.1555736858713346</v>
      </c>
      <c r="Q37" s="28">
        <f t="shared" si="3"/>
        <v>5.5344769204152239E-2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611</v>
      </c>
      <c r="B9" s="53">
        <v>209.67</v>
      </c>
      <c r="C9" s="5" t="s">
        <v>14</v>
      </c>
      <c r="D9" s="53">
        <v>122.17</v>
      </c>
      <c r="E9" s="53">
        <v>9.06</v>
      </c>
      <c r="F9" s="53">
        <v>2.8</v>
      </c>
      <c r="G9" s="53">
        <v>117.45</v>
      </c>
      <c r="H9" s="53">
        <v>41.21</v>
      </c>
      <c r="I9" s="53">
        <v>0.1</v>
      </c>
      <c r="J9" s="53">
        <v>0.88</v>
      </c>
      <c r="K9" s="53">
        <v>336.06</v>
      </c>
      <c r="L9" s="53">
        <v>13.47</v>
      </c>
      <c r="M9" s="53">
        <v>97.97</v>
      </c>
      <c r="N9" s="53">
        <v>42.4</v>
      </c>
      <c r="O9" s="53">
        <v>0</v>
      </c>
      <c r="P9" s="53">
        <v>5.65</v>
      </c>
      <c r="Q9" s="53">
        <v>9.82</v>
      </c>
      <c r="R9" s="43"/>
      <c r="S9" s="43"/>
      <c r="T9" s="43"/>
      <c r="U9" s="43"/>
    </row>
    <row r="10" spans="1:21" s="11" customFormat="1" x14ac:dyDescent="0.25">
      <c r="A10" s="52" t="s">
        <v>612</v>
      </c>
      <c r="B10" s="53">
        <v>204.48</v>
      </c>
      <c r="C10" s="5" t="s">
        <v>14</v>
      </c>
      <c r="D10" s="53">
        <v>118.69</v>
      </c>
      <c r="E10" s="53">
        <v>8.8699999999999992</v>
      </c>
      <c r="F10" s="53">
        <v>2.82</v>
      </c>
      <c r="G10" s="53">
        <v>115.09</v>
      </c>
      <c r="H10" s="53">
        <v>41.98</v>
      </c>
      <c r="I10" s="53">
        <v>0.1</v>
      </c>
      <c r="J10" s="53">
        <v>0.89</v>
      </c>
      <c r="K10" s="53">
        <v>316.23</v>
      </c>
      <c r="L10" s="53">
        <v>13.11</v>
      </c>
      <c r="M10" s="53">
        <v>97.44</v>
      </c>
      <c r="N10" s="53">
        <v>42.4</v>
      </c>
      <c r="O10" s="53">
        <v>0</v>
      </c>
      <c r="P10" s="53">
        <v>4.79</v>
      </c>
      <c r="Q10" s="53">
        <v>9.81</v>
      </c>
      <c r="R10" s="43"/>
      <c r="S10" s="43"/>
      <c r="T10" s="43"/>
      <c r="U10" s="43"/>
    </row>
    <row r="11" spans="1:21" s="11" customFormat="1" x14ac:dyDescent="0.25">
      <c r="A11" s="52" t="s">
        <v>613</v>
      </c>
      <c r="B11" s="53">
        <v>180.51</v>
      </c>
      <c r="C11" s="5" t="s">
        <v>14</v>
      </c>
      <c r="D11" s="53">
        <v>105.5</v>
      </c>
      <c r="E11" s="53">
        <v>8.65</v>
      </c>
      <c r="F11" s="53">
        <v>2.79</v>
      </c>
      <c r="G11" s="53">
        <v>115.09</v>
      </c>
      <c r="H11" s="53">
        <v>42.53</v>
      </c>
      <c r="I11" s="53">
        <v>0.1</v>
      </c>
      <c r="J11" s="53">
        <v>0.84</v>
      </c>
      <c r="K11" s="53">
        <v>283.8</v>
      </c>
      <c r="L11" s="53">
        <v>13.2</v>
      </c>
      <c r="M11" s="53">
        <v>95.58</v>
      </c>
      <c r="N11" s="53">
        <v>42.5</v>
      </c>
      <c r="O11" s="53">
        <v>0</v>
      </c>
      <c r="P11" s="53">
        <v>4.33</v>
      </c>
      <c r="Q11" s="53">
        <v>9.81</v>
      </c>
      <c r="R11" s="43"/>
      <c r="S11" s="43"/>
      <c r="T11" s="43"/>
      <c r="U11" s="43"/>
    </row>
    <row r="12" spans="1:21" s="11" customFormat="1" x14ac:dyDescent="0.25">
      <c r="A12" s="52" t="s">
        <v>614</v>
      </c>
      <c r="B12" s="53">
        <v>146.83000000000001</v>
      </c>
      <c r="C12" s="5" t="s">
        <v>14</v>
      </c>
      <c r="D12" s="53">
        <v>87.99</v>
      </c>
      <c r="E12" s="53">
        <v>8.0500000000000007</v>
      </c>
      <c r="F12" s="53">
        <v>2.54</v>
      </c>
      <c r="G12" s="53">
        <v>104.78</v>
      </c>
      <c r="H12" s="53">
        <v>42.53</v>
      </c>
      <c r="I12" s="53">
        <v>0.1</v>
      </c>
      <c r="J12" s="53">
        <v>0.91</v>
      </c>
      <c r="K12" s="53">
        <v>330.32</v>
      </c>
      <c r="L12" s="53">
        <v>12.64</v>
      </c>
      <c r="M12" s="53">
        <v>95.38</v>
      </c>
      <c r="N12" s="53">
        <v>42.5</v>
      </c>
      <c r="O12" s="53">
        <v>0</v>
      </c>
      <c r="P12" s="53">
        <v>3.6</v>
      </c>
      <c r="Q12" s="53">
        <v>9.77</v>
      </c>
      <c r="R12" s="43"/>
      <c r="S12" s="43"/>
      <c r="T12" s="43"/>
      <c r="U12" s="43"/>
    </row>
    <row r="13" spans="1:21" s="11" customFormat="1" x14ac:dyDescent="0.25">
      <c r="A13" s="52" t="s">
        <v>615</v>
      </c>
      <c r="B13" s="53">
        <v>118.16</v>
      </c>
      <c r="C13" s="5" t="s">
        <v>14</v>
      </c>
      <c r="D13" s="53">
        <v>72.72</v>
      </c>
      <c r="E13" s="53">
        <v>7.63</v>
      </c>
      <c r="F13" s="53">
        <v>2.23</v>
      </c>
      <c r="G13" s="53">
        <v>77.7</v>
      </c>
      <c r="H13" s="53">
        <v>37.92</v>
      </c>
      <c r="I13" s="53">
        <v>0.1</v>
      </c>
      <c r="J13" s="53">
        <v>0.87</v>
      </c>
      <c r="K13" s="53">
        <v>265.01</v>
      </c>
      <c r="L13" s="53">
        <v>12.05</v>
      </c>
      <c r="M13" s="53">
        <v>97.95</v>
      </c>
      <c r="N13" s="53">
        <v>42.5</v>
      </c>
      <c r="O13" s="53">
        <v>0</v>
      </c>
      <c r="P13" s="53">
        <v>2.94</v>
      </c>
      <c r="Q13" s="53">
        <v>9.7200000000000006</v>
      </c>
      <c r="R13" s="43"/>
      <c r="S13" s="43"/>
      <c r="T13" s="43"/>
      <c r="U13" s="43"/>
    </row>
    <row r="14" spans="1:21" s="11" customFormat="1" x14ac:dyDescent="0.25">
      <c r="A14" s="52" t="s">
        <v>616</v>
      </c>
      <c r="B14" s="53">
        <v>101.08</v>
      </c>
      <c r="C14" s="5" t="s">
        <v>14</v>
      </c>
      <c r="D14" s="53">
        <v>63.89</v>
      </c>
      <c r="E14" s="53">
        <v>7.65</v>
      </c>
      <c r="F14" s="53">
        <v>2.85</v>
      </c>
      <c r="G14" s="53">
        <v>49.74</v>
      </c>
      <c r="H14" s="53">
        <v>30.68</v>
      </c>
      <c r="I14" s="53">
        <v>0.1</v>
      </c>
      <c r="J14" s="53">
        <v>0.79</v>
      </c>
      <c r="K14" s="53">
        <v>311.76</v>
      </c>
      <c r="L14" s="53">
        <v>11.23</v>
      </c>
      <c r="M14" s="53">
        <v>98.03</v>
      </c>
      <c r="N14" s="53">
        <v>42.5</v>
      </c>
      <c r="O14" s="53">
        <v>0</v>
      </c>
      <c r="P14" s="53">
        <v>2.4300000000000002</v>
      </c>
      <c r="Q14" s="53">
        <v>9.7100000000000009</v>
      </c>
      <c r="R14" s="43"/>
      <c r="S14" s="43"/>
      <c r="T14" s="43"/>
      <c r="U14" s="43"/>
    </row>
    <row r="15" spans="1:21" s="11" customFormat="1" x14ac:dyDescent="0.25">
      <c r="A15" s="52" t="s">
        <v>617</v>
      </c>
      <c r="B15" s="53">
        <v>107.05</v>
      </c>
      <c r="C15" s="5" t="s">
        <v>14</v>
      </c>
      <c r="D15" s="53">
        <v>66.27</v>
      </c>
      <c r="E15" s="53">
        <v>7.47</v>
      </c>
      <c r="F15" s="53">
        <v>2.5099999999999998</v>
      </c>
      <c r="G15" s="53">
        <v>61.21</v>
      </c>
      <c r="H15" s="53">
        <v>24.8</v>
      </c>
      <c r="I15" s="53">
        <v>0.1</v>
      </c>
      <c r="J15" s="53">
        <v>0.84</v>
      </c>
      <c r="K15" s="53">
        <v>356.39</v>
      </c>
      <c r="L15" s="53">
        <v>10.69</v>
      </c>
      <c r="M15" s="53">
        <v>98.04</v>
      </c>
      <c r="N15" s="53">
        <v>53.8</v>
      </c>
      <c r="O15" s="53">
        <v>0</v>
      </c>
      <c r="P15" s="53">
        <v>1.98</v>
      </c>
      <c r="Q15" s="53">
        <v>9.6999999999999993</v>
      </c>
      <c r="R15" s="43"/>
      <c r="S15" s="43"/>
      <c r="T15" s="43"/>
      <c r="U15" s="43"/>
    </row>
    <row r="16" spans="1:21" s="11" customFormat="1" x14ac:dyDescent="0.25">
      <c r="A16" s="52" t="s">
        <v>618</v>
      </c>
      <c r="B16" s="53">
        <v>115.95</v>
      </c>
      <c r="C16" s="5" t="s">
        <v>14</v>
      </c>
      <c r="D16" s="53">
        <v>71.44</v>
      </c>
      <c r="E16" s="53">
        <v>7.49</v>
      </c>
      <c r="F16" s="53">
        <v>2.73</v>
      </c>
      <c r="G16" s="53">
        <v>72.53</v>
      </c>
      <c r="H16" s="53">
        <v>24.8</v>
      </c>
      <c r="I16" s="53">
        <v>0.1</v>
      </c>
      <c r="J16" s="53">
        <v>0.88</v>
      </c>
      <c r="K16" s="53">
        <v>313.37</v>
      </c>
      <c r="L16" s="53">
        <v>16.87</v>
      </c>
      <c r="M16" s="53">
        <v>98.03</v>
      </c>
      <c r="N16" s="53">
        <v>214.5</v>
      </c>
      <c r="O16" s="53">
        <v>0</v>
      </c>
      <c r="P16" s="53">
        <v>2.2599999999999998</v>
      </c>
      <c r="Q16" s="53">
        <v>9.73</v>
      </c>
      <c r="R16" s="43"/>
      <c r="S16" s="43"/>
      <c r="T16" s="43"/>
      <c r="U16" s="43"/>
    </row>
    <row r="17" spans="1:21" s="11" customFormat="1" x14ac:dyDescent="0.25">
      <c r="A17" s="52" t="s">
        <v>619</v>
      </c>
      <c r="B17" s="53">
        <v>113.47</v>
      </c>
      <c r="C17" s="5" t="s">
        <v>14</v>
      </c>
      <c r="D17" s="53">
        <v>70.31</v>
      </c>
      <c r="E17" s="53">
        <v>7.2</v>
      </c>
      <c r="F17" s="53">
        <v>2.71</v>
      </c>
      <c r="G17" s="53">
        <v>72.53</v>
      </c>
      <c r="H17" s="53">
        <v>24.8</v>
      </c>
      <c r="I17" s="53">
        <v>0.1</v>
      </c>
      <c r="J17" s="53">
        <v>0.95</v>
      </c>
      <c r="K17" s="53">
        <v>167.89</v>
      </c>
      <c r="L17" s="53">
        <v>21.15</v>
      </c>
      <c r="M17" s="53">
        <v>65.010000000000005</v>
      </c>
      <c r="N17" s="53">
        <v>325.2</v>
      </c>
      <c r="O17" s="53">
        <v>0</v>
      </c>
      <c r="P17" s="53">
        <v>2.16</v>
      </c>
      <c r="Q17" s="53">
        <v>9.7100000000000009</v>
      </c>
      <c r="R17" s="43"/>
      <c r="S17" s="43"/>
      <c r="T17" s="43"/>
      <c r="U17" s="43"/>
    </row>
    <row r="18" spans="1:21" s="11" customFormat="1" x14ac:dyDescent="0.25">
      <c r="A18" s="52" t="s">
        <v>620</v>
      </c>
      <c r="B18" s="53">
        <v>93.05</v>
      </c>
      <c r="C18" s="53">
        <v>0.03</v>
      </c>
      <c r="D18" s="53">
        <v>61.13</v>
      </c>
      <c r="E18" s="53">
        <v>13.16</v>
      </c>
      <c r="F18" s="53">
        <v>2.69</v>
      </c>
      <c r="G18" s="53">
        <v>71.959999999999994</v>
      </c>
      <c r="H18" s="53">
        <v>24.43</v>
      </c>
      <c r="I18" s="53">
        <v>0.1</v>
      </c>
      <c r="J18" s="53">
        <v>1.69</v>
      </c>
      <c r="K18" s="53">
        <v>356.05</v>
      </c>
      <c r="L18" s="53">
        <v>26.47</v>
      </c>
      <c r="M18" s="53">
        <v>38.99</v>
      </c>
      <c r="N18" s="53">
        <v>447.4</v>
      </c>
      <c r="O18" s="53">
        <v>0</v>
      </c>
      <c r="P18" s="53">
        <v>2.2799999999999998</v>
      </c>
      <c r="Q18" s="53">
        <v>9.7100000000000009</v>
      </c>
      <c r="R18" s="43"/>
      <c r="S18" s="43"/>
      <c r="T18" s="43"/>
      <c r="U18" s="43"/>
    </row>
    <row r="19" spans="1:21" s="11" customFormat="1" x14ac:dyDescent="0.25">
      <c r="A19" s="52" t="s">
        <v>621</v>
      </c>
      <c r="B19" s="53">
        <v>41.06</v>
      </c>
      <c r="C19" s="53">
        <v>22.75</v>
      </c>
      <c r="D19" s="53">
        <v>40.36</v>
      </c>
      <c r="E19" s="53">
        <v>10.57</v>
      </c>
      <c r="F19" s="53">
        <v>6.01</v>
      </c>
      <c r="G19" s="53">
        <v>0</v>
      </c>
      <c r="H19" s="53">
        <v>0</v>
      </c>
      <c r="I19" s="53">
        <v>5.73</v>
      </c>
      <c r="J19" s="53">
        <v>1.64</v>
      </c>
      <c r="K19" s="53">
        <v>339.63</v>
      </c>
      <c r="L19" s="53">
        <v>21.03</v>
      </c>
      <c r="M19" s="53">
        <v>32.619999999999997</v>
      </c>
      <c r="N19" s="53">
        <v>488.8</v>
      </c>
      <c r="O19" s="53">
        <v>0</v>
      </c>
      <c r="P19" s="53">
        <v>1.82</v>
      </c>
      <c r="Q19" s="53">
        <v>9.68</v>
      </c>
      <c r="R19" s="43"/>
      <c r="S19" s="43"/>
      <c r="T19" s="43"/>
      <c r="U19" s="43"/>
    </row>
    <row r="20" spans="1:21" s="11" customFormat="1" x14ac:dyDescent="0.25">
      <c r="A20" s="52" t="s">
        <v>622</v>
      </c>
      <c r="B20" s="53">
        <v>22.94</v>
      </c>
      <c r="C20" s="53">
        <v>30.3</v>
      </c>
      <c r="D20" s="53">
        <v>31.72</v>
      </c>
      <c r="E20" s="53">
        <v>8.48</v>
      </c>
      <c r="F20" s="53">
        <v>6.96</v>
      </c>
      <c r="G20" s="53">
        <v>32.729999999999997</v>
      </c>
      <c r="H20" s="53">
        <v>7.5</v>
      </c>
      <c r="I20" s="53">
        <v>4.97</v>
      </c>
      <c r="J20" s="53">
        <v>1.78</v>
      </c>
      <c r="K20" s="53">
        <v>340.22</v>
      </c>
      <c r="L20" s="53">
        <v>20.68</v>
      </c>
      <c r="M20" s="53">
        <v>28.41</v>
      </c>
      <c r="N20" s="53">
        <v>507.7</v>
      </c>
      <c r="O20" s="53">
        <v>0</v>
      </c>
      <c r="P20" s="53">
        <v>1.0900000000000001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623</v>
      </c>
      <c r="B21" s="53">
        <v>9.24</v>
      </c>
      <c r="C21" s="53">
        <v>30.2</v>
      </c>
      <c r="D21" s="53">
        <v>22.54</v>
      </c>
      <c r="E21" s="53">
        <v>13.42</v>
      </c>
      <c r="F21" s="53">
        <v>11.56</v>
      </c>
      <c r="G21" s="53">
        <v>32.729999999999997</v>
      </c>
      <c r="H21" s="53">
        <v>17.690000000000001</v>
      </c>
      <c r="I21" s="53">
        <v>3.25</v>
      </c>
      <c r="J21" s="53">
        <v>1.83</v>
      </c>
      <c r="K21" s="53">
        <v>345.13</v>
      </c>
      <c r="L21" s="53">
        <v>21.78</v>
      </c>
      <c r="M21" s="53">
        <v>24.22</v>
      </c>
      <c r="N21" s="53">
        <v>491.7</v>
      </c>
      <c r="O21" s="53">
        <v>0</v>
      </c>
      <c r="P21" s="53">
        <v>0.6</v>
      </c>
      <c r="Q21" s="53">
        <v>9.4600000000000009</v>
      </c>
      <c r="R21" s="43"/>
      <c r="S21" s="43"/>
      <c r="T21" s="43"/>
      <c r="U21" s="43"/>
    </row>
    <row r="22" spans="1:21" s="11" customFormat="1" x14ac:dyDescent="0.25">
      <c r="A22" s="52" t="s">
        <v>624</v>
      </c>
      <c r="B22" s="53">
        <v>9.69</v>
      </c>
      <c r="C22" s="53">
        <v>28.4</v>
      </c>
      <c r="D22" s="53">
        <v>21.95</v>
      </c>
      <c r="E22" s="53">
        <v>13.3</v>
      </c>
      <c r="F22" s="53">
        <v>13.59</v>
      </c>
      <c r="G22" s="53">
        <v>30.71</v>
      </c>
      <c r="H22" s="53">
        <v>17.690000000000001</v>
      </c>
      <c r="I22" s="53">
        <v>1.84</v>
      </c>
      <c r="J22" s="53">
        <v>1.3</v>
      </c>
      <c r="K22" s="53">
        <v>349.83</v>
      </c>
      <c r="L22" s="53">
        <v>21.07</v>
      </c>
      <c r="M22" s="53">
        <v>24.08</v>
      </c>
      <c r="N22" s="53">
        <v>461.7</v>
      </c>
      <c r="O22" s="53">
        <v>0</v>
      </c>
      <c r="P22" s="53">
        <v>0.63</v>
      </c>
      <c r="Q22" s="53">
        <v>9.48</v>
      </c>
      <c r="R22" s="43"/>
      <c r="S22" s="43"/>
      <c r="T22" s="43"/>
      <c r="U22" s="43"/>
    </row>
    <row r="23" spans="1:21" s="11" customFormat="1" x14ac:dyDescent="0.25">
      <c r="A23" s="52" t="s">
        <v>625</v>
      </c>
      <c r="B23" s="53">
        <v>9.26</v>
      </c>
      <c r="C23" s="53">
        <v>27.67</v>
      </c>
      <c r="D23" s="53">
        <v>21.04</v>
      </c>
      <c r="E23" s="53">
        <v>11.94</v>
      </c>
      <c r="F23" s="53">
        <v>11.79</v>
      </c>
      <c r="G23" s="53">
        <v>26.35</v>
      </c>
      <c r="H23" s="53">
        <v>8.02</v>
      </c>
      <c r="I23" s="53">
        <v>1.35</v>
      </c>
      <c r="J23" s="53">
        <v>1.59</v>
      </c>
      <c r="K23" s="53">
        <v>347.01</v>
      </c>
      <c r="L23" s="53">
        <v>18.48</v>
      </c>
      <c r="M23" s="53">
        <v>27.14</v>
      </c>
      <c r="N23" s="53">
        <v>162</v>
      </c>
      <c r="O23" s="53">
        <v>0</v>
      </c>
      <c r="P23" s="53">
        <v>0.6</v>
      </c>
      <c r="Q23" s="53">
        <v>9.4700000000000006</v>
      </c>
      <c r="R23" s="43"/>
      <c r="S23" s="43"/>
      <c r="T23" s="43"/>
      <c r="U23" s="43"/>
    </row>
    <row r="24" spans="1:21" s="11" customFormat="1" x14ac:dyDescent="0.25">
      <c r="A24" s="52" t="s">
        <v>626</v>
      </c>
      <c r="B24" s="53">
        <v>7.07</v>
      </c>
      <c r="C24" s="53">
        <v>25.06</v>
      </c>
      <c r="D24" s="53">
        <v>18.11</v>
      </c>
      <c r="E24" s="53">
        <v>10.17</v>
      </c>
      <c r="F24" s="53">
        <v>11.68</v>
      </c>
      <c r="G24" s="53">
        <v>27.05</v>
      </c>
      <c r="H24" s="53">
        <v>9.9700000000000006</v>
      </c>
      <c r="I24" s="53">
        <v>1.39</v>
      </c>
      <c r="J24" s="53">
        <v>1.86</v>
      </c>
      <c r="K24" s="53">
        <v>357.83</v>
      </c>
      <c r="L24" s="53">
        <v>17.190000000000001</v>
      </c>
      <c r="M24" s="53">
        <v>29.19</v>
      </c>
      <c r="N24" s="53">
        <v>93.7</v>
      </c>
      <c r="O24" s="53">
        <v>0</v>
      </c>
      <c r="P24" s="53">
        <v>0.51</v>
      </c>
      <c r="Q24" s="53">
        <v>9.3800000000000008</v>
      </c>
      <c r="R24" s="43"/>
      <c r="S24" s="43"/>
      <c r="T24" s="43"/>
      <c r="U24" s="43"/>
    </row>
    <row r="25" spans="1:21" s="11" customFormat="1" x14ac:dyDescent="0.25">
      <c r="A25" s="52" t="s">
        <v>627</v>
      </c>
      <c r="B25" s="53">
        <v>5.73</v>
      </c>
      <c r="C25" s="53">
        <v>25.92</v>
      </c>
      <c r="D25" s="53">
        <v>17.48</v>
      </c>
      <c r="E25" s="53">
        <v>8.66</v>
      </c>
      <c r="F25" s="53">
        <v>8.01</v>
      </c>
      <c r="G25" s="53">
        <v>39.76</v>
      </c>
      <c r="H25" s="53">
        <v>15.16</v>
      </c>
      <c r="I25" s="53">
        <v>1.28</v>
      </c>
      <c r="J25" s="53">
        <v>1.27</v>
      </c>
      <c r="K25" s="53">
        <v>110.54</v>
      </c>
      <c r="L25" s="53">
        <v>16.64</v>
      </c>
      <c r="M25" s="53">
        <v>32.18</v>
      </c>
      <c r="N25" s="53">
        <v>81.900000000000006</v>
      </c>
      <c r="O25" s="53">
        <v>0</v>
      </c>
      <c r="P25" s="53">
        <v>0.44</v>
      </c>
      <c r="Q25" s="53">
        <v>9.34</v>
      </c>
      <c r="R25" s="43"/>
      <c r="S25" s="43"/>
      <c r="T25" s="43"/>
      <c r="U25" s="43"/>
    </row>
    <row r="26" spans="1:21" s="11" customFormat="1" x14ac:dyDescent="0.25">
      <c r="A26" s="52" t="s">
        <v>628</v>
      </c>
      <c r="B26" s="53">
        <v>27.21</v>
      </c>
      <c r="C26" s="53">
        <v>29.6</v>
      </c>
      <c r="D26" s="53">
        <v>33.869999999999997</v>
      </c>
      <c r="E26" s="53">
        <v>7.96</v>
      </c>
      <c r="F26" s="53">
        <v>6.1</v>
      </c>
      <c r="G26" s="53">
        <v>39.76</v>
      </c>
      <c r="H26" s="53">
        <v>17.239999999999998</v>
      </c>
      <c r="I26" s="53">
        <v>1.97</v>
      </c>
      <c r="J26" s="53">
        <v>0.95</v>
      </c>
      <c r="K26" s="53">
        <v>350.74</v>
      </c>
      <c r="L26" s="53">
        <v>15.68</v>
      </c>
      <c r="M26" s="53">
        <v>46.25</v>
      </c>
      <c r="N26" s="53">
        <v>61</v>
      </c>
      <c r="O26" s="53">
        <v>0</v>
      </c>
      <c r="P26" s="53">
        <v>1.04</v>
      </c>
      <c r="Q26" s="53">
        <v>9.4700000000000006</v>
      </c>
      <c r="R26" s="43"/>
      <c r="S26" s="43"/>
      <c r="T26" s="43"/>
      <c r="U26" s="43"/>
    </row>
    <row r="27" spans="1:21" s="11" customFormat="1" x14ac:dyDescent="0.25">
      <c r="A27" s="52" t="s">
        <v>629</v>
      </c>
      <c r="B27" s="53">
        <v>32.14</v>
      </c>
      <c r="C27" s="53">
        <v>23.92</v>
      </c>
      <c r="D27" s="53">
        <v>35.6</v>
      </c>
      <c r="E27" s="53">
        <v>6.83</v>
      </c>
      <c r="F27" s="53">
        <v>2.63</v>
      </c>
      <c r="G27" s="53">
        <v>145.41999999999999</v>
      </c>
      <c r="H27" s="53">
        <v>31.06</v>
      </c>
      <c r="I27" s="53">
        <v>2.92</v>
      </c>
      <c r="J27" s="53">
        <v>0.72</v>
      </c>
      <c r="K27" s="53">
        <v>265.82</v>
      </c>
      <c r="L27" s="53">
        <v>12.15</v>
      </c>
      <c r="M27" s="53">
        <v>68.23</v>
      </c>
      <c r="N27" s="53">
        <v>49.1</v>
      </c>
      <c r="O27" s="53">
        <v>0</v>
      </c>
      <c r="P27" s="53">
        <v>1.21</v>
      </c>
      <c r="Q27" s="53">
        <v>9.57</v>
      </c>
      <c r="R27" s="43"/>
      <c r="S27" s="43"/>
      <c r="T27" s="43"/>
      <c r="U27" s="43"/>
    </row>
    <row r="28" spans="1:21" s="11" customFormat="1" x14ac:dyDescent="0.25">
      <c r="A28" s="52" t="s">
        <v>630</v>
      </c>
      <c r="B28" s="53">
        <v>51.32</v>
      </c>
      <c r="C28" s="53">
        <v>17.940000000000001</v>
      </c>
      <c r="D28" s="53">
        <v>43.41</v>
      </c>
      <c r="E28" s="53">
        <v>5.22</v>
      </c>
      <c r="F28" s="53">
        <v>2.61</v>
      </c>
      <c r="G28" s="53">
        <v>145.41999999999999</v>
      </c>
      <c r="H28" s="53">
        <v>37.450000000000003</v>
      </c>
      <c r="I28" s="53">
        <v>3.11</v>
      </c>
      <c r="J28" s="53">
        <v>0.81</v>
      </c>
      <c r="K28" s="53">
        <v>299.69</v>
      </c>
      <c r="L28" s="53">
        <v>10.4</v>
      </c>
      <c r="M28" s="53">
        <v>83.96</v>
      </c>
      <c r="N28" s="53">
        <v>48.9</v>
      </c>
      <c r="O28" s="53">
        <v>0</v>
      </c>
      <c r="P28" s="53">
        <v>1.19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631</v>
      </c>
      <c r="B29" s="53">
        <v>86.36</v>
      </c>
      <c r="C29" s="53">
        <v>0.67</v>
      </c>
      <c r="D29" s="53">
        <v>61.21</v>
      </c>
      <c r="E29" s="53">
        <v>5.36</v>
      </c>
      <c r="F29" s="53">
        <v>2.35</v>
      </c>
      <c r="G29" s="53">
        <v>162.01</v>
      </c>
      <c r="H29" s="53">
        <v>50.68</v>
      </c>
      <c r="I29" s="53">
        <v>4.71</v>
      </c>
      <c r="J29" s="53">
        <v>0.82</v>
      </c>
      <c r="K29" s="53">
        <v>329.7</v>
      </c>
      <c r="L29" s="53">
        <v>9.48</v>
      </c>
      <c r="M29" s="53">
        <v>84.58</v>
      </c>
      <c r="N29" s="53">
        <v>48.8</v>
      </c>
      <c r="O29" s="53">
        <v>0</v>
      </c>
      <c r="P29" s="53">
        <v>1.77</v>
      </c>
      <c r="Q29" s="53">
        <v>9.68</v>
      </c>
      <c r="R29" s="43"/>
      <c r="S29" s="43"/>
      <c r="T29" s="43"/>
      <c r="U29" s="43"/>
    </row>
    <row r="30" spans="1:21" s="11" customFormat="1" x14ac:dyDescent="0.25">
      <c r="A30" s="52" t="s">
        <v>632</v>
      </c>
      <c r="B30" s="53">
        <v>129.80000000000001</v>
      </c>
      <c r="C30" s="5" t="s">
        <v>14</v>
      </c>
      <c r="D30" s="53">
        <v>82.86</v>
      </c>
      <c r="E30" s="53">
        <v>5.84</v>
      </c>
      <c r="F30" s="53">
        <v>2.48</v>
      </c>
      <c r="G30" s="53">
        <v>162.01</v>
      </c>
      <c r="H30" s="53">
        <v>66.31</v>
      </c>
      <c r="I30" s="53">
        <v>7.13</v>
      </c>
      <c r="J30" s="53">
        <v>0.74</v>
      </c>
      <c r="K30" s="53">
        <v>304.76</v>
      </c>
      <c r="L30" s="53">
        <v>8.9600000000000009</v>
      </c>
      <c r="M30" s="53">
        <v>90.71</v>
      </c>
      <c r="N30" s="53">
        <v>48.9</v>
      </c>
      <c r="O30" s="53">
        <v>0</v>
      </c>
      <c r="P30" s="53">
        <v>2.5299999999999998</v>
      </c>
      <c r="Q30" s="53">
        <v>9.7200000000000006</v>
      </c>
      <c r="R30" s="43"/>
      <c r="S30" s="43"/>
      <c r="T30" s="43"/>
      <c r="U30" s="43"/>
    </row>
    <row r="31" spans="1:21" s="11" customFormat="1" x14ac:dyDescent="0.25">
      <c r="A31" s="52" t="s">
        <v>633</v>
      </c>
      <c r="B31" s="53">
        <v>152.38999999999999</v>
      </c>
      <c r="C31" s="5" t="s">
        <v>14</v>
      </c>
      <c r="D31" s="53">
        <v>94.07</v>
      </c>
      <c r="E31" s="53">
        <v>6.33</v>
      </c>
      <c r="F31" s="53">
        <v>2.74</v>
      </c>
      <c r="G31" s="53">
        <v>121.11</v>
      </c>
      <c r="H31" s="53">
        <v>66.31</v>
      </c>
      <c r="I31" s="53">
        <v>8.25</v>
      </c>
      <c r="J31" s="53">
        <v>0.79</v>
      </c>
      <c r="K31" s="53">
        <v>285.77</v>
      </c>
      <c r="L31" s="53">
        <v>8.56</v>
      </c>
      <c r="M31" s="53">
        <v>96.88</v>
      </c>
      <c r="N31" s="53">
        <v>48.8</v>
      </c>
      <c r="O31" s="53">
        <v>0</v>
      </c>
      <c r="P31" s="53">
        <v>3.04</v>
      </c>
      <c r="Q31" s="53">
        <v>9.73</v>
      </c>
      <c r="R31" s="43"/>
      <c r="S31" s="43"/>
      <c r="T31" s="43"/>
      <c r="U31" s="43"/>
    </row>
    <row r="32" spans="1:21" s="11" customFormat="1" x14ac:dyDescent="0.25">
      <c r="A32" s="52" t="s">
        <v>634</v>
      </c>
      <c r="B32" s="53">
        <v>170.96</v>
      </c>
      <c r="C32" s="5" t="s">
        <v>14</v>
      </c>
      <c r="D32" s="53">
        <v>102.47</v>
      </c>
      <c r="E32" s="53">
        <v>6.72</v>
      </c>
      <c r="F32" s="53">
        <v>2.64</v>
      </c>
      <c r="G32" s="53">
        <v>108.59</v>
      </c>
      <c r="H32" s="53">
        <v>50.01</v>
      </c>
      <c r="I32" s="53">
        <v>9.66</v>
      </c>
      <c r="J32" s="53">
        <v>0.83</v>
      </c>
      <c r="K32" s="53">
        <v>325.35000000000002</v>
      </c>
      <c r="L32" s="53">
        <v>8.0399999999999991</v>
      </c>
      <c r="M32" s="53">
        <v>97.52</v>
      </c>
      <c r="N32" s="53">
        <v>49</v>
      </c>
      <c r="O32" s="53">
        <v>0</v>
      </c>
      <c r="P32" s="53">
        <v>3.39</v>
      </c>
      <c r="Q32" s="53">
        <v>9.75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5.73</v>
      </c>
      <c r="C34" s="28">
        <f t="shared" si="0"/>
        <v>0.03</v>
      </c>
      <c r="D34" s="28">
        <f t="shared" si="0"/>
        <v>17.48</v>
      </c>
      <c r="E34" s="28">
        <f t="shared" si="0"/>
        <v>5.22</v>
      </c>
      <c r="F34" s="28">
        <f t="shared" si="0"/>
        <v>2.23</v>
      </c>
      <c r="G34" s="28">
        <f t="shared" si="0"/>
        <v>0</v>
      </c>
      <c r="H34" s="28">
        <f t="shared" si="0"/>
        <v>0</v>
      </c>
      <c r="I34" s="28">
        <f t="shared" si="0"/>
        <v>0.1</v>
      </c>
      <c r="J34" s="28">
        <f t="shared" si="0"/>
        <v>0.72</v>
      </c>
      <c r="K34" s="28">
        <f t="shared" si="0"/>
        <v>110.54</v>
      </c>
      <c r="L34" s="28">
        <f t="shared" si="0"/>
        <v>8.0399999999999991</v>
      </c>
      <c r="M34" s="28">
        <f t="shared" si="0"/>
        <v>24.08</v>
      </c>
      <c r="N34" s="28">
        <f t="shared" si="0"/>
        <v>42.4</v>
      </c>
      <c r="O34" s="28">
        <f t="shared" si="0"/>
        <v>0</v>
      </c>
      <c r="P34" s="28">
        <f t="shared" si="0"/>
        <v>0.44</v>
      </c>
      <c r="Q34" s="28">
        <f t="shared" si="0"/>
        <v>9.34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209.67</v>
      </c>
      <c r="C35" s="29">
        <f t="shared" si="1"/>
        <v>30.3</v>
      </c>
      <c r="D35" s="29">
        <f t="shared" si="1"/>
        <v>122.17</v>
      </c>
      <c r="E35" s="29">
        <f t="shared" si="1"/>
        <v>13.42</v>
      </c>
      <c r="F35" s="29">
        <f t="shared" si="1"/>
        <v>13.59</v>
      </c>
      <c r="G35" s="29">
        <f t="shared" si="1"/>
        <v>162.01</v>
      </c>
      <c r="H35" s="29">
        <f t="shared" si="1"/>
        <v>66.31</v>
      </c>
      <c r="I35" s="29">
        <f t="shared" si="1"/>
        <v>9.66</v>
      </c>
      <c r="J35" s="29">
        <f t="shared" si="1"/>
        <v>1.86</v>
      </c>
      <c r="K35" s="29">
        <f t="shared" si="1"/>
        <v>357.83</v>
      </c>
      <c r="L35" s="29">
        <f t="shared" si="1"/>
        <v>26.47</v>
      </c>
      <c r="M35" s="29">
        <f t="shared" si="1"/>
        <v>98.04</v>
      </c>
      <c r="N35" s="29">
        <f t="shared" si="1"/>
        <v>507.7</v>
      </c>
      <c r="O35" s="29">
        <f t="shared" si="1"/>
        <v>0</v>
      </c>
      <c r="P35" s="29">
        <f t="shared" si="1"/>
        <v>5.65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89.392499999999998</v>
      </c>
      <c r="C36" s="28">
        <f t="shared" si="2"/>
        <v>21.87166666666667</v>
      </c>
      <c r="D36" s="28">
        <f t="shared" si="2"/>
        <v>61.116666666666667</v>
      </c>
      <c r="E36" s="28">
        <f t="shared" si="2"/>
        <v>8.5845833333333346</v>
      </c>
      <c r="F36" s="28">
        <f t="shared" si="2"/>
        <v>4.9091666666666667</v>
      </c>
      <c r="G36" s="28">
        <f t="shared" si="2"/>
        <v>80.488749999999996</v>
      </c>
      <c r="H36" s="28">
        <f t="shared" si="2"/>
        <v>30.44875</v>
      </c>
      <c r="I36" s="28">
        <f t="shared" si="2"/>
        <v>2.44</v>
      </c>
      <c r="J36" s="28">
        <f t="shared" si="2"/>
        <v>1.1029166666666663</v>
      </c>
      <c r="K36" s="28">
        <f t="shared" si="2"/>
        <v>307.87083333333334</v>
      </c>
      <c r="L36" s="28">
        <f t="shared" si="2"/>
        <v>15.042499999999999</v>
      </c>
      <c r="M36" s="28">
        <f t="shared" si="2"/>
        <v>68.682916666666657</v>
      </c>
      <c r="N36" s="28">
        <f t="shared" si="2"/>
        <v>164.07083333333333</v>
      </c>
      <c r="O36" s="28">
        <f t="shared" si="2"/>
        <v>0</v>
      </c>
      <c r="P36" s="28">
        <f t="shared" si="2"/>
        <v>2.1783333333333337</v>
      </c>
      <c r="Q36" s="28">
        <f t="shared" si="2"/>
        <v>9.6458333333333339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66.74808808530382</v>
      </c>
      <c r="C37" s="28">
        <f t="shared" ref="C37:Q37" si="3">STDEV(C9:C32)</f>
        <v>10.659667258437574</v>
      </c>
      <c r="D37" s="28">
        <f t="shared" si="3"/>
        <v>32.801841897735848</v>
      </c>
      <c r="E37" s="28">
        <f t="shared" si="3"/>
        <v>2.3983780373712755</v>
      </c>
      <c r="F37" s="28">
        <f t="shared" si="3"/>
        <v>3.6867434866331403</v>
      </c>
      <c r="G37" s="28">
        <f t="shared" si="3"/>
        <v>47.849811440498954</v>
      </c>
      <c r="H37" s="28">
        <f t="shared" si="3"/>
        <v>17.756682101088892</v>
      </c>
      <c r="I37" s="28">
        <f t="shared" si="3"/>
        <v>2.8784582225786144</v>
      </c>
      <c r="J37" s="28">
        <f t="shared" si="3"/>
        <v>0.39744268568662533</v>
      </c>
      <c r="K37" s="28">
        <f t="shared" si="3"/>
        <v>59.426450919103331</v>
      </c>
      <c r="L37" s="28">
        <f t="shared" si="3"/>
        <v>5.0505955309637915</v>
      </c>
      <c r="M37" s="28">
        <f t="shared" si="3"/>
        <v>30.973429072585649</v>
      </c>
      <c r="N37" s="28">
        <f t="shared" si="3"/>
        <v>178.27863018848907</v>
      </c>
      <c r="O37" s="28">
        <f t="shared" si="3"/>
        <v>0</v>
      </c>
      <c r="P37" s="28">
        <f t="shared" si="3"/>
        <v>1.4208560391742611</v>
      </c>
      <c r="Q37" s="28">
        <f t="shared" si="3"/>
        <v>0.139437274870059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635</v>
      </c>
      <c r="B9" s="53">
        <v>171.78</v>
      </c>
      <c r="C9" s="5" t="s">
        <v>14</v>
      </c>
      <c r="D9" s="53">
        <v>102.47</v>
      </c>
      <c r="E9" s="53">
        <v>6.83</v>
      </c>
      <c r="F9" s="53">
        <v>2.71</v>
      </c>
      <c r="G9" s="53">
        <v>108.59</v>
      </c>
      <c r="H9" s="53">
        <v>50.01</v>
      </c>
      <c r="I9" s="53">
        <v>10.36</v>
      </c>
      <c r="J9" s="53">
        <v>0.8</v>
      </c>
      <c r="K9" s="53">
        <v>323.86</v>
      </c>
      <c r="L9" s="53">
        <v>7.45</v>
      </c>
      <c r="M9" s="53">
        <v>97.95</v>
      </c>
      <c r="N9" s="53">
        <v>49</v>
      </c>
      <c r="O9" s="53">
        <v>0</v>
      </c>
      <c r="P9" s="53">
        <v>3.65</v>
      </c>
      <c r="Q9" s="53">
        <v>9.75</v>
      </c>
      <c r="R9" s="43"/>
      <c r="S9" s="43"/>
      <c r="T9" s="43"/>
      <c r="U9" s="43"/>
    </row>
    <row r="10" spans="1:21" s="11" customFormat="1" x14ac:dyDescent="0.25">
      <c r="A10" s="52" t="s">
        <v>636</v>
      </c>
      <c r="B10" s="53">
        <v>170.31</v>
      </c>
      <c r="C10" s="5" t="s">
        <v>14</v>
      </c>
      <c r="D10" s="53">
        <v>100.98</v>
      </c>
      <c r="E10" s="53">
        <v>6.83</v>
      </c>
      <c r="F10" s="53">
        <v>2.73</v>
      </c>
      <c r="G10" s="53">
        <v>85.83</v>
      </c>
      <c r="H10" s="53">
        <v>48.25</v>
      </c>
      <c r="I10" s="53">
        <v>11.83</v>
      </c>
      <c r="J10" s="53">
        <v>0.39</v>
      </c>
      <c r="K10" s="53">
        <v>357.91</v>
      </c>
      <c r="L10" s="53">
        <v>6.9</v>
      </c>
      <c r="M10" s="53">
        <v>97.95</v>
      </c>
      <c r="N10" s="53">
        <v>49</v>
      </c>
      <c r="O10" s="53">
        <v>0</v>
      </c>
      <c r="P10" s="53">
        <v>3.34</v>
      </c>
      <c r="Q10" s="53">
        <v>9.76</v>
      </c>
      <c r="R10" s="43"/>
      <c r="S10" s="43"/>
      <c r="T10" s="43"/>
      <c r="U10" s="43"/>
    </row>
    <row r="11" spans="1:21" s="11" customFormat="1" x14ac:dyDescent="0.25">
      <c r="A11" s="52" t="s">
        <v>637</v>
      </c>
      <c r="B11" s="53">
        <v>34.619999999999997</v>
      </c>
      <c r="C11" s="53">
        <v>0.88</v>
      </c>
      <c r="D11" s="53">
        <v>20.059999999999999</v>
      </c>
      <c r="E11" s="53">
        <v>6.73</v>
      </c>
      <c r="F11" s="53">
        <v>2.56</v>
      </c>
      <c r="G11" s="53">
        <v>84.05</v>
      </c>
      <c r="H11" s="53">
        <v>45.74</v>
      </c>
      <c r="I11" s="53">
        <v>11.35</v>
      </c>
      <c r="J11" s="53">
        <v>0.66</v>
      </c>
      <c r="K11" s="53">
        <v>294.51</v>
      </c>
      <c r="L11" s="53">
        <v>7.04</v>
      </c>
      <c r="M11" s="53">
        <v>96.96</v>
      </c>
      <c r="N11" s="53">
        <v>49.4</v>
      </c>
      <c r="O11" s="53">
        <v>0</v>
      </c>
      <c r="P11" s="53">
        <v>3.27</v>
      </c>
      <c r="Q11" s="53">
        <v>9.75</v>
      </c>
      <c r="R11" s="43"/>
      <c r="S11" s="43"/>
      <c r="T11" s="43"/>
      <c r="U11" s="43"/>
    </row>
    <row r="12" spans="1:21" s="11" customFormat="1" x14ac:dyDescent="0.25">
      <c r="A12" s="52" t="s">
        <v>638</v>
      </c>
      <c r="B12" s="53">
        <v>1.24</v>
      </c>
      <c r="C12" s="53">
        <v>0.88</v>
      </c>
      <c r="D12" s="53">
        <v>1.02</v>
      </c>
      <c r="E12" s="53">
        <v>6.45</v>
      </c>
      <c r="F12" s="53">
        <v>2.62</v>
      </c>
      <c r="G12" s="53">
        <v>79.59</v>
      </c>
      <c r="H12" s="53">
        <v>41.57</v>
      </c>
      <c r="I12" s="53">
        <v>11.16</v>
      </c>
      <c r="J12" s="53">
        <v>0.85</v>
      </c>
      <c r="K12" s="53">
        <v>348.68</v>
      </c>
      <c r="L12" s="53">
        <v>6.02</v>
      </c>
      <c r="M12" s="53">
        <v>97.93</v>
      </c>
      <c r="N12" s="53">
        <v>49.4</v>
      </c>
      <c r="O12" s="53">
        <v>0</v>
      </c>
      <c r="P12" s="53">
        <v>3.05</v>
      </c>
      <c r="Q12" s="53">
        <v>9.73</v>
      </c>
      <c r="R12" s="43"/>
      <c r="S12" s="43"/>
      <c r="T12" s="43"/>
      <c r="U12" s="43"/>
    </row>
    <row r="13" spans="1:21" s="11" customFormat="1" x14ac:dyDescent="0.25">
      <c r="A13" s="52" t="s">
        <v>639</v>
      </c>
      <c r="B13" s="53">
        <v>1.24</v>
      </c>
      <c r="C13" s="53">
        <v>0.88</v>
      </c>
      <c r="D13" s="53">
        <v>1.02</v>
      </c>
      <c r="E13" s="53">
        <v>6.3</v>
      </c>
      <c r="F13" s="53">
        <v>2.7</v>
      </c>
      <c r="G13" s="53">
        <v>79.59</v>
      </c>
      <c r="H13" s="53">
        <v>38.67</v>
      </c>
      <c r="I13" s="53">
        <v>9.9700000000000006</v>
      </c>
      <c r="J13" s="53">
        <v>0.68</v>
      </c>
      <c r="K13" s="53">
        <v>357.93</v>
      </c>
      <c r="L13" s="53">
        <v>6.82</v>
      </c>
      <c r="M13" s="53">
        <v>84.73</v>
      </c>
      <c r="N13" s="53">
        <v>49.1</v>
      </c>
      <c r="O13" s="53">
        <v>0</v>
      </c>
      <c r="P13" s="53">
        <v>2.61</v>
      </c>
      <c r="Q13" s="53">
        <v>9.7100000000000009</v>
      </c>
      <c r="R13" s="43"/>
      <c r="S13" s="43"/>
      <c r="T13" s="43"/>
      <c r="U13" s="43"/>
    </row>
    <row r="14" spans="1:21" s="11" customFormat="1" x14ac:dyDescent="0.25">
      <c r="A14" s="52" t="s">
        <v>640</v>
      </c>
      <c r="B14" s="53">
        <v>1.24</v>
      </c>
      <c r="C14" s="53">
        <v>0.88</v>
      </c>
      <c r="D14" s="53">
        <v>1.02</v>
      </c>
      <c r="E14" s="53">
        <v>5.89</v>
      </c>
      <c r="F14" s="53">
        <v>2.59</v>
      </c>
      <c r="G14" s="53">
        <v>56.62</v>
      </c>
      <c r="H14" s="53">
        <v>35.270000000000003</v>
      </c>
      <c r="I14" s="53">
        <v>8.9600000000000009</v>
      </c>
      <c r="J14" s="53">
        <v>1.07</v>
      </c>
      <c r="K14" s="53">
        <v>357.54</v>
      </c>
      <c r="L14" s="53">
        <v>6.74</v>
      </c>
      <c r="M14" s="53">
        <v>84.64</v>
      </c>
      <c r="N14" s="53">
        <v>49.6</v>
      </c>
      <c r="O14" s="53">
        <v>0</v>
      </c>
      <c r="P14" s="53">
        <v>2.11</v>
      </c>
      <c r="Q14" s="53">
        <v>9.69</v>
      </c>
      <c r="R14" s="43"/>
      <c r="S14" s="43"/>
      <c r="T14" s="43"/>
      <c r="U14" s="43"/>
    </row>
    <row r="15" spans="1:21" s="11" customFormat="1" x14ac:dyDescent="0.25">
      <c r="A15" s="52" t="s">
        <v>641</v>
      </c>
      <c r="B15" s="53">
        <v>1.24</v>
      </c>
      <c r="C15" s="53">
        <v>0.88</v>
      </c>
      <c r="D15" s="53">
        <v>1.02</v>
      </c>
      <c r="E15" s="53">
        <v>5.42</v>
      </c>
      <c r="F15" s="53">
        <v>2.42</v>
      </c>
      <c r="G15" s="53">
        <v>36.909999999999997</v>
      </c>
      <c r="H15" s="53">
        <v>26.24</v>
      </c>
      <c r="I15" s="53">
        <v>7.83</v>
      </c>
      <c r="J15" s="53">
        <v>0.75</v>
      </c>
      <c r="K15" s="53">
        <v>333.21</v>
      </c>
      <c r="L15" s="53">
        <v>6.42</v>
      </c>
      <c r="M15" s="53">
        <v>91.08</v>
      </c>
      <c r="N15" s="53">
        <v>63.1</v>
      </c>
      <c r="O15" s="53">
        <v>0</v>
      </c>
      <c r="P15" s="53">
        <v>1.68</v>
      </c>
      <c r="Q15" s="53">
        <v>9.66</v>
      </c>
      <c r="R15" s="43"/>
      <c r="S15" s="43"/>
      <c r="T15" s="43"/>
      <c r="U15" s="43"/>
    </row>
    <row r="16" spans="1:21" s="11" customFormat="1" x14ac:dyDescent="0.25">
      <c r="A16" s="52" t="s">
        <v>642</v>
      </c>
      <c r="B16" s="53">
        <v>1.24</v>
      </c>
      <c r="C16" s="53">
        <v>0.88</v>
      </c>
      <c r="D16" s="53">
        <v>1.02</v>
      </c>
      <c r="E16" s="53">
        <v>5.56</v>
      </c>
      <c r="F16" s="53">
        <v>2.5099999999999998</v>
      </c>
      <c r="G16" s="53">
        <v>37.619999999999997</v>
      </c>
      <c r="H16" s="53">
        <v>20.94</v>
      </c>
      <c r="I16" s="53">
        <v>6.96</v>
      </c>
      <c r="J16" s="53">
        <v>0.75</v>
      </c>
      <c r="K16" s="53">
        <v>346.23</v>
      </c>
      <c r="L16" s="53">
        <v>9.98</v>
      </c>
      <c r="M16" s="53">
        <v>92.62</v>
      </c>
      <c r="N16" s="53">
        <v>211.7</v>
      </c>
      <c r="O16" s="53">
        <v>0</v>
      </c>
      <c r="P16" s="53">
        <v>1.76</v>
      </c>
      <c r="Q16" s="53">
        <v>9.67</v>
      </c>
      <c r="R16" s="43"/>
      <c r="S16" s="43"/>
      <c r="T16" s="43"/>
      <c r="U16" s="43"/>
    </row>
    <row r="17" spans="1:21" s="11" customFormat="1" x14ac:dyDescent="0.25">
      <c r="A17" s="52" t="s">
        <v>643</v>
      </c>
      <c r="B17" s="53">
        <v>1.24</v>
      </c>
      <c r="C17" s="53">
        <v>0.88</v>
      </c>
      <c r="D17" s="53">
        <v>1.02</v>
      </c>
      <c r="E17" s="53">
        <v>5.29</v>
      </c>
      <c r="F17" s="53">
        <v>2.7</v>
      </c>
      <c r="G17" s="53">
        <v>50.61</v>
      </c>
      <c r="H17" s="53">
        <v>20.02</v>
      </c>
      <c r="I17" s="53">
        <v>6.55</v>
      </c>
      <c r="J17" s="53">
        <v>2.0299999999999998</v>
      </c>
      <c r="K17" s="53">
        <v>122.26</v>
      </c>
      <c r="L17" s="53">
        <v>13.09</v>
      </c>
      <c r="M17" s="53">
        <v>62.4</v>
      </c>
      <c r="N17" s="53">
        <v>350.4</v>
      </c>
      <c r="O17" s="53">
        <v>0</v>
      </c>
      <c r="P17" s="53">
        <v>1.66</v>
      </c>
      <c r="Q17" s="53">
        <v>9.68</v>
      </c>
      <c r="R17" s="43"/>
      <c r="S17" s="43"/>
      <c r="T17" s="43"/>
      <c r="U17" s="43"/>
    </row>
    <row r="18" spans="1:21" s="11" customFormat="1" x14ac:dyDescent="0.25">
      <c r="A18" s="52" t="s">
        <v>644</v>
      </c>
      <c r="B18" s="53">
        <v>1.24</v>
      </c>
      <c r="C18" s="53">
        <v>0.88</v>
      </c>
      <c r="D18" s="53">
        <v>1.02</v>
      </c>
      <c r="E18" s="53">
        <v>5.5</v>
      </c>
      <c r="F18" s="53">
        <v>2.54</v>
      </c>
      <c r="G18" s="53">
        <v>50.61</v>
      </c>
      <c r="H18" s="53">
        <v>20.02</v>
      </c>
      <c r="I18" s="53">
        <v>5.83</v>
      </c>
      <c r="J18" s="53">
        <v>2.4300000000000002</v>
      </c>
      <c r="K18" s="53">
        <v>122.29</v>
      </c>
      <c r="L18" s="53">
        <v>13.81</v>
      </c>
      <c r="M18" s="53">
        <v>55.78</v>
      </c>
      <c r="N18" s="53">
        <v>447.2</v>
      </c>
      <c r="O18" s="53">
        <v>0</v>
      </c>
      <c r="P18" s="53">
        <v>1.36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645</v>
      </c>
      <c r="B19" s="53">
        <v>1.1299999999999999</v>
      </c>
      <c r="C19" s="53">
        <v>0.81</v>
      </c>
      <c r="D19" s="53">
        <v>0.93</v>
      </c>
      <c r="E19" s="53">
        <v>5.52</v>
      </c>
      <c r="F19" s="53">
        <v>4.0199999999999996</v>
      </c>
      <c r="G19" s="53">
        <v>34.42</v>
      </c>
      <c r="H19" s="53">
        <v>18.61</v>
      </c>
      <c r="I19" s="53">
        <v>5.5</v>
      </c>
      <c r="J19" s="53">
        <v>2.35</v>
      </c>
      <c r="K19" s="53">
        <v>124.06</v>
      </c>
      <c r="L19" s="53">
        <v>15.85</v>
      </c>
      <c r="M19" s="53">
        <v>45.14</v>
      </c>
      <c r="N19" s="53">
        <v>465</v>
      </c>
      <c r="O19" s="53">
        <v>0</v>
      </c>
      <c r="P19" s="53">
        <v>1.1000000000000001</v>
      </c>
      <c r="Q19" s="53">
        <v>9.65</v>
      </c>
      <c r="R19" s="43"/>
      <c r="S19" s="43"/>
      <c r="T19" s="43"/>
      <c r="U19" s="43"/>
    </row>
    <row r="20" spans="1:21" s="11" customFormat="1" x14ac:dyDescent="0.25">
      <c r="A20" s="52" t="s">
        <v>646</v>
      </c>
      <c r="B20" s="53">
        <v>5.29</v>
      </c>
      <c r="C20" s="53">
        <v>31.15</v>
      </c>
      <c r="D20" s="53">
        <v>20.41</v>
      </c>
      <c r="E20" s="53">
        <v>6.12</v>
      </c>
      <c r="F20" s="53">
        <v>6.88</v>
      </c>
      <c r="G20" s="53">
        <v>18.38</v>
      </c>
      <c r="H20" s="53">
        <v>5.79</v>
      </c>
      <c r="I20" s="53">
        <v>3.46</v>
      </c>
      <c r="J20" s="53">
        <v>1.57</v>
      </c>
      <c r="K20" s="53">
        <v>342.35</v>
      </c>
      <c r="L20" s="53">
        <v>19.239999999999998</v>
      </c>
      <c r="M20" s="53">
        <v>38.33</v>
      </c>
      <c r="N20" s="53">
        <v>525.5</v>
      </c>
      <c r="O20" s="53">
        <v>0</v>
      </c>
      <c r="P20" s="53">
        <v>0.64</v>
      </c>
      <c r="Q20" s="53">
        <v>9.4700000000000006</v>
      </c>
      <c r="R20" s="43"/>
      <c r="S20" s="43"/>
      <c r="T20" s="43"/>
      <c r="U20" s="43"/>
    </row>
    <row r="21" spans="1:21" s="11" customFormat="1" x14ac:dyDescent="0.25">
      <c r="A21" s="52" t="s">
        <v>647</v>
      </c>
      <c r="B21" s="53">
        <v>5.85</v>
      </c>
      <c r="C21" s="53">
        <v>26.4</v>
      </c>
      <c r="D21" s="53">
        <v>17</v>
      </c>
      <c r="E21" s="53">
        <v>7.87</v>
      </c>
      <c r="F21" s="53">
        <v>7.5</v>
      </c>
      <c r="G21" s="53">
        <v>33.770000000000003</v>
      </c>
      <c r="H21" s="53">
        <v>9.4</v>
      </c>
      <c r="I21" s="53">
        <v>2.14</v>
      </c>
      <c r="J21" s="53">
        <v>0.71</v>
      </c>
      <c r="K21" s="53">
        <v>354.86</v>
      </c>
      <c r="L21" s="53">
        <v>21.46</v>
      </c>
      <c r="M21" s="53">
        <v>30.62</v>
      </c>
      <c r="N21" s="53">
        <v>497</v>
      </c>
      <c r="O21" s="53">
        <v>0</v>
      </c>
      <c r="P21" s="53">
        <v>0.47</v>
      </c>
      <c r="Q21" s="53">
        <v>9.43</v>
      </c>
      <c r="R21" s="43"/>
      <c r="S21" s="43"/>
      <c r="T21" s="43"/>
      <c r="U21" s="43"/>
    </row>
    <row r="22" spans="1:21" s="11" customFormat="1" x14ac:dyDescent="0.25">
      <c r="A22" s="52" t="s">
        <v>648</v>
      </c>
      <c r="B22" s="53">
        <v>4.7</v>
      </c>
      <c r="C22" s="53">
        <v>27.79</v>
      </c>
      <c r="D22" s="53">
        <v>18.27</v>
      </c>
      <c r="E22" s="53">
        <v>11.55</v>
      </c>
      <c r="F22" s="53">
        <v>13.17</v>
      </c>
      <c r="G22" s="53">
        <v>31.97</v>
      </c>
      <c r="H22" s="53">
        <v>9.93</v>
      </c>
      <c r="I22" s="53">
        <v>2.0299999999999998</v>
      </c>
      <c r="J22" s="53">
        <v>1.54</v>
      </c>
      <c r="K22" s="53">
        <v>331.14</v>
      </c>
      <c r="L22" s="53">
        <v>20.170000000000002</v>
      </c>
      <c r="M22" s="53">
        <v>34.340000000000003</v>
      </c>
      <c r="N22" s="53">
        <v>377.1</v>
      </c>
      <c r="O22" s="53">
        <v>0</v>
      </c>
      <c r="P22" s="53">
        <v>0.68</v>
      </c>
      <c r="Q22" s="53">
        <v>9.3699999999999992</v>
      </c>
      <c r="R22" s="43"/>
      <c r="S22" s="43"/>
      <c r="T22" s="43"/>
      <c r="U22" s="43"/>
    </row>
    <row r="23" spans="1:21" s="11" customFormat="1" x14ac:dyDescent="0.25">
      <c r="A23" s="52" t="s">
        <v>649</v>
      </c>
      <c r="B23" s="53">
        <v>2.65</v>
      </c>
      <c r="C23" s="53">
        <v>22.33</v>
      </c>
      <c r="D23" s="53">
        <v>13.24</v>
      </c>
      <c r="E23" s="53">
        <v>9.43</v>
      </c>
      <c r="F23" s="53">
        <v>6.34</v>
      </c>
      <c r="G23" s="53">
        <v>29.71</v>
      </c>
      <c r="H23" s="53">
        <v>10.19</v>
      </c>
      <c r="I23" s="53">
        <v>1.46</v>
      </c>
      <c r="J23" s="53">
        <v>1.56</v>
      </c>
      <c r="K23" s="53">
        <v>338.78</v>
      </c>
      <c r="L23" s="53">
        <v>16.75</v>
      </c>
      <c r="M23" s="53">
        <v>38.22</v>
      </c>
      <c r="N23" s="53">
        <v>126.7</v>
      </c>
      <c r="O23" s="53">
        <v>0</v>
      </c>
      <c r="P23" s="53">
        <v>0.6</v>
      </c>
      <c r="Q23" s="53">
        <v>9.2799999999999994</v>
      </c>
      <c r="R23" s="43"/>
      <c r="S23" s="43"/>
      <c r="T23" s="43"/>
      <c r="U23" s="43"/>
    </row>
    <row r="24" spans="1:21" s="11" customFormat="1" x14ac:dyDescent="0.25">
      <c r="A24" s="52" t="s">
        <v>650</v>
      </c>
      <c r="B24" s="53">
        <v>6.76</v>
      </c>
      <c r="C24" s="53">
        <v>21.97</v>
      </c>
      <c r="D24" s="53">
        <v>16.84</v>
      </c>
      <c r="E24" s="53">
        <v>26.88</v>
      </c>
      <c r="F24" s="53">
        <v>13.96</v>
      </c>
      <c r="G24" s="53">
        <v>28.6</v>
      </c>
      <c r="H24" s="53">
        <v>10.8</v>
      </c>
      <c r="I24" s="53">
        <v>1.66</v>
      </c>
      <c r="J24" s="53">
        <v>0.84</v>
      </c>
      <c r="K24" s="53">
        <v>340.91</v>
      </c>
      <c r="L24" s="53">
        <v>17</v>
      </c>
      <c r="M24" s="53">
        <v>36.32</v>
      </c>
      <c r="N24" s="53">
        <v>76.900000000000006</v>
      </c>
      <c r="O24" s="53">
        <v>0</v>
      </c>
      <c r="P24" s="53">
        <v>0.68</v>
      </c>
      <c r="Q24" s="53">
        <v>9.36</v>
      </c>
      <c r="R24" s="43"/>
      <c r="S24" s="43"/>
      <c r="T24" s="43"/>
      <c r="U24" s="43"/>
    </row>
    <row r="25" spans="1:21" s="11" customFormat="1" x14ac:dyDescent="0.25">
      <c r="A25" s="52" t="s">
        <v>651</v>
      </c>
      <c r="B25" s="53">
        <v>3.35</v>
      </c>
      <c r="C25" s="53">
        <v>25.67</v>
      </c>
      <c r="D25" s="53">
        <v>16.100000000000001</v>
      </c>
      <c r="E25" s="53">
        <v>32.01</v>
      </c>
      <c r="F25" s="53">
        <v>13.23</v>
      </c>
      <c r="G25" s="53">
        <v>29.34</v>
      </c>
      <c r="H25" s="53">
        <v>11.2</v>
      </c>
      <c r="I25" s="53">
        <v>1.65</v>
      </c>
      <c r="J25" s="53">
        <v>0.75</v>
      </c>
      <c r="K25" s="53">
        <v>154.82</v>
      </c>
      <c r="L25" s="53">
        <v>16.03</v>
      </c>
      <c r="M25" s="53">
        <v>42</v>
      </c>
      <c r="N25" s="53">
        <v>54.2</v>
      </c>
      <c r="O25" s="53">
        <v>0</v>
      </c>
      <c r="P25" s="53">
        <v>0.74</v>
      </c>
      <c r="Q25" s="53">
        <v>9.36</v>
      </c>
      <c r="R25" s="43"/>
      <c r="S25" s="43"/>
      <c r="T25" s="43"/>
      <c r="U25" s="43"/>
    </row>
    <row r="26" spans="1:21" s="11" customFormat="1" x14ac:dyDescent="0.25">
      <c r="A26" s="52" t="s">
        <v>652</v>
      </c>
      <c r="B26" s="53">
        <v>13.18</v>
      </c>
      <c r="C26" s="53">
        <v>21.78</v>
      </c>
      <c r="D26" s="53">
        <v>21.34</v>
      </c>
      <c r="E26" s="53">
        <v>7.91</v>
      </c>
      <c r="F26" s="53">
        <v>2.82</v>
      </c>
      <c r="G26" s="53">
        <v>35.619999999999997</v>
      </c>
      <c r="H26" s="53">
        <v>16.39</v>
      </c>
      <c r="I26" s="53">
        <v>2.2999999999999998</v>
      </c>
      <c r="J26" s="53">
        <v>0.41</v>
      </c>
      <c r="K26" s="53">
        <v>318.89999999999998</v>
      </c>
      <c r="L26" s="53">
        <v>14.38</v>
      </c>
      <c r="M26" s="53">
        <v>60.64</v>
      </c>
      <c r="N26" s="53">
        <v>34.1</v>
      </c>
      <c r="O26" s="53">
        <v>0</v>
      </c>
      <c r="P26" s="53">
        <v>0.9</v>
      </c>
      <c r="Q26" s="53">
        <v>9.34</v>
      </c>
      <c r="R26" s="43"/>
      <c r="S26" s="43"/>
      <c r="T26" s="43"/>
      <c r="U26" s="43"/>
    </row>
    <row r="27" spans="1:21" s="11" customFormat="1" x14ac:dyDescent="0.25">
      <c r="A27" s="52" t="s">
        <v>653</v>
      </c>
      <c r="B27" s="53">
        <v>25.47</v>
      </c>
      <c r="C27" s="53">
        <v>16.95</v>
      </c>
      <c r="D27" s="53">
        <v>26.27</v>
      </c>
      <c r="E27" s="53">
        <v>5.98</v>
      </c>
      <c r="F27" s="53">
        <v>2.56</v>
      </c>
      <c r="G27" s="53">
        <v>49.08</v>
      </c>
      <c r="H27" s="53">
        <v>21.88</v>
      </c>
      <c r="I27" s="53">
        <v>2.67</v>
      </c>
      <c r="J27" s="53">
        <v>0.39</v>
      </c>
      <c r="K27" s="53">
        <v>322.33</v>
      </c>
      <c r="L27" s="53">
        <v>11.69</v>
      </c>
      <c r="M27" s="53">
        <v>77.290000000000006</v>
      </c>
      <c r="N27" s="53">
        <v>29.9</v>
      </c>
      <c r="O27" s="53">
        <v>0</v>
      </c>
      <c r="P27" s="53">
        <v>1.1399999999999999</v>
      </c>
      <c r="Q27" s="53">
        <v>9.4600000000000009</v>
      </c>
      <c r="R27" s="43"/>
      <c r="S27" s="43"/>
      <c r="T27" s="43"/>
      <c r="U27" s="43"/>
    </row>
    <row r="28" spans="1:21" s="11" customFormat="1" x14ac:dyDescent="0.25">
      <c r="A28" s="52" t="s">
        <v>654</v>
      </c>
      <c r="B28" s="53">
        <v>43.22</v>
      </c>
      <c r="C28" s="53">
        <v>8.91</v>
      </c>
      <c r="D28" s="53">
        <v>35.03</v>
      </c>
      <c r="E28" s="53">
        <v>5.8</v>
      </c>
      <c r="F28" s="53">
        <v>2.4300000000000002</v>
      </c>
      <c r="G28" s="53">
        <v>61.14</v>
      </c>
      <c r="H28" s="53">
        <v>29.61</v>
      </c>
      <c r="I28" s="53">
        <v>4.08</v>
      </c>
      <c r="J28" s="53">
        <v>0.41</v>
      </c>
      <c r="K28" s="53">
        <v>326.12</v>
      </c>
      <c r="L28" s="53">
        <v>10.43</v>
      </c>
      <c r="M28" s="53">
        <v>86.16</v>
      </c>
      <c r="N28" s="53">
        <v>29.7</v>
      </c>
      <c r="O28" s="53">
        <v>0</v>
      </c>
      <c r="P28" s="53">
        <v>1.43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655</v>
      </c>
      <c r="B29" s="53">
        <v>50.16</v>
      </c>
      <c r="C29" s="53">
        <v>0.01</v>
      </c>
      <c r="D29" s="53">
        <v>38.14</v>
      </c>
      <c r="E29" s="53">
        <v>6.01</v>
      </c>
      <c r="F29" s="53">
        <v>2.63</v>
      </c>
      <c r="G29" s="53">
        <v>67.58</v>
      </c>
      <c r="H29" s="53">
        <v>31.63</v>
      </c>
      <c r="I29" s="53">
        <v>4.8499999999999996</v>
      </c>
      <c r="J29" s="53">
        <v>0.42</v>
      </c>
      <c r="K29" s="53">
        <v>283.61</v>
      </c>
      <c r="L29" s="53">
        <v>9.59</v>
      </c>
      <c r="M29" s="53">
        <v>87.92</v>
      </c>
      <c r="N29" s="53">
        <v>29.5</v>
      </c>
      <c r="O29" s="53">
        <v>0</v>
      </c>
      <c r="P29" s="53">
        <v>1.71</v>
      </c>
      <c r="Q29" s="53">
        <v>9.65</v>
      </c>
      <c r="R29" s="43"/>
      <c r="S29" s="43"/>
      <c r="T29" s="43"/>
      <c r="U29" s="43"/>
    </row>
    <row r="30" spans="1:21" s="11" customFormat="1" x14ac:dyDescent="0.25">
      <c r="A30" s="52" t="s">
        <v>656</v>
      </c>
      <c r="B30" s="53">
        <v>70.13</v>
      </c>
      <c r="C30" s="57" t="s">
        <v>14</v>
      </c>
      <c r="D30" s="53">
        <v>47.79</v>
      </c>
      <c r="E30" s="53">
        <v>6.47</v>
      </c>
      <c r="F30" s="53">
        <v>2.89</v>
      </c>
      <c r="G30" s="53">
        <v>75.540000000000006</v>
      </c>
      <c r="H30" s="53">
        <v>36.5</v>
      </c>
      <c r="I30" s="53">
        <v>5.68</v>
      </c>
      <c r="J30" s="53">
        <v>0.42</v>
      </c>
      <c r="K30" s="53">
        <v>318.70999999999998</v>
      </c>
      <c r="L30" s="53">
        <v>8.8699999999999992</v>
      </c>
      <c r="M30" s="53">
        <v>93.06</v>
      </c>
      <c r="N30" s="53">
        <v>29.6</v>
      </c>
      <c r="O30" s="53">
        <v>0</v>
      </c>
      <c r="P30" s="53">
        <v>2.0699999999999998</v>
      </c>
      <c r="Q30" s="53">
        <v>9.67</v>
      </c>
      <c r="R30" s="43"/>
      <c r="S30" s="43"/>
      <c r="T30" s="43"/>
      <c r="U30" s="43"/>
    </row>
    <row r="31" spans="1:21" s="11" customFormat="1" x14ac:dyDescent="0.25">
      <c r="A31" s="52" t="s">
        <v>657</v>
      </c>
      <c r="B31" s="53">
        <v>97.28</v>
      </c>
      <c r="C31" s="57" t="s">
        <v>14</v>
      </c>
      <c r="D31" s="53">
        <v>61.02</v>
      </c>
      <c r="E31" s="53">
        <v>6.66</v>
      </c>
      <c r="F31" s="53">
        <v>2.58</v>
      </c>
      <c r="G31" s="53">
        <v>84.68</v>
      </c>
      <c r="H31" s="53">
        <v>38.89</v>
      </c>
      <c r="I31" s="53">
        <v>6.5</v>
      </c>
      <c r="J31" s="53">
        <v>0.44</v>
      </c>
      <c r="K31" s="53">
        <v>348.96</v>
      </c>
      <c r="L31" s="53">
        <v>8.0299999999999994</v>
      </c>
      <c r="M31" s="53">
        <v>101.89</v>
      </c>
      <c r="N31" s="53">
        <v>29.4</v>
      </c>
      <c r="O31" s="53">
        <v>0</v>
      </c>
      <c r="P31" s="53">
        <v>2.5</v>
      </c>
      <c r="Q31" s="53">
        <v>9.69</v>
      </c>
      <c r="R31" s="43"/>
      <c r="S31" s="43"/>
      <c r="T31" s="43"/>
      <c r="U31" s="43"/>
    </row>
    <row r="32" spans="1:21" s="11" customFormat="1" x14ac:dyDescent="0.25">
      <c r="A32" s="52" t="s">
        <v>658</v>
      </c>
      <c r="B32" s="53">
        <v>103.69</v>
      </c>
      <c r="C32" s="57" t="s">
        <v>14</v>
      </c>
      <c r="D32" s="53">
        <v>63.77</v>
      </c>
      <c r="E32" s="53">
        <v>6.56</v>
      </c>
      <c r="F32" s="53">
        <v>2.31</v>
      </c>
      <c r="G32" s="53">
        <v>88.56</v>
      </c>
      <c r="H32" s="53">
        <v>40.43</v>
      </c>
      <c r="I32" s="53">
        <v>7.02</v>
      </c>
      <c r="J32" s="53">
        <v>0.49</v>
      </c>
      <c r="K32" s="53">
        <v>346.74</v>
      </c>
      <c r="L32" s="53">
        <v>7.83</v>
      </c>
      <c r="M32" s="53">
        <v>102.23</v>
      </c>
      <c r="N32" s="53">
        <v>29.5</v>
      </c>
      <c r="O32" s="53">
        <v>0</v>
      </c>
      <c r="P32" s="53">
        <v>2.67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1.1299999999999999</v>
      </c>
      <c r="C34" s="28">
        <f t="shared" si="0"/>
        <v>0.01</v>
      </c>
      <c r="D34" s="28">
        <f t="shared" si="0"/>
        <v>0.93</v>
      </c>
      <c r="E34" s="28">
        <f t="shared" si="0"/>
        <v>5.29</v>
      </c>
      <c r="F34" s="28">
        <f t="shared" si="0"/>
        <v>2.31</v>
      </c>
      <c r="G34" s="28">
        <f t="shared" si="0"/>
        <v>18.38</v>
      </c>
      <c r="H34" s="28">
        <f t="shared" si="0"/>
        <v>5.79</v>
      </c>
      <c r="I34" s="28">
        <f t="shared" si="0"/>
        <v>1.46</v>
      </c>
      <c r="J34" s="28">
        <f t="shared" si="0"/>
        <v>0.39</v>
      </c>
      <c r="K34" s="28">
        <f t="shared" si="0"/>
        <v>122.26</v>
      </c>
      <c r="L34" s="28">
        <f t="shared" si="0"/>
        <v>6.02</v>
      </c>
      <c r="M34" s="28">
        <f t="shared" si="0"/>
        <v>30.62</v>
      </c>
      <c r="N34" s="28">
        <f t="shared" si="0"/>
        <v>29.4</v>
      </c>
      <c r="O34" s="28">
        <f t="shared" si="0"/>
        <v>0</v>
      </c>
      <c r="P34" s="28">
        <f t="shared" si="0"/>
        <v>0.47</v>
      </c>
      <c r="Q34" s="28">
        <f t="shared" si="0"/>
        <v>9.2799999999999994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171.78</v>
      </c>
      <c r="C35" s="29">
        <f t="shared" si="1"/>
        <v>31.15</v>
      </c>
      <c r="D35" s="29">
        <f t="shared" si="1"/>
        <v>102.47</v>
      </c>
      <c r="E35" s="29">
        <f t="shared" si="1"/>
        <v>32.01</v>
      </c>
      <c r="F35" s="29">
        <f t="shared" si="1"/>
        <v>13.96</v>
      </c>
      <c r="G35" s="29">
        <f t="shared" si="1"/>
        <v>108.59</v>
      </c>
      <c r="H35" s="29">
        <f t="shared" si="1"/>
        <v>50.01</v>
      </c>
      <c r="I35" s="29">
        <f t="shared" si="1"/>
        <v>11.83</v>
      </c>
      <c r="J35" s="29">
        <f t="shared" si="1"/>
        <v>2.4300000000000002</v>
      </c>
      <c r="K35" s="29">
        <f t="shared" si="1"/>
        <v>357.93</v>
      </c>
      <c r="L35" s="29">
        <f t="shared" si="1"/>
        <v>21.46</v>
      </c>
      <c r="M35" s="29">
        <f t="shared" si="1"/>
        <v>102.23</v>
      </c>
      <c r="N35" s="29">
        <f t="shared" si="1"/>
        <v>525.5</v>
      </c>
      <c r="O35" s="29">
        <f t="shared" si="1"/>
        <v>0</v>
      </c>
      <c r="P35" s="29">
        <f t="shared" si="1"/>
        <v>3.65</v>
      </c>
      <c r="Q35" s="29">
        <f t="shared" si="1"/>
        <v>9.76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34.09375</v>
      </c>
      <c r="C36" s="28">
        <f t="shared" si="2"/>
        <v>11.095263157894736</v>
      </c>
      <c r="D36" s="28">
        <f t="shared" si="2"/>
        <v>26.116666666666671</v>
      </c>
      <c r="E36" s="28">
        <f t="shared" si="2"/>
        <v>8.5654166666666658</v>
      </c>
      <c r="F36" s="28">
        <f t="shared" si="2"/>
        <v>4.5583333333333327</v>
      </c>
      <c r="G36" s="28">
        <f t="shared" si="2"/>
        <v>55.767083333333339</v>
      </c>
      <c r="H36" s="28">
        <f t="shared" si="2"/>
        <v>26.582499999999996</v>
      </c>
      <c r="I36" s="28">
        <f t="shared" si="2"/>
        <v>5.9083333333333323</v>
      </c>
      <c r="J36" s="28">
        <f t="shared" si="2"/>
        <v>0.94625000000000004</v>
      </c>
      <c r="K36" s="28">
        <f t="shared" si="2"/>
        <v>300.69624999999991</v>
      </c>
      <c r="L36" s="28">
        <f t="shared" si="2"/>
        <v>11.732916666666666</v>
      </c>
      <c r="M36" s="28">
        <f t="shared" si="2"/>
        <v>72.341666666666683</v>
      </c>
      <c r="N36" s="28">
        <f t="shared" si="2"/>
        <v>154.24999999999997</v>
      </c>
      <c r="O36" s="28">
        <f t="shared" si="2"/>
        <v>0</v>
      </c>
      <c r="P36" s="28">
        <f t="shared" si="2"/>
        <v>1.7424999999999999</v>
      </c>
      <c r="Q36" s="28">
        <f t="shared" si="2"/>
        <v>9.5883333333333347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52.051452789523573</v>
      </c>
      <c r="C37" s="28">
        <f t="shared" ref="C37:Q37" si="3">STDEV(C9:C32)</f>
        <v>11.992458912176181</v>
      </c>
      <c r="D37" s="28">
        <f t="shared" si="3"/>
        <v>29.779148331715589</v>
      </c>
      <c r="E37" s="28">
        <f t="shared" si="3"/>
        <v>6.6234399174884739</v>
      </c>
      <c r="F37" s="28">
        <f t="shared" si="3"/>
        <v>3.7323831606590203</v>
      </c>
      <c r="G37" s="28">
        <f t="shared" si="3"/>
        <v>24.941900746781876</v>
      </c>
      <c r="H37" s="28">
        <f t="shared" si="3"/>
        <v>13.791483273004591</v>
      </c>
      <c r="I37" s="28">
        <f t="shared" si="3"/>
        <v>3.3884826239415249</v>
      </c>
      <c r="J37" s="28">
        <f t="shared" si="3"/>
        <v>0.62757512974803342</v>
      </c>
      <c r="K37" s="28">
        <f t="shared" si="3"/>
        <v>79.975891465872095</v>
      </c>
      <c r="L37" s="28">
        <f t="shared" si="3"/>
        <v>4.8624903971441311</v>
      </c>
      <c r="M37" s="28">
        <f t="shared" si="3"/>
        <v>25.764236362879405</v>
      </c>
      <c r="N37" s="28">
        <f t="shared" si="3"/>
        <v>177.91050754705915</v>
      </c>
      <c r="O37" s="28">
        <f t="shared" si="3"/>
        <v>0</v>
      </c>
      <c r="P37" s="28">
        <f t="shared" si="3"/>
        <v>0.9737165465593558</v>
      </c>
      <c r="Q37" s="28">
        <f t="shared" si="3"/>
        <v>0.15552622221703166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COUNT(C9:C32)+5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1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659</v>
      </c>
      <c r="B9" s="53">
        <v>103.67</v>
      </c>
      <c r="C9" s="5" t="s">
        <v>14</v>
      </c>
      <c r="D9" s="53">
        <v>63.35</v>
      </c>
      <c r="E9" s="53">
        <v>5.85</v>
      </c>
      <c r="F9" s="53">
        <v>2.33</v>
      </c>
      <c r="G9" s="53">
        <v>89.19</v>
      </c>
      <c r="H9" s="53">
        <v>40.909999999999997</v>
      </c>
      <c r="I9" s="53">
        <v>8.19</v>
      </c>
      <c r="J9" s="53">
        <v>0.49</v>
      </c>
      <c r="K9" s="53">
        <v>338.59</v>
      </c>
      <c r="L9" s="53">
        <v>7.14</v>
      </c>
      <c r="M9" s="53">
        <v>98.5</v>
      </c>
      <c r="N9" s="53">
        <v>29.3</v>
      </c>
      <c r="O9" s="53">
        <v>0</v>
      </c>
      <c r="P9" s="53">
        <v>2.74</v>
      </c>
      <c r="Q9" s="53">
        <v>9.7200000000000006</v>
      </c>
      <c r="R9" s="43"/>
      <c r="S9" s="43"/>
      <c r="T9" s="43"/>
      <c r="U9" s="43"/>
    </row>
    <row r="10" spans="1:21" s="11" customFormat="1" x14ac:dyDescent="0.25">
      <c r="A10" s="52" t="s">
        <v>660</v>
      </c>
      <c r="B10" s="53">
        <v>103.85</v>
      </c>
      <c r="C10" s="5" t="s">
        <v>14</v>
      </c>
      <c r="D10" s="53">
        <v>67.11</v>
      </c>
      <c r="E10" s="53">
        <v>5.9</v>
      </c>
      <c r="F10" s="53">
        <v>2.74</v>
      </c>
      <c r="G10" s="53">
        <v>80.2</v>
      </c>
      <c r="H10" s="53">
        <v>37.4</v>
      </c>
      <c r="I10" s="53">
        <v>8.08</v>
      </c>
      <c r="J10" s="53">
        <v>0.28999999999999998</v>
      </c>
      <c r="K10" s="53">
        <v>286.93</v>
      </c>
      <c r="L10" s="53">
        <v>7.03</v>
      </c>
      <c r="M10" s="53">
        <v>98.69</v>
      </c>
      <c r="N10" s="53">
        <v>29.4</v>
      </c>
      <c r="O10" s="53">
        <v>0</v>
      </c>
      <c r="P10" s="53">
        <v>2.2799999999999998</v>
      </c>
      <c r="Q10" s="53">
        <v>9.69</v>
      </c>
      <c r="R10" s="43"/>
      <c r="S10" s="43"/>
      <c r="T10" s="43"/>
      <c r="U10" s="43"/>
    </row>
    <row r="11" spans="1:21" s="11" customFormat="1" x14ac:dyDescent="0.25">
      <c r="A11" s="52" t="s">
        <v>661</v>
      </c>
      <c r="B11" s="53">
        <v>97.01</v>
      </c>
      <c r="C11" s="5" t="s">
        <v>14</v>
      </c>
      <c r="D11" s="53">
        <v>63.48</v>
      </c>
      <c r="E11" s="53">
        <v>5.73</v>
      </c>
      <c r="F11" s="53">
        <v>2.64</v>
      </c>
      <c r="G11" s="53">
        <v>71.88</v>
      </c>
      <c r="H11" s="53">
        <v>36.03</v>
      </c>
      <c r="I11" s="53">
        <v>7.79</v>
      </c>
      <c r="J11" s="53">
        <v>0.4</v>
      </c>
      <c r="K11" s="53">
        <v>305.88</v>
      </c>
      <c r="L11" s="53">
        <v>6.94</v>
      </c>
      <c r="M11" s="53">
        <v>99.15</v>
      </c>
      <c r="N11" s="53">
        <v>29.9</v>
      </c>
      <c r="O11" s="53">
        <v>0</v>
      </c>
      <c r="P11" s="53">
        <v>2.13</v>
      </c>
      <c r="Q11" s="53">
        <v>9.68</v>
      </c>
      <c r="R11" s="43"/>
      <c r="S11" s="43"/>
      <c r="T11" s="43"/>
      <c r="U11" s="43"/>
    </row>
    <row r="12" spans="1:21" s="11" customFormat="1" x14ac:dyDescent="0.25">
      <c r="A12" s="52" t="s">
        <v>662</v>
      </c>
      <c r="B12" s="53">
        <v>86.28</v>
      </c>
      <c r="C12" s="5" t="s">
        <v>14</v>
      </c>
      <c r="D12" s="53">
        <v>57.4</v>
      </c>
      <c r="E12" s="53">
        <v>5.47</v>
      </c>
      <c r="F12" s="53">
        <v>2.84</v>
      </c>
      <c r="G12" s="53">
        <v>83.64</v>
      </c>
      <c r="H12" s="53">
        <v>40.89</v>
      </c>
      <c r="I12" s="53">
        <v>7.44</v>
      </c>
      <c r="J12" s="53">
        <v>0.47</v>
      </c>
      <c r="K12" s="53">
        <v>357.15</v>
      </c>
      <c r="L12" s="53">
        <v>5.78</v>
      </c>
      <c r="M12" s="53">
        <v>98.07</v>
      </c>
      <c r="N12" s="53">
        <v>29.4</v>
      </c>
      <c r="O12" s="53">
        <v>0</v>
      </c>
      <c r="P12" s="53">
        <v>2.13</v>
      </c>
      <c r="Q12" s="53">
        <v>9.67</v>
      </c>
      <c r="R12" s="43"/>
      <c r="S12" s="43"/>
      <c r="T12" s="43"/>
      <c r="U12" s="43"/>
    </row>
    <row r="13" spans="1:21" s="11" customFormat="1" x14ac:dyDescent="0.25">
      <c r="A13" s="52" t="s">
        <v>663</v>
      </c>
      <c r="B13" s="53">
        <v>81.209999999999994</v>
      </c>
      <c r="C13" s="5" t="s">
        <v>14</v>
      </c>
      <c r="D13" s="53">
        <v>54.41</v>
      </c>
      <c r="E13" s="53">
        <v>5.6</v>
      </c>
      <c r="F13" s="53">
        <v>2.5499999999999998</v>
      </c>
      <c r="G13" s="53">
        <v>90.09</v>
      </c>
      <c r="H13" s="53">
        <v>43.92</v>
      </c>
      <c r="I13" s="53">
        <v>8.36</v>
      </c>
      <c r="J13" s="53">
        <v>0.46</v>
      </c>
      <c r="K13" s="53">
        <v>338.93</v>
      </c>
      <c r="L13" s="53">
        <v>6.06</v>
      </c>
      <c r="M13" s="53">
        <v>97.17</v>
      </c>
      <c r="N13" s="53">
        <v>29.3</v>
      </c>
      <c r="O13" s="53">
        <v>0</v>
      </c>
      <c r="P13" s="53">
        <v>2.2000000000000002</v>
      </c>
      <c r="Q13" s="53">
        <v>9.67</v>
      </c>
      <c r="R13" s="43"/>
      <c r="S13" s="43"/>
      <c r="T13" s="43"/>
      <c r="U13" s="43"/>
    </row>
    <row r="14" spans="1:21" s="11" customFormat="1" x14ac:dyDescent="0.25">
      <c r="A14" s="52" t="s">
        <v>664</v>
      </c>
      <c r="B14" s="53">
        <v>76.16</v>
      </c>
      <c r="C14" s="5" t="s">
        <v>14</v>
      </c>
      <c r="D14" s="53">
        <v>51.81</v>
      </c>
      <c r="E14" s="53">
        <v>5.5</v>
      </c>
      <c r="F14" s="53">
        <v>2.56</v>
      </c>
      <c r="G14" s="53">
        <v>90.56</v>
      </c>
      <c r="H14" s="53">
        <v>44.57</v>
      </c>
      <c r="I14" s="53">
        <v>8</v>
      </c>
      <c r="J14" s="53">
        <v>0.3</v>
      </c>
      <c r="K14" s="53">
        <v>82.91</v>
      </c>
      <c r="L14" s="53">
        <v>5.98</v>
      </c>
      <c r="M14" s="53">
        <v>92.66</v>
      </c>
      <c r="N14" s="53">
        <v>29.4</v>
      </c>
      <c r="O14" s="53">
        <v>0</v>
      </c>
      <c r="P14" s="53">
        <v>2.17</v>
      </c>
      <c r="Q14" s="53">
        <v>9.66</v>
      </c>
      <c r="R14" s="43"/>
      <c r="S14" s="43"/>
      <c r="T14" s="43"/>
      <c r="U14" s="43"/>
    </row>
    <row r="15" spans="1:21" s="11" customFormat="1" x14ac:dyDescent="0.25">
      <c r="A15" s="52" t="s">
        <v>665</v>
      </c>
      <c r="B15" s="53">
        <v>64.81</v>
      </c>
      <c r="C15" s="5" t="s">
        <v>14</v>
      </c>
      <c r="D15" s="53">
        <v>46.12</v>
      </c>
      <c r="E15" s="53">
        <v>5.72</v>
      </c>
      <c r="F15" s="53">
        <v>2.58</v>
      </c>
      <c r="G15" s="53">
        <v>49.24</v>
      </c>
      <c r="H15" s="53">
        <v>37.81</v>
      </c>
      <c r="I15" s="53">
        <v>7.76</v>
      </c>
      <c r="J15" s="53">
        <v>0.49</v>
      </c>
      <c r="K15" s="53">
        <v>338.88</v>
      </c>
      <c r="L15" s="53">
        <v>6.02</v>
      </c>
      <c r="M15" s="53">
        <v>87.75</v>
      </c>
      <c r="N15" s="53">
        <v>42</v>
      </c>
      <c r="O15" s="53">
        <v>0</v>
      </c>
      <c r="P15" s="53">
        <v>1.91</v>
      </c>
      <c r="Q15" s="53">
        <v>9.67</v>
      </c>
      <c r="R15" s="43"/>
      <c r="S15" s="43"/>
      <c r="T15" s="43"/>
      <c r="U15" s="43"/>
    </row>
    <row r="16" spans="1:21" s="11" customFormat="1" x14ac:dyDescent="0.25">
      <c r="A16" s="52" t="s">
        <v>666</v>
      </c>
      <c r="B16" s="53">
        <v>58.43</v>
      </c>
      <c r="C16" s="5" t="s">
        <v>14</v>
      </c>
      <c r="D16" s="53">
        <v>43.1</v>
      </c>
      <c r="E16" s="53">
        <v>5.76</v>
      </c>
      <c r="F16" s="53">
        <v>2.5499999999999998</v>
      </c>
      <c r="G16" s="53">
        <v>37.31</v>
      </c>
      <c r="H16" s="53">
        <v>31.15</v>
      </c>
      <c r="I16" s="53">
        <v>6.42</v>
      </c>
      <c r="J16" s="53">
        <v>0.69</v>
      </c>
      <c r="K16" s="53">
        <v>118.16</v>
      </c>
      <c r="L16" s="53">
        <v>9.08</v>
      </c>
      <c r="M16" s="53">
        <v>81.56</v>
      </c>
      <c r="N16" s="53">
        <v>178.8</v>
      </c>
      <c r="O16" s="53">
        <v>0</v>
      </c>
      <c r="P16" s="53">
        <v>1.65</v>
      </c>
      <c r="Q16" s="53">
        <v>9.65</v>
      </c>
      <c r="R16" s="43"/>
      <c r="S16" s="43"/>
      <c r="T16" s="43"/>
      <c r="U16" s="43"/>
    </row>
    <row r="17" spans="1:21" s="11" customFormat="1" x14ac:dyDescent="0.25">
      <c r="A17" s="52" t="s">
        <v>667</v>
      </c>
      <c r="B17" s="53">
        <v>53.42</v>
      </c>
      <c r="C17" s="5" t="s">
        <v>14</v>
      </c>
      <c r="D17" s="53">
        <v>40.9</v>
      </c>
      <c r="E17" s="53">
        <v>5.94</v>
      </c>
      <c r="F17" s="53">
        <v>2.8</v>
      </c>
      <c r="G17" s="53">
        <v>35.26</v>
      </c>
      <c r="H17" s="53">
        <v>24.6</v>
      </c>
      <c r="I17" s="53">
        <v>5.78</v>
      </c>
      <c r="J17" s="53">
        <v>0.75</v>
      </c>
      <c r="K17" s="53">
        <v>338.03</v>
      </c>
      <c r="L17" s="53">
        <v>16.07</v>
      </c>
      <c r="M17" s="53">
        <v>59.65</v>
      </c>
      <c r="N17" s="53">
        <v>310.89999999999998</v>
      </c>
      <c r="O17" s="53">
        <v>0</v>
      </c>
      <c r="P17" s="53">
        <v>1.46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668</v>
      </c>
      <c r="B18" s="53">
        <v>48.95</v>
      </c>
      <c r="C18" s="53">
        <v>1.27</v>
      </c>
      <c r="D18" s="53">
        <v>38.909999999999997</v>
      </c>
      <c r="E18" s="53">
        <v>6.01</v>
      </c>
      <c r="F18" s="53">
        <v>2.59</v>
      </c>
      <c r="G18" s="53">
        <v>34.950000000000003</v>
      </c>
      <c r="H18" s="53">
        <v>21.76</v>
      </c>
      <c r="I18" s="53">
        <v>5.24</v>
      </c>
      <c r="J18" s="53">
        <v>1.7</v>
      </c>
      <c r="K18" s="53">
        <v>120.04</v>
      </c>
      <c r="L18" s="53">
        <v>16.68</v>
      </c>
      <c r="M18" s="53">
        <v>46.71</v>
      </c>
      <c r="N18" s="53">
        <v>378</v>
      </c>
      <c r="O18" s="53">
        <v>0</v>
      </c>
      <c r="P18" s="53">
        <v>1.35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669</v>
      </c>
      <c r="B19" s="53">
        <v>40.79</v>
      </c>
      <c r="C19" s="53">
        <v>35.25</v>
      </c>
      <c r="D19" s="53">
        <v>36.78</v>
      </c>
      <c r="E19" s="53">
        <v>12.8</v>
      </c>
      <c r="F19" s="53">
        <v>3.44</v>
      </c>
      <c r="G19" s="53">
        <v>40.880000000000003</v>
      </c>
      <c r="H19" s="53">
        <v>18.8</v>
      </c>
      <c r="I19" s="53">
        <v>4.91</v>
      </c>
      <c r="J19" s="53">
        <v>1.04</v>
      </c>
      <c r="K19" s="53">
        <v>339.5</v>
      </c>
      <c r="L19" s="53">
        <v>20.75</v>
      </c>
      <c r="M19" s="53">
        <v>36</v>
      </c>
      <c r="N19" s="53">
        <v>410.2</v>
      </c>
      <c r="O19" s="53">
        <v>0</v>
      </c>
      <c r="P19" s="53">
        <v>1.1299999999999999</v>
      </c>
      <c r="Q19" s="53">
        <v>9.6</v>
      </c>
      <c r="R19" s="43"/>
      <c r="S19" s="43"/>
      <c r="T19" s="43"/>
      <c r="U19" s="43"/>
    </row>
    <row r="20" spans="1:21" s="11" customFormat="1" x14ac:dyDescent="0.25">
      <c r="A20" s="52" t="s">
        <v>670</v>
      </c>
      <c r="B20" s="53">
        <v>17.66</v>
      </c>
      <c r="C20" s="53">
        <v>32.700000000000003</v>
      </c>
      <c r="D20" s="53">
        <v>30.8</v>
      </c>
      <c r="E20" s="53">
        <v>6.63</v>
      </c>
      <c r="F20" s="53">
        <v>3.36</v>
      </c>
      <c r="G20" s="53">
        <v>45.06</v>
      </c>
      <c r="H20" s="53">
        <v>19.87</v>
      </c>
      <c r="I20" s="53">
        <v>2.7</v>
      </c>
      <c r="J20" s="53">
        <v>0.95</v>
      </c>
      <c r="K20" s="53">
        <v>332.4</v>
      </c>
      <c r="L20" s="53">
        <v>21.55</v>
      </c>
      <c r="M20" s="53">
        <v>28.55</v>
      </c>
      <c r="N20" s="53">
        <v>429.6</v>
      </c>
      <c r="O20" s="53">
        <v>0</v>
      </c>
      <c r="P20" s="53">
        <v>0.72</v>
      </c>
      <c r="Q20" s="53">
        <v>9.4</v>
      </c>
      <c r="R20" s="43"/>
      <c r="S20" s="43"/>
      <c r="T20" s="43"/>
      <c r="U20" s="43"/>
    </row>
    <row r="21" spans="1:21" s="11" customFormat="1" x14ac:dyDescent="0.25">
      <c r="A21" s="52" t="s">
        <v>671</v>
      </c>
      <c r="B21" s="53">
        <v>9.4600000000000009</v>
      </c>
      <c r="C21" s="53">
        <v>36.25</v>
      </c>
      <c r="D21" s="53">
        <v>25.9</v>
      </c>
      <c r="E21" s="53">
        <v>16.39</v>
      </c>
      <c r="F21" s="53">
        <v>6.51</v>
      </c>
      <c r="G21" s="53">
        <v>40.97</v>
      </c>
      <c r="H21" s="53">
        <v>18.88</v>
      </c>
      <c r="I21" s="53">
        <v>2.66</v>
      </c>
      <c r="J21" s="53">
        <v>0.99</v>
      </c>
      <c r="K21" s="53">
        <v>339.36</v>
      </c>
      <c r="L21" s="53">
        <v>19.34</v>
      </c>
      <c r="M21" s="53">
        <v>33.74</v>
      </c>
      <c r="N21" s="53">
        <v>395.1</v>
      </c>
      <c r="O21" s="53">
        <v>0</v>
      </c>
      <c r="P21" s="53">
        <v>0.64</v>
      </c>
      <c r="Q21" s="53">
        <v>9.3699999999999992</v>
      </c>
      <c r="R21" s="43"/>
      <c r="S21" s="43"/>
      <c r="T21" s="43"/>
      <c r="U21" s="43"/>
    </row>
    <row r="22" spans="1:21" s="11" customFormat="1" x14ac:dyDescent="0.25">
      <c r="A22" s="52" t="s">
        <v>672</v>
      </c>
      <c r="B22" s="53">
        <v>7.36</v>
      </c>
      <c r="C22" s="53">
        <v>34.82</v>
      </c>
      <c r="D22" s="53">
        <v>23.04</v>
      </c>
      <c r="E22" s="53">
        <v>17.09</v>
      </c>
      <c r="F22" s="53">
        <v>6.72</v>
      </c>
      <c r="G22" s="53">
        <v>35.86</v>
      </c>
      <c r="H22" s="53">
        <v>16.64</v>
      </c>
      <c r="I22" s="53">
        <v>2.4500000000000002</v>
      </c>
      <c r="J22" s="53">
        <v>1.05</v>
      </c>
      <c r="K22" s="53">
        <v>334.37</v>
      </c>
      <c r="L22" s="53">
        <v>19.97</v>
      </c>
      <c r="M22" s="53">
        <v>33</v>
      </c>
      <c r="N22" s="53">
        <v>330.4</v>
      </c>
      <c r="O22" s="53">
        <v>0</v>
      </c>
      <c r="P22" s="53">
        <v>0.76</v>
      </c>
      <c r="Q22" s="53">
        <v>9.35</v>
      </c>
      <c r="R22" s="43"/>
      <c r="S22" s="43"/>
      <c r="T22" s="43"/>
      <c r="U22" s="43"/>
    </row>
    <row r="23" spans="1:21" s="11" customFormat="1" x14ac:dyDescent="0.25">
      <c r="A23" s="52" t="s">
        <v>673</v>
      </c>
      <c r="B23" s="53">
        <v>8.66</v>
      </c>
      <c r="C23" s="53">
        <v>33.729999999999997</v>
      </c>
      <c r="D23" s="53">
        <v>24.57</v>
      </c>
      <c r="E23" s="53">
        <v>15.47</v>
      </c>
      <c r="F23" s="53">
        <v>8.4499999999999993</v>
      </c>
      <c r="G23" s="53">
        <v>37.869999999999997</v>
      </c>
      <c r="H23" s="53">
        <v>14.67</v>
      </c>
      <c r="I23" s="53">
        <v>2.44</v>
      </c>
      <c r="J23" s="53">
        <v>1.29</v>
      </c>
      <c r="K23" s="53">
        <v>336.53</v>
      </c>
      <c r="L23" s="53">
        <v>19.43</v>
      </c>
      <c r="M23" s="53">
        <v>28.44</v>
      </c>
      <c r="N23" s="53">
        <v>136.1</v>
      </c>
      <c r="O23" s="53">
        <v>0</v>
      </c>
      <c r="P23" s="53">
        <v>0.75</v>
      </c>
      <c r="Q23" s="53">
        <v>9.35</v>
      </c>
      <c r="R23" s="43"/>
      <c r="S23" s="43"/>
      <c r="T23" s="43"/>
      <c r="U23" s="43"/>
    </row>
    <row r="24" spans="1:21" s="11" customFormat="1" x14ac:dyDescent="0.25">
      <c r="A24" s="52" t="s">
        <v>674</v>
      </c>
      <c r="B24" s="53">
        <v>8.4499999999999993</v>
      </c>
      <c r="C24" s="53">
        <v>33.590000000000003</v>
      </c>
      <c r="D24" s="53">
        <v>23.7</v>
      </c>
      <c r="E24" s="53">
        <v>8.0299999999999994</v>
      </c>
      <c r="F24" s="53">
        <v>5.61</v>
      </c>
      <c r="G24" s="53">
        <v>28.29</v>
      </c>
      <c r="H24" s="53">
        <v>14.41</v>
      </c>
      <c r="I24" s="53">
        <v>2.15</v>
      </c>
      <c r="J24" s="53">
        <v>1.43</v>
      </c>
      <c r="K24" s="53">
        <v>340.99</v>
      </c>
      <c r="L24" s="53">
        <v>17.2</v>
      </c>
      <c r="M24" s="53">
        <v>30.88</v>
      </c>
      <c r="N24" s="53">
        <v>71.2</v>
      </c>
      <c r="O24" s="53">
        <v>0</v>
      </c>
      <c r="P24" s="53">
        <v>0.77</v>
      </c>
      <c r="Q24" s="53">
        <v>9.35</v>
      </c>
      <c r="R24" s="43"/>
      <c r="S24" s="43"/>
      <c r="T24" s="43"/>
      <c r="U24" s="43"/>
    </row>
    <row r="25" spans="1:21" s="11" customFormat="1" x14ac:dyDescent="0.25">
      <c r="A25" s="52" t="s">
        <v>675</v>
      </c>
      <c r="B25" s="53">
        <v>20.03</v>
      </c>
      <c r="C25" s="53">
        <v>36.659999999999997</v>
      </c>
      <c r="D25" s="53">
        <v>34.14</v>
      </c>
      <c r="E25" s="53">
        <v>22.98</v>
      </c>
      <c r="F25" s="53">
        <v>8.2200000000000006</v>
      </c>
      <c r="G25" s="53">
        <v>33.93</v>
      </c>
      <c r="H25" s="53">
        <v>14.58</v>
      </c>
      <c r="I25" s="53">
        <v>1.99</v>
      </c>
      <c r="J25" s="53">
        <v>0.83</v>
      </c>
      <c r="K25" s="53">
        <v>350.55</v>
      </c>
      <c r="L25" s="53">
        <v>16.5</v>
      </c>
      <c r="M25" s="53">
        <v>35.03</v>
      </c>
      <c r="N25" s="53">
        <v>52.2</v>
      </c>
      <c r="O25" s="53">
        <v>0</v>
      </c>
      <c r="P25" s="53">
        <v>1.1599999999999999</v>
      </c>
      <c r="Q25" s="53">
        <v>9.3699999999999992</v>
      </c>
      <c r="R25" s="43"/>
      <c r="S25" s="43"/>
      <c r="T25" s="43"/>
      <c r="U25" s="43"/>
    </row>
    <row r="26" spans="1:21" s="11" customFormat="1" x14ac:dyDescent="0.25">
      <c r="A26" s="52" t="s">
        <v>676</v>
      </c>
      <c r="B26" s="53">
        <v>23.84</v>
      </c>
      <c r="C26" s="53">
        <v>36.74</v>
      </c>
      <c r="D26" s="53">
        <v>37.229999999999997</v>
      </c>
      <c r="E26" s="53">
        <v>16.73</v>
      </c>
      <c r="F26" s="53">
        <v>4.6399999999999997</v>
      </c>
      <c r="G26" s="53">
        <v>44.7</v>
      </c>
      <c r="H26" s="53">
        <v>16.93</v>
      </c>
      <c r="I26" s="53">
        <v>3.31</v>
      </c>
      <c r="J26" s="53">
        <v>0.5</v>
      </c>
      <c r="K26" s="53">
        <v>338.98</v>
      </c>
      <c r="L26" s="53">
        <v>14.56</v>
      </c>
      <c r="M26" s="53">
        <v>41.66</v>
      </c>
      <c r="N26" s="53">
        <v>34.299999999999997</v>
      </c>
      <c r="O26" s="53">
        <v>0</v>
      </c>
      <c r="P26" s="53">
        <v>1.34</v>
      </c>
      <c r="Q26" s="53">
        <v>9.43</v>
      </c>
      <c r="R26" s="43"/>
      <c r="S26" s="43"/>
      <c r="T26" s="43"/>
      <c r="U26" s="43"/>
    </row>
    <row r="27" spans="1:21" s="11" customFormat="1" x14ac:dyDescent="0.25">
      <c r="A27" s="52" t="s">
        <v>677</v>
      </c>
      <c r="B27" s="53">
        <v>48.97</v>
      </c>
      <c r="C27" s="53">
        <v>23.7</v>
      </c>
      <c r="D27" s="53">
        <v>48.98</v>
      </c>
      <c r="E27" s="53">
        <v>9.27</v>
      </c>
      <c r="F27" s="53">
        <v>3.29</v>
      </c>
      <c r="G27" s="53">
        <v>61.69</v>
      </c>
      <c r="H27" s="53">
        <v>21.79</v>
      </c>
      <c r="I27" s="53">
        <v>4.91</v>
      </c>
      <c r="J27" s="53">
        <v>0.48</v>
      </c>
      <c r="K27" s="53">
        <v>332.01</v>
      </c>
      <c r="L27" s="53">
        <v>12.64</v>
      </c>
      <c r="M27" s="53">
        <v>67.94</v>
      </c>
      <c r="N27" s="53">
        <v>30</v>
      </c>
      <c r="O27" s="53">
        <v>0</v>
      </c>
      <c r="P27" s="53">
        <v>1.76</v>
      </c>
      <c r="Q27" s="53">
        <v>9.49</v>
      </c>
      <c r="R27" s="43"/>
      <c r="S27" s="43"/>
      <c r="T27" s="43"/>
      <c r="U27" s="43"/>
    </row>
    <row r="28" spans="1:21" s="11" customFormat="1" x14ac:dyDescent="0.25">
      <c r="A28" s="52" t="s">
        <v>678</v>
      </c>
      <c r="B28" s="53">
        <v>50.59</v>
      </c>
      <c r="C28" s="53">
        <v>16.2</v>
      </c>
      <c r="D28" s="53">
        <v>43.58</v>
      </c>
      <c r="E28" s="53">
        <v>5.3</v>
      </c>
      <c r="F28" s="53">
        <v>2.65</v>
      </c>
      <c r="G28" s="53">
        <v>75.38</v>
      </c>
      <c r="H28" s="53">
        <v>29.46</v>
      </c>
      <c r="I28" s="53">
        <v>4.17</v>
      </c>
      <c r="J28" s="53">
        <v>0.54</v>
      </c>
      <c r="K28" s="53">
        <v>128.68</v>
      </c>
      <c r="L28" s="53">
        <v>10.119999999999999</v>
      </c>
      <c r="M28" s="53">
        <v>76.11</v>
      </c>
      <c r="N28" s="53">
        <v>29.5</v>
      </c>
      <c r="O28" s="53">
        <v>0</v>
      </c>
      <c r="P28" s="53">
        <v>1.63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679</v>
      </c>
      <c r="B29" s="53">
        <v>77.73</v>
      </c>
      <c r="C29" s="53">
        <v>16.2</v>
      </c>
      <c r="D29" s="53">
        <v>56.64</v>
      </c>
      <c r="E29" s="53">
        <v>5.47</v>
      </c>
      <c r="F29" s="53">
        <v>2.48</v>
      </c>
      <c r="G29" s="53">
        <v>87.87</v>
      </c>
      <c r="H29" s="53">
        <v>36.01</v>
      </c>
      <c r="I29" s="53">
        <v>5.45</v>
      </c>
      <c r="J29" s="53">
        <v>0.45</v>
      </c>
      <c r="K29" s="53">
        <v>279.70999999999998</v>
      </c>
      <c r="L29" s="53">
        <v>9.34</v>
      </c>
      <c r="M29" s="53">
        <v>81.69</v>
      </c>
      <c r="N29" s="53">
        <v>29.6</v>
      </c>
      <c r="O29" s="53">
        <v>0</v>
      </c>
      <c r="P29" s="53">
        <v>2.12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680</v>
      </c>
      <c r="B30" s="53">
        <v>113.02</v>
      </c>
      <c r="C30" s="53">
        <v>16.2</v>
      </c>
      <c r="D30" s="53">
        <v>73.53</v>
      </c>
      <c r="E30" s="53">
        <v>5.36</v>
      </c>
      <c r="F30" s="53">
        <v>2.39</v>
      </c>
      <c r="G30" s="53">
        <v>98.02</v>
      </c>
      <c r="H30" s="53">
        <v>43.43</v>
      </c>
      <c r="I30" s="53">
        <v>7.2</v>
      </c>
      <c r="J30" s="53">
        <v>0.5</v>
      </c>
      <c r="K30" s="53">
        <v>329.53</v>
      </c>
      <c r="L30" s="53">
        <v>8.6</v>
      </c>
      <c r="M30" s="53">
        <v>86.23</v>
      </c>
      <c r="N30" s="53">
        <v>29.5</v>
      </c>
      <c r="O30" s="53">
        <v>0</v>
      </c>
      <c r="P30" s="53">
        <v>2.67</v>
      </c>
      <c r="Q30" s="53">
        <v>9.68</v>
      </c>
      <c r="R30" s="43"/>
      <c r="S30" s="43"/>
      <c r="T30" s="43"/>
      <c r="U30" s="43"/>
    </row>
    <row r="31" spans="1:21" s="11" customFormat="1" x14ac:dyDescent="0.25">
      <c r="A31" s="52" t="s">
        <v>681</v>
      </c>
      <c r="B31" s="53">
        <v>119.45</v>
      </c>
      <c r="C31" s="53">
        <v>16.2</v>
      </c>
      <c r="D31" s="53">
        <v>76.349999999999994</v>
      </c>
      <c r="E31" s="53">
        <v>5.89</v>
      </c>
      <c r="F31" s="53">
        <v>2.85</v>
      </c>
      <c r="G31" s="53">
        <v>102.97</v>
      </c>
      <c r="H31" s="53">
        <v>45.64</v>
      </c>
      <c r="I31" s="53">
        <v>8.31</v>
      </c>
      <c r="J31" s="53">
        <v>0.5</v>
      </c>
      <c r="K31" s="53">
        <v>289.49</v>
      </c>
      <c r="L31" s="53">
        <v>7.84</v>
      </c>
      <c r="M31" s="53">
        <v>87.73</v>
      </c>
      <c r="N31" s="53">
        <v>29.5</v>
      </c>
      <c r="O31" s="53">
        <v>0</v>
      </c>
      <c r="P31" s="53">
        <v>2.91</v>
      </c>
      <c r="Q31" s="53">
        <v>9.6999999999999993</v>
      </c>
      <c r="R31" s="43"/>
      <c r="S31" s="43"/>
      <c r="T31" s="43"/>
      <c r="U31" s="43"/>
    </row>
    <row r="32" spans="1:21" s="11" customFormat="1" x14ac:dyDescent="0.25">
      <c r="A32" s="52" t="s">
        <v>682</v>
      </c>
      <c r="B32" s="53">
        <v>137.91</v>
      </c>
      <c r="C32" s="53">
        <v>16.2</v>
      </c>
      <c r="D32" s="53">
        <v>99.75</v>
      </c>
      <c r="E32" s="53">
        <v>5.85</v>
      </c>
      <c r="F32" s="53">
        <v>2.62</v>
      </c>
      <c r="G32" s="53">
        <v>89.47</v>
      </c>
      <c r="H32" s="53">
        <v>42.7</v>
      </c>
      <c r="I32" s="53">
        <v>9.02</v>
      </c>
      <c r="J32" s="53">
        <v>0.49</v>
      </c>
      <c r="K32" s="53">
        <v>350.64</v>
      </c>
      <c r="L32" s="53">
        <v>7.34</v>
      </c>
      <c r="M32" s="53">
        <v>93.2</v>
      </c>
      <c r="N32" s="53">
        <v>29.5</v>
      </c>
      <c r="O32" s="53">
        <v>0</v>
      </c>
      <c r="P32" s="53">
        <v>2.98</v>
      </c>
      <c r="Q32" s="53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7.36</v>
      </c>
      <c r="C34" s="28">
        <f t="shared" si="0"/>
        <v>1.27</v>
      </c>
      <c r="D34" s="28">
        <f t="shared" si="0"/>
        <v>23.04</v>
      </c>
      <c r="E34" s="28">
        <f t="shared" si="0"/>
        <v>5.3</v>
      </c>
      <c r="F34" s="28">
        <f t="shared" si="0"/>
        <v>2.33</v>
      </c>
      <c r="G34" s="28">
        <f t="shared" si="0"/>
        <v>28.29</v>
      </c>
      <c r="H34" s="28">
        <f t="shared" si="0"/>
        <v>14.41</v>
      </c>
      <c r="I34" s="28">
        <f t="shared" si="0"/>
        <v>1.99</v>
      </c>
      <c r="J34" s="28">
        <f t="shared" si="0"/>
        <v>0.28999999999999998</v>
      </c>
      <c r="K34" s="28">
        <f t="shared" si="0"/>
        <v>82.91</v>
      </c>
      <c r="L34" s="28">
        <f t="shared" si="0"/>
        <v>5.78</v>
      </c>
      <c r="M34" s="28">
        <f t="shared" si="0"/>
        <v>28.44</v>
      </c>
      <c r="N34" s="28">
        <f t="shared" si="0"/>
        <v>29.3</v>
      </c>
      <c r="O34" s="28">
        <f t="shared" si="0"/>
        <v>0</v>
      </c>
      <c r="P34" s="28">
        <f t="shared" si="0"/>
        <v>0.64</v>
      </c>
      <c r="Q34" s="28">
        <f t="shared" si="0"/>
        <v>9.35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137.91</v>
      </c>
      <c r="C35" s="29">
        <f t="shared" si="1"/>
        <v>36.74</v>
      </c>
      <c r="D35" s="29">
        <f t="shared" si="1"/>
        <v>99.75</v>
      </c>
      <c r="E35" s="29">
        <f t="shared" si="1"/>
        <v>22.98</v>
      </c>
      <c r="F35" s="29">
        <f t="shared" si="1"/>
        <v>8.4499999999999993</v>
      </c>
      <c r="G35" s="29">
        <f t="shared" si="1"/>
        <v>102.97</v>
      </c>
      <c r="H35" s="29">
        <f t="shared" si="1"/>
        <v>45.64</v>
      </c>
      <c r="I35" s="29">
        <f t="shared" si="1"/>
        <v>9.02</v>
      </c>
      <c r="J35" s="29">
        <f t="shared" si="1"/>
        <v>1.7</v>
      </c>
      <c r="K35" s="29">
        <f t="shared" si="1"/>
        <v>357.15</v>
      </c>
      <c r="L35" s="29">
        <f t="shared" si="1"/>
        <v>21.55</v>
      </c>
      <c r="M35" s="29">
        <f t="shared" si="1"/>
        <v>99.15</v>
      </c>
      <c r="N35" s="29">
        <f t="shared" si="1"/>
        <v>429.6</v>
      </c>
      <c r="O35" s="29">
        <f t="shared" si="1"/>
        <v>0</v>
      </c>
      <c r="P35" s="29">
        <f t="shared" si="1"/>
        <v>2.98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60.737916666666671</v>
      </c>
      <c r="C36" s="28">
        <f t="shared" si="2"/>
        <v>25.713999999999995</v>
      </c>
      <c r="D36" s="28">
        <f t="shared" si="2"/>
        <v>48.399166666666666</v>
      </c>
      <c r="E36" s="28">
        <f t="shared" si="2"/>
        <v>8.7808333333333319</v>
      </c>
      <c r="F36" s="28">
        <f t="shared" si="2"/>
        <v>3.7254166666666673</v>
      </c>
      <c r="G36" s="28">
        <f t="shared" si="2"/>
        <v>61.886666666666656</v>
      </c>
      <c r="H36" s="28">
        <f t="shared" si="2"/>
        <v>29.702083333333334</v>
      </c>
      <c r="I36" s="28">
        <f t="shared" si="2"/>
        <v>5.6137499999999996</v>
      </c>
      <c r="J36" s="28">
        <f t="shared" si="2"/>
        <v>0.71166666666666656</v>
      </c>
      <c r="K36" s="28">
        <f t="shared" si="2"/>
        <v>293.67666666666668</v>
      </c>
      <c r="L36" s="28">
        <f t="shared" si="2"/>
        <v>12.164999999999999</v>
      </c>
      <c r="M36" s="28">
        <f t="shared" si="2"/>
        <v>67.504583333333343</v>
      </c>
      <c r="N36" s="28">
        <f t="shared" si="2"/>
        <v>130.12916666666666</v>
      </c>
      <c r="O36" s="28">
        <f t="shared" si="2"/>
        <v>0</v>
      </c>
      <c r="P36" s="28">
        <f t="shared" si="2"/>
        <v>1.7233333333333336</v>
      </c>
      <c r="Q36" s="28">
        <f t="shared" si="2"/>
        <v>9.5741666666666667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39.234229396543249</v>
      </c>
      <c r="C37" s="28">
        <f t="shared" ref="C37:Q37" si="3">STDEV(C9:C32)</f>
        <v>11.197855534495385</v>
      </c>
      <c r="D37" s="28">
        <f t="shared" si="3"/>
        <v>19.054347196937755</v>
      </c>
      <c r="E37" s="28">
        <f t="shared" si="3"/>
        <v>5.1163989685908104</v>
      </c>
      <c r="F37" s="28">
        <f t="shared" si="3"/>
        <v>1.8993774246971744</v>
      </c>
      <c r="G37" s="28">
        <f t="shared" si="3"/>
        <v>25.283927987809871</v>
      </c>
      <c r="H37" s="28">
        <f t="shared" si="3"/>
        <v>11.418859297010696</v>
      </c>
      <c r="I37" s="28">
        <f t="shared" si="3"/>
        <v>2.3926859793236943</v>
      </c>
      <c r="J37" s="28">
        <f t="shared" si="3"/>
        <v>0.37296306690523995</v>
      </c>
      <c r="K37" s="28">
        <f t="shared" si="3"/>
        <v>85.419082974659872</v>
      </c>
      <c r="L37" s="28">
        <f t="shared" si="3"/>
        <v>5.602980573261692</v>
      </c>
      <c r="M37" s="28">
        <f t="shared" si="3"/>
        <v>27.669856771076415</v>
      </c>
      <c r="N37" s="28">
        <f t="shared" si="3"/>
        <v>150.78251391863444</v>
      </c>
      <c r="O37" s="28">
        <f t="shared" si="3"/>
        <v>0</v>
      </c>
      <c r="P37" s="28">
        <f t="shared" si="3"/>
        <v>0.72776409619473725</v>
      </c>
      <c r="Q37" s="28">
        <f t="shared" si="3"/>
        <v>0.1387809242206445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COUNT(C9:C32)+9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41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2" t="s">
        <v>683</v>
      </c>
      <c r="B9" s="53">
        <v>132.47</v>
      </c>
      <c r="C9" s="5" t="s">
        <v>14</v>
      </c>
      <c r="D9" s="53">
        <v>95.83</v>
      </c>
      <c r="E9" s="53">
        <v>6.67</v>
      </c>
      <c r="F9" s="53">
        <v>2.64</v>
      </c>
      <c r="G9" s="53">
        <v>87.6</v>
      </c>
      <c r="H9" s="53">
        <v>42.17</v>
      </c>
      <c r="I9" s="53">
        <v>9.52</v>
      </c>
      <c r="J9" s="53">
        <v>0.88</v>
      </c>
      <c r="K9" s="53">
        <v>348.45</v>
      </c>
      <c r="L9" s="53">
        <v>7.63</v>
      </c>
      <c r="M9" s="53">
        <v>90.02</v>
      </c>
      <c r="N9" s="53">
        <v>29.7</v>
      </c>
      <c r="O9" s="53">
        <v>0</v>
      </c>
      <c r="P9" s="53">
        <v>2.91</v>
      </c>
      <c r="Q9" s="53">
        <v>9.7100000000000009</v>
      </c>
      <c r="R9" s="43"/>
      <c r="S9" s="43"/>
      <c r="T9" s="43"/>
      <c r="U9" s="43"/>
    </row>
    <row r="10" spans="1:21" s="11" customFormat="1" x14ac:dyDescent="0.25">
      <c r="A10" s="52" t="s">
        <v>684</v>
      </c>
      <c r="B10" s="53">
        <v>117.16</v>
      </c>
      <c r="C10" s="5" t="s">
        <v>14</v>
      </c>
      <c r="D10" s="53">
        <v>86.63</v>
      </c>
      <c r="E10" s="53">
        <v>6.19</v>
      </c>
      <c r="F10" s="53">
        <v>2.5299999999999998</v>
      </c>
      <c r="G10" s="53">
        <v>93.7</v>
      </c>
      <c r="H10" s="53">
        <v>45.82</v>
      </c>
      <c r="I10" s="53">
        <v>9.44</v>
      </c>
      <c r="J10" s="53">
        <v>0.41</v>
      </c>
      <c r="K10" s="53">
        <v>149.11000000000001</v>
      </c>
      <c r="L10" s="53">
        <v>6.78</v>
      </c>
      <c r="M10" s="53">
        <v>96.56</v>
      </c>
      <c r="N10" s="53">
        <v>29.6</v>
      </c>
      <c r="O10" s="53">
        <v>0</v>
      </c>
      <c r="P10" s="53">
        <v>2.58</v>
      </c>
      <c r="Q10" s="53">
        <v>9.69</v>
      </c>
      <c r="R10" s="43"/>
      <c r="S10" s="43"/>
      <c r="T10" s="43"/>
      <c r="U10" s="43"/>
    </row>
    <row r="11" spans="1:21" s="11" customFormat="1" x14ac:dyDescent="0.25">
      <c r="A11" s="52" t="s">
        <v>685</v>
      </c>
      <c r="B11" s="53">
        <v>103.61</v>
      </c>
      <c r="C11" s="5" t="s">
        <v>14</v>
      </c>
      <c r="D11" s="53">
        <v>78.040000000000006</v>
      </c>
      <c r="E11" s="53">
        <v>6.35</v>
      </c>
      <c r="F11" s="53">
        <v>2.4500000000000002</v>
      </c>
      <c r="G11" s="53">
        <v>105.04</v>
      </c>
      <c r="H11" s="53">
        <v>51.65</v>
      </c>
      <c r="I11" s="53">
        <v>9.02</v>
      </c>
      <c r="J11" s="53">
        <v>0.5</v>
      </c>
      <c r="K11" s="53">
        <v>298.26</v>
      </c>
      <c r="L11" s="53">
        <v>6.08</v>
      </c>
      <c r="M11" s="53">
        <v>97.25</v>
      </c>
      <c r="N11" s="53">
        <v>29.5</v>
      </c>
      <c r="O11" s="53">
        <v>0</v>
      </c>
      <c r="P11" s="53">
        <v>2.58</v>
      </c>
      <c r="Q11" s="53">
        <v>9.69</v>
      </c>
      <c r="R11" s="43"/>
      <c r="S11" s="43"/>
      <c r="T11" s="43"/>
      <c r="U11" s="43"/>
    </row>
    <row r="12" spans="1:21" s="11" customFormat="1" x14ac:dyDescent="0.25">
      <c r="A12" s="52" t="s">
        <v>686</v>
      </c>
      <c r="B12" s="53">
        <v>90.74</v>
      </c>
      <c r="C12" s="53">
        <v>1.06</v>
      </c>
      <c r="D12" s="53">
        <v>70.319999999999993</v>
      </c>
      <c r="E12" s="53">
        <v>6.08</v>
      </c>
      <c r="F12" s="53">
        <v>2.7</v>
      </c>
      <c r="G12" s="53">
        <v>112.98</v>
      </c>
      <c r="H12" s="53">
        <v>55.24</v>
      </c>
      <c r="I12" s="53">
        <v>9.23</v>
      </c>
      <c r="J12" s="53">
        <v>0.49</v>
      </c>
      <c r="K12" s="53">
        <v>324.33</v>
      </c>
      <c r="L12" s="53">
        <v>5.59</v>
      </c>
      <c r="M12" s="53">
        <v>97.35</v>
      </c>
      <c r="N12" s="53">
        <v>29.6</v>
      </c>
      <c r="O12" s="53">
        <v>0</v>
      </c>
      <c r="P12" s="53">
        <v>2.4700000000000002</v>
      </c>
      <c r="Q12" s="53">
        <v>9.68</v>
      </c>
      <c r="R12" s="43"/>
      <c r="S12" s="43"/>
      <c r="T12" s="43"/>
      <c r="U12" s="43"/>
    </row>
    <row r="13" spans="1:21" s="11" customFormat="1" x14ac:dyDescent="0.25">
      <c r="A13" s="52" t="s">
        <v>687</v>
      </c>
      <c r="B13" s="53">
        <v>77.319999999999993</v>
      </c>
      <c r="C13" s="53">
        <v>8.68</v>
      </c>
      <c r="D13" s="53">
        <v>62.14</v>
      </c>
      <c r="E13" s="53">
        <v>5.64</v>
      </c>
      <c r="F13" s="53">
        <v>2.48</v>
      </c>
      <c r="G13" s="53">
        <v>65.040000000000006</v>
      </c>
      <c r="H13" s="53">
        <v>45.23</v>
      </c>
      <c r="I13" s="53">
        <v>8.52</v>
      </c>
      <c r="J13" s="53">
        <v>0.5</v>
      </c>
      <c r="K13" s="53">
        <v>309.14999999999998</v>
      </c>
      <c r="L13" s="53">
        <v>5.23</v>
      </c>
      <c r="M13" s="53">
        <v>97.18</v>
      </c>
      <c r="N13" s="53">
        <v>29.3</v>
      </c>
      <c r="O13" s="53">
        <v>0</v>
      </c>
      <c r="P13" s="53">
        <v>2.14</v>
      </c>
      <c r="Q13" s="53">
        <v>9.66</v>
      </c>
      <c r="R13" s="43"/>
      <c r="S13" s="43"/>
      <c r="T13" s="43"/>
      <c r="U13" s="43"/>
    </row>
    <row r="14" spans="1:21" s="11" customFormat="1" x14ac:dyDescent="0.25">
      <c r="A14" s="52" t="s">
        <v>688</v>
      </c>
      <c r="B14" s="53">
        <v>64.14</v>
      </c>
      <c r="C14" s="53">
        <v>12.94</v>
      </c>
      <c r="D14" s="53">
        <v>55.06</v>
      </c>
      <c r="E14" s="53">
        <v>5.55</v>
      </c>
      <c r="F14" s="53">
        <v>2.54</v>
      </c>
      <c r="G14" s="53">
        <v>45.25</v>
      </c>
      <c r="H14" s="53">
        <v>35.79</v>
      </c>
      <c r="I14" s="53">
        <v>7.27</v>
      </c>
      <c r="J14" s="53">
        <v>0.52</v>
      </c>
      <c r="K14" s="53">
        <v>342.7</v>
      </c>
      <c r="L14" s="53">
        <v>5.12</v>
      </c>
      <c r="M14" s="53">
        <v>97.24</v>
      </c>
      <c r="N14" s="53">
        <v>29.5</v>
      </c>
      <c r="O14" s="53">
        <v>0</v>
      </c>
      <c r="P14" s="53">
        <v>1.83</v>
      </c>
      <c r="Q14" s="53">
        <v>9.66</v>
      </c>
      <c r="R14" s="43"/>
      <c r="S14" s="43"/>
      <c r="T14" s="43"/>
      <c r="U14" s="43"/>
    </row>
    <row r="15" spans="1:21" s="11" customFormat="1" x14ac:dyDescent="0.25">
      <c r="A15" s="52" t="s">
        <v>689</v>
      </c>
      <c r="B15" s="53">
        <v>65.78</v>
      </c>
      <c r="C15" s="53">
        <v>12.56</v>
      </c>
      <c r="D15" s="53">
        <v>56.54</v>
      </c>
      <c r="E15" s="53">
        <v>5.41</v>
      </c>
      <c r="F15" s="53">
        <v>2.57</v>
      </c>
      <c r="G15" s="53">
        <v>49.7</v>
      </c>
      <c r="H15" s="53">
        <v>28.94</v>
      </c>
      <c r="I15" s="53">
        <v>6.74</v>
      </c>
      <c r="J15" s="53">
        <v>0.5</v>
      </c>
      <c r="K15" s="53">
        <v>277.75</v>
      </c>
      <c r="L15" s="53">
        <v>4.7300000000000004</v>
      </c>
      <c r="M15" s="53">
        <v>97.6</v>
      </c>
      <c r="N15" s="53">
        <v>40.799999999999997</v>
      </c>
      <c r="O15" s="53">
        <v>0</v>
      </c>
      <c r="P15" s="53">
        <v>1.64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690</v>
      </c>
      <c r="B16" s="53">
        <v>79.98</v>
      </c>
      <c r="C16" s="53">
        <v>8.58</v>
      </c>
      <c r="D16" s="53">
        <v>64.61</v>
      </c>
      <c r="E16" s="53">
        <v>5.69</v>
      </c>
      <c r="F16" s="53">
        <v>2.83</v>
      </c>
      <c r="G16" s="53">
        <v>58.48</v>
      </c>
      <c r="H16" s="53">
        <v>30.39</v>
      </c>
      <c r="I16" s="53">
        <v>6.29</v>
      </c>
      <c r="J16" s="53">
        <v>0.62</v>
      </c>
      <c r="K16" s="53">
        <v>320.33</v>
      </c>
      <c r="L16" s="53">
        <v>9</v>
      </c>
      <c r="M16" s="53">
        <v>97.69</v>
      </c>
      <c r="N16" s="53">
        <v>167.7</v>
      </c>
      <c r="O16" s="53">
        <v>0</v>
      </c>
      <c r="P16" s="53">
        <v>1.7</v>
      </c>
      <c r="Q16" s="53">
        <v>9.66</v>
      </c>
      <c r="R16" s="43"/>
      <c r="S16" s="43"/>
      <c r="T16" s="43"/>
      <c r="U16" s="43"/>
    </row>
    <row r="17" spans="1:21" s="11" customFormat="1" x14ac:dyDescent="0.25">
      <c r="A17" s="52" t="s">
        <v>691</v>
      </c>
      <c r="B17" s="53">
        <v>77.41</v>
      </c>
      <c r="C17" s="53">
        <v>8.8699999999999992</v>
      </c>
      <c r="D17" s="53">
        <v>62.46</v>
      </c>
      <c r="E17" s="53">
        <v>5.8</v>
      </c>
      <c r="F17" s="53">
        <v>2.65</v>
      </c>
      <c r="G17" s="53">
        <v>64.67</v>
      </c>
      <c r="H17" s="53">
        <v>31.74</v>
      </c>
      <c r="I17" s="53">
        <v>6.2</v>
      </c>
      <c r="J17" s="53">
        <v>1.03</v>
      </c>
      <c r="K17" s="53">
        <v>347.18</v>
      </c>
      <c r="L17" s="53">
        <v>14.19</v>
      </c>
      <c r="M17" s="53">
        <v>66.19</v>
      </c>
      <c r="N17" s="53">
        <v>289.5</v>
      </c>
      <c r="O17" s="53">
        <v>0</v>
      </c>
      <c r="P17" s="53">
        <v>1.55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692</v>
      </c>
      <c r="B18" s="53">
        <v>66.45</v>
      </c>
      <c r="C18" s="53">
        <v>16.53</v>
      </c>
      <c r="D18" s="53">
        <v>57.25</v>
      </c>
      <c r="E18" s="53">
        <v>5.93</v>
      </c>
      <c r="F18" s="53">
        <v>2.52</v>
      </c>
      <c r="G18" s="53">
        <v>44.06</v>
      </c>
      <c r="H18" s="53">
        <v>23.85</v>
      </c>
      <c r="I18" s="53">
        <v>6.06</v>
      </c>
      <c r="J18" s="53">
        <v>1.1000000000000001</v>
      </c>
      <c r="K18" s="53">
        <v>342.02</v>
      </c>
      <c r="L18" s="53">
        <v>15.36</v>
      </c>
      <c r="M18" s="53">
        <v>47.04</v>
      </c>
      <c r="N18" s="53">
        <v>374</v>
      </c>
      <c r="O18" s="53">
        <v>0</v>
      </c>
      <c r="P18" s="53">
        <v>1.29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693</v>
      </c>
      <c r="B19" s="53">
        <v>54.95</v>
      </c>
      <c r="C19" s="53">
        <v>23.04</v>
      </c>
      <c r="D19" s="53">
        <v>51.85</v>
      </c>
      <c r="E19" s="53">
        <v>6.23</v>
      </c>
      <c r="F19" s="53">
        <v>2.88</v>
      </c>
      <c r="G19" s="53">
        <v>39.119999999999997</v>
      </c>
      <c r="H19" s="53">
        <v>24.08</v>
      </c>
      <c r="I19" s="53">
        <v>5.14</v>
      </c>
      <c r="J19" s="53">
        <v>1.44</v>
      </c>
      <c r="K19" s="53">
        <v>343.21</v>
      </c>
      <c r="L19" s="53">
        <v>19.23</v>
      </c>
      <c r="M19" s="53">
        <v>47.47</v>
      </c>
      <c r="N19" s="53">
        <v>404.9</v>
      </c>
      <c r="O19" s="53">
        <v>0</v>
      </c>
      <c r="P19" s="53">
        <v>1.1599999999999999</v>
      </c>
      <c r="Q19" s="53">
        <v>9.65</v>
      </c>
      <c r="R19" s="43"/>
      <c r="S19" s="43"/>
      <c r="T19" s="43"/>
      <c r="U19" s="43"/>
    </row>
    <row r="20" spans="1:21" s="11" customFormat="1" x14ac:dyDescent="0.25">
      <c r="A20" s="52" t="s">
        <v>694</v>
      </c>
      <c r="B20" s="53">
        <v>43.85</v>
      </c>
      <c r="C20" s="53">
        <v>28.08</v>
      </c>
      <c r="D20" s="53">
        <v>46.41</v>
      </c>
      <c r="E20" s="53">
        <v>6.49</v>
      </c>
      <c r="F20" s="53">
        <v>3.18</v>
      </c>
      <c r="G20" s="53">
        <v>36.369999999999997</v>
      </c>
      <c r="H20" s="53">
        <v>20.49</v>
      </c>
      <c r="I20" s="53">
        <v>4.68</v>
      </c>
      <c r="J20" s="53">
        <v>1</v>
      </c>
      <c r="K20" s="53">
        <v>337.61</v>
      </c>
      <c r="L20" s="53">
        <v>20.190000000000001</v>
      </c>
      <c r="M20" s="53">
        <v>34.81</v>
      </c>
      <c r="N20" s="53">
        <v>431.9</v>
      </c>
      <c r="O20" s="53">
        <v>0</v>
      </c>
      <c r="P20" s="53">
        <v>1.07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695</v>
      </c>
      <c r="B21" s="53">
        <v>36.49</v>
      </c>
      <c r="C21" s="53">
        <v>32.85</v>
      </c>
      <c r="D21" s="53">
        <v>42.89</v>
      </c>
      <c r="E21" s="53">
        <v>8.17</v>
      </c>
      <c r="F21" s="53">
        <v>3.63</v>
      </c>
      <c r="G21" s="53">
        <v>29.55</v>
      </c>
      <c r="H21" s="53">
        <v>16.690000000000001</v>
      </c>
      <c r="I21" s="53">
        <v>4.3099999999999996</v>
      </c>
      <c r="J21" s="53">
        <v>0.7</v>
      </c>
      <c r="K21" s="53">
        <v>333.08</v>
      </c>
      <c r="L21" s="53">
        <v>19.96</v>
      </c>
      <c r="M21" s="53">
        <v>29.84</v>
      </c>
      <c r="N21" s="53">
        <v>411.3</v>
      </c>
      <c r="O21" s="53">
        <v>0</v>
      </c>
      <c r="P21" s="53">
        <v>0.98</v>
      </c>
      <c r="Q21" s="53">
        <v>9.58</v>
      </c>
      <c r="R21" s="43"/>
      <c r="S21" s="43"/>
      <c r="T21" s="43"/>
      <c r="U21" s="43"/>
    </row>
    <row r="22" spans="1:21" s="11" customFormat="1" x14ac:dyDescent="0.25">
      <c r="A22" s="52" t="s">
        <v>696</v>
      </c>
      <c r="B22" s="53">
        <v>31.43</v>
      </c>
      <c r="C22" s="53">
        <v>37.590000000000003</v>
      </c>
      <c r="D22" s="53">
        <v>41.1</v>
      </c>
      <c r="E22" s="53">
        <v>7.35</v>
      </c>
      <c r="F22" s="53">
        <v>4.12</v>
      </c>
      <c r="G22" s="53">
        <v>38.299999999999997</v>
      </c>
      <c r="H22" s="53">
        <v>14.2</v>
      </c>
      <c r="I22" s="53">
        <v>3.96</v>
      </c>
      <c r="J22" s="53">
        <v>1.45</v>
      </c>
      <c r="K22" s="53">
        <v>341.87</v>
      </c>
      <c r="L22" s="53">
        <v>19.8</v>
      </c>
      <c r="M22" s="53">
        <v>30.99</v>
      </c>
      <c r="N22" s="53">
        <v>338.7</v>
      </c>
      <c r="O22" s="53">
        <v>0</v>
      </c>
      <c r="P22" s="53">
        <v>1.1299999999999999</v>
      </c>
      <c r="Q22" s="53">
        <v>9.52</v>
      </c>
      <c r="R22" s="43"/>
      <c r="S22" s="43"/>
      <c r="T22" s="43"/>
      <c r="U22" s="43"/>
    </row>
    <row r="23" spans="1:21" s="11" customFormat="1" x14ac:dyDescent="0.25">
      <c r="A23" s="52" t="s">
        <v>697</v>
      </c>
      <c r="B23" s="53">
        <v>22.17</v>
      </c>
      <c r="C23" s="53">
        <v>40.86</v>
      </c>
      <c r="D23" s="53">
        <v>36.840000000000003</v>
      </c>
      <c r="E23" s="53">
        <v>11.11</v>
      </c>
      <c r="F23" s="53">
        <v>6.77</v>
      </c>
      <c r="G23" s="53">
        <v>39.11</v>
      </c>
      <c r="H23" s="53">
        <v>14.6</v>
      </c>
      <c r="I23" s="53">
        <v>3.6</v>
      </c>
      <c r="J23" s="53">
        <v>1.43</v>
      </c>
      <c r="K23" s="53">
        <v>340.33</v>
      </c>
      <c r="L23" s="53">
        <v>19.34</v>
      </c>
      <c r="M23" s="53">
        <v>26.87</v>
      </c>
      <c r="N23" s="53">
        <v>130.69999999999999</v>
      </c>
      <c r="O23" s="53">
        <v>0</v>
      </c>
      <c r="P23" s="53">
        <v>1.03</v>
      </c>
      <c r="Q23" s="53">
        <v>9.4600000000000009</v>
      </c>
      <c r="R23" s="43"/>
      <c r="S23" s="43"/>
      <c r="T23" s="43"/>
      <c r="U23" s="43"/>
    </row>
    <row r="24" spans="1:21" s="11" customFormat="1" x14ac:dyDescent="0.25">
      <c r="A24" s="52" t="s">
        <v>698</v>
      </c>
      <c r="B24" s="53">
        <v>21.7</v>
      </c>
      <c r="C24" s="53">
        <v>43.2</v>
      </c>
      <c r="D24" s="53">
        <v>37.18</v>
      </c>
      <c r="E24" s="53">
        <v>11.98</v>
      </c>
      <c r="F24" s="53">
        <v>10.07</v>
      </c>
      <c r="G24" s="53">
        <v>30.93</v>
      </c>
      <c r="H24" s="53">
        <v>14.39</v>
      </c>
      <c r="I24" s="53">
        <v>2.97</v>
      </c>
      <c r="J24" s="53">
        <v>1.21</v>
      </c>
      <c r="K24" s="53">
        <v>341.36</v>
      </c>
      <c r="L24" s="53">
        <v>17.399999999999999</v>
      </c>
      <c r="M24" s="53">
        <v>28.5</v>
      </c>
      <c r="N24" s="53">
        <v>65.5</v>
      </c>
      <c r="O24" s="53">
        <v>0</v>
      </c>
      <c r="P24" s="53">
        <v>0.92</v>
      </c>
      <c r="Q24" s="53">
        <v>9.42</v>
      </c>
      <c r="R24" s="43"/>
      <c r="S24" s="43"/>
      <c r="T24" s="43"/>
      <c r="U24" s="43"/>
    </row>
    <row r="25" spans="1:21" s="11" customFormat="1" x14ac:dyDescent="0.25">
      <c r="A25" s="52" t="s">
        <v>699</v>
      </c>
      <c r="B25" s="53">
        <v>14.39</v>
      </c>
      <c r="C25" s="53">
        <v>41.19</v>
      </c>
      <c r="D25" s="53">
        <v>30.79</v>
      </c>
      <c r="E25" s="53">
        <v>10.07</v>
      </c>
      <c r="F25" s="53">
        <v>6.07</v>
      </c>
      <c r="G25" s="53">
        <v>24.78</v>
      </c>
      <c r="H25" s="53">
        <v>11.45</v>
      </c>
      <c r="I25" s="53">
        <v>2.72</v>
      </c>
      <c r="J25" s="53">
        <v>1.22</v>
      </c>
      <c r="K25" s="53">
        <v>332.88</v>
      </c>
      <c r="L25" s="53">
        <v>16.32</v>
      </c>
      <c r="M25" s="53">
        <v>30.87</v>
      </c>
      <c r="N25" s="53">
        <v>50.9</v>
      </c>
      <c r="O25" s="53">
        <v>0</v>
      </c>
      <c r="P25" s="53">
        <v>0.93</v>
      </c>
      <c r="Q25" s="53">
        <v>9.4</v>
      </c>
      <c r="R25" s="43"/>
      <c r="S25" s="43"/>
      <c r="T25" s="43"/>
      <c r="U25" s="43"/>
    </row>
    <row r="26" spans="1:21" s="11" customFormat="1" x14ac:dyDescent="0.25">
      <c r="A26" s="52" t="s">
        <v>700</v>
      </c>
      <c r="B26" s="53">
        <v>16.82</v>
      </c>
      <c r="C26" s="53">
        <v>43.04</v>
      </c>
      <c r="D26" s="53">
        <v>34.130000000000003</v>
      </c>
      <c r="E26" s="53">
        <v>5.55</v>
      </c>
      <c r="F26" s="53">
        <v>3.15</v>
      </c>
      <c r="G26" s="53">
        <v>32.270000000000003</v>
      </c>
      <c r="H26" s="53">
        <v>12.41</v>
      </c>
      <c r="I26" s="53">
        <v>2.99</v>
      </c>
      <c r="J26" s="53">
        <v>1.01</v>
      </c>
      <c r="K26" s="53">
        <v>342.85</v>
      </c>
      <c r="L26" s="53">
        <v>14.73</v>
      </c>
      <c r="M26" s="53">
        <v>40.15</v>
      </c>
      <c r="N26" s="53">
        <v>34.700000000000003</v>
      </c>
      <c r="O26" s="53">
        <v>0</v>
      </c>
      <c r="P26" s="53">
        <v>1.01</v>
      </c>
      <c r="Q26" s="53">
        <v>9.39</v>
      </c>
      <c r="R26" s="43"/>
      <c r="S26" s="43"/>
      <c r="T26" s="43"/>
      <c r="U26" s="43"/>
    </row>
    <row r="27" spans="1:21" s="11" customFormat="1" x14ac:dyDescent="0.25">
      <c r="A27" s="52" t="s">
        <v>701</v>
      </c>
      <c r="B27" s="53">
        <v>25.68</v>
      </c>
      <c r="C27" s="53">
        <v>39.909999999999997</v>
      </c>
      <c r="D27" s="53">
        <v>37.47</v>
      </c>
      <c r="E27" s="53">
        <v>4.74</v>
      </c>
      <c r="F27" s="53">
        <v>2.72</v>
      </c>
      <c r="G27" s="53">
        <v>56.57</v>
      </c>
      <c r="H27" s="53">
        <v>16.43</v>
      </c>
      <c r="I27" s="53">
        <v>3.24</v>
      </c>
      <c r="J27" s="53">
        <v>0.53</v>
      </c>
      <c r="K27" s="53">
        <v>120.11</v>
      </c>
      <c r="L27" s="53">
        <v>11.6</v>
      </c>
      <c r="M27" s="53">
        <v>60.99</v>
      </c>
      <c r="N27" s="53">
        <v>29.7</v>
      </c>
      <c r="O27" s="53">
        <v>0</v>
      </c>
      <c r="P27" s="53">
        <v>1.1399999999999999</v>
      </c>
      <c r="Q27" s="53">
        <v>9.4499999999999993</v>
      </c>
      <c r="R27" s="43"/>
      <c r="S27" s="43"/>
      <c r="T27" s="43"/>
      <c r="U27" s="43"/>
    </row>
    <row r="28" spans="1:21" s="11" customFormat="1" x14ac:dyDescent="0.25">
      <c r="A28" s="52" t="s">
        <v>702</v>
      </c>
      <c r="B28" s="53">
        <v>81.099999999999994</v>
      </c>
      <c r="C28" s="53">
        <v>28.75</v>
      </c>
      <c r="D28" s="53">
        <v>71.97</v>
      </c>
      <c r="E28" s="53">
        <v>5.69</v>
      </c>
      <c r="F28" s="53">
        <v>2.46</v>
      </c>
      <c r="G28" s="53">
        <v>94.99</v>
      </c>
      <c r="H28" s="53">
        <v>27.79</v>
      </c>
      <c r="I28" s="53">
        <v>5.0599999999999996</v>
      </c>
      <c r="J28" s="53">
        <v>0.38</v>
      </c>
      <c r="K28" s="53">
        <v>327</v>
      </c>
      <c r="L28" s="53">
        <v>9.7799999999999994</v>
      </c>
      <c r="M28" s="53">
        <v>71.34</v>
      </c>
      <c r="N28" s="53">
        <v>29.5</v>
      </c>
      <c r="O28" s="53">
        <v>0</v>
      </c>
      <c r="P28" s="53">
        <v>2.0299999999999998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703</v>
      </c>
      <c r="B29" s="53">
        <v>94.5</v>
      </c>
      <c r="C29" s="53">
        <v>14.01</v>
      </c>
      <c r="D29" s="53">
        <v>76.84</v>
      </c>
      <c r="E29" s="53">
        <v>6</v>
      </c>
      <c r="F29" s="53">
        <v>2.66</v>
      </c>
      <c r="G29" s="53">
        <v>113.42</v>
      </c>
      <c r="H29" s="53">
        <v>37.01</v>
      </c>
      <c r="I29" s="53">
        <v>6.55</v>
      </c>
      <c r="J29" s="53">
        <v>0.46</v>
      </c>
      <c r="K29" s="53">
        <v>320.74</v>
      </c>
      <c r="L29" s="53">
        <v>8.6</v>
      </c>
      <c r="M29" s="53">
        <v>93.52</v>
      </c>
      <c r="N29" s="53">
        <v>29.4</v>
      </c>
      <c r="O29" s="53">
        <v>0</v>
      </c>
      <c r="P29" s="53">
        <v>2.46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704</v>
      </c>
      <c r="B30" s="53">
        <v>119.68</v>
      </c>
      <c r="C30" s="53">
        <v>4.21</v>
      </c>
      <c r="D30" s="53">
        <v>89.88</v>
      </c>
      <c r="E30" s="53">
        <v>6.01</v>
      </c>
      <c r="F30" s="53">
        <v>2.8</v>
      </c>
      <c r="G30" s="53">
        <v>113.81</v>
      </c>
      <c r="H30" s="53">
        <v>46.11</v>
      </c>
      <c r="I30" s="53">
        <v>7.85</v>
      </c>
      <c r="J30" s="53">
        <v>0.51</v>
      </c>
      <c r="K30" s="53">
        <v>349.35</v>
      </c>
      <c r="L30" s="53">
        <v>8.02</v>
      </c>
      <c r="M30" s="53">
        <v>93.63</v>
      </c>
      <c r="N30" s="53">
        <v>29.3</v>
      </c>
      <c r="O30" s="53">
        <v>0</v>
      </c>
      <c r="P30" s="53">
        <v>2.96</v>
      </c>
      <c r="Q30" s="53">
        <v>9.6999999999999993</v>
      </c>
      <c r="R30" s="43"/>
      <c r="S30" s="43"/>
      <c r="T30" s="43"/>
      <c r="U30" s="43"/>
    </row>
    <row r="31" spans="1:21" s="11" customFormat="1" x14ac:dyDescent="0.25">
      <c r="A31" s="52" t="s">
        <v>705</v>
      </c>
      <c r="B31" s="53">
        <v>137.99</v>
      </c>
      <c r="C31" s="53">
        <v>4.21</v>
      </c>
      <c r="D31" s="53">
        <v>99.57</v>
      </c>
      <c r="E31" s="53">
        <v>6.42</v>
      </c>
      <c r="F31" s="53">
        <v>2.54</v>
      </c>
      <c r="G31" s="53">
        <v>115.85</v>
      </c>
      <c r="H31" s="53">
        <v>48.81</v>
      </c>
      <c r="I31" s="53">
        <v>9.59</v>
      </c>
      <c r="J31" s="53">
        <v>0.59</v>
      </c>
      <c r="K31" s="53">
        <v>336.8</v>
      </c>
      <c r="L31" s="53">
        <v>7.55</v>
      </c>
      <c r="M31" s="53">
        <v>96.78</v>
      </c>
      <c r="N31" s="53">
        <v>29.6</v>
      </c>
      <c r="O31" s="53">
        <v>0</v>
      </c>
      <c r="P31" s="53">
        <v>3.41</v>
      </c>
      <c r="Q31" s="53">
        <v>9.7100000000000009</v>
      </c>
      <c r="R31" s="43"/>
      <c r="S31" s="43"/>
      <c r="T31" s="43"/>
      <c r="U31" s="43"/>
    </row>
    <row r="32" spans="1:21" s="11" customFormat="1" x14ac:dyDescent="0.25">
      <c r="A32" s="52" t="s">
        <v>706</v>
      </c>
      <c r="B32" s="53">
        <v>135.66999999999999</v>
      </c>
      <c r="C32" s="53">
        <v>3.21</v>
      </c>
      <c r="D32" s="53">
        <v>97.73</v>
      </c>
      <c r="E32" s="53">
        <v>6.43</v>
      </c>
      <c r="F32" s="53">
        <v>2.62</v>
      </c>
      <c r="G32" s="53">
        <v>64.239999999999995</v>
      </c>
      <c r="H32" s="53">
        <v>47.06</v>
      </c>
      <c r="I32" s="53">
        <v>10.52</v>
      </c>
      <c r="J32" s="53">
        <v>0.54</v>
      </c>
      <c r="K32" s="53">
        <v>230.86</v>
      </c>
      <c r="L32" s="53">
        <v>7.08</v>
      </c>
      <c r="M32" s="53">
        <v>93.65</v>
      </c>
      <c r="N32" s="53">
        <v>29.4</v>
      </c>
      <c r="O32" s="53">
        <v>0</v>
      </c>
      <c r="P32" s="53">
        <v>3.38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14.39</v>
      </c>
      <c r="C34" s="28">
        <f t="shared" si="0"/>
        <v>1.06</v>
      </c>
      <c r="D34" s="28">
        <f t="shared" si="0"/>
        <v>30.79</v>
      </c>
      <c r="E34" s="28">
        <f t="shared" si="0"/>
        <v>4.74</v>
      </c>
      <c r="F34" s="28">
        <f t="shared" si="0"/>
        <v>2.4500000000000002</v>
      </c>
      <c r="G34" s="28">
        <f t="shared" si="0"/>
        <v>24.78</v>
      </c>
      <c r="H34" s="28">
        <f t="shared" si="0"/>
        <v>11.45</v>
      </c>
      <c r="I34" s="28">
        <f t="shared" si="0"/>
        <v>2.72</v>
      </c>
      <c r="J34" s="28">
        <f t="shared" si="0"/>
        <v>0.38</v>
      </c>
      <c r="K34" s="28">
        <f t="shared" si="0"/>
        <v>120.11</v>
      </c>
      <c r="L34" s="28">
        <f t="shared" si="0"/>
        <v>4.7300000000000004</v>
      </c>
      <c r="M34" s="28">
        <f t="shared" si="0"/>
        <v>26.87</v>
      </c>
      <c r="N34" s="28">
        <f t="shared" si="0"/>
        <v>29.3</v>
      </c>
      <c r="O34" s="28">
        <f t="shared" si="0"/>
        <v>0</v>
      </c>
      <c r="P34" s="28">
        <f t="shared" si="0"/>
        <v>0.92</v>
      </c>
      <c r="Q34" s="28">
        <f t="shared" si="0"/>
        <v>9.39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137.99</v>
      </c>
      <c r="C35" s="29">
        <f t="shared" si="1"/>
        <v>43.2</v>
      </c>
      <c r="D35" s="29">
        <f t="shared" si="1"/>
        <v>99.57</v>
      </c>
      <c r="E35" s="29">
        <f t="shared" si="1"/>
        <v>11.98</v>
      </c>
      <c r="F35" s="29">
        <f t="shared" si="1"/>
        <v>10.07</v>
      </c>
      <c r="G35" s="29">
        <f t="shared" si="1"/>
        <v>115.85</v>
      </c>
      <c r="H35" s="29">
        <f t="shared" si="1"/>
        <v>55.24</v>
      </c>
      <c r="I35" s="29">
        <f t="shared" si="1"/>
        <v>10.52</v>
      </c>
      <c r="J35" s="29">
        <f t="shared" si="1"/>
        <v>1.45</v>
      </c>
      <c r="K35" s="29">
        <f t="shared" si="1"/>
        <v>349.35</v>
      </c>
      <c r="L35" s="29">
        <f t="shared" si="1"/>
        <v>20.190000000000001</v>
      </c>
      <c r="M35" s="29">
        <f t="shared" si="1"/>
        <v>97.69</v>
      </c>
      <c r="N35" s="29">
        <f t="shared" si="1"/>
        <v>431.9</v>
      </c>
      <c r="O35" s="29">
        <f t="shared" si="1"/>
        <v>0</v>
      </c>
      <c r="P35" s="29">
        <f t="shared" si="1"/>
        <v>3.41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71.311666666666682</v>
      </c>
      <c r="C36" s="28">
        <f t="shared" si="2"/>
        <v>21.589047619047616</v>
      </c>
      <c r="D36" s="28">
        <f t="shared" si="2"/>
        <v>61.813749999999999</v>
      </c>
      <c r="E36" s="28">
        <f t="shared" si="2"/>
        <v>6.7312499999999984</v>
      </c>
      <c r="F36" s="28">
        <f t="shared" si="2"/>
        <v>3.3991666666666664</v>
      </c>
      <c r="G36" s="28">
        <f t="shared" si="2"/>
        <v>64.826249999999987</v>
      </c>
      <c r="H36" s="28">
        <f t="shared" si="2"/>
        <v>30.930833333333329</v>
      </c>
      <c r="I36" s="28">
        <f t="shared" si="2"/>
        <v>6.3112500000000002</v>
      </c>
      <c r="J36" s="28">
        <f t="shared" si="2"/>
        <v>0.79249999999999998</v>
      </c>
      <c r="K36" s="28">
        <f t="shared" si="2"/>
        <v>310.72208333333333</v>
      </c>
      <c r="L36" s="28">
        <f t="shared" si="2"/>
        <v>11.637916666666667</v>
      </c>
      <c r="M36" s="28">
        <f t="shared" si="2"/>
        <v>69.313749999999985</v>
      </c>
      <c r="N36" s="28">
        <f t="shared" si="2"/>
        <v>128.94583333333333</v>
      </c>
      <c r="O36" s="28">
        <f t="shared" si="2"/>
        <v>0</v>
      </c>
      <c r="P36" s="28">
        <f t="shared" si="2"/>
        <v>1.8458333333333334</v>
      </c>
      <c r="Q36" s="28">
        <f t="shared" si="2"/>
        <v>9.6087499999999988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39.601813492364911</v>
      </c>
      <c r="C37" s="28">
        <f t="shared" ref="C37:Q37" si="3">STDEV(C9:C32)</f>
        <v>15.160919795567123</v>
      </c>
      <c r="D37" s="28">
        <f t="shared" si="3"/>
        <v>21.588110216445326</v>
      </c>
      <c r="E37" s="28">
        <f t="shared" si="3"/>
        <v>1.8191142433708796</v>
      </c>
      <c r="F37" s="28">
        <f t="shared" si="3"/>
        <v>1.7960413393776942</v>
      </c>
      <c r="G37" s="28">
        <f t="shared" si="3"/>
        <v>31.351405323539662</v>
      </c>
      <c r="H37" s="28">
        <f t="shared" si="3"/>
        <v>14.173084692830464</v>
      </c>
      <c r="I37" s="28">
        <f t="shared" si="3"/>
        <v>2.4662474795597444</v>
      </c>
      <c r="J37" s="28">
        <f t="shared" si="3"/>
        <v>0.36147343398687126</v>
      </c>
      <c r="K37" s="28">
        <f t="shared" si="3"/>
        <v>60.51626112615017</v>
      </c>
      <c r="L37" s="28">
        <f t="shared" si="3"/>
        <v>5.5936236828908248</v>
      </c>
      <c r="M37" s="28">
        <f t="shared" si="3"/>
        <v>29.111975096543041</v>
      </c>
      <c r="N37" s="28">
        <f t="shared" si="3"/>
        <v>150.99802181015389</v>
      </c>
      <c r="O37" s="28">
        <f t="shared" si="3"/>
        <v>0</v>
      </c>
      <c r="P37" s="28">
        <f t="shared" si="3"/>
        <v>0.82072034461073884</v>
      </c>
      <c r="Q37" s="28">
        <f t="shared" si="3"/>
        <v>0.10608907250206229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COUNT(C9:C32)+3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707</v>
      </c>
      <c r="B9" s="57" t="s">
        <v>14</v>
      </c>
      <c r="C9" s="57" t="s">
        <v>14</v>
      </c>
      <c r="D9" s="57" t="s">
        <v>14</v>
      </c>
      <c r="E9" s="53">
        <v>5.84</v>
      </c>
      <c r="F9" s="53">
        <v>2.54</v>
      </c>
      <c r="G9" s="53">
        <v>76.31</v>
      </c>
      <c r="H9" s="53">
        <v>41.26</v>
      </c>
      <c r="I9" s="53">
        <v>10.48</v>
      </c>
      <c r="J9" s="53">
        <v>0.56999999999999995</v>
      </c>
      <c r="K9" s="53">
        <v>297.25</v>
      </c>
      <c r="L9" s="53">
        <v>6.32</v>
      </c>
      <c r="M9" s="53">
        <v>97.66</v>
      </c>
      <c r="N9" s="53">
        <v>29.3</v>
      </c>
      <c r="O9" s="53">
        <v>0</v>
      </c>
      <c r="P9" s="53">
        <v>3.33</v>
      </c>
      <c r="Q9" s="53">
        <v>9.6999999999999993</v>
      </c>
      <c r="R9" s="43"/>
      <c r="S9" s="43"/>
      <c r="T9" s="43"/>
      <c r="U9" s="43"/>
    </row>
    <row r="10" spans="1:21" s="11" customFormat="1" x14ac:dyDescent="0.25">
      <c r="A10" s="52" t="s">
        <v>708</v>
      </c>
      <c r="B10" s="57" t="s">
        <v>14</v>
      </c>
      <c r="C10" s="57" t="s">
        <v>14</v>
      </c>
      <c r="D10" s="57" t="s">
        <v>14</v>
      </c>
      <c r="E10" s="53">
        <v>5.81</v>
      </c>
      <c r="F10" s="53">
        <v>2.72</v>
      </c>
      <c r="G10" s="53">
        <v>62.81</v>
      </c>
      <c r="H10" s="53">
        <v>38.82</v>
      </c>
      <c r="I10" s="53">
        <v>10.27</v>
      </c>
      <c r="J10" s="53">
        <v>0.24</v>
      </c>
      <c r="K10" s="53">
        <v>282.72000000000003</v>
      </c>
      <c r="L10" s="53">
        <v>6.13</v>
      </c>
      <c r="M10" s="53">
        <v>97.99</v>
      </c>
      <c r="N10" s="53">
        <v>29.5</v>
      </c>
      <c r="O10" s="53">
        <v>0</v>
      </c>
      <c r="P10" s="53">
        <v>2.71</v>
      </c>
      <c r="Q10" s="53">
        <v>9.69</v>
      </c>
      <c r="R10" s="43"/>
      <c r="S10" s="43"/>
      <c r="T10" s="43"/>
      <c r="U10" s="43"/>
    </row>
    <row r="11" spans="1:21" s="11" customFormat="1" x14ac:dyDescent="0.25">
      <c r="A11" s="52" t="s">
        <v>709</v>
      </c>
      <c r="B11" s="57" t="s">
        <v>14</v>
      </c>
      <c r="C11" s="57" t="s">
        <v>14</v>
      </c>
      <c r="D11" s="57" t="s">
        <v>14</v>
      </c>
      <c r="E11" s="53">
        <v>5.59</v>
      </c>
      <c r="F11" s="53">
        <v>2.62</v>
      </c>
      <c r="G11" s="53">
        <v>84.07</v>
      </c>
      <c r="H11" s="53">
        <v>42.34</v>
      </c>
      <c r="I11" s="53">
        <v>9.73</v>
      </c>
      <c r="J11" s="53">
        <v>0.45</v>
      </c>
      <c r="K11" s="53">
        <v>346.19</v>
      </c>
      <c r="L11" s="53">
        <v>5.23</v>
      </c>
      <c r="M11" s="53">
        <v>98.03</v>
      </c>
      <c r="N11" s="53">
        <v>29.4</v>
      </c>
      <c r="O11" s="53">
        <v>0</v>
      </c>
      <c r="P11" s="53">
        <v>2.5499999999999998</v>
      </c>
      <c r="Q11" s="53">
        <v>9.68</v>
      </c>
      <c r="R11" s="43"/>
      <c r="S11" s="43"/>
      <c r="T11" s="43"/>
      <c r="U11" s="43"/>
    </row>
    <row r="12" spans="1:21" s="11" customFormat="1" x14ac:dyDescent="0.25">
      <c r="A12" s="52" t="s">
        <v>710</v>
      </c>
      <c r="B12" s="57" t="s">
        <v>14</v>
      </c>
      <c r="C12" s="57" t="s">
        <v>14</v>
      </c>
      <c r="D12" s="57" t="s">
        <v>14</v>
      </c>
      <c r="E12" s="53">
        <v>5.48</v>
      </c>
      <c r="F12" s="53">
        <v>2.58</v>
      </c>
      <c r="G12" s="53">
        <v>99.27</v>
      </c>
      <c r="H12" s="53">
        <v>45.28</v>
      </c>
      <c r="I12" s="53">
        <v>8.86</v>
      </c>
      <c r="J12" s="53">
        <v>0.54</v>
      </c>
      <c r="K12" s="53">
        <v>254.29</v>
      </c>
      <c r="L12" s="53">
        <v>5.0599999999999996</v>
      </c>
      <c r="M12" s="53">
        <v>97.57</v>
      </c>
      <c r="N12" s="53">
        <v>29.4</v>
      </c>
      <c r="O12" s="53">
        <v>0</v>
      </c>
      <c r="P12" s="53">
        <v>2.4500000000000002</v>
      </c>
      <c r="Q12" s="53">
        <v>9.68</v>
      </c>
      <c r="R12" s="43"/>
      <c r="S12" s="43"/>
      <c r="T12" s="43"/>
      <c r="U12" s="43"/>
    </row>
    <row r="13" spans="1:21" s="11" customFormat="1" x14ac:dyDescent="0.25">
      <c r="A13" s="52" t="s">
        <v>711</v>
      </c>
      <c r="B13" s="57" t="s">
        <v>14</v>
      </c>
      <c r="C13" s="57" t="s">
        <v>14</v>
      </c>
      <c r="D13" s="57" t="s">
        <v>14</v>
      </c>
      <c r="E13" s="53">
        <v>5.13</v>
      </c>
      <c r="F13" s="53">
        <v>2.79</v>
      </c>
      <c r="G13" s="53">
        <v>73.66</v>
      </c>
      <c r="H13" s="53">
        <v>41.46</v>
      </c>
      <c r="I13" s="53">
        <v>8.57</v>
      </c>
      <c r="J13" s="53">
        <v>0.5</v>
      </c>
      <c r="K13" s="53">
        <v>335.07</v>
      </c>
      <c r="L13" s="53">
        <v>5.04</v>
      </c>
      <c r="M13" s="53">
        <v>97.46</v>
      </c>
      <c r="N13" s="53">
        <v>29.3</v>
      </c>
      <c r="O13" s="53">
        <v>0</v>
      </c>
      <c r="P13" s="53">
        <v>2.25</v>
      </c>
      <c r="Q13" s="53">
        <v>9.66</v>
      </c>
      <c r="R13" s="43"/>
      <c r="S13" s="43"/>
      <c r="T13" s="43"/>
      <c r="U13" s="43"/>
    </row>
    <row r="14" spans="1:21" s="11" customFormat="1" x14ac:dyDescent="0.25">
      <c r="A14" s="52" t="s">
        <v>712</v>
      </c>
      <c r="B14" s="57" t="s">
        <v>14</v>
      </c>
      <c r="C14" s="57" t="s">
        <v>14</v>
      </c>
      <c r="D14" s="57" t="s">
        <v>14</v>
      </c>
      <c r="E14" s="53">
        <v>5.07</v>
      </c>
      <c r="F14" s="53">
        <v>2.48</v>
      </c>
      <c r="G14" s="53">
        <v>78.34</v>
      </c>
      <c r="H14" s="53">
        <v>38.39</v>
      </c>
      <c r="I14" s="53">
        <v>7.99</v>
      </c>
      <c r="J14" s="53">
        <v>0.57999999999999996</v>
      </c>
      <c r="K14" s="53">
        <v>287.61</v>
      </c>
      <c r="L14" s="53">
        <v>4.9800000000000004</v>
      </c>
      <c r="M14" s="53">
        <v>96.95</v>
      </c>
      <c r="N14" s="53">
        <v>29.4</v>
      </c>
      <c r="O14" s="53">
        <v>0</v>
      </c>
      <c r="P14" s="53">
        <v>2.06</v>
      </c>
      <c r="Q14" s="53">
        <v>9.66</v>
      </c>
      <c r="R14" s="43"/>
      <c r="S14" s="43"/>
      <c r="T14" s="43"/>
      <c r="U14" s="43"/>
    </row>
    <row r="15" spans="1:21" s="11" customFormat="1" x14ac:dyDescent="0.25">
      <c r="A15" s="52" t="s">
        <v>713</v>
      </c>
      <c r="B15" s="57" t="s">
        <v>14</v>
      </c>
      <c r="C15" s="57" t="s">
        <v>14</v>
      </c>
      <c r="D15" s="57" t="s">
        <v>14</v>
      </c>
      <c r="E15" s="53">
        <v>5.12</v>
      </c>
      <c r="F15" s="53">
        <v>2.5499999999999998</v>
      </c>
      <c r="G15" s="53">
        <v>55.07</v>
      </c>
      <c r="H15" s="53">
        <v>32.46</v>
      </c>
      <c r="I15" s="53">
        <v>7.49</v>
      </c>
      <c r="J15" s="53">
        <v>0.54</v>
      </c>
      <c r="K15" s="53">
        <v>321.06</v>
      </c>
      <c r="L15" s="53">
        <v>4.4000000000000004</v>
      </c>
      <c r="M15" s="53">
        <v>97.77</v>
      </c>
      <c r="N15" s="53">
        <v>40.9</v>
      </c>
      <c r="O15" s="53">
        <v>0</v>
      </c>
      <c r="P15" s="53">
        <v>1.77</v>
      </c>
      <c r="Q15" s="53">
        <v>9.66</v>
      </c>
      <c r="R15" s="43"/>
      <c r="S15" s="43"/>
      <c r="T15" s="43"/>
      <c r="U15" s="43"/>
    </row>
    <row r="16" spans="1:21" s="11" customFormat="1" x14ac:dyDescent="0.25">
      <c r="A16" s="52" t="s">
        <v>714</v>
      </c>
      <c r="B16" s="57" t="s">
        <v>14</v>
      </c>
      <c r="C16" s="57" t="s">
        <v>14</v>
      </c>
      <c r="D16" s="57" t="s">
        <v>14</v>
      </c>
      <c r="E16" s="53">
        <v>5.03</v>
      </c>
      <c r="F16" s="53">
        <v>2.4500000000000002</v>
      </c>
      <c r="G16" s="53">
        <v>103.26</v>
      </c>
      <c r="H16" s="53">
        <v>30.49</v>
      </c>
      <c r="I16" s="53">
        <v>6.54</v>
      </c>
      <c r="J16" s="53">
        <v>1.1499999999999999</v>
      </c>
      <c r="K16" s="53">
        <v>268.54000000000002</v>
      </c>
      <c r="L16" s="53">
        <v>8.4</v>
      </c>
      <c r="M16" s="53">
        <v>97.75</v>
      </c>
      <c r="N16" s="53">
        <v>185.2</v>
      </c>
      <c r="O16" s="53">
        <v>0</v>
      </c>
      <c r="P16" s="53">
        <v>1.75</v>
      </c>
      <c r="Q16" s="53">
        <v>9.67</v>
      </c>
      <c r="R16" s="43"/>
      <c r="S16" s="43"/>
      <c r="T16" s="43"/>
      <c r="U16" s="43"/>
    </row>
    <row r="17" spans="1:21" s="11" customFormat="1" x14ac:dyDescent="0.25">
      <c r="A17" s="52" t="s">
        <v>715</v>
      </c>
      <c r="B17" s="57" t="s">
        <v>14</v>
      </c>
      <c r="C17" s="57" t="s">
        <v>14</v>
      </c>
      <c r="D17" s="57" t="s">
        <v>14</v>
      </c>
      <c r="E17" s="53">
        <v>4.4800000000000004</v>
      </c>
      <c r="F17" s="53">
        <v>2.42</v>
      </c>
      <c r="G17" s="53">
        <v>40.69</v>
      </c>
      <c r="H17" s="53">
        <v>26.33</v>
      </c>
      <c r="I17" s="53">
        <v>6.06</v>
      </c>
      <c r="J17" s="53">
        <v>1.21</v>
      </c>
      <c r="K17" s="53">
        <v>123.02</v>
      </c>
      <c r="L17" s="53">
        <v>12.5</v>
      </c>
      <c r="M17" s="53">
        <v>59.42</v>
      </c>
      <c r="N17" s="53">
        <v>316.5</v>
      </c>
      <c r="O17" s="53">
        <v>0</v>
      </c>
      <c r="P17" s="53">
        <v>1.62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716</v>
      </c>
      <c r="B18" s="53">
        <v>51.81</v>
      </c>
      <c r="C18" s="53">
        <v>20.329999999999998</v>
      </c>
      <c r="D18" s="53">
        <v>49.66</v>
      </c>
      <c r="E18" s="53">
        <v>4.7699999999999996</v>
      </c>
      <c r="F18" s="53">
        <v>2.81</v>
      </c>
      <c r="G18" s="53">
        <v>31.91</v>
      </c>
      <c r="H18" s="53">
        <v>21.09</v>
      </c>
      <c r="I18" s="53">
        <v>5.49</v>
      </c>
      <c r="J18" s="53">
        <v>2.1</v>
      </c>
      <c r="K18" s="53">
        <v>124.04</v>
      </c>
      <c r="L18" s="53">
        <v>14.13</v>
      </c>
      <c r="M18" s="53">
        <v>49.34</v>
      </c>
      <c r="N18" s="53">
        <v>402.3</v>
      </c>
      <c r="O18" s="53">
        <v>0</v>
      </c>
      <c r="P18" s="53">
        <v>1.5</v>
      </c>
      <c r="Q18" s="53">
        <v>9.64</v>
      </c>
      <c r="R18" s="43"/>
      <c r="S18" s="43"/>
      <c r="T18" s="43"/>
      <c r="U18" s="43"/>
    </row>
    <row r="19" spans="1:21" s="11" customFormat="1" x14ac:dyDescent="0.25">
      <c r="A19" s="52" t="s">
        <v>717</v>
      </c>
      <c r="B19" s="53">
        <v>45.73</v>
      </c>
      <c r="C19" s="53">
        <v>24.77</v>
      </c>
      <c r="D19" s="53">
        <v>46.35</v>
      </c>
      <c r="E19" s="53">
        <v>4.59</v>
      </c>
      <c r="F19" s="53">
        <v>2.8</v>
      </c>
      <c r="G19" s="53">
        <v>33.159999999999997</v>
      </c>
      <c r="H19" s="53">
        <v>20.260000000000002</v>
      </c>
      <c r="I19" s="53">
        <v>5.24</v>
      </c>
      <c r="J19" s="53">
        <v>2.02</v>
      </c>
      <c r="K19" s="53">
        <v>129.83000000000001</v>
      </c>
      <c r="L19" s="53">
        <v>15.23</v>
      </c>
      <c r="M19" s="53">
        <v>43.24</v>
      </c>
      <c r="N19" s="53">
        <v>431.5</v>
      </c>
      <c r="O19" s="53">
        <v>0</v>
      </c>
      <c r="P19" s="53">
        <v>1.33</v>
      </c>
      <c r="Q19" s="53">
        <v>9.64</v>
      </c>
      <c r="R19" s="43"/>
      <c r="S19" s="43"/>
      <c r="T19" s="43"/>
      <c r="U19" s="43"/>
    </row>
    <row r="20" spans="1:21" s="11" customFormat="1" x14ac:dyDescent="0.25">
      <c r="A20" s="52" t="s">
        <v>718</v>
      </c>
      <c r="B20" s="53">
        <v>39.159999999999997</v>
      </c>
      <c r="C20" s="53">
        <v>31.35</v>
      </c>
      <c r="D20" s="53">
        <v>43.34</v>
      </c>
      <c r="E20" s="53">
        <v>4.28</v>
      </c>
      <c r="F20" s="53">
        <v>2.61</v>
      </c>
      <c r="G20" s="53">
        <v>22.65</v>
      </c>
      <c r="H20" s="53">
        <v>17.7</v>
      </c>
      <c r="I20" s="53">
        <v>4.5199999999999996</v>
      </c>
      <c r="J20" s="53">
        <v>1.1299999999999999</v>
      </c>
      <c r="K20" s="53">
        <v>341.65</v>
      </c>
      <c r="L20" s="53">
        <v>19.87</v>
      </c>
      <c r="M20" s="53">
        <v>33.6</v>
      </c>
      <c r="N20" s="53">
        <v>429.6</v>
      </c>
      <c r="O20" s="53">
        <v>0</v>
      </c>
      <c r="P20" s="53">
        <v>1.1100000000000001</v>
      </c>
      <c r="Q20" s="53">
        <v>9.57</v>
      </c>
      <c r="R20" s="43"/>
      <c r="S20" s="43"/>
      <c r="T20" s="43"/>
      <c r="U20" s="43"/>
    </row>
    <row r="21" spans="1:21" s="11" customFormat="1" x14ac:dyDescent="0.25">
      <c r="A21" s="52" t="s">
        <v>719</v>
      </c>
      <c r="B21" s="53">
        <v>28.65</v>
      </c>
      <c r="C21" s="53">
        <v>39.28</v>
      </c>
      <c r="D21" s="53">
        <v>38.700000000000003</v>
      </c>
      <c r="E21" s="53">
        <v>8.15</v>
      </c>
      <c r="F21" s="53">
        <v>7.59</v>
      </c>
      <c r="G21" s="53">
        <v>25.29</v>
      </c>
      <c r="H21" s="53">
        <v>15.18</v>
      </c>
      <c r="I21" s="53">
        <v>4.07</v>
      </c>
      <c r="J21" s="53">
        <v>0.64</v>
      </c>
      <c r="K21" s="53">
        <v>356.31</v>
      </c>
      <c r="L21" s="53">
        <v>20.28</v>
      </c>
      <c r="M21" s="53">
        <v>28.85</v>
      </c>
      <c r="N21" s="53">
        <v>429.8</v>
      </c>
      <c r="O21" s="53">
        <v>0</v>
      </c>
      <c r="P21" s="53">
        <v>0.98</v>
      </c>
      <c r="Q21" s="53">
        <v>9.49</v>
      </c>
      <c r="R21" s="43"/>
      <c r="S21" s="43"/>
      <c r="T21" s="43"/>
      <c r="U21" s="43"/>
    </row>
    <row r="22" spans="1:21" s="11" customFormat="1" x14ac:dyDescent="0.25">
      <c r="A22" s="52" t="s">
        <v>720</v>
      </c>
      <c r="B22" s="53">
        <v>17.760000000000002</v>
      </c>
      <c r="C22" s="53">
        <v>45.93</v>
      </c>
      <c r="D22" s="53">
        <v>33.85</v>
      </c>
      <c r="E22" s="53">
        <v>15.05</v>
      </c>
      <c r="F22" s="53">
        <v>6.4</v>
      </c>
      <c r="G22" s="53">
        <v>35.4</v>
      </c>
      <c r="H22" s="53">
        <v>14.29</v>
      </c>
      <c r="I22" s="53">
        <v>3.62</v>
      </c>
      <c r="J22" s="53">
        <v>1.06</v>
      </c>
      <c r="K22" s="53">
        <v>331.29</v>
      </c>
      <c r="L22" s="53">
        <v>20.9</v>
      </c>
      <c r="M22" s="53">
        <v>24.88</v>
      </c>
      <c r="N22" s="53">
        <v>355.5</v>
      </c>
      <c r="O22" s="53">
        <v>0</v>
      </c>
      <c r="P22" s="53">
        <v>1.01</v>
      </c>
      <c r="Q22" s="53">
        <v>9.43</v>
      </c>
      <c r="R22" s="43"/>
      <c r="S22" s="43"/>
      <c r="T22" s="43"/>
      <c r="U22" s="43"/>
    </row>
    <row r="23" spans="1:21" s="11" customFormat="1" x14ac:dyDescent="0.25">
      <c r="A23" s="52" t="s">
        <v>721</v>
      </c>
      <c r="B23" s="53">
        <v>11.9</v>
      </c>
      <c r="C23" s="53">
        <v>45.09</v>
      </c>
      <c r="D23" s="53">
        <v>31.42</v>
      </c>
      <c r="E23" s="53">
        <v>12.76</v>
      </c>
      <c r="F23" s="53">
        <v>5.57</v>
      </c>
      <c r="G23" s="53">
        <v>42.68</v>
      </c>
      <c r="H23" s="53">
        <v>15.28</v>
      </c>
      <c r="I23" s="53">
        <v>3.33</v>
      </c>
      <c r="J23" s="53">
        <v>1.1599999999999999</v>
      </c>
      <c r="K23" s="53">
        <v>333.66</v>
      </c>
      <c r="L23" s="53">
        <v>18.95</v>
      </c>
      <c r="M23" s="53">
        <v>22.95</v>
      </c>
      <c r="N23" s="53">
        <v>141.69999999999999</v>
      </c>
      <c r="O23" s="53">
        <v>0</v>
      </c>
      <c r="P23" s="53">
        <v>0.96</v>
      </c>
      <c r="Q23" s="53">
        <v>9.39</v>
      </c>
      <c r="R23" s="43"/>
      <c r="S23" s="43"/>
      <c r="T23" s="43"/>
      <c r="U23" s="43"/>
    </row>
    <row r="24" spans="1:21" s="11" customFormat="1" x14ac:dyDescent="0.25">
      <c r="A24" s="52" t="s">
        <v>722</v>
      </c>
      <c r="B24" s="53">
        <v>12.64</v>
      </c>
      <c r="C24" s="53">
        <v>43.53</v>
      </c>
      <c r="D24" s="53">
        <v>30.91</v>
      </c>
      <c r="E24" s="53">
        <v>8.8000000000000007</v>
      </c>
      <c r="F24" s="53">
        <v>5.34</v>
      </c>
      <c r="G24" s="53">
        <v>37.25</v>
      </c>
      <c r="H24" s="53">
        <v>15.79</v>
      </c>
      <c r="I24" s="53">
        <v>3.09</v>
      </c>
      <c r="J24" s="53">
        <v>1.1599999999999999</v>
      </c>
      <c r="K24" s="53">
        <v>338.03</v>
      </c>
      <c r="L24" s="53">
        <v>17.7</v>
      </c>
      <c r="M24" s="53">
        <v>23.45</v>
      </c>
      <c r="N24" s="53">
        <v>65.900000000000006</v>
      </c>
      <c r="O24" s="53">
        <v>0</v>
      </c>
      <c r="P24" s="53">
        <v>0.91</v>
      </c>
      <c r="Q24" s="53">
        <v>9.3800000000000008</v>
      </c>
      <c r="R24" s="43"/>
      <c r="S24" s="43"/>
      <c r="T24" s="43"/>
      <c r="U24" s="43"/>
    </row>
    <row r="25" spans="1:21" s="11" customFormat="1" x14ac:dyDescent="0.25">
      <c r="A25" s="52" t="s">
        <v>723</v>
      </c>
      <c r="B25" s="53">
        <v>14.69</v>
      </c>
      <c r="C25" s="53">
        <v>44.09</v>
      </c>
      <c r="D25" s="53">
        <v>33.11</v>
      </c>
      <c r="E25" s="53">
        <v>9.98</v>
      </c>
      <c r="F25" s="53">
        <v>5.36</v>
      </c>
      <c r="G25" s="53">
        <v>26.31</v>
      </c>
      <c r="H25" s="53">
        <v>12.11</v>
      </c>
      <c r="I25" s="53">
        <v>2.81</v>
      </c>
      <c r="J25" s="53">
        <v>0.95</v>
      </c>
      <c r="K25" s="53">
        <v>332.42</v>
      </c>
      <c r="L25" s="53">
        <v>16.43</v>
      </c>
      <c r="M25" s="53">
        <v>27.85</v>
      </c>
      <c r="N25" s="53">
        <v>49.7</v>
      </c>
      <c r="O25" s="53">
        <v>0</v>
      </c>
      <c r="P25" s="53">
        <v>0.95</v>
      </c>
      <c r="Q25" s="53">
        <v>9.3699999999999992</v>
      </c>
      <c r="R25" s="43"/>
      <c r="S25" s="43"/>
      <c r="T25" s="43"/>
      <c r="U25" s="43"/>
    </row>
    <row r="26" spans="1:21" s="11" customFormat="1" x14ac:dyDescent="0.25">
      <c r="A26" s="52" t="s">
        <v>724</v>
      </c>
      <c r="B26" s="53">
        <v>30.52</v>
      </c>
      <c r="C26" s="53">
        <v>51.83</v>
      </c>
      <c r="D26" s="53">
        <v>44.55</v>
      </c>
      <c r="E26" s="53">
        <v>11.31</v>
      </c>
      <c r="F26" s="53">
        <v>4.83</v>
      </c>
      <c r="G26" s="53">
        <v>35.17</v>
      </c>
      <c r="H26" s="53">
        <v>14.42</v>
      </c>
      <c r="I26" s="53">
        <v>3.4</v>
      </c>
      <c r="J26" s="53">
        <v>0.54</v>
      </c>
      <c r="K26" s="53">
        <v>286.64999999999998</v>
      </c>
      <c r="L26" s="53">
        <v>14.34</v>
      </c>
      <c r="M26" s="53">
        <v>43.43</v>
      </c>
      <c r="N26" s="53">
        <v>34.9</v>
      </c>
      <c r="O26" s="53">
        <v>0</v>
      </c>
      <c r="P26" s="53">
        <v>1.26</v>
      </c>
      <c r="Q26" s="53">
        <v>9.4</v>
      </c>
      <c r="R26" s="43"/>
      <c r="S26" s="43"/>
      <c r="T26" s="43"/>
      <c r="U26" s="43"/>
    </row>
    <row r="27" spans="1:21" s="11" customFormat="1" x14ac:dyDescent="0.25">
      <c r="A27" s="52" t="s">
        <v>725</v>
      </c>
      <c r="B27" s="53">
        <v>38.07</v>
      </c>
      <c r="C27" s="53">
        <v>39.53</v>
      </c>
      <c r="D27" s="53">
        <v>49.51</v>
      </c>
      <c r="E27" s="53">
        <v>8.06</v>
      </c>
      <c r="F27" s="53">
        <v>2.42</v>
      </c>
      <c r="G27" s="53">
        <v>51.62</v>
      </c>
      <c r="H27" s="53">
        <v>17.57</v>
      </c>
      <c r="I27" s="53">
        <v>4.41</v>
      </c>
      <c r="J27" s="53">
        <v>0.52</v>
      </c>
      <c r="K27" s="53">
        <v>299.75</v>
      </c>
      <c r="L27" s="53">
        <v>10.87</v>
      </c>
      <c r="M27" s="53">
        <v>53.81</v>
      </c>
      <c r="N27" s="53">
        <v>29.6</v>
      </c>
      <c r="O27" s="53">
        <v>0</v>
      </c>
      <c r="P27" s="53">
        <v>1.42</v>
      </c>
      <c r="Q27" s="53">
        <v>9.49</v>
      </c>
      <c r="R27" s="43"/>
      <c r="S27" s="43"/>
      <c r="T27" s="43"/>
      <c r="U27" s="43"/>
    </row>
    <row r="28" spans="1:21" s="11" customFormat="1" x14ac:dyDescent="0.25">
      <c r="A28" s="52" t="s">
        <v>726</v>
      </c>
      <c r="B28" s="53">
        <v>54.53</v>
      </c>
      <c r="C28" s="53">
        <v>33.200000000000003</v>
      </c>
      <c r="D28" s="53">
        <v>53.77</v>
      </c>
      <c r="E28" s="53">
        <v>6.93</v>
      </c>
      <c r="F28" s="53">
        <v>2.5</v>
      </c>
      <c r="G28" s="53">
        <v>72.98</v>
      </c>
      <c r="H28" s="53">
        <v>25.33</v>
      </c>
      <c r="I28" s="53">
        <v>4.49</v>
      </c>
      <c r="J28" s="53">
        <v>0.57999999999999996</v>
      </c>
      <c r="K28" s="53">
        <v>205.29</v>
      </c>
      <c r="L28" s="53">
        <v>9.27</v>
      </c>
      <c r="M28" s="53">
        <v>67.03</v>
      </c>
      <c r="N28" s="53">
        <v>29.5</v>
      </c>
      <c r="O28" s="53">
        <v>0</v>
      </c>
      <c r="P28" s="53">
        <v>1.43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727</v>
      </c>
      <c r="B29" s="53">
        <v>90.91</v>
      </c>
      <c r="C29" s="53">
        <v>17.649999999999999</v>
      </c>
      <c r="D29" s="53">
        <v>74.63</v>
      </c>
      <c r="E29" s="53">
        <v>7.01</v>
      </c>
      <c r="F29" s="53">
        <v>2.5499999999999998</v>
      </c>
      <c r="G29" s="53">
        <v>90.72</v>
      </c>
      <c r="H29" s="53">
        <v>35.01</v>
      </c>
      <c r="I29" s="53">
        <v>5.93</v>
      </c>
      <c r="J29" s="53">
        <v>0.53</v>
      </c>
      <c r="K29" s="53">
        <v>321.98</v>
      </c>
      <c r="L29" s="53">
        <v>8.4700000000000006</v>
      </c>
      <c r="M29" s="53">
        <v>77.790000000000006</v>
      </c>
      <c r="N29" s="53">
        <v>29.4</v>
      </c>
      <c r="O29" s="53">
        <v>0</v>
      </c>
      <c r="P29" s="53">
        <v>2</v>
      </c>
      <c r="Q29" s="53">
        <v>9.67</v>
      </c>
      <c r="R29" s="43"/>
      <c r="S29" s="43"/>
      <c r="T29" s="43"/>
      <c r="U29" s="43"/>
    </row>
    <row r="30" spans="1:21" s="11" customFormat="1" x14ac:dyDescent="0.25">
      <c r="A30" s="52" t="s">
        <v>728</v>
      </c>
      <c r="B30" s="53">
        <v>115.28</v>
      </c>
      <c r="C30" s="53">
        <v>3.72</v>
      </c>
      <c r="D30" s="53">
        <v>87.61</v>
      </c>
      <c r="E30" s="53">
        <v>7.26</v>
      </c>
      <c r="F30" s="53">
        <v>2.5499999999999998</v>
      </c>
      <c r="G30" s="53">
        <v>118.06</v>
      </c>
      <c r="H30" s="53">
        <v>46.84</v>
      </c>
      <c r="I30" s="53">
        <v>7.37</v>
      </c>
      <c r="J30" s="53">
        <v>0.53</v>
      </c>
      <c r="K30" s="53">
        <v>321.33999999999997</v>
      </c>
      <c r="L30" s="53">
        <v>7.63</v>
      </c>
      <c r="M30" s="53">
        <v>88.51</v>
      </c>
      <c r="N30" s="53">
        <v>29.4</v>
      </c>
      <c r="O30" s="53">
        <v>0</v>
      </c>
      <c r="P30" s="53">
        <v>2.7</v>
      </c>
      <c r="Q30" s="53">
        <v>9.68</v>
      </c>
      <c r="R30" s="43"/>
      <c r="S30" s="43"/>
      <c r="T30" s="43"/>
      <c r="U30" s="43"/>
    </row>
    <row r="31" spans="1:21" s="11" customFormat="1" x14ac:dyDescent="0.25">
      <c r="A31" s="52" t="s">
        <v>729</v>
      </c>
      <c r="B31" s="53">
        <v>151.15</v>
      </c>
      <c r="C31" s="53">
        <v>3.72</v>
      </c>
      <c r="D31" s="53">
        <v>107.84</v>
      </c>
      <c r="E31" s="53">
        <v>7.97</v>
      </c>
      <c r="F31" s="53">
        <v>2.58</v>
      </c>
      <c r="G31" s="53">
        <v>135.62</v>
      </c>
      <c r="H31" s="53">
        <v>54.91</v>
      </c>
      <c r="I31" s="53">
        <v>9.06</v>
      </c>
      <c r="J31" s="53">
        <v>0.42</v>
      </c>
      <c r="K31" s="53">
        <v>325.76</v>
      </c>
      <c r="L31" s="53">
        <v>6.95</v>
      </c>
      <c r="M31" s="53">
        <v>96.05</v>
      </c>
      <c r="N31" s="53">
        <v>29.4</v>
      </c>
      <c r="O31" s="53">
        <v>0</v>
      </c>
      <c r="P31" s="53">
        <v>3.3</v>
      </c>
      <c r="Q31" s="53">
        <v>9.6999999999999993</v>
      </c>
      <c r="R31" s="43"/>
      <c r="S31" s="43"/>
      <c r="T31" s="43"/>
      <c r="U31" s="43"/>
    </row>
    <row r="32" spans="1:21" s="11" customFormat="1" x14ac:dyDescent="0.25">
      <c r="A32" s="52" t="s">
        <v>730</v>
      </c>
      <c r="B32" s="53">
        <v>156.18</v>
      </c>
      <c r="C32" s="53">
        <v>3.72</v>
      </c>
      <c r="D32" s="53">
        <v>110.46</v>
      </c>
      <c r="E32" s="53">
        <v>8.11</v>
      </c>
      <c r="F32" s="53">
        <v>2.4700000000000002</v>
      </c>
      <c r="G32" s="53">
        <v>129.13</v>
      </c>
      <c r="H32" s="53">
        <v>58.35</v>
      </c>
      <c r="I32" s="53">
        <v>9.85</v>
      </c>
      <c r="J32" s="53">
        <v>0.71</v>
      </c>
      <c r="K32" s="53">
        <v>301.61</v>
      </c>
      <c r="L32" s="53">
        <v>6.55</v>
      </c>
      <c r="M32" s="53">
        <v>87.48</v>
      </c>
      <c r="N32" s="53">
        <v>29.5</v>
      </c>
      <c r="O32" s="53">
        <v>0</v>
      </c>
      <c r="P32" s="53">
        <v>3.38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11.9</v>
      </c>
      <c r="C34" s="28">
        <f t="shared" si="0"/>
        <v>3.72</v>
      </c>
      <c r="D34" s="28">
        <f t="shared" si="0"/>
        <v>30.91</v>
      </c>
      <c r="E34" s="28">
        <f t="shared" si="0"/>
        <v>4.28</v>
      </c>
      <c r="F34" s="28">
        <f t="shared" si="0"/>
        <v>2.42</v>
      </c>
      <c r="G34" s="28">
        <f t="shared" si="0"/>
        <v>22.65</v>
      </c>
      <c r="H34" s="28">
        <f t="shared" si="0"/>
        <v>12.11</v>
      </c>
      <c r="I34" s="28">
        <f t="shared" si="0"/>
        <v>2.81</v>
      </c>
      <c r="J34" s="28">
        <f t="shared" si="0"/>
        <v>0.24</v>
      </c>
      <c r="K34" s="28">
        <f t="shared" si="0"/>
        <v>123.02</v>
      </c>
      <c r="L34" s="28">
        <f t="shared" si="0"/>
        <v>4.4000000000000004</v>
      </c>
      <c r="M34" s="28">
        <f t="shared" si="0"/>
        <v>22.95</v>
      </c>
      <c r="N34" s="28">
        <f t="shared" si="0"/>
        <v>29.3</v>
      </c>
      <c r="O34" s="28">
        <f t="shared" si="0"/>
        <v>0</v>
      </c>
      <c r="P34" s="28">
        <f t="shared" si="0"/>
        <v>0.91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156.18</v>
      </c>
      <c r="C35" s="29">
        <f t="shared" si="1"/>
        <v>51.83</v>
      </c>
      <c r="D35" s="29">
        <f t="shared" si="1"/>
        <v>110.46</v>
      </c>
      <c r="E35" s="29">
        <f t="shared" si="1"/>
        <v>15.05</v>
      </c>
      <c r="F35" s="29">
        <f t="shared" si="1"/>
        <v>7.59</v>
      </c>
      <c r="G35" s="29">
        <f t="shared" si="1"/>
        <v>135.62</v>
      </c>
      <c r="H35" s="29">
        <f t="shared" si="1"/>
        <v>58.35</v>
      </c>
      <c r="I35" s="29">
        <f t="shared" si="1"/>
        <v>10.48</v>
      </c>
      <c r="J35" s="29">
        <f t="shared" si="1"/>
        <v>2.1</v>
      </c>
      <c r="K35" s="29">
        <f t="shared" si="1"/>
        <v>356.31</v>
      </c>
      <c r="L35" s="29">
        <f t="shared" si="1"/>
        <v>20.9</v>
      </c>
      <c r="M35" s="29">
        <f t="shared" si="1"/>
        <v>98.03</v>
      </c>
      <c r="N35" s="29">
        <f t="shared" si="1"/>
        <v>431.5</v>
      </c>
      <c r="O35" s="29">
        <f t="shared" si="1"/>
        <v>0</v>
      </c>
      <c r="P35" s="29">
        <f t="shared" si="1"/>
        <v>3.38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57.265333333333338</v>
      </c>
      <c r="C36" s="28">
        <f t="shared" si="2"/>
        <v>29.849333333333337</v>
      </c>
      <c r="D36" s="28">
        <f t="shared" si="2"/>
        <v>55.714000000000006</v>
      </c>
      <c r="E36" s="28">
        <f t="shared" si="2"/>
        <v>7.190833333333333</v>
      </c>
      <c r="F36" s="28">
        <f t="shared" si="2"/>
        <v>3.3970833333333328</v>
      </c>
      <c r="G36" s="28">
        <f t="shared" si="2"/>
        <v>65.059583333333322</v>
      </c>
      <c r="H36" s="28">
        <f t="shared" si="2"/>
        <v>30.040000000000003</v>
      </c>
      <c r="I36" s="28">
        <f t="shared" si="2"/>
        <v>6.361250000000001</v>
      </c>
      <c r="J36" s="28">
        <f t="shared" si="2"/>
        <v>0.82625000000000026</v>
      </c>
      <c r="K36" s="28">
        <f t="shared" si="2"/>
        <v>286.05666666666667</v>
      </c>
      <c r="L36" s="28">
        <f t="shared" si="2"/>
        <v>11.067916666666667</v>
      </c>
      <c r="M36" s="28">
        <f t="shared" si="2"/>
        <v>67.035833333333329</v>
      </c>
      <c r="N36" s="28">
        <f t="shared" si="2"/>
        <v>134.85833333333335</v>
      </c>
      <c r="O36" s="28">
        <f t="shared" si="2"/>
        <v>0</v>
      </c>
      <c r="P36" s="28">
        <f t="shared" si="2"/>
        <v>1.8637500000000002</v>
      </c>
      <c r="Q36" s="28">
        <f t="shared" si="2"/>
        <v>9.5933333333333319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48.49123040990677</v>
      </c>
      <c r="C37" s="28">
        <f t="shared" ref="C37:Q37" si="3">STDEV(C9:C32)</f>
        <v>16.633811721338922</v>
      </c>
      <c r="D37" s="28">
        <f t="shared" si="3"/>
        <v>26.749709691348578</v>
      </c>
      <c r="E37" s="28">
        <f t="shared" si="3"/>
        <v>2.787560748671901</v>
      </c>
      <c r="F37" s="28">
        <f t="shared" si="3"/>
        <v>1.5221051759542354</v>
      </c>
      <c r="G37" s="28">
        <f t="shared" si="3"/>
        <v>34.203230775337801</v>
      </c>
      <c r="H37" s="28">
        <f t="shared" si="3"/>
        <v>13.97883990957015</v>
      </c>
      <c r="I37" s="28">
        <f t="shared" si="3"/>
        <v>2.5209613633794876</v>
      </c>
      <c r="J37" s="28">
        <f t="shared" si="3"/>
        <v>0.47510010386828133</v>
      </c>
      <c r="K37" s="28">
        <f t="shared" si="3"/>
        <v>70.46100294653705</v>
      </c>
      <c r="L37" s="28">
        <f t="shared" si="3"/>
        <v>5.6515399818692469</v>
      </c>
      <c r="M37" s="28">
        <f t="shared" si="3"/>
        <v>30.025766603784266</v>
      </c>
      <c r="N37" s="28">
        <f t="shared" si="3"/>
        <v>159.05474287767737</v>
      </c>
      <c r="O37" s="28">
        <f t="shared" si="3"/>
        <v>0</v>
      </c>
      <c r="P37" s="28">
        <f t="shared" si="3"/>
        <v>0.80312873243930538</v>
      </c>
      <c r="Q37" s="28">
        <f t="shared" si="3"/>
        <v>0.11885931276885307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COUNT(B9:B32)+9</f>
        <v>24</v>
      </c>
      <c r="C38" s="32">
        <f t="shared" ref="C38:D38" si="4">COUNT(C9:C32)+9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42" sqref="F4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731</v>
      </c>
      <c r="B9" s="53">
        <v>147.4</v>
      </c>
      <c r="C9" s="53">
        <v>3.24</v>
      </c>
      <c r="D9" s="53">
        <v>104.43</v>
      </c>
      <c r="E9" s="53">
        <v>5.97</v>
      </c>
      <c r="F9" s="53">
        <v>2.75</v>
      </c>
      <c r="G9" s="53">
        <v>93.62</v>
      </c>
      <c r="H9" s="53">
        <v>43.82</v>
      </c>
      <c r="I9" s="53">
        <v>10.130000000000001</v>
      </c>
      <c r="J9" s="53">
        <v>0.53</v>
      </c>
      <c r="K9" s="53">
        <v>267.24</v>
      </c>
      <c r="L9" s="53">
        <v>5.9</v>
      </c>
      <c r="M9" s="53">
        <v>91.36</v>
      </c>
      <c r="N9" s="53">
        <v>29.5</v>
      </c>
      <c r="O9" s="53">
        <v>0</v>
      </c>
      <c r="P9" s="53">
        <v>3.17</v>
      </c>
      <c r="Q9" s="53">
        <v>9.7100000000000009</v>
      </c>
      <c r="R9" s="43"/>
      <c r="S9" s="43"/>
      <c r="T9" s="43"/>
      <c r="U9" s="43"/>
    </row>
    <row r="10" spans="1:21" s="11" customFormat="1" x14ac:dyDescent="0.25">
      <c r="A10" s="52" t="s">
        <v>732</v>
      </c>
      <c r="B10" s="53">
        <v>126.08</v>
      </c>
      <c r="C10" s="53">
        <v>3.24</v>
      </c>
      <c r="D10" s="53">
        <v>91.71</v>
      </c>
      <c r="E10" s="53">
        <v>5.99</v>
      </c>
      <c r="F10" s="53">
        <v>2.64</v>
      </c>
      <c r="G10" s="53">
        <v>71.39</v>
      </c>
      <c r="H10" s="53">
        <v>39.5</v>
      </c>
      <c r="I10" s="53">
        <v>9.52</v>
      </c>
      <c r="J10" s="53">
        <v>0.38</v>
      </c>
      <c r="K10" s="53">
        <v>333.94</v>
      </c>
      <c r="L10" s="53">
        <v>5.81</v>
      </c>
      <c r="M10" s="53">
        <v>95.09</v>
      </c>
      <c r="N10" s="53">
        <v>29.4</v>
      </c>
      <c r="O10" s="53">
        <v>0</v>
      </c>
      <c r="P10" s="53">
        <v>2.57</v>
      </c>
      <c r="Q10" s="53">
        <v>9.6999999999999993</v>
      </c>
      <c r="R10" s="43"/>
      <c r="S10" s="43"/>
      <c r="T10" s="43"/>
      <c r="U10" s="43"/>
    </row>
    <row r="11" spans="1:21" s="11" customFormat="1" x14ac:dyDescent="0.25">
      <c r="A11" s="52" t="s">
        <v>733</v>
      </c>
      <c r="B11" s="53">
        <v>108.43</v>
      </c>
      <c r="C11" s="53">
        <v>3.24</v>
      </c>
      <c r="D11" s="53">
        <v>81.239999999999995</v>
      </c>
      <c r="E11" s="53">
        <v>5.36</v>
      </c>
      <c r="F11" s="53">
        <v>2.62</v>
      </c>
      <c r="G11" s="53">
        <v>87.47</v>
      </c>
      <c r="H11" s="53">
        <v>42.61</v>
      </c>
      <c r="I11" s="53">
        <v>8.99</v>
      </c>
      <c r="J11" s="53">
        <v>0.55000000000000004</v>
      </c>
      <c r="K11" s="53">
        <v>287.83999999999997</v>
      </c>
      <c r="L11" s="53">
        <v>5.56</v>
      </c>
      <c r="M11" s="53">
        <v>97.57</v>
      </c>
      <c r="N11" s="53">
        <v>29.5</v>
      </c>
      <c r="O11" s="53">
        <v>0</v>
      </c>
      <c r="P11" s="53">
        <v>2.5</v>
      </c>
      <c r="Q11" s="53">
        <v>9.69</v>
      </c>
      <c r="R11" s="43"/>
      <c r="S11" s="43"/>
      <c r="T11" s="43"/>
      <c r="U11" s="43"/>
    </row>
    <row r="12" spans="1:21" s="11" customFormat="1" x14ac:dyDescent="0.25">
      <c r="A12" s="52" t="s">
        <v>734</v>
      </c>
      <c r="B12" s="53">
        <v>92.74</v>
      </c>
      <c r="C12" s="53">
        <v>2.91</v>
      </c>
      <c r="D12" s="53">
        <v>72.48</v>
      </c>
      <c r="E12" s="53">
        <v>5.36</v>
      </c>
      <c r="F12" s="53">
        <v>2.5099999999999998</v>
      </c>
      <c r="G12" s="53">
        <v>104.6</v>
      </c>
      <c r="H12" s="53">
        <v>45.26</v>
      </c>
      <c r="I12" s="53">
        <v>8.74</v>
      </c>
      <c r="J12" s="53">
        <v>0.56999999999999995</v>
      </c>
      <c r="K12" s="53">
        <v>332.88</v>
      </c>
      <c r="L12" s="53">
        <v>4.7699999999999996</v>
      </c>
      <c r="M12" s="53">
        <v>97.84</v>
      </c>
      <c r="N12" s="53">
        <v>29.6</v>
      </c>
      <c r="O12" s="53">
        <v>0</v>
      </c>
      <c r="P12" s="53">
        <v>2.4900000000000002</v>
      </c>
      <c r="Q12" s="53">
        <v>9.68</v>
      </c>
      <c r="R12" s="43"/>
      <c r="S12" s="43"/>
      <c r="T12" s="43"/>
      <c r="U12" s="43"/>
    </row>
    <row r="13" spans="1:21" s="11" customFormat="1" x14ac:dyDescent="0.25">
      <c r="A13" s="52" t="s">
        <v>735</v>
      </c>
      <c r="B13" s="53">
        <v>81.47</v>
      </c>
      <c r="C13" s="53">
        <v>6.86</v>
      </c>
      <c r="D13" s="53">
        <v>65.55</v>
      </c>
      <c r="E13" s="53">
        <v>5.45</v>
      </c>
      <c r="F13" s="53">
        <v>2.57</v>
      </c>
      <c r="G13" s="53">
        <v>57.15</v>
      </c>
      <c r="H13" s="53">
        <v>35.96</v>
      </c>
      <c r="I13" s="53">
        <v>8.52</v>
      </c>
      <c r="J13" s="53">
        <v>0.56000000000000005</v>
      </c>
      <c r="K13" s="53">
        <v>334.05</v>
      </c>
      <c r="L13" s="53">
        <v>4.26</v>
      </c>
      <c r="M13" s="53">
        <v>97.62</v>
      </c>
      <c r="N13" s="53">
        <v>29.5</v>
      </c>
      <c r="O13" s="53">
        <v>0</v>
      </c>
      <c r="P13" s="53">
        <v>2.34</v>
      </c>
      <c r="Q13" s="53">
        <v>9.66</v>
      </c>
      <c r="R13" s="43"/>
      <c r="S13" s="43"/>
      <c r="T13" s="43"/>
      <c r="U13" s="43"/>
    </row>
    <row r="14" spans="1:21" s="11" customFormat="1" x14ac:dyDescent="0.25">
      <c r="A14" s="52" t="s">
        <v>736</v>
      </c>
      <c r="B14" s="53">
        <v>70.540000000000006</v>
      </c>
      <c r="C14" s="53">
        <v>11.02</v>
      </c>
      <c r="D14" s="53">
        <v>59.17</v>
      </c>
      <c r="E14" s="53">
        <v>4.8600000000000003</v>
      </c>
      <c r="F14" s="53">
        <v>2.68</v>
      </c>
      <c r="G14" s="53">
        <v>49.2</v>
      </c>
      <c r="H14" s="53">
        <v>33.33</v>
      </c>
      <c r="I14" s="53">
        <v>8.24</v>
      </c>
      <c r="J14" s="53">
        <v>0.47</v>
      </c>
      <c r="K14" s="53">
        <v>297.39999999999998</v>
      </c>
      <c r="L14" s="53">
        <v>4.68</v>
      </c>
      <c r="M14" s="53">
        <v>96.99</v>
      </c>
      <c r="N14" s="53">
        <v>29.5</v>
      </c>
      <c r="O14" s="53">
        <v>0</v>
      </c>
      <c r="P14" s="53">
        <v>2.02</v>
      </c>
      <c r="Q14" s="53">
        <v>9.65</v>
      </c>
      <c r="R14" s="43"/>
      <c r="S14" s="43"/>
      <c r="T14" s="43"/>
      <c r="U14" s="43"/>
    </row>
    <row r="15" spans="1:21" s="11" customFormat="1" x14ac:dyDescent="0.25">
      <c r="A15" s="52" t="s">
        <v>737</v>
      </c>
      <c r="B15" s="53">
        <v>70.540000000000006</v>
      </c>
      <c r="C15" s="53">
        <v>10.63</v>
      </c>
      <c r="D15" s="53">
        <v>59.18</v>
      </c>
      <c r="E15" s="53">
        <v>4.82</v>
      </c>
      <c r="F15" s="53">
        <v>2.46</v>
      </c>
      <c r="G15" s="53">
        <v>62.01</v>
      </c>
      <c r="H15" s="53">
        <v>31.63</v>
      </c>
      <c r="I15" s="53">
        <v>8.09</v>
      </c>
      <c r="J15" s="53">
        <v>0.64</v>
      </c>
      <c r="K15" s="53">
        <v>296.12</v>
      </c>
      <c r="L15" s="53">
        <v>4.2699999999999996</v>
      </c>
      <c r="M15" s="53">
        <v>97.82</v>
      </c>
      <c r="N15" s="53">
        <v>39.200000000000003</v>
      </c>
      <c r="O15" s="53">
        <v>0</v>
      </c>
      <c r="P15" s="53">
        <v>1.75</v>
      </c>
      <c r="Q15" s="53">
        <v>9.66</v>
      </c>
      <c r="R15" s="43"/>
      <c r="S15" s="43"/>
      <c r="T15" s="43"/>
      <c r="U15" s="43"/>
    </row>
    <row r="16" spans="1:21" s="11" customFormat="1" x14ac:dyDescent="0.25">
      <c r="A16" s="52" t="s">
        <v>738</v>
      </c>
      <c r="B16" s="53">
        <v>71.03</v>
      </c>
      <c r="C16" s="53">
        <v>12.76</v>
      </c>
      <c r="D16" s="53">
        <v>59.68</v>
      </c>
      <c r="E16" s="53">
        <v>5.1100000000000003</v>
      </c>
      <c r="F16" s="53">
        <v>2.65</v>
      </c>
      <c r="G16" s="53">
        <v>76.09</v>
      </c>
      <c r="H16" s="53">
        <v>35.24</v>
      </c>
      <c r="I16" s="53">
        <v>7.66</v>
      </c>
      <c r="J16" s="53">
        <v>1.29</v>
      </c>
      <c r="K16" s="53">
        <v>172.62</v>
      </c>
      <c r="L16" s="53">
        <v>7.66</v>
      </c>
      <c r="M16" s="53">
        <v>97.8</v>
      </c>
      <c r="N16" s="53">
        <v>181.7</v>
      </c>
      <c r="O16" s="53">
        <v>0</v>
      </c>
      <c r="P16" s="53">
        <v>1.78</v>
      </c>
      <c r="Q16" s="53">
        <v>9.65</v>
      </c>
      <c r="R16" s="43"/>
      <c r="S16" s="43"/>
      <c r="T16" s="43"/>
      <c r="U16" s="43"/>
    </row>
    <row r="17" spans="1:21" s="11" customFormat="1" x14ac:dyDescent="0.25">
      <c r="A17" s="52" t="s">
        <v>739</v>
      </c>
      <c r="B17" s="53">
        <v>59.55</v>
      </c>
      <c r="C17" s="53">
        <v>17.649999999999999</v>
      </c>
      <c r="D17" s="53">
        <v>53.43</v>
      </c>
      <c r="E17" s="53">
        <v>5.2</v>
      </c>
      <c r="F17" s="53">
        <v>2.71</v>
      </c>
      <c r="G17" s="53">
        <v>32.39</v>
      </c>
      <c r="H17" s="53">
        <v>25.18</v>
      </c>
      <c r="I17" s="53">
        <v>7.11</v>
      </c>
      <c r="J17" s="53">
        <v>1.57</v>
      </c>
      <c r="K17" s="53">
        <v>120.06</v>
      </c>
      <c r="L17" s="53">
        <v>11.15</v>
      </c>
      <c r="M17" s="53">
        <v>69.62</v>
      </c>
      <c r="N17" s="53">
        <v>300.3</v>
      </c>
      <c r="O17" s="53">
        <v>0</v>
      </c>
      <c r="P17" s="53">
        <v>1.63</v>
      </c>
      <c r="Q17" s="53">
        <v>9.64</v>
      </c>
      <c r="R17" s="43"/>
      <c r="S17" s="43"/>
      <c r="T17" s="43"/>
      <c r="U17" s="43"/>
    </row>
    <row r="18" spans="1:21" s="11" customFormat="1" x14ac:dyDescent="0.25">
      <c r="A18" s="52" t="s">
        <v>740</v>
      </c>
      <c r="B18" s="53">
        <v>49.52</v>
      </c>
      <c r="C18" s="53">
        <v>23.7</v>
      </c>
      <c r="D18" s="53">
        <v>48.19</v>
      </c>
      <c r="E18" s="53">
        <v>5.0199999999999996</v>
      </c>
      <c r="F18" s="53">
        <v>2.64</v>
      </c>
      <c r="G18" s="53">
        <v>34.85</v>
      </c>
      <c r="H18" s="53">
        <v>18.02</v>
      </c>
      <c r="I18" s="53">
        <v>6.61</v>
      </c>
      <c r="J18" s="53">
        <v>1.71</v>
      </c>
      <c r="K18" s="53">
        <v>128.87</v>
      </c>
      <c r="L18" s="53">
        <v>14.25</v>
      </c>
      <c r="M18" s="53">
        <v>54.99</v>
      </c>
      <c r="N18" s="53">
        <v>376.8</v>
      </c>
      <c r="O18" s="53">
        <v>0</v>
      </c>
      <c r="P18" s="53">
        <v>1.37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741</v>
      </c>
      <c r="B19" s="53">
        <v>31.38</v>
      </c>
      <c r="C19" s="53">
        <v>64.989999999999995</v>
      </c>
      <c r="D19" s="53">
        <v>45.96</v>
      </c>
      <c r="E19" s="53">
        <v>11.22</v>
      </c>
      <c r="F19" s="53">
        <v>4.8899999999999997</v>
      </c>
      <c r="G19" s="53">
        <v>0.75</v>
      </c>
      <c r="H19" s="53">
        <v>10.119999999999999</v>
      </c>
      <c r="I19" s="53">
        <v>5.83</v>
      </c>
      <c r="J19" s="53">
        <v>1.64</v>
      </c>
      <c r="K19" s="53">
        <v>127.64</v>
      </c>
      <c r="L19" s="53">
        <v>15.65</v>
      </c>
      <c r="M19" s="53">
        <v>43.88</v>
      </c>
      <c r="N19" s="53">
        <v>420.9</v>
      </c>
      <c r="O19" s="53">
        <v>0</v>
      </c>
      <c r="P19" s="53">
        <v>0.93</v>
      </c>
      <c r="Q19" s="53">
        <v>9.56</v>
      </c>
      <c r="R19" s="43"/>
      <c r="S19" s="43"/>
      <c r="T19" s="43"/>
      <c r="U19" s="43"/>
    </row>
    <row r="20" spans="1:21" s="11" customFormat="1" x14ac:dyDescent="0.25">
      <c r="A20" s="52" t="s">
        <v>742</v>
      </c>
      <c r="B20" s="53">
        <v>2.94</v>
      </c>
      <c r="C20" s="53">
        <v>60.97</v>
      </c>
      <c r="D20" s="53">
        <v>32.19</v>
      </c>
      <c r="E20" s="53">
        <v>5.54</v>
      </c>
      <c r="F20" s="53">
        <v>4.46</v>
      </c>
      <c r="G20" s="53">
        <v>40.79</v>
      </c>
      <c r="H20" s="53">
        <v>11.79</v>
      </c>
      <c r="I20" s="53">
        <v>4.08</v>
      </c>
      <c r="J20" s="53">
        <v>1.21</v>
      </c>
      <c r="K20" s="53">
        <v>339.3</v>
      </c>
      <c r="L20" s="53">
        <v>27.11</v>
      </c>
      <c r="M20" s="53">
        <v>37.54</v>
      </c>
      <c r="N20" s="53">
        <v>433.9</v>
      </c>
      <c r="O20" s="53">
        <v>0</v>
      </c>
      <c r="P20" s="53">
        <v>0.44</v>
      </c>
      <c r="Q20" s="53">
        <v>9.35</v>
      </c>
      <c r="R20" s="43"/>
      <c r="S20" s="43"/>
      <c r="T20" s="43"/>
      <c r="U20" s="43"/>
    </row>
    <row r="21" spans="1:21" s="11" customFormat="1" x14ac:dyDescent="0.25">
      <c r="A21" s="52" t="s">
        <v>743</v>
      </c>
      <c r="B21" s="53">
        <v>3.93</v>
      </c>
      <c r="C21" s="53">
        <v>55.83</v>
      </c>
      <c r="D21" s="53">
        <v>29.45</v>
      </c>
      <c r="E21" s="53">
        <v>7.85</v>
      </c>
      <c r="F21" s="53">
        <v>9.42</v>
      </c>
      <c r="G21" s="53">
        <v>42.26</v>
      </c>
      <c r="H21" s="53">
        <v>11.21</v>
      </c>
      <c r="I21" s="53">
        <v>3.31</v>
      </c>
      <c r="J21" s="53">
        <v>0.56000000000000005</v>
      </c>
      <c r="K21" s="53">
        <v>333.54</v>
      </c>
      <c r="L21" s="53">
        <v>26.71</v>
      </c>
      <c r="M21" s="53">
        <v>26.54</v>
      </c>
      <c r="N21" s="53">
        <v>411.9</v>
      </c>
      <c r="O21" s="53">
        <v>0</v>
      </c>
      <c r="P21" s="53">
        <v>0.51</v>
      </c>
      <c r="Q21" s="53">
        <v>9.3699999999999992</v>
      </c>
      <c r="R21" s="43"/>
      <c r="S21" s="43"/>
      <c r="T21" s="43"/>
      <c r="U21" s="43"/>
    </row>
    <row r="22" spans="1:21" s="11" customFormat="1" x14ac:dyDescent="0.25">
      <c r="A22" s="52" t="s">
        <v>744</v>
      </c>
      <c r="B22" s="53">
        <v>1.45</v>
      </c>
      <c r="C22" s="53">
        <v>56.08</v>
      </c>
      <c r="D22" s="53">
        <v>28.28</v>
      </c>
      <c r="E22" s="53">
        <v>20.56</v>
      </c>
      <c r="F22" s="53">
        <v>13.81</v>
      </c>
      <c r="G22" s="53">
        <v>41.19</v>
      </c>
      <c r="H22" s="53">
        <v>10.66</v>
      </c>
      <c r="I22" s="53">
        <v>3.12</v>
      </c>
      <c r="J22" s="53">
        <v>0.73</v>
      </c>
      <c r="K22" s="53">
        <v>350.47</v>
      </c>
      <c r="L22" s="53">
        <v>26.55</v>
      </c>
      <c r="M22" s="53">
        <v>27.2</v>
      </c>
      <c r="N22" s="53">
        <v>329.3</v>
      </c>
      <c r="O22" s="53">
        <v>0</v>
      </c>
      <c r="P22" s="53">
        <v>0.87</v>
      </c>
      <c r="Q22" s="53">
        <v>9.36</v>
      </c>
      <c r="R22" s="43"/>
      <c r="S22" s="43"/>
      <c r="T22" s="43"/>
      <c r="U22" s="43"/>
    </row>
    <row r="23" spans="1:21" s="11" customFormat="1" x14ac:dyDescent="0.25">
      <c r="A23" s="52" t="s">
        <v>745</v>
      </c>
      <c r="B23" s="53">
        <v>1.77</v>
      </c>
      <c r="C23" s="53">
        <v>60.47</v>
      </c>
      <c r="D23" s="53">
        <v>30.67</v>
      </c>
      <c r="E23" s="53">
        <v>12.93</v>
      </c>
      <c r="F23" s="53">
        <v>8.68</v>
      </c>
      <c r="G23" s="53">
        <v>38.65</v>
      </c>
      <c r="H23" s="53">
        <v>12.27</v>
      </c>
      <c r="I23" s="53">
        <v>3.01</v>
      </c>
      <c r="J23" s="53">
        <v>1.31</v>
      </c>
      <c r="K23" s="53">
        <v>351.26</v>
      </c>
      <c r="L23" s="53">
        <v>25.24</v>
      </c>
      <c r="M23" s="53">
        <v>28.97</v>
      </c>
      <c r="N23" s="53">
        <v>136.9</v>
      </c>
      <c r="O23" s="53">
        <v>0</v>
      </c>
      <c r="P23" s="53">
        <v>0.97</v>
      </c>
      <c r="Q23" s="53">
        <v>9.34</v>
      </c>
      <c r="R23" s="43"/>
      <c r="S23" s="43"/>
      <c r="T23" s="43"/>
      <c r="U23" s="43"/>
    </row>
    <row r="24" spans="1:21" s="11" customFormat="1" x14ac:dyDescent="0.25">
      <c r="A24" s="52" t="s">
        <v>746</v>
      </c>
      <c r="B24" s="53">
        <v>5.82</v>
      </c>
      <c r="C24" s="53">
        <v>53.24</v>
      </c>
      <c r="D24" s="53">
        <v>30.45</v>
      </c>
      <c r="E24" s="53">
        <v>21.97</v>
      </c>
      <c r="F24" s="53">
        <v>7.93</v>
      </c>
      <c r="G24" s="53">
        <v>46.89</v>
      </c>
      <c r="H24" s="53">
        <v>12.44</v>
      </c>
      <c r="I24" s="53">
        <v>2.69</v>
      </c>
      <c r="J24" s="53">
        <v>1.48</v>
      </c>
      <c r="K24" s="53">
        <v>346.35</v>
      </c>
      <c r="L24" s="53">
        <v>24.24</v>
      </c>
      <c r="M24" s="53">
        <v>30.33</v>
      </c>
      <c r="N24" s="53">
        <v>77.099999999999994</v>
      </c>
      <c r="O24" s="53">
        <v>0</v>
      </c>
      <c r="P24" s="53">
        <v>1.04</v>
      </c>
      <c r="Q24" s="53">
        <v>9.36</v>
      </c>
      <c r="R24" s="43"/>
      <c r="S24" s="43"/>
      <c r="T24" s="43"/>
      <c r="U24" s="43"/>
    </row>
    <row r="25" spans="1:21" s="11" customFormat="1" x14ac:dyDescent="0.25">
      <c r="A25" s="52" t="s">
        <v>747</v>
      </c>
      <c r="B25" s="53">
        <v>15.56</v>
      </c>
      <c r="C25" s="53">
        <v>59.56</v>
      </c>
      <c r="D25" s="53">
        <v>41.91</v>
      </c>
      <c r="E25" s="53">
        <v>33.53</v>
      </c>
      <c r="F25" s="53">
        <v>9.81</v>
      </c>
      <c r="G25" s="53">
        <v>46.07</v>
      </c>
      <c r="H25" s="53">
        <v>13.91</v>
      </c>
      <c r="I25" s="53">
        <v>2.74</v>
      </c>
      <c r="J25" s="53">
        <v>1</v>
      </c>
      <c r="K25" s="53">
        <v>349.91</v>
      </c>
      <c r="L25" s="53">
        <v>23.02</v>
      </c>
      <c r="M25" s="53">
        <v>35.909999999999997</v>
      </c>
      <c r="N25" s="53">
        <v>53.6</v>
      </c>
      <c r="O25" s="53">
        <v>0</v>
      </c>
      <c r="P25" s="53">
        <v>1.33</v>
      </c>
      <c r="Q25" s="53">
        <v>9.41</v>
      </c>
      <c r="R25" s="43"/>
      <c r="S25" s="43"/>
      <c r="T25" s="43"/>
      <c r="U25" s="43"/>
    </row>
    <row r="26" spans="1:21" s="11" customFormat="1" x14ac:dyDescent="0.25">
      <c r="A26" s="52" t="s">
        <v>748</v>
      </c>
      <c r="B26" s="53">
        <v>18.71</v>
      </c>
      <c r="C26" s="53">
        <v>57.82</v>
      </c>
      <c r="D26" s="53">
        <v>40.51</v>
      </c>
      <c r="E26" s="53">
        <v>18.309999999999999</v>
      </c>
      <c r="F26" s="53">
        <v>3.87</v>
      </c>
      <c r="G26" s="53">
        <v>52.74</v>
      </c>
      <c r="H26" s="53">
        <v>16.89</v>
      </c>
      <c r="I26" s="53">
        <v>3.49</v>
      </c>
      <c r="J26" s="53">
        <v>0.61</v>
      </c>
      <c r="K26" s="53">
        <v>44.46</v>
      </c>
      <c r="L26" s="53">
        <v>20.5</v>
      </c>
      <c r="M26" s="53">
        <v>44.29</v>
      </c>
      <c r="N26" s="53">
        <v>34.799999999999997</v>
      </c>
      <c r="O26" s="53">
        <v>0</v>
      </c>
      <c r="P26" s="53">
        <v>1.47</v>
      </c>
      <c r="Q26" s="53">
        <v>9.4700000000000006</v>
      </c>
      <c r="R26" s="43"/>
      <c r="S26" s="43"/>
      <c r="T26" s="43"/>
      <c r="U26" s="43"/>
    </row>
    <row r="27" spans="1:21" s="11" customFormat="1" x14ac:dyDescent="0.25">
      <c r="A27" s="52" t="s">
        <v>749</v>
      </c>
      <c r="B27" s="53">
        <v>24.94</v>
      </c>
      <c r="C27" s="53">
        <v>51.93</v>
      </c>
      <c r="D27" s="53">
        <v>41.93</v>
      </c>
      <c r="E27" s="53">
        <v>6.69</v>
      </c>
      <c r="F27" s="53">
        <v>2.4700000000000002</v>
      </c>
      <c r="G27" s="53">
        <v>68.260000000000005</v>
      </c>
      <c r="H27" s="53">
        <v>22.26</v>
      </c>
      <c r="I27" s="53">
        <v>4.42</v>
      </c>
      <c r="J27" s="53">
        <v>0.43</v>
      </c>
      <c r="K27" s="53">
        <v>193.02</v>
      </c>
      <c r="L27" s="53">
        <v>18.46</v>
      </c>
      <c r="M27" s="53">
        <v>58.85</v>
      </c>
      <c r="N27" s="53">
        <v>29.7</v>
      </c>
      <c r="O27" s="53">
        <v>0</v>
      </c>
      <c r="P27" s="53">
        <v>1.65</v>
      </c>
      <c r="Q27" s="53">
        <v>9.51</v>
      </c>
      <c r="R27" s="43"/>
      <c r="S27" s="43"/>
      <c r="T27" s="43"/>
      <c r="U27" s="43"/>
    </row>
    <row r="28" spans="1:21" s="11" customFormat="1" x14ac:dyDescent="0.25">
      <c r="A28" s="52" t="s">
        <v>750</v>
      </c>
      <c r="B28" s="53">
        <v>53.63</v>
      </c>
      <c r="C28" s="53">
        <v>41.95</v>
      </c>
      <c r="D28" s="53">
        <v>56.81</v>
      </c>
      <c r="E28" s="53">
        <v>6.17</v>
      </c>
      <c r="F28" s="53">
        <v>2.74</v>
      </c>
      <c r="G28" s="53">
        <v>76.59</v>
      </c>
      <c r="H28" s="53">
        <v>23.72</v>
      </c>
      <c r="I28" s="53">
        <v>5.31</v>
      </c>
      <c r="J28" s="53">
        <v>0.45</v>
      </c>
      <c r="K28" s="53">
        <v>344.98</v>
      </c>
      <c r="L28" s="53">
        <v>15.97</v>
      </c>
      <c r="M28" s="53">
        <v>83.35</v>
      </c>
      <c r="N28" s="53">
        <v>29.5</v>
      </c>
      <c r="O28" s="53">
        <v>0</v>
      </c>
      <c r="P28" s="53">
        <v>2.13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751</v>
      </c>
      <c r="B29" s="53">
        <v>89.32</v>
      </c>
      <c r="C29" s="53">
        <v>27.4</v>
      </c>
      <c r="D29" s="53">
        <v>75.95</v>
      </c>
      <c r="E29" s="53">
        <v>6.41</v>
      </c>
      <c r="F29" s="53">
        <v>2.73</v>
      </c>
      <c r="G29" s="53">
        <v>90.67</v>
      </c>
      <c r="H29" s="53">
        <v>29.59</v>
      </c>
      <c r="I29" s="53">
        <v>7.02</v>
      </c>
      <c r="J29" s="53">
        <v>0.59</v>
      </c>
      <c r="K29" s="53">
        <v>323.26</v>
      </c>
      <c r="L29" s="53">
        <v>14.87</v>
      </c>
      <c r="M29" s="53">
        <v>91</v>
      </c>
      <c r="N29" s="53">
        <v>29.5</v>
      </c>
      <c r="O29" s="53">
        <v>0</v>
      </c>
      <c r="P29" s="53">
        <v>2.79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752</v>
      </c>
      <c r="B30" s="53">
        <v>117.34</v>
      </c>
      <c r="C30" s="53">
        <v>5.87</v>
      </c>
      <c r="D30" s="53">
        <v>90.91</v>
      </c>
      <c r="E30" s="53">
        <v>6.93</v>
      </c>
      <c r="F30" s="53">
        <v>2.83</v>
      </c>
      <c r="G30" s="53">
        <v>130.94999999999999</v>
      </c>
      <c r="H30" s="53">
        <v>34.53</v>
      </c>
      <c r="I30" s="53">
        <v>9.0299999999999994</v>
      </c>
      <c r="J30" s="53">
        <v>0.54</v>
      </c>
      <c r="K30" s="53">
        <v>354.37</v>
      </c>
      <c r="L30" s="53">
        <v>14.03</v>
      </c>
      <c r="M30" s="53">
        <v>96.42</v>
      </c>
      <c r="N30" s="53">
        <v>29.4</v>
      </c>
      <c r="O30" s="53">
        <v>0</v>
      </c>
      <c r="P30" s="53">
        <v>3.33</v>
      </c>
      <c r="Q30" s="53">
        <v>9.69</v>
      </c>
      <c r="R30" s="43"/>
      <c r="S30" s="43"/>
      <c r="T30" s="43"/>
      <c r="U30" s="43"/>
    </row>
    <row r="31" spans="1:21" s="11" customFormat="1" x14ac:dyDescent="0.25">
      <c r="A31" s="52" t="s">
        <v>753</v>
      </c>
      <c r="B31" s="53">
        <v>148.76</v>
      </c>
      <c r="C31" s="53">
        <v>5.87</v>
      </c>
      <c r="D31" s="53">
        <v>107.42</v>
      </c>
      <c r="E31" s="53">
        <v>7.44</v>
      </c>
      <c r="F31" s="53">
        <v>2.72</v>
      </c>
      <c r="G31" s="53">
        <v>116.27</v>
      </c>
      <c r="H31" s="53">
        <v>35.53</v>
      </c>
      <c r="I31" s="53">
        <v>10.19</v>
      </c>
      <c r="J31" s="53">
        <v>0.6</v>
      </c>
      <c r="K31" s="53">
        <v>309.23</v>
      </c>
      <c r="L31" s="53">
        <v>13.57</v>
      </c>
      <c r="M31" s="53">
        <v>93.18</v>
      </c>
      <c r="N31" s="53">
        <v>29.5</v>
      </c>
      <c r="O31" s="53">
        <v>0</v>
      </c>
      <c r="P31" s="53">
        <v>3.79</v>
      </c>
      <c r="Q31" s="53">
        <v>9.6999999999999993</v>
      </c>
      <c r="R31" s="43"/>
      <c r="S31" s="43"/>
      <c r="T31" s="43"/>
      <c r="U31" s="43"/>
    </row>
    <row r="32" spans="1:21" s="11" customFormat="1" x14ac:dyDescent="0.25">
      <c r="A32" s="52" t="s">
        <v>754</v>
      </c>
      <c r="B32" s="53">
        <v>147.49</v>
      </c>
      <c r="C32" s="53">
        <v>5.87</v>
      </c>
      <c r="D32" s="53">
        <v>106.36</v>
      </c>
      <c r="E32" s="53">
        <v>7.33</v>
      </c>
      <c r="F32" s="53">
        <v>2.4700000000000002</v>
      </c>
      <c r="G32" s="53">
        <v>111.87</v>
      </c>
      <c r="H32" s="53">
        <v>38.06</v>
      </c>
      <c r="I32" s="53">
        <v>11.31</v>
      </c>
      <c r="J32" s="53">
        <v>0.53</v>
      </c>
      <c r="K32" s="53">
        <v>278.63</v>
      </c>
      <c r="L32" s="53">
        <v>13.07</v>
      </c>
      <c r="M32" s="53">
        <v>97.37</v>
      </c>
      <c r="N32" s="53">
        <v>29.6</v>
      </c>
      <c r="O32" s="53">
        <v>0</v>
      </c>
      <c r="P32" s="53">
        <v>3.75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1.45</v>
      </c>
      <c r="C34" s="28">
        <f t="shared" si="0"/>
        <v>2.91</v>
      </c>
      <c r="D34" s="28">
        <f t="shared" si="0"/>
        <v>28.28</v>
      </c>
      <c r="E34" s="28">
        <f t="shared" si="0"/>
        <v>4.82</v>
      </c>
      <c r="F34" s="28">
        <f t="shared" si="0"/>
        <v>2.46</v>
      </c>
      <c r="G34" s="28">
        <f t="shared" si="0"/>
        <v>0.75</v>
      </c>
      <c r="H34" s="28">
        <f t="shared" si="0"/>
        <v>10.119999999999999</v>
      </c>
      <c r="I34" s="28">
        <f t="shared" si="0"/>
        <v>2.69</v>
      </c>
      <c r="J34" s="28">
        <f t="shared" si="0"/>
        <v>0.38</v>
      </c>
      <c r="K34" s="28">
        <f t="shared" si="0"/>
        <v>44.46</v>
      </c>
      <c r="L34" s="28">
        <f t="shared" si="0"/>
        <v>4.26</v>
      </c>
      <c r="M34" s="28">
        <f t="shared" si="0"/>
        <v>26.54</v>
      </c>
      <c r="N34" s="28">
        <f t="shared" si="0"/>
        <v>29.4</v>
      </c>
      <c r="O34" s="28">
        <f t="shared" si="0"/>
        <v>0</v>
      </c>
      <c r="P34" s="28">
        <f t="shared" si="0"/>
        <v>0.44</v>
      </c>
      <c r="Q34" s="28">
        <f t="shared" si="0"/>
        <v>9.34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148.76</v>
      </c>
      <c r="C35" s="29">
        <f t="shared" si="1"/>
        <v>64.989999999999995</v>
      </c>
      <c r="D35" s="29">
        <f t="shared" si="1"/>
        <v>107.42</v>
      </c>
      <c r="E35" s="29">
        <f t="shared" si="1"/>
        <v>33.53</v>
      </c>
      <c r="F35" s="29">
        <f t="shared" si="1"/>
        <v>13.81</v>
      </c>
      <c r="G35" s="29">
        <f t="shared" si="1"/>
        <v>130.94999999999999</v>
      </c>
      <c r="H35" s="29">
        <f t="shared" si="1"/>
        <v>45.26</v>
      </c>
      <c r="I35" s="29">
        <f t="shared" si="1"/>
        <v>11.31</v>
      </c>
      <c r="J35" s="29">
        <f t="shared" si="1"/>
        <v>1.71</v>
      </c>
      <c r="K35" s="29">
        <f t="shared" si="1"/>
        <v>354.37</v>
      </c>
      <c r="L35" s="29">
        <f t="shared" si="1"/>
        <v>27.11</v>
      </c>
      <c r="M35" s="29">
        <f t="shared" si="1"/>
        <v>97.84</v>
      </c>
      <c r="N35" s="29">
        <f t="shared" si="1"/>
        <v>433.9</v>
      </c>
      <c r="O35" s="29">
        <f t="shared" si="1"/>
        <v>0</v>
      </c>
      <c r="P35" s="29">
        <f t="shared" si="1"/>
        <v>3.79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64.180833333333325</v>
      </c>
      <c r="C36" s="28">
        <f t="shared" si="2"/>
        <v>29.295833333333334</v>
      </c>
      <c r="D36" s="28">
        <f t="shared" si="2"/>
        <v>60.577500000000008</v>
      </c>
      <c r="E36" s="28">
        <f t="shared" si="2"/>
        <v>9.4175000000000004</v>
      </c>
      <c r="F36" s="28">
        <f t="shared" si="2"/>
        <v>4.3775000000000004</v>
      </c>
      <c r="G36" s="28">
        <f t="shared" si="2"/>
        <v>65.530000000000015</v>
      </c>
      <c r="H36" s="28">
        <f t="shared" si="2"/>
        <v>26.397083333333331</v>
      </c>
      <c r="I36" s="28">
        <f t="shared" si="2"/>
        <v>6.6316666666666668</v>
      </c>
      <c r="J36" s="28">
        <f t="shared" si="2"/>
        <v>0.83125000000000016</v>
      </c>
      <c r="K36" s="28">
        <f t="shared" si="2"/>
        <v>275.72666666666674</v>
      </c>
      <c r="L36" s="28">
        <f t="shared" si="2"/>
        <v>14.470833333333333</v>
      </c>
      <c r="M36" s="28">
        <f t="shared" si="2"/>
        <v>70.480416666666656</v>
      </c>
      <c r="N36" s="28">
        <f t="shared" si="2"/>
        <v>131.27500000000001</v>
      </c>
      <c r="O36" s="28">
        <f t="shared" si="2"/>
        <v>0</v>
      </c>
      <c r="P36" s="28">
        <f t="shared" si="2"/>
        <v>1.9424999999999999</v>
      </c>
      <c r="Q36" s="28">
        <f t="shared" si="2"/>
        <v>9.5749999999999975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50.009158545268448</v>
      </c>
      <c r="C37" s="28">
        <f t="shared" ref="C37:Q37" si="3">STDEV(C9:C32)</f>
        <v>24.365787118089528</v>
      </c>
      <c r="D37" s="28">
        <f t="shared" si="3"/>
        <v>25.612765032473469</v>
      </c>
      <c r="E37" s="28">
        <f t="shared" si="3"/>
        <v>7.1829001348916224</v>
      </c>
      <c r="F37" s="28">
        <f t="shared" si="3"/>
        <v>3.1224130161588581</v>
      </c>
      <c r="G37" s="28">
        <f t="shared" si="3"/>
        <v>31.38107668505085</v>
      </c>
      <c r="H37" s="28">
        <f t="shared" si="3"/>
        <v>12.028986902719494</v>
      </c>
      <c r="I37" s="28">
        <f t="shared" si="3"/>
        <v>2.7301101533226375</v>
      </c>
      <c r="J37" s="28">
        <f t="shared" si="3"/>
        <v>0.43804221059261977</v>
      </c>
      <c r="K37" s="28">
        <f t="shared" si="3"/>
        <v>91.694987519666725</v>
      </c>
      <c r="L37" s="28">
        <f t="shared" si="3"/>
        <v>8.028759672829791</v>
      </c>
      <c r="M37" s="28">
        <f t="shared" si="3"/>
        <v>28.850258604698372</v>
      </c>
      <c r="N37" s="28">
        <f t="shared" si="3"/>
        <v>152.63851371644446</v>
      </c>
      <c r="O37" s="28">
        <f t="shared" si="3"/>
        <v>0</v>
      </c>
      <c r="P37" s="28">
        <f t="shared" si="3"/>
        <v>0.96576282082453135</v>
      </c>
      <c r="Q37" s="28">
        <f t="shared" si="3"/>
        <v>0.1371447981229108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50" sqref="F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755</v>
      </c>
      <c r="B9" s="53">
        <v>125.94</v>
      </c>
      <c r="C9" s="53">
        <v>4.2300000000000004</v>
      </c>
      <c r="D9" s="53">
        <v>92.97</v>
      </c>
      <c r="E9" s="53">
        <v>5.97</v>
      </c>
      <c r="F9" s="53">
        <v>2.34</v>
      </c>
      <c r="G9" s="53">
        <v>84.23</v>
      </c>
      <c r="H9" s="53">
        <v>34.840000000000003</v>
      </c>
      <c r="I9" s="53">
        <v>10.11</v>
      </c>
      <c r="J9" s="53">
        <v>0.57999999999999996</v>
      </c>
      <c r="K9" s="53">
        <v>303.77</v>
      </c>
      <c r="L9" s="53">
        <v>11.83</v>
      </c>
      <c r="M9" s="53">
        <v>97.59</v>
      </c>
      <c r="N9" s="53">
        <v>29.5</v>
      </c>
      <c r="O9" s="53">
        <v>0</v>
      </c>
      <c r="P9" s="53">
        <v>3.34</v>
      </c>
      <c r="Q9" s="53">
        <v>9.6999999999999993</v>
      </c>
      <c r="R9" s="43"/>
      <c r="S9" s="43"/>
      <c r="T9" s="43"/>
      <c r="U9" s="43"/>
    </row>
    <row r="10" spans="1:21" s="11" customFormat="1" x14ac:dyDescent="0.25">
      <c r="A10" s="52" t="s">
        <v>756</v>
      </c>
      <c r="B10" s="53">
        <v>106.61</v>
      </c>
      <c r="C10" s="53">
        <v>1.5</v>
      </c>
      <c r="D10" s="53">
        <v>81.63</v>
      </c>
      <c r="E10" s="53">
        <v>5.87</v>
      </c>
      <c r="F10" s="53">
        <v>2.65</v>
      </c>
      <c r="G10" s="53">
        <v>64.44</v>
      </c>
      <c r="H10" s="53">
        <v>31.38</v>
      </c>
      <c r="I10" s="53">
        <v>9.98</v>
      </c>
      <c r="J10" s="53">
        <v>0.6</v>
      </c>
      <c r="K10" s="53">
        <v>343.5</v>
      </c>
      <c r="L10" s="53">
        <v>11.34</v>
      </c>
      <c r="M10" s="53">
        <v>97.69</v>
      </c>
      <c r="N10" s="53">
        <v>29.4</v>
      </c>
      <c r="O10" s="53">
        <v>0</v>
      </c>
      <c r="P10" s="53">
        <v>2.71</v>
      </c>
      <c r="Q10" s="53">
        <v>9.69</v>
      </c>
      <c r="R10" s="43"/>
      <c r="S10" s="43"/>
      <c r="T10" s="43"/>
      <c r="U10" s="43"/>
    </row>
    <row r="11" spans="1:21" s="11" customFormat="1" x14ac:dyDescent="0.25">
      <c r="A11" s="52" t="s">
        <v>757</v>
      </c>
      <c r="B11" s="53">
        <v>87.95</v>
      </c>
      <c r="C11" s="53">
        <v>8.73</v>
      </c>
      <c r="D11" s="53">
        <v>70.91</v>
      </c>
      <c r="E11" s="53">
        <v>5.51</v>
      </c>
      <c r="F11" s="53">
        <v>2.73</v>
      </c>
      <c r="G11" s="53">
        <v>62.91</v>
      </c>
      <c r="H11" s="53">
        <v>29.05</v>
      </c>
      <c r="I11" s="53">
        <v>9.61</v>
      </c>
      <c r="J11" s="53">
        <v>0.36</v>
      </c>
      <c r="K11" s="53">
        <v>293.27</v>
      </c>
      <c r="L11" s="53">
        <v>11.5</v>
      </c>
      <c r="M11" s="53">
        <v>97.68</v>
      </c>
      <c r="N11" s="53">
        <v>29.5</v>
      </c>
      <c r="O11" s="53">
        <v>0</v>
      </c>
      <c r="P11" s="53">
        <v>2.4700000000000002</v>
      </c>
      <c r="Q11" s="53">
        <v>9.67</v>
      </c>
      <c r="R11" s="43"/>
      <c r="S11" s="43"/>
      <c r="T11" s="43"/>
      <c r="U11" s="43"/>
    </row>
    <row r="12" spans="1:21" s="11" customFormat="1" x14ac:dyDescent="0.25">
      <c r="A12" s="52" t="s">
        <v>758</v>
      </c>
      <c r="B12" s="53">
        <v>74.14</v>
      </c>
      <c r="C12" s="53">
        <v>10.93</v>
      </c>
      <c r="D12" s="53">
        <v>62.75</v>
      </c>
      <c r="E12" s="53">
        <v>5.26</v>
      </c>
      <c r="F12" s="53">
        <v>2.58</v>
      </c>
      <c r="G12" s="53">
        <v>73.75</v>
      </c>
      <c r="H12" s="53">
        <v>28.45</v>
      </c>
      <c r="I12" s="53">
        <v>9.16</v>
      </c>
      <c r="J12" s="53">
        <v>0.44</v>
      </c>
      <c r="K12" s="53">
        <v>348.84</v>
      </c>
      <c r="L12" s="53">
        <v>11</v>
      </c>
      <c r="M12" s="53">
        <v>97.83</v>
      </c>
      <c r="N12" s="53">
        <v>29.5</v>
      </c>
      <c r="O12" s="53">
        <v>0</v>
      </c>
      <c r="P12" s="53">
        <v>2.2599999999999998</v>
      </c>
      <c r="Q12" s="53">
        <v>9.66</v>
      </c>
      <c r="R12" s="43"/>
      <c r="S12" s="43"/>
      <c r="T12" s="43"/>
      <c r="U12" s="43"/>
    </row>
    <row r="13" spans="1:21" s="11" customFormat="1" x14ac:dyDescent="0.25">
      <c r="A13" s="52" t="s">
        <v>759</v>
      </c>
      <c r="B13" s="53">
        <v>67.599999999999994</v>
      </c>
      <c r="C13" s="53">
        <v>13.01</v>
      </c>
      <c r="D13" s="53">
        <v>58.44</v>
      </c>
      <c r="E13" s="53">
        <v>5.08</v>
      </c>
      <c r="F13" s="53">
        <v>2.4300000000000002</v>
      </c>
      <c r="G13" s="53">
        <v>86.47</v>
      </c>
      <c r="H13" s="53">
        <v>31.37</v>
      </c>
      <c r="I13" s="53">
        <v>8.57</v>
      </c>
      <c r="J13" s="53">
        <v>0.61</v>
      </c>
      <c r="K13" s="53">
        <v>278.5</v>
      </c>
      <c r="L13" s="53">
        <v>11.1</v>
      </c>
      <c r="M13" s="53">
        <v>95.95</v>
      </c>
      <c r="N13" s="53">
        <v>29.4</v>
      </c>
      <c r="O13" s="53">
        <v>0</v>
      </c>
      <c r="P13" s="53">
        <v>2.21</v>
      </c>
      <c r="Q13" s="53">
        <v>9.65</v>
      </c>
      <c r="R13" s="43"/>
      <c r="S13" s="43"/>
      <c r="T13" s="43"/>
      <c r="U13" s="43"/>
    </row>
    <row r="14" spans="1:21" s="11" customFormat="1" x14ac:dyDescent="0.25">
      <c r="A14" s="52" t="s">
        <v>760</v>
      </c>
      <c r="B14" s="53">
        <v>59.53</v>
      </c>
      <c r="C14" s="53">
        <v>15.49</v>
      </c>
      <c r="D14" s="53">
        <v>53.27</v>
      </c>
      <c r="E14" s="53">
        <v>5.15</v>
      </c>
      <c r="F14" s="53">
        <v>2.5299999999999998</v>
      </c>
      <c r="G14" s="53">
        <v>57.92</v>
      </c>
      <c r="H14" s="53">
        <v>28.1</v>
      </c>
      <c r="I14" s="53">
        <v>8.07</v>
      </c>
      <c r="J14" s="53">
        <v>0.59</v>
      </c>
      <c r="K14" s="53">
        <v>349.78</v>
      </c>
      <c r="L14" s="53">
        <v>10.82</v>
      </c>
      <c r="M14" s="53">
        <v>83.89</v>
      </c>
      <c r="N14" s="53">
        <v>29.4</v>
      </c>
      <c r="O14" s="53">
        <v>0</v>
      </c>
      <c r="P14" s="53">
        <v>1.99</v>
      </c>
      <c r="Q14" s="53">
        <v>9.65</v>
      </c>
      <c r="R14" s="43"/>
      <c r="S14" s="43"/>
      <c r="T14" s="43"/>
      <c r="U14" s="43"/>
    </row>
    <row r="15" spans="1:21" s="11" customFormat="1" x14ac:dyDescent="0.25">
      <c r="A15" s="52" t="s">
        <v>761</v>
      </c>
      <c r="B15" s="53">
        <v>54.79</v>
      </c>
      <c r="C15" s="53">
        <v>16.03</v>
      </c>
      <c r="D15" s="53">
        <v>50.36</v>
      </c>
      <c r="E15" s="53">
        <v>5.14</v>
      </c>
      <c r="F15" s="53">
        <v>2.72</v>
      </c>
      <c r="G15" s="53">
        <v>59.69</v>
      </c>
      <c r="H15" s="53">
        <v>24</v>
      </c>
      <c r="I15" s="53">
        <v>7.36</v>
      </c>
      <c r="J15" s="53">
        <v>0.61</v>
      </c>
      <c r="K15" s="53">
        <v>354.09</v>
      </c>
      <c r="L15" s="53">
        <v>10.49</v>
      </c>
      <c r="M15" s="53">
        <v>85.7</v>
      </c>
      <c r="N15" s="53">
        <v>41</v>
      </c>
      <c r="O15" s="53">
        <v>0</v>
      </c>
      <c r="P15" s="53">
        <v>1.76</v>
      </c>
      <c r="Q15" s="53">
        <v>9.64</v>
      </c>
      <c r="R15" s="43"/>
      <c r="S15" s="43"/>
      <c r="T15" s="43"/>
      <c r="U15" s="43"/>
    </row>
    <row r="16" spans="1:21" s="11" customFormat="1" x14ac:dyDescent="0.25">
      <c r="A16" s="52" t="s">
        <v>762</v>
      </c>
      <c r="B16" s="53">
        <v>73.5</v>
      </c>
      <c r="C16" s="53">
        <v>13.63</v>
      </c>
      <c r="D16" s="53">
        <v>61.04</v>
      </c>
      <c r="E16" s="53">
        <v>5.24</v>
      </c>
      <c r="F16" s="53">
        <v>2.64</v>
      </c>
      <c r="G16" s="53">
        <v>47.01</v>
      </c>
      <c r="H16" s="53">
        <v>17.73</v>
      </c>
      <c r="I16" s="53">
        <v>7.2</v>
      </c>
      <c r="J16" s="53">
        <v>1.03</v>
      </c>
      <c r="K16" s="53">
        <v>337.91</v>
      </c>
      <c r="L16" s="53">
        <v>14.45</v>
      </c>
      <c r="M16" s="53">
        <v>86.41</v>
      </c>
      <c r="N16" s="53">
        <v>179.1</v>
      </c>
      <c r="O16" s="53">
        <v>0</v>
      </c>
      <c r="P16" s="53">
        <v>1.74</v>
      </c>
      <c r="Q16" s="53">
        <v>9.64</v>
      </c>
      <c r="R16" s="43"/>
      <c r="S16" s="43"/>
      <c r="T16" s="43"/>
      <c r="U16" s="43"/>
    </row>
    <row r="17" spans="1:21" s="11" customFormat="1" x14ac:dyDescent="0.25">
      <c r="A17" s="52" t="s">
        <v>763</v>
      </c>
      <c r="B17" s="53">
        <v>73.67</v>
      </c>
      <c r="C17" s="53">
        <v>10.3</v>
      </c>
      <c r="D17" s="53">
        <v>61.13</v>
      </c>
      <c r="E17" s="53">
        <v>5.51</v>
      </c>
      <c r="F17" s="53">
        <v>2.68</v>
      </c>
      <c r="G17" s="53">
        <v>63.44</v>
      </c>
      <c r="H17" s="53">
        <v>19.010000000000002</v>
      </c>
      <c r="I17" s="53">
        <v>6.17</v>
      </c>
      <c r="J17" s="53">
        <v>1.1299999999999999</v>
      </c>
      <c r="K17" s="53">
        <v>128.32</v>
      </c>
      <c r="L17" s="53">
        <v>18.13</v>
      </c>
      <c r="M17" s="53">
        <v>47.65</v>
      </c>
      <c r="N17" s="53">
        <v>310.2</v>
      </c>
      <c r="O17" s="53">
        <v>0</v>
      </c>
      <c r="P17" s="53">
        <v>1.67</v>
      </c>
      <c r="Q17" s="53">
        <v>9.66</v>
      </c>
      <c r="R17" s="43"/>
      <c r="S17" s="43"/>
      <c r="T17" s="43"/>
      <c r="U17" s="43"/>
    </row>
    <row r="18" spans="1:21" s="11" customFormat="1" x14ac:dyDescent="0.25">
      <c r="A18" s="52" t="s">
        <v>764</v>
      </c>
      <c r="B18" s="53">
        <v>63.76</v>
      </c>
      <c r="C18" s="53">
        <v>33.53</v>
      </c>
      <c r="D18" s="53">
        <v>55.36</v>
      </c>
      <c r="E18" s="53">
        <v>9.5</v>
      </c>
      <c r="F18" s="53">
        <v>2.76</v>
      </c>
      <c r="G18" s="53">
        <v>53.55</v>
      </c>
      <c r="H18" s="53">
        <v>17.649999999999999</v>
      </c>
      <c r="I18" s="53">
        <v>6.28</v>
      </c>
      <c r="J18" s="53">
        <v>1.25</v>
      </c>
      <c r="K18" s="53">
        <v>137.72</v>
      </c>
      <c r="L18" s="53">
        <v>21.67</v>
      </c>
      <c r="M18" s="53">
        <v>37.18</v>
      </c>
      <c r="N18" s="53">
        <v>389.4</v>
      </c>
      <c r="O18" s="53">
        <v>0</v>
      </c>
      <c r="P18" s="53">
        <v>1.54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765</v>
      </c>
      <c r="B19" s="53">
        <v>34.22</v>
      </c>
      <c r="C19" s="53">
        <v>37.9</v>
      </c>
      <c r="D19" s="53">
        <v>45.43</v>
      </c>
      <c r="E19" s="53">
        <v>6.39</v>
      </c>
      <c r="F19" s="53">
        <v>4.2</v>
      </c>
      <c r="G19" s="53">
        <v>28.08</v>
      </c>
      <c r="H19" s="53">
        <v>14.45</v>
      </c>
      <c r="I19" s="53">
        <v>5.59</v>
      </c>
      <c r="J19" s="53">
        <v>1.24</v>
      </c>
      <c r="K19" s="53">
        <v>125.47</v>
      </c>
      <c r="L19" s="53">
        <v>23.45</v>
      </c>
      <c r="M19" s="53">
        <v>28.74</v>
      </c>
      <c r="N19" s="53">
        <v>465.6</v>
      </c>
      <c r="O19" s="53">
        <v>0</v>
      </c>
      <c r="P19" s="53">
        <v>1.0900000000000001</v>
      </c>
      <c r="Q19" s="53">
        <v>9.56</v>
      </c>
      <c r="R19" s="43"/>
      <c r="S19" s="43"/>
      <c r="T19" s="43"/>
      <c r="U19" s="43"/>
    </row>
    <row r="20" spans="1:21" s="11" customFormat="1" x14ac:dyDescent="0.25">
      <c r="A20" s="52" t="s">
        <v>766</v>
      </c>
      <c r="B20" s="53">
        <v>26.7</v>
      </c>
      <c r="C20" s="53">
        <v>46.11</v>
      </c>
      <c r="D20" s="53">
        <v>39.26</v>
      </c>
      <c r="E20" s="53">
        <v>5.76</v>
      </c>
      <c r="F20" s="53">
        <v>3.1</v>
      </c>
      <c r="G20" s="53">
        <v>38.07</v>
      </c>
      <c r="H20" s="53">
        <v>12.61</v>
      </c>
      <c r="I20" s="53">
        <v>4.03</v>
      </c>
      <c r="J20" s="53">
        <v>0.96</v>
      </c>
      <c r="K20" s="53">
        <v>351.59</v>
      </c>
      <c r="L20" s="53">
        <v>28.44</v>
      </c>
      <c r="M20" s="53">
        <v>29.41</v>
      </c>
      <c r="N20" s="53">
        <v>572.20000000000005</v>
      </c>
      <c r="O20" s="53">
        <v>0</v>
      </c>
      <c r="P20" s="53">
        <v>0.93</v>
      </c>
      <c r="Q20" s="53">
        <v>9.4700000000000006</v>
      </c>
      <c r="R20" s="43"/>
      <c r="S20" s="43"/>
      <c r="T20" s="43"/>
      <c r="U20" s="43"/>
    </row>
    <row r="21" spans="1:21" s="11" customFormat="1" x14ac:dyDescent="0.25">
      <c r="A21" s="52" t="s">
        <v>767</v>
      </c>
      <c r="B21" s="53">
        <v>11.78</v>
      </c>
      <c r="C21" s="53">
        <v>51.94</v>
      </c>
      <c r="D21" s="53">
        <v>33.340000000000003</v>
      </c>
      <c r="E21" s="53">
        <v>6.45</v>
      </c>
      <c r="F21" s="53">
        <v>5.04</v>
      </c>
      <c r="G21" s="53">
        <v>30.74</v>
      </c>
      <c r="H21" s="53">
        <v>11.59</v>
      </c>
      <c r="I21" s="53">
        <v>3.97</v>
      </c>
      <c r="J21" s="53">
        <v>0.73</v>
      </c>
      <c r="K21" s="53">
        <v>341.94</v>
      </c>
      <c r="L21" s="53">
        <v>27.56</v>
      </c>
      <c r="M21" s="53">
        <v>20.63</v>
      </c>
      <c r="N21" s="53">
        <v>582.70000000000005</v>
      </c>
      <c r="O21" s="53">
        <v>0</v>
      </c>
      <c r="P21" s="53">
        <v>0.87</v>
      </c>
      <c r="Q21" s="53">
        <v>9.39</v>
      </c>
      <c r="R21" s="43"/>
      <c r="S21" s="43"/>
      <c r="T21" s="43"/>
      <c r="U21" s="43"/>
    </row>
    <row r="22" spans="1:21" s="11" customFormat="1" x14ac:dyDescent="0.25">
      <c r="A22" s="52" t="s">
        <v>768</v>
      </c>
      <c r="B22" s="53">
        <v>4.5</v>
      </c>
      <c r="C22" s="53">
        <v>51.62</v>
      </c>
      <c r="D22" s="53">
        <v>27.41</v>
      </c>
      <c r="E22" s="53">
        <v>9.48</v>
      </c>
      <c r="F22" s="53">
        <v>10.91</v>
      </c>
      <c r="G22" s="53">
        <v>37.270000000000003</v>
      </c>
      <c r="H22" s="53">
        <v>10.41</v>
      </c>
      <c r="I22" s="53">
        <v>3.58</v>
      </c>
      <c r="J22" s="53">
        <v>1.27</v>
      </c>
      <c r="K22" s="53">
        <v>350.25</v>
      </c>
      <c r="L22" s="53">
        <v>27.21</v>
      </c>
      <c r="M22" s="53">
        <v>22.84</v>
      </c>
      <c r="N22" s="53">
        <v>489</v>
      </c>
      <c r="O22" s="53">
        <v>0</v>
      </c>
      <c r="P22" s="53">
        <v>0.84</v>
      </c>
      <c r="Q22" s="53">
        <v>9.33</v>
      </c>
      <c r="R22" s="43"/>
      <c r="S22" s="43"/>
      <c r="T22" s="43"/>
      <c r="U22" s="43"/>
    </row>
    <row r="23" spans="1:21" s="11" customFormat="1" x14ac:dyDescent="0.25">
      <c r="A23" s="52" t="s">
        <v>769</v>
      </c>
      <c r="B23" s="53">
        <v>2.4700000000000002</v>
      </c>
      <c r="C23" s="53">
        <v>47.22</v>
      </c>
      <c r="D23" s="53">
        <v>24.64</v>
      </c>
      <c r="E23" s="53">
        <v>8.34</v>
      </c>
      <c r="F23" s="53">
        <v>12.2</v>
      </c>
      <c r="G23" s="53">
        <v>32.96</v>
      </c>
      <c r="H23" s="53">
        <v>9.59</v>
      </c>
      <c r="I23" s="53">
        <v>3.07</v>
      </c>
      <c r="J23" s="53">
        <v>0.64</v>
      </c>
      <c r="K23" s="53">
        <v>342.1</v>
      </c>
      <c r="L23" s="53">
        <v>25.7</v>
      </c>
      <c r="M23" s="53">
        <v>19.690000000000001</v>
      </c>
      <c r="N23" s="53">
        <v>152.69999999999999</v>
      </c>
      <c r="O23" s="53">
        <v>0</v>
      </c>
      <c r="P23" s="53">
        <v>0.77</v>
      </c>
      <c r="Q23" s="53">
        <v>9.35</v>
      </c>
      <c r="R23" s="43"/>
      <c r="S23" s="43"/>
      <c r="T23" s="43"/>
      <c r="U23" s="43"/>
    </row>
    <row r="24" spans="1:21" s="11" customFormat="1" x14ac:dyDescent="0.25">
      <c r="A24" s="52" t="s">
        <v>770</v>
      </c>
      <c r="B24" s="53">
        <v>3.27</v>
      </c>
      <c r="C24" s="53">
        <v>46.06</v>
      </c>
      <c r="D24" s="53">
        <v>25.01</v>
      </c>
      <c r="E24" s="53">
        <v>8.33</v>
      </c>
      <c r="F24" s="53">
        <v>9.25</v>
      </c>
      <c r="G24" s="53">
        <v>25.92</v>
      </c>
      <c r="H24" s="53">
        <v>9.26</v>
      </c>
      <c r="I24" s="53">
        <v>1.97</v>
      </c>
      <c r="J24" s="53">
        <v>0.42</v>
      </c>
      <c r="K24" s="53">
        <v>325.70999999999998</v>
      </c>
      <c r="L24" s="53">
        <v>24.31</v>
      </c>
      <c r="M24" s="53">
        <v>21.12</v>
      </c>
      <c r="N24" s="53">
        <v>69.2</v>
      </c>
      <c r="O24" s="53">
        <v>0</v>
      </c>
      <c r="P24" s="53">
        <v>0.61</v>
      </c>
      <c r="Q24" s="53">
        <v>9.33</v>
      </c>
      <c r="R24" s="43"/>
      <c r="S24" s="43"/>
      <c r="T24" s="43"/>
      <c r="U24" s="43"/>
    </row>
    <row r="25" spans="1:21" s="11" customFormat="1" x14ac:dyDescent="0.25">
      <c r="A25" s="52" t="s">
        <v>771</v>
      </c>
      <c r="B25" s="53">
        <v>3.28</v>
      </c>
      <c r="C25" s="53">
        <v>53.21</v>
      </c>
      <c r="D25" s="53">
        <v>28.75</v>
      </c>
      <c r="E25" s="53">
        <v>10.57</v>
      </c>
      <c r="F25" s="53">
        <v>12.39</v>
      </c>
      <c r="G25" s="53">
        <v>22.3</v>
      </c>
      <c r="H25" s="53">
        <v>9.01</v>
      </c>
      <c r="I25" s="53">
        <v>1.97</v>
      </c>
      <c r="J25" s="53">
        <v>0.68</v>
      </c>
      <c r="K25" s="53">
        <v>307.48</v>
      </c>
      <c r="L25" s="53">
        <v>23.38</v>
      </c>
      <c r="M25" s="53">
        <v>23.81</v>
      </c>
      <c r="N25" s="53">
        <v>52.6</v>
      </c>
      <c r="O25" s="53">
        <v>0</v>
      </c>
      <c r="P25" s="53">
        <v>0.72</v>
      </c>
      <c r="Q25" s="53">
        <v>9.3000000000000007</v>
      </c>
      <c r="R25" s="43"/>
      <c r="S25" s="43"/>
      <c r="T25" s="43"/>
      <c r="U25" s="43"/>
    </row>
    <row r="26" spans="1:21" s="11" customFormat="1" x14ac:dyDescent="0.25">
      <c r="A26" s="52" t="s">
        <v>772</v>
      </c>
      <c r="B26" s="53">
        <v>45.76</v>
      </c>
      <c r="C26" s="53">
        <v>47.87</v>
      </c>
      <c r="D26" s="53">
        <v>55.85</v>
      </c>
      <c r="E26" s="53">
        <v>8.75</v>
      </c>
      <c r="F26" s="53">
        <v>2.84</v>
      </c>
      <c r="G26" s="53">
        <v>28.3</v>
      </c>
      <c r="H26" s="53">
        <v>9.19</v>
      </c>
      <c r="I26" s="53">
        <v>2.73</v>
      </c>
      <c r="J26" s="53">
        <v>0.62</v>
      </c>
      <c r="K26" s="53">
        <v>262.35000000000002</v>
      </c>
      <c r="L26" s="53">
        <v>20.87</v>
      </c>
      <c r="M26" s="53">
        <v>44.91</v>
      </c>
      <c r="N26" s="53">
        <v>34.799999999999997</v>
      </c>
      <c r="O26" s="53">
        <v>0</v>
      </c>
      <c r="P26" s="53">
        <v>1.22</v>
      </c>
      <c r="Q26" s="53">
        <v>9.35</v>
      </c>
      <c r="R26" s="43"/>
      <c r="S26" s="43"/>
      <c r="T26" s="43"/>
      <c r="U26" s="43"/>
    </row>
    <row r="27" spans="1:21" s="11" customFormat="1" x14ac:dyDescent="0.25">
      <c r="A27" s="52" t="s">
        <v>773</v>
      </c>
      <c r="B27" s="53">
        <v>68.739999999999995</v>
      </c>
      <c r="C27" s="53">
        <v>30.98</v>
      </c>
      <c r="D27" s="53">
        <v>65.63</v>
      </c>
      <c r="E27" s="53">
        <v>7.13</v>
      </c>
      <c r="F27" s="53">
        <v>2.39</v>
      </c>
      <c r="G27" s="53">
        <v>71.84</v>
      </c>
      <c r="H27" s="53">
        <v>14.63</v>
      </c>
      <c r="I27" s="53">
        <v>5.25</v>
      </c>
      <c r="J27" s="53">
        <v>0.53</v>
      </c>
      <c r="K27" s="53">
        <v>338.92</v>
      </c>
      <c r="L27" s="53">
        <v>17.39</v>
      </c>
      <c r="M27" s="53">
        <v>60.03</v>
      </c>
      <c r="N27" s="53">
        <v>29.8</v>
      </c>
      <c r="O27" s="53">
        <v>0</v>
      </c>
      <c r="P27" s="53">
        <v>1.56</v>
      </c>
      <c r="Q27" s="53">
        <v>9.57</v>
      </c>
      <c r="R27" s="43"/>
      <c r="S27" s="43"/>
      <c r="T27" s="43"/>
      <c r="U27" s="43"/>
    </row>
    <row r="28" spans="1:21" s="11" customFormat="1" x14ac:dyDescent="0.25">
      <c r="A28" s="52" t="s">
        <v>774</v>
      </c>
      <c r="B28" s="53">
        <v>66.75</v>
      </c>
      <c r="C28" s="53">
        <v>28.16</v>
      </c>
      <c r="D28" s="53">
        <v>62.85</v>
      </c>
      <c r="E28" s="53">
        <v>6.53</v>
      </c>
      <c r="F28" s="53">
        <v>2.79</v>
      </c>
      <c r="G28" s="53">
        <v>117.64</v>
      </c>
      <c r="H28" s="53">
        <v>23.9</v>
      </c>
      <c r="I28" s="53">
        <v>5.12</v>
      </c>
      <c r="J28" s="53">
        <v>0.25</v>
      </c>
      <c r="K28" s="53">
        <v>251.69</v>
      </c>
      <c r="L28" s="53">
        <v>16.010000000000002</v>
      </c>
      <c r="M28" s="53">
        <v>67.8</v>
      </c>
      <c r="N28" s="53">
        <v>29.5</v>
      </c>
      <c r="O28" s="53">
        <v>0</v>
      </c>
      <c r="P28" s="53">
        <v>1.62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775</v>
      </c>
      <c r="B29" s="53">
        <v>102.91</v>
      </c>
      <c r="C29" s="53">
        <v>13.61</v>
      </c>
      <c r="D29" s="53">
        <v>81.78</v>
      </c>
      <c r="E29" s="53">
        <v>6.37</v>
      </c>
      <c r="F29" s="53">
        <v>2.4700000000000002</v>
      </c>
      <c r="G29" s="53">
        <v>110.86</v>
      </c>
      <c r="H29" s="53">
        <v>28.43</v>
      </c>
      <c r="I29" s="53">
        <v>6.08</v>
      </c>
      <c r="J29" s="53">
        <v>0.57999999999999996</v>
      </c>
      <c r="K29" s="53">
        <v>339.41</v>
      </c>
      <c r="L29" s="53">
        <v>15.2</v>
      </c>
      <c r="M29" s="53">
        <v>72.430000000000007</v>
      </c>
      <c r="N29" s="53">
        <v>29.5</v>
      </c>
      <c r="O29" s="53">
        <v>0</v>
      </c>
      <c r="P29" s="53">
        <v>2.23</v>
      </c>
      <c r="Q29" s="53">
        <v>9.67</v>
      </c>
      <c r="R29" s="43"/>
      <c r="S29" s="43"/>
      <c r="T29" s="43"/>
      <c r="U29" s="43"/>
    </row>
    <row r="30" spans="1:21" s="11" customFormat="1" x14ac:dyDescent="0.25">
      <c r="A30" s="52" t="s">
        <v>776</v>
      </c>
      <c r="B30" s="53">
        <v>131.15</v>
      </c>
      <c r="C30" s="53">
        <v>13.61</v>
      </c>
      <c r="D30" s="53">
        <v>97.86</v>
      </c>
      <c r="E30" s="53">
        <v>6.5</v>
      </c>
      <c r="F30" s="53">
        <v>2.64</v>
      </c>
      <c r="G30" s="53">
        <v>120.25</v>
      </c>
      <c r="H30" s="53">
        <v>39.31</v>
      </c>
      <c r="I30" s="53">
        <v>8.0299999999999994</v>
      </c>
      <c r="J30" s="53">
        <v>0.59</v>
      </c>
      <c r="K30" s="53">
        <v>299.95</v>
      </c>
      <c r="L30" s="53">
        <v>14.27</v>
      </c>
      <c r="M30" s="53">
        <v>77.819999999999993</v>
      </c>
      <c r="N30" s="53">
        <v>29.6</v>
      </c>
      <c r="O30" s="53">
        <v>0</v>
      </c>
      <c r="P30" s="53">
        <v>2.82</v>
      </c>
      <c r="Q30" s="53">
        <v>9.69</v>
      </c>
      <c r="R30" s="43"/>
      <c r="S30" s="43"/>
      <c r="T30" s="43"/>
      <c r="U30" s="43"/>
    </row>
    <row r="31" spans="1:21" s="11" customFormat="1" x14ac:dyDescent="0.25">
      <c r="A31" s="52" t="s">
        <v>777</v>
      </c>
      <c r="B31" s="53">
        <v>151.31</v>
      </c>
      <c r="C31" s="53">
        <v>13.61</v>
      </c>
      <c r="D31" s="53">
        <v>109.05</v>
      </c>
      <c r="E31" s="53">
        <v>7.08</v>
      </c>
      <c r="F31" s="53">
        <v>2.44</v>
      </c>
      <c r="G31" s="53">
        <v>123.32</v>
      </c>
      <c r="H31" s="53">
        <v>40.54</v>
      </c>
      <c r="I31" s="53">
        <v>8.9</v>
      </c>
      <c r="J31" s="53">
        <v>0.56000000000000005</v>
      </c>
      <c r="K31" s="53">
        <v>347.3</v>
      </c>
      <c r="L31" s="53">
        <v>13.63</v>
      </c>
      <c r="M31" s="53">
        <v>85.58</v>
      </c>
      <c r="N31" s="53">
        <v>29.4</v>
      </c>
      <c r="O31" s="53">
        <v>0</v>
      </c>
      <c r="P31" s="53">
        <v>3.3</v>
      </c>
      <c r="Q31" s="53">
        <v>9.7100000000000009</v>
      </c>
      <c r="R31" s="43"/>
      <c r="S31" s="43"/>
      <c r="T31" s="43"/>
      <c r="U31" s="43"/>
    </row>
    <row r="32" spans="1:21" s="11" customFormat="1" x14ac:dyDescent="0.25">
      <c r="A32" s="52" t="s">
        <v>778</v>
      </c>
      <c r="B32" s="53">
        <v>148.88999999999999</v>
      </c>
      <c r="C32" s="53">
        <v>13.61</v>
      </c>
      <c r="D32" s="53">
        <v>107.66</v>
      </c>
      <c r="E32" s="53">
        <v>7.11</v>
      </c>
      <c r="F32" s="53">
        <v>2.81</v>
      </c>
      <c r="G32" s="53">
        <v>110.88</v>
      </c>
      <c r="H32" s="53">
        <v>37.479999999999997</v>
      </c>
      <c r="I32" s="53">
        <v>9.01</v>
      </c>
      <c r="J32" s="53">
        <v>0.62</v>
      </c>
      <c r="K32" s="53">
        <v>297.32</v>
      </c>
      <c r="L32" s="53">
        <v>13.11</v>
      </c>
      <c r="M32" s="53">
        <v>86.45</v>
      </c>
      <c r="N32" s="53">
        <v>29.5</v>
      </c>
      <c r="O32" s="53">
        <v>0</v>
      </c>
      <c r="P32" s="53">
        <v>3.28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2.4700000000000002</v>
      </c>
      <c r="C34" s="28">
        <f t="shared" si="0"/>
        <v>1.5</v>
      </c>
      <c r="D34" s="28">
        <f t="shared" si="0"/>
        <v>24.64</v>
      </c>
      <c r="E34" s="28">
        <f t="shared" si="0"/>
        <v>5.08</v>
      </c>
      <c r="F34" s="28">
        <f t="shared" si="0"/>
        <v>2.34</v>
      </c>
      <c r="G34" s="28">
        <f t="shared" si="0"/>
        <v>22.3</v>
      </c>
      <c r="H34" s="28">
        <f t="shared" si="0"/>
        <v>9.01</v>
      </c>
      <c r="I34" s="28">
        <f t="shared" si="0"/>
        <v>1.97</v>
      </c>
      <c r="J34" s="28">
        <f t="shared" si="0"/>
        <v>0.25</v>
      </c>
      <c r="K34" s="28">
        <f t="shared" si="0"/>
        <v>125.47</v>
      </c>
      <c r="L34" s="28">
        <f t="shared" si="0"/>
        <v>10.49</v>
      </c>
      <c r="M34" s="28">
        <f t="shared" si="0"/>
        <v>19.690000000000001</v>
      </c>
      <c r="N34" s="28">
        <f t="shared" si="0"/>
        <v>29.4</v>
      </c>
      <c r="O34" s="28">
        <f t="shared" si="0"/>
        <v>0</v>
      </c>
      <c r="P34" s="28">
        <f t="shared" si="0"/>
        <v>0.61</v>
      </c>
      <c r="Q34" s="28">
        <f t="shared" si="0"/>
        <v>9.3000000000000007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151.31</v>
      </c>
      <c r="C35" s="29">
        <f t="shared" si="1"/>
        <v>53.21</v>
      </c>
      <c r="D35" s="29">
        <f t="shared" si="1"/>
        <v>109.05</v>
      </c>
      <c r="E35" s="29">
        <f t="shared" si="1"/>
        <v>10.57</v>
      </c>
      <c r="F35" s="29">
        <f t="shared" si="1"/>
        <v>12.39</v>
      </c>
      <c r="G35" s="29">
        <f t="shared" si="1"/>
        <v>123.32</v>
      </c>
      <c r="H35" s="29">
        <f t="shared" si="1"/>
        <v>40.54</v>
      </c>
      <c r="I35" s="29">
        <f t="shared" si="1"/>
        <v>10.11</v>
      </c>
      <c r="J35" s="29">
        <f t="shared" si="1"/>
        <v>1.27</v>
      </c>
      <c r="K35" s="29">
        <f t="shared" si="1"/>
        <v>354.09</v>
      </c>
      <c r="L35" s="29">
        <f t="shared" si="1"/>
        <v>28.44</v>
      </c>
      <c r="M35" s="29">
        <f t="shared" si="1"/>
        <v>97.83</v>
      </c>
      <c r="N35" s="29">
        <f t="shared" si="1"/>
        <v>582.70000000000005</v>
      </c>
      <c r="O35" s="29">
        <f t="shared" si="1"/>
        <v>0</v>
      </c>
      <c r="P35" s="29">
        <f t="shared" si="1"/>
        <v>3.34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66.217500000000015</v>
      </c>
      <c r="C36" s="28">
        <f t="shared" si="2"/>
        <v>25.953749999999999</v>
      </c>
      <c r="D36" s="28">
        <f t="shared" si="2"/>
        <v>60.515833333333326</v>
      </c>
      <c r="E36" s="28">
        <f t="shared" si="2"/>
        <v>6.7925000000000013</v>
      </c>
      <c r="F36" s="28">
        <f t="shared" si="2"/>
        <v>4.2304166666666676</v>
      </c>
      <c r="G36" s="28">
        <f t="shared" si="2"/>
        <v>64.660000000000011</v>
      </c>
      <c r="H36" s="28">
        <f t="shared" si="2"/>
        <v>22.165833333333328</v>
      </c>
      <c r="I36" s="28">
        <f t="shared" si="2"/>
        <v>6.3254166666666665</v>
      </c>
      <c r="J36" s="28">
        <f t="shared" si="2"/>
        <v>0.70374999999999988</v>
      </c>
      <c r="K36" s="28">
        <f t="shared" si="2"/>
        <v>298.21583333333331</v>
      </c>
      <c r="L36" s="28">
        <f t="shared" si="2"/>
        <v>17.619166666666665</v>
      </c>
      <c r="M36" s="28">
        <f t="shared" si="2"/>
        <v>62.03458333333333</v>
      </c>
      <c r="N36" s="28">
        <f t="shared" si="2"/>
        <v>153.85416666666666</v>
      </c>
      <c r="O36" s="28">
        <f t="shared" si="2"/>
        <v>0</v>
      </c>
      <c r="P36" s="28">
        <f t="shared" si="2"/>
        <v>1.814583333333333</v>
      </c>
      <c r="Q36" s="28">
        <f t="shared" si="2"/>
        <v>9.5700000000000021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45.412916880169867</v>
      </c>
      <c r="C37" s="28">
        <f t="shared" ref="C37:Q37" si="3">STDEV(C9:C32)</f>
        <v>17.476040446105436</v>
      </c>
      <c r="D37" s="28">
        <f t="shared" si="3"/>
        <v>24.976757006859618</v>
      </c>
      <c r="E37" s="28">
        <f t="shared" si="3"/>
        <v>1.5787453741885435</v>
      </c>
      <c r="F37" s="28">
        <f t="shared" si="3"/>
        <v>3.2746941167032708</v>
      </c>
      <c r="G37" s="28">
        <f t="shared" si="3"/>
        <v>32.756928374341491</v>
      </c>
      <c r="H37" s="28">
        <f t="shared" si="3"/>
        <v>10.50442967293433</v>
      </c>
      <c r="I37" s="28">
        <f t="shared" si="3"/>
        <v>2.6061432093298778</v>
      </c>
      <c r="J37" s="28">
        <f t="shared" si="3"/>
        <v>0.28662674561936441</v>
      </c>
      <c r="K37" s="28">
        <f t="shared" si="3"/>
        <v>71.119044836146259</v>
      </c>
      <c r="L37" s="28">
        <f t="shared" si="3"/>
        <v>6.157850356617379</v>
      </c>
      <c r="M37" s="28">
        <f t="shared" si="3"/>
        <v>30.133099232970693</v>
      </c>
      <c r="N37" s="28">
        <f t="shared" si="3"/>
        <v>195.4805738800988</v>
      </c>
      <c r="O37" s="28">
        <f t="shared" si="3"/>
        <v>0</v>
      </c>
      <c r="P37" s="28">
        <f t="shared" si="3"/>
        <v>0.85800567124236371</v>
      </c>
      <c r="Q37" s="28">
        <f t="shared" si="3"/>
        <v>0.14482373094033402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C11" sqref="C1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58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779</v>
      </c>
      <c r="B9" s="50">
        <v>142.63</v>
      </c>
      <c r="C9" s="50">
        <v>4.21</v>
      </c>
      <c r="D9" s="50">
        <v>103.71</v>
      </c>
      <c r="E9" s="50">
        <v>6.39</v>
      </c>
      <c r="F9" s="50">
        <v>2.81</v>
      </c>
      <c r="G9" s="50">
        <v>90.09</v>
      </c>
      <c r="H9" s="50">
        <v>35.75</v>
      </c>
      <c r="I9" s="50">
        <v>9.5299999999999994</v>
      </c>
      <c r="J9" s="50">
        <v>0.6</v>
      </c>
      <c r="K9" s="50">
        <v>330.14</v>
      </c>
      <c r="L9" s="50">
        <v>12.04</v>
      </c>
      <c r="M9" s="50">
        <v>97.09</v>
      </c>
      <c r="N9" s="50">
        <v>29.5</v>
      </c>
      <c r="O9" s="50">
        <v>0</v>
      </c>
      <c r="P9" s="50">
        <v>3.13</v>
      </c>
      <c r="Q9" s="50">
        <v>9.6999999999999993</v>
      </c>
      <c r="R9" s="43"/>
      <c r="S9" s="43"/>
      <c r="T9" s="43"/>
      <c r="U9" s="43"/>
    </row>
    <row r="10" spans="1:21" s="11" customFormat="1" x14ac:dyDescent="0.25">
      <c r="A10" s="49" t="s">
        <v>780</v>
      </c>
      <c r="B10" s="50">
        <v>124.92</v>
      </c>
      <c r="C10" s="50">
        <v>3.26</v>
      </c>
      <c r="D10" s="50">
        <v>92.34</v>
      </c>
      <c r="E10" s="50">
        <v>6.08</v>
      </c>
      <c r="F10" s="50">
        <v>2.83</v>
      </c>
      <c r="G10" s="50">
        <v>71.349999999999994</v>
      </c>
      <c r="H10" s="50">
        <v>31.95</v>
      </c>
      <c r="I10" s="50">
        <v>9.17</v>
      </c>
      <c r="J10" s="50">
        <v>0.6</v>
      </c>
      <c r="K10" s="50">
        <v>310.52</v>
      </c>
      <c r="L10" s="50">
        <v>11.57</v>
      </c>
      <c r="M10" s="50">
        <v>97.82</v>
      </c>
      <c r="N10" s="50">
        <v>29.5</v>
      </c>
      <c r="O10" s="50">
        <v>0</v>
      </c>
      <c r="P10" s="50">
        <v>2.4700000000000002</v>
      </c>
      <c r="Q10" s="50">
        <v>9.69</v>
      </c>
      <c r="R10" s="43"/>
      <c r="S10" s="43"/>
      <c r="T10" s="43"/>
      <c r="U10" s="43"/>
    </row>
    <row r="11" spans="1:21" s="11" customFormat="1" x14ac:dyDescent="0.25">
      <c r="A11" s="49" t="s">
        <v>781</v>
      </c>
      <c r="B11" s="50">
        <v>102.58</v>
      </c>
      <c r="C11" s="50">
        <v>3.6</v>
      </c>
      <c r="D11" s="50">
        <v>78.84</v>
      </c>
      <c r="E11" s="50">
        <v>5.71</v>
      </c>
      <c r="F11" s="50">
        <v>2.39</v>
      </c>
      <c r="G11" s="50">
        <v>58.12</v>
      </c>
      <c r="H11" s="50">
        <v>27.28</v>
      </c>
      <c r="I11" s="50">
        <v>8.65</v>
      </c>
      <c r="J11" s="50">
        <v>0.63</v>
      </c>
      <c r="K11" s="50">
        <v>319.10000000000002</v>
      </c>
      <c r="L11" s="50">
        <v>10.82</v>
      </c>
      <c r="M11" s="50">
        <v>97.8</v>
      </c>
      <c r="N11" s="50">
        <v>29.4</v>
      </c>
      <c r="O11" s="50">
        <v>0</v>
      </c>
      <c r="P11" s="50">
        <v>2.27</v>
      </c>
      <c r="Q11" s="50">
        <v>9.67</v>
      </c>
      <c r="R11" s="43"/>
      <c r="S11" s="43"/>
      <c r="T11" s="43"/>
      <c r="U11" s="43"/>
    </row>
    <row r="12" spans="1:21" s="11" customFormat="1" x14ac:dyDescent="0.25">
      <c r="A12" s="49" t="s">
        <v>782</v>
      </c>
      <c r="B12" s="50">
        <v>79.62</v>
      </c>
      <c r="C12" s="50">
        <v>13.14</v>
      </c>
      <c r="D12" s="50">
        <v>65.63</v>
      </c>
      <c r="E12" s="50">
        <v>5.61</v>
      </c>
      <c r="F12" s="50">
        <v>2.54</v>
      </c>
      <c r="G12" s="50">
        <v>52.94</v>
      </c>
      <c r="H12" s="50">
        <v>21.38</v>
      </c>
      <c r="I12" s="50">
        <v>8.26</v>
      </c>
      <c r="J12" s="50">
        <v>0.63</v>
      </c>
      <c r="K12" s="50">
        <v>316.29000000000002</v>
      </c>
      <c r="L12" s="50">
        <v>10.28</v>
      </c>
      <c r="M12" s="50">
        <v>97.4</v>
      </c>
      <c r="N12" s="50">
        <v>29.5</v>
      </c>
      <c r="O12" s="50">
        <v>0</v>
      </c>
      <c r="P12" s="50">
        <v>1.95</v>
      </c>
      <c r="Q12" s="50">
        <v>9.66</v>
      </c>
      <c r="R12" s="43"/>
      <c r="S12" s="43"/>
      <c r="T12" s="43"/>
      <c r="U12" s="43"/>
    </row>
    <row r="13" spans="1:21" s="11" customFormat="1" x14ac:dyDescent="0.25">
      <c r="A13" s="49" t="s">
        <v>783</v>
      </c>
      <c r="B13" s="50">
        <v>60.69</v>
      </c>
      <c r="C13" s="50">
        <v>19.260000000000002</v>
      </c>
      <c r="D13" s="50">
        <v>54.86</v>
      </c>
      <c r="E13" s="50">
        <v>5.27</v>
      </c>
      <c r="F13" s="50">
        <v>2.75</v>
      </c>
      <c r="G13" s="50">
        <v>42.73</v>
      </c>
      <c r="H13" s="50">
        <v>18.329999999999998</v>
      </c>
      <c r="I13" s="50">
        <v>6.8</v>
      </c>
      <c r="J13" s="50">
        <v>0.57999999999999996</v>
      </c>
      <c r="K13" s="50">
        <v>297.14</v>
      </c>
      <c r="L13" s="50">
        <v>9.89</v>
      </c>
      <c r="M13" s="50">
        <v>97.56</v>
      </c>
      <c r="N13" s="50">
        <v>29.4</v>
      </c>
      <c r="O13" s="50">
        <v>0</v>
      </c>
      <c r="P13" s="50">
        <v>1.68</v>
      </c>
      <c r="Q13" s="50">
        <v>9.65</v>
      </c>
      <c r="R13" s="43"/>
      <c r="S13" s="43"/>
      <c r="T13" s="43"/>
      <c r="U13" s="43"/>
    </row>
    <row r="14" spans="1:21" s="11" customFormat="1" x14ac:dyDescent="0.25">
      <c r="A14" s="49" t="s">
        <v>784</v>
      </c>
      <c r="B14" s="50">
        <v>48.48</v>
      </c>
      <c r="C14" s="50">
        <v>23.19</v>
      </c>
      <c r="D14" s="50">
        <v>47.66</v>
      </c>
      <c r="E14" s="50">
        <v>5.04</v>
      </c>
      <c r="F14" s="50">
        <v>2.79</v>
      </c>
      <c r="G14" s="50">
        <v>35.770000000000003</v>
      </c>
      <c r="H14" s="50">
        <v>15.99</v>
      </c>
      <c r="I14" s="50">
        <v>6.37</v>
      </c>
      <c r="J14" s="50">
        <v>0.63</v>
      </c>
      <c r="K14" s="50">
        <v>337.47</v>
      </c>
      <c r="L14" s="50">
        <v>9.99</v>
      </c>
      <c r="M14" s="50">
        <v>97.72</v>
      </c>
      <c r="N14" s="50">
        <v>29.5</v>
      </c>
      <c r="O14" s="50">
        <v>0</v>
      </c>
      <c r="P14" s="50">
        <v>1.39</v>
      </c>
      <c r="Q14" s="50">
        <v>9.6300000000000008</v>
      </c>
      <c r="R14" s="43"/>
      <c r="S14" s="43"/>
      <c r="T14" s="43"/>
      <c r="U14" s="43"/>
    </row>
    <row r="15" spans="1:21" s="11" customFormat="1" x14ac:dyDescent="0.25">
      <c r="A15" s="49" t="s">
        <v>785</v>
      </c>
      <c r="B15" s="50">
        <v>39.86</v>
      </c>
      <c r="C15" s="50">
        <v>26.59</v>
      </c>
      <c r="D15" s="50">
        <v>42.79</v>
      </c>
      <c r="E15" s="50">
        <v>4.6399999999999997</v>
      </c>
      <c r="F15" s="50">
        <v>2.4900000000000002</v>
      </c>
      <c r="G15" s="50">
        <v>34.11</v>
      </c>
      <c r="H15" s="50">
        <v>15.4</v>
      </c>
      <c r="I15" s="50">
        <v>5.58</v>
      </c>
      <c r="J15" s="50">
        <v>0.64</v>
      </c>
      <c r="K15" s="50">
        <v>275.52</v>
      </c>
      <c r="L15" s="50">
        <v>9.68</v>
      </c>
      <c r="M15" s="50">
        <v>97.83</v>
      </c>
      <c r="N15" s="50">
        <v>39.700000000000003</v>
      </c>
      <c r="O15" s="50">
        <v>0</v>
      </c>
      <c r="P15" s="50">
        <v>1.24</v>
      </c>
      <c r="Q15" s="50">
        <v>9.56</v>
      </c>
      <c r="R15" s="43"/>
      <c r="S15" s="43"/>
      <c r="T15" s="43"/>
      <c r="U15" s="43"/>
    </row>
    <row r="16" spans="1:21" s="11" customFormat="1" x14ac:dyDescent="0.25">
      <c r="A16" s="49" t="s">
        <v>786</v>
      </c>
      <c r="B16" s="50">
        <v>33.49</v>
      </c>
      <c r="C16" s="50">
        <v>27.51</v>
      </c>
      <c r="D16" s="50">
        <v>39.29</v>
      </c>
      <c r="E16" s="50">
        <v>5.52</v>
      </c>
      <c r="F16" s="50">
        <v>2.71</v>
      </c>
      <c r="G16" s="50">
        <v>31.41</v>
      </c>
      <c r="H16" s="50">
        <v>12.56</v>
      </c>
      <c r="I16" s="50">
        <v>5.17</v>
      </c>
      <c r="J16" s="50">
        <v>0.77</v>
      </c>
      <c r="K16" s="50">
        <v>325.3</v>
      </c>
      <c r="L16" s="50">
        <v>13.16</v>
      </c>
      <c r="M16" s="50">
        <v>97.54</v>
      </c>
      <c r="N16" s="50">
        <v>198.8</v>
      </c>
      <c r="O16" s="50">
        <v>0</v>
      </c>
      <c r="P16" s="50">
        <v>1.38</v>
      </c>
      <c r="Q16" s="50">
        <v>9.5299999999999994</v>
      </c>
      <c r="R16" s="43"/>
      <c r="S16" s="43"/>
      <c r="T16" s="43"/>
      <c r="U16" s="43"/>
    </row>
    <row r="17" spans="1:21" s="11" customFormat="1" x14ac:dyDescent="0.25">
      <c r="A17" s="49" t="s">
        <v>787</v>
      </c>
      <c r="B17" s="50">
        <v>31.08</v>
      </c>
      <c r="C17" s="50">
        <v>30.85</v>
      </c>
      <c r="D17" s="50">
        <v>38.08</v>
      </c>
      <c r="E17" s="50">
        <v>5.59</v>
      </c>
      <c r="F17" s="50">
        <v>2.66</v>
      </c>
      <c r="G17" s="50">
        <v>34.64</v>
      </c>
      <c r="H17" s="50">
        <v>15.61</v>
      </c>
      <c r="I17" s="50">
        <v>5.17</v>
      </c>
      <c r="J17" s="50">
        <v>0.92</v>
      </c>
      <c r="K17" s="50">
        <v>350.5</v>
      </c>
      <c r="L17" s="50">
        <v>22.26</v>
      </c>
      <c r="M17" s="50">
        <v>74.45</v>
      </c>
      <c r="N17" s="50">
        <v>314.7</v>
      </c>
      <c r="O17" s="50">
        <v>0</v>
      </c>
      <c r="P17" s="50">
        <v>1.38</v>
      </c>
      <c r="Q17" s="50">
        <v>9.52</v>
      </c>
      <c r="R17" s="43"/>
      <c r="S17" s="43"/>
      <c r="T17" s="43"/>
      <c r="U17" s="43"/>
    </row>
    <row r="18" spans="1:21" s="11" customFormat="1" x14ac:dyDescent="0.25">
      <c r="A18" s="49" t="s">
        <v>788</v>
      </c>
      <c r="B18" s="50">
        <v>28.53</v>
      </c>
      <c r="C18" s="50">
        <v>34.03</v>
      </c>
      <c r="D18" s="50">
        <v>37.68</v>
      </c>
      <c r="E18" s="50">
        <v>5.81</v>
      </c>
      <c r="F18" s="50">
        <v>2.5099999999999998</v>
      </c>
      <c r="G18" s="50">
        <v>47.01</v>
      </c>
      <c r="H18" s="50">
        <v>14.54</v>
      </c>
      <c r="I18" s="50">
        <v>5.61</v>
      </c>
      <c r="J18" s="50">
        <v>1.51</v>
      </c>
      <c r="K18" s="50">
        <v>148.41999999999999</v>
      </c>
      <c r="L18" s="50">
        <v>22.2</v>
      </c>
      <c r="M18" s="50">
        <v>54.23</v>
      </c>
      <c r="N18" s="50">
        <v>394.9</v>
      </c>
      <c r="O18" s="50">
        <v>0</v>
      </c>
      <c r="P18" s="50">
        <v>1.35</v>
      </c>
      <c r="Q18" s="50">
        <v>9.48</v>
      </c>
      <c r="R18" s="43"/>
      <c r="S18" s="43"/>
      <c r="T18" s="43"/>
      <c r="U18" s="43"/>
    </row>
    <row r="19" spans="1:21" s="11" customFormat="1" x14ac:dyDescent="0.25">
      <c r="A19" s="49" t="s">
        <v>789</v>
      </c>
      <c r="B19" s="50">
        <v>22.62</v>
      </c>
      <c r="C19" s="50">
        <v>67.5</v>
      </c>
      <c r="D19" s="50">
        <v>38.42</v>
      </c>
      <c r="E19" s="50">
        <v>15.1</v>
      </c>
      <c r="F19" s="50">
        <v>4.26</v>
      </c>
      <c r="G19" s="50">
        <v>43.45</v>
      </c>
      <c r="H19" s="50">
        <v>14.75</v>
      </c>
      <c r="I19" s="50">
        <v>6.71</v>
      </c>
      <c r="J19" s="50">
        <v>1.23</v>
      </c>
      <c r="K19" s="50">
        <v>338.8</v>
      </c>
      <c r="L19" s="50">
        <v>27.69</v>
      </c>
      <c r="M19" s="50">
        <v>42.77</v>
      </c>
      <c r="N19" s="50">
        <v>447.2</v>
      </c>
      <c r="O19" s="50">
        <v>0</v>
      </c>
      <c r="P19" s="50">
        <v>1.33</v>
      </c>
      <c r="Q19" s="50">
        <v>9.43</v>
      </c>
      <c r="R19" s="43"/>
      <c r="S19" s="43"/>
      <c r="T19" s="43"/>
      <c r="U19" s="43"/>
    </row>
    <row r="20" spans="1:21" s="11" customFormat="1" x14ac:dyDescent="0.25">
      <c r="A20" s="49" t="s">
        <v>790</v>
      </c>
      <c r="B20" s="50">
        <v>4.76</v>
      </c>
      <c r="C20" s="50">
        <v>64.12</v>
      </c>
      <c r="D20" s="50">
        <v>35.64</v>
      </c>
      <c r="E20" s="50">
        <v>7.06</v>
      </c>
      <c r="F20" s="50">
        <v>4.71</v>
      </c>
      <c r="G20" s="50">
        <v>38.409999999999997</v>
      </c>
      <c r="H20" s="50">
        <v>13.62</v>
      </c>
      <c r="I20" s="50">
        <v>6.69</v>
      </c>
      <c r="J20" s="50">
        <v>0.96</v>
      </c>
      <c r="K20" s="50">
        <v>327.68</v>
      </c>
      <c r="L20" s="50">
        <v>28.31</v>
      </c>
      <c r="M20" s="50">
        <v>23.63</v>
      </c>
      <c r="N20" s="50">
        <v>531.4</v>
      </c>
      <c r="O20" s="50">
        <v>0</v>
      </c>
      <c r="P20" s="50">
        <v>1.23</v>
      </c>
      <c r="Q20" s="50">
        <v>9.35</v>
      </c>
      <c r="R20" s="43"/>
      <c r="S20" s="43"/>
      <c r="T20" s="43"/>
      <c r="U20" s="43"/>
    </row>
    <row r="21" spans="1:21" s="11" customFormat="1" x14ac:dyDescent="0.25">
      <c r="A21" s="49" t="s">
        <v>791</v>
      </c>
      <c r="B21" s="50">
        <v>2.66</v>
      </c>
      <c r="C21" s="50">
        <v>53.13</v>
      </c>
      <c r="D21" s="50">
        <v>28.01</v>
      </c>
      <c r="E21" s="50">
        <v>7.95</v>
      </c>
      <c r="F21" s="50">
        <v>7.01</v>
      </c>
      <c r="G21" s="50">
        <v>29.62</v>
      </c>
      <c r="H21" s="50">
        <v>11.57</v>
      </c>
      <c r="I21" s="50">
        <v>6.01</v>
      </c>
      <c r="J21" s="50">
        <v>1.61</v>
      </c>
      <c r="K21" s="50">
        <v>336.18</v>
      </c>
      <c r="L21" s="50">
        <v>28.29</v>
      </c>
      <c r="M21" s="50">
        <v>23.11</v>
      </c>
      <c r="N21" s="50">
        <v>532.70000000000005</v>
      </c>
      <c r="O21" s="50">
        <v>0</v>
      </c>
      <c r="P21" s="50">
        <v>1.1200000000000001</v>
      </c>
      <c r="Q21" s="50">
        <v>9.35</v>
      </c>
      <c r="R21" s="43"/>
      <c r="S21" s="43"/>
      <c r="T21" s="43"/>
      <c r="U21" s="43"/>
    </row>
    <row r="22" spans="1:21" s="11" customFormat="1" x14ac:dyDescent="0.25">
      <c r="A22" s="49" t="s">
        <v>792</v>
      </c>
      <c r="B22" s="50">
        <v>2.88</v>
      </c>
      <c r="C22" s="50">
        <v>54.87</v>
      </c>
      <c r="D22" s="50">
        <v>27.64</v>
      </c>
      <c r="E22" s="50">
        <v>14.37</v>
      </c>
      <c r="F22" s="50">
        <v>11.06</v>
      </c>
      <c r="G22" s="50">
        <v>36.840000000000003</v>
      </c>
      <c r="H22" s="50">
        <v>10.77</v>
      </c>
      <c r="I22" s="50">
        <v>6.18</v>
      </c>
      <c r="J22" s="50">
        <v>1.5</v>
      </c>
      <c r="K22" s="50">
        <v>337.11</v>
      </c>
      <c r="L22" s="50">
        <v>27.97</v>
      </c>
      <c r="M22" s="50">
        <v>24.28</v>
      </c>
      <c r="N22" s="50">
        <v>407.9</v>
      </c>
      <c r="O22" s="50">
        <v>0</v>
      </c>
      <c r="P22" s="50">
        <v>1.22</v>
      </c>
      <c r="Q22" s="50">
        <v>9.35</v>
      </c>
      <c r="R22" s="43"/>
      <c r="S22" s="43"/>
      <c r="T22" s="43"/>
      <c r="U22" s="43"/>
    </row>
    <row r="23" spans="1:21" s="11" customFormat="1" x14ac:dyDescent="0.25">
      <c r="A23" s="49" t="s">
        <v>793</v>
      </c>
      <c r="B23" s="50">
        <v>2.09</v>
      </c>
      <c r="C23" s="50">
        <v>54.66</v>
      </c>
      <c r="D23" s="50">
        <v>28.5</v>
      </c>
      <c r="E23" s="50">
        <v>9.41</v>
      </c>
      <c r="F23" s="50">
        <v>7.76</v>
      </c>
      <c r="G23" s="50">
        <v>37.700000000000003</v>
      </c>
      <c r="H23" s="50">
        <v>12.09</v>
      </c>
      <c r="I23" s="50">
        <v>6.76</v>
      </c>
      <c r="J23" s="50">
        <v>1.23</v>
      </c>
      <c r="K23" s="50">
        <v>328.52</v>
      </c>
      <c r="L23" s="50">
        <v>26.33</v>
      </c>
      <c r="M23" s="50">
        <v>25.24</v>
      </c>
      <c r="N23" s="50">
        <v>153.5</v>
      </c>
      <c r="O23" s="50">
        <v>0</v>
      </c>
      <c r="P23" s="50">
        <v>1.23</v>
      </c>
      <c r="Q23" s="50">
        <v>9.35</v>
      </c>
      <c r="R23" s="43"/>
      <c r="S23" s="43"/>
      <c r="T23" s="43"/>
      <c r="U23" s="43"/>
    </row>
    <row r="24" spans="1:21" s="11" customFormat="1" x14ac:dyDescent="0.25">
      <c r="A24" s="49" t="s">
        <v>794</v>
      </c>
      <c r="B24" s="50">
        <v>3.2</v>
      </c>
      <c r="C24" s="50">
        <v>49.92</v>
      </c>
      <c r="D24" s="50">
        <v>25.88</v>
      </c>
      <c r="E24" s="50">
        <v>11.13</v>
      </c>
      <c r="F24" s="50">
        <v>9.4</v>
      </c>
      <c r="G24" s="50">
        <v>35.369999999999997</v>
      </c>
      <c r="H24" s="50">
        <v>11.86</v>
      </c>
      <c r="I24" s="50">
        <v>6.53</v>
      </c>
      <c r="J24" s="50">
        <v>0.93</v>
      </c>
      <c r="K24" s="50">
        <v>321.3</v>
      </c>
      <c r="L24" s="50">
        <v>24.18</v>
      </c>
      <c r="M24" s="50">
        <v>23.55</v>
      </c>
      <c r="N24" s="50">
        <v>71.2</v>
      </c>
      <c r="O24" s="50">
        <v>0</v>
      </c>
      <c r="P24" s="50">
        <v>1.1000000000000001</v>
      </c>
      <c r="Q24" s="50">
        <v>9.35</v>
      </c>
      <c r="R24" s="43"/>
      <c r="S24" s="43"/>
      <c r="T24" s="43"/>
      <c r="U24" s="43"/>
    </row>
    <row r="25" spans="1:21" s="11" customFormat="1" x14ac:dyDescent="0.25">
      <c r="A25" s="49" t="s">
        <v>795</v>
      </c>
      <c r="B25" s="50">
        <v>14.93</v>
      </c>
      <c r="C25" s="50">
        <v>60.08</v>
      </c>
      <c r="D25" s="50">
        <v>38.79</v>
      </c>
      <c r="E25" s="50">
        <v>24.42</v>
      </c>
      <c r="F25" s="50">
        <v>10.95</v>
      </c>
      <c r="G25" s="50">
        <v>28</v>
      </c>
      <c r="H25" s="50">
        <v>10.37</v>
      </c>
      <c r="I25" s="50">
        <v>5.54</v>
      </c>
      <c r="J25" s="50">
        <v>0.88</v>
      </c>
      <c r="K25" s="50">
        <v>350.09</v>
      </c>
      <c r="L25" s="50">
        <v>23.34</v>
      </c>
      <c r="M25" s="50">
        <v>33.93</v>
      </c>
      <c r="N25" s="50">
        <v>52.6</v>
      </c>
      <c r="O25" s="50">
        <v>0</v>
      </c>
      <c r="P25" s="50">
        <v>1.28</v>
      </c>
      <c r="Q25" s="50">
        <v>9.34</v>
      </c>
      <c r="R25" s="43"/>
      <c r="S25" s="43"/>
      <c r="T25" s="43"/>
      <c r="U25" s="43"/>
    </row>
    <row r="26" spans="1:21" s="11" customFormat="1" x14ac:dyDescent="0.25">
      <c r="A26" s="49" t="s">
        <v>796</v>
      </c>
      <c r="B26" s="50">
        <v>11.44</v>
      </c>
      <c r="C26" s="50">
        <v>64.010000000000005</v>
      </c>
      <c r="D26" s="50">
        <v>44.34</v>
      </c>
      <c r="E26" s="50">
        <v>18.54</v>
      </c>
      <c r="F26" s="50">
        <v>5.95</v>
      </c>
      <c r="G26" s="50">
        <v>28.78</v>
      </c>
      <c r="H26" s="50">
        <v>10</v>
      </c>
      <c r="I26" s="50">
        <v>5.19</v>
      </c>
      <c r="J26" s="50">
        <v>0.56999999999999995</v>
      </c>
      <c r="K26" s="50">
        <v>297.99</v>
      </c>
      <c r="L26" s="50">
        <v>20.86</v>
      </c>
      <c r="M26" s="50">
        <v>47.17</v>
      </c>
      <c r="N26" s="50">
        <v>34.299999999999997</v>
      </c>
      <c r="O26" s="50">
        <v>0</v>
      </c>
      <c r="P26" s="50">
        <v>1.43</v>
      </c>
      <c r="Q26" s="50">
        <v>9.3800000000000008</v>
      </c>
      <c r="R26" s="43"/>
      <c r="S26" s="43"/>
      <c r="T26" s="43"/>
      <c r="U26" s="43"/>
    </row>
    <row r="27" spans="1:21" s="11" customFormat="1" x14ac:dyDescent="0.25">
      <c r="A27" s="49" t="s">
        <v>797</v>
      </c>
      <c r="B27" s="50">
        <v>18.78</v>
      </c>
      <c r="C27" s="50">
        <v>50.6</v>
      </c>
      <c r="D27" s="50">
        <v>37.369999999999997</v>
      </c>
      <c r="E27" s="50">
        <v>5.31</v>
      </c>
      <c r="F27" s="50">
        <v>2.5</v>
      </c>
      <c r="G27" s="50">
        <v>73.59</v>
      </c>
      <c r="H27" s="50">
        <v>14.93</v>
      </c>
      <c r="I27" s="50">
        <v>5.71</v>
      </c>
      <c r="J27" s="50">
        <v>0.59</v>
      </c>
      <c r="K27" s="50">
        <v>290.83999999999997</v>
      </c>
      <c r="L27" s="50">
        <v>18.2</v>
      </c>
      <c r="M27" s="50">
        <v>55.94</v>
      </c>
      <c r="N27" s="50">
        <v>29.8</v>
      </c>
      <c r="O27" s="50">
        <v>0</v>
      </c>
      <c r="P27" s="50">
        <v>1.54</v>
      </c>
      <c r="Q27" s="50">
        <v>9.43</v>
      </c>
      <c r="R27" s="43"/>
      <c r="S27" s="43"/>
      <c r="T27" s="43"/>
      <c r="U27" s="43"/>
    </row>
    <row r="28" spans="1:21" s="11" customFormat="1" x14ac:dyDescent="0.25">
      <c r="A28" s="49" t="s">
        <v>798</v>
      </c>
      <c r="B28" s="50">
        <v>39.99</v>
      </c>
      <c r="C28" s="50">
        <v>42.17</v>
      </c>
      <c r="D28" s="50">
        <v>48.42</v>
      </c>
      <c r="E28" s="50">
        <v>5.0599999999999996</v>
      </c>
      <c r="F28" s="50">
        <v>2.79</v>
      </c>
      <c r="G28" s="50">
        <v>84.6</v>
      </c>
      <c r="H28" s="50">
        <v>18.89</v>
      </c>
      <c r="I28" s="50">
        <v>6.73</v>
      </c>
      <c r="J28" s="50">
        <v>0.59</v>
      </c>
      <c r="K28" s="50">
        <v>243.5</v>
      </c>
      <c r="L28" s="50">
        <v>16.579999999999998</v>
      </c>
      <c r="M28" s="50">
        <v>61.69</v>
      </c>
      <c r="N28" s="50">
        <v>29.5</v>
      </c>
      <c r="O28" s="50">
        <v>0</v>
      </c>
      <c r="P28" s="50">
        <v>1.95</v>
      </c>
      <c r="Q28" s="50">
        <v>9.57</v>
      </c>
      <c r="R28" s="43"/>
      <c r="S28" s="43"/>
      <c r="T28" s="43"/>
      <c r="U28" s="43"/>
    </row>
    <row r="29" spans="1:21" s="11" customFormat="1" x14ac:dyDescent="0.25">
      <c r="A29" s="49" t="s">
        <v>799</v>
      </c>
      <c r="B29" s="50">
        <v>67.319999999999993</v>
      </c>
      <c r="C29" s="50">
        <v>30.32</v>
      </c>
      <c r="D29" s="50">
        <v>62.48</v>
      </c>
      <c r="E29" s="50">
        <v>5.2</v>
      </c>
      <c r="F29" s="50">
        <v>2.52</v>
      </c>
      <c r="G29" s="50">
        <v>90.58</v>
      </c>
      <c r="H29" s="50">
        <v>23.7</v>
      </c>
      <c r="I29" s="50">
        <v>7.42</v>
      </c>
      <c r="J29" s="50">
        <v>0.35</v>
      </c>
      <c r="K29" s="50">
        <v>313.58999999999997</v>
      </c>
      <c r="L29" s="50">
        <v>15.66</v>
      </c>
      <c r="M29" s="50">
        <v>65.05</v>
      </c>
      <c r="N29" s="50">
        <v>29.5</v>
      </c>
      <c r="O29" s="50">
        <v>0</v>
      </c>
      <c r="P29" s="50">
        <v>2.42</v>
      </c>
      <c r="Q29" s="50">
        <v>9.64</v>
      </c>
      <c r="R29" s="43"/>
      <c r="S29" s="43"/>
      <c r="T29" s="43"/>
      <c r="U29" s="43"/>
    </row>
    <row r="30" spans="1:21" s="11" customFormat="1" x14ac:dyDescent="0.25">
      <c r="A30" s="49" t="s">
        <v>800</v>
      </c>
      <c r="B30" s="50">
        <v>94.25</v>
      </c>
      <c r="C30" s="50">
        <v>15.08</v>
      </c>
      <c r="D30" s="50">
        <v>77.209999999999994</v>
      </c>
      <c r="E30" s="50">
        <v>5.7</v>
      </c>
      <c r="F30" s="50">
        <v>2.74</v>
      </c>
      <c r="G30" s="50">
        <v>93.04</v>
      </c>
      <c r="H30" s="50">
        <v>27.94</v>
      </c>
      <c r="I30" s="50">
        <v>8.59</v>
      </c>
      <c r="J30" s="50">
        <v>0.79</v>
      </c>
      <c r="K30" s="50">
        <v>314.02</v>
      </c>
      <c r="L30" s="50">
        <v>14.73</v>
      </c>
      <c r="M30" s="50">
        <v>77.81</v>
      </c>
      <c r="N30" s="50">
        <v>29.5</v>
      </c>
      <c r="O30" s="50">
        <v>0</v>
      </c>
      <c r="P30" s="50">
        <v>2.83</v>
      </c>
      <c r="Q30" s="50">
        <v>9.67</v>
      </c>
      <c r="R30" s="43"/>
      <c r="S30" s="43"/>
      <c r="T30" s="43"/>
      <c r="U30" s="43"/>
    </row>
    <row r="31" spans="1:21" s="11" customFormat="1" x14ac:dyDescent="0.25">
      <c r="A31" s="49" t="s">
        <v>801</v>
      </c>
      <c r="B31" s="50">
        <v>98.43</v>
      </c>
      <c r="C31" s="50">
        <v>5.45</v>
      </c>
      <c r="D31" s="50">
        <v>78.099999999999994</v>
      </c>
      <c r="E31" s="50">
        <v>5.74</v>
      </c>
      <c r="F31" s="50">
        <v>2.7</v>
      </c>
      <c r="G31" s="50">
        <v>99.38</v>
      </c>
      <c r="H31" s="50">
        <v>31.32</v>
      </c>
      <c r="I31" s="50">
        <v>8.5500000000000007</v>
      </c>
      <c r="J31" s="50">
        <v>0.64</v>
      </c>
      <c r="K31" s="50">
        <v>324.31</v>
      </c>
      <c r="L31" s="50">
        <v>14.62</v>
      </c>
      <c r="M31" s="50">
        <v>82.52</v>
      </c>
      <c r="N31" s="50">
        <v>29.6</v>
      </c>
      <c r="O31" s="50">
        <v>0</v>
      </c>
      <c r="P31" s="50">
        <v>2.85</v>
      </c>
      <c r="Q31" s="50">
        <v>9.67</v>
      </c>
      <c r="R31" s="43"/>
      <c r="S31" s="43"/>
      <c r="T31" s="43"/>
      <c r="U31" s="43"/>
    </row>
    <row r="32" spans="1:21" s="11" customFormat="1" x14ac:dyDescent="0.25">
      <c r="A32" s="49" t="s">
        <v>802</v>
      </c>
      <c r="B32" s="50">
        <v>106.46</v>
      </c>
      <c r="C32" s="50">
        <v>0.04</v>
      </c>
      <c r="D32" s="50">
        <v>82.12</v>
      </c>
      <c r="E32" s="50">
        <v>5.68</v>
      </c>
      <c r="F32" s="50">
        <v>2.5099999999999998</v>
      </c>
      <c r="G32" s="50">
        <v>99.87</v>
      </c>
      <c r="H32" s="50">
        <v>30.89</v>
      </c>
      <c r="I32" s="50">
        <v>9.92</v>
      </c>
      <c r="J32" s="50">
        <v>0.42</v>
      </c>
      <c r="K32" s="50">
        <v>294.64999999999998</v>
      </c>
      <c r="L32" s="50">
        <v>13.5</v>
      </c>
      <c r="M32" s="50">
        <v>81.11</v>
      </c>
      <c r="N32" s="50">
        <v>29.5</v>
      </c>
      <c r="O32" s="50">
        <v>0</v>
      </c>
      <c r="P32" s="50">
        <v>2.94</v>
      </c>
      <c r="Q32" s="50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2.09</v>
      </c>
      <c r="C34" s="28">
        <f t="shared" si="0"/>
        <v>0.04</v>
      </c>
      <c r="D34" s="28">
        <f t="shared" si="0"/>
        <v>25.88</v>
      </c>
      <c r="E34" s="28">
        <f t="shared" si="0"/>
        <v>4.6399999999999997</v>
      </c>
      <c r="F34" s="28">
        <f t="shared" si="0"/>
        <v>2.39</v>
      </c>
      <c r="G34" s="28">
        <f t="shared" si="0"/>
        <v>28</v>
      </c>
      <c r="H34" s="28">
        <f t="shared" si="0"/>
        <v>10</v>
      </c>
      <c r="I34" s="28">
        <f t="shared" si="0"/>
        <v>5.17</v>
      </c>
      <c r="J34" s="28">
        <f t="shared" si="0"/>
        <v>0.35</v>
      </c>
      <c r="K34" s="28">
        <f t="shared" si="0"/>
        <v>148.41999999999999</v>
      </c>
      <c r="L34" s="28">
        <f t="shared" si="0"/>
        <v>9.68</v>
      </c>
      <c r="M34" s="28">
        <f t="shared" si="0"/>
        <v>23.11</v>
      </c>
      <c r="N34" s="28">
        <f t="shared" si="0"/>
        <v>29.4</v>
      </c>
      <c r="O34" s="28">
        <f t="shared" si="0"/>
        <v>0</v>
      </c>
      <c r="P34" s="28">
        <f t="shared" si="0"/>
        <v>1.1000000000000001</v>
      </c>
      <c r="Q34" s="28">
        <f t="shared" si="0"/>
        <v>9.34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142.63</v>
      </c>
      <c r="C35" s="29">
        <f t="shared" si="1"/>
        <v>67.5</v>
      </c>
      <c r="D35" s="29">
        <f t="shared" si="1"/>
        <v>103.71</v>
      </c>
      <c r="E35" s="29">
        <f t="shared" si="1"/>
        <v>24.42</v>
      </c>
      <c r="F35" s="29">
        <f t="shared" si="1"/>
        <v>11.06</v>
      </c>
      <c r="G35" s="29">
        <f t="shared" si="1"/>
        <v>99.87</v>
      </c>
      <c r="H35" s="29">
        <f t="shared" si="1"/>
        <v>35.75</v>
      </c>
      <c r="I35" s="29">
        <f t="shared" si="1"/>
        <v>9.92</v>
      </c>
      <c r="J35" s="29">
        <f t="shared" si="1"/>
        <v>1.61</v>
      </c>
      <c r="K35" s="29">
        <f t="shared" si="1"/>
        <v>350.5</v>
      </c>
      <c r="L35" s="29">
        <f t="shared" si="1"/>
        <v>28.31</v>
      </c>
      <c r="M35" s="29">
        <f t="shared" si="1"/>
        <v>97.83</v>
      </c>
      <c r="N35" s="29">
        <f t="shared" si="1"/>
        <v>532.70000000000005</v>
      </c>
      <c r="O35" s="29">
        <f t="shared" si="1"/>
        <v>0</v>
      </c>
      <c r="P35" s="29">
        <f t="shared" si="1"/>
        <v>3.13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49.237083333333338</v>
      </c>
      <c r="C36" s="28">
        <f t="shared" si="2"/>
        <v>33.232916666666668</v>
      </c>
      <c r="D36" s="28">
        <f t="shared" si="2"/>
        <v>52.241666666666653</v>
      </c>
      <c r="E36" s="28">
        <f t="shared" si="2"/>
        <v>8.1804166666666678</v>
      </c>
      <c r="F36" s="28">
        <f t="shared" si="2"/>
        <v>4.3058333333333341</v>
      </c>
      <c r="G36" s="28">
        <f t="shared" si="2"/>
        <v>54.891666666666673</v>
      </c>
      <c r="H36" s="28">
        <f t="shared" si="2"/>
        <v>18.81208333333333</v>
      </c>
      <c r="I36" s="28">
        <f t="shared" si="2"/>
        <v>6.9516666666666653</v>
      </c>
      <c r="J36" s="28">
        <f t="shared" si="2"/>
        <v>0.82500000000000007</v>
      </c>
      <c r="K36" s="28">
        <f t="shared" si="2"/>
        <v>309.54083333333335</v>
      </c>
      <c r="L36" s="28">
        <f t="shared" si="2"/>
        <v>18.006250000000001</v>
      </c>
      <c r="M36" s="28">
        <f t="shared" si="2"/>
        <v>65.718333333333334</v>
      </c>
      <c r="N36" s="28">
        <f t="shared" si="2"/>
        <v>147.21250000000001</v>
      </c>
      <c r="O36" s="28">
        <f t="shared" si="2"/>
        <v>0</v>
      </c>
      <c r="P36" s="28">
        <f t="shared" si="2"/>
        <v>1.7795833333333333</v>
      </c>
      <c r="Q36" s="28">
        <f t="shared" si="2"/>
        <v>9.5270833333333318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42.965343514245305</v>
      </c>
      <c r="C37" s="28">
        <f t="shared" ref="C37:Q37" si="3">STDEV(C9:C32)</f>
        <v>22.256286943569297</v>
      </c>
      <c r="D37" s="28">
        <f t="shared" si="3"/>
        <v>22.387442844180544</v>
      </c>
      <c r="E37" s="28">
        <f t="shared" si="3"/>
        <v>5.0414710406411309</v>
      </c>
      <c r="F37" s="28">
        <f t="shared" si="3"/>
        <v>2.8171106330495044</v>
      </c>
      <c r="G37" s="28">
        <f t="shared" si="3"/>
        <v>25.456891040527218</v>
      </c>
      <c r="H37" s="28">
        <f t="shared" si="3"/>
        <v>7.9478216754062885</v>
      </c>
      <c r="I37" s="28">
        <f t="shared" si="3"/>
        <v>1.4646016424319981</v>
      </c>
      <c r="J37" s="28">
        <f t="shared" si="3"/>
        <v>0.35037867713561588</v>
      </c>
      <c r="K37" s="28">
        <f t="shared" si="3"/>
        <v>42.044381097645335</v>
      </c>
      <c r="L37" s="28">
        <f t="shared" si="3"/>
        <v>6.7438769732576507</v>
      </c>
      <c r="M37" s="28">
        <f t="shared" si="3"/>
        <v>29.279180415392467</v>
      </c>
      <c r="N37" s="28">
        <f t="shared" si="3"/>
        <v>180.76149386150655</v>
      </c>
      <c r="O37" s="28">
        <f t="shared" si="3"/>
        <v>0</v>
      </c>
      <c r="P37" s="28">
        <f t="shared" si="3"/>
        <v>0.65960778310768264</v>
      </c>
      <c r="Q37" s="28">
        <f t="shared" si="3"/>
        <v>0.13747661197665489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89" zoomScaleNormal="89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51" sqref="B51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58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42</v>
      </c>
      <c r="C7" s="43" t="s">
        <v>43</v>
      </c>
      <c r="D7" s="43" t="s">
        <v>44</v>
      </c>
      <c r="E7" s="43" t="s">
        <v>45</v>
      </c>
      <c r="F7" s="43" t="s">
        <v>46</v>
      </c>
      <c r="G7" s="43" t="s">
        <v>47</v>
      </c>
      <c r="H7" s="43" t="s">
        <v>48</v>
      </c>
      <c r="I7" s="43" t="s">
        <v>49</v>
      </c>
      <c r="J7" s="43" t="s">
        <v>50</v>
      </c>
      <c r="K7" s="43" t="s">
        <v>51</v>
      </c>
      <c r="L7" s="43" t="s">
        <v>52</v>
      </c>
      <c r="M7" s="43" t="s">
        <v>53</v>
      </c>
      <c r="N7" s="43" t="s">
        <v>54</v>
      </c>
      <c r="O7" s="43" t="s">
        <v>55</v>
      </c>
      <c r="P7" s="43" t="s">
        <v>56</v>
      </c>
      <c r="Q7" s="43" t="s">
        <v>57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01/12/2025 01:00</v>
      </c>
      <c r="B9" s="24">
        <f>'01'!B36</f>
        <v>15.664583333333335</v>
      </c>
      <c r="C9" s="24">
        <f>'01'!C36</f>
        <v>22.358750000000001</v>
      </c>
      <c r="D9" s="24">
        <f>'01'!D36</f>
        <v>23.31958333333333</v>
      </c>
      <c r="E9" s="24">
        <f>'01'!E36</f>
        <v>8.9108333333333345</v>
      </c>
      <c r="F9" s="24">
        <f>'01'!F36</f>
        <v>5.6216666666666661</v>
      </c>
      <c r="G9" s="24">
        <f>'01'!G36</f>
        <v>68.324583333333337</v>
      </c>
      <c r="H9" s="24">
        <f>'01'!H36</f>
        <v>31.309583333333336</v>
      </c>
      <c r="I9" s="24">
        <f>'01'!I36</f>
        <v>3.7345833333333331</v>
      </c>
      <c r="J9" s="24">
        <f>'01'!J36</f>
        <v>0.90708333333333346</v>
      </c>
      <c r="K9" s="24">
        <f>'01'!K36</f>
        <v>189.34458333333328</v>
      </c>
      <c r="L9" s="24">
        <f>'01'!L36</f>
        <v>20.722916666666666</v>
      </c>
      <c r="M9" s="24">
        <f>'01'!M36</f>
        <v>66.026666666666671</v>
      </c>
      <c r="N9" s="24">
        <f>'01'!N36</f>
        <v>142.89166666666668</v>
      </c>
      <c r="O9" s="24">
        <f>'01'!O36</f>
        <v>0</v>
      </c>
      <c r="P9" s="30">
        <f>'01'!$P$36</f>
        <v>1.1079166666666664</v>
      </c>
      <c r="Q9" s="24">
        <f>'01'!Q36</f>
        <v>9.6495833333333341</v>
      </c>
      <c r="R9" s="44"/>
      <c r="S9" s="44"/>
      <c r="T9" s="44"/>
      <c r="U9" s="45"/>
    </row>
    <row r="10" spans="1:21" s="34" customFormat="1" x14ac:dyDescent="0.25">
      <c r="A10" s="36" t="str">
        <f>'02'!$B$2</f>
        <v>02/12/2025 01:00</v>
      </c>
      <c r="B10" s="33">
        <f>'02'!B36</f>
        <v>16.578749999999999</v>
      </c>
      <c r="C10" s="33">
        <f>'02'!C36</f>
        <v>25.869166666666661</v>
      </c>
      <c r="D10" s="33">
        <f>'02'!D36</f>
        <v>25.622500000000002</v>
      </c>
      <c r="E10" s="33">
        <f>'02'!E36</f>
        <v>9.5908333333333342</v>
      </c>
      <c r="F10" s="33">
        <f>'02'!F36</f>
        <v>5.8758333333333326</v>
      </c>
      <c r="G10" s="33">
        <f>'02'!G36</f>
        <v>86.402727272727276</v>
      </c>
      <c r="H10" s="33">
        <f>'02'!H36</f>
        <v>31.29454545454545</v>
      </c>
      <c r="I10" s="33">
        <f>'02'!I36</f>
        <v>3.6287500000000001</v>
      </c>
      <c r="J10" s="33">
        <f>'02'!J36</f>
        <v>0.76875000000000027</v>
      </c>
      <c r="K10" s="33">
        <f>'02'!K36</f>
        <v>283.33291666666662</v>
      </c>
      <c r="L10" s="33">
        <f>'02'!L36</f>
        <v>20.181250000000002</v>
      </c>
      <c r="M10" s="33">
        <f>'02'!M36</f>
        <v>77.494166666666658</v>
      </c>
      <c r="N10" s="33">
        <f>'02'!N36</f>
        <v>153.40416666666667</v>
      </c>
      <c r="O10" s="33">
        <f>'02'!O36</f>
        <v>0</v>
      </c>
      <c r="P10" s="30">
        <f>'02'!$P$36</f>
        <v>1.1537500000000001</v>
      </c>
      <c r="Q10" s="33">
        <f>'02'!Q36</f>
        <v>9.6516666666666655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03/12/2025 01:00</v>
      </c>
      <c r="B11" s="33">
        <f>'03'!B36</f>
        <v>26.633749999999992</v>
      </c>
      <c r="C11" s="33">
        <f>'03'!C36</f>
        <v>20.920833333333338</v>
      </c>
      <c r="D11" s="33">
        <f>'03'!D36</f>
        <v>30.632499999999997</v>
      </c>
      <c r="E11" s="33">
        <f>'03'!E36</f>
        <v>7.9395833333333314</v>
      </c>
      <c r="F11" s="33">
        <f>'03'!F36</f>
        <v>6.0249999999999986</v>
      </c>
      <c r="G11" s="33">
        <f>'03'!G36</f>
        <v>84.741666666666674</v>
      </c>
      <c r="H11" s="33">
        <f>'03'!H36</f>
        <v>35.583749999999988</v>
      </c>
      <c r="I11" s="33">
        <f>'03'!I36</f>
        <v>4.565833333333333</v>
      </c>
      <c r="J11" s="33">
        <f>'03'!J36</f>
        <v>0.64666666666666661</v>
      </c>
      <c r="K11" s="33">
        <f>'03'!K36</f>
        <v>329.46333333333337</v>
      </c>
      <c r="L11" s="33">
        <f>'03'!L36</f>
        <v>20.370000000000005</v>
      </c>
      <c r="M11" s="33">
        <f>'03'!M36</f>
        <v>67.922916666666666</v>
      </c>
      <c r="N11" s="33">
        <f>'03'!N36</f>
        <v>158.62916666666669</v>
      </c>
      <c r="O11" s="33">
        <f>'03'!O36</f>
        <v>0</v>
      </c>
      <c r="P11" s="30">
        <f>'03'!$P$36</f>
        <v>1.4312500000000001</v>
      </c>
      <c r="Q11" s="33">
        <f>'03'!Q36</f>
        <v>9.6720833333333331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04/12/2025 01:00</v>
      </c>
      <c r="B12" s="33">
        <f>'04'!B36</f>
        <v>26.513749999999991</v>
      </c>
      <c r="C12" s="33">
        <f>'04'!C36</f>
        <v>20.530416666666671</v>
      </c>
      <c r="D12" s="33">
        <f>'04'!D36</f>
        <v>30.529166666666669</v>
      </c>
      <c r="E12" s="33">
        <f>'04'!E36</f>
        <v>9.0550000000000015</v>
      </c>
      <c r="F12" s="33">
        <f>'04'!F36</f>
        <v>5.3674999999999988</v>
      </c>
      <c r="G12" s="33">
        <f>'04'!G36</f>
        <v>67.62</v>
      </c>
      <c r="H12" s="33">
        <f>'04'!H36</f>
        <v>33.099166666666662</v>
      </c>
      <c r="I12" s="33">
        <f>'04'!I36</f>
        <v>4.5141666666666653</v>
      </c>
      <c r="J12" s="33">
        <f>'04'!J36</f>
        <v>0.70208333333333328</v>
      </c>
      <c r="K12" s="33">
        <f>'04'!K36</f>
        <v>306.68583333333333</v>
      </c>
      <c r="L12" s="33">
        <f>'04'!L36</f>
        <v>20.134999999999998</v>
      </c>
      <c r="M12" s="33">
        <f>'04'!M36</f>
        <v>54.326250000000009</v>
      </c>
      <c r="N12" s="33">
        <f>'04'!N36</f>
        <v>172.04999999999998</v>
      </c>
      <c r="O12" s="33">
        <f>'04'!O36</f>
        <v>0</v>
      </c>
      <c r="P12" s="30">
        <f>'04'!$P$36</f>
        <v>1.3841666666666665</v>
      </c>
      <c r="Q12" s="33">
        <f>'04'!Q36</f>
        <v>9.6695833333333336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05/12/2025 01:00</v>
      </c>
      <c r="B13" s="33">
        <f>'05'!B36</f>
        <v>20.507083333333338</v>
      </c>
      <c r="C13" s="33">
        <f>'05'!C36</f>
        <v>21.122499999999999</v>
      </c>
      <c r="D13" s="33">
        <f>'05'!D36</f>
        <v>26.400416666666668</v>
      </c>
      <c r="E13" s="33">
        <f>'05'!E36</f>
        <v>7.0920833333333322</v>
      </c>
      <c r="F13" s="33">
        <f>'05'!F36</f>
        <v>4.5458333333333343</v>
      </c>
      <c r="G13" s="33">
        <f>'05'!G36</f>
        <v>66.544583333333335</v>
      </c>
      <c r="H13" s="33">
        <f>'05'!H36</f>
        <v>28.790000000000003</v>
      </c>
      <c r="I13" s="33">
        <f>'05'!I36</f>
        <v>3.9933333333333336</v>
      </c>
      <c r="J13" s="33">
        <f>'05'!J36</f>
        <v>0.64833333333333321</v>
      </c>
      <c r="K13" s="33">
        <f>'05'!K36</f>
        <v>310.73041666666666</v>
      </c>
      <c r="L13" s="33">
        <f>'05'!L36</f>
        <v>19.710416666666664</v>
      </c>
      <c r="M13" s="33">
        <f>'05'!M36</f>
        <v>58.77</v>
      </c>
      <c r="N13" s="33">
        <f>'05'!N36</f>
        <v>160.06666666666663</v>
      </c>
      <c r="O13" s="33">
        <f>'05'!O36</f>
        <v>0</v>
      </c>
      <c r="P13" s="30">
        <f>'05'!$P$36</f>
        <v>1.1570833333333335</v>
      </c>
      <c r="Q13" s="33">
        <f>'05'!Q36</f>
        <v>9.6591666666666658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06/12/2025 01:00</v>
      </c>
      <c r="B14" s="33">
        <f>'06'!B36</f>
        <v>32.671249999999993</v>
      </c>
      <c r="C14" s="33">
        <f>'06'!C36</f>
        <v>22.035714285714285</v>
      </c>
      <c r="D14" s="33">
        <f>'06'!D36</f>
        <v>33.402083333333337</v>
      </c>
      <c r="E14" s="33">
        <f>'06'!E36</f>
        <v>7.0049999999999999</v>
      </c>
      <c r="F14" s="33">
        <f>'06'!F36</f>
        <v>3.8254166666666674</v>
      </c>
      <c r="G14" s="33">
        <f>'06'!G36</f>
        <v>91.21541666666667</v>
      </c>
      <c r="H14" s="33">
        <f>'06'!H36</f>
        <v>35.224166666666669</v>
      </c>
      <c r="I14" s="33">
        <f>'06'!I36</f>
        <v>4.5070833333333331</v>
      </c>
      <c r="J14" s="33">
        <f>'06'!J36</f>
        <v>0.76624999999999988</v>
      </c>
      <c r="K14" s="33">
        <f>'06'!K36</f>
        <v>328.35124999999988</v>
      </c>
      <c r="L14" s="33">
        <f>'06'!L36</f>
        <v>19.212916666666668</v>
      </c>
      <c r="M14" s="33">
        <f>'06'!M36</f>
        <v>52.142083333333339</v>
      </c>
      <c r="N14" s="33">
        <f>'06'!N36</f>
        <v>173.4</v>
      </c>
      <c r="O14" s="33">
        <f>'06'!O36</f>
        <v>0</v>
      </c>
      <c r="P14" s="30">
        <f>'06'!$P$36</f>
        <v>1.4670833333333333</v>
      </c>
      <c r="Q14" s="33">
        <f>'06'!Q36</f>
        <v>9.7016666666666662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07/12/2025 01:00</v>
      </c>
      <c r="B15" s="33">
        <f>'07'!B36</f>
        <v>59.822916666666664</v>
      </c>
      <c r="C15" s="33">
        <f>'07'!C36</f>
        <v>19.788666666666664</v>
      </c>
      <c r="D15" s="33">
        <f>'07'!D36</f>
        <v>48.675000000000004</v>
      </c>
      <c r="E15" s="33">
        <f>'07'!E36</f>
        <v>8.0708333333333346</v>
      </c>
      <c r="F15" s="33">
        <f>'07'!F36</f>
        <v>5.6529166666666661</v>
      </c>
      <c r="G15" s="33">
        <f>'07'!G36</f>
        <v>117.08124999999997</v>
      </c>
      <c r="H15" s="33">
        <f>'07'!H36</f>
        <v>49.366666666666667</v>
      </c>
      <c r="I15" s="33">
        <f>'07'!I36</f>
        <v>5.5591666666666661</v>
      </c>
      <c r="J15" s="33">
        <f>'07'!J36</f>
        <v>0.58708333333333329</v>
      </c>
      <c r="K15" s="33">
        <f>'07'!K36</f>
        <v>316.6345833333333</v>
      </c>
      <c r="L15" s="33">
        <f>'07'!L36</f>
        <v>19.526666666666664</v>
      </c>
      <c r="M15" s="33">
        <f>'07'!M36</f>
        <v>56.124583333333327</v>
      </c>
      <c r="N15" s="33">
        <f>'06'!N37</f>
        <v>212.60625169752078</v>
      </c>
      <c r="O15" s="33">
        <f>'06'!O37</f>
        <v>0</v>
      </c>
      <c r="P15" s="30">
        <f>'06'!$P$36</f>
        <v>1.4670833333333333</v>
      </c>
      <c r="Q15" s="33">
        <f>'07'!Q36</f>
        <v>9.7333333333333325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08/12/2025 01:00</v>
      </c>
      <c r="B16" s="33">
        <f>'08'!B36</f>
        <v>64.585833333333326</v>
      </c>
      <c r="C16" s="33">
        <f>'08'!C36</f>
        <v>22.865384615384617</v>
      </c>
      <c r="D16" s="33">
        <f>'08'!D36</f>
        <v>51.472916666666663</v>
      </c>
      <c r="E16" s="33">
        <f>'08'!E36</f>
        <v>9.3208333333333329</v>
      </c>
      <c r="F16" s="33">
        <f>'08'!F36</f>
        <v>5.7383333333333342</v>
      </c>
      <c r="G16" s="33">
        <f>'08'!G36</f>
        <v>106.98708333333332</v>
      </c>
      <c r="H16" s="33">
        <f>'08'!H36</f>
        <v>43.879166666666663</v>
      </c>
      <c r="I16" s="33">
        <f>'08'!I36</f>
        <v>5.8516666666666657</v>
      </c>
      <c r="J16" s="33">
        <f>'08'!J36</f>
        <v>0.59750000000000014</v>
      </c>
      <c r="K16" s="33">
        <f>'08'!K36</f>
        <v>317.35708333333332</v>
      </c>
      <c r="L16" s="33">
        <f>'08'!L36</f>
        <v>19.753333333333334</v>
      </c>
      <c r="M16" s="33">
        <f>'08'!M36</f>
        <v>56.526250000000005</v>
      </c>
      <c r="N16" s="33">
        <f>'08'!N36</f>
        <v>173.35833333333335</v>
      </c>
      <c r="O16" s="33">
        <f>'08'!O36</f>
        <v>0</v>
      </c>
      <c r="P16" s="30">
        <f>'08'!$P$36</f>
        <v>1.9379166666666665</v>
      </c>
      <c r="Q16" s="33">
        <f>'08'!Q36</f>
        <v>9.7316666666666691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09/12/2025 01:00</v>
      </c>
      <c r="B17" s="33">
        <f>'09'!B36</f>
        <v>65.99166666666666</v>
      </c>
      <c r="C17" s="33">
        <f>'09'!C36</f>
        <v>24.8</v>
      </c>
      <c r="D17" s="33">
        <f>'09'!D36</f>
        <v>51.162499999999994</v>
      </c>
      <c r="E17" s="33">
        <f>'09'!E36</f>
        <v>6.810416666666665</v>
      </c>
      <c r="F17" s="33">
        <f>'09'!F36</f>
        <v>6.2149999999999999</v>
      </c>
      <c r="G17" s="33">
        <f>'09'!G36</f>
        <v>114.85636363636364</v>
      </c>
      <c r="H17" s="33">
        <f>'09'!H36</f>
        <v>42.935909090909092</v>
      </c>
      <c r="I17" s="33">
        <f>'09'!I36</f>
        <v>0.31958333333333316</v>
      </c>
      <c r="J17" s="33">
        <f>'09'!J36</f>
        <v>0.79999999999999993</v>
      </c>
      <c r="K17" s="33">
        <f>'09'!K36</f>
        <v>327.49250000000001</v>
      </c>
      <c r="L17" s="33">
        <f>'09'!L36</f>
        <v>19.440833333333334</v>
      </c>
      <c r="M17" s="33">
        <f>'09'!M36</f>
        <v>62.170833333333341</v>
      </c>
      <c r="N17" s="33">
        <f>'08'!N37</f>
        <v>214.68212682873749</v>
      </c>
      <c r="O17" s="33">
        <f>'08'!O37</f>
        <v>0</v>
      </c>
      <c r="P17" s="30">
        <f>'08'!$P$36</f>
        <v>1.9379166666666665</v>
      </c>
      <c r="Q17" s="33">
        <f>'09'!Q36</f>
        <v>9.7387499999999978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10/12/2025 01:00</v>
      </c>
      <c r="B18" s="33">
        <f>'10'!B36</f>
        <v>81.330416666666665</v>
      </c>
      <c r="C18" s="33">
        <f>'10'!C36</f>
        <v>19.477692307692308</v>
      </c>
      <c r="D18" s="33">
        <f>'10'!D36</f>
        <v>59.903750000000002</v>
      </c>
      <c r="E18" s="33">
        <f>'10'!E36</f>
        <v>6.8704166666666664</v>
      </c>
      <c r="F18" s="33">
        <f>'10'!F36</f>
        <v>4.1066666666666674</v>
      </c>
      <c r="G18" s="33">
        <f>'10'!G36</f>
        <v>130.0925</v>
      </c>
      <c r="H18" s="33">
        <f>'10'!H36</f>
        <v>52.814166666666658</v>
      </c>
      <c r="I18" s="33">
        <f>'10'!I36</f>
        <v>0.10000000000000003</v>
      </c>
      <c r="J18" s="33">
        <f>'10'!J36</f>
        <v>0.94583333333333341</v>
      </c>
      <c r="K18" s="33">
        <f>'10'!K36</f>
        <v>295.16874999999999</v>
      </c>
      <c r="L18" s="33">
        <f>'10'!L36</f>
        <v>19.202500000000001</v>
      </c>
      <c r="M18" s="33">
        <f>'10'!M36</f>
        <v>56.654166666666676</v>
      </c>
      <c r="N18" s="33">
        <f>'10'!N36</f>
        <v>177.32916666666665</v>
      </c>
      <c r="O18" s="33">
        <f>'10'!O36</f>
        <v>0</v>
      </c>
      <c r="P18" s="30">
        <f>'10'!$P$36</f>
        <v>2.2595833333333331</v>
      </c>
      <c r="Q18" s="33">
        <f>'10'!Q36</f>
        <v>9.7704166666666659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11/12/2025 01:00</v>
      </c>
      <c r="B19" s="33">
        <f>'11'!B36</f>
        <v>85.497916666666683</v>
      </c>
      <c r="C19" s="33">
        <f>'11'!C36</f>
        <v>20.260833333333334</v>
      </c>
      <c r="D19" s="33">
        <f>'11'!D36</f>
        <v>62.320833333333347</v>
      </c>
      <c r="E19" s="33">
        <f>'11'!E36</f>
        <v>7.1579166666666678</v>
      </c>
      <c r="F19" s="33">
        <f>'11'!F36</f>
        <v>4.5270833333333327</v>
      </c>
      <c r="G19" s="33">
        <f>'11'!G36</f>
        <v>134.23624999999998</v>
      </c>
      <c r="H19" s="33">
        <f>'11'!H36</f>
        <v>54.706666666666671</v>
      </c>
      <c r="I19" s="33">
        <f>'11'!I36</f>
        <v>0.10000000000000003</v>
      </c>
      <c r="J19" s="33">
        <f>'11'!J36</f>
        <v>0.93875000000000008</v>
      </c>
      <c r="K19" s="33">
        <f>'11'!K36</f>
        <v>281.56541666666664</v>
      </c>
      <c r="L19" s="33">
        <f>'11'!L36</f>
        <v>18.046666666666667</v>
      </c>
      <c r="M19" s="33">
        <f>'11'!M36</f>
        <v>62.843750000000021</v>
      </c>
      <c r="N19" s="33">
        <f>'11'!N36</f>
        <v>168.43333333333334</v>
      </c>
      <c r="O19" s="33">
        <f>'11'!O36</f>
        <v>0</v>
      </c>
      <c r="P19" s="33">
        <f>'11'!P36</f>
        <v>2.2799999999999998</v>
      </c>
      <c r="Q19" s="33">
        <f>'11'!Q36</f>
        <v>9.7775000000000016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12/12/2025 01:00</v>
      </c>
      <c r="B20" s="33">
        <f>'12'!B36</f>
        <v>70.750833333333318</v>
      </c>
      <c r="C20" s="33">
        <f>'12'!C36</f>
        <v>25.763846153846153</v>
      </c>
      <c r="D20" s="33">
        <f>'12'!D36</f>
        <v>56.095833333333339</v>
      </c>
      <c r="E20" s="33">
        <f>'12'!E36</f>
        <v>10.606249999999999</v>
      </c>
      <c r="F20" s="33">
        <f>'12'!F36</f>
        <v>4.8925000000000001</v>
      </c>
      <c r="G20" s="33">
        <f>'12'!G36</f>
        <v>114.42291666666665</v>
      </c>
      <c r="H20" s="33">
        <f>'12'!H36</f>
        <v>45.326249999999995</v>
      </c>
      <c r="I20" s="33">
        <f>'12'!I36</f>
        <v>0.10000000000000003</v>
      </c>
      <c r="J20" s="33">
        <f>'12'!J36</f>
        <v>0.9029166666666667</v>
      </c>
      <c r="K20" s="33">
        <f>'12'!K36</f>
        <v>289.10833333333329</v>
      </c>
      <c r="L20" s="33">
        <f>'12'!L36</f>
        <v>18.572083333333339</v>
      </c>
      <c r="M20" s="33">
        <f>'12'!M36</f>
        <v>67.744583333333338</v>
      </c>
      <c r="N20" s="33">
        <f>'12'!N36</f>
        <v>159.24583333333337</v>
      </c>
      <c r="O20" s="33">
        <f>'12'!O36</f>
        <v>0</v>
      </c>
      <c r="P20" s="33">
        <f>'12'!P36</f>
        <v>2.0087499999999996</v>
      </c>
      <c r="Q20" s="33">
        <f>'12'!Q36</f>
        <v>9.7491666666666674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13/12/2025 01:00</v>
      </c>
      <c r="B21" s="33">
        <f>'13'!B36</f>
        <v>87.872916666666654</v>
      </c>
      <c r="C21" s="33">
        <f>'13'!C36</f>
        <v>22.696666666666669</v>
      </c>
      <c r="D21" s="33">
        <f>'13'!D36</f>
        <v>65.649583333333339</v>
      </c>
      <c r="E21" s="33">
        <f>'13'!E36</f>
        <v>8.5441666666666674</v>
      </c>
      <c r="F21" s="33">
        <f>'13'!F36</f>
        <v>4.2175000000000011</v>
      </c>
      <c r="G21" s="33">
        <f>'13'!G36</f>
        <v>130.4170833333333</v>
      </c>
      <c r="H21" s="33">
        <f>'13'!H36</f>
        <v>50.712916666666665</v>
      </c>
      <c r="I21" s="33">
        <f>'13'!I36</f>
        <v>0.10000000000000003</v>
      </c>
      <c r="J21" s="33">
        <f>'13'!J36</f>
        <v>1.0308333333333335</v>
      </c>
      <c r="K21" s="33">
        <f>'13'!K36</f>
        <v>316.50791666666663</v>
      </c>
      <c r="L21" s="33">
        <f>'13'!L36</f>
        <v>19.151666666666667</v>
      </c>
      <c r="M21" s="33">
        <f>'13'!M36</f>
        <v>68.531250000000014</v>
      </c>
      <c r="N21" s="33">
        <f>'13'!N36</f>
        <v>153.24166666666665</v>
      </c>
      <c r="O21" s="33">
        <f>'13'!O36</f>
        <v>0</v>
      </c>
      <c r="P21" s="33">
        <f>'13'!P36</f>
        <v>2.4566666666666666</v>
      </c>
      <c r="Q21" s="33">
        <f>'13'!Q36</f>
        <v>9.7812500000000018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14/12/2025 01:00</v>
      </c>
      <c r="B22" s="30">
        <f>'14'!B36</f>
        <v>71.790833333333339</v>
      </c>
      <c r="C22" s="30">
        <f>'14'!C36</f>
        <v>23.513333333333332</v>
      </c>
      <c r="D22" s="30">
        <f>'14'!D36</f>
        <v>56.923333333333325</v>
      </c>
      <c r="E22" s="30">
        <f>'14'!E36</f>
        <v>8.7420833333333317</v>
      </c>
      <c r="F22" s="30">
        <f>'14'!F36</f>
        <v>4.3866666666666667</v>
      </c>
      <c r="G22" s="30">
        <f>'14'!G36</f>
        <v>83.153750000000002</v>
      </c>
      <c r="H22" s="30">
        <f>'14'!H36</f>
        <v>33.02624999999999</v>
      </c>
      <c r="I22" s="30">
        <f>'14'!I36</f>
        <v>0.10000000000000003</v>
      </c>
      <c r="J22" s="30">
        <f>'14'!J36</f>
        <v>1.06125</v>
      </c>
      <c r="K22" s="30">
        <f>'14'!K36</f>
        <v>303.94458333333336</v>
      </c>
      <c r="L22" s="30">
        <f>'14'!L36</f>
        <v>19.326666666666668</v>
      </c>
      <c r="M22" s="30">
        <f>'14'!M36</f>
        <v>65.906250000000014</v>
      </c>
      <c r="N22" s="30">
        <f>'14'!N36</f>
        <v>149.79166666666669</v>
      </c>
      <c r="O22" s="30">
        <f>'14'!O36</f>
        <v>0</v>
      </c>
      <c r="P22" s="30">
        <f>'14'!P36</f>
        <v>2.1412500000000008</v>
      </c>
      <c r="Q22" s="30">
        <f>'14'!Q36</f>
        <v>9.7541666666666647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15/12/2025 01:00</v>
      </c>
      <c r="B23" s="33">
        <f>'15'!B36</f>
        <v>32.3125</v>
      </c>
      <c r="C23" s="33">
        <f>'15'!C36</f>
        <v>27.012500000000003</v>
      </c>
      <c r="D23" s="33">
        <f>'15'!D36</f>
        <v>38.298749999999998</v>
      </c>
      <c r="E23" s="33">
        <f>'15'!E36</f>
        <v>9.7279166666666672</v>
      </c>
      <c r="F23" s="33">
        <f>'15'!F36</f>
        <v>6.314166666666666</v>
      </c>
      <c r="G23" s="33">
        <f>'15'!G36</f>
        <v>95.067727272727282</v>
      </c>
      <c r="H23" s="33">
        <f>'15'!H36</f>
        <v>33.934545454545464</v>
      </c>
      <c r="I23" s="33">
        <f>'15'!I36</f>
        <v>0.10000000000000003</v>
      </c>
      <c r="J23" s="33">
        <f>'15'!J36</f>
        <v>1.0025000000000002</v>
      </c>
      <c r="K23" s="33">
        <f>'15'!K36</f>
        <v>308.33833333333331</v>
      </c>
      <c r="L23" s="33">
        <f>'15'!L36</f>
        <v>19.379166666666666</v>
      </c>
      <c r="M23" s="33">
        <f>'15'!M36</f>
        <v>69.915416666666673</v>
      </c>
      <c r="N23" s="33">
        <f>'15'!N36</f>
        <v>149.6</v>
      </c>
      <c r="O23" s="33">
        <f>'15'!O36</f>
        <v>0</v>
      </c>
      <c r="P23" s="30">
        <f>'15'!P36</f>
        <v>1.7874999999999996</v>
      </c>
      <c r="Q23" s="30">
        <f>'15'!Q36</f>
        <v>9.6904166666666676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16/12/2025 01:00</v>
      </c>
      <c r="B24" s="33">
        <f>'16'!B36</f>
        <v>41.502499999999998</v>
      </c>
      <c r="C24" s="33">
        <f>'16'!C36</f>
        <v>21.895833333333332</v>
      </c>
      <c r="D24" s="33">
        <f>'16'!D36</f>
        <v>42.404583333333328</v>
      </c>
      <c r="E24" s="33">
        <f>'16'!E36</f>
        <v>8.3612500000000001</v>
      </c>
      <c r="F24" s="33">
        <f>'16'!F36</f>
        <v>4.7620833333333348</v>
      </c>
      <c r="G24" s="33">
        <f>'16'!G36</f>
        <v>100.79541666666667</v>
      </c>
      <c r="H24" s="33">
        <f>'16'!H36</f>
        <v>38.96</v>
      </c>
      <c r="I24" s="33">
        <f>'16'!I36</f>
        <v>0.10000000000000003</v>
      </c>
      <c r="J24" s="33">
        <f>'16'!J36</f>
        <v>1.0029166666666669</v>
      </c>
      <c r="K24" s="33">
        <f>'16'!K36</f>
        <v>287.85708333333326</v>
      </c>
      <c r="L24" s="33">
        <f>'16'!L36</f>
        <v>18.809166666666663</v>
      </c>
      <c r="M24" s="33">
        <f>'16'!M36</f>
        <v>76.712916666666686</v>
      </c>
      <c r="N24" s="33">
        <f>'16'!N36</f>
        <v>161.8416666666667</v>
      </c>
      <c r="O24" s="33">
        <f>'16'!O36</f>
        <v>0</v>
      </c>
      <c r="P24" s="30">
        <f>'16'!P36</f>
        <v>2.114583333333333</v>
      </c>
      <c r="Q24" s="30">
        <f>'16'!Q36</f>
        <v>9.7062500000000007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17/12/2025 01:00</v>
      </c>
      <c r="B25" s="33">
        <f>'17'!B36</f>
        <v>53.771249999999988</v>
      </c>
      <c r="C25" s="33">
        <f>'17'!C36</f>
        <v>26.177222222222223</v>
      </c>
      <c r="D25" s="33">
        <f>'17'!D36</f>
        <v>48.450833333333321</v>
      </c>
      <c r="E25" s="33">
        <f>'17'!E36</f>
        <v>8.1416666666666639</v>
      </c>
      <c r="F25" s="33">
        <f>'17'!F36</f>
        <v>5.1487500000000006</v>
      </c>
      <c r="G25" s="33">
        <f>'17'!G36</f>
        <v>117.18916666666668</v>
      </c>
      <c r="H25" s="33">
        <f>'17'!H36</f>
        <v>29.809583333333332</v>
      </c>
      <c r="I25" s="33">
        <f>'17'!I36</f>
        <v>0.10000000000000003</v>
      </c>
      <c r="J25" s="33">
        <f>'17'!J36</f>
        <v>0.94791666666666685</v>
      </c>
      <c r="K25" s="33">
        <f>'17'!K36</f>
        <v>310.08249999999998</v>
      </c>
      <c r="L25" s="33">
        <f>'17'!L36</f>
        <v>18.969583333333333</v>
      </c>
      <c r="M25" s="33">
        <f>'17'!M36</f>
        <v>75.424999999999997</v>
      </c>
      <c r="N25" s="33">
        <f>'17'!N36</f>
        <v>154.48333333333332</v>
      </c>
      <c r="O25" s="33">
        <f>'17'!O36</f>
        <v>0</v>
      </c>
      <c r="P25" s="30">
        <f>'17'!P36</f>
        <v>2.2316666666666665</v>
      </c>
      <c r="Q25" s="30">
        <f>'17'!Q36</f>
        <v>9.7216666666666658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18/12/2025 01:00</v>
      </c>
      <c r="B26" s="33">
        <f>'18'!B36</f>
        <v>83.96</v>
      </c>
      <c r="C26" s="33">
        <f>'18'!C36</f>
        <v>25.978181818181813</v>
      </c>
      <c r="D26" s="33">
        <f>'18'!D36</f>
        <v>59.393333333333338</v>
      </c>
      <c r="E26" s="33">
        <f>'18'!E36</f>
        <v>8.6958333333333329</v>
      </c>
      <c r="F26" s="33">
        <f>'18'!F36</f>
        <v>4.6916666666666673</v>
      </c>
      <c r="G26" s="33">
        <f>'18'!G36</f>
        <v>80.302499999999995</v>
      </c>
      <c r="H26" s="33">
        <f>'18'!H36</f>
        <v>24.950833333333339</v>
      </c>
      <c r="I26" s="33">
        <f>'18'!I36</f>
        <v>0.10000000000000003</v>
      </c>
      <c r="J26" s="33">
        <f>'18'!J36</f>
        <v>1.0091666666666665</v>
      </c>
      <c r="K26" s="33">
        <f>'18'!K36</f>
        <v>332.31583333333333</v>
      </c>
      <c r="L26" s="33">
        <f>'18'!L36</f>
        <v>19.321666666666662</v>
      </c>
      <c r="M26" s="33">
        <f>'18'!M36</f>
        <v>65.17416666666665</v>
      </c>
      <c r="N26" s="33">
        <f>'18'!N36</f>
        <v>181.12083333333331</v>
      </c>
      <c r="O26" s="33">
        <f>'18'!O36</f>
        <v>0</v>
      </c>
      <c r="P26" s="30">
        <f>'18'!P36</f>
        <v>2.2516666666666665</v>
      </c>
      <c r="Q26" s="30">
        <f>'18'!Q36</f>
        <v>9.7454166666666655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19/12/2025 01:00</v>
      </c>
      <c r="B27" s="33">
        <f>'19'!B36</f>
        <v>58.004166666666656</v>
      </c>
      <c r="C27" s="33">
        <f>'19'!C36</f>
        <v>21.465000000000003</v>
      </c>
      <c r="D27" s="33">
        <f>'19'!D36</f>
        <v>46.660833333333336</v>
      </c>
      <c r="E27" s="33">
        <f>'19'!E36</f>
        <v>5.8062499999999995</v>
      </c>
      <c r="F27" s="33">
        <f>'19'!F36</f>
        <v>3.0841666666666669</v>
      </c>
      <c r="G27" s="33">
        <f>'19'!G36</f>
        <v>72.06208333333332</v>
      </c>
      <c r="H27" s="33">
        <f>'19'!H36</f>
        <v>20.158750000000005</v>
      </c>
      <c r="I27" s="33">
        <f>'19'!I36</f>
        <v>0.10000000000000003</v>
      </c>
      <c r="J27" s="33">
        <f>'19'!J36</f>
        <v>1.0316666666666667</v>
      </c>
      <c r="K27" s="33">
        <f>'19'!K36</f>
        <v>314.90124999999995</v>
      </c>
      <c r="L27" s="33">
        <f>'19'!L36</f>
        <v>19.182083333333335</v>
      </c>
      <c r="M27" s="33">
        <f>'19'!M36</f>
        <v>59.891250000000007</v>
      </c>
      <c r="N27" s="33">
        <f>'19'!N36</f>
        <v>172.69999999999996</v>
      </c>
      <c r="O27" s="33">
        <f>'19'!O36</f>
        <v>0</v>
      </c>
      <c r="P27" s="30">
        <f>'19'!P36</f>
        <v>1.8295833333333331</v>
      </c>
      <c r="Q27" s="30">
        <f>'19'!Q36</f>
        <v>9.6920833333333327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20/12/2025 01:00</v>
      </c>
      <c r="B28" s="33">
        <f>'20'!B36</f>
        <v>25.980833333333337</v>
      </c>
      <c r="C28" s="33">
        <f>'20'!C36</f>
        <v>20.500416666666666</v>
      </c>
      <c r="D28" s="33">
        <f>'20'!D36</f>
        <v>29.756666666666671</v>
      </c>
      <c r="E28" s="33">
        <f>'20'!E36</f>
        <v>7.5220833333333355</v>
      </c>
      <c r="F28" s="33">
        <f>'20'!F36</f>
        <v>3.1850000000000001</v>
      </c>
      <c r="G28" s="33">
        <f>'20'!G36</f>
        <v>89.132916666666645</v>
      </c>
      <c r="H28" s="33">
        <f>'20'!H36</f>
        <v>19.609166666666667</v>
      </c>
      <c r="I28" s="33">
        <f>'20'!I36</f>
        <v>0.10000000000000003</v>
      </c>
      <c r="J28" s="33">
        <f>'20'!J36</f>
        <v>1.0908333333333335</v>
      </c>
      <c r="K28" s="33">
        <f>'20'!K36</f>
        <v>295.3816666666666</v>
      </c>
      <c r="L28" s="33">
        <f>'20'!L36</f>
        <v>18.52333333333333</v>
      </c>
      <c r="M28" s="33">
        <f>'20'!M36</f>
        <v>61.81583333333333</v>
      </c>
      <c r="N28" s="33">
        <f>'20'!N36</f>
        <v>161.62083333333334</v>
      </c>
      <c r="O28" s="33">
        <f>'20'!O36</f>
        <v>0</v>
      </c>
      <c r="P28" s="30">
        <f>'20'!P36</f>
        <v>1.510416666666667</v>
      </c>
      <c r="Q28" s="30">
        <f>'20'!Q36</f>
        <v>9.6454166666666676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21/12/2025 01:00</v>
      </c>
      <c r="B29" s="33">
        <f>'21'!B36</f>
        <v>41.543749999999996</v>
      </c>
      <c r="C29" s="33">
        <f>'21'!C36</f>
        <v>14.450000000000001</v>
      </c>
      <c r="D29" s="33">
        <f>'21'!D36</f>
        <v>36.777083333333337</v>
      </c>
      <c r="E29" s="33">
        <f>'21'!E36</f>
        <v>8.0908333333333324</v>
      </c>
      <c r="F29" s="33">
        <f>'21'!F36</f>
        <v>3.2850000000000006</v>
      </c>
      <c r="G29" s="33">
        <f>'21'!G36</f>
        <v>67.599999999999994</v>
      </c>
      <c r="H29" s="33">
        <f>'21'!H36</f>
        <v>22.329166666666662</v>
      </c>
      <c r="I29" s="33">
        <f>'21'!I36</f>
        <v>0.10000000000000003</v>
      </c>
      <c r="J29" s="33">
        <f>'21'!J36</f>
        <v>1.0474999999999999</v>
      </c>
      <c r="K29" s="33">
        <f>'21'!K36</f>
        <v>286.31374999999997</v>
      </c>
      <c r="L29" s="33">
        <f>'21'!L36</f>
        <v>18.063333333333336</v>
      </c>
      <c r="M29" s="33">
        <f>'21'!M36</f>
        <v>65.188333333333333</v>
      </c>
      <c r="N29" s="33">
        <f>'21'!N36</f>
        <v>158.67083333333338</v>
      </c>
      <c r="O29" s="33">
        <f>'21'!O36</f>
        <v>0</v>
      </c>
      <c r="P29" s="30">
        <f>'21'!P36</f>
        <v>1.5695833333333331</v>
      </c>
      <c r="Q29" s="30">
        <f>'21'!Q36</f>
        <v>9.6645833333333311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22/12/2025 01:00</v>
      </c>
      <c r="B30" s="33">
        <f>'22'!B36</f>
        <v>64.868333333333339</v>
      </c>
      <c r="C30" s="33">
        <f>'22'!C36</f>
        <v>18.180769230769236</v>
      </c>
      <c r="D30" s="33">
        <f>'22'!D36</f>
        <v>49.15625</v>
      </c>
      <c r="E30" s="33">
        <f>'22'!E36</f>
        <v>10.100416666666668</v>
      </c>
      <c r="F30" s="33">
        <f>'22'!F36</f>
        <v>3.5154166666666673</v>
      </c>
      <c r="G30" s="33">
        <f>'22'!G36</f>
        <v>201.41666666666666</v>
      </c>
      <c r="H30" s="33">
        <f>'22'!H36</f>
        <v>27.477499999999996</v>
      </c>
      <c r="I30" s="33">
        <f>'22'!I36</f>
        <v>0.10000000000000003</v>
      </c>
      <c r="J30" s="33">
        <f>'22'!J36</f>
        <v>0.9408333333333333</v>
      </c>
      <c r="K30" s="33">
        <f>'22'!K36</f>
        <v>298.52875</v>
      </c>
      <c r="L30" s="33">
        <f>'22'!L36</f>
        <v>18.034999999999997</v>
      </c>
      <c r="M30" s="33">
        <f>'22'!M36</f>
        <v>70.499166666666667</v>
      </c>
      <c r="N30" s="33">
        <f>'22'!N36</f>
        <v>154.56666666666663</v>
      </c>
      <c r="O30" s="33">
        <f>'22'!O36</f>
        <v>0</v>
      </c>
      <c r="P30" s="30">
        <f>'22'!P36</f>
        <v>2.1712500000000001</v>
      </c>
      <c r="Q30" s="30">
        <f>'22'!Q36</f>
        <v>9.6820833333333329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23/12/2025 01:00</v>
      </c>
      <c r="B31" s="33">
        <f>'23'!B36</f>
        <v>67.881250000000009</v>
      </c>
      <c r="C31" s="33">
        <f>'23'!C36</f>
        <v>19.122307692307693</v>
      </c>
      <c r="D31" s="33">
        <f>'23'!D36</f>
        <v>50.847916666666663</v>
      </c>
      <c r="E31" s="33">
        <f>'23'!E36</f>
        <v>8.3633333333333333</v>
      </c>
      <c r="F31" s="33">
        <f>'23'!F36</f>
        <v>3.4145833333333342</v>
      </c>
      <c r="G31" s="33">
        <f>'23'!G36</f>
        <v>73.961666666666673</v>
      </c>
      <c r="H31" s="33">
        <f>'23'!H36</f>
        <v>26.095416666666665</v>
      </c>
      <c r="I31" s="33">
        <f>'23'!I36</f>
        <v>0.10000000000000003</v>
      </c>
      <c r="J31" s="33">
        <f>'23'!J36</f>
        <v>1.1224999999999998</v>
      </c>
      <c r="K31" s="33">
        <f>'23'!K36</f>
        <v>302.00458333333336</v>
      </c>
      <c r="L31" s="33">
        <f>'23'!L36</f>
        <v>17.965416666666666</v>
      </c>
      <c r="M31" s="33">
        <f>'23'!M36</f>
        <v>72.28958333333334</v>
      </c>
      <c r="N31" s="33">
        <f>'23'!N36</f>
        <v>149.00416666666669</v>
      </c>
      <c r="O31" s="33">
        <f>'23'!O36</f>
        <v>0</v>
      </c>
      <c r="P31" s="33">
        <f>'23'!P36</f>
        <v>2.23875</v>
      </c>
      <c r="Q31" s="33">
        <f>'23'!Q36</f>
        <v>9.682500000000001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24/12/2025 01:00</v>
      </c>
      <c r="B32" s="33">
        <f>'24'!B36</f>
        <v>89.392499999999998</v>
      </c>
      <c r="C32" s="33">
        <f>'24'!C36</f>
        <v>21.87166666666667</v>
      </c>
      <c r="D32" s="33">
        <f>'24'!D36</f>
        <v>61.116666666666667</v>
      </c>
      <c r="E32" s="33">
        <f>'24'!E36</f>
        <v>8.5845833333333346</v>
      </c>
      <c r="F32" s="33">
        <f>'24'!F36</f>
        <v>4.9091666666666667</v>
      </c>
      <c r="G32" s="33">
        <f>'24'!G36</f>
        <v>80.488749999999996</v>
      </c>
      <c r="H32" s="33">
        <f>'24'!H36</f>
        <v>30.44875</v>
      </c>
      <c r="I32" s="33">
        <f>'24'!I36</f>
        <v>2.44</v>
      </c>
      <c r="J32" s="33">
        <f>'24'!J36</f>
        <v>1.1029166666666663</v>
      </c>
      <c r="K32" s="33">
        <f>'24'!K36</f>
        <v>307.87083333333334</v>
      </c>
      <c r="L32" s="33">
        <f>'24'!L36</f>
        <v>15.042499999999999</v>
      </c>
      <c r="M32" s="33">
        <f>'24'!M36</f>
        <v>68.682916666666657</v>
      </c>
      <c r="N32" s="33">
        <f>'24'!N36</f>
        <v>164.07083333333333</v>
      </c>
      <c r="O32" s="33">
        <f>'24'!O36</f>
        <v>0</v>
      </c>
      <c r="P32" s="33">
        <f>'24'!P36</f>
        <v>2.1783333333333337</v>
      </c>
      <c r="Q32" s="33">
        <f>'24'!Q36</f>
        <v>9.6458333333333339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25/12/2025 01:00</v>
      </c>
      <c r="B33" s="33">
        <f>'25'!B36</f>
        <v>34.09375</v>
      </c>
      <c r="C33" s="33">
        <f>'25'!C36</f>
        <v>11.095263157894736</v>
      </c>
      <c r="D33" s="33">
        <f>'25'!D36</f>
        <v>26.116666666666671</v>
      </c>
      <c r="E33" s="33">
        <f>'25'!E36</f>
        <v>8.5654166666666658</v>
      </c>
      <c r="F33" s="33">
        <f>'25'!F36</f>
        <v>4.5583333333333327</v>
      </c>
      <c r="G33" s="33">
        <f>'25'!G36</f>
        <v>55.767083333333339</v>
      </c>
      <c r="H33" s="33">
        <f>'25'!H36</f>
        <v>26.582499999999996</v>
      </c>
      <c r="I33" s="33">
        <f>'25'!I36</f>
        <v>5.9083333333333323</v>
      </c>
      <c r="J33" s="33">
        <f>'25'!J36</f>
        <v>0.94625000000000004</v>
      </c>
      <c r="K33" s="33">
        <f>'25'!K36</f>
        <v>300.69624999999991</v>
      </c>
      <c r="L33" s="33">
        <f>'25'!L36</f>
        <v>11.732916666666666</v>
      </c>
      <c r="M33" s="33">
        <f>'25'!M36</f>
        <v>72.341666666666683</v>
      </c>
      <c r="N33" s="33">
        <f>'25'!N36</f>
        <v>154.24999999999997</v>
      </c>
      <c r="O33" s="33">
        <f>'25'!O36</f>
        <v>0</v>
      </c>
      <c r="P33" s="33">
        <f>'25'!P36</f>
        <v>1.7424999999999999</v>
      </c>
      <c r="Q33" s="33">
        <f>'25'!Q36</f>
        <v>9.5883333333333347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26/12/2025 01:00</v>
      </c>
      <c r="B34" s="33">
        <f>'26'!B36</f>
        <v>60.737916666666671</v>
      </c>
      <c r="C34" s="33">
        <f>'26'!C36</f>
        <v>25.713999999999995</v>
      </c>
      <c r="D34" s="33">
        <f>'26'!D36</f>
        <v>48.399166666666666</v>
      </c>
      <c r="E34" s="33">
        <f>'26'!E36</f>
        <v>8.7808333333333319</v>
      </c>
      <c r="F34" s="33">
        <f>'26'!F36</f>
        <v>3.7254166666666673</v>
      </c>
      <c r="G34" s="33">
        <f>'26'!G36</f>
        <v>61.886666666666656</v>
      </c>
      <c r="H34" s="33">
        <f>'26'!H36</f>
        <v>29.702083333333334</v>
      </c>
      <c r="I34" s="33">
        <f>'26'!I36</f>
        <v>5.6137499999999996</v>
      </c>
      <c r="J34" s="33">
        <f>'26'!J36</f>
        <v>0.71166666666666656</v>
      </c>
      <c r="K34" s="33">
        <f>'26'!K36</f>
        <v>293.67666666666668</v>
      </c>
      <c r="L34" s="33">
        <f>'26'!L36</f>
        <v>12.164999999999999</v>
      </c>
      <c r="M34" s="33">
        <f>'26'!M36</f>
        <v>67.504583333333343</v>
      </c>
      <c r="N34" s="33">
        <f>'26'!N36</f>
        <v>130.12916666666666</v>
      </c>
      <c r="O34" s="33">
        <f>'26'!O36</f>
        <v>0</v>
      </c>
      <c r="P34" s="33">
        <f>'26'!P36</f>
        <v>1.7233333333333336</v>
      </c>
      <c r="Q34" s="33">
        <f>'26'!Q36</f>
        <v>9.5741666666666667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27/12/2025 01:00</v>
      </c>
      <c r="B35" s="33">
        <f>'27'!B36</f>
        <v>71.311666666666682</v>
      </c>
      <c r="C35" s="33">
        <f>'27'!C36</f>
        <v>21.589047619047616</v>
      </c>
      <c r="D35" s="33">
        <f>'27'!D36</f>
        <v>61.813749999999999</v>
      </c>
      <c r="E35" s="33">
        <f>'27'!E36</f>
        <v>6.7312499999999984</v>
      </c>
      <c r="F35" s="33">
        <f>'27'!F36</f>
        <v>3.3991666666666664</v>
      </c>
      <c r="G35" s="33">
        <f>'27'!G36</f>
        <v>64.826249999999987</v>
      </c>
      <c r="H35" s="33">
        <f>'27'!H36</f>
        <v>30.930833333333329</v>
      </c>
      <c r="I35" s="33">
        <f>'27'!I36</f>
        <v>6.3112500000000002</v>
      </c>
      <c r="J35" s="33">
        <f>'27'!J36</f>
        <v>0.79249999999999998</v>
      </c>
      <c r="K35" s="33">
        <f>'27'!K36</f>
        <v>310.72208333333333</v>
      </c>
      <c r="L35" s="33">
        <f>'27'!L36</f>
        <v>11.637916666666667</v>
      </c>
      <c r="M35" s="33">
        <f>'27'!M36</f>
        <v>69.313749999999985</v>
      </c>
      <c r="N35" s="33">
        <f>'27'!N36</f>
        <v>128.94583333333333</v>
      </c>
      <c r="O35" s="33">
        <f>'27'!O36</f>
        <v>0</v>
      </c>
      <c r="P35" s="30">
        <f>'27'!P36</f>
        <v>1.8458333333333334</v>
      </c>
      <c r="Q35" s="33">
        <f>'27'!Q36</f>
        <v>9.6087499999999988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28/12/2025 01:00</v>
      </c>
      <c r="B36" s="33">
        <f>'28'!B36</f>
        <v>57.265333333333338</v>
      </c>
      <c r="C36" s="33">
        <f>'28'!C36</f>
        <v>29.849333333333337</v>
      </c>
      <c r="D36" s="33">
        <f>'28'!D36</f>
        <v>55.714000000000006</v>
      </c>
      <c r="E36" s="33">
        <f>'28'!E36</f>
        <v>7.190833333333333</v>
      </c>
      <c r="F36" s="33">
        <f>'28'!F36</f>
        <v>3.3970833333333328</v>
      </c>
      <c r="G36" s="33">
        <f>'28'!G36</f>
        <v>65.059583333333322</v>
      </c>
      <c r="H36" s="33">
        <f>'28'!H36</f>
        <v>30.040000000000003</v>
      </c>
      <c r="I36" s="33">
        <f>'28'!I36</f>
        <v>6.361250000000001</v>
      </c>
      <c r="J36" s="33">
        <f>'28'!J36</f>
        <v>0.82625000000000026</v>
      </c>
      <c r="K36" s="33">
        <f>'28'!K36</f>
        <v>286.05666666666667</v>
      </c>
      <c r="L36" s="33">
        <f>'28'!L36</f>
        <v>11.067916666666667</v>
      </c>
      <c r="M36" s="33">
        <f>'28'!M36</f>
        <v>67.035833333333329</v>
      </c>
      <c r="N36" s="33">
        <f>'28'!N36</f>
        <v>134.85833333333335</v>
      </c>
      <c r="O36" s="33">
        <f>'28'!O36</f>
        <v>0</v>
      </c>
      <c r="P36" s="30">
        <f>'28'!P36</f>
        <v>1.8637500000000002</v>
      </c>
      <c r="Q36" s="33">
        <f>'28'!Q36</f>
        <v>9.5933333333333319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29/12/2025 01:00</v>
      </c>
      <c r="B37" s="33">
        <f>'29'!B36</f>
        <v>64.180833333333325</v>
      </c>
      <c r="C37" s="33">
        <f>'29'!C36</f>
        <v>29.295833333333334</v>
      </c>
      <c r="D37" s="33">
        <f>'29'!D36</f>
        <v>60.577500000000008</v>
      </c>
      <c r="E37" s="33">
        <f>'29'!E36</f>
        <v>9.4175000000000004</v>
      </c>
      <c r="F37" s="33">
        <f>'29'!F36</f>
        <v>4.3775000000000004</v>
      </c>
      <c r="G37" s="33">
        <f>'29'!G36</f>
        <v>65.530000000000015</v>
      </c>
      <c r="H37" s="33">
        <f>'29'!H36</f>
        <v>26.397083333333331</v>
      </c>
      <c r="I37" s="33">
        <f>'29'!I36</f>
        <v>6.6316666666666668</v>
      </c>
      <c r="J37" s="33">
        <f>'29'!J36</f>
        <v>0.83125000000000016</v>
      </c>
      <c r="K37" s="33">
        <f>'29'!K36</f>
        <v>275.72666666666674</v>
      </c>
      <c r="L37" s="33">
        <f>'29'!L36</f>
        <v>14.470833333333333</v>
      </c>
      <c r="M37" s="33">
        <f>'29'!M36</f>
        <v>70.480416666666656</v>
      </c>
      <c r="N37" s="33">
        <f>'29'!N36</f>
        <v>131.27500000000001</v>
      </c>
      <c r="O37" s="33">
        <f>'29'!O36</f>
        <v>0</v>
      </c>
      <c r="P37" s="33">
        <f>'29'!P36</f>
        <v>1.9424999999999999</v>
      </c>
      <c r="Q37" s="33">
        <f>'29'!Q36</f>
        <v>9.5749999999999975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30/12/2025 01:00</v>
      </c>
      <c r="B38" s="33">
        <f>'30'!B36</f>
        <v>66.217500000000015</v>
      </c>
      <c r="C38" s="33">
        <f>'30'!C36</f>
        <v>25.953749999999999</v>
      </c>
      <c r="D38" s="33">
        <f>'30'!D36</f>
        <v>60.515833333333326</v>
      </c>
      <c r="E38" s="33">
        <f>'30'!E36</f>
        <v>6.7925000000000013</v>
      </c>
      <c r="F38" s="33">
        <f>'30'!F36</f>
        <v>4.2304166666666676</v>
      </c>
      <c r="G38" s="33">
        <f>'30'!G36</f>
        <v>64.660000000000011</v>
      </c>
      <c r="H38" s="33">
        <f>'30'!H36</f>
        <v>22.165833333333328</v>
      </c>
      <c r="I38" s="33">
        <f>'30'!I36</f>
        <v>6.3254166666666665</v>
      </c>
      <c r="J38" s="33">
        <f>'30'!J36</f>
        <v>0.70374999999999988</v>
      </c>
      <c r="K38" s="33">
        <f>'30'!K36</f>
        <v>298.21583333333331</v>
      </c>
      <c r="L38" s="33">
        <f>'30'!L36</f>
        <v>17.619166666666665</v>
      </c>
      <c r="M38" s="33">
        <f>'30'!M36</f>
        <v>62.03458333333333</v>
      </c>
      <c r="N38" s="33">
        <f>'30'!N36</f>
        <v>153.85416666666666</v>
      </c>
      <c r="O38" s="33">
        <f>'30'!O36</f>
        <v>0</v>
      </c>
      <c r="P38" s="33">
        <f>'30'!P36</f>
        <v>1.814583333333333</v>
      </c>
      <c r="Q38" s="33">
        <f>'30'!Q36</f>
        <v>9.5700000000000021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31/12/2025 01:00</v>
      </c>
      <c r="B39" s="33">
        <f>'31'!B36</f>
        <v>49.237083333333338</v>
      </c>
      <c r="C39" s="33">
        <f>'31'!C36</f>
        <v>33.232916666666668</v>
      </c>
      <c r="D39" s="33">
        <f>'31'!D36</f>
        <v>52.241666666666653</v>
      </c>
      <c r="E39" s="33">
        <f>'31'!E36</f>
        <v>8.1804166666666678</v>
      </c>
      <c r="F39" s="33">
        <f>'31'!F36</f>
        <v>4.3058333333333341</v>
      </c>
      <c r="G39" s="33">
        <f>'31'!G36</f>
        <v>54.891666666666673</v>
      </c>
      <c r="H39" s="33">
        <f>'31'!H36</f>
        <v>18.81208333333333</v>
      </c>
      <c r="I39" s="33">
        <f>'31'!I36</f>
        <v>6.9516666666666653</v>
      </c>
      <c r="J39" s="33">
        <f>'31'!J36</f>
        <v>0.82500000000000007</v>
      </c>
      <c r="K39" s="33">
        <f>'31'!K36</f>
        <v>309.54083333333335</v>
      </c>
      <c r="L39" s="33">
        <f>'31'!L36</f>
        <v>18.006250000000001</v>
      </c>
      <c r="M39" s="33">
        <f>'31'!M36</f>
        <v>65.718333333333334</v>
      </c>
      <c r="N39" s="33">
        <f>'31'!N37</f>
        <v>180.76149386150655</v>
      </c>
      <c r="O39" s="33">
        <f>'31'!O37</f>
        <v>0</v>
      </c>
      <c r="P39" s="33">
        <f>'31'!P37</f>
        <v>0.65960778310768264</v>
      </c>
      <c r="Q39" s="33">
        <f>'31'!Q37</f>
        <v>0.13747661197665489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15.664583333333335</v>
      </c>
      <c r="C41" s="15">
        <f t="shared" si="0"/>
        <v>11.095263157894736</v>
      </c>
      <c r="D41" s="15">
        <f t="shared" si="0"/>
        <v>23.31958333333333</v>
      </c>
      <c r="E41" s="15">
        <f t="shared" si="0"/>
        <v>5.8062499999999995</v>
      </c>
      <c r="F41" s="15">
        <f t="shared" si="0"/>
        <v>3.0841666666666669</v>
      </c>
      <c r="G41" s="15">
        <f t="shared" si="0"/>
        <v>55.767083333333339</v>
      </c>
      <c r="H41" s="15">
        <f t="shared" si="0"/>
        <v>19.609166666666667</v>
      </c>
      <c r="I41" s="15">
        <f t="shared" si="0"/>
        <v>0.10000000000000003</v>
      </c>
      <c r="J41" s="15">
        <f t="shared" si="0"/>
        <v>0.58708333333333329</v>
      </c>
      <c r="K41" s="15">
        <f t="shared" si="0"/>
        <v>189.34458333333328</v>
      </c>
      <c r="L41" s="15">
        <f t="shared" si="0"/>
        <v>11.067916666666667</v>
      </c>
      <c r="M41" s="15">
        <f t="shared" si="0"/>
        <v>52.142083333333339</v>
      </c>
      <c r="N41" s="15">
        <f t="shared" si="0"/>
        <v>128.94583333333333</v>
      </c>
      <c r="O41" s="15">
        <f t="shared" si="0"/>
        <v>0</v>
      </c>
      <c r="P41" s="15">
        <f t="shared" si="0"/>
        <v>1.1079166666666664</v>
      </c>
      <c r="Q41" s="15">
        <f t="shared" si="0"/>
        <v>9.5700000000000021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89.392499999999998</v>
      </c>
      <c r="C42" s="15">
        <f t="shared" si="1"/>
        <v>29.849333333333337</v>
      </c>
      <c r="D42" s="15">
        <f t="shared" si="1"/>
        <v>65.649583333333339</v>
      </c>
      <c r="E42" s="15">
        <f t="shared" si="1"/>
        <v>10.606249999999999</v>
      </c>
      <c r="F42" s="15">
        <f t="shared" si="1"/>
        <v>6.314166666666666</v>
      </c>
      <c r="G42" s="15">
        <f t="shared" si="1"/>
        <v>201.41666666666666</v>
      </c>
      <c r="H42" s="15">
        <f t="shared" si="1"/>
        <v>54.706666666666671</v>
      </c>
      <c r="I42" s="15">
        <f t="shared" si="1"/>
        <v>6.6316666666666668</v>
      </c>
      <c r="J42" s="15">
        <f t="shared" si="1"/>
        <v>1.1224999999999998</v>
      </c>
      <c r="K42" s="15">
        <f t="shared" si="1"/>
        <v>332.31583333333333</v>
      </c>
      <c r="L42" s="15">
        <f t="shared" si="1"/>
        <v>20.722916666666666</v>
      </c>
      <c r="M42" s="15">
        <f t="shared" si="1"/>
        <v>77.494166666666658</v>
      </c>
      <c r="N42" s="15">
        <f t="shared" si="1"/>
        <v>214.68212682873749</v>
      </c>
      <c r="O42" s="15">
        <f t="shared" si="1"/>
        <v>0</v>
      </c>
      <c r="P42" s="15">
        <f t="shared" si="1"/>
        <v>2.4566666666666666</v>
      </c>
      <c r="Q42" s="15">
        <f t="shared" si="1"/>
        <v>9.7812500000000018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54.641219444444445</v>
      </c>
      <c r="C43" s="15">
        <f t="shared" si="2"/>
        <v>22.405164303435349</v>
      </c>
      <c r="D43" s="15">
        <f t="shared" si="2"/>
        <v>46.603661111111109</v>
      </c>
      <c r="E43" s="15">
        <f t="shared" si="2"/>
        <v>8.2196250000000006</v>
      </c>
      <c r="F43" s="15">
        <f t="shared" si="2"/>
        <v>4.5665277777777771</v>
      </c>
      <c r="G43" s="15">
        <f t="shared" si="2"/>
        <v>91.728088383838369</v>
      </c>
      <c r="H43" s="15">
        <f t="shared" si="2"/>
        <v>33.588708333333329</v>
      </c>
      <c r="I43" s="15">
        <f t="shared" si="2"/>
        <v>2.5888611111111115</v>
      </c>
      <c r="J43" s="15">
        <f t="shared" si="2"/>
        <v>0.88045833333333323</v>
      </c>
      <c r="K43" s="15">
        <f t="shared" si="2"/>
        <v>300.14587499999999</v>
      </c>
      <c r="L43" s="15">
        <f t="shared" si="2"/>
        <v>17.844597222222223</v>
      </c>
      <c r="M43" s="15">
        <f t="shared" si="2"/>
        <v>65.582972222222239</v>
      </c>
      <c r="N43" s="15">
        <f t="shared" si="2"/>
        <v>160.33739039531969</v>
      </c>
      <c r="O43" s="15">
        <f t="shared" si="2"/>
        <v>0</v>
      </c>
      <c r="P43" s="15">
        <f t="shared" si="2"/>
        <v>1.8335416666666666</v>
      </c>
      <c r="Q43" s="15">
        <f t="shared" si="2"/>
        <v>9.6808611111111098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22.560917969535389</v>
      </c>
      <c r="C44" s="15">
        <f t="shared" si="3"/>
        <v>3.9751802113603971</v>
      </c>
      <c r="D44" s="15">
        <f t="shared" si="3"/>
        <v>13.268531082170053</v>
      </c>
      <c r="E44" s="15">
        <f t="shared" si="3"/>
        <v>1.1424390234467909</v>
      </c>
      <c r="F44" s="15">
        <f t="shared" si="3"/>
        <v>0.96885092684823104</v>
      </c>
      <c r="G44" s="15">
        <f t="shared" si="3"/>
        <v>31.058518022481859</v>
      </c>
      <c r="H44" s="15">
        <f t="shared" si="3"/>
        <v>9.683508721847879</v>
      </c>
      <c r="I44" s="15">
        <f t="shared" si="3"/>
        <v>2.662549133280514</v>
      </c>
      <c r="J44" s="15">
        <f t="shared" si="3"/>
        <v>0.15947776624421847</v>
      </c>
      <c r="K44" s="15">
        <f t="shared" si="3"/>
        <v>25.771666689512735</v>
      </c>
      <c r="L44" s="15">
        <f t="shared" si="3"/>
        <v>2.8069117481355779</v>
      </c>
      <c r="M44" s="15">
        <f t="shared" si="3"/>
        <v>6.5714047865319225</v>
      </c>
      <c r="N44" s="15">
        <f t="shared" si="3"/>
        <v>19.846614136887258</v>
      </c>
      <c r="O44" s="15">
        <f t="shared" si="3"/>
        <v>0</v>
      </c>
      <c r="P44" s="15">
        <f t="shared" si="3"/>
        <v>0.37205316854596931</v>
      </c>
      <c r="Q44" s="15">
        <f t="shared" si="3"/>
        <v>6.2931359452615424E-2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>COUNT(B9:B39)</f>
        <v>31</v>
      </c>
      <c r="C45" s="12">
        <f t="shared" ref="C45:Q45" si="4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5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6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803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2026-01-06T15:16:17Z</dcterms:modified>
  <cp:category/>
</cp:coreProperties>
</file>