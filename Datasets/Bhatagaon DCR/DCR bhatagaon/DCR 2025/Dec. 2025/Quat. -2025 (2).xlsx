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15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C45" i="39" l="1"/>
  <c r="D45" i="39"/>
  <c r="E45" i="39"/>
  <c r="F45" i="39"/>
  <c r="G45" i="39"/>
  <c r="H45" i="39"/>
  <c r="I45" i="39"/>
  <c r="J45" i="39"/>
  <c r="K45" i="39"/>
  <c r="L45" i="39"/>
  <c r="M45" i="39"/>
  <c r="N45" i="39"/>
  <c r="O45" i="39"/>
  <c r="P45" i="39"/>
  <c r="Q45" i="39"/>
  <c r="B45" i="39"/>
  <c r="I110" i="41"/>
  <c r="I110" i="40"/>
  <c r="N39" i="39"/>
  <c r="O39" i="39"/>
  <c r="P39" i="39"/>
  <c r="I110" i="44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2" i="44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1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9" i="39" s="1"/>
  <c r="P108" i="44"/>
  <c r="O108" i="44"/>
  <c r="N108" i="44"/>
  <c r="M108" i="44"/>
  <c r="M39" i="39" s="1"/>
  <c r="L108" i="44"/>
  <c r="L39" i="39" s="1"/>
  <c r="K108" i="44"/>
  <c r="K39" i="39" s="1"/>
  <c r="J108" i="44"/>
  <c r="J39" i="39" s="1"/>
  <c r="I108" i="44"/>
  <c r="I39" i="39" s="1"/>
  <c r="H108" i="44"/>
  <c r="H39" i="39" s="1"/>
  <c r="G108" i="44"/>
  <c r="G39" i="39" s="1"/>
  <c r="F108" i="44"/>
  <c r="F39" i="39" s="1"/>
  <c r="E108" i="44"/>
  <c r="E39" i="39" s="1"/>
  <c r="D108" i="44"/>
  <c r="D39" i="39" s="1"/>
  <c r="C108" i="44"/>
  <c r="C39" i="39" s="1"/>
  <c r="B108" i="44"/>
  <c r="B39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G110" i="33"/>
  <c r="H110" i="33"/>
  <c r="I110" i="33"/>
  <c r="J110" i="33"/>
  <c r="C110" i="33"/>
  <c r="D110" i="33"/>
  <c r="B110" i="33"/>
  <c r="I110" i="32"/>
  <c r="Q110" i="31"/>
  <c r="G110" i="31"/>
  <c r="H110" i="31"/>
  <c r="I110" i="31"/>
  <c r="I110" i="30"/>
  <c r="H110" i="29"/>
  <c r="G110" i="29"/>
  <c r="J110" i="29"/>
  <c r="J110" i="28"/>
  <c r="C110" i="27"/>
  <c r="I110" i="27"/>
  <c r="H110" i="27"/>
  <c r="G110" i="27"/>
  <c r="H110" i="24"/>
  <c r="G110" i="24"/>
  <c r="C110" i="24"/>
  <c r="D111" i="44" l="1"/>
  <c r="E111" i="44"/>
  <c r="F111" i="44"/>
  <c r="G111" i="44"/>
  <c r="H111" i="44"/>
  <c r="C111" i="44"/>
  <c r="I111" i="44"/>
  <c r="B112" i="44"/>
  <c r="J111" i="44"/>
  <c r="K111" i="44"/>
  <c r="L111" i="44"/>
  <c r="M111" i="44"/>
  <c r="N111" i="44"/>
  <c r="O111" i="44"/>
  <c r="P111" i="44"/>
  <c r="Q111" i="44"/>
  <c r="C110" i="23"/>
  <c r="D110" i="23"/>
  <c r="B110" i="23"/>
  <c r="C110" i="22"/>
  <c r="H110" i="20"/>
  <c r="G110" i="20"/>
  <c r="C110" i="19"/>
  <c r="Q110" i="19"/>
  <c r="H110" i="18"/>
  <c r="I110" i="18"/>
  <c r="J110" i="18"/>
  <c r="Q110" i="17"/>
  <c r="C110" i="17"/>
  <c r="Q110" i="16"/>
  <c r="C110" i="16"/>
  <c r="C106" i="15"/>
  <c r="C107" i="15"/>
  <c r="C108" i="15"/>
  <c r="C109" i="15"/>
  <c r="C110" i="15"/>
  <c r="C110" i="14"/>
  <c r="D110" i="14"/>
  <c r="E110" i="14"/>
  <c r="F110" i="14"/>
  <c r="G110" i="14"/>
  <c r="H110" i="14"/>
  <c r="I110" i="14"/>
  <c r="J110" i="14"/>
  <c r="K110" i="14"/>
  <c r="L110" i="14"/>
  <c r="M110" i="14"/>
  <c r="N110" i="14"/>
  <c r="O110" i="14"/>
  <c r="P110" i="14"/>
  <c r="Q110" i="14"/>
  <c r="C110" i="13"/>
  <c r="C110" i="12"/>
  <c r="D110" i="12"/>
  <c r="E110" i="12"/>
  <c r="F110" i="12"/>
  <c r="G110" i="12"/>
  <c r="H110" i="12"/>
  <c r="I110" i="12"/>
  <c r="J110" i="12"/>
  <c r="K110" i="12"/>
  <c r="L110" i="12"/>
  <c r="M110" i="12"/>
  <c r="N110" i="12"/>
  <c r="O110" i="12"/>
  <c r="P110" i="12"/>
  <c r="Q110" i="12"/>
  <c r="B110" i="11"/>
  <c r="I110" i="11"/>
  <c r="H110" i="11"/>
  <c r="D110" i="11"/>
  <c r="C110" i="11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B110" i="8"/>
  <c r="I110" i="3"/>
  <c r="I110" i="2"/>
  <c r="C110" i="26" l="1"/>
  <c r="C112" i="26" s="1"/>
  <c r="D110" i="26"/>
  <c r="D112" i="26" s="1"/>
  <c r="B110" i="26"/>
  <c r="B112" i="26" s="1"/>
  <c r="E110" i="26"/>
  <c r="E112" i="26" s="1"/>
  <c r="F110" i="26"/>
  <c r="F111" i="26" s="1"/>
  <c r="G110" i="26"/>
  <c r="G112" i="26" s="1"/>
  <c r="H110" i="26"/>
  <c r="H112" i="26" s="1"/>
  <c r="I110" i="26"/>
  <c r="I112" i="26" s="1"/>
  <c r="J110" i="26"/>
  <c r="J111" i="26" s="1"/>
  <c r="K110" i="26"/>
  <c r="L110" i="26"/>
  <c r="M110" i="26"/>
  <c r="N110" i="26"/>
  <c r="N112" i="26" s="1"/>
  <c r="O110" i="26"/>
  <c r="P110" i="26"/>
  <c r="P112" i="26" s="1"/>
  <c r="Q110" i="26"/>
  <c r="C110" i="25"/>
  <c r="C111" i="25" s="1"/>
  <c r="D110" i="25"/>
  <c r="D112" i="25" s="1"/>
  <c r="E110" i="25"/>
  <c r="E112" i="25" s="1"/>
  <c r="F110" i="25"/>
  <c r="G110" i="25"/>
  <c r="G112" i="25" s="1"/>
  <c r="H110" i="25"/>
  <c r="H111" i="25" s="1"/>
  <c r="I110" i="25"/>
  <c r="J110" i="25"/>
  <c r="K110" i="25"/>
  <c r="K111" i="25" s="1"/>
  <c r="L110" i="25"/>
  <c r="L112" i="25" s="1"/>
  <c r="M110" i="25"/>
  <c r="M111" i="25" s="1"/>
  <c r="N110" i="25"/>
  <c r="O110" i="25"/>
  <c r="P110" i="25"/>
  <c r="P111" i="25" s="1"/>
  <c r="Q110" i="25"/>
  <c r="B110" i="25"/>
  <c r="B112" i="25" s="1"/>
  <c r="Q112" i="14"/>
  <c r="I111" i="14"/>
  <c r="I110" i="13"/>
  <c r="I111" i="13" s="1"/>
  <c r="I112" i="41"/>
  <c r="J110" i="41"/>
  <c r="J112" i="41" s="1"/>
  <c r="H110" i="41"/>
  <c r="H112" i="41" s="1"/>
  <c r="J110" i="40"/>
  <c r="J111" i="40" s="1"/>
  <c r="H110" i="40"/>
  <c r="H111" i="40" s="1"/>
  <c r="I111" i="40"/>
  <c r="G112" i="33"/>
  <c r="H111" i="33"/>
  <c r="I111" i="33"/>
  <c r="J112" i="33"/>
  <c r="J110" i="32"/>
  <c r="J111" i="32" s="1"/>
  <c r="I112" i="32"/>
  <c r="H110" i="32"/>
  <c r="H111" i="32" s="1"/>
  <c r="H112" i="31"/>
  <c r="I111" i="31"/>
  <c r="J110" i="31"/>
  <c r="J111" i="31" s="1"/>
  <c r="G112" i="31"/>
  <c r="J110" i="30"/>
  <c r="J111" i="30" s="1"/>
  <c r="I111" i="30"/>
  <c r="I112" i="30"/>
  <c r="H110" i="30"/>
  <c r="H112" i="30" s="1"/>
  <c r="J112" i="29"/>
  <c r="I110" i="29"/>
  <c r="I112" i="29" s="1"/>
  <c r="H112" i="29"/>
  <c r="J111" i="28"/>
  <c r="I110" i="28"/>
  <c r="I112" i="28" s="1"/>
  <c r="H110" i="28"/>
  <c r="H111" i="28" s="1"/>
  <c r="I112" i="27"/>
  <c r="C111" i="27"/>
  <c r="D110" i="27"/>
  <c r="D111" i="27" s="1"/>
  <c r="E110" i="27"/>
  <c r="F110" i="27"/>
  <c r="F112" i="27" s="1"/>
  <c r="G112" i="27"/>
  <c r="H111" i="27"/>
  <c r="J110" i="27"/>
  <c r="K110" i="27"/>
  <c r="L110" i="27"/>
  <c r="L112" i="27" s="1"/>
  <c r="M110" i="27"/>
  <c r="N110" i="27"/>
  <c r="O110" i="27"/>
  <c r="P110" i="27"/>
  <c r="P112" i="27" s="1"/>
  <c r="Q110" i="27"/>
  <c r="Q111" i="26"/>
  <c r="Q111" i="25"/>
  <c r="O112" i="25"/>
  <c r="N111" i="25"/>
  <c r="J112" i="25"/>
  <c r="I111" i="25"/>
  <c r="F112" i="25"/>
  <c r="J110" i="24"/>
  <c r="J111" i="24" s="1"/>
  <c r="I110" i="24"/>
  <c r="I112" i="24" s="1"/>
  <c r="H112" i="24"/>
  <c r="J110" i="23"/>
  <c r="J112" i="23" s="1"/>
  <c r="I110" i="23"/>
  <c r="I112" i="23" s="1"/>
  <c r="H110" i="23"/>
  <c r="J110" i="22"/>
  <c r="J112" i="22" s="1"/>
  <c r="I110" i="22"/>
  <c r="I112" i="22" s="1"/>
  <c r="H110" i="22"/>
  <c r="H112" i="22" s="1"/>
  <c r="G110" i="22"/>
  <c r="G111" i="22" s="1"/>
  <c r="J110" i="21"/>
  <c r="J111" i="21" s="1"/>
  <c r="I110" i="21"/>
  <c r="I111" i="21" s="1"/>
  <c r="H110" i="21"/>
  <c r="H111" i="21" s="1"/>
  <c r="H112" i="20"/>
  <c r="I110" i="20"/>
  <c r="I111" i="20" s="1"/>
  <c r="J110" i="20"/>
  <c r="J112" i="20" s="1"/>
  <c r="Q112" i="19"/>
  <c r="J110" i="19"/>
  <c r="J111" i="19" s="1"/>
  <c r="I110" i="19"/>
  <c r="I112" i="19" s="1"/>
  <c r="H110" i="19"/>
  <c r="H112" i="19" s="1"/>
  <c r="Q112" i="17"/>
  <c r="J110" i="17"/>
  <c r="J112" i="17" s="1"/>
  <c r="I110" i="17"/>
  <c r="I111" i="17" s="1"/>
  <c r="H110" i="17"/>
  <c r="H112" i="17" s="1"/>
  <c r="H110" i="16"/>
  <c r="H111" i="16" s="1"/>
  <c r="I110" i="16"/>
  <c r="I111" i="16" s="1"/>
  <c r="J110" i="16"/>
  <c r="J111" i="16" s="1"/>
  <c r="H110" i="15"/>
  <c r="H111" i="15" s="1"/>
  <c r="I110" i="15"/>
  <c r="I111" i="15" s="1"/>
  <c r="J110" i="15"/>
  <c r="J112" i="15" s="1"/>
  <c r="Q110" i="15"/>
  <c r="Q111" i="15" s="1"/>
  <c r="J111" i="14"/>
  <c r="H112" i="14"/>
  <c r="D112" i="11"/>
  <c r="C112" i="11"/>
  <c r="B111" i="11"/>
  <c r="J110" i="13"/>
  <c r="J112" i="13" s="1"/>
  <c r="H110" i="13"/>
  <c r="H112" i="13" s="1"/>
  <c r="F111" i="12"/>
  <c r="J112" i="12"/>
  <c r="H111" i="12"/>
  <c r="I112" i="12"/>
  <c r="J110" i="11"/>
  <c r="J111" i="11"/>
  <c r="I111" i="11"/>
  <c r="H111" i="11"/>
  <c r="G110" i="11"/>
  <c r="G112" i="11" s="1"/>
  <c r="J110" i="10"/>
  <c r="J112" i="10" s="1"/>
  <c r="I110" i="10"/>
  <c r="I111" i="10" s="1"/>
  <c r="H110" i="10"/>
  <c r="H112" i="10" s="1"/>
  <c r="J110" i="9"/>
  <c r="J111" i="9" s="1"/>
  <c r="I110" i="9"/>
  <c r="I111" i="9" s="1"/>
  <c r="H110" i="9"/>
  <c r="H111" i="9" s="1"/>
  <c r="Q111" i="8"/>
  <c r="J111" i="8"/>
  <c r="I111" i="8"/>
  <c r="H111" i="8"/>
  <c r="P112" i="8"/>
  <c r="O111" i="8"/>
  <c r="L112" i="8"/>
  <c r="K111" i="8"/>
  <c r="G111" i="8"/>
  <c r="F111" i="8"/>
  <c r="E112" i="8"/>
  <c r="B112" i="8"/>
  <c r="I112" i="3"/>
  <c r="I111" i="2"/>
  <c r="B2" i="23"/>
  <c r="C110" i="2"/>
  <c r="C111" i="2" s="1"/>
  <c r="D110" i="2"/>
  <c r="E110" i="2"/>
  <c r="E111" i="2" s="1"/>
  <c r="F110" i="2"/>
  <c r="F111" i="2" s="1"/>
  <c r="G110" i="2"/>
  <c r="G112" i="2" s="1"/>
  <c r="H110" i="2"/>
  <c r="J110" i="2"/>
  <c r="J111" i="2" s="1"/>
  <c r="K110" i="2"/>
  <c r="K111" i="2"/>
  <c r="L110" i="2"/>
  <c r="L112" i="2" s="1"/>
  <c r="M110" i="2"/>
  <c r="M112" i="2" s="1"/>
  <c r="N110" i="2"/>
  <c r="N112" i="2" s="1"/>
  <c r="O110" i="2"/>
  <c r="O111" i="2" s="1"/>
  <c r="P110" i="2"/>
  <c r="P112" i="2" s="1"/>
  <c r="Q110" i="2"/>
  <c r="Q111" i="2" s="1"/>
  <c r="C110" i="3"/>
  <c r="C111" i="3" s="1"/>
  <c r="D110" i="3"/>
  <c r="D111" i="3" s="1"/>
  <c r="E110" i="3"/>
  <c r="E111" i="3" s="1"/>
  <c r="F110" i="3"/>
  <c r="F111" i="3" s="1"/>
  <c r="G110" i="3"/>
  <c r="G112" i="3" s="1"/>
  <c r="H110" i="3"/>
  <c r="H112" i="3" s="1"/>
  <c r="J110" i="3"/>
  <c r="J111" i="3" s="1"/>
  <c r="K110" i="3"/>
  <c r="K112" i="3" s="1"/>
  <c r="L110" i="3"/>
  <c r="L111" i="3" s="1"/>
  <c r="M110" i="3"/>
  <c r="M112" i="3" s="1"/>
  <c r="N110" i="3"/>
  <c r="N111" i="3" s="1"/>
  <c r="O110" i="3"/>
  <c r="P110" i="3"/>
  <c r="Q110" i="3"/>
  <c r="Q110" i="41"/>
  <c r="Q111" i="41" s="1"/>
  <c r="P110" i="41"/>
  <c r="P112" i="41" s="1"/>
  <c r="O110" i="41"/>
  <c r="O112" i="41" s="1"/>
  <c r="N110" i="41"/>
  <c r="N111" i="41" s="1"/>
  <c r="M110" i="41"/>
  <c r="M112" i="41" s="1"/>
  <c r="L110" i="41"/>
  <c r="L111" i="41" s="1"/>
  <c r="K110" i="41"/>
  <c r="K112" i="41" s="1"/>
  <c r="G110" i="41"/>
  <c r="G112" i="41" s="1"/>
  <c r="F110" i="41"/>
  <c r="F112" i="41" s="1"/>
  <c r="E110" i="41"/>
  <c r="E111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8" i="39" s="1"/>
  <c r="P108" i="41"/>
  <c r="O108" i="41"/>
  <c r="N108" i="41"/>
  <c r="N38" i="39" s="1"/>
  <c r="M108" i="41"/>
  <c r="M38" i="39" s="1"/>
  <c r="L108" i="41"/>
  <c r="K108" i="41"/>
  <c r="K38" i="39" s="1"/>
  <c r="J108" i="41"/>
  <c r="I108" i="41"/>
  <c r="I38" i="39" s="1"/>
  <c r="H108" i="41"/>
  <c r="G108" i="41"/>
  <c r="F108" i="4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 s="1"/>
  <c r="Q110" i="40"/>
  <c r="Q112" i="40" s="1"/>
  <c r="P110" i="40"/>
  <c r="P111" i="40" s="1"/>
  <c r="O110" i="40"/>
  <c r="O112" i="40" s="1"/>
  <c r="N110" i="40"/>
  <c r="N111" i="40" s="1"/>
  <c r="M110" i="40"/>
  <c r="M112" i="40" s="1"/>
  <c r="L110" i="40"/>
  <c r="L112" i="40" s="1"/>
  <c r="K110" i="40"/>
  <c r="K112" i="40" s="1"/>
  <c r="G110" i="40"/>
  <c r="G112" i="40" s="1"/>
  <c r="F110" i="40"/>
  <c r="F112" i="40" s="1"/>
  <c r="E110" i="40"/>
  <c r="E112" i="40" s="1"/>
  <c r="D110" i="40"/>
  <c r="D112" i="40"/>
  <c r="C110" i="40"/>
  <c r="C111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 s="1"/>
  <c r="P108" i="40"/>
  <c r="P37" i="39" s="1"/>
  <c r="O108" i="40"/>
  <c r="N108" i="40"/>
  <c r="M108" i="40"/>
  <c r="L108" i="40"/>
  <c r="K108" i="40"/>
  <c r="K37" i="39" s="1"/>
  <c r="J108" i="40"/>
  <c r="I108" i="40"/>
  <c r="H108" i="40"/>
  <c r="H37" i="39" s="1"/>
  <c r="G108" i="40"/>
  <c r="G37" i="39" s="1"/>
  <c r="F108" i="40"/>
  <c r="F37" i="39" s="1"/>
  <c r="E108" i="40"/>
  <c r="E37" i="39" s="1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 s="1"/>
  <c r="P110" i="33"/>
  <c r="P112" i="33" s="1"/>
  <c r="O110" i="33"/>
  <c r="O112" i="33" s="1"/>
  <c r="N110" i="33"/>
  <c r="N111" i="33" s="1"/>
  <c r="M110" i="33"/>
  <c r="M112" i="33"/>
  <c r="L110" i="33"/>
  <c r="L112" i="33" s="1"/>
  <c r="K110" i="33"/>
  <c r="K111" i="33" s="1"/>
  <c r="F110" i="33"/>
  <c r="F112" i="33" s="1"/>
  <c r="E110" i="33"/>
  <c r="E112" i="33" s="1"/>
  <c r="D112" i="33"/>
  <c r="C112" i="33"/>
  <c r="B111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O36" i="39" s="1"/>
  <c r="N108" i="33"/>
  <c r="M108" i="33"/>
  <c r="M36" i="39" s="1"/>
  <c r="L108" i="33"/>
  <c r="L36" i="39" s="1"/>
  <c r="K108" i="33"/>
  <c r="J108" i="33"/>
  <c r="I108" i="33"/>
  <c r="I36" i="39" s="1"/>
  <c r="H108" i="33"/>
  <c r="G108" i="33"/>
  <c r="G36" i="39" s="1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1" i="32" s="1"/>
  <c r="Q112" i="32"/>
  <c r="P110" i="32"/>
  <c r="P112" i="32" s="1"/>
  <c r="O110" i="32"/>
  <c r="O112" i="32" s="1"/>
  <c r="N110" i="32"/>
  <c r="N111" i="32" s="1"/>
  <c r="M110" i="32"/>
  <c r="M112" i="32" s="1"/>
  <c r="L110" i="32"/>
  <c r="L111" i="32" s="1"/>
  <c r="K110" i="32"/>
  <c r="K112" i="32" s="1"/>
  <c r="G110" i="32"/>
  <c r="G111" i="32" s="1"/>
  <c r="F110" i="32"/>
  <c r="F112" i="32" s="1"/>
  <c r="E110" i="32"/>
  <c r="E111" i="32" s="1"/>
  <c r="D110" i="32"/>
  <c r="D112" i="32" s="1"/>
  <c r="C110" i="32"/>
  <c r="C111" i="32" s="1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/>
  <c r="N108" i="32"/>
  <c r="N35" i="39" s="1"/>
  <c r="M108" i="32"/>
  <c r="M35" i="39" s="1"/>
  <c r="L108" i="32"/>
  <c r="K108" i="32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P110" i="31"/>
  <c r="P112" i="31" s="1"/>
  <c r="O110" i="31"/>
  <c r="O112" i="31" s="1"/>
  <c r="N110" i="31"/>
  <c r="N112" i="31" s="1"/>
  <c r="M110" i="31"/>
  <c r="M111" i="31"/>
  <c r="L110" i="31"/>
  <c r="L112" i="31" s="1"/>
  <c r="K110" i="31"/>
  <c r="K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L108" i="31"/>
  <c r="L34" i="39" s="1"/>
  <c r="K108" i="31"/>
  <c r="J108" i="31"/>
  <c r="I108" i="31"/>
  <c r="H108" i="31"/>
  <c r="G108" i="31"/>
  <c r="F108" i="31"/>
  <c r="E108" i="3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 s="1"/>
  <c r="P110" i="30"/>
  <c r="P112" i="30" s="1"/>
  <c r="P111" i="30"/>
  <c r="O110" i="30"/>
  <c r="O112" i="30" s="1"/>
  <c r="N110" i="30"/>
  <c r="N112" i="30" s="1"/>
  <c r="M110" i="30"/>
  <c r="M112" i="30" s="1"/>
  <c r="L110" i="30"/>
  <c r="L112" i="30" s="1"/>
  <c r="K110" i="30"/>
  <c r="K112" i="30" s="1"/>
  <c r="G110" i="30"/>
  <c r="G112" i="30" s="1"/>
  <c r="F110" i="30"/>
  <c r="F112" i="30" s="1"/>
  <c r="E110" i="30"/>
  <c r="E111" i="30"/>
  <c r="D110" i="30"/>
  <c r="D111" i="30" s="1"/>
  <c r="C110" i="30"/>
  <c r="C111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/>
  <c r="L108" i="30"/>
  <c r="K108" i="30"/>
  <c r="K33" i="39" s="1"/>
  <c r="J108" i="30"/>
  <c r="J33" i="39" s="1"/>
  <c r="I108" i="30"/>
  <c r="I33" i="39" s="1"/>
  <c r="H108" i="30"/>
  <c r="G108" i="30"/>
  <c r="F108" i="30"/>
  <c r="E108" i="30"/>
  <c r="E33" i="39" s="1"/>
  <c r="D108" i="30"/>
  <c r="D33" i="39" s="1"/>
  <c r="C108" i="30"/>
  <c r="C33" i="39" s="1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1" i="29" s="1"/>
  <c r="P110" i="29"/>
  <c r="P112" i="29" s="1"/>
  <c r="O110" i="29"/>
  <c r="O112" i="29" s="1"/>
  <c r="N110" i="29"/>
  <c r="N112" i="29" s="1"/>
  <c r="M110" i="29"/>
  <c r="M112" i="29" s="1"/>
  <c r="L110" i="29"/>
  <c r="L111" i="29" s="1"/>
  <c r="K110" i="29"/>
  <c r="K112" i="29" s="1"/>
  <c r="G111" i="29"/>
  <c r="F110" i="29"/>
  <c r="F111" i="29" s="1"/>
  <c r="E110" i="29"/>
  <c r="E112" i="29" s="1"/>
  <c r="D110" i="29"/>
  <c r="D112" i="29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 s="1"/>
  <c r="K108" i="29"/>
  <c r="J108" i="29"/>
  <c r="I108" i="29"/>
  <c r="I32" i="39" s="1"/>
  <c r="H108" i="29"/>
  <c r="G108" i="29"/>
  <c r="F108" i="29"/>
  <c r="E108" i="29"/>
  <c r="E32" i="39" s="1"/>
  <c r="D108" i="29"/>
  <c r="D32" i="39" s="1"/>
  <c r="C108" i="29"/>
  <c r="C32" i="39" s="1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1" i="28" s="1"/>
  <c r="P110" i="28"/>
  <c r="P111" i="28" s="1"/>
  <c r="O110" i="28"/>
  <c r="O112" i="28" s="1"/>
  <c r="N110" i="28"/>
  <c r="N112" i="28" s="1"/>
  <c r="M110" i="28"/>
  <c r="M112" i="28" s="1"/>
  <c r="L110" i="28"/>
  <c r="L111" i="28" s="1"/>
  <c r="L112" i="28"/>
  <c r="K110" i="28"/>
  <c r="K111" i="28" s="1"/>
  <c r="G110" i="28"/>
  <c r="G112" i="28" s="1"/>
  <c r="F110" i="28"/>
  <c r="F111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P31" i="39" s="1"/>
  <c r="O108" i="28"/>
  <c r="O31" i="39"/>
  <c r="N108" i="28"/>
  <c r="M108" i="28"/>
  <c r="M31" i="39" s="1"/>
  <c r="L108" i="28"/>
  <c r="L31" i="39" s="1"/>
  <c r="K108" i="28"/>
  <c r="K31" i="39"/>
  <c r="J108" i="28"/>
  <c r="I108" i="28"/>
  <c r="H108" i="28"/>
  <c r="H31" i="39"/>
  <c r="G108" i="28"/>
  <c r="F108" i="28"/>
  <c r="E108" i="28"/>
  <c r="E31" i="39" s="1"/>
  <c r="D108" i="28"/>
  <c r="D31" i="39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O112" i="27"/>
  <c r="N112" i="27"/>
  <c r="M112" i="27"/>
  <c r="K112" i="27"/>
  <c r="J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L108" i="27"/>
  <c r="K108" i="27"/>
  <c r="K30" i="39" s="1"/>
  <c r="J108" i="27"/>
  <c r="J30" i="39" s="1"/>
  <c r="I108" i="27"/>
  <c r="H108" i="27"/>
  <c r="H30" i="39" s="1"/>
  <c r="G108" i="27"/>
  <c r="G30" i="39" s="1"/>
  <c r="F108" i="27"/>
  <c r="E108" i="27"/>
  <c r="E30" i="39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1" i="26"/>
  <c r="O111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P108" i="26"/>
  <c r="P29" i="39"/>
  <c r="O108" i="26"/>
  <c r="O29" i="39" s="1"/>
  <c r="N108" i="26"/>
  <c r="M108" i="26"/>
  <c r="L108" i="26"/>
  <c r="L29" i="39" s="1"/>
  <c r="K108" i="26"/>
  <c r="J108" i="26"/>
  <c r="J29" i="39" s="1"/>
  <c r="I108" i="26"/>
  <c r="H108" i="26"/>
  <c r="G108" i="26"/>
  <c r="F108" i="26"/>
  <c r="E108" i="26"/>
  <c r="D108" i="26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O108" i="25"/>
  <c r="O28" i="39" s="1"/>
  <c r="N108" i="25"/>
  <c r="M108" i="25"/>
  <c r="L108" i="25"/>
  <c r="K108" i="25"/>
  <c r="J108" i="25"/>
  <c r="I108" i="25"/>
  <c r="H108" i="25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1" i="24"/>
  <c r="M110" i="24"/>
  <c r="M112" i="24" s="1"/>
  <c r="L110" i="24"/>
  <c r="L112" i="24" s="1"/>
  <c r="K110" i="24"/>
  <c r="K111" i="24" s="1"/>
  <c r="G112" i="24"/>
  <c r="F110" i="24"/>
  <c r="F112" i="24"/>
  <c r="E110" i="24"/>
  <c r="E112" i="24" s="1"/>
  <c r="D110" i="24"/>
  <c r="D112" i="24" s="1"/>
  <c r="C111" i="24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P27" i="39" s="1"/>
  <c r="O108" i="24"/>
  <c r="N108" i="24"/>
  <c r="N27" i="39"/>
  <c r="M108" i="24"/>
  <c r="L108" i="24"/>
  <c r="K108" i="24"/>
  <c r="K27" i="39"/>
  <c r="J108" i="24"/>
  <c r="I108" i="24"/>
  <c r="H108" i="24"/>
  <c r="H27" i="39" s="1"/>
  <c r="G108" i="24"/>
  <c r="F108" i="24"/>
  <c r="E108" i="24"/>
  <c r="E27" i="39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1" i="23" s="1"/>
  <c r="M110" i="23"/>
  <c r="M112" i="23" s="1"/>
  <c r="L110" i="23"/>
  <c r="L112" i="23" s="1"/>
  <c r="K110" i="23"/>
  <c r="K112" i="23" s="1"/>
  <c r="H112" i="23"/>
  <c r="G110" i="23"/>
  <c r="G111" i="23" s="1"/>
  <c r="F110" i="23"/>
  <c r="F111" i="23"/>
  <c r="E110" i="23"/>
  <c r="E112" i="23" s="1"/>
  <c r="D112" i="23"/>
  <c r="C112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N108" i="23"/>
  <c r="N26" i="39" s="1"/>
  <c r="M108" i="23"/>
  <c r="M26" i="39" s="1"/>
  <c r="L108" i="23"/>
  <c r="K108" i="23"/>
  <c r="K26" i="39" s="1"/>
  <c r="J108" i="23"/>
  <c r="J26" i="39" s="1"/>
  <c r="I108" i="23"/>
  <c r="H108" i="23"/>
  <c r="H26" i="39" s="1"/>
  <c r="G108" i="23"/>
  <c r="F108" i="23"/>
  <c r="F26" i="39" s="1"/>
  <c r="E108" i="23"/>
  <c r="D108" i="23"/>
  <c r="C108" i="23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1" i="22" s="1"/>
  <c r="P110" i="22"/>
  <c r="P112" i="22" s="1"/>
  <c r="O110" i="22"/>
  <c r="O111" i="22" s="1"/>
  <c r="N110" i="22"/>
  <c r="N111" i="22" s="1"/>
  <c r="M110" i="22"/>
  <c r="M112" i="22" s="1"/>
  <c r="L110" i="22"/>
  <c r="L111" i="22" s="1"/>
  <c r="K110" i="22"/>
  <c r="K112" i="22" s="1"/>
  <c r="F110" i="22"/>
  <c r="F111" i="22" s="1"/>
  <c r="E110" i="22"/>
  <c r="E112" i="22" s="1"/>
  <c r="D110" i="22"/>
  <c r="D112" i="22" s="1"/>
  <c r="C112" i="22"/>
  <c r="B110" i="22"/>
  <c r="B111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G25" i="39" s="1"/>
  <c r="F108" i="22"/>
  <c r="F25" i="39" s="1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0" i="21"/>
  <c r="Q112" i="21" s="1"/>
  <c r="P110" i="21"/>
  <c r="P111" i="21" s="1"/>
  <c r="O110" i="21"/>
  <c r="O112" i="21" s="1"/>
  <c r="N110" i="21"/>
  <c r="N112" i="21" s="1"/>
  <c r="M110" i="21"/>
  <c r="M111" i="21" s="1"/>
  <c r="L110" i="21"/>
  <c r="L112" i="21" s="1"/>
  <c r="K110" i="21"/>
  <c r="K111" i="21" s="1"/>
  <c r="G110" i="21"/>
  <c r="G112" i="21" s="1"/>
  <c r="F110" i="21"/>
  <c r="F112" i="21"/>
  <c r="E110" i="21"/>
  <c r="E112" i="21" s="1"/>
  <c r="D110" i="21"/>
  <c r="D111" i="21" s="1"/>
  <c r="C110" i="21"/>
  <c r="C112" i="21" s="1"/>
  <c r="B110" i="21"/>
  <c r="B111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O108" i="21"/>
  <c r="O24" i="39"/>
  <c r="N108" i="21"/>
  <c r="N24" i="39" s="1"/>
  <c r="M108" i="21"/>
  <c r="M24" i="39"/>
  <c r="L108" i="21"/>
  <c r="L24" i="39" s="1"/>
  <c r="K108" i="21"/>
  <c r="K24" i="39" s="1"/>
  <c r="J108" i="21"/>
  <c r="J24" i="39" s="1"/>
  <c r="I108" i="21"/>
  <c r="I24" i="39" s="1"/>
  <c r="H108" i="21"/>
  <c r="G108" i="21"/>
  <c r="G24" i="39" s="1"/>
  <c r="F108" i="21"/>
  <c r="F24" i="39" s="1"/>
  <c r="E108" i="2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 s="1"/>
  <c r="O110" i="20"/>
  <c r="O112" i="20" s="1"/>
  <c r="N110" i="20"/>
  <c r="N111" i="20" s="1"/>
  <c r="M110" i="20"/>
  <c r="M111" i="20" s="1"/>
  <c r="M112" i="20"/>
  <c r="L110" i="20"/>
  <c r="L112" i="20" s="1"/>
  <c r="K110" i="20"/>
  <c r="K112" i="20" s="1"/>
  <c r="G112" i="20"/>
  <c r="F110" i="20"/>
  <c r="F112" i="20" s="1"/>
  <c r="E110" i="20"/>
  <c r="E111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N108" i="20"/>
  <c r="M108" i="20"/>
  <c r="L108" i="20"/>
  <c r="K108" i="20"/>
  <c r="J108" i="20"/>
  <c r="J23" i="39"/>
  <c r="I108" i="20"/>
  <c r="I23" i="39"/>
  <c r="H108" i="20"/>
  <c r="G108" i="20"/>
  <c r="F108" i="20"/>
  <c r="F23" i="39" s="1"/>
  <c r="E108" i="20"/>
  <c r="D108" i="20"/>
  <c r="D23" i="39"/>
  <c r="C108" i="20"/>
  <c r="C23" i="39" s="1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P110" i="19"/>
  <c r="P112" i="19" s="1"/>
  <c r="O110" i="19"/>
  <c r="O112" i="19" s="1"/>
  <c r="N110" i="19"/>
  <c r="N112" i="19" s="1"/>
  <c r="M110" i="19"/>
  <c r="M111" i="19" s="1"/>
  <c r="L110" i="19"/>
  <c r="L112" i="19" s="1"/>
  <c r="K110" i="19"/>
  <c r="K111" i="19" s="1"/>
  <c r="G110" i="19"/>
  <c r="G112" i="19" s="1"/>
  <c r="F110" i="19"/>
  <c r="F112" i="19" s="1"/>
  <c r="E110" i="19"/>
  <c r="E111" i="19" s="1"/>
  <c r="D110" i="19"/>
  <c r="D112" i="19" s="1"/>
  <c r="C111" i="19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I108" i="19"/>
  <c r="I22" i="39" s="1"/>
  <c r="H108" i="19"/>
  <c r="G108" i="19"/>
  <c r="F108" i="19"/>
  <c r="F22" i="39" s="1"/>
  <c r="E108" i="19"/>
  <c r="E22" i="39" s="1"/>
  <c r="D108" i="19"/>
  <c r="C108" i="19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 s="1"/>
  <c r="O110" i="18"/>
  <c r="O112" i="18" s="1"/>
  <c r="O111" i="18"/>
  <c r="N110" i="18"/>
  <c r="N112" i="18" s="1"/>
  <c r="M110" i="18"/>
  <c r="M111" i="18" s="1"/>
  <c r="L110" i="18"/>
  <c r="L112" i="18" s="1"/>
  <c r="K110" i="18"/>
  <c r="K112" i="18" s="1"/>
  <c r="J111" i="18"/>
  <c r="I112" i="18"/>
  <c r="H111" i="18"/>
  <c r="G110" i="18"/>
  <c r="G111" i="18" s="1"/>
  <c r="F110" i="18"/>
  <c r="F111" i="18" s="1"/>
  <c r="F112" i="18"/>
  <c r="E110" i="18"/>
  <c r="E112" i="18" s="1"/>
  <c r="D110" i="18"/>
  <c r="D112" i="18" s="1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 s="1"/>
  <c r="N108" i="18"/>
  <c r="M108" i="18"/>
  <c r="M21" i="39" s="1"/>
  <c r="L108" i="18"/>
  <c r="L21" i="39"/>
  <c r="K108" i="18"/>
  <c r="J108" i="18"/>
  <c r="I108" i="18"/>
  <c r="I21" i="39" s="1"/>
  <c r="H108" i="18"/>
  <c r="H21" i="39" s="1"/>
  <c r="G108" i="18"/>
  <c r="F108" i="18"/>
  <c r="E108" i="18"/>
  <c r="E21" i="39" s="1"/>
  <c r="D108" i="18"/>
  <c r="D21" i="39" s="1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1" i="17" s="1"/>
  <c r="O110" i="17"/>
  <c r="O112" i="17"/>
  <c r="N110" i="17"/>
  <c r="N111" i="17" s="1"/>
  <c r="M110" i="17"/>
  <c r="M112" i="17" s="1"/>
  <c r="L110" i="17"/>
  <c r="L111" i="17" s="1"/>
  <c r="K110" i="17"/>
  <c r="K111" i="17" s="1"/>
  <c r="G110" i="17"/>
  <c r="G112" i="17" s="1"/>
  <c r="F110" i="17"/>
  <c r="F111" i="17" s="1"/>
  <c r="E110" i="17"/>
  <c r="E112" i="17" s="1"/>
  <c r="D110" i="17"/>
  <c r="D111" i="17" s="1"/>
  <c r="C111" i="17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 s="1"/>
  <c r="N108" i="17"/>
  <c r="N20" i="39" s="1"/>
  <c r="M108" i="17"/>
  <c r="L108" i="17"/>
  <c r="L20" i="39" s="1"/>
  <c r="K108" i="17"/>
  <c r="K20" i="39" s="1"/>
  <c r="J108" i="17"/>
  <c r="J20" i="39"/>
  <c r="I108" i="17"/>
  <c r="I20" i="39"/>
  <c r="H108" i="17"/>
  <c r="H20" i="39"/>
  <c r="G108" i="17"/>
  <c r="G20" i="39" s="1"/>
  <c r="F108" i="17"/>
  <c r="F20" i="39" s="1"/>
  <c r="E108" i="17"/>
  <c r="D108" i="17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Q111" i="16"/>
  <c r="P110" i="16"/>
  <c r="P112" i="16" s="1"/>
  <c r="O110" i="16"/>
  <c r="O112" i="16" s="1"/>
  <c r="N110" i="16"/>
  <c r="N112" i="16"/>
  <c r="M110" i="16"/>
  <c r="M112" i="16" s="1"/>
  <c r="L110" i="16"/>
  <c r="L112" i="16" s="1"/>
  <c r="K110" i="16"/>
  <c r="K112" i="16" s="1"/>
  <c r="G110" i="16"/>
  <c r="G111" i="16" s="1"/>
  <c r="F110" i="16"/>
  <c r="F112" i="16" s="1"/>
  <c r="E110" i="16"/>
  <c r="E112" i="16" s="1"/>
  <c r="D110" i="16"/>
  <c r="D112" i="16" s="1"/>
  <c r="C112" i="16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 s="1"/>
  <c r="O108" i="16"/>
  <c r="O19" i="39" s="1"/>
  <c r="N108" i="16"/>
  <c r="M108" i="16"/>
  <c r="M19" i="39" s="1"/>
  <c r="L108" i="16"/>
  <c r="K108" i="16"/>
  <c r="J108" i="16"/>
  <c r="J19" i="39" s="1"/>
  <c r="I108" i="16"/>
  <c r="I19" i="39" s="1"/>
  <c r="H108" i="16"/>
  <c r="H19" i="39" s="1"/>
  <c r="G108" i="16"/>
  <c r="F108" i="16"/>
  <c r="E108" i="16"/>
  <c r="E19" i="39" s="1"/>
  <c r="D108" i="16"/>
  <c r="D19" i="39" s="1"/>
  <c r="C108" i="16"/>
  <c r="C19" i="39" s="1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 s="1"/>
  <c r="O110" i="15"/>
  <c r="O112" i="15" s="1"/>
  <c r="N110" i="15"/>
  <c r="N111" i="15" s="1"/>
  <c r="M110" i="15"/>
  <c r="M112" i="15" s="1"/>
  <c r="L110" i="15"/>
  <c r="L111" i="15" s="1"/>
  <c r="K110" i="15"/>
  <c r="K112" i="15" s="1"/>
  <c r="G110" i="15"/>
  <c r="G111" i="15" s="1"/>
  <c r="F110" i="15"/>
  <c r="F112" i="15" s="1"/>
  <c r="E110" i="15"/>
  <c r="E112" i="15" s="1"/>
  <c r="D110" i="15"/>
  <c r="D112" i="15" s="1"/>
  <c r="C112" i="15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K108" i="15"/>
  <c r="K18" i="39" s="1"/>
  <c r="J108" i="15"/>
  <c r="J18" i="39" s="1"/>
  <c r="I108" i="15"/>
  <c r="H108" i="15"/>
  <c r="G108" i="15"/>
  <c r="F108" i="15"/>
  <c r="E108" i="15"/>
  <c r="D108" i="15"/>
  <c r="C18" i="39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B106" i="15"/>
  <c r="B2" i="15"/>
  <c r="A18" i="39" s="1"/>
  <c r="P112" i="14"/>
  <c r="O111" i="14"/>
  <c r="N112" i="14"/>
  <c r="M112" i="14"/>
  <c r="L112" i="14"/>
  <c r="K111" i="14"/>
  <c r="G112" i="14"/>
  <c r="F111" i="14"/>
  <c r="E112" i="14"/>
  <c r="D112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O17" i="39" s="1"/>
  <c r="N108" i="14"/>
  <c r="N17" i="39" s="1"/>
  <c r="M108" i="14"/>
  <c r="L108" i="14"/>
  <c r="K108" i="14"/>
  <c r="K17" i="39" s="1"/>
  <c r="J108" i="14"/>
  <c r="I108" i="14"/>
  <c r="I17" i="39" s="1"/>
  <c r="H108" i="14"/>
  <c r="G108" i="14"/>
  <c r="G17" i="39" s="1"/>
  <c r="F108" i="14"/>
  <c r="F17" i="39" s="1"/>
  <c r="E108" i="14"/>
  <c r="D108" i="14"/>
  <c r="D17" i="39" s="1"/>
  <c r="C108" i="14"/>
  <c r="C17" i="39" s="1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1" i="13"/>
  <c r="N110" i="13"/>
  <c r="N112" i="13" s="1"/>
  <c r="M110" i="13"/>
  <c r="M111" i="13" s="1"/>
  <c r="L110" i="13"/>
  <c r="L112" i="13" s="1"/>
  <c r="K110" i="13"/>
  <c r="K112" i="13" s="1"/>
  <c r="G110" i="13"/>
  <c r="G111" i="13" s="1"/>
  <c r="F110" i="13"/>
  <c r="F112" i="13" s="1"/>
  <c r="E110" i="13"/>
  <c r="E112" i="13" s="1"/>
  <c r="D110" i="13"/>
  <c r="D111" i="13"/>
  <c r="C112" i="13"/>
  <c r="B110" i="13"/>
  <c r="B111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N16" i="39" s="1"/>
  <c r="M108" i="13"/>
  <c r="L108" i="13"/>
  <c r="K108" i="13"/>
  <c r="J108" i="13"/>
  <c r="J16" i="39" s="1"/>
  <c r="I108" i="13"/>
  <c r="H108" i="13"/>
  <c r="H16" i="39" s="1"/>
  <c r="G108" i="13"/>
  <c r="G16" i="39" s="1"/>
  <c r="F108" i="13"/>
  <c r="E108" i="13"/>
  <c r="D108" i="13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2" i="12"/>
  <c r="P112" i="12"/>
  <c r="O111" i="12"/>
  <c r="N112" i="12"/>
  <c r="M111" i="12"/>
  <c r="L112" i="12"/>
  <c r="K111" i="12"/>
  <c r="G111" i="12"/>
  <c r="E112" i="12"/>
  <c r="D112" i="12"/>
  <c r="C112" i="12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O108" i="12"/>
  <c r="O15" i="39" s="1"/>
  <c r="N108" i="12"/>
  <c r="M108" i="12"/>
  <c r="M15" i="39" s="1"/>
  <c r="L108" i="12"/>
  <c r="L15" i="39" s="1"/>
  <c r="K108" i="12"/>
  <c r="K15" i="39" s="1"/>
  <c r="J108" i="12"/>
  <c r="I108" i="12"/>
  <c r="I15" i="39" s="1"/>
  <c r="H108" i="12"/>
  <c r="G108" i="12"/>
  <c r="G15" i="39" s="1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1" i="11" s="1"/>
  <c r="P110" i="11"/>
  <c r="P112" i="11" s="1"/>
  <c r="O110" i="11"/>
  <c r="O112" i="11" s="1"/>
  <c r="N110" i="11"/>
  <c r="N112" i="11" s="1"/>
  <c r="M110" i="11"/>
  <c r="M112" i="11"/>
  <c r="L110" i="11"/>
  <c r="L112" i="11" s="1"/>
  <c r="K110" i="11"/>
  <c r="K112" i="11" s="1"/>
  <c r="F110" i="11"/>
  <c r="F111" i="11" s="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/>
  <c r="L108" i="11"/>
  <c r="K108" i="11"/>
  <c r="K14" i="39" s="1"/>
  <c r="J108" i="11"/>
  <c r="J14" i="39"/>
  <c r="I108" i="11"/>
  <c r="H108" i="11"/>
  <c r="G108" i="11"/>
  <c r="G14" i="39" s="1"/>
  <c r="F108" i="11"/>
  <c r="F14" i="39" s="1"/>
  <c r="E108" i="11"/>
  <c r="D108" i="1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1" i="10" s="1"/>
  <c r="P110" i="10"/>
  <c r="P112" i="10" s="1"/>
  <c r="O110" i="10"/>
  <c r="O111" i="10" s="1"/>
  <c r="N110" i="10"/>
  <c r="N112" i="10" s="1"/>
  <c r="M110" i="10"/>
  <c r="M111" i="10" s="1"/>
  <c r="L110" i="10"/>
  <c r="L111" i="10" s="1"/>
  <c r="K110" i="10"/>
  <c r="K112" i="10" s="1"/>
  <c r="G110" i="10"/>
  <c r="G112" i="10" s="1"/>
  <c r="F110" i="10"/>
  <c r="F111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I108" i="10"/>
  <c r="I13" i="39" s="1"/>
  <c r="H108" i="10"/>
  <c r="H13" i="39"/>
  <c r="G108" i="10"/>
  <c r="G13" i="39"/>
  <c r="F108" i="10"/>
  <c r="F13" i="39" s="1"/>
  <c r="E108" i="10"/>
  <c r="E13" i="39" s="1"/>
  <c r="D108" i="10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1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G110" i="9"/>
  <c r="G112" i="9" s="1"/>
  <c r="F110" i="9"/>
  <c r="F111" i="9" s="1"/>
  <c r="E110" i="9"/>
  <c r="E112" i="9" s="1"/>
  <c r="D110" i="9"/>
  <c r="D111" i="9" s="1"/>
  <c r="C110" i="9"/>
  <c r="C112" i="9" s="1"/>
  <c r="B110" i="9"/>
  <c r="B111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O12" i="39" s="1"/>
  <c r="N108" i="9"/>
  <c r="N12" i="39" s="1"/>
  <c r="M108" i="9"/>
  <c r="M12" i="39" s="1"/>
  <c r="L108" i="9"/>
  <c r="K108" i="9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C108" i="9"/>
  <c r="C12" i="39" s="1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N112" i="8"/>
  <c r="M112" i="8"/>
  <c r="D112" i="8"/>
  <c r="C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P112" i="3"/>
  <c r="O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O108" i="3"/>
  <c r="O10" i="39" s="1"/>
  <c r="N108" i="3"/>
  <c r="N10" i="39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I27" i="39"/>
  <c r="F27" i="39"/>
  <c r="C27" i="39"/>
  <c r="N109" i="2"/>
  <c r="O109" i="2"/>
  <c r="P109" i="2"/>
  <c r="N108" i="2"/>
  <c r="N9" i="39" s="1"/>
  <c r="O108" i="2"/>
  <c r="O9" i="39" s="1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H112" i="2"/>
  <c r="N21" i="39"/>
  <c r="L35" i="39"/>
  <c r="K35" i="39"/>
  <c r="D35" i="39"/>
  <c r="B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O112" i="2"/>
  <c r="Q112" i="2"/>
  <c r="T40" i="6"/>
  <c r="T21" i="6"/>
  <c r="K88" i="6"/>
  <c r="J88" i="6"/>
  <c r="K115" i="6"/>
  <c r="J115" i="6"/>
  <c r="I115" i="6"/>
  <c r="L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P38" i="39"/>
  <c r="O38" i="39"/>
  <c r="L38" i="39"/>
  <c r="J38" i="39"/>
  <c r="H38" i="39"/>
  <c r="G38" i="39"/>
  <c r="F38" i="39"/>
  <c r="E38" i="39"/>
  <c r="D38" i="39"/>
  <c r="C38" i="39"/>
  <c r="O37" i="39"/>
  <c r="N37" i="39"/>
  <c r="M37" i="39"/>
  <c r="L37" i="39"/>
  <c r="J37" i="39"/>
  <c r="I37" i="39"/>
  <c r="C37" i="39"/>
  <c r="B37" i="39"/>
  <c r="A37" i="39"/>
  <c r="A26" i="39"/>
  <c r="C26" i="39"/>
  <c r="D26" i="39"/>
  <c r="I26" i="39"/>
  <c r="L26" i="39"/>
  <c r="O25" i="39"/>
  <c r="N25" i="39"/>
  <c r="L25" i="39"/>
  <c r="K25" i="39"/>
  <c r="J25" i="39"/>
  <c r="H25" i="39"/>
  <c r="E25" i="39"/>
  <c r="D25" i="39"/>
  <c r="C25" i="39"/>
  <c r="E24" i="39"/>
  <c r="A24" i="39"/>
  <c r="M23" i="39"/>
  <c r="L23" i="39"/>
  <c r="K23" i="39"/>
  <c r="H23" i="39"/>
  <c r="E23" i="39"/>
  <c r="B23" i="39"/>
  <c r="Q22" i="39"/>
  <c r="N22" i="39"/>
  <c r="M22" i="39"/>
  <c r="L22" i="39"/>
  <c r="G22" i="39"/>
  <c r="C22" i="39"/>
  <c r="Q21" i="39"/>
  <c r="P21" i="39"/>
  <c r="K21" i="39"/>
  <c r="J21" i="39"/>
  <c r="G21" i="39"/>
  <c r="F21" i="39"/>
  <c r="C21" i="39"/>
  <c r="B21" i="39"/>
  <c r="A21" i="39"/>
  <c r="M20" i="39"/>
  <c r="E20" i="39"/>
  <c r="A20" i="39"/>
  <c r="L19" i="39"/>
  <c r="K19" i="39"/>
  <c r="G19" i="39"/>
  <c r="B19" i="39"/>
  <c r="L18" i="39"/>
  <c r="I18" i="39"/>
  <c r="H18" i="39"/>
  <c r="G18" i="39"/>
  <c r="E18" i="39"/>
  <c r="D18" i="39"/>
  <c r="P17" i="39"/>
  <c r="M17" i="39"/>
  <c r="L17" i="39"/>
  <c r="Q16" i="39"/>
  <c r="P16" i="39"/>
  <c r="L16" i="39"/>
  <c r="I16" i="39"/>
  <c r="F16" i="39"/>
  <c r="E16" i="39"/>
  <c r="D16" i="39"/>
  <c r="C16" i="39"/>
  <c r="B16" i="39"/>
  <c r="N15" i="39"/>
  <c r="H15" i="39"/>
  <c r="F15" i="39"/>
  <c r="C15" i="39"/>
  <c r="L14" i="39"/>
  <c r="I14" i="39"/>
  <c r="H14" i="39"/>
  <c r="E14" i="39"/>
  <c r="D14" i="39"/>
  <c r="P13" i="39"/>
  <c r="D13" i="39"/>
  <c r="K12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 s="1"/>
  <c r="F108" i="2"/>
  <c r="F9" i="39" s="1"/>
  <c r="G108" i="2"/>
  <c r="G9" i="39" s="1"/>
  <c r="H108" i="2"/>
  <c r="H9" i="39" s="1"/>
  <c r="I108" i="2"/>
  <c r="I9" i="39" s="1"/>
  <c r="J108" i="2"/>
  <c r="J9" i="39" s="1"/>
  <c r="K108" i="2"/>
  <c r="K9" i="39"/>
  <c r="L108" i="2"/>
  <c r="L9" i="39" s="1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E36" i="39"/>
  <c r="D36" i="39"/>
  <c r="C36" i="39"/>
  <c r="A36" i="39"/>
  <c r="P35" i="39"/>
  <c r="C35" i="39"/>
  <c r="M34" i="39"/>
  <c r="K34" i="39"/>
  <c r="J34" i="39"/>
  <c r="I34" i="39"/>
  <c r="H34" i="39"/>
  <c r="F34" i="39"/>
  <c r="L33" i="39"/>
  <c r="H33" i="39"/>
  <c r="F33" i="39"/>
  <c r="B33" i="39"/>
  <c r="Q32" i="39"/>
  <c r="O32" i="39"/>
  <c r="N32" i="39"/>
  <c r="K32" i="39"/>
  <c r="G32" i="39"/>
  <c r="F32" i="39"/>
  <c r="B32" i="39"/>
  <c r="Q31" i="39"/>
  <c r="J31" i="39"/>
  <c r="I31" i="39"/>
  <c r="F31" i="39"/>
  <c r="P30" i="39"/>
  <c r="M30" i="39"/>
  <c r="L30" i="39"/>
  <c r="I30" i="39"/>
  <c r="F30" i="39"/>
  <c r="C30" i="39"/>
  <c r="B30" i="39"/>
  <c r="Q29" i="39"/>
  <c r="M29" i="39"/>
  <c r="K29" i="39"/>
  <c r="I29" i="39"/>
  <c r="H29" i="39"/>
  <c r="G29" i="39"/>
  <c r="F29" i="39"/>
  <c r="E29" i="39"/>
  <c r="D29" i="39"/>
  <c r="P28" i="39"/>
  <c r="N28" i="39"/>
  <c r="M28" i="39"/>
  <c r="L28" i="39"/>
  <c r="K28" i="39"/>
  <c r="I28" i="39"/>
  <c r="H28" i="39"/>
  <c r="B28" i="39"/>
  <c r="O27" i="39"/>
  <c r="M27" i="39"/>
  <c r="L27" i="39"/>
  <c r="G27" i="39"/>
  <c r="B27" i="39"/>
  <c r="O26" i="39"/>
  <c r="G26" i="39"/>
  <c r="I25" i="39"/>
  <c r="P24" i="39"/>
  <c r="H24" i="39"/>
  <c r="N23" i="39"/>
  <c r="O22" i="39"/>
  <c r="D22" i="39"/>
  <c r="P20" i="39"/>
  <c r="D20" i="39"/>
  <c r="F18" i="39"/>
  <c r="E17" i="39"/>
  <c r="M16" i="39"/>
  <c r="K16" i="39"/>
  <c r="J15" i="39"/>
  <c r="Q12" i="39"/>
  <c r="B12" i="39"/>
  <c r="P10" i="39"/>
  <c r="P36" i="39"/>
  <c r="E34" i="39"/>
  <c r="E26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J36" i="39"/>
  <c r="B36" i="39"/>
  <c r="G34" i="39"/>
  <c r="J32" i="39"/>
  <c r="H32" i="39"/>
  <c r="N29" i="39"/>
  <c r="J28" i="39"/>
  <c r="O23" i="39"/>
  <c r="G23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J22" i="39"/>
  <c r="N19" i="39"/>
  <c r="F19" i="39"/>
  <c r="J17" i="39"/>
  <c r="H17" i="39"/>
  <c r="B17" i="39"/>
  <c r="K28" i="6"/>
  <c r="J28" i="6"/>
  <c r="J13" i="39"/>
  <c r="D9" i="5"/>
  <c r="D10" i="5"/>
  <c r="I119" i="6"/>
  <c r="J101" i="6"/>
  <c r="J81" i="6"/>
  <c r="J61" i="6"/>
  <c r="I21" i="6"/>
  <c r="D8" i="5"/>
  <c r="D24" i="5" s="1"/>
  <c r="D20" i="5"/>
  <c r="D21" i="5"/>
  <c r="D22" i="5"/>
  <c r="D23" i="5"/>
  <c r="D11" i="5"/>
  <c r="D12" i="5"/>
  <c r="D13" i="5"/>
  <c r="D14" i="5"/>
  <c r="D44" i="5" s="1"/>
  <c r="D15" i="5"/>
  <c r="D16" i="5"/>
  <c r="D17" i="5"/>
  <c r="D18" i="5"/>
  <c r="D19" i="5"/>
  <c r="H111" i="2"/>
  <c r="H22" i="39"/>
  <c r="O111" i="41"/>
  <c r="M111" i="41"/>
  <c r="G111" i="41"/>
  <c r="F111" i="41"/>
  <c r="D111" i="41"/>
  <c r="C111" i="41"/>
  <c r="B111" i="41"/>
  <c r="Q111" i="40"/>
  <c r="O111" i="40"/>
  <c r="M111" i="40"/>
  <c r="K111" i="40"/>
  <c r="G111" i="40"/>
  <c r="F111" i="40"/>
  <c r="B111" i="40"/>
  <c r="P111" i="33"/>
  <c r="O111" i="33"/>
  <c r="M111" i="33"/>
  <c r="F111" i="33"/>
  <c r="D111" i="33"/>
  <c r="C111" i="33"/>
  <c r="O111" i="32"/>
  <c r="M111" i="32"/>
  <c r="K111" i="32"/>
  <c r="F111" i="32"/>
  <c r="O111" i="31"/>
  <c r="N111" i="31"/>
  <c r="L111" i="31"/>
  <c r="F111" i="31"/>
  <c r="E111" i="31"/>
  <c r="D111" i="31"/>
  <c r="C111" i="31"/>
  <c r="B111" i="31"/>
  <c r="O111" i="30"/>
  <c r="N111" i="30"/>
  <c r="M111" i="30"/>
  <c r="L111" i="30"/>
  <c r="B111" i="30"/>
  <c r="P111" i="29"/>
  <c r="N111" i="29"/>
  <c r="M111" i="29"/>
  <c r="E111" i="29"/>
  <c r="D111" i="29"/>
  <c r="C111" i="29"/>
  <c r="B111" i="29"/>
  <c r="O111" i="28"/>
  <c r="N111" i="28"/>
  <c r="M111" i="28"/>
  <c r="G111" i="28"/>
  <c r="E111" i="28"/>
  <c r="D111" i="28"/>
  <c r="C111" i="28"/>
  <c r="N111" i="27"/>
  <c r="M111" i="27"/>
  <c r="E111" i="27"/>
  <c r="B111" i="27"/>
  <c r="N111" i="26"/>
  <c r="L111" i="26"/>
  <c r="K111" i="26"/>
  <c r="P111" i="24"/>
  <c r="O111" i="24"/>
  <c r="M111" i="24"/>
  <c r="L111" i="24"/>
  <c r="Q111" i="24"/>
  <c r="F111" i="24"/>
  <c r="E111" i="24"/>
  <c r="D111" i="24"/>
  <c r="B111" i="24"/>
  <c r="P111" i="23"/>
  <c r="M111" i="23"/>
  <c r="K111" i="23"/>
  <c r="H111" i="23"/>
  <c r="E111" i="23"/>
  <c r="D111" i="23"/>
  <c r="C111" i="23"/>
  <c r="B111" i="23"/>
  <c r="P111" i="22"/>
  <c r="M111" i="22"/>
  <c r="K111" i="22"/>
  <c r="E111" i="22"/>
  <c r="D111" i="22"/>
  <c r="Q111" i="21"/>
  <c r="N111" i="21"/>
  <c r="L111" i="21"/>
  <c r="G111" i="21"/>
  <c r="E111" i="21"/>
  <c r="C111" i="21"/>
  <c r="O111" i="20"/>
  <c r="Q112" i="20"/>
  <c r="L111" i="20"/>
  <c r="K111" i="20"/>
  <c r="G111" i="20"/>
  <c r="F111" i="20"/>
  <c r="D111" i="20"/>
  <c r="B111" i="20"/>
  <c r="P111" i="19"/>
  <c r="N111" i="19"/>
  <c r="L111" i="19"/>
  <c r="H111" i="19"/>
  <c r="G111" i="19"/>
  <c r="B111" i="19"/>
  <c r="Q111" i="18"/>
  <c r="N111" i="18"/>
  <c r="L111" i="18"/>
  <c r="I111" i="18"/>
  <c r="E111" i="18"/>
  <c r="D111" i="18"/>
  <c r="O111" i="17"/>
  <c r="O111" i="16"/>
  <c r="N111" i="16"/>
  <c r="L111" i="16"/>
  <c r="F111" i="16"/>
  <c r="E111" i="16"/>
  <c r="D111" i="16"/>
  <c r="P111" i="15"/>
  <c r="O111" i="15"/>
  <c r="M111" i="15"/>
  <c r="J111" i="15"/>
  <c r="E111" i="15"/>
  <c r="D111" i="15"/>
  <c r="B111" i="15"/>
  <c r="P111" i="14"/>
  <c r="N111" i="14"/>
  <c r="M111" i="14"/>
  <c r="L111" i="14"/>
  <c r="G111" i="14"/>
  <c r="E111" i="14"/>
  <c r="C111" i="14"/>
  <c r="Q111" i="13"/>
  <c r="L111" i="13"/>
  <c r="K111" i="13"/>
  <c r="F111" i="13"/>
  <c r="C111" i="13"/>
  <c r="Q111" i="12"/>
  <c r="N111" i="12"/>
  <c r="L111" i="12"/>
  <c r="E111" i="12"/>
  <c r="C111" i="12"/>
  <c r="B111" i="12"/>
  <c r="O111" i="11"/>
  <c r="N111" i="11"/>
  <c r="M111" i="11"/>
  <c r="L111" i="11"/>
  <c r="K111" i="11"/>
  <c r="N111" i="10"/>
  <c r="K111" i="10"/>
  <c r="G111" i="10"/>
  <c r="C111" i="10"/>
  <c r="B111" i="10"/>
  <c r="P111" i="9"/>
  <c r="N111" i="9"/>
  <c r="M111" i="9"/>
  <c r="K111" i="9"/>
  <c r="E111" i="9"/>
  <c r="C111" i="9"/>
  <c r="M111" i="8"/>
  <c r="E111" i="8"/>
  <c r="D111" i="8"/>
  <c r="C111" i="8"/>
  <c r="Q111" i="3"/>
  <c r="P111" i="3"/>
  <c r="O111" i="3"/>
  <c r="G111" i="3"/>
  <c r="C112" i="30"/>
  <c r="C112" i="17"/>
  <c r="D112" i="3"/>
  <c r="K112" i="2"/>
  <c r="G111" i="2"/>
  <c r="D111" i="2"/>
  <c r="L112" i="10"/>
  <c r="M112" i="10"/>
  <c r="E111" i="10"/>
  <c r="L111" i="9"/>
  <c r="G111" i="9"/>
  <c r="E112" i="2"/>
  <c r="C112" i="2"/>
  <c r="B111" i="3"/>
  <c r="N112" i="3"/>
  <c r="L111" i="2"/>
  <c r="I111" i="3"/>
  <c r="F112" i="3"/>
  <c r="M111" i="3"/>
  <c r="E112" i="3"/>
  <c r="J111" i="10"/>
  <c r="I112" i="9"/>
  <c r="H112" i="9"/>
  <c r="J112" i="8"/>
  <c r="P111" i="8"/>
  <c r="L111" i="8"/>
  <c r="B111" i="8"/>
  <c r="I112" i="8"/>
  <c r="H112" i="8"/>
  <c r="G112" i="8"/>
  <c r="F112" i="8"/>
  <c r="N111" i="8"/>
  <c r="I112" i="13"/>
  <c r="F112" i="12"/>
  <c r="H112" i="12"/>
  <c r="O112" i="12"/>
  <c r="J112" i="11"/>
  <c r="Q112" i="11"/>
  <c r="P111" i="11"/>
  <c r="G111" i="11"/>
  <c r="I112" i="11"/>
  <c r="D111" i="11"/>
  <c r="C111" i="11"/>
  <c r="C111" i="16"/>
  <c r="I112" i="16"/>
  <c r="P111" i="16"/>
  <c r="Q112" i="16"/>
  <c r="Q112" i="15"/>
  <c r="B112" i="14"/>
  <c r="J112" i="14"/>
  <c r="Q111" i="17"/>
  <c r="B112" i="18"/>
  <c r="J112" i="18"/>
  <c r="J111" i="17"/>
  <c r="I112" i="17"/>
  <c r="N112" i="17"/>
  <c r="L112" i="17"/>
  <c r="M111" i="17"/>
  <c r="K112" i="17"/>
  <c r="F112" i="17"/>
  <c r="D112" i="17"/>
  <c r="Q111" i="19"/>
  <c r="J112" i="19"/>
  <c r="E112" i="19"/>
  <c r="M112" i="19"/>
  <c r="C112" i="19"/>
  <c r="P112" i="25"/>
  <c r="N112" i="25"/>
  <c r="J111" i="25"/>
  <c r="H112" i="25"/>
  <c r="F111" i="25"/>
  <c r="B111" i="25"/>
  <c r="Q112" i="25"/>
  <c r="D111" i="25"/>
  <c r="I112" i="25"/>
  <c r="J112" i="24"/>
  <c r="I111" i="24"/>
  <c r="J111" i="23"/>
  <c r="Q111" i="23"/>
  <c r="O111" i="23"/>
  <c r="G112" i="23"/>
  <c r="J111" i="22"/>
  <c r="H111" i="22"/>
  <c r="Q112" i="22"/>
  <c r="O112" i="22"/>
  <c r="J112" i="21"/>
  <c r="H112" i="21"/>
  <c r="P112" i="21"/>
  <c r="D112" i="27"/>
  <c r="Q111" i="27"/>
  <c r="Q112" i="26"/>
  <c r="G111" i="26"/>
  <c r="O111" i="27"/>
  <c r="K111" i="27"/>
  <c r="J111" i="27"/>
  <c r="I111" i="32"/>
  <c r="B112" i="32"/>
  <c r="J112" i="32"/>
  <c r="H112" i="32"/>
  <c r="I112" i="31"/>
  <c r="Q112" i="31"/>
  <c r="G111" i="31"/>
  <c r="P111" i="31"/>
  <c r="J111" i="29"/>
  <c r="I111" i="29"/>
  <c r="H111" i="29"/>
  <c r="G112" i="29"/>
  <c r="I111" i="28"/>
  <c r="B111" i="28"/>
  <c r="J112" i="40"/>
  <c r="H112" i="40"/>
  <c r="I112" i="40"/>
  <c r="D111" i="40"/>
  <c r="G111" i="33"/>
  <c r="J111" i="41"/>
  <c r="H111" i="41"/>
  <c r="Q112" i="41"/>
  <c r="P111" i="2"/>
  <c r="B111" i="2"/>
  <c r="J112" i="3"/>
  <c r="L112" i="3"/>
  <c r="C112" i="3"/>
  <c r="K112" i="8"/>
  <c r="Q112" i="8"/>
  <c r="F112" i="9"/>
  <c r="Q112" i="9"/>
  <c r="O111" i="9"/>
  <c r="D111" i="10"/>
  <c r="O112" i="10"/>
  <c r="H111" i="10"/>
  <c r="M112" i="12"/>
  <c r="K112" i="12"/>
  <c r="D112" i="13"/>
  <c r="O112" i="13"/>
  <c r="B112" i="13"/>
  <c r="M112" i="13"/>
  <c r="F112" i="14"/>
  <c r="D111" i="14"/>
  <c r="O112" i="14"/>
  <c r="L112" i="15"/>
  <c r="G112" i="15"/>
  <c r="H112" i="15"/>
  <c r="H112" i="16"/>
  <c r="B111" i="16"/>
  <c r="M111" i="16"/>
  <c r="K111" i="16"/>
  <c r="M112" i="18"/>
  <c r="C112" i="18"/>
  <c r="K111" i="18"/>
  <c r="K112" i="19"/>
  <c r="C111" i="20"/>
  <c r="H111" i="20"/>
  <c r="N112" i="20"/>
  <c r="F111" i="21"/>
  <c r="D112" i="21"/>
  <c r="O111" i="21"/>
  <c r="I112" i="21"/>
  <c r="L112" i="22"/>
  <c r="F112" i="22"/>
  <c r="G112" i="22"/>
  <c r="F112" i="23"/>
  <c r="G111" i="24"/>
  <c r="O112" i="26"/>
  <c r="M112" i="26"/>
  <c r="F111" i="27"/>
  <c r="P112" i="28"/>
  <c r="F112" i="29"/>
  <c r="Q112" i="29"/>
  <c r="K111" i="30"/>
  <c r="M112" i="31"/>
  <c r="H111" i="31"/>
  <c r="K112" i="31"/>
  <c r="J112" i="31"/>
  <c r="E112" i="32"/>
  <c r="P111" i="32"/>
  <c r="N112" i="32"/>
  <c r="K112" i="33"/>
  <c r="L111" i="40"/>
  <c r="C111" i="26"/>
  <c r="D111" i="26"/>
  <c r="B111" i="26"/>
  <c r="J112" i="26"/>
  <c r="I111" i="26"/>
  <c r="E111" i="26"/>
  <c r="C112" i="25"/>
  <c r="Q111" i="14"/>
  <c r="I112" i="14"/>
  <c r="B112" i="9"/>
  <c r="Q112" i="10"/>
  <c r="F112" i="11"/>
  <c r="K112" i="14"/>
  <c r="P112" i="17"/>
  <c r="C112" i="24"/>
  <c r="L112" i="29"/>
  <c r="C112" i="40"/>
  <c r="K111" i="3"/>
  <c r="F112" i="2"/>
  <c r="J112" i="16"/>
  <c r="I111" i="19"/>
  <c r="G111" i="27"/>
  <c r="H112" i="33"/>
  <c r="G112" i="13"/>
  <c r="B112" i="21"/>
  <c r="B112" i="22"/>
  <c r="N112" i="22"/>
  <c r="N112" i="23"/>
  <c r="K112" i="28"/>
  <c r="G111" i="30"/>
  <c r="L112" i="32"/>
  <c r="B112" i="33"/>
  <c r="N112" i="33"/>
  <c r="N112" i="41"/>
  <c r="I112" i="10"/>
  <c r="J111" i="12"/>
  <c r="H111" i="14"/>
  <c r="H111" i="24"/>
  <c r="G111" i="25"/>
  <c r="O111" i="25"/>
  <c r="H111" i="26"/>
  <c r="J112" i="28"/>
  <c r="F112" i="10"/>
  <c r="G112" i="12"/>
  <c r="G112" i="16"/>
  <c r="N112" i="24"/>
  <c r="F111" i="15"/>
  <c r="E111" i="17"/>
  <c r="G112" i="18"/>
  <c r="N112" i="40"/>
  <c r="J112" i="2"/>
  <c r="H112" i="28"/>
  <c r="E111" i="13"/>
  <c r="L111" i="27"/>
  <c r="P111" i="13"/>
  <c r="K112" i="21"/>
  <c r="F112" i="28"/>
  <c r="Q112" i="28"/>
  <c r="E112" i="30"/>
  <c r="G112" i="32"/>
  <c r="L112" i="41"/>
  <c r="O112" i="8"/>
  <c r="J112" i="9"/>
  <c r="I111" i="12"/>
  <c r="I111" i="23"/>
  <c r="E111" i="25"/>
  <c r="M112" i="25"/>
  <c r="F112" i="26"/>
  <c r="J112" i="30"/>
  <c r="K111" i="41" l="1"/>
  <c r="J111" i="33"/>
  <c r="L111" i="33"/>
  <c r="D111" i="32"/>
  <c r="C112" i="32"/>
  <c r="H111" i="30"/>
  <c r="D112" i="30"/>
  <c r="O111" i="29"/>
  <c r="P111" i="27"/>
  <c r="C112" i="27"/>
  <c r="K112" i="25"/>
  <c r="C111" i="22"/>
  <c r="I112" i="20"/>
  <c r="F111" i="19"/>
  <c r="B111" i="17"/>
  <c r="K111" i="15"/>
  <c r="I112" i="15"/>
  <c r="N111" i="13"/>
  <c r="H111" i="13"/>
  <c r="J111" i="13"/>
  <c r="E111" i="11"/>
  <c r="B112" i="11"/>
  <c r="H112" i="11"/>
  <c r="P111" i="10"/>
  <c r="D112" i="9"/>
  <c r="K44" i="39"/>
  <c r="H111" i="3"/>
  <c r="J42" i="39"/>
  <c r="J43" i="39"/>
  <c r="K43" i="39"/>
  <c r="K46" i="39"/>
  <c r="M111" i="2"/>
  <c r="I112" i="2"/>
  <c r="N111" i="2"/>
  <c r="K42" i="39"/>
  <c r="K41" i="39"/>
  <c r="E44" i="39"/>
  <c r="E41" i="39"/>
  <c r="E43" i="39"/>
  <c r="E42" i="39"/>
  <c r="N44" i="39"/>
  <c r="N43" i="39"/>
  <c r="N41" i="39"/>
  <c r="N42" i="39"/>
  <c r="D43" i="39"/>
  <c r="D42" i="39"/>
  <c r="D41" i="39"/>
  <c r="D44" i="39"/>
  <c r="C42" i="39"/>
  <c r="C44" i="39"/>
  <c r="C41" i="39"/>
  <c r="C43" i="39"/>
  <c r="B42" i="39"/>
  <c r="B41" i="39"/>
  <c r="B43" i="39"/>
  <c r="B44" i="39"/>
  <c r="F44" i="39"/>
  <c r="F42" i="39"/>
  <c r="F41" i="39"/>
  <c r="F43" i="39"/>
  <c r="Q43" i="39"/>
  <c r="Q41" i="39"/>
  <c r="Q42" i="39"/>
  <c r="Q44" i="39"/>
  <c r="M43" i="39"/>
  <c r="M44" i="39"/>
  <c r="M41" i="39"/>
  <c r="M42" i="39"/>
  <c r="L42" i="39"/>
  <c r="L43" i="39"/>
  <c r="L44" i="39"/>
  <c r="L41" i="39"/>
  <c r="O42" i="39"/>
  <c r="O41" i="39"/>
  <c r="O44" i="39"/>
  <c r="O43" i="39"/>
  <c r="I43" i="39"/>
  <c r="I44" i="39"/>
  <c r="I41" i="39"/>
  <c r="I42" i="39"/>
  <c r="H42" i="39"/>
  <c r="H44" i="39"/>
  <c r="H43" i="39"/>
  <c r="H41" i="39"/>
  <c r="G41" i="39"/>
  <c r="G43" i="39"/>
  <c r="G42" i="39"/>
  <c r="G44" i="39"/>
  <c r="P44" i="39"/>
  <c r="P43" i="39"/>
  <c r="P42" i="39"/>
  <c r="P41" i="39"/>
  <c r="I111" i="22"/>
  <c r="D111" i="12"/>
  <c r="D111" i="19"/>
  <c r="Q112" i="30"/>
  <c r="Q112" i="33"/>
  <c r="F111" i="30"/>
  <c r="K111" i="29"/>
  <c r="P111" i="12"/>
  <c r="C111" i="15"/>
  <c r="G111" i="17"/>
  <c r="E111" i="40"/>
  <c r="E112" i="20"/>
  <c r="P111" i="41"/>
  <c r="L111" i="25"/>
  <c r="H111" i="17"/>
  <c r="O111" i="19"/>
  <c r="E111" i="33"/>
  <c r="M112" i="21"/>
  <c r="J44" i="39"/>
  <c r="N112" i="15"/>
  <c r="H112" i="18"/>
  <c r="P112" i="18"/>
  <c r="P112" i="20"/>
  <c r="L111" i="23"/>
  <c r="K112" i="24"/>
  <c r="H112" i="27"/>
  <c r="P112" i="40"/>
  <c r="E112" i="41"/>
  <c r="J111" i="20"/>
  <c r="I112" i="33"/>
  <c r="I111" i="41"/>
  <c r="J41" i="39"/>
  <c r="K47" i="39" l="1"/>
  <c r="D47" i="39"/>
  <c r="D46" i="39"/>
  <c r="L47" i="39"/>
  <c r="L46" i="39"/>
  <c r="H46" i="39"/>
  <c r="H47" i="39"/>
  <c r="I47" i="39"/>
  <c r="I46" i="39"/>
  <c r="B47" i="39"/>
  <c r="B46" i="39"/>
  <c r="N46" i="39"/>
  <c r="N47" i="39"/>
  <c r="F47" i="39"/>
  <c r="F46" i="39"/>
  <c r="J46" i="39"/>
  <c r="J47" i="39"/>
  <c r="P47" i="39"/>
  <c r="P46" i="39"/>
  <c r="O47" i="39"/>
  <c r="O46" i="39"/>
  <c r="C46" i="39"/>
  <c r="C47" i="39"/>
  <c r="M46" i="39"/>
  <c r="M47" i="39"/>
  <c r="G47" i="39"/>
  <c r="G46" i="39"/>
  <c r="Q47" i="39"/>
  <c r="Q46" i="39"/>
  <c r="E46" i="39"/>
  <c r="E47" i="39"/>
</calcChain>
</file>

<file path=xl/sharedStrings.xml><?xml version="1.0" encoding="utf-8"?>
<sst xmlns="http://schemas.openxmlformats.org/spreadsheetml/2006/main" count="6332" uniqueCount="3224">
  <si>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</si>
  <si>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</si>
  <si>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</si>
  <si>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</si>
  <si>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</si>
  <si>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</si>
  <si>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</si>
  <si>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</si>
  <si>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</si>
  <si>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</si>
  <si>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</si>
  <si>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</si>
  <si>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</si>
  <si>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</si>
  <si>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</si>
  <si>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</si>
  <si>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</si>
  <si>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</si>
  <si>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</si>
  <si>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</si>
  <si>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</si>
  <si>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</si>
  <si>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</si>
  <si>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</si>
  <si>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</si>
  <si>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</si>
  <si>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</si>
  <si>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</si>
  <si>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</si>
  <si>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</si>
  <si>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</si>
  <si>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</si>
  <si>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</si>
  <si>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</si>
  <si>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</si>
  <si>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</si>
  <si>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</si>
  <si>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</si>
  <si>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</si>
  <si>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</si>
  <si>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</si>
  <si>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</si>
  <si>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</si>
  <si>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</si>
  <si>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</si>
  <si>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</si>
  <si>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</si>
  <si>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</si>
  <si>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</si>
  <si>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</si>
  <si>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</si>
  <si>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</si>
  <si>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</si>
  <si>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</si>
  <si>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</si>
  <si>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</si>
  <si>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</si>
  <si>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</si>
  <si>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</si>
  <si>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</si>
  <si>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</si>
  <si>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</si>
  <si>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</si>
  <si>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</si>
  <si>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</si>
  <si>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</si>
  <si>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</si>
  <si>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</si>
  <si>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</si>
  <si>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</si>
  <si>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</si>
  <si>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</si>
  <si>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</si>
  <si>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</si>
  <si>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</si>
  <si>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</si>
  <si>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</si>
  <si>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</si>
  <si>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</si>
  <si>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</si>
  <si>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</si>
  <si>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</si>
  <si>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</si>
  <si>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</si>
  <si>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</si>
  <si>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</si>
  <si>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</si>
  <si>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</si>
  <si>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</si>
  <si>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</si>
  <si>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</si>
  <si>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</si>
  <si>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</si>
  <si>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</si>
  <si>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</si>
  <si>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</si>
  <si>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</si>
  <si>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</si>
  <si>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</si>
  <si>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</si>
  <si>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</si>
  <si>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</si>
  <si>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</si>
  <si>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</si>
  <si>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</si>
  <si>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</si>
  <si>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</si>
  <si>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</si>
  <si>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</si>
  <si>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</si>
  <si>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</si>
  <si>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</si>
  <si>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</si>
  <si>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</si>
  <si>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</si>
  <si>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</si>
  <si>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</si>
  <si>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</si>
  <si>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</si>
  <si>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</si>
  <si>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</si>
  <si>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</si>
  <si>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</si>
  <si>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</si>
  <si>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</si>
  <si>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</si>
  <si>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</si>
  <si>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</si>
  <si>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</si>
  <si>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</si>
  <si>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</si>
  <si>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</si>
  <si>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</si>
  <si>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</si>
  <si>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</si>
  <si>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</si>
  <si>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</si>
  <si>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</si>
  <si>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</si>
  <si>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</si>
  <si>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</si>
  <si>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</si>
  <si>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</si>
  <si>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</si>
  <si>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</si>
  <si>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</si>
  <si>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</si>
  <si>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</si>
  <si>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</si>
  <si>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</si>
  <si>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</si>
  <si>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</si>
  <si>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</si>
  <si>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</si>
  <si>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</si>
  <si>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</si>
  <si>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</si>
  <si>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</si>
  <si>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</si>
  <si>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</si>
  <si>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</si>
  <si>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</si>
  <si>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</si>
  <si>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</si>
  <si>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</si>
  <si>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</si>
  <si>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</si>
  <si>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</si>
  <si>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</si>
  <si>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</si>
  <si>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</si>
  <si>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</si>
  <si>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</si>
  <si>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</si>
  <si>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</si>
  <si>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</si>
  <si>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</si>
  <si>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</si>
  <si>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</si>
  <si>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</si>
  <si>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</si>
  <si>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</si>
  <si>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</si>
  <si>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</si>
  <si>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</si>
  <si>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</si>
  <si>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</si>
  <si>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</si>
  <si>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</si>
  <si>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</si>
  <si>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</si>
  <si>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</si>
  <si>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</si>
  <si>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</si>
  <si>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</si>
  <si>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</si>
  <si>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</si>
  <si>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</si>
  <si>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</si>
  <si>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</si>
  <si>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</si>
  <si>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</si>
  <si>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</si>
  <si>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</si>
  <si>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</si>
  <si>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</si>
  <si>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</si>
  <si>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</si>
  <si>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</si>
  <si>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</si>
  <si>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</si>
  <si>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</si>
  <si>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</si>
  <si>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</si>
  <si>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</si>
  <si>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SR</t>
  </si>
  <si>
    <t>RK</t>
  </si>
  <si>
    <t>4mv</t>
  </si>
  <si>
    <t>ON</t>
  </si>
  <si>
    <t>OFF</t>
  </si>
  <si>
    <t>MUX signal Report REPORT OF KUNJEMURA, RAIGARH MONTH OF</t>
  </si>
  <si>
    <t>pm 10</t>
  </si>
  <si>
    <t>rahul</t>
  </si>
  <si>
    <t>RAHUL</t>
  </si>
  <si>
    <t>01/04/2023 - 30/04/2023</t>
  </si>
  <si>
    <t>ppb</t>
  </si>
  <si>
    <t>806 ug/cm2</t>
  </si>
  <si>
    <t>840 ug/cm2</t>
  </si>
  <si>
    <t>POWER OFF REPORT OF SILTARA,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</si>
  <si>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</si>
  <si>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</si>
  <si>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</si>
  <si>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</si>
  <si>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</si>
  <si>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</si>
  <si>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</si>
  <si>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</si>
  <si>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</si>
  <si>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</si>
  <si>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</si>
  <si>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</si>
  <si>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</si>
  <si>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</si>
  <si>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</si>
  <si>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</si>
  <si>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</si>
  <si>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Calibration report Of Bhatagaon, RAIPUR</t>
  </si>
  <si>
    <t>01/12/2025 00:15</t>
  </si>
  <si>
    <t>01/12/2025 00:30</t>
  </si>
  <si>
    <t>01/12/2025 00:45</t>
  </si>
  <si>
    <t>01/12/2025 01:00</t>
  </si>
  <si>
    <t>01/12/2025 01:15</t>
  </si>
  <si>
    <t>01/12/2025 01:30</t>
  </si>
  <si>
    <t>01/12/2025 01:45</t>
  </si>
  <si>
    <t>01/12/2025 02:00</t>
  </si>
  <si>
    <t>01/12/2025 02:15</t>
  </si>
  <si>
    <t>01/12/2025 02:30</t>
  </si>
  <si>
    <t>01/12/2025 02:45</t>
  </si>
  <si>
    <t>01/12/2025 03:00</t>
  </si>
  <si>
    <t>01/12/2025 03:15</t>
  </si>
  <si>
    <t>01/12/2025 03:30</t>
  </si>
  <si>
    <t>01/12/2025 03:45</t>
  </si>
  <si>
    <t>01/12/2025 04:00</t>
  </si>
  <si>
    <t>01/12/2025 04:15</t>
  </si>
  <si>
    <t>01/12/2025 04:30</t>
  </si>
  <si>
    <t>01/12/2025 04:45</t>
  </si>
  <si>
    <t>01/12/2025 05:00</t>
  </si>
  <si>
    <t>01/12/2025 05:15</t>
  </si>
  <si>
    <t>01/12/2025 05:30</t>
  </si>
  <si>
    <t>01/12/2025 05:45</t>
  </si>
  <si>
    <t>01/12/2025 06:00</t>
  </si>
  <si>
    <t>01/12/2025 06:15</t>
  </si>
  <si>
    <t>01/12/2025 06:30</t>
  </si>
  <si>
    <t>01/12/2025 06:45</t>
  </si>
  <si>
    <t>01/12/2025 07:00</t>
  </si>
  <si>
    <t>01/12/2025 07:15</t>
  </si>
  <si>
    <t>01/12/2025 07:30</t>
  </si>
  <si>
    <t>01/12/2025 07:45</t>
  </si>
  <si>
    <t>01/12/2025 08:00</t>
  </si>
  <si>
    <t>01/12/2025 08:15</t>
  </si>
  <si>
    <t>01/12/2025 08:30</t>
  </si>
  <si>
    <t>01/12/2025 08:45</t>
  </si>
  <si>
    <t>01/12/2025 09:00</t>
  </si>
  <si>
    <t>01/12/2025 09:15</t>
  </si>
  <si>
    <t>01/12/2025 09:30</t>
  </si>
  <si>
    <t>01/12/2025 09:45</t>
  </si>
  <si>
    <t>01/12/2025 10:00</t>
  </si>
  <si>
    <t>01/12/2025 10:15</t>
  </si>
  <si>
    <t>01/12/2025 10:30</t>
  </si>
  <si>
    <t>01/12/2025 10:45</t>
  </si>
  <si>
    <t>01/12/2025 11:00</t>
  </si>
  <si>
    <t>01/12/2025 11:15</t>
  </si>
  <si>
    <t>01/12/2025 11:30</t>
  </si>
  <si>
    <t>01/12/2025 11:45</t>
  </si>
  <si>
    <t>01/12/2025 12:00</t>
  </si>
  <si>
    <t>01/12/2025 12:15</t>
  </si>
  <si>
    <t>01/12/2025 12:30</t>
  </si>
  <si>
    <t>01/12/2025 12:45</t>
  </si>
  <si>
    <t>01/12/2025 13:00</t>
  </si>
  <si>
    <t>01/12/2025 13:15</t>
  </si>
  <si>
    <t>01/12/2025 13:30</t>
  </si>
  <si>
    <t>01/12/2025 13:45</t>
  </si>
  <si>
    <t>01/12/2025 14:00</t>
  </si>
  <si>
    <t>01/12/2025 14:15</t>
  </si>
  <si>
    <t>01/12/2025 14:30</t>
  </si>
  <si>
    <t>01/12/2025 14:45</t>
  </si>
  <si>
    <t>01/12/2025 15:00</t>
  </si>
  <si>
    <t>01/12/2025 15:15</t>
  </si>
  <si>
    <t>01/12/2025 15:30</t>
  </si>
  <si>
    <t>01/12/2025 15:45</t>
  </si>
  <si>
    <t>01/12/2025 16:00</t>
  </si>
  <si>
    <t>01/12/2025 16:15</t>
  </si>
  <si>
    <t>01/12/2025 16:30</t>
  </si>
  <si>
    <t>01/12/2025 16:45</t>
  </si>
  <si>
    <t>01/12/2025 17:00</t>
  </si>
  <si>
    <t>01/12/2025 17:15</t>
  </si>
  <si>
    <t>01/12/2025 17:30</t>
  </si>
  <si>
    <t>01/12/2025 17:45</t>
  </si>
  <si>
    <t>01/12/2025 18:00</t>
  </si>
  <si>
    <t>01/12/2025 18:15</t>
  </si>
  <si>
    <t>01/12/2025 18:30</t>
  </si>
  <si>
    <t>01/12/2025 18:45</t>
  </si>
  <si>
    <t>01/12/2025 19:00</t>
  </si>
  <si>
    <t>01/12/2025 19:15</t>
  </si>
  <si>
    <t>01/12/2025 19:30</t>
  </si>
  <si>
    <t>01/12/2025 19:45</t>
  </si>
  <si>
    <t>01/12/2025 20:00</t>
  </si>
  <si>
    <t>01/12/2025 20:15</t>
  </si>
  <si>
    <t>01/12/2025 20:30</t>
  </si>
  <si>
    <t>01/12/2025 20:45</t>
  </si>
  <si>
    <t>01/12/2025 21:00</t>
  </si>
  <si>
    <t>01/12/2025 21:15</t>
  </si>
  <si>
    <t>01/12/2025 21:30</t>
  </si>
  <si>
    <t>01/12/2025 21:45</t>
  </si>
  <si>
    <t>01/12/2025 22:00</t>
  </si>
  <si>
    <t>01/12/2025 22:15</t>
  </si>
  <si>
    <t>01/12/2025 22:30</t>
  </si>
  <si>
    <t>01/12/2025 22:45</t>
  </si>
  <si>
    <t>01/12/2025 23:00</t>
  </si>
  <si>
    <t>01/12/2025 23:15</t>
  </si>
  <si>
    <t>01/12/2025 23:30</t>
  </si>
  <si>
    <t>01/12/2025 23:45</t>
  </si>
  <si>
    <t>01/12/2025 24:00</t>
  </si>
  <si>
    <t>02/12/2025 00:15</t>
  </si>
  <si>
    <t>02/12/2025 00:30</t>
  </si>
  <si>
    <t>02/12/2025 00:45</t>
  </si>
  <si>
    <t>02/12/2025 01:00</t>
  </si>
  <si>
    <t>02/12/2025 01:15</t>
  </si>
  <si>
    <t>02/12/2025 01:30</t>
  </si>
  <si>
    <t>02/12/2025 01:45</t>
  </si>
  <si>
    <t>02/12/2025 02:00</t>
  </si>
  <si>
    <t>02/12/2025 02:15</t>
  </si>
  <si>
    <t>02/12/2025 02:30</t>
  </si>
  <si>
    <t>02/12/2025 02:45</t>
  </si>
  <si>
    <t>02/12/2025 03:00</t>
  </si>
  <si>
    <t>02/12/2025 03:15</t>
  </si>
  <si>
    <t>02/12/2025 03:30</t>
  </si>
  <si>
    <t>02/12/2025 03:45</t>
  </si>
  <si>
    <t>02/12/2025 04:00</t>
  </si>
  <si>
    <t>02/12/2025 04:15</t>
  </si>
  <si>
    <t>02/12/2025 04:30</t>
  </si>
  <si>
    <t>02/12/2025 04:45</t>
  </si>
  <si>
    <t>02/12/2025 05:00</t>
  </si>
  <si>
    <t>02/12/2025 05:15</t>
  </si>
  <si>
    <t>02/12/2025 05:30</t>
  </si>
  <si>
    <t>02/12/2025 05:45</t>
  </si>
  <si>
    <t>02/12/2025 06:00</t>
  </si>
  <si>
    <t>02/12/2025 06:15</t>
  </si>
  <si>
    <t>02/12/2025 06:30</t>
  </si>
  <si>
    <t>02/12/2025 06:45</t>
  </si>
  <si>
    <t>02/12/2025 07:00</t>
  </si>
  <si>
    <t>02/12/2025 07:15</t>
  </si>
  <si>
    <t>02/12/2025 07:30</t>
  </si>
  <si>
    <t>02/12/2025 07:45</t>
  </si>
  <si>
    <t>02/12/2025 08:00</t>
  </si>
  <si>
    <t>02/12/2025 08:15</t>
  </si>
  <si>
    <t>02/12/2025 08:30</t>
  </si>
  <si>
    <t>02/12/2025 08:45</t>
  </si>
  <si>
    <t>02/12/2025 09:00</t>
  </si>
  <si>
    <t>02/12/2025 09:15</t>
  </si>
  <si>
    <t>02/12/2025 09:30</t>
  </si>
  <si>
    <t>02/12/2025 09:45</t>
  </si>
  <si>
    <t>02/12/2025 10:00</t>
  </si>
  <si>
    <t>02/12/2025 10:15</t>
  </si>
  <si>
    <t>02/12/2025 10:30</t>
  </si>
  <si>
    <t>02/12/2025 10:45</t>
  </si>
  <si>
    <t>02/12/2025 11:00</t>
  </si>
  <si>
    <t>02/12/2025 11:15</t>
  </si>
  <si>
    <t>02/12/2025 11:30</t>
  </si>
  <si>
    <t>02/12/2025 11:45</t>
  </si>
  <si>
    <t>02/12/2025 12:00</t>
  </si>
  <si>
    <t>02/12/2025 12:15</t>
  </si>
  <si>
    <t>02/12/2025 12:30</t>
  </si>
  <si>
    <t>02/12/2025 12:45</t>
  </si>
  <si>
    <t>02/12/2025 13:00</t>
  </si>
  <si>
    <t>02/12/2025 13:15</t>
  </si>
  <si>
    <t>02/12/2025 13:30</t>
  </si>
  <si>
    <t>02/12/2025 13:45</t>
  </si>
  <si>
    <t>02/12/2025 14:00</t>
  </si>
  <si>
    <t>02/12/2025 14:15</t>
  </si>
  <si>
    <t>02/12/2025 14:30</t>
  </si>
  <si>
    <t>02/12/2025 14:45</t>
  </si>
  <si>
    <t>02/12/2025 15:00</t>
  </si>
  <si>
    <t>02/12/2025 15:15</t>
  </si>
  <si>
    <t>02/12/2025 15:30</t>
  </si>
  <si>
    <t>02/12/2025 15:45</t>
  </si>
  <si>
    <t>02/12/2025 16:00</t>
  </si>
  <si>
    <t>02/12/2025 16:15</t>
  </si>
  <si>
    <t>02/12/2025 16:30</t>
  </si>
  <si>
    <t>02/12/2025 16:45</t>
  </si>
  <si>
    <t>02/12/2025 17:00</t>
  </si>
  <si>
    <t>02/12/2025 17:15</t>
  </si>
  <si>
    <t>02/12/2025 17:30</t>
  </si>
  <si>
    <t>02/12/2025 17:45</t>
  </si>
  <si>
    <t>02/12/2025 18:00</t>
  </si>
  <si>
    <t>02/12/2025 18:15</t>
  </si>
  <si>
    <t>02/12/2025 18:30</t>
  </si>
  <si>
    <t>02/12/2025 18:45</t>
  </si>
  <si>
    <t>02/12/2025 19:00</t>
  </si>
  <si>
    <t>02/12/2025 19:15</t>
  </si>
  <si>
    <t>02/12/2025 19:30</t>
  </si>
  <si>
    <t>02/12/2025 19:45</t>
  </si>
  <si>
    <t>02/12/2025 20:00</t>
  </si>
  <si>
    <t>02/12/2025 20:15</t>
  </si>
  <si>
    <t>02/12/2025 20:30</t>
  </si>
  <si>
    <t>02/12/2025 20:45</t>
  </si>
  <si>
    <t>02/12/2025 21:00</t>
  </si>
  <si>
    <t>02/12/2025 21:15</t>
  </si>
  <si>
    <t>02/12/2025 21:30</t>
  </si>
  <si>
    <t>02/12/2025 21:45</t>
  </si>
  <si>
    <t>02/12/2025 22:00</t>
  </si>
  <si>
    <t>02/12/2025 22:15</t>
  </si>
  <si>
    <t>02/12/2025 22:30</t>
  </si>
  <si>
    <t>02/12/2025 22:45</t>
  </si>
  <si>
    <t>02/12/2025 23:00</t>
  </si>
  <si>
    <t>02/12/2025 23:15</t>
  </si>
  <si>
    <t>02/12/2025 23:30</t>
  </si>
  <si>
    <t>02/12/2025 23:45</t>
  </si>
  <si>
    <t>02/12/2025 24:00</t>
  </si>
  <si>
    <t>03/12/2025 00:15</t>
  </si>
  <si>
    <t>03/12/2025 00:30</t>
  </si>
  <si>
    <t>03/12/2025 00:45</t>
  </si>
  <si>
    <t>03/12/2025 01:00</t>
  </si>
  <si>
    <t>03/12/2025 01:15</t>
  </si>
  <si>
    <t>03/12/2025 01:30</t>
  </si>
  <si>
    <t>03/12/2025 01:45</t>
  </si>
  <si>
    <t>03/12/2025 02:00</t>
  </si>
  <si>
    <t>03/12/2025 02:15</t>
  </si>
  <si>
    <t>03/12/2025 02:30</t>
  </si>
  <si>
    <t>03/12/2025 02:45</t>
  </si>
  <si>
    <t>03/12/2025 03:00</t>
  </si>
  <si>
    <t>03/12/2025 03:15</t>
  </si>
  <si>
    <t>03/12/2025 03:30</t>
  </si>
  <si>
    <t>03/12/2025 03:45</t>
  </si>
  <si>
    <t>03/12/2025 04:00</t>
  </si>
  <si>
    <t>03/12/2025 04:15</t>
  </si>
  <si>
    <t>03/12/2025 04:30</t>
  </si>
  <si>
    <t>03/12/2025 04:45</t>
  </si>
  <si>
    <t>03/12/2025 05:00</t>
  </si>
  <si>
    <t>03/12/2025 05:15</t>
  </si>
  <si>
    <t>03/12/2025 05:30</t>
  </si>
  <si>
    <t>03/12/2025 05:45</t>
  </si>
  <si>
    <t>03/12/2025 06:00</t>
  </si>
  <si>
    <t>03/12/2025 06:15</t>
  </si>
  <si>
    <t>03/12/2025 06:30</t>
  </si>
  <si>
    <t>03/12/2025 06:45</t>
  </si>
  <si>
    <t>03/12/2025 07:00</t>
  </si>
  <si>
    <t>03/12/2025 07:15</t>
  </si>
  <si>
    <t>03/12/2025 07:30</t>
  </si>
  <si>
    <t>03/12/2025 07:45</t>
  </si>
  <si>
    <t>03/12/2025 08:00</t>
  </si>
  <si>
    <t>03/12/2025 08:15</t>
  </si>
  <si>
    <t>03/12/2025 08:30</t>
  </si>
  <si>
    <t>03/12/2025 08:45</t>
  </si>
  <si>
    <t>03/12/2025 09:00</t>
  </si>
  <si>
    <t>03/12/2025 09:15</t>
  </si>
  <si>
    <t>03/12/2025 09:30</t>
  </si>
  <si>
    <t>03/12/2025 09:45</t>
  </si>
  <si>
    <t>03/12/2025 10:00</t>
  </si>
  <si>
    <t>03/12/2025 10:15</t>
  </si>
  <si>
    <t>03/12/2025 10:30</t>
  </si>
  <si>
    <t>03/12/2025 10:45</t>
  </si>
  <si>
    <t>03/12/2025 11:00</t>
  </si>
  <si>
    <t>03/12/2025 11:15</t>
  </si>
  <si>
    <t>03/12/2025 11:30</t>
  </si>
  <si>
    <t>03/12/2025 11:45</t>
  </si>
  <si>
    <t>03/12/2025 12:00</t>
  </si>
  <si>
    <t>03/12/2025 12:15</t>
  </si>
  <si>
    <t>03/12/2025 12:30</t>
  </si>
  <si>
    <t>03/12/2025 12:45</t>
  </si>
  <si>
    <t>03/12/2025 13:00</t>
  </si>
  <si>
    <t>03/12/2025 13:15</t>
  </si>
  <si>
    <t>03/12/2025 13:30</t>
  </si>
  <si>
    <t>03/12/2025 13:45</t>
  </si>
  <si>
    <t>03/12/2025 14:00</t>
  </si>
  <si>
    <t>03/12/2025 14:15</t>
  </si>
  <si>
    <t>03/12/2025 14:30</t>
  </si>
  <si>
    <t>03/12/2025 14:45</t>
  </si>
  <si>
    <t>03/12/2025 15:00</t>
  </si>
  <si>
    <t>03/12/2025 15:15</t>
  </si>
  <si>
    <t>03/12/2025 15:30</t>
  </si>
  <si>
    <t>03/12/2025 15:45</t>
  </si>
  <si>
    <t>03/12/2025 16:00</t>
  </si>
  <si>
    <t>03/12/2025 16:15</t>
  </si>
  <si>
    <t>03/12/2025 16:30</t>
  </si>
  <si>
    <t>03/12/2025 16:45</t>
  </si>
  <si>
    <t>03/12/2025 17:00</t>
  </si>
  <si>
    <t>03/12/2025 17:15</t>
  </si>
  <si>
    <t>03/12/2025 17:30</t>
  </si>
  <si>
    <t>03/12/2025 17:45</t>
  </si>
  <si>
    <t>03/12/2025 18:00</t>
  </si>
  <si>
    <t>03/12/2025 18:15</t>
  </si>
  <si>
    <t>03/12/2025 18:30</t>
  </si>
  <si>
    <t>03/12/2025 18:45</t>
  </si>
  <si>
    <t>03/12/2025 19:00</t>
  </si>
  <si>
    <t>03/12/2025 19:15</t>
  </si>
  <si>
    <t>03/12/2025 19:30</t>
  </si>
  <si>
    <t>03/12/2025 19:45</t>
  </si>
  <si>
    <t>03/12/2025 20:00</t>
  </si>
  <si>
    <t>03/12/2025 20:15</t>
  </si>
  <si>
    <t>03/12/2025 20:30</t>
  </si>
  <si>
    <t>03/12/2025 20:45</t>
  </si>
  <si>
    <t>03/12/2025 21:00</t>
  </si>
  <si>
    <t>03/12/2025 21:15</t>
  </si>
  <si>
    <t>03/12/2025 21:30</t>
  </si>
  <si>
    <t>03/12/2025 21:45</t>
  </si>
  <si>
    <t>03/12/2025 22:00</t>
  </si>
  <si>
    <t>03/12/2025 22:15</t>
  </si>
  <si>
    <t>03/12/2025 22:30</t>
  </si>
  <si>
    <t>03/12/2025 22:45</t>
  </si>
  <si>
    <t>03/12/2025 23:00</t>
  </si>
  <si>
    <t>03/12/2025 23:15</t>
  </si>
  <si>
    <t>03/12/2025 23:30</t>
  </si>
  <si>
    <t>03/12/2025 23:45</t>
  </si>
  <si>
    <t>03/12/2025 24:00</t>
  </si>
  <si>
    <t>04/12/2025 00:15</t>
  </si>
  <si>
    <t>04/12/2025 00:30</t>
  </si>
  <si>
    <t>04/12/2025 00:45</t>
  </si>
  <si>
    <t>04/12/2025 01:00</t>
  </si>
  <si>
    <t>04/12/2025 01:15</t>
  </si>
  <si>
    <t>04/12/2025 01:30</t>
  </si>
  <si>
    <t>04/12/2025 01:45</t>
  </si>
  <si>
    <t>04/12/2025 02:00</t>
  </si>
  <si>
    <t>04/12/2025 02:15</t>
  </si>
  <si>
    <t>04/12/2025 02:30</t>
  </si>
  <si>
    <t>04/12/2025 02:45</t>
  </si>
  <si>
    <t>04/12/2025 03:00</t>
  </si>
  <si>
    <t>04/12/2025 03:15</t>
  </si>
  <si>
    <t>04/12/2025 03:30</t>
  </si>
  <si>
    <t>04/12/2025 03:45</t>
  </si>
  <si>
    <t>04/12/2025 04:00</t>
  </si>
  <si>
    <t>04/12/2025 04:15</t>
  </si>
  <si>
    <t>04/12/2025 04:30</t>
  </si>
  <si>
    <t>04/12/2025 04:45</t>
  </si>
  <si>
    <t>04/12/2025 05:00</t>
  </si>
  <si>
    <t>04/12/2025 05:15</t>
  </si>
  <si>
    <t>04/12/2025 05:30</t>
  </si>
  <si>
    <t>04/12/2025 05:45</t>
  </si>
  <si>
    <t>04/12/2025 06:00</t>
  </si>
  <si>
    <t>04/12/2025 06:15</t>
  </si>
  <si>
    <t>04/12/2025 06:30</t>
  </si>
  <si>
    <t>04/12/2025 06:45</t>
  </si>
  <si>
    <t>04/12/2025 07:00</t>
  </si>
  <si>
    <t>04/12/2025 07:15</t>
  </si>
  <si>
    <t>04/12/2025 07:30</t>
  </si>
  <si>
    <t>04/12/2025 07:45</t>
  </si>
  <si>
    <t>04/12/2025 08:00</t>
  </si>
  <si>
    <t>04/12/2025 08:15</t>
  </si>
  <si>
    <t>04/12/2025 08:30</t>
  </si>
  <si>
    <t>04/12/2025 08:45</t>
  </si>
  <si>
    <t>04/12/2025 09:00</t>
  </si>
  <si>
    <t>04/12/2025 09:15</t>
  </si>
  <si>
    <t>04/12/2025 09:30</t>
  </si>
  <si>
    <t>04/12/2025 09:45</t>
  </si>
  <si>
    <t>04/12/2025 10:00</t>
  </si>
  <si>
    <t>04/12/2025 10:15</t>
  </si>
  <si>
    <t>04/12/2025 10:30</t>
  </si>
  <si>
    <t>04/12/2025 10:45</t>
  </si>
  <si>
    <t>04/12/2025 11:00</t>
  </si>
  <si>
    <t>04/12/2025 11:15</t>
  </si>
  <si>
    <t>04/12/2025 11:30</t>
  </si>
  <si>
    <t>04/12/2025 11:45</t>
  </si>
  <si>
    <t>04/12/2025 12:00</t>
  </si>
  <si>
    <t>04/12/2025 12:15</t>
  </si>
  <si>
    <t>04/12/2025 12:30</t>
  </si>
  <si>
    <t>04/12/2025 12:45</t>
  </si>
  <si>
    <t>04/12/2025 13:00</t>
  </si>
  <si>
    <t>04/12/2025 13:15</t>
  </si>
  <si>
    <t>04/12/2025 13:30</t>
  </si>
  <si>
    <t>04/12/2025 13:45</t>
  </si>
  <si>
    <t>04/12/2025 14:00</t>
  </si>
  <si>
    <t>04/12/2025 14:15</t>
  </si>
  <si>
    <t>04/12/2025 14:30</t>
  </si>
  <si>
    <t>04/12/2025 14:45</t>
  </si>
  <si>
    <t>04/12/2025 15:00</t>
  </si>
  <si>
    <t>04/12/2025 15:15</t>
  </si>
  <si>
    <t>04/12/2025 15:30</t>
  </si>
  <si>
    <t>04/12/2025 15:45</t>
  </si>
  <si>
    <t>04/12/2025 16:00</t>
  </si>
  <si>
    <t>04/12/2025 16:15</t>
  </si>
  <si>
    <t>04/12/2025 16:30</t>
  </si>
  <si>
    <t>04/12/2025 16:45</t>
  </si>
  <si>
    <t>04/12/2025 17:00</t>
  </si>
  <si>
    <t>04/12/2025 17:15</t>
  </si>
  <si>
    <t>04/12/2025 17:30</t>
  </si>
  <si>
    <t>04/12/2025 17:45</t>
  </si>
  <si>
    <t>04/12/2025 18:00</t>
  </si>
  <si>
    <t>04/12/2025 18:15</t>
  </si>
  <si>
    <t>04/12/2025 18:30</t>
  </si>
  <si>
    <t>04/12/2025 18:45</t>
  </si>
  <si>
    <t>04/12/2025 19:00</t>
  </si>
  <si>
    <t>04/12/2025 19:15</t>
  </si>
  <si>
    <t>04/12/2025 19:30</t>
  </si>
  <si>
    <t>04/12/2025 19:45</t>
  </si>
  <si>
    <t>04/12/2025 20:00</t>
  </si>
  <si>
    <t>04/12/2025 20:15</t>
  </si>
  <si>
    <t>04/12/2025 20:30</t>
  </si>
  <si>
    <t>04/12/2025 20:45</t>
  </si>
  <si>
    <t>04/12/2025 21:00</t>
  </si>
  <si>
    <t>04/12/2025 21:15</t>
  </si>
  <si>
    <t>04/12/2025 21:30</t>
  </si>
  <si>
    <t>04/12/2025 21:45</t>
  </si>
  <si>
    <t>04/12/2025 22:00</t>
  </si>
  <si>
    <t>04/12/2025 22:15</t>
  </si>
  <si>
    <t>04/12/2025 22:30</t>
  </si>
  <si>
    <t>04/12/2025 22:45</t>
  </si>
  <si>
    <t>04/12/2025 23:00</t>
  </si>
  <si>
    <t>04/12/2025 23:15</t>
  </si>
  <si>
    <t>04/12/2025 23:30</t>
  </si>
  <si>
    <t>04/12/2025 23:45</t>
  </si>
  <si>
    <t>04/12/2025 24:00</t>
  </si>
  <si>
    <t>05/12/2025 00:15</t>
  </si>
  <si>
    <t>05/12/2025 00:30</t>
  </si>
  <si>
    <t>05/12/2025 00:45</t>
  </si>
  <si>
    <t>05/12/2025 01:00</t>
  </si>
  <si>
    <t>05/12/2025 01:15</t>
  </si>
  <si>
    <t>05/12/2025 01:30</t>
  </si>
  <si>
    <t>05/12/2025 01:45</t>
  </si>
  <si>
    <t>05/12/2025 02:00</t>
  </si>
  <si>
    <t>05/12/2025 02:15</t>
  </si>
  <si>
    <t>05/12/2025 02:30</t>
  </si>
  <si>
    <t>05/12/2025 02:45</t>
  </si>
  <si>
    <t>05/12/2025 03:00</t>
  </si>
  <si>
    <t>05/12/2025 03:15</t>
  </si>
  <si>
    <t>05/12/2025 03:30</t>
  </si>
  <si>
    <t>05/12/2025 03:45</t>
  </si>
  <si>
    <t>05/12/2025 04:00</t>
  </si>
  <si>
    <t>05/12/2025 04:15</t>
  </si>
  <si>
    <t>05/12/2025 04:30</t>
  </si>
  <si>
    <t>05/12/2025 04:45</t>
  </si>
  <si>
    <t>05/12/2025 05:00</t>
  </si>
  <si>
    <t>05/12/2025 05:15</t>
  </si>
  <si>
    <t>05/12/2025 05:30</t>
  </si>
  <si>
    <t>05/12/2025 05:45</t>
  </si>
  <si>
    <t>05/12/2025 06:00</t>
  </si>
  <si>
    <t>05/12/2025 06:15</t>
  </si>
  <si>
    <t>05/12/2025 06:30</t>
  </si>
  <si>
    <t>05/12/2025 06:45</t>
  </si>
  <si>
    <t>05/12/2025 07:00</t>
  </si>
  <si>
    <t>05/12/2025 07:15</t>
  </si>
  <si>
    <t>05/12/2025 07:30</t>
  </si>
  <si>
    <t>05/12/2025 07:45</t>
  </si>
  <si>
    <t>05/12/2025 08:00</t>
  </si>
  <si>
    <t>05/12/2025 08:15</t>
  </si>
  <si>
    <t>05/12/2025 08:30</t>
  </si>
  <si>
    <t>05/12/2025 08:45</t>
  </si>
  <si>
    <t>05/12/2025 09:00</t>
  </si>
  <si>
    <t>05/12/2025 09:15</t>
  </si>
  <si>
    <t>05/12/2025 09:30</t>
  </si>
  <si>
    <t>05/12/2025 09:45</t>
  </si>
  <si>
    <t>05/12/2025 10:00</t>
  </si>
  <si>
    <t>05/12/2025 10:15</t>
  </si>
  <si>
    <t>05/12/2025 10:30</t>
  </si>
  <si>
    <t>05/12/2025 10:45</t>
  </si>
  <si>
    <t>05/12/2025 11:00</t>
  </si>
  <si>
    <t>05/12/2025 11:15</t>
  </si>
  <si>
    <t>05/12/2025 11:30</t>
  </si>
  <si>
    <t>05/12/2025 11:45</t>
  </si>
  <si>
    <t>05/12/2025 12:00</t>
  </si>
  <si>
    <t>05/12/2025 12:15</t>
  </si>
  <si>
    <t>05/12/2025 12:30</t>
  </si>
  <si>
    <t>05/12/2025 12:45</t>
  </si>
  <si>
    <t>05/12/2025 13:00</t>
  </si>
  <si>
    <t>05/12/2025 13:15</t>
  </si>
  <si>
    <t>05/12/2025 13:30</t>
  </si>
  <si>
    <t>05/12/2025 13:45</t>
  </si>
  <si>
    <t>05/12/2025 14:00</t>
  </si>
  <si>
    <t>05/12/2025 14:15</t>
  </si>
  <si>
    <t>05/12/2025 14:30</t>
  </si>
  <si>
    <t>05/12/2025 14:45</t>
  </si>
  <si>
    <t>05/12/2025 15:00</t>
  </si>
  <si>
    <t>05/12/2025 15:15</t>
  </si>
  <si>
    <t>05/12/2025 15:30</t>
  </si>
  <si>
    <t>05/12/2025 15:45</t>
  </si>
  <si>
    <t>05/12/2025 16:00</t>
  </si>
  <si>
    <t>05/12/2025 16:15</t>
  </si>
  <si>
    <t>05/12/2025 16:30</t>
  </si>
  <si>
    <t>05/12/2025 16:45</t>
  </si>
  <si>
    <t>05/12/2025 17:00</t>
  </si>
  <si>
    <t>05/12/2025 17:15</t>
  </si>
  <si>
    <t>05/12/2025 17:30</t>
  </si>
  <si>
    <t>05/12/2025 17:45</t>
  </si>
  <si>
    <t>05/12/2025 18:00</t>
  </si>
  <si>
    <t>05/12/2025 18:15</t>
  </si>
  <si>
    <t>05/12/2025 18:30</t>
  </si>
  <si>
    <t>05/12/2025 18:45</t>
  </si>
  <si>
    <t>05/12/2025 19:00</t>
  </si>
  <si>
    <t>05/12/2025 19:15</t>
  </si>
  <si>
    <t>05/12/2025 19:30</t>
  </si>
  <si>
    <t>05/12/2025 19:45</t>
  </si>
  <si>
    <t>05/12/2025 20:00</t>
  </si>
  <si>
    <t>05/12/2025 20:15</t>
  </si>
  <si>
    <t>05/12/2025 20:30</t>
  </si>
  <si>
    <t>05/12/2025 20:45</t>
  </si>
  <si>
    <t>05/12/2025 21:00</t>
  </si>
  <si>
    <t>05/12/2025 21:15</t>
  </si>
  <si>
    <t>05/12/2025 21:30</t>
  </si>
  <si>
    <t>05/12/2025 21:45</t>
  </si>
  <si>
    <t>05/12/2025 22:00</t>
  </si>
  <si>
    <t>05/12/2025 22:15</t>
  </si>
  <si>
    <t>05/12/2025 22:30</t>
  </si>
  <si>
    <t>05/12/2025 22:45</t>
  </si>
  <si>
    <t>05/12/2025 23:00</t>
  </si>
  <si>
    <t>05/12/2025 23:15</t>
  </si>
  <si>
    <t>05/12/2025 23:30</t>
  </si>
  <si>
    <t>05/12/2025 23:45</t>
  </si>
  <si>
    <t>05/12/2025 24:00</t>
  </si>
  <si>
    <t>06/12/2025 00:15</t>
  </si>
  <si>
    <t>06/12/2025 00:30</t>
  </si>
  <si>
    <t>06/12/2025 00:45</t>
  </si>
  <si>
    <t>06/12/2025 01:00</t>
  </si>
  <si>
    <t>06/12/2025 01:15</t>
  </si>
  <si>
    <t>06/12/2025 01:30</t>
  </si>
  <si>
    <t>06/12/2025 01:45</t>
  </si>
  <si>
    <t>06/12/2025 02:00</t>
  </si>
  <si>
    <t>06/12/2025 02:15</t>
  </si>
  <si>
    <t>06/12/2025 02:30</t>
  </si>
  <si>
    <t>06/12/2025 02:45</t>
  </si>
  <si>
    <t>06/12/2025 03:00</t>
  </si>
  <si>
    <t>06/12/2025 03:15</t>
  </si>
  <si>
    <t>06/12/2025 03:30</t>
  </si>
  <si>
    <t>06/12/2025 03:45</t>
  </si>
  <si>
    <t>06/12/2025 04:00</t>
  </si>
  <si>
    <t>06/12/2025 04:15</t>
  </si>
  <si>
    <t>06/12/2025 04:30</t>
  </si>
  <si>
    <t>06/12/2025 04:45</t>
  </si>
  <si>
    <t>06/12/2025 05:00</t>
  </si>
  <si>
    <t>06/12/2025 05:15</t>
  </si>
  <si>
    <t>06/12/2025 05:30</t>
  </si>
  <si>
    <t>06/12/2025 05:45</t>
  </si>
  <si>
    <t>06/12/2025 06:00</t>
  </si>
  <si>
    <t>06/12/2025 06:15</t>
  </si>
  <si>
    <t>06/12/2025 06:30</t>
  </si>
  <si>
    <t>06/12/2025 06:45</t>
  </si>
  <si>
    <t>06/12/2025 07:00</t>
  </si>
  <si>
    <t>06/12/2025 07:15</t>
  </si>
  <si>
    <t>06/12/2025 07:30</t>
  </si>
  <si>
    <t>06/12/2025 07:45</t>
  </si>
  <si>
    <t>06/12/2025 08:00</t>
  </si>
  <si>
    <t>06/12/2025 08:15</t>
  </si>
  <si>
    <t>06/12/2025 08:30</t>
  </si>
  <si>
    <t>06/12/2025 08:45</t>
  </si>
  <si>
    <t>06/12/2025 09:00</t>
  </si>
  <si>
    <t>06/12/2025 09:15</t>
  </si>
  <si>
    <t>06/12/2025 09:30</t>
  </si>
  <si>
    <t>06/12/2025 09:45</t>
  </si>
  <si>
    <t>06/12/2025 10:00</t>
  </si>
  <si>
    <t>06/12/2025 10:15</t>
  </si>
  <si>
    <t>06/12/2025 10:30</t>
  </si>
  <si>
    <t>06/12/2025 10:45</t>
  </si>
  <si>
    <t>06/12/2025 11:00</t>
  </si>
  <si>
    <t>06/12/2025 11:15</t>
  </si>
  <si>
    <t>06/12/2025 11:30</t>
  </si>
  <si>
    <t>06/12/2025 11:45</t>
  </si>
  <si>
    <t>06/12/2025 12:00</t>
  </si>
  <si>
    <t>06/12/2025 12:15</t>
  </si>
  <si>
    <t>06/12/2025 12:30</t>
  </si>
  <si>
    <t>06/12/2025 12:45</t>
  </si>
  <si>
    <t>06/12/2025 13:00</t>
  </si>
  <si>
    <t>06/12/2025 13:15</t>
  </si>
  <si>
    <t>06/12/2025 13:30</t>
  </si>
  <si>
    <t>06/12/2025 13:45</t>
  </si>
  <si>
    <t>06/12/2025 14:00</t>
  </si>
  <si>
    <t>06/12/2025 14:15</t>
  </si>
  <si>
    <t>06/12/2025 14:30</t>
  </si>
  <si>
    <t>06/12/2025 14:45</t>
  </si>
  <si>
    <t>06/12/2025 15:00</t>
  </si>
  <si>
    <t>06/12/2025 15:15</t>
  </si>
  <si>
    <t>06/12/2025 15:30</t>
  </si>
  <si>
    <t>06/12/2025 15:45</t>
  </si>
  <si>
    <t>06/12/2025 16:00</t>
  </si>
  <si>
    <t>06/12/2025 16:15</t>
  </si>
  <si>
    <t>06/12/2025 16:30</t>
  </si>
  <si>
    <t>06/12/2025 16:45</t>
  </si>
  <si>
    <t>06/12/2025 17:00</t>
  </si>
  <si>
    <t>06/12/2025 17:15</t>
  </si>
  <si>
    <t>06/12/2025 17:30</t>
  </si>
  <si>
    <t>06/12/2025 17:45</t>
  </si>
  <si>
    <t>06/12/2025 18:00</t>
  </si>
  <si>
    <t>06/12/2025 18:15</t>
  </si>
  <si>
    <t>06/12/2025 18:30</t>
  </si>
  <si>
    <t>06/12/2025 18:45</t>
  </si>
  <si>
    <t>06/12/2025 19:00</t>
  </si>
  <si>
    <t>06/12/2025 19:15</t>
  </si>
  <si>
    <t>06/12/2025 19:30</t>
  </si>
  <si>
    <t>06/12/2025 19:45</t>
  </si>
  <si>
    <t>06/12/2025 20:00</t>
  </si>
  <si>
    <t>06/12/2025 20:15</t>
  </si>
  <si>
    <t>06/12/2025 20:30</t>
  </si>
  <si>
    <t>06/12/2025 20:45</t>
  </si>
  <si>
    <t>06/12/2025 21:00</t>
  </si>
  <si>
    <t>06/12/2025 21:15</t>
  </si>
  <si>
    <t>06/12/2025 21:30</t>
  </si>
  <si>
    <t>06/12/2025 21:45</t>
  </si>
  <si>
    <t>06/12/2025 22:00</t>
  </si>
  <si>
    <t>06/12/2025 22:15</t>
  </si>
  <si>
    <t>06/12/2025 22:30</t>
  </si>
  <si>
    <t>06/12/2025 22:45</t>
  </si>
  <si>
    <t>06/12/2025 23:00</t>
  </si>
  <si>
    <t>06/12/2025 23:15</t>
  </si>
  <si>
    <t>06/12/2025 23:30</t>
  </si>
  <si>
    <t>06/12/2025 23:45</t>
  </si>
  <si>
    <t>06/12/2025 24:00</t>
  </si>
  <si>
    <t>07/12/2025 00:15</t>
  </si>
  <si>
    <t>07/12/2025 00:30</t>
  </si>
  <si>
    <t>07/12/2025 00:45</t>
  </si>
  <si>
    <t>07/12/2025 01:00</t>
  </si>
  <si>
    <t>07/12/2025 01:15</t>
  </si>
  <si>
    <t>07/12/2025 01:30</t>
  </si>
  <si>
    <t>07/12/2025 01:45</t>
  </si>
  <si>
    <t>07/12/2025 02:00</t>
  </si>
  <si>
    <t>07/12/2025 02:15</t>
  </si>
  <si>
    <t>07/12/2025 02:30</t>
  </si>
  <si>
    <t>07/12/2025 02:45</t>
  </si>
  <si>
    <t>07/12/2025 03:00</t>
  </si>
  <si>
    <t>07/12/2025 03:15</t>
  </si>
  <si>
    <t>07/12/2025 03:30</t>
  </si>
  <si>
    <t>07/12/2025 03:45</t>
  </si>
  <si>
    <t>07/12/2025 04:00</t>
  </si>
  <si>
    <t>07/12/2025 04:15</t>
  </si>
  <si>
    <t>07/12/2025 04:30</t>
  </si>
  <si>
    <t>07/12/2025 04:45</t>
  </si>
  <si>
    <t>07/12/2025 05:00</t>
  </si>
  <si>
    <t>07/12/2025 05:15</t>
  </si>
  <si>
    <t>07/12/2025 05:30</t>
  </si>
  <si>
    <t>07/12/2025 05:45</t>
  </si>
  <si>
    <t>07/12/2025 06:00</t>
  </si>
  <si>
    <t>07/12/2025 06:15</t>
  </si>
  <si>
    <t>07/12/2025 06:30</t>
  </si>
  <si>
    <t>07/12/2025 06:45</t>
  </si>
  <si>
    <t>07/12/2025 07:00</t>
  </si>
  <si>
    <t>07/12/2025 07:15</t>
  </si>
  <si>
    <t>07/12/2025 07:30</t>
  </si>
  <si>
    <t>07/12/2025 07:45</t>
  </si>
  <si>
    <t>07/12/2025 08:00</t>
  </si>
  <si>
    <t>07/12/2025 08:15</t>
  </si>
  <si>
    <t>07/12/2025 08:30</t>
  </si>
  <si>
    <t>07/12/2025 08:45</t>
  </si>
  <si>
    <t>07/12/2025 09:00</t>
  </si>
  <si>
    <t>07/12/2025 09:15</t>
  </si>
  <si>
    <t>07/12/2025 09:30</t>
  </si>
  <si>
    <t>07/12/2025 09:45</t>
  </si>
  <si>
    <t>07/12/2025 10:00</t>
  </si>
  <si>
    <t>07/12/2025 10:15</t>
  </si>
  <si>
    <t>07/12/2025 10:30</t>
  </si>
  <si>
    <t>07/12/2025 10:45</t>
  </si>
  <si>
    <t>07/12/2025 11:00</t>
  </si>
  <si>
    <t>07/12/2025 11:15</t>
  </si>
  <si>
    <t>07/12/2025 11:30</t>
  </si>
  <si>
    <t>07/12/2025 11:45</t>
  </si>
  <si>
    <t>07/12/2025 12:00</t>
  </si>
  <si>
    <t>07/12/2025 12:15</t>
  </si>
  <si>
    <t>07/12/2025 12:30</t>
  </si>
  <si>
    <t>07/12/2025 12:45</t>
  </si>
  <si>
    <t>07/12/2025 13:00</t>
  </si>
  <si>
    <t>07/12/2025 13:15</t>
  </si>
  <si>
    <t>07/12/2025 13:30</t>
  </si>
  <si>
    <t>07/12/2025 13:45</t>
  </si>
  <si>
    <t>07/12/2025 14:00</t>
  </si>
  <si>
    <t>07/12/2025 14:15</t>
  </si>
  <si>
    <t>07/12/2025 14:30</t>
  </si>
  <si>
    <t>07/12/2025 14:45</t>
  </si>
  <si>
    <t>07/12/2025 15:00</t>
  </si>
  <si>
    <t>07/12/2025 15:15</t>
  </si>
  <si>
    <t>07/12/2025 15:30</t>
  </si>
  <si>
    <t>07/12/2025 15:45</t>
  </si>
  <si>
    <t>07/12/2025 16:00</t>
  </si>
  <si>
    <t>07/12/2025 16:15</t>
  </si>
  <si>
    <t>07/12/2025 16:30</t>
  </si>
  <si>
    <t>07/12/2025 16:45</t>
  </si>
  <si>
    <t>07/12/2025 17:00</t>
  </si>
  <si>
    <t>07/12/2025 17:15</t>
  </si>
  <si>
    <t>07/12/2025 17:30</t>
  </si>
  <si>
    <t>07/12/2025 17:45</t>
  </si>
  <si>
    <t>07/12/2025 18:00</t>
  </si>
  <si>
    <t>07/12/2025 18:15</t>
  </si>
  <si>
    <t>07/12/2025 18:30</t>
  </si>
  <si>
    <t>07/12/2025 18:45</t>
  </si>
  <si>
    <t>07/12/2025 19:00</t>
  </si>
  <si>
    <t>07/12/2025 19:15</t>
  </si>
  <si>
    <t>07/12/2025 19:30</t>
  </si>
  <si>
    <t>07/12/2025 19:45</t>
  </si>
  <si>
    <t>07/12/2025 20:00</t>
  </si>
  <si>
    <t>07/12/2025 20:15</t>
  </si>
  <si>
    <t>07/12/2025 20:30</t>
  </si>
  <si>
    <t>07/12/2025 20:45</t>
  </si>
  <si>
    <t>07/12/2025 21:00</t>
  </si>
  <si>
    <t>07/12/2025 21:15</t>
  </si>
  <si>
    <t>07/12/2025 21:30</t>
  </si>
  <si>
    <t>07/12/2025 21:45</t>
  </si>
  <si>
    <t>07/12/2025 22:00</t>
  </si>
  <si>
    <t>07/12/2025 22:15</t>
  </si>
  <si>
    <t>07/12/2025 22:30</t>
  </si>
  <si>
    <t>07/12/2025 22:45</t>
  </si>
  <si>
    <t>07/12/2025 23:00</t>
  </si>
  <si>
    <t>07/12/2025 23:15</t>
  </si>
  <si>
    <t>07/12/2025 23:30</t>
  </si>
  <si>
    <t>07/12/2025 23:45</t>
  </si>
  <si>
    <t>07/12/2025 24:00</t>
  </si>
  <si>
    <t>08/12/2025 00:15</t>
  </si>
  <si>
    <t>08/12/2025 00:30</t>
  </si>
  <si>
    <t>08/12/2025 00:45</t>
  </si>
  <si>
    <t>08/12/2025 01:00</t>
  </si>
  <si>
    <t>08/12/2025 01:15</t>
  </si>
  <si>
    <t>08/12/2025 01:30</t>
  </si>
  <si>
    <t>08/12/2025 01:45</t>
  </si>
  <si>
    <t>08/12/2025 02:00</t>
  </si>
  <si>
    <t>08/12/2025 02:15</t>
  </si>
  <si>
    <t>08/12/2025 02:30</t>
  </si>
  <si>
    <t>08/12/2025 02:45</t>
  </si>
  <si>
    <t>08/12/2025 03:00</t>
  </si>
  <si>
    <t>08/12/2025 03:15</t>
  </si>
  <si>
    <t>08/12/2025 03:30</t>
  </si>
  <si>
    <t>08/12/2025 03:45</t>
  </si>
  <si>
    <t>08/12/2025 04:00</t>
  </si>
  <si>
    <t>08/12/2025 04:15</t>
  </si>
  <si>
    <t>08/12/2025 04:30</t>
  </si>
  <si>
    <t>08/12/2025 04:45</t>
  </si>
  <si>
    <t>08/12/2025 05:00</t>
  </si>
  <si>
    <t>08/12/2025 05:15</t>
  </si>
  <si>
    <t>08/12/2025 05:30</t>
  </si>
  <si>
    <t>08/12/2025 05:45</t>
  </si>
  <si>
    <t>08/12/2025 06:00</t>
  </si>
  <si>
    <t>08/12/2025 06:15</t>
  </si>
  <si>
    <t>08/12/2025 06:30</t>
  </si>
  <si>
    <t>08/12/2025 06:45</t>
  </si>
  <si>
    <t>08/12/2025 07:00</t>
  </si>
  <si>
    <t>08/12/2025 07:15</t>
  </si>
  <si>
    <t>08/12/2025 07:30</t>
  </si>
  <si>
    <t>08/12/2025 07:45</t>
  </si>
  <si>
    <t>08/12/2025 08:00</t>
  </si>
  <si>
    <t>08/12/2025 08:15</t>
  </si>
  <si>
    <t>08/12/2025 08:30</t>
  </si>
  <si>
    <t>08/12/2025 08:45</t>
  </si>
  <si>
    <t>08/12/2025 09:00</t>
  </si>
  <si>
    <t>08/12/2025 09:15</t>
  </si>
  <si>
    <t>08/12/2025 09:30</t>
  </si>
  <si>
    <t>08/12/2025 09:45</t>
  </si>
  <si>
    <t>08/12/2025 10:00</t>
  </si>
  <si>
    <t>08/12/2025 10:15</t>
  </si>
  <si>
    <t>08/12/2025 10:30</t>
  </si>
  <si>
    <t>08/12/2025 10:45</t>
  </si>
  <si>
    <t>08/12/2025 11:00</t>
  </si>
  <si>
    <t>08/12/2025 11:15</t>
  </si>
  <si>
    <t>08/12/2025 11:30</t>
  </si>
  <si>
    <t>08/12/2025 11:45</t>
  </si>
  <si>
    <t>08/12/2025 12:00</t>
  </si>
  <si>
    <t>08/12/2025 12:15</t>
  </si>
  <si>
    <t>08/12/2025 12:30</t>
  </si>
  <si>
    <t>08/12/2025 12:45</t>
  </si>
  <si>
    <t>08/12/2025 13:00</t>
  </si>
  <si>
    <t>08/12/2025 13:15</t>
  </si>
  <si>
    <t>08/12/2025 13:30</t>
  </si>
  <si>
    <t>08/12/2025 13:45</t>
  </si>
  <si>
    <t>08/12/2025 14:00</t>
  </si>
  <si>
    <t>08/12/2025 14:15</t>
  </si>
  <si>
    <t>08/12/2025 14:30</t>
  </si>
  <si>
    <t>08/12/2025 14:45</t>
  </si>
  <si>
    <t>08/12/2025 15:00</t>
  </si>
  <si>
    <t>08/12/2025 15:15</t>
  </si>
  <si>
    <t>08/12/2025 15:30</t>
  </si>
  <si>
    <t>08/12/2025 15:45</t>
  </si>
  <si>
    <t>08/12/2025 16:00</t>
  </si>
  <si>
    <t>08/12/2025 16:15</t>
  </si>
  <si>
    <t>08/12/2025 16:30</t>
  </si>
  <si>
    <t>08/12/2025 16:45</t>
  </si>
  <si>
    <t>08/12/2025 17:00</t>
  </si>
  <si>
    <t>08/12/2025 17:15</t>
  </si>
  <si>
    <t>08/12/2025 17:30</t>
  </si>
  <si>
    <t>08/12/2025 17:45</t>
  </si>
  <si>
    <t>08/12/2025 18:00</t>
  </si>
  <si>
    <t>08/12/2025 18:15</t>
  </si>
  <si>
    <t>08/12/2025 18:30</t>
  </si>
  <si>
    <t>08/12/2025 18:45</t>
  </si>
  <si>
    <t>08/12/2025 19:00</t>
  </si>
  <si>
    <t>08/12/2025 19:15</t>
  </si>
  <si>
    <t>08/12/2025 19:30</t>
  </si>
  <si>
    <t>08/12/2025 19:45</t>
  </si>
  <si>
    <t>08/12/2025 20:00</t>
  </si>
  <si>
    <t>08/12/2025 20:15</t>
  </si>
  <si>
    <t>08/12/2025 20:30</t>
  </si>
  <si>
    <t>08/12/2025 20:45</t>
  </si>
  <si>
    <t>08/12/2025 21:00</t>
  </si>
  <si>
    <t>08/12/2025 21:15</t>
  </si>
  <si>
    <t>08/12/2025 21:30</t>
  </si>
  <si>
    <t>08/12/2025 21:45</t>
  </si>
  <si>
    <t>08/12/2025 22:00</t>
  </si>
  <si>
    <t>08/12/2025 22:15</t>
  </si>
  <si>
    <t>08/12/2025 22:30</t>
  </si>
  <si>
    <t>08/12/2025 22:45</t>
  </si>
  <si>
    <t>08/12/2025 23:00</t>
  </si>
  <si>
    <t>08/12/2025 23:15</t>
  </si>
  <si>
    <t>08/12/2025 23:30</t>
  </si>
  <si>
    <t>08/12/2025 23:45</t>
  </si>
  <si>
    <t>08/12/2025 24:00</t>
  </si>
  <si>
    <t>09/12/2025 00:15</t>
  </si>
  <si>
    <t>09/12/2025 00:30</t>
  </si>
  <si>
    <t>09/12/2025 00:45</t>
  </si>
  <si>
    <t>09/12/2025 01:00</t>
  </si>
  <si>
    <t>09/12/2025 01:15</t>
  </si>
  <si>
    <t>09/12/2025 01:30</t>
  </si>
  <si>
    <t>09/12/2025 01:45</t>
  </si>
  <si>
    <t>09/12/2025 02:00</t>
  </si>
  <si>
    <t>09/12/2025 02:15</t>
  </si>
  <si>
    <t>09/12/2025 02:30</t>
  </si>
  <si>
    <t>09/12/2025 02:45</t>
  </si>
  <si>
    <t>09/12/2025 03:00</t>
  </si>
  <si>
    <t>09/12/2025 03:15</t>
  </si>
  <si>
    <t>09/12/2025 03:30</t>
  </si>
  <si>
    <t>09/12/2025 03:45</t>
  </si>
  <si>
    <t>09/12/2025 04:00</t>
  </si>
  <si>
    <t>09/12/2025 04:15</t>
  </si>
  <si>
    <t>09/12/2025 04:30</t>
  </si>
  <si>
    <t>09/12/2025 04:45</t>
  </si>
  <si>
    <t>09/12/2025 05:00</t>
  </si>
  <si>
    <t>09/12/2025 05:15</t>
  </si>
  <si>
    <t>09/12/2025 05:30</t>
  </si>
  <si>
    <t>09/12/2025 05:45</t>
  </si>
  <si>
    <t>09/12/2025 06:00</t>
  </si>
  <si>
    <t>09/12/2025 06:15</t>
  </si>
  <si>
    <t>09/12/2025 06:30</t>
  </si>
  <si>
    <t>09/12/2025 06:45</t>
  </si>
  <si>
    <t>09/12/2025 07:00</t>
  </si>
  <si>
    <t>09/12/2025 07:15</t>
  </si>
  <si>
    <t>09/12/2025 07:30</t>
  </si>
  <si>
    <t>09/12/2025 07:45</t>
  </si>
  <si>
    <t>09/12/2025 08:00</t>
  </si>
  <si>
    <t>09/12/2025 08:15</t>
  </si>
  <si>
    <t>09/12/2025 08:30</t>
  </si>
  <si>
    <t>09/12/2025 08:45</t>
  </si>
  <si>
    <t>09/12/2025 09:00</t>
  </si>
  <si>
    <t>09/12/2025 09:15</t>
  </si>
  <si>
    <t>09/12/2025 09:30</t>
  </si>
  <si>
    <t>09/12/2025 09:45</t>
  </si>
  <si>
    <t>09/12/2025 10:00</t>
  </si>
  <si>
    <t>09/12/2025 10:15</t>
  </si>
  <si>
    <t>09/12/2025 10:30</t>
  </si>
  <si>
    <t>09/12/2025 10:45</t>
  </si>
  <si>
    <t>09/12/2025 11:00</t>
  </si>
  <si>
    <t>09/12/2025 11:15</t>
  </si>
  <si>
    <t>09/12/2025 11:30</t>
  </si>
  <si>
    <t>09/12/2025 11:45</t>
  </si>
  <si>
    <t>09/12/2025 12:00</t>
  </si>
  <si>
    <t>09/12/2025 12:15</t>
  </si>
  <si>
    <t>09/12/2025 12:30</t>
  </si>
  <si>
    <t>09/12/2025 12:45</t>
  </si>
  <si>
    <t>09/12/2025 13:00</t>
  </si>
  <si>
    <t>09/12/2025 13:15</t>
  </si>
  <si>
    <t>09/12/2025 13:30</t>
  </si>
  <si>
    <t>09/12/2025 13:45</t>
  </si>
  <si>
    <t>09/12/2025 14:00</t>
  </si>
  <si>
    <t>09/12/2025 14:15</t>
  </si>
  <si>
    <t>09/12/2025 14:30</t>
  </si>
  <si>
    <t>09/12/2025 14:45</t>
  </si>
  <si>
    <t>09/12/2025 15:00</t>
  </si>
  <si>
    <t>09/12/2025 15:15</t>
  </si>
  <si>
    <t>09/12/2025 15:30</t>
  </si>
  <si>
    <t>09/12/2025 15:45</t>
  </si>
  <si>
    <t>09/12/2025 16:00</t>
  </si>
  <si>
    <t>09/12/2025 16:15</t>
  </si>
  <si>
    <t>09/12/2025 16:30</t>
  </si>
  <si>
    <t>09/12/2025 16:45</t>
  </si>
  <si>
    <t>09/12/2025 17:00</t>
  </si>
  <si>
    <t>09/12/2025 17:15</t>
  </si>
  <si>
    <t>09/12/2025 17:30</t>
  </si>
  <si>
    <t>09/12/2025 17:45</t>
  </si>
  <si>
    <t>09/12/2025 18:00</t>
  </si>
  <si>
    <t>09/12/2025 18:15</t>
  </si>
  <si>
    <t>09/12/2025 18:30</t>
  </si>
  <si>
    <t>09/12/2025 18:45</t>
  </si>
  <si>
    <t>09/12/2025 19:00</t>
  </si>
  <si>
    <t>09/12/2025 19:15</t>
  </si>
  <si>
    <t>09/12/2025 19:30</t>
  </si>
  <si>
    <t>09/12/2025 19:45</t>
  </si>
  <si>
    <t>09/12/2025 20:00</t>
  </si>
  <si>
    <t>09/12/2025 20:15</t>
  </si>
  <si>
    <t>09/12/2025 20:30</t>
  </si>
  <si>
    <t>09/12/2025 20:45</t>
  </si>
  <si>
    <t>09/12/2025 21:00</t>
  </si>
  <si>
    <t>09/12/2025 21:15</t>
  </si>
  <si>
    <t>09/12/2025 21:30</t>
  </si>
  <si>
    <t>09/12/2025 21:45</t>
  </si>
  <si>
    <t>09/12/2025 22:00</t>
  </si>
  <si>
    <t>09/12/2025 22:15</t>
  </si>
  <si>
    <t>09/12/2025 22:30</t>
  </si>
  <si>
    <t>09/12/2025 22:45</t>
  </si>
  <si>
    <t>09/12/2025 23:00</t>
  </si>
  <si>
    <t>09/12/2025 23:15</t>
  </si>
  <si>
    <t>09/12/2025 23:30</t>
  </si>
  <si>
    <t>09/12/2025 23:45</t>
  </si>
  <si>
    <t>09/12/2025 24:00</t>
  </si>
  <si>
    <t>10/12/2025 00:15</t>
  </si>
  <si>
    <t>10/12/2025 00:30</t>
  </si>
  <si>
    <t>10/12/2025 00:45</t>
  </si>
  <si>
    <t>10/12/2025 01:00</t>
  </si>
  <si>
    <t>10/12/2025 01:15</t>
  </si>
  <si>
    <t>10/12/2025 01:30</t>
  </si>
  <si>
    <t>10/12/2025 01:45</t>
  </si>
  <si>
    <t>10/12/2025 02:00</t>
  </si>
  <si>
    <t>10/12/2025 02:15</t>
  </si>
  <si>
    <t>10/12/2025 02:30</t>
  </si>
  <si>
    <t>10/12/2025 02:45</t>
  </si>
  <si>
    <t>10/12/2025 03:00</t>
  </si>
  <si>
    <t>10/12/2025 03:15</t>
  </si>
  <si>
    <t>10/12/2025 03:30</t>
  </si>
  <si>
    <t>10/12/2025 03:45</t>
  </si>
  <si>
    <t>10/12/2025 04:00</t>
  </si>
  <si>
    <t>10/12/2025 04:15</t>
  </si>
  <si>
    <t>10/12/2025 04:30</t>
  </si>
  <si>
    <t>10/12/2025 04:45</t>
  </si>
  <si>
    <t>10/12/2025 05:00</t>
  </si>
  <si>
    <t>10/12/2025 05:15</t>
  </si>
  <si>
    <t>10/12/2025 05:30</t>
  </si>
  <si>
    <t>10/12/2025 05:45</t>
  </si>
  <si>
    <t>10/12/2025 06:00</t>
  </si>
  <si>
    <t>10/12/2025 06:15</t>
  </si>
  <si>
    <t>10/12/2025 06:30</t>
  </si>
  <si>
    <t>10/12/2025 06:45</t>
  </si>
  <si>
    <t>10/12/2025 07:00</t>
  </si>
  <si>
    <t>10/12/2025 07:15</t>
  </si>
  <si>
    <t>10/12/2025 07:30</t>
  </si>
  <si>
    <t>10/12/2025 07:45</t>
  </si>
  <si>
    <t>10/12/2025 08:00</t>
  </si>
  <si>
    <t>10/12/2025 08:15</t>
  </si>
  <si>
    <t>10/12/2025 08:30</t>
  </si>
  <si>
    <t>10/12/2025 08:45</t>
  </si>
  <si>
    <t>10/12/2025 09:00</t>
  </si>
  <si>
    <t>10/12/2025 09:15</t>
  </si>
  <si>
    <t>10/12/2025 09:30</t>
  </si>
  <si>
    <t>10/12/2025 09:45</t>
  </si>
  <si>
    <t>10/12/2025 10:00</t>
  </si>
  <si>
    <t>10/12/2025 10:15</t>
  </si>
  <si>
    <t>10/12/2025 10:30</t>
  </si>
  <si>
    <t>10/12/2025 10:45</t>
  </si>
  <si>
    <t>10/12/2025 11:00</t>
  </si>
  <si>
    <t>10/12/2025 11:15</t>
  </si>
  <si>
    <t>10/12/2025 11:30</t>
  </si>
  <si>
    <t>10/12/2025 11:45</t>
  </si>
  <si>
    <t>10/12/2025 12:00</t>
  </si>
  <si>
    <t>10/12/2025 12:15</t>
  </si>
  <si>
    <t>10/12/2025 12:30</t>
  </si>
  <si>
    <t>10/12/2025 12:45</t>
  </si>
  <si>
    <t>10/12/2025 13:00</t>
  </si>
  <si>
    <t>10/12/2025 13:15</t>
  </si>
  <si>
    <t>10/12/2025 13:30</t>
  </si>
  <si>
    <t>10/12/2025 13:45</t>
  </si>
  <si>
    <t>10/12/2025 14:00</t>
  </si>
  <si>
    <t>10/12/2025 14:15</t>
  </si>
  <si>
    <t>10/12/2025 14:30</t>
  </si>
  <si>
    <t>10/12/2025 14:45</t>
  </si>
  <si>
    <t>10/12/2025 15:00</t>
  </si>
  <si>
    <t>10/12/2025 15:15</t>
  </si>
  <si>
    <t>10/12/2025 15:30</t>
  </si>
  <si>
    <t>10/12/2025 15:45</t>
  </si>
  <si>
    <t>10/12/2025 16:00</t>
  </si>
  <si>
    <t>10/12/2025 16:15</t>
  </si>
  <si>
    <t>10/12/2025 16:30</t>
  </si>
  <si>
    <t>10/12/2025 16:45</t>
  </si>
  <si>
    <t>10/12/2025 17:00</t>
  </si>
  <si>
    <t>10/12/2025 17:15</t>
  </si>
  <si>
    <t>10/12/2025 17:30</t>
  </si>
  <si>
    <t>10/12/2025 17:45</t>
  </si>
  <si>
    <t>10/12/2025 18:00</t>
  </si>
  <si>
    <t>10/12/2025 18:15</t>
  </si>
  <si>
    <t>10/12/2025 18:30</t>
  </si>
  <si>
    <t>10/12/2025 18:45</t>
  </si>
  <si>
    <t>10/12/2025 19:00</t>
  </si>
  <si>
    <t>10/12/2025 19:15</t>
  </si>
  <si>
    <t>10/12/2025 19:30</t>
  </si>
  <si>
    <t>10/12/2025 19:45</t>
  </si>
  <si>
    <t>10/12/2025 20:00</t>
  </si>
  <si>
    <t>10/12/2025 20:15</t>
  </si>
  <si>
    <t>10/12/2025 20:30</t>
  </si>
  <si>
    <t>10/12/2025 20:45</t>
  </si>
  <si>
    <t>10/12/2025 21:00</t>
  </si>
  <si>
    <t>10/12/2025 21:15</t>
  </si>
  <si>
    <t>10/12/2025 21:30</t>
  </si>
  <si>
    <t>10/12/2025 21:45</t>
  </si>
  <si>
    <t>10/12/2025 22:00</t>
  </si>
  <si>
    <t>10/12/2025 22:15</t>
  </si>
  <si>
    <t>10/12/2025 22:30</t>
  </si>
  <si>
    <t>10/12/2025 22:45</t>
  </si>
  <si>
    <t>10/12/2025 23:00</t>
  </si>
  <si>
    <t>10/12/2025 23:15</t>
  </si>
  <si>
    <t>10/12/2025 23:30</t>
  </si>
  <si>
    <t>10/12/2025 23:45</t>
  </si>
  <si>
    <t>10/12/2025 24:00</t>
  </si>
  <si>
    <t>11/12/2025 00:15</t>
  </si>
  <si>
    <t>11/12/2025 00:30</t>
  </si>
  <si>
    <t>11/12/2025 00:45</t>
  </si>
  <si>
    <t>11/12/2025 01:00</t>
  </si>
  <si>
    <t>11/12/2025 01:15</t>
  </si>
  <si>
    <t>11/12/2025 01:30</t>
  </si>
  <si>
    <t>11/12/2025 01:45</t>
  </si>
  <si>
    <t>11/12/2025 02:00</t>
  </si>
  <si>
    <t>11/12/2025 02:15</t>
  </si>
  <si>
    <t>11/12/2025 02:30</t>
  </si>
  <si>
    <t>11/12/2025 02:45</t>
  </si>
  <si>
    <t>11/12/2025 03:00</t>
  </si>
  <si>
    <t>11/12/2025 03:15</t>
  </si>
  <si>
    <t>11/12/2025 03:30</t>
  </si>
  <si>
    <t>11/12/2025 03:45</t>
  </si>
  <si>
    <t>11/12/2025 04:00</t>
  </si>
  <si>
    <t>11/12/2025 04:15</t>
  </si>
  <si>
    <t>11/12/2025 04:30</t>
  </si>
  <si>
    <t>11/12/2025 04:45</t>
  </si>
  <si>
    <t>11/12/2025 05:00</t>
  </si>
  <si>
    <t>11/12/2025 05:15</t>
  </si>
  <si>
    <t>11/12/2025 05:30</t>
  </si>
  <si>
    <t>11/12/2025 05:45</t>
  </si>
  <si>
    <t>11/12/2025 06:00</t>
  </si>
  <si>
    <t>11/12/2025 06:15</t>
  </si>
  <si>
    <t>11/12/2025 06:30</t>
  </si>
  <si>
    <t>11/12/2025 06:45</t>
  </si>
  <si>
    <t>11/12/2025 07:00</t>
  </si>
  <si>
    <t>11/12/2025 07:15</t>
  </si>
  <si>
    <t>11/12/2025 07:30</t>
  </si>
  <si>
    <t>11/12/2025 07:45</t>
  </si>
  <si>
    <t>11/12/2025 08:00</t>
  </si>
  <si>
    <t>11/12/2025 08:15</t>
  </si>
  <si>
    <t>11/12/2025 08:30</t>
  </si>
  <si>
    <t>11/12/2025 08:45</t>
  </si>
  <si>
    <t>11/12/2025 09:00</t>
  </si>
  <si>
    <t>11/12/2025 09:15</t>
  </si>
  <si>
    <t>11/12/2025 09:30</t>
  </si>
  <si>
    <t>11/12/2025 09:45</t>
  </si>
  <si>
    <t>11/12/2025 10:00</t>
  </si>
  <si>
    <t>11/12/2025 10:15</t>
  </si>
  <si>
    <t>11/12/2025 10:30</t>
  </si>
  <si>
    <t>11/12/2025 10:45</t>
  </si>
  <si>
    <t>11/12/2025 11:00</t>
  </si>
  <si>
    <t>11/12/2025 11:15</t>
  </si>
  <si>
    <t>11/12/2025 11:30</t>
  </si>
  <si>
    <t>11/12/2025 11:45</t>
  </si>
  <si>
    <t>11/12/2025 12:00</t>
  </si>
  <si>
    <t>11/12/2025 12:15</t>
  </si>
  <si>
    <t>11/12/2025 12:30</t>
  </si>
  <si>
    <t>11/12/2025 12:45</t>
  </si>
  <si>
    <t>11/12/2025 13:00</t>
  </si>
  <si>
    <t>11/12/2025 13:15</t>
  </si>
  <si>
    <t>11/12/2025 13:30</t>
  </si>
  <si>
    <t>11/12/2025 13:45</t>
  </si>
  <si>
    <t>11/12/2025 14:00</t>
  </si>
  <si>
    <t>11/12/2025 14:15</t>
  </si>
  <si>
    <t>11/12/2025 14:30</t>
  </si>
  <si>
    <t>11/12/2025 14:45</t>
  </si>
  <si>
    <t>11/12/2025 15:00</t>
  </si>
  <si>
    <t>11/12/2025 15:15</t>
  </si>
  <si>
    <t>11/12/2025 15:30</t>
  </si>
  <si>
    <t>11/12/2025 15:45</t>
  </si>
  <si>
    <t>11/12/2025 16:00</t>
  </si>
  <si>
    <t>11/12/2025 16:15</t>
  </si>
  <si>
    <t>11/12/2025 16:30</t>
  </si>
  <si>
    <t>11/12/2025 16:45</t>
  </si>
  <si>
    <t>11/12/2025 17:00</t>
  </si>
  <si>
    <t>11/12/2025 17:15</t>
  </si>
  <si>
    <t>11/12/2025 17:30</t>
  </si>
  <si>
    <t>11/12/2025 17:45</t>
  </si>
  <si>
    <t>11/12/2025 18:00</t>
  </si>
  <si>
    <t>11/12/2025 18:15</t>
  </si>
  <si>
    <t>11/12/2025 18:30</t>
  </si>
  <si>
    <t>11/12/2025 18:45</t>
  </si>
  <si>
    <t>11/12/2025 19:00</t>
  </si>
  <si>
    <t>11/12/2025 19:15</t>
  </si>
  <si>
    <t>11/12/2025 19:30</t>
  </si>
  <si>
    <t>11/12/2025 19:45</t>
  </si>
  <si>
    <t>11/12/2025 20:00</t>
  </si>
  <si>
    <t>11/12/2025 20:15</t>
  </si>
  <si>
    <t>11/12/2025 20:30</t>
  </si>
  <si>
    <t>11/12/2025 20:45</t>
  </si>
  <si>
    <t>11/12/2025 21:00</t>
  </si>
  <si>
    <t>11/12/2025 21:15</t>
  </si>
  <si>
    <t>11/12/2025 21:30</t>
  </si>
  <si>
    <t>11/12/2025 21:45</t>
  </si>
  <si>
    <t>11/12/2025 22:00</t>
  </si>
  <si>
    <t>11/12/2025 22:15</t>
  </si>
  <si>
    <t>11/12/2025 22:30</t>
  </si>
  <si>
    <t>11/12/2025 22:45</t>
  </si>
  <si>
    <t>11/12/2025 23:00</t>
  </si>
  <si>
    <t>11/12/2025 23:15</t>
  </si>
  <si>
    <t>11/12/2025 23:30</t>
  </si>
  <si>
    <t>11/12/2025 23:45</t>
  </si>
  <si>
    <t>11/12/2025 24:00</t>
  </si>
  <si>
    <t>12/12/2025 00:15</t>
  </si>
  <si>
    <t>12/12/2025 00:30</t>
  </si>
  <si>
    <t>12/12/2025 00:45</t>
  </si>
  <si>
    <t>12/12/2025 01:00</t>
  </si>
  <si>
    <t>12/12/2025 01:15</t>
  </si>
  <si>
    <t>12/12/2025 01:30</t>
  </si>
  <si>
    <t>12/12/2025 01:45</t>
  </si>
  <si>
    <t>12/12/2025 02:00</t>
  </si>
  <si>
    <t>12/12/2025 02:15</t>
  </si>
  <si>
    <t>12/12/2025 02:30</t>
  </si>
  <si>
    <t>12/12/2025 02:45</t>
  </si>
  <si>
    <t>12/12/2025 03:00</t>
  </si>
  <si>
    <t>12/12/2025 03:15</t>
  </si>
  <si>
    <t>12/12/2025 03:30</t>
  </si>
  <si>
    <t>12/12/2025 03:45</t>
  </si>
  <si>
    <t>12/12/2025 04:00</t>
  </si>
  <si>
    <t>12/12/2025 04:15</t>
  </si>
  <si>
    <t>12/12/2025 04:30</t>
  </si>
  <si>
    <t>12/12/2025 04:45</t>
  </si>
  <si>
    <t>12/12/2025 05:00</t>
  </si>
  <si>
    <t>12/12/2025 05:15</t>
  </si>
  <si>
    <t>12/12/2025 05:30</t>
  </si>
  <si>
    <t>12/12/2025 05:45</t>
  </si>
  <si>
    <t>12/12/2025 06:00</t>
  </si>
  <si>
    <t>12/12/2025 06:15</t>
  </si>
  <si>
    <t>12/12/2025 06:30</t>
  </si>
  <si>
    <t>12/12/2025 06:45</t>
  </si>
  <si>
    <t>12/12/2025 07:00</t>
  </si>
  <si>
    <t>12/12/2025 07:15</t>
  </si>
  <si>
    <t>12/12/2025 07:30</t>
  </si>
  <si>
    <t>12/12/2025 07:45</t>
  </si>
  <si>
    <t>12/12/2025 08:00</t>
  </si>
  <si>
    <t>12/12/2025 08:15</t>
  </si>
  <si>
    <t>12/12/2025 08:30</t>
  </si>
  <si>
    <t>12/12/2025 08:45</t>
  </si>
  <si>
    <t>12/12/2025 09:00</t>
  </si>
  <si>
    <t>12/12/2025 09:15</t>
  </si>
  <si>
    <t>12/12/2025 09:30</t>
  </si>
  <si>
    <t>12/12/2025 09:45</t>
  </si>
  <si>
    <t>12/12/2025 10:00</t>
  </si>
  <si>
    <t>12/12/2025 10:15</t>
  </si>
  <si>
    <t>12/12/2025 10:30</t>
  </si>
  <si>
    <t>12/12/2025 10:45</t>
  </si>
  <si>
    <t>12/12/2025 11:00</t>
  </si>
  <si>
    <t>12/12/2025 11:15</t>
  </si>
  <si>
    <t>12/12/2025 11:30</t>
  </si>
  <si>
    <t>12/12/2025 11:45</t>
  </si>
  <si>
    <t>12/12/2025 12:00</t>
  </si>
  <si>
    <t>12/12/2025 12:15</t>
  </si>
  <si>
    <t>12/12/2025 12:30</t>
  </si>
  <si>
    <t>12/12/2025 12:45</t>
  </si>
  <si>
    <t>12/12/2025 13:00</t>
  </si>
  <si>
    <t>12/12/2025 13:15</t>
  </si>
  <si>
    <t>12/12/2025 13:30</t>
  </si>
  <si>
    <t>12/12/2025 13:45</t>
  </si>
  <si>
    <t>12/12/2025 14:00</t>
  </si>
  <si>
    <t>12/12/2025 14:15</t>
  </si>
  <si>
    <t>12/12/2025 14:30</t>
  </si>
  <si>
    <t>12/12/2025 14:45</t>
  </si>
  <si>
    <t>12/12/2025 15:00</t>
  </si>
  <si>
    <t>12/12/2025 15:15</t>
  </si>
  <si>
    <t>12/12/2025 15:30</t>
  </si>
  <si>
    <t>12/12/2025 15:45</t>
  </si>
  <si>
    <t>12/12/2025 16:00</t>
  </si>
  <si>
    <t>12/12/2025 16:15</t>
  </si>
  <si>
    <t>12/12/2025 16:30</t>
  </si>
  <si>
    <t>12/12/2025 16:45</t>
  </si>
  <si>
    <t>12/12/2025 17:00</t>
  </si>
  <si>
    <t>12/12/2025 17:15</t>
  </si>
  <si>
    <t>12/12/2025 17:30</t>
  </si>
  <si>
    <t>12/12/2025 17:45</t>
  </si>
  <si>
    <t>12/12/2025 18:00</t>
  </si>
  <si>
    <t>12/12/2025 18:15</t>
  </si>
  <si>
    <t>12/12/2025 18:30</t>
  </si>
  <si>
    <t>12/12/2025 18:45</t>
  </si>
  <si>
    <t>12/12/2025 19:00</t>
  </si>
  <si>
    <t>12/12/2025 19:15</t>
  </si>
  <si>
    <t>12/12/2025 19:30</t>
  </si>
  <si>
    <t>12/12/2025 19:45</t>
  </si>
  <si>
    <t>12/12/2025 20:00</t>
  </si>
  <si>
    <t>12/12/2025 20:15</t>
  </si>
  <si>
    <t>12/12/2025 20:30</t>
  </si>
  <si>
    <t>12/12/2025 20:45</t>
  </si>
  <si>
    <t>12/12/2025 21:00</t>
  </si>
  <si>
    <t>12/12/2025 21:15</t>
  </si>
  <si>
    <t>12/12/2025 21:30</t>
  </si>
  <si>
    <t>12/12/2025 21:45</t>
  </si>
  <si>
    <t>12/12/2025 22:00</t>
  </si>
  <si>
    <t>12/12/2025 22:15</t>
  </si>
  <si>
    <t>12/12/2025 22:30</t>
  </si>
  <si>
    <t>12/12/2025 22:45</t>
  </si>
  <si>
    <t>12/12/2025 23:00</t>
  </si>
  <si>
    <t>12/12/2025 23:15</t>
  </si>
  <si>
    <t>12/12/2025 23:30</t>
  </si>
  <si>
    <t>12/12/2025 23:45</t>
  </si>
  <si>
    <t>12/12/2025 24:00</t>
  </si>
  <si>
    <t>13/12/2025 00:15</t>
  </si>
  <si>
    <t>13/12/2025 00:30</t>
  </si>
  <si>
    <t>13/12/2025 00:45</t>
  </si>
  <si>
    <t>13/12/2025 01:00</t>
  </si>
  <si>
    <t>13/12/2025 01:15</t>
  </si>
  <si>
    <t>13/12/2025 01:30</t>
  </si>
  <si>
    <t>13/12/2025 01:45</t>
  </si>
  <si>
    <t>13/12/2025 02:00</t>
  </si>
  <si>
    <t>13/12/2025 02:15</t>
  </si>
  <si>
    <t>13/12/2025 02:30</t>
  </si>
  <si>
    <t>13/12/2025 02:45</t>
  </si>
  <si>
    <t>13/12/2025 03:00</t>
  </si>
  <si>
    <t>13/12/2025 03:15</t>
  </si>
  <si>
    <t>13/12/2025 03:30</t>
  </si>
  <si>
    <t>13/12/2025 03:45</t>
  </si>
  <si>
    <t>13/12/2025 04:00</t>
  </si>
  <si>
    <t>13/12/2025 04:15</t>
  </si>
  <si>
    <t>13/12/2025 04:30</t>
  </si>
  <si>
    <t>13/12/2025 04:45</t>
  </si>
  <si>
    <t>13/12/2025 05:00</t>
  </si>
  <si>
    <t>13/12/2025 05:15</t>
  </si>
  <si>
    <t>13/12/2025 05:30</t>
  </si>
  <si>
    <t>13/12/2025 05:45</t>
  </si>
  <si>
    <t>13/12/2025 06:00</t>
  </si>
  <si>
    <t>13/12/2025 06:15</t>
  </si>
  <si>
    <t>13/12/2025 06:30</t>
  </si>
  <si>
    <t>13/12/2025 06:45</t>
  </si>
  <si>
    <t>13/12/2025 07:00</t>
  </si>
  <si>
    <t>13/12/2025 07:15</t>
  </si>
  <si>
    <t>13/12/2025 07:30</t>
  </si>
  <si>
    <t>13/12/2025 07:45</t>
  </si>
  <si>
    <t>13/12/2025 08:00</t>
  </si>
  <si>
    <t>13/12/2025 08:15</t>
  </si>
  <si>
    <t>13/12/2025 08:30</t>
  </si>
  <si>
    <t>13/12/2025 08:45</t>
  </si>
  <si>
    <t>13/12/2025 09:00</t>
  </si>
  <si>
    <t>13/12/2025 09:15</t>
  </si>
  <si>
    <t>13/12/2025 09:30</t>
  </si>
  <si>
    <t>13/12/2025 09:45</t>
  </si>
  <si>
    <t>13/12/2025 10:00</t>
  </si>
  <si>
    <t>13/12/2025 10:15</t>
  </si>
  <si>
    <t>13/12/2025 10:30</t>
  </si>
  <si>
    <t>13/12/2025 10:45</t>
  </si>
  <si>
    <t>13/12/2025 11:00</t>
  </si>
  <si>
    <t>13/12/2025 11:15</t>
  </si>
  <si>
    <t>13/12/2025 11:30</t>
  </si>
  <si>
    <t>13/12/2025 11:45</t>
  </si>
  <si>
    <t>13/12/2025 12:00</t>
  </si>
  <si>
    <t>13/12/2025 12:15</t>
  </si>
  <si>
    <t>13/12/2025 12:30</t>
  </si>
  <si>
    <t>13/12/2025 12:45</t>
  </si>
  <si>
    <t>13/12/2025 13:00</t>
  </si>
  <si>
    <t>13/12/2025 13:15</t>
  </si>
  <si>
    <t>13/12/2025 13:30</t>
  </si>
  <si>
    <t>13/12/2025 13:45</t>
  </si>
  <si>
    <t>13/12/2025 14:00</t>
  </si>
  <si>
    <t>13/12/2025 14:15</t>
  </si>
  <si>
    <t>13/12/2025 14:30</t>
  </si>
  <si>
    <t>13/12/2025 14:45</t>
  </si>
  <si>
    <t>13/12/2025 15:00</t>
  </si>
  <si>
    <t>13/12/2025 15:15</t>
  </si>
  <si>
    <t>13/12/2025 15:30</t>
  </si>
  <si>
    <t>13/12/2025 15:45</t>
  </si>
  <si>
    <t>13/12/2025 16:00</t>
  </si>
  <si>
    <t>13/12/2025 16:15</t>
  </si>
  <si>
    <t>13/12/2025 16:30</t>
  </si>
  <si>
    <t>13/12/2025 16:45</t>
  </si>
  <si>
    <t>13/12/2025 17:00</t>
  </si>
  <si>
    <t>13/12/2025 17:15</t>
  </si>
  <si>
    <t>13/12/2025 17:30</t>
  </si>
  <si>
    <t>13/12/2025 17:45</t>
  </si>
  <si>
    <t>13/12/2025 18:00</t>
  </si>
  <si>
    <t>13/12/2025 18:15</t>
  </si>
  <si>
    <t>13/12/2025 18:30</t>
  </si>
  <si>
    <t>13/12/2025 18:45</t>
  </si>
  <si>
    <t>13/12/2025 19:00</t>
  </si>
  <si>
    <t>13/12/2025 19:15</t>
  </si>
  <si>
    <t>13/12/2025 19:30</t>
  </si>
  <si>
    <t>13/12/2025 19:45</t>
  </si>
  <si>
    <t>13/12/2025 20:00</t>
  </si>
  <si>
    <t>13/12/2025 20:15</t>
  </si>
  <si>
    <t>13/12/2025 20:30</t>
  </si>
  <si>
    <t>13/12/2025 20:45</t>
  </si>
  <si>
    <t>13/12/2025 21:00</t>
  </si>
  <si>
    <t>13/12/2025 21:15</t>
  </si>
  <si>
    <t>13/12/2025 21:30</t>
  </si>
  <si>
    <t>13/12/2025 21:45</t>
  </si>
  <si>
    <t>13/12/2025 22:00</t>
  </si>
  <si>
    <t>13/12/2025 22:15</t>
  </si>
  <si>
    <t>13/12/2025 22:30</t>
  </si>
  <si>
    <t>13/12/2025 22:45</t>
  </si>
  <si>
    <t>13/12/2025 23:00</t>
  </si>
  <si>
    <t>13/12/2025 23:15</t>
  </si>
  <si>
    <t>13/12/2025 23:30</t>
  </si>
  <si>
    <t>13/12/2025 23:45</t>
  </si>
  <si>
    <t>13/12/2025 24:00</t>
  </si>
  <si>
    <t>14/12/2025 00:15</t>
  </si>
  <si>
    <t>14/12/2025 00:30</t>
  </si>
  <si>
    <t>14/12/2025 00:45</t>
  </si>
  <si>
    <t>14/12/2025 01:00</t>
  </si>
  <si>
    <t>14/12/2025 01:15</t>
  </si>
  <si>
    <t>14/12/2025 01:30</t>
  </si>
  <si>
    <t>14/12/2025 01:45</t>
  </si>
  <si>
    <t>14/12/2025 02:00</t>
  </si>
  <si>
    <t>14/12/2025 02:15</t>
  </si>
  <si>
    <t>14/12/2025 02:30</t>
  </si>
  <si>
    <t>14/12/2025 02:45</t>
  </si>
  <si>
    <t>14/12/2025 03:00</t>
  </si>
  <si>
    <t>14/12/2025 03:15</t>
  </si>
  <si>
    <t>14/12/2025 03:30</t>
  </si>
  <si>
    <t>14/12/2025 03:45</t>
  </si>
  <si>
    <t>14/12/2025 04:00</t>
  </si>
  <si>
    <t>14/12/2025 04:15</t>
  </si>
  <si>
    <t>14/12/2025 04:30</t>
  </si>
  <si>
    <t>14/12/2025 04:45</t>
  </si>
  <si>
    <t>14/12/2025 05:00</t>
  </si>
  <si>
    <t>14/12/2025 05:15</t>
  </si>
  <si>
    <t>14/12/2025 05:30</t>
  </si>
  <si>
    <t>14/12/2025 05:45</t>
  </si>
  <si>
    <t>14/12/2025 06:00</t>
  </si>
  <si>
    <t>14/12/2025 06:15</t>
  </si>
  <si>
    <t>14/12/2025 06:30</t>
  </si>
  <si>
    <t>14/12/2025 06:45</t>
  </si>
  <si>
    <t>14/12/2025 07:00</t>
  </si>
  <si>
    <t>14/12/2025 07:15</t>
  </si>
  <si>
    <t>14/12/2025 07:30</t>
  </si>
  <si>
    <t>14/12/2025 07:45</t>
  </si>
  <si>
    <t>14/12/2025 08:00</t>
  </si>
  <si>
    <t>14/12/2025 08:15</t>
  </si>
  <si>
    <t>14/12/2025 08:30</t>
  </si>
  <si>
    <t>14/12/2025 08:45</t>
  </si>
  <si>
    <t>14/12/2025 09:00</t>
  </si>
  <si>
    <t>14/12/2025 09:15</t>
  </si>
  <si>
    <t>14/12/2025 09:30</t>
  </si>
  <si>
    <t>14/12/2025 09:45</t>
  </si>
  <si>
    <t>14/12/2025 10:00</t>
  </si>
  <si>
    <t>14/12/2025 10:15</t>
  </si>
  <si>
    <t>14/12/2025 10:30</t>
  </si>
  <si>
    <t>14/12/2025 10:45</t>
  </si>
  <si>
    <t>14/12/2025 11:00</t>
  </si>
  <si>
    <t>14/12/2025 11:15</t>
  </si>
  <si>
    <t>14/12/2025 11:30</t>
  </si>
  <si>
    <t>14/12/2025 11:45</t>
  </si>
  <si>
    <t>14/12/2025 12:00</t>
  </si>
  <si>
    <t>14/12/2025 12:15</t>
  </si>
  <si>
    <t>14/12/2025 12:30</t>
  </si>
  <si>
    <t>14/12/2025 12:45</t>
  </si>
  <si>
    <t>14/12/2025 13:00</t>
  </si>
  <si>
    <t>14/12/2025 13:15</t>
  </si>
  <si>
    <t>14/12/2025 13:30</t>
  </si>
  <si>
    <t>14/12/2025 13:45</t>
  </si>
  <si>
    <t>14/12/2025 14:00</t>
  </si>
  <si>
    <t>14/12/2025 14:15</t>
  </si>
  <si>
    <t>14/12/2025 14:30</t>
  </si>
  <si>
    <t>14/12/2025 14:45</t>
  </si>
  <si>
    <t>14/12/2025 15:00</t>
  </si>
  <si>
    <t>14/12/2025 15:15</t>
  </si>
  <si>
    <t>14/12/2025 15:30</t>
  </si>
  <si>
    <t>14/12/2025 15:45</t>
  </si>
  <si>
    <t>14/12/2025 16:00</t>
  </si>
  <si>
    <t>14/12/2025 16:15</t>
  </si>
  <si>
    <t>14/12/2025 16:30</t>
  </si>
  <si>
    <t>14/12/2025 16:45</t>
  </si>
  <si>
    <t>14/12/2025 17:00</t>
  </si>
  <si>
    <t>14/12/2025 17:15</t>
  </si>
  <si>
    <t>14/12/2025 17:30</t>
  </si>
  <si>
    <t>14/12/2025 17:45</t>
  </si>
  <si>
    <t>14/12/2025 18:00</t>
  </si>
  <si>
    <t>14/12/2025 18:15</t>
  </si>
  <si>
    <t>14/12/2025 18:30</t>
  </si>
  <si>
    <t>14/12/2025 18:45</t>
  </si>
  <si>
    <t>14/12/2025 19:00</t>
  </si>
  <si>
    <t>14/12/2025 19:15</t>
  </si>
  <si>
    <t>14/12/2025 19:30</t>
  </si>
  <si>
    <t>14/12/2025 19:45</t>
  </si>
  <si>
    <t>14/12/2025 20:00</t>
  </si>
  <si>
    <t>14/12/2025 20:15</t>
  </si>
  <si>
    <t>14/12/2025 20:30</t>
  </si>
  <si>
    <t>14/12/2025 20:45</t>
  </si>
  <si>
    <t>14/12/2025 21:00</t>
  </si>
  <si>
    <t>14/12/2025 21:15</t>
  </si>
  <si>
    <t>14/12/2025 21:30</t>
  </si>
  <si>
    <t>14/12/2025 21:45</t>
  </si>
  <si>
    <t>14/12/2025 22:00</t>
  </si>
  <si>
    <t>14/12/2025 22:15</t>
  </si>
  <si>
    <t>14/12/2025 22:30</t>
  </si>
  <si>
    <t>14/12/2025 22:45</t>
  </si>
  <si>
    <t>14/12/2025 23:00</t>
  </si>
  <si>
    <t>14/12/2025 23:15</t>
  </si>
  <si>
    <t>14/12/2025 23:30</t>
  </si>
  <si>
    <t>14/12/2025 23:45</t>
  </si>
  <si>
    <t>14/12/2025 24:00</t>
  </si>
  <si>
    <t>15/12/2025 00:15</t>
  </si>
  <si>
    <t>15/12/2025 00:30</t>
  </si>
  <si>
    <t>15/12/2025 00:45</t>
  </si>
  <si>
    <t>15/12/2025 01:00</t>
  </si>
  <si>
    <t>15/12/2025 01:15</t>
  </si>
  <si>
    <t>15/12/2025 01:30</t>
  </si>
  <si>
    <t>15/12/2025 01:45</t>
  </si>
  <si>
    <t>15/12/2025 02:00</t>
  </si>
  <si>
    <t>15/12/2025 02:15</t>
  </si>
  <si>
    <t>15/12/2025 02:30</t>
  </si>
  <si>
    <t>15/12/2025 02:45</t>
  </si>
  <si>
    <t>15/12/2025 03:00</t>
  </si>
  <si>
    <t>15/12/2025 03:15</t>
  </si>
  <si>
    <t>15/12/2025 03:30</t>
  </si>
  <si>
    <t>15/12/2025 03:45</t>
  </si>
  <si>
    <t>15/12/2025 04:00</t>
  </si>
  <si>
    <t>15/12/2025 04:15</t>
  </si>
  <si>
    <t>15/12/2025 04:30</t>
  </si>
  <si>
    <t>15/12/2025 04:45</t>
  </si>
  <si>
    <t>15/12/2025 05:00</t>
  </si>
  <si>
    <t>15/12/2025 05:15</t>
  </si>
  <si>
    <t>15/12/2025 05:30</t>
  </si>
  <si>
    <t>15/12/2025 05:45</t>
  </si>
  <si>
    <t>15/12/2025 06:00</t>
  </si>
  <si>
    <t>15/12/2025 06:15</t>
  </si>
  <si>
    <t>15/12/2025 06:30</t>
  </si>
  <si>
    <t>15/12/2025 06:45</t>
  </si>
  <si>
    <t>15/12/2025 07:00</t>
  </si>
  <si>
    <t>15/12/2025 07:15</t>
  </si>
  <si>
    <t>15/12/2025 07:30</t>
  </si>
  <si>
    <t>15/12/2025 07:45</t>
  </si>
  <si>
    <t>15/12/2025 08:00</t>
  </si>
  <si>
    <t>15/12/2025 08:15</t>
  </si>
  <si>
    <t>15/12/2025 08:30</t>
  </si>
  <si>
    <t>15/12/2025 08:45</t>
  </si>
  <si>
    <t>15/12/2025 09:00</t>
  </si>
  <si>
    <t>15/12/2025 09:15</t>
  </si>
  <si>
    <t>15/12/2025 09:30</t>
  </si>
  <si>
    <t>15/12/2025 09:45</t>
  </si>
  <si>
    <t>15/12/2025 10:00</t>
  </si>
  <si>
    <t>15/12/2025 10:15</t>
  </si>
  <si>
    <t>15/12/2025 10:30</t>
  </si>
  <si>
    <t>15/12/2025 10:45</t>
  </si>
  <si>
    <t>15/12/2025 11:00</t>
  </si>
  <si>
    <t>15/12/2025 11:15</t>
  </si>
  <si>
    <t>15/12/2025 11:30</t>
  </si>
  <si>
    <t>15/12/2025 11:45</t>
  </si>
  <si>
    <t>15/12/2025 12:00</t>
  </si>
  <si>
    <t>15/12/2025 12:15</t>
  </si>
  <si>
    <t>15/12/2025 12:30</t>
  </si>
  <si>
    <t>15/12/2025 12:45</t>
  </si>
  <si>
    <t>15/12/2025 13:00</t>
  </si>
  <si>
    <t>15/12/2025 13:15</t>
  </si>
  <si>
    <t>15/12/2025 13:30</t>
  </si>
  <si>
    <t>15/12/2025 13:45</t>
  </si>
  <si>
    <t>15/12/2025 14:00</t>
  </si>
  <si>
    <t>15/12/2025 14:15</t>
  </si>
  <si>
    <t>15/12/2025 14:30</t>
  </si>
  <si>
    <t>15/12/2025 14:45</t>
  </si>
  <si>
    <t>15/12/2025 15:00</t>
  </si>
  <si>
    <t>15/12/2025 15:15</t>
  </si>
  <si>
    <t>15/12/2025 15:30</t>
  </si>
  <si>
    <t>15/12/2025 15:45</t>
  </si>
  <si>
    <t>15/12/2025 16:00</t>
  </si>
  <si>
    <t>15/12/2025 16:15</t>
  </si>
  <si>
    <t>15/12/2025 16:30</t>
  </si>
  <si>
    <t>15/12/2025 16:45</t>
  </si>
  <si>
    <t>15/12/2025 17:00</t>
  </si>
  <si>
    <t>15/12/2025 17:15</t>
  </si>
  <si>
    <t>15/12/2025 17:30</t>
  </si>
  <si>
    <t>15/12/2025 17:45</t>
  </si>
  <si>
    <t>15/12/2025 18:00</t>
  </si>
  <si>
    <t>15/12/2025 18:15</t>
  </si>
  <si>
    <t>15/12/2025 18:30</t>
  </si>
  <si>
    <t>15/12/2025 18:45</t>
  </si>
  <si>
    <t>15/12/2025 19:00</t>
  </si>
  <si>
    <t>15/12/2025 19:15</t>
  </si>
  <si>
    <t>15/12/2025 19:30</t>
  </si>
  <si>
    <t>15/12/2025 19:45</t>
  </si>
  <si>
    <t>15/12/2025 20:00</t>
  </si>
  <si>
    <t>15/12/2025 20:15</t>
  </si>
  <si>
    <t>15/12/2025 20:30</t>
  </si>
  <si>
    <t>15/12/2025 20:45</t>
  </si>
  <si>
    <t>15/12/2025 21:00</t>
  </si>
  <si>
    <t>15/12/2025 21:15</t>
  </si>
  <si>
    <t>15/12/2025 21:30</t>
  </si>
  <si>
    <t>15/12/2025 21:45</t>
  </si>
  <si>
    <t>15/12/2025 22:00</t>
  </si>
  <si>
    <t>15/12/2025 22:15</t>
  </si>
  <si>
    <t>15/12/2025 22:30</t>
  </si>
  <si>
    <t>15/12/2025 22:45</t>
  </si>
  <si>
    <t>15/12/2025 23:00</t>
  </si>
  <si>
    <t>15/12/2025 23:15</t>
  </si>
  <si>
    <t>15/12/2025 23:30</t>
  </si>
  <si>
    <t>15/12/2025 23:45</t>
  </si>
  <si>
    <t>15/12/2025 24:00</t>
  </si>
  <si>
    <t>16/12/2025 00:15</t>
  </si>
  <si>
    <t>16/12/2025 00:30</t>
  </si>
  <si>
    <t>16/12/2025 00:45</t>
  </si>
  <si>
    <t>16/12/2025 01:00</t>
  </si>
  <si>
    <t>16/12/2025 01:15</t>
  </si>
  <si>
    <t>16/12/2025 01:30</t>
  </si>
  <si>
    <t>16/12/2025 01:45</t>
  </si>
  <si>
    <t>16/12/2025 02:00</t>
  </si>
  <si>
    <t>16/12/2025 02:15</t>
  </si>
  <si>
    <t>16/12/2025 02:30</t>
  </si>
  <si>
    <t>16/12/2025 02:45</t>
  </si>
  <si>
    <t>16/12/2025 03:00</t>
  </si>
  <si>
    <t>16/12/2025 03:15</t>
  </si>
  <si>
    <t>16/12/2025 03:30</t>
  </si>
  <si>
    <t>16/12/2025 03:45</t>
  </si>
  <si>
    <t>16/12/2025 04:00</t>
  </si>
  <si>
    <t>16/12/2025 04:15</t>
  </si>
  <si>
    <t>16/12/2025 04:30</t>
  </si>
  <si>
    <t>16/12/2025 04:45</t>
  </si>
  <si>
    <t>16/12/2025 05:00</t>
  </si>
  <si>
    <t>16/12/2025 05:15</t>
  </si>
  <si>
    <t>16/12/2025 05:30</t>
  </si>
  <si>
    <t>16/12/2025 05:45</t>
  </si>
  <si>
    <t>16/12/2025 06:00</t>
  </si>
  <si>
    <t>16/12/2025 06:15</t>
  </si>
  <si>
    <t>16/12/2025 06:30</t>
  </si>
  <si>
    <t>16/12/2025 06:45</t>
  </si>
  <si>
    <t>16/12/2025 07:00</t>
  </si>
  <si>
    <t>16/12/2025 07:15</t>
  </si>
  <si>
    <t>16/12/2025 07:30</t>
  </si>
  <si>
    <t>16/12/2025 07:45</t>
  </si>
  <si>
    <t>16/12/2025 08:00</t>
  </si>
  <si>
    <t>16/12/2025 08:15</t>
  </si>
  <si>
    <t>16/12/2025 08:30</t>
  </si>
  <si>
    <t>16/12/2025 08:45</t>
  </si>
  <si>
    <t>16/12/2025 09:00</t>
  </si>
  <si>
    <t>16/12/2025 09:15</t>
  </si>
  <si>
    <t>16/12/2025 09:30</t>
  </si>
  <si>
    <t>16/12/2025 09:45</t>
  </si>
  <si>
    <t>16/12/2025 10:00</t>
  </si>
  <si>
    <t>16/12/2025 10:15</t>
  </si>
  <si>
    <t>16/12/2025 10:30</t>
  </si>
  <si>
    <t>16/12/2025 10:45</t>
  </si>
  <si>
    <t>16/12/2025 11:00</t>
  </si>
  <si>
    <t>16/12/2025 11:15</t>
  </si>
  <si>
    <t>16/12/2025 11:30</t>
  </si>
  <si>
    <t>16/12/2025 11:45</t>
  </si>
  <si>
    <t>16/12/2025 12:00</t>
  </si>
  <si>
    <t>16/12/2025 12:15</t>
  </si>
  <si>
    <t>16/12/2025 12:30</t>
  </si>
  <si>
    <t>16/12/2025 12:45</t>
  </si>
  <si>
    <t>16/12/2025 13:00</t>
  </si>
  <si>
    <t>16/12/2025 13:15</t>
  </si>
  <si>
    <t>16/12/2025 13:30</t>
  </si>
  <si>
    <t>16/12/2025 13:45</t>
  </si>
  <si>
    <t>16/12/2025 14:00</t>
  </si>
  <si>
    <t>16/12/2025 14:15</t>
  </si>
  <si>
    <t>16/12/2025 14:30</t>
  </si>
  <si>
    <t>16/12/2025 14:45</t>
  </si>
  <si>
    <t>16/12/2025 15:00</t>
  </si>
  <si>
    <t>16/12/2025 15:15</t>
  </si>
  <si>
    <t>16/12/2025 15:30</t>
  </si>
  <si>
    <t>16/12/2025 15:45</t>
  </si>
  <si>
    <t>16/12/2025 16:00</t>
  </si>
  <si>
    <t>16/12/2025 16:15</t>
  </si>
  <si>
    <t>16/12/2025 16:30</t>
  </si>
  <si>
    <t>16/12/2025 16:45</t>
  </si>
  <si>
    <t>16/12/2025 17:00</t>
  </si>
  <si>
    <t>16/12/2025 17:15</t>
  </si>
  <si>
    <t>16/12/2025 17:30</t>
  </si>
  <si>
    <t>16/12/2025 17:45</t>
  </si>
  <si>
    <t>16/12/2025 18:00</t>
  </si>
  <si>
    <t>16/12/2025 18:15</t>
  </si>
  <si>
    <t>16/12/2025 18:30</t>
  </si>
  <si>
    <t>16/12/2025 18:45</t>
  </si>
  <si>
    <t>16/12/2025 19:00</t>
  </si>
  <si>
    <t>16/12/2025 19:15</t>
  </si>
  <si>
    <t>16/12/2025 19:30</t>
  </si>
  <si>
    <t>16/12/2025 19:45</t>
  </si>
  <si>
    <t>16/12/2025 20:00</t>
  </si>
  <si>
    <t>16/12/2025 20:15</t>
  </si>
  <si>
    <t>16/12/2025 20:30</t>
  </si>
  <si>
    <t>16/12/2025 20:45</t>
  </si>
  <si>
    <t>16/12/2025 21:00</t>
  </si>
  <si>
    <t>16/12/2025 21:15</t>
  </si>
  <si>
    <t>16/12/2025 21:30</t>
  </si>
  <si>
    <t>16/12/2025 21:45</t>
  </si>
  <si>
    <t>16/12/2025 22:00</t>
  </si>
  <si>
    <t>16/12/2025 22:15</t>
  </si>
  <si>
    <t>16/12/2025 22:30</t>
  </si>
  <si>
    <t>16/12/2025 22:45</t>
  </si>
  <si>
    <t>16/12/2025 23:00</t>
  </si>
  <si>
    <t>16/12/2025 23:15</t>
  </si>
  <si>
    <t>16/12/2025 23:30</t>
  </si>
  <si>
    <t>16/12/2025 23:45</t>
  </si>
  <si>
    <t>16/12/2025 24:00</t>
  </si>
  <si>
    <t>17/12/2025 00:15</t>
  </si>
  <si>
    <t>17/12/2025 00:30</t>
  </si>
  <si>
    <t>17/12/2025 00:45</t>
  </si>
  <si>
    <t>17/12/2025 01:00</t>
  </si>
  <si>
    <t>17/12/2025 01:15</t>
  </si>
  <si>
    <t>17/12/2025 01:30</t>
  </si>
  <si>
    <t>17/12/2025 01:45</t>
  </si>
  <si>
    <t>17/12/2025 02:00</t>
  </si>
  <si>
    <t>17/12/2025 02:15</t>
  </si>
  <si>
    <t>17/12/2025 02:30</t>
  </si>
  <si>
    <t>17/12/2025 02:45</t>
  </si>
  <si>
    <t>17/12/2025 03:00</t>
  </si>
  <si>
    <t>17/12/2025 03:15</t>
  </si>
  <si>
    <t>17/12/2025 03:30</t>
  </si>
  <si>
    <t>17/12/2025 03:45</t>
  </si>
  <si>
    <t>17/12/2025 04:00</t>
  </si>
  <si>
    <t>17/12/2025 04:15</t>
  </si>
  <si>
    <t>17/12/2025 04:30</t>
  </si>
  <si>
    <t>17/12/2025 04:45</t>
  </si>
  <si>
    <t>17/12/2025 05:00</t>
  </si>
  <si>
    <t>17/12/2025 05:15</t>
  </si>
  <si>
    <t>17/12/2025 05:30</t>
  </si>
  <si>
    <t>17/12/2025 05:45</t>
  </si>
  <si>
    <t>17/12/2025 06:00</t>
  </si>
  <si>
    <t>17/12/2025 06:15</t>
  </si>
  <si>
    <t>17/12/2025 06:30</t>
  </si>
  <si>
    <t>17/12/2025 06:45</t>
  </si>
  <si>
    <t>17/12/2025 07:00</t>
  </si>
  <si>
    <t>17/12/2025 07:15</t>
  </si>
  <si>
    <t>17/12/2025 07:30</t>
  </si>
  <si>
    <t>17/12/2025 07:45</t>
  </si>
  <si>
    <t>17/12/2025 08:00</t>
  </si>
  <si>
    <t>17/12/2025 08:15</t>
  </si>
  <si>
    <t>17/12/2025 08:30</t>
  </si>
  <si>
    <t>17/12/2025 08:45</t>
  </si>
  <si>
    <t>17/12/2025 09:00</t>
  </si>
  <si>
    <t>17/12/2025 09:15</t>
  </si>
  <si>
    <t>17/12/2025 09:30</t>
  </si>
  <si>
    <t>17/12/2025 09:45</t>
  </si>
  <si>
    <t>17/12/2025 10:00</t>
  </si>
  <si>
    <t>17/12/2025 10:15</t>
  </si>
  <si>
    <t>17/12/2025 10:30</t>
  </si>
  <si>
    <t>17/12/2025 10:45</t>
  </si>
  <si>
    <t>17/12/2025 11:00</t>
  </si>
  <si>
    <t>17/12/2025 11:15</t>
  </si>
  <si>
    <t>17/12/2025 11:30</t>
  </si>
  <si>
    <t>17/12/2025 11:45</t>
  </si>
  <si>
    <t>17/12/2025 12:00</t>
  </si>
  <si>
    <t>17/12/2025 12:15</t>
  </si>
  <si>
    <t>17/12/2025 12:30</t>
  </si>
  <si>
    <t>17/12/2025 12:45</t>
  </si>
  <si>
    <t>17/12/2025 13:00</t>
  </si>
  <si>
    <t>17/12/2025 13:15</t>
  </si>
  <si>
    <t>17/12/2025 13:30</t>
  </si>
  <si>
    <t>17/12/2025 13:45</t>
  </si>
  <si>
    <t>17/12/2025 14:00</t>
  </si>
  <si>
    <t>17/12/2025 14:15</t>
  </si>
  <si>
    <t>17/12/2025 14:30</t>
  </si>
  <si>
    <t>17/12/2025 14:45</t>
  </si>
  <si>
    <t>17/12/2025 15:00</t>
  </si>
  <si>
    <t>17/12/2025 15:15</t>
  </si>
  <si>
    <t>17/12/2025 15:30</t>
  </si>
  <si>
    <t>17/12/2025 15:45</t>
  </si>
  <si>
    <t>17/12/2025 16:00</t>
  </si>
  <si>
    <t>17/12/2025 16:15</t>
  </si>
  <si>
    <t>17/12/2025 16:30</t>
  </si>
  <si>
    <t>17/12/2025 16:45</t>
  </si>
  <si>
    <t>17/12/2025 17:00</t>
  </si>
  <si>
    <t>17/12/2025 17:15</t>
  </si>
  <si>
    <t>17/12/2025 17:30</t>
  </si>
  <si>
    <t>17/12/2025 17:45</t>
  </si>
  <si>
    <t>17/12/2025 18:00</t>
  </si>
  <si>
    <t>17/12/2025 18:15</t>
  </si>
  <si>
    <t>17/12/2025 18:30</t>
  </si>
  <si>
    <t>17/12/2025 18:45</t>
  </si>
  <si>
    <t>17/12/2025 19:00</t>
  </si>
  <si>
    <t>17/12/2025 19:15</t>
  </si>
  <si>
    <t>17/12/2025 19:30</t>
  </si>
  <si>
    <t>17/12/2025 19:45</t>
  </si>
  <si>
    <t>17/12/2025 20:00</t>
  </si>
  <si>
    <t>17/12/2025 20:15</t>
  </si>
  <si>
    <t>17/12/2025 20:30</t>
  </si>
  <si>
    <t>17/12/2025 20:45</t>
  </si>
  <si>
    <t>17/12/2025 21:00</t>
  </si>
  <si>
    <t>17/12/2025 21:15</t>
  </si>
  <si>
    <t>17/12/2025 21:30</t>
  </si>
  <si>
    <t>17/12/2025 21:45</t>
  </si>
  <si>
    <t>17/12/2025 22:00</t>
  </si>
  <si>
    <t>17/12/2025 22:15</t>
  </si>
  <si>
    <t>17/12/2025 22:30</t>
  </si>
  <si>
    <t>17/12/2025 22:45</t>
  </si>
  <si>
    <t>17/12/2025 23:00</t>
  </si>
  <si>
    <t>17/12/2025 23:15</t>
  </si>
  <si>
    <t>17/12/2025 23:30</t>
  </si>
  <si>
    <t>17/12/2025 23:45</t>
  </si>
  <si>
    <t>17/12/2025 24:00</t>
  </si>
  <si>
    <t>18/12/2025 00:15</t>
  </si>
  <si>
    <t>18/12/2025 00:30</t>
  </si>
  <si>
    <t>18/12/2025 00:45</t>
  </si>
  <si>
    <t>18/12/2025 01:00</t>
  </si>
  <si>
    <t>18/12/2025 01:15</t>
  </si>
  <si>
    <t>18/12/2025 01:30</t>
  </si>
  <si>
    <t>18/12/2025 01:45</t>
  </si>
  <si>
    <t>18/12/2025 02:00</t>
  </si>
  <si>
    <t>18/12/2025 02:15</t>
  </si>
  <si>
    <t>18/12/2025 02:30</t>
  </si>
  <si>
    <t>18/12/2025 02:45</t>
  </si>
  <si>
    <t>18/12/2025 03:00</t>
  </si>
  <si>
    <t>18/12/2025 03:15</t>
  </si>
  <si>
    <t>18/12/2025 03:30</t>
  </si>
  <si>
    <t>18/12/2025 03:45</t>
  </si>
  <si>
    <t>18/12/2025 04:00</t>
  </si>
  <si>
    <t>18/12/2025 04:15</t>
  </si>
  <si>
    <t>18/12/2025 04:30</t>
  </si>
  <si>
    <t>18/12/2025 04:45</t>
  </si>
  <si>
    <t>18/12/2025 05:00</t>
  </si>
  <si>
    <t>18/12/2025 05:15</t>
  </si>
  <si>
    <t>18/12/2025 05:30</t>
  </si>
  <si>
    <t>18/12/2025 05:45</t>
  </si>
  <si>
    <t>18/12/2025 06:00</t>
  </si>
  <si>
    <t>18/12/2025 06:15</t>
  </si>
  <si>
    <t>18/12/2025 06:30</t>
  </si>
  <si>
    <t>18/12/2025 06:45</t>
  </si>
  <si>
    <t>18/12/2025 07:00</t>
  </si>
  <si>
    <t>18/12/2025 07:15</t>
  </si>
  <si>
    <t>18/12/2025 07:30</t>
  </si>
  <si>
    <t>18/12/2025 07:45</t>
  </si>
  <si>
    <t>18/12/2025 08:00</t>
  </si>
  <si>
    <t>18/12/2025 08:15</t>
  </si>
  <si>
    <t>18/12/2025 08:30</t>
  </si>
  <si>
    <t>18/12/2025 08:45</t>
  </si>
  <si>
    <t>18/12/2025 09:00</t>
  </si>
  <si>
    <t>18/12/2025 09:15</t>
  </si>
  <si>
    <t>18/12/2025 09:30</t>
  </si>
  <si>
    <t>18/12/2025 09:45</t>
  </si>
  <si>
    <t>18/12/2025 10:00</t>
  </si>
  <si>
    <t>18/12/2025 10:15</t>
  </si>
  <si>
    <t>18/12/2025 10:30</t>
  </si>
  <si>
    <t>18/12/2025 10:45</t>
  </si>
  <si>
    <t>18/12/2025 11:00</t>
  </si>
  <si>
    <t>18/12/2025 11:15</t>
  </si>
  <si>
    <t>18/12/2025 11:30</t>
  </si>
  <si>
    <t>18/12/2025 11:45</t>
  </si>
  <si>
    <t>18/12/2025 12:00</t>
  </si>
  <si>
    <t>18/12/2025 12:15</t>
  </si>
  <si>
    <t>18/12/2025 12:30</t>
  </si>
  <si>
    <t>18/12/2025 12:45</t>
  </si>
  <si>
    <t>18/12/2025 13:00</t>
  </si>
  <si>
    <t>18/12/2025 13:15</t>
  </si>
  <si>
    <t>18/12/2025 13:30</t>
  </si>
  <si>
    <t>18/12/2025 13:45</t>
  </si>
  <si>
    <t>18/12/2025 14:00</t>
  </si>
  <si>
    <t>18/12/2025 14:15</t>
  </si>
  <si>
    <t>18/12/2025 14:30</t>
  </si>
  <si>
    <t>18/12/2025 14:45</t>
  </si>
  <si>
    <t>18/12/2025 15:00</t>
  </si>
  <si>
    <t>18/12/2025 15:15</t>
  </si>
  <si>
    <t>18/12/2025 15:30</t>
  </si>
  <si>
    <t>18/12/2025 15:45</t>
  </si>
  <si>
    <t>18/12/2025 16:00</t>
  </si>
  <si>
    <t>18/12/2025 16:15</t>
  </si>
  <si>
    <t>18/12/2025 16:30</t>
  </si>
  <si>
    <t>18/12/2025 16:45</t>
  </si>
  <si>
    <t>18/12/2025 17:00</t>
  </si>
  <si>
    <t>18/12/2025 17:15</t>
  </si>
  <si>
    <t>18/12/2025 17:30</t>
  </si>
  <si>
    <t>18/12/2025 17:45</t>
  </si>
  <si>
    <t>18/12/2025 18:00</t>
  </si>
  <si>
    <t>18/12/2025 18:15</t>
  </si>
  <si>
    <t>18/12/2025 18:30</t>
  </si>
  <si>
    <t>18/12/2025 18:45</t>
  </si>
  <si>
    <t>18/12/2025 19:00</t>
  </si>
  <si>
    <t>18/12/2025 19:15</t>
  </si>
  <si>
    <t>18/12/2025 19:30</t>
  </si>
  <si>
    <t>18/12/2025 19:45</t>
  </si>
  <si>
    <t>18/12/2025 20:00</t>
  </si>
  <si>
    <t>18/12/2025 20:15</t>
  </si>
  <si>
    <t>18/12/2025 20:30</t>
  </si>
  <si>
    <t>18/12/2025 20:45</t>
  </si>
  <si>
    <t>18/12/2025 21:00</t>
  </si>
  <si>
    <t>18/12/2025 21:15</t>
  </si>
  <si>
    <t>18/12/2025 21:30</t>
  </si>
  <si>
    <t>18/12/2025 21:45</t>
  </si>
  <si>
    <t>18/12/2025 22:00</t>
  </si>
  <si>
    <t>18/12/2025 22:15</t>
  </si>
  <si>
    <t>18/12/2025 22:30</t>
  </si>
  <si>
    <t>18/12/2025 22:45</t>
  </si>
  <si>
    <t>18/12/2025 23:00</t>
  </si>
  <si>
    <t>18/12/2025 23:15</t>
  </si>
  <si>
    <t>18/12/2025 23:30</t>
  </si>
  <si>
    <t>18/12/2025 23:45</t>
  </si>
  <si>
    <t>18/12/2025 24:00</t>
  </si>
  <si>
    <t>19/12/2025 00:15</t>
  </si>
  <si>
    <t>19/12/2025 00:30</t>
  </si>
  <si>
    <t>19/12/2025 00:45</t>
  </si>
  <si>
    <t>19/12/2025 01:00</t>
  </si>
  <si>
    <t>19/12/2025 01:15</t>
  </si>
  <si>
    <t>19/12/2025 01:30</t>
  </si>
  <si>
    <t>19/12/2025 01:45</t>
  </si>
  <si>
    <t>19/12/2025 02:00</t>
  </si>
  <si>
    <t>19/12/2025 02:15</t>
  </si>
  <si>
    <t>19/12/2025 02:30</t>
  </si>
  <si>
    <t>19/12/2025 02:45</t>
  </si>
  <si>
    <t>19/12/2025 03:00</t>
  </si>
  <si>
    <t>19/12/2025 03:15</t>
  </si>
  <si>
    <t>19/12/2025 03:30</t>
  </si>
  <si>
    <t>19/12/2025 03:45</t>
  </si>
  <si>
    <t>19/12/2025 04:00</t>
  </si>
  <si>
    <t>19/12/2025 04:15</t>
  </si>
  <si>
    <t>19/12/2025 04:30</t>
  </si>
  <si>
    <t>19/12/2025 04:45</t>
  </si>
  <si>
    <t>19/12/2025 05:00</t>
  </si>
  <si>
    <t>19/12/2025 05:15</t>
  </si>
  <si>
    <t>19/12/2025 05:30</t>
  </si>
  <si>
    <t>19/12/2025 05:45</t>
  </si>
  <si>
    <t>19/12/2025 06:00</t>
  </si>
  <si>
    <t>19/12/2025 06:15</t>
  </si>
  <si>
    <t>19/12/2025 06:30</t>
  </si>
  <si>
    <t>19/12/2025 06:45</t>
  </si>
  <si>
    <t>19/12/2025 07:00</t>
  </si>
  <si>
    <t>19/12/2025 07:15</t>
  </si>
  <si>
    <t>19/12/2025 07:30</t>
  </si>
  <si>
    <t>19/12/2025 07:45</t>
  </si>
  <si>
    <t>19/12/2025 08:00</t>
  </si>
  <si>
    <t>19/12/2025 08:15</t>
  </si>
  <si>
    <t>19/12/2025 08:30</t>
  </si>
  <si>
    <t>19/12/2025 08:45</t>
  </si>
  <si>
    <t>19/12/2025 09:00</t>
  </si>
  <si>
    <t>19/12/2025 09:15</t>
  </si>
  <si>
    <t>19/12/2025 09:30</t>
  </si>
  <si>
    <t>19/12/2025 09:45</t>
  </si>
  <si>
    <t>19/12/2025 10:00</t>
  </si>
  <si>
    <t>19/12/2025 10:15</t>
  </si>
  <si>
    <t>19/12/2025 10:30</t>
  </si>
  <si>
    <t>19/12/2025 10:45</t>
  </si>
  <si>
    <t>19/12/2025 11:00</t>
  </si>
  <si>
    <t>19/12/2025 11:15</t>
  </si>
  <si>
    <t>19/12/2025 11:30</t>
  </si>
  <si>
    <t>19/12/2025 11:45</t>
  </si>
  <si>
    <t>19/12/2025 12:00</t>
  </si>
  <si>
    <t>19/12/2025 12:15</t>
  </si>
  <si>
    <t>19/12/2025 12:30</t>
  </si>
  <si>
    <t>19/12/2025 12:45</t>
  </si>
  <si>
    <t>19/12/2025 13:00</t>
  </si>
  <si>
    <t>19/12/2025 13:15</t>
  </si>
  <si>
    <t>19/12/2025 13:30</t>
  </si>
  <si>
    <t>19/12/2025 13:45</t>
  </si>
  <si>
    <t>19/12/2025 14:00</t>
  </si>
  <si>
    <t>19/12/2025 14:15</t>
  </si>
  <si>
    <t>19/12/2025 14:30</t>
  </si>
  <si>
    <t>19/12/2025 14:45</t>
  </si>
  <si>
    <t>19/12/2025 15:00</t>
  </si>
  <si>
    <t>19/12/2025 15:15</t>
  </si>
  <si>
    <t>19/12/2025 15:30</t>
  </si>
  <si>
    <t>19/12/2025 15:45</t>
  </si>
  <si>
    <t>19/12/2025 16:00</t>
  </si>
  <si>
    <t>19/12/2025 16:15</t>
  </si>
  <si>
    <t>19/12/2025 16:30</t>
  </si>
  <si>
    <t>19/12/2025 16:45</t>
  </si>
  <si>
    <t>19/12/2025 17:00</t>
  </si>
  <si>
    <t>19/12/2025 17:15</t>
  </si>
  <si>
    <t>19/12/2025 17:30</t>
  </si>
  <si>
    <t>19/12/2025 17:45</t>
  </si>
  <si>
    <t>19/12/2025 18:00</t>
  </si>
  <si>
    <t>19/12/2025 18:15</t>
  </si>
  <si>
    <t>19/12/2025 18:30</t>
  </si>
  <si>
    <t>19/12/2025 18:45</t>
  </si>
  <si>
    <t>19/12/2025 19:00</t>
  </si>
  <si>
    <t>19/12/2025 19:15</t>
  </si>
  <si>
    <t>19/12/2025 19:30</t>
  </si>
  <si>
    <t>19/12/2025 19:45</t>
  </si>
  <si>
    <t>19/12/2025 20:00</t>
  </si>
  <si>
    <t>19/12/2025 20:15</t>
  </si>
  <si>
    <t>19/12/2025 20:30</t>
  </si>
  <si>
    <t>19/12/2025 20:45</t>
  </si>
  <si>
    <t>19/12/2025 21:00</t>
  </si>
  <si>
    <t>19/12/2025 21:15</t>
  </si>
  <si>
    <t>19/12/2025 21:30</t>
  </si>
  <si>
    <t>19/12/2025 21:45</t>
  </si>
  <si>
    <t>19/12/2025 22:00</t>
  </si>
  <si>
    <t>19/12/2025 22:15</t>
  </si>
  <si>
    <t>19/12/2025 22:30</t>
  </si>
  <si>
    <t>19/12/2025 22:45</t>
  </si>
  <si>
    <t>19/12/2025 23:00</t>
  </si>
  <si>
    <t>19/12/2025 23:15</t>
  </si>
  <si>
    <t>19/12/2025 23:30</t>
  </si>
  <si>
    <t>19/12/2025 23:45</t>
  </si>
  <si>
    <t>19/12/2025 24:00</t>
  </si>
  <si>
    <t>20/12/2025 00:15</t>
  </si>
  <si>
    <t>20/12/2025 00:30</t>
  </si>
  <si>
    <t>20/12/2025 00:45</t>
  </si>
  <si>
    <t>20/12/2025 01:00</t>
  </si>
  <si>
    <t>20/12/2025 01:15</t>
  </si>
  <si>
    <t>20/12/2025 01:30</t>
  </si>
  <si>
    <t>20/12/2025 01:45</t>
  </si>
  <si>
    <t>20/12/2025 02:00</t>
  </si>
  <si>
    <t>20/12/2025 02:15</t>
  </si>
  <si>
    <t>20/12/2025 02:30</t>
  </si>
  <si>
    <t>20/12/2025 02:45</t>
  </si>
  <si>
    <t>20/12/2025 03:00</t>
  </si>
  <si>
    <t>20/12/2025 03:15</t>
  </si>
  <si>
    <t>20/12/2025 03:30</t>
  </si>
  <si>
    <t>20/12/2025 03:45</t>
  </si>
  <si>
    <t>20/12/2025 04:00</t>
  </si>
  <si>
    <t>20/12/2025 04:15</t>
  </si>
  <si>
    <t>20/12/2025 04:30</t>
  </si>
  <si>
    <t>20/12/2025 04:45</t>
  </si>
  <si>
    <t>20/12/2025 05:00</t>
  </si>
  <si>
    <t>20/12/2025 05:15</t>
  </si>
  <si>
    <t>20/12/2025 05:30</t>
  </si>
  <si>
    <t>20/12/2025 05:45</t>
  </si>
  <si>
    <t>20/12/2025 06:00</t>
  </si>
  <si>
    <t>20/12/2025 06:15</t>
  </si>
  <si>
    <t>20/12/2025 06:30</t>
  </si>
  <si>
    <t>20/12/2025 06:45</t>
  </si>
  <si>
    <t>20/12/2025 07:00</t>
  </si>
  <si>
    <t>20/12/2025 07:15</t>
  </si>
  <si>
    <t>20/12/2025 07:30</t>
  </si>
  <si>
    <t>20/12/2025 07:45</t>
  </si>
  <si>
    <t>20/12/2025 08:00</t>
  </si>
  <si>
    <t>20/12/2025 08:15</t>
  </si>
  <si>
    <t>20/12/2025 08:30</t>
  </si>
  <si>
    <t>20/12/2025 08:45</t>
  </si>
  <si>
    <t>20/12/2025 09:00</t>
  </si>
  <si>
    <t>20/12/2025 09:15</t>
  </si>
  <si>
    <t>20/12/2025 09:30</t>
  </si>
  <si>
    <t>20/12/2025 09:45</t>
  </si>
  <si>
    <t>20/12/2025 10:00</t>
  </si>
  <si>
    <t>20/12/2025 10:15</t>
  </si>
  <si>
    <t>20/12/2025 10:30</t>
  </si>
  <si>
    <t>20/12/2025 10:45</t>
  </si>
  <si>
    <t>20/12/2025 11:00</t>
  </si>
  <si>
    <t>20/12/2025 11:15</t>
  </si>
  <si>
    <t>20/12/2025 11:30</t>
  </si>
  <si>
    <t>20/12/2025 11:45</t>
  </si>
  <si>
    <t>20/12/2025 12:00</t>
  </si>
  <si>
    <t>20/12/2025 12:15</t>
  </si>
  <si>
    <t>20/12/2025 12:30</t>
  </si>
  <si>
    <t>20/12/2025 12:45</t>
  </si>
  <si>
    <t>20/12/2025 13:00</t>
  </si>
  <si>
    <t>20/12/2025 13:15</t>
  </si>
  <si>
    <t>20/12/2025 13:30</t>
  </si>
  <si>
    <t>20/12/2025 13:45</t>
  </si>
  <si>
    <t>20/12/2025 14:00</t>
  </si>
  <si>
    <t>20/12/2025 14:15</t>
  </si>
  <si>
    <t>20/12/2025 14:30</t>
  </si>
  <si>
    <t>20/12/2025 14:45</t>
  </si>
  <si>
    <t>20/12/2025 15:00</t>
  </si>
  <si>
    <t>20/12/2025 15:15</t>
  </si>
  <si>
    <t>20/12/2025 15:30</t>
  </si>
  <si>
    <t>20/12/2025 15:45</t>
  </si>
  <si>
    <t>20/12/2025 16:00</t>
  </si>
  <si>
    <t>20/12/2025 16:15</t>
  </si>
  <si>
    <t>20/12/2025 16:30</t>
  </si>
  <si>
    <t>20/12/2025 16:45</t>
  </si>
  <si>
    <t>20/12/2025 17:00</t>
  </si>
  <si>
    <t>20/12/2025 17:15</t>
  </si>
  <si>
    <t>20/12/2025 17:30</t>
  </si>
  <si>
    <t>20/12/2025 17:45</t>
  </si>
  <si>
    <t>20/12/2025 18:00</t>
  </si>
  <si>
    <t>20/12/2025 18:15</t>
  </si>
  <si>
    <t>20/12/2025 18:30</t>
  </si>
  <si>
    <t>20/12/2025 18:45</t>
  </si>
  <si>
    <t>20/12/2025 19:00</t>
  </si>
  <si>
    <t>20/12/2025 19:15</t>
  </si>
  <si>
    <t>20/12/2025 19:30</t>
  </si>
  <si>
    <t>20/12/2025 19:45</t>
  </si>
  <si>
    <t>20/12/2025 20:00</t>
  </si>
  <si>
    <t>20/12/2025 20:15</t>
  </si>
  <si>
    <t>20/12/2025 20:30</t>
  </si>
  <si>
    <t>20/12/2025 20:45</t>
  </si>
  <si>
    <t>20/12/2025 21:00</t>
  </si>
  <si>
    <t>20/12/2025 21:15</t>
  </si>
  <si>
    <t>20/12/2025 21:30</t>
  </si>
  <si>
    <t>20/12/2025 21:45</t>
  </si>
  <si>
    <t>20/12/2025 22:00</t>
  </si>
  <si>
    <t>20/12/2025 22:15</t>
  </si>
  <si>
    <t>20/12/2025 22:30</t>
  </si>
  <si>
    <t>20/12/2025 22:45</t>
  </si>
  <si>
    <t>20/12/2025 23:00</t>
  </si>
  <si>
    <t>20/12/2025 23:15</t>
  </si>
  <si>
    <t>20/12/2025 23:30</t>
  </si>
  <si>
    <t>20/12/2025 23:45</t>
  </si>
  <si>
    <t>20/12/2025 24:00</t>
  </si>
  <si>
    <t>21/12/2025 00:15</t>
  </si>
  <si>
    <t>21/12/2025 00:30</t>
  </si>
  <si>
    <t>21/12/2025 00:45</t>
  </si>
  <si>
    <t>21/12/2025 01:00</t>
  </si>
  <si>
    <t>21/12/2025 01:15</t>
  </si>
  <si>
    <t>21/12/2025 01:30</t>
  </si>
  <si>
    <t>21/12/2025 01:45</t>
  </si>
  <si>
    <t>21/12/2025 02:00</t>
  </si>
  <si>
    <t>21/12/2025 02:15</t>
  </si>
  <si>
    <t>21/12/2025 02:30</t>
  </si>
  <si>
    <t>21/12/2025 02:45</t>
  </si>
  <si>
    <t>21/12/2025 03:00</t>
  </si>
  <si>
    <t>21/12/2025 03:15</t>
  </si>
  <si>
    <t>21/12/2025 03:30</t>
  </si>
  <si>
    <t>21/12/2025 03:45</t>
  </si>
  <si>
    <t>21/12/2025 04:00</t>
  </si>
  <si>
    <t>21/12/2025 04:15</t>
  </si>
  <si>
    <t>21/12/2025 04:30</t>
  </si>
  <si>
    <t>21/12/2025 04:45</t>
  </si>
  <si>
    <t>21/12/2025 05:00</t>
  </si>
  <si>
    <t>21/12/2025 05:15</t>
  </si>
  <si>
    <t>21/12/2025 05:30</t>
  </si>
  <si>
    <t>21/12/2025 05:45</t>
  </si>
  <si>
    <t>21/12/2025 06:00</t>
  </si>
  <si>
    <t>21/12/2025 06:15</t>
  </si>
  <si>
    <t>21/12/2025 06:30</t>
  </si>
  <si>
    <t>21/12/2025 06:45</t>
  </si>
  <si>
    <t>21/12/2025 07:00</t>
  </si>
  <si>
    <t>21/12/2025 07:15</t>
  </si>
  <si>
    <t>21/12/2025 07:30</t>
  </si>
  <si>
    <t>21/12/2025 07:45</t>
  </si>
  <si>
    <t>21/12/2025 08:00</t>
  </si>
  <si>
    <t>21/12/2025 08:15</t>
  </si>
  <si>
    <t>21/12/2025 08:30</t>
  </si>
  <si>
    <t>21/12/2025 08:45</t>
  </si>
  <si>
    <t>21/12/2025 09:00</t>
  </si>
  <si>
    <t>21/12/2025 09:15</t>
  </si>
  <si>
    <t>21/12/2025 09:30</t>
  </si>
  <si>
    <t>21/12/2025 09:45</t>
  </si>
  <si>
    <t>21/12/2025 10:00</t>
  </si>
  <si>
    <t>21/12/2025 10:15</t>
  </si>
  <si>
    <t>21/12/2025 10:30</t>
  </si>
  <si>
    <t>21/12/2025 10:45</t>
  </si>
  <si>
    <t>21/12/2025 11:00</t>
  </si>
  <si>
    <t>21/12/2025 11:15</t>
  </si>
  <si>
    <t>21/12/2025 11:30</t>
  </si>
  <si>
    <t>21/12/2025 11:45</t>
  </si>
  <si>
    <t>21/12/2025 12:00</t>
  </si>
  <si>
    <t>21/12/2025 12:15</t>
  </si>
  <si>
    <t>21/12/2025 12:30</t>
  </si>
  <si>
    <t>21/12/2025 12:45</t>
  </si>
  <si>
    <t>21/12/2025 13:00</t>
  </si>
  <si>
    <t>21/12/2025 13:15</t>
  </si>
  <si>
    <t>21/12/2025 13:30</t>
  </si>
  <si>
    <t>21/12/2025 13:45</t>
  </si>
  <si>
    <t>21/12/2025 14:00</t>
  </si>
  <si>
    <t>21/12/2025 14:15</t>
  </si>
  <si>
    <t>21/12/2025 14:30</t>
  </si>
  <si>
    <t>21/12/2025 14:45</t>
  </si>
  <si>
    <t>21/12/2025 15:00</t>
  </si>
  <si>
    <t>21/12/2025 15:15</t>
  </si>
  <si>
    <t>21/12/2025 15:30</t>
  </si>
  <si>
    <t>21/12/2025 15:45</t>
  </si>
  <si>
    <t>21/12/2025 16:00</t>
  </si>
  <si>
    <t>21/12/2025 16:15</t>
  </si>
  <si>
    <t>21/12/2025 16:30</t>
  </si>
  <si>
    <t>21/12/2025 16:45</t>
  </si>
  <si>
    <t>21/12/2025 17:00</t>
  </si>
  <si>
    <t>21/12/2025 17:15</t>
  </si>
  <si>
    <t>21/12/2025 17:30</t>
  </si>
  <si>
    <t>21/12/2025 17:45</t>
  </si>
  <si>
    <t>21/12/2025 18:00</t>
  </si>
  <si>
    <t>21/12/2025 18:15</t>
  </si>
  <si>
    <t>21/12/2025 18:30</t>
  </si>
  <si>
    <t>21/12/2025 18:45</t>
  </si>
  <si>
    <t>21/12/2025 19:00</t>
  </si>
  <si>
    <t>21/12/2025 19:15</t>
  </si>
  <si>
    <t>21/12/2025 19:30</t>
  </si>
  <si>
    <t>21/12/2025 19:45</t>
  </si>
  <si>
    <t>21/12/2025 20:00</t>
  </si>
  <si>
    <t>21/12/2025 20:15</t>
  </si>
  <si>
    <t>21/12/2025 20:30</t>
  </si>
  <si>
    <t>21/12/2025 20:45</t>
  </si>
  <si>
    <t>21/12/2025 21:00</t>
  </si>
  <si>
    <t>21/12/2025 21:15</t>
  </si>
  <si>
    <t>21/12/2025 21:30</t>
  </si>
  <si>
    <t>21/12/2025 21:45</t>
  </si>
  <si>
    <t>21/12/2025 22:00</t>
  </si>
  <si>
    <t>21/12/2025 22:15</t>
  </si>
  <si>
    <t>21/12/2025 22:30</t>
  </si>
  <si>
    <t>21/12/2025 22:45</t>
  </si>
  <si>
    <t>21/12/2025 23:00</t>
  </si>
  <si>
    <t>21/12/2025 23:15</t>
  </si>
  <si>
    <t>21/12/2025 23:30</t>
  </si>
  <si>
    <t>21/12/2025 23:45</t>
  </si>
  <si>
    <t>21/12/2025 24:00</t>
  </si>
  <si>
    <t>22/12/2025 00:15</t>
  </si>
  <si>
    <t>22/12/2025 00:30</t>
  </si>
  <si>
    <t>22/12/2025 00:45</t>
  </si>
  <si>
    <t>22/12/2025 01:00</t>
  </si>
  <si>
    <t>22/12/2025 01:15</t>
  </si>
  <si>
    <t>22/12/2025 01:30</t>
  </si>
  <si>
    <t>22/12/2025 01:45</t>
  </si>
  <si>
    <t>22/12/2025 02:00</t>
  </si>
  <si>
    <t>22/12/2025 02:15</t>
  </si>
  <si>
    <t>22/12/2025 02:30</t>
  </si>
  <si>
    <t>22/12/2025 02:45</t>
  </si>
  <si>
    <t>22/12/2025 03:00</t>
  </si>
  <si>
    <t>22/12/2025 03:15</t>
  </si>
  <si>
    <t>22/12/2025 03:30</t>
  </si>
  <si>
    <t>22/12/2025 03:45</t>
  </si>
  <si>
    <t>22/12/2025 04:00</t>
  </si>
  <si>
    <t>22/12/2025 04:15</t>
  </si>
  <si>
    <t>22/12/2025 04:30</t>
  </si>
  <si>
    <t>22/12/2025 04:45</t>
  </si>
  <si>
    <t>22/12/2025 05:00</t>
  </si>
  <si>
    <t>22/12/2025 05:15</t>
  </si>
  <si>
    <t>22/12/2025 05:30</t>
  </si>
  <si>
    <t>22/12/2025 05:45</t>
  </si>
  <si>
    <t>22/12/2025 06:00</t>
  </si>
  <si>
    <t>22/12/2025 06:15</t>
  </si>
  <si>
    <t>22/12/2025 06:30</t>
  </si>
  <si>
    <t>22/12/2025 06:45</t>
  </si>
  <si>
    <t>22/12/2025 07:00</t>
  </si>
  <si>
    <t>22/12/2025 07:15</t>
  </si>
  <si>
    <t>22/12/2025 07:30</t>
  </si>
  <si>
    <t>22/12/2025 07:45</t>
  </si>
  <si>
    <t>22/12/2025 08:00</t>
  </si>
  <si>
    <t>22/12/2025 08:15</t>
  </si>
  <si>
    <t>22/12/2025 08:30</t>
  </si>
  <si>
    <t>22/12/2025 08:45</t>
  </si>
  <si>
    <t>22/12/2025 09:00</t>
  </si>
  <si>
    <t>22/12/2025 09:15</t>
  </si>
  <si>
    <t>22/12/2025 09:30</t>
  </si>
  <si>
    <t>22/12/2025 09:45</t>
  </si>
  <si>
    <t>22/12/2025 10:00</t>
  </si>
  <si>
    <t>22/12/2025 10:15</t>
  </si>
  <si>
    <t>22/12/2025 10:30</t>
  </si>
  <si>
    <t>22/12/2025 10:45</t>
  </si>
  <si>
    <t>22/12/2025 11:00</t>
  </si>
  <si>
    <t>22/12/2025 11:15</t>
  </si>
  <si>
    <t>22/12/2025 11:30</t>
  </si>
  <si>
    <t>22/12/2025 11:45</t>
  </si>
  <si>
    <t>22/12/2025 12:00</t>
  </si>
  <si>
    <t>22/12/2025 12:15</t>
  </si>
  <si>
    <t>22/12/2025 12:30</t>
  </si>
  <si>
    <t>22/12/2025 12:45</t>
  </si>
  <si>
    <t>22/12/2025 13:00</t>
  </si>
  <si>
    <t>22/12/2025 13:15</t>
  </si>
  <si>
    <t>22/12/2025 13:30</t>
  </si>
  <si>
    <t>22/12/2025 13:45</t>
  </si>
  <si>
    <t>22/12/2025 14:00</t>
  </si>
  <si>
    <t>22/12/2025 14:15</t>
  </si>
  <si>
    <t>22/12/2025 14:30</t>
  </si>
  <si>
    <t>22/12/2025 14:45</t>
  </si>
  <si>
    <t>22/12/2025 15:00</t>
  </si>
  <si>
    <t>22/12/2025 15:15</t>
  </si>
  <si>
    <t>22/12/2025 15:30</t>
  </si>
  <si>
    <t>22/12/2025 15:45</t>
  </si>
  <si>
    <t>22/12/2025 16:00</t>
  </si>
  <si>
    <t>22/12/2025 16:15</t>
  </si>
  <si>
    <t>22/12/2025 16:30</t>
  </si>
  <si>
    <t>22/12/2025 16:45</t>
  </si>
  <si>
    <t>22/12/2025 17:00</t>
  </si>
  <si>
    <t>22/12/2025 17:15</t>
  </si>
  <si>
    <t>22/12/2025 17:30</t>
  </si>
  <si>
    <t>22/12/2025 17:45</t>
  </si>
  <si>
    <t>22/12/2025 18:00</t>
  </si>
  <si>
    <t>22/12/2025 18:15</t>
  </si>
  <si>
    <t>22/12/2025 18:30</t>
  </si>
  <si>
    <t>22/12/2025 18:45</t>
  </si>
  <si>
    <t>22/12/2025 19:00</t>
  </si>
  <si>
    <t>22/12/2025 19:15</t>
  </si>
  <si>
    <t>22/12/2025 19:30</t>
  </si>
  <si>
    <t>22/12/2025 19:45</t>
  </si>
  <si>
    <t>22/12/2025 20:00</t>
  </si>
  <si>
    <t>22/12/2025 20:15</t>
  </si>
  <si>
    <t>22/12/2025 20:30</t>
  </si>
  <si>
    <t>22/12/2025 20:45</t>
  </si>
  <si>
    <t>22/12/2025 21:00</t>
  </si>
  <si>
    <t>22/12/2025 21:15</t>
  </si>
  <si>
    <t>22/12/2025 21:30</t>
  </si>
  <si>
    <t>22/12/2025 21:45</t>
  </si>
  <si>
    <t>22/12/2025 22:00</t>
  </si>
  <si>
    <t>22/12/2025 22:15</t>
  </si>
  <si>
    <t>22/12/2025 22:30</t>
  </si>
  <si>
    <t>22/12/2025 22:45</t>
  </si>
  <si>
    <t>22/12/2025 23:00</t>
  </si>
  <si>
    <t>22/12/2025 23:15</t>
  </si>
  <si>
    <t>22/12/2025 23:30</t>
  </si>
  <si>
    <t>22/12/2025 23:45</t>
  </si>
  <si>
    <t>22/12/2025 24:00</t>
  </si>
  <si>
    <t>rk</t>
  </si>
  <si>
    <t>23/12/2025 00:15</t>
  </si>
  <si>
    <t>23/12/2025 00:30</t>
  </si>
  <si>
    <t>23/12/2025 00:45</t>
  </si>
  <si>
    <t>23/12/2025 01:00</t>
  </si>
  <si>
    <t>23/12/2025 01:15</t>
  </si>
  <si>
    <t>23/12/2025 01:30</t>
  </si>
  <si>
    <t>23/12/2025 01:45</t>
  </si>
  <si>
    <t>23/12/2025 02:00</t>
  </si>
  <si>
    <t>23/12/2025 02:15</t>
  </si>
  <si>
    <t>23/12/2025 02:30</t>
  </si>
  <si>
    <t>23/12/2025 02:45</t>
  </si>
  <si>
    <t>23/12/2025 03:00</t>
  </si>
  <si>
    <t>23/12/2025 03:15</t>
  </si>
  <si>
    <t>23/12/2025 03:30</t>
  </si>
  <si>
    <t>23/12/2025 03:45</t>
  </si>
  <si>
    <t>23/12/2025 04:00</t>
  </si>
  <si>
    <t>23/12/2025 04:15</t>
  </si>
  <si>
    <t>23/12/2025 04:30</t>
  </si>
  <si>
    <t>23/12/2025 04:45</t>
  </si>
  <si>
    <t>23/12/2025 05:00</t>
  </si>
  <si>
    <t>23/12/2025 05:15</t>
  </si>
  <si>
    <t>23/12/2025 05:30</t>
  </si>
  <si>
    <t>23/12/2025 05:45</t>
  </si>
  <si>
    <t>23/12/2025 06:00</t>
  </si>
  <si>
    <t>23/12/2025 06:15</t>
  </si>
  <si>
    <t>23/12/2025 06:30</t>
  </si>
  <si>
    <t>23/12/2025 06:45</t>
  </si>
  <si>
    <t>23/12/2025 07:00</t>
  </si>
  <si>
    <t>23/12/2025 07:15</t>
  </si>
  <si>
    <t>23/12/2025 07:30</t>
  </si>
  <si>
    <t>23/12/2025 07:45</t>
  </si>
  <si>
    <t>23/12/2025 08:00</t>
  </si>
  <si>
    <t>23/12/2025 08:15</t>
  </si>
  <si>
    <t>23/12/2025 08:30</t>
  </si>
  <si>
    <t>23/12/2025 08:45</t>
  </si>
  <si>
    <t>23/12/2025 09:00</t>
  </si>
  <si>
    <t>23/12/2025 09:15</t>
  </si>
  <si>
    <t>23/12/2025 09:30</t>
  </si>
  <si>
    <t>23/12/2025 09:45</t>
  </si>
  <si>
    <t>23/12/2025 10:00</t>
  </si>
  <si>
    <t>23/12/2025 10:15</t>
  </si>
  <si>
    <t>23/12/2025 10:30</t>
  </si>
  <si>
    <t>23/12/2025 10:45</t>
  </si>
  <si>
    <t>23/12/2025 11:00</t>
  </si>
  <si>
    <t>23/12/2025 11:15</t>
  </si>
  <si>
    <t>23/12/2025 11:30</t>
  </si>
  <si>
    <t>23/12/2025 11:45</t>
  </si>
  <si>
    <t>23/12/2025 12:00</t>
  </si>
  <si>
    <t>23/12/2025 12:15</t>
  </si>
  <si>
    <t>23/12/2025 12:30</t>
  </si>
  <si>
    <t>23/12/2025 12:45</t>
  </si>
  <si>
    <t>23/12/2025 13:00</t>
  </si>
  <si>
    <t>23/12/2025 13:15</t>
  </si>
  <si>
    <t>23/12/2025 13:30</t>
  </si>
  <si>
    <t>23/12/2025 13:45</t>
  </si>
  <si>
    <t>23/12/2025 14:00</t>
  </si>
  <si>
    <t>23/12/2025 14:15</t>
  </si>
  <si>
    <t>23/12/2025 14:30</t>
  </si>
  <si>
    <t>23/12/2025 14:45</t>
  </si>
  <si>
    <t>23/12/2025 15:00</t>
  </si>
  <si>
    <t>23/12/2025 15:15</t>
  </si>
  <si>
    <t>23/12/2025 15:30</t>
  </si>
  <si>
    <t>23/12/2025 15:45</t>
  </si>
  <si>
    <t>23/12/2025 16:00</t>
  </si>
  <si>
    <t>23/12/2025 16:15</t>
  </si>
  <si>
    <t>23/12/2025 16:30</t>
  </si>
  <si>
    <t>23/12/2025 16:45</t>
  </si>
  <si>
    <t>23/12/2025 17:00</t>
  </si>
  <si>
    <t>23/12/2025 17:15</t>
  </si>
  <si>
    <t>23/12/2025 17:30</t>
  </si>
  <si>
    <t>23/12/2025 17:45</t>
  </si>
  <si>
    <t>23/12/2025 18:00</t>
  </si>
  <si>
    <t>23/12/2025 18:15</t>
  </si>
  <si>
    <t>23/12/2025 18:30</t>
  </si>
  <si>
    <t>23/12/2025 18:45</t>
  </si>
  <si>
    <t>23/12/2025 19:00</t>
  </si>
  <si>
    <t>23/12/2025 19:15</t>
  </si>
  <si>
    <t>23/12/2025 19:30</t>
  </si>
  <si>
    <t>23/12/2025 19:45</t>
  </si>
  <si>
    <t>23/12/2025 20:00</t>
  </si>
  <si>
    <t>23/12/2025 20:15</t>
  </si>
  <si>
    <t>23/12/2025 20:30</t>
  </si>
  <si>
    <t>23/12/2025 20:45</t>
  </si>
  <si>
    <t>23/12/2025 21:00</t>
  </si>
  <si>
    <t>23/12/2025 21:15</t>
  </si>
  <si>
    <t>23/12/2025 21:30</t>
  </si>
  <si>
    <t>23/12/2025 21:45</t>
  </si>
  <si>
    <t>23/12/2025 22:00</t>
  </si>
  <si>
    <t>23/12/2025 22:15</t>
  </si>
  <si>
    <t>23/12/2025 22:30</t>
  </si>
  <si>
    <t>23/12/2025 22:45</t>
  </si>
  <si>
    <t>23/12/2025 23:00</t>
  </si>
  <si>
    <t>23/12/2025 23:15</t>
  </si>
  <si>
    <t>23/12/2025 23:30</t>
  </si>
  <si>
    <t>23/12/2025 23:45</t>
  </si>
  <si>
    <t>23/12/2025 24:00</t>
  </si>
  <si>
    <t>24/12/2025 00:15</t>
  </si>
  <si>
    <t>24/12/2025 00:30</t>
  </si>
  <si>
    <t>24/12/2025 00:45</t>
  </si>
  <si>
    <t>24/12/2025 01:00</t>
  </si>
  <si>
    <t>24/12/2025 01:15</t>
  </si>
  <si>
    <t>24/12/2025 01:30</t>
  </si>
  <si>
    <t>24/12/2025 01:45</t>
  </si>
  <si>
    <t>24/12/2025 02:00</t>
  </si>
  <si>
    <t>24/12/2025 02:15</t>
  </si>
  <si>
    <t>24/12/2025 02:30</t>
  </si>
  <si>
    <t>24/12/2025 02:45</t>
  </si>
  <si>
    <t>24/12/2025 03:00</t>
  </si>
  <si>
    <t>24/12/2025 03:15</t>
  </si>
  <si>
    <t>24/12/2025 03:30</t>
  </si>
  <si>
    <t>24/12/2025 03:45</t>
  </si>
  <si>
    <t>24/12/2025 04:00</t>
  </si>
  <si>
    <t>24/12/2025 04:15</t>
  </si>
  <si>
    <t>24/12/2025 04:30</t>
  </si>
  <si>
    <t>24/12/2025 04:45</t>
  </si>
  <si>
    <t>24/12/2025 05:00</t>
  </si>
  <si>
    <t>24/12/2025 05:15</t>
  </si>
  <si>
    <t>24/12/2025 05:30</t>
  </si>
  <si>
    <t>24/12/2025 05:45</t>
  </si>
  <si>
    <t>24/12/2025 06:00</t>
  </si>
  <si>
    <t>24/12/2025 06:15</t>
  </si>
  <si>
    <t>24/12/2025 06:30</t>
  </si>
  <si>
    <t>24/12/2025 06:45</t>
  </si>
  <si>
    <t>24/12/2025 07:00</t>
  </si>
  <si>
    <t>24/12/2025 07:15</t>
  </si>
  <si>
    <t>24/12/2025 07:30</t>
  </si>
  <si>
    <t>24/12/2025 07:45</t>
  </si>
  <si>
    <t>24/12/2025 08:00</t>
  </si>
  <si>
    <t>24/12/2025 08:15</t>
  </si>
  <si>
    <t>24/12/2025 08:30</t>
  </si>
  <si>
    <t>24/12/2025 08:45</t>
  </si>
  <si>
    <t>24/12/2025 09:00</t>
  </si>
  <si>
    <t>24/12/2025 09:15</t>
  </si>
  <si>
    <t>24/12/2025 09:30</t>
  </si>
  <si>
    <t>24/12/2025 09:45</t>
  </si>
  <si>
    <t>24/12/2025 10:00</t>
  </si>
  <si>
    <t>24/12/2025 10:15</t>
  </si>
  <si>
    <t>24/12/2025 10:30</t>
  </si>
  <si>
    <t>24/12/2025 10:45</t>
  </si>
  <si>
    <t>24/12/2025 11:00</t>
  </si>
  <si>
    <t>24/12/2025 11:15</t>
  </si>
  <si>
    <t>24/12/2025 11:30</t>
  </si>
  <si>
    <t>24/12/2025 11:45</t>
  </si>
  <si>
    <t>24/12/2025 12:00</t>
  </si>
  <si>
    <t>24/12/2025 12:15</t>
  </si>
  <si>
    <t>24/12/2025 12:30</t>
  </si>
  <si>
    <t>24/12/2025 12:45</t>
  </si>
  <si>
    <t>24/12/2025 13:00</t>
  </si>
  <si>
    <t>24/12/2025 13:15</t>
  </si>
  <si>
    <t>24/12/2025 13:30</t>
  </si>
  <si>
    <t>24/12/2025 13:45</t>
  </si>
  <si>
    <t>24/12/2025 14:00</t>
  </si>
  <si>
    <t>24/12/2025 14:15</t>
  </si>
  <si>
    <t>24/12/2025 14:30</t>
  </si>
  <si>
    <t>24/12/2025 14:45</t>
  </si>
  <si>
    <t>24/12/2025 15:00</t>
  </si>
  <si>
    <t>24/12/2025 15:15</t>
  </si>
  <si>
    <t>24/12/2025 15:30</t>
  </si>
  <si>
    <t>24/12/2025 15:45</t>
  </si>
  <si>
    <t>24/12/2025 16:00</t>
  </si>
  <si>
    <t>24/12/2025 16:15</t>
  </si>
  <si>
    <t>24/12/2025 16:30</t>
  </si>
  <si>
    <t>24/12/2025 16:45</t>
  </si>
  <si>
    <t>24/12/2025 17:00</t>
  </si>
  <si>
    <t>24/12/2025 17:15</t>
  </si>
  <si>
    <t>24/12/2025 17:30</t>
  </si>
  <si>
    <t>24/12/2025 17:45</t>
  </si>
  <si>
    <t>24/12/2025 18:00</t>
  </si>
  <si>
    <t>24/12/2025 18:15</t>
  </si>
  <si>
    <t>24/12/2025 18:30</t>
  </si>
  <si>
    <t>24/12/2025 18:45</t>
  </si>
  <si>
    <t>24/12/2025 19:00</t>
  </si>
  <si>
    <t>24/12/2025 19:15</t>
  </si>
  <si>
    <t>24/12/2025 19:30</t>
  </si>
  <si>
    <t>24/12/2025 19:45</t>
  </si>
  <si>
    <t>24/12/2025 20:00</t>
  </si>
  <si>
    <t>24/12/2025 20:15</t>
  </si>
  <si>
    <t>24/12/2025 20:30</t>
  </si>
  <si>
    <t>24/12/2025 20:45</t>
  </si>
  <si>
    <t>24/12/2025 21:00</t>
  </si>
  <si>
    <t>24/12/2025 21:15</t>
  </si>
  <si>
    <t>24/12/2025 21:30</t>
  </si>
  <si>
    <t>24/12/2025 21:45</t>
  </si>
  <si>
    <t>24/12/2025 22:00</t>
  </si>
  <si>
    <t>24/12/2025 22:15</t>
  </si>
  <si>
    <t>24/12/2025 22:30</t>
  </si>
  <si>
    <t>24/12/2025 22:45</t>
  </si>
  <si>
    <t>24/12/2025 23:00</t>
  </si>
  <si>
    <t>24/12/2025 23:15</t>
  </si>
  <si>
    <t>24/12/2025 23:30</t>
  </si>
  <si>
    <t>24/12/2025 23:45</t>
  </si>
  <si>
    <t>24/12/2025 24:00</t>
  </si>
  <si>
    <t>25/12/2025 00:15</t>
  </si>
  <si>
    <t>25/12/2025 00:30</t>
  </si>
  <si>
    <t>25/12/2025 00:45</t>
  </si>
  <si>
    <t>25/12/2025 01:00</t>
  </si>
  <si>
    <t>25/12/2025 01:15</t>
  </si>
  <si>
    <t>25/12/2025 01:30</t>
  </si>
  <si>
    <t>25/12/2025 01:45</t>
  </si>
  <si>
    <t>25/12/2025 02:00</t>
  </si>
  <si>
    <t>25/12/2025 02:15</t>
  </si>
  <si>
    <t>25/12/2025 02:30</t>
  </si>
  <si>
    <t>25/12/2025 02:45</t>
  </si>
  <si>
    <t>25/12/2025 03:00</t>
  </si>
  <si>
    <t>25/12/2025 03:15</t>
  </si>
  <si>
    <t>25/12/2025 03:30</t>
  </si>
  <si>
    <t>25/12/2025 03:45</t>
  </si>
  <si>
    <t>25/12/2025 04:00</t>
  </si>
  <si>
    <t>25/12/2025 04:15</t>
  </si>
  <si>
    <t>25/12/2025 04:30</t>
  </si>
  <si>
    <t>25/12/2025 04:45</t>
  </si>
  <si>
    <t>25/12/2025 05:00</t>
  </si>
  <si>
    <t>25/12/2025 05:15</t>
  </si>
  <si>
    <t>25/12/2025 05:30</t>
  </si>
  <si>
    <t>25/12/2025 05:45</t>
  </si>
  <si>
    <t>25/12/2025 06:00</t>
  </si>
  <si>
    <t>25/12/2025 06:15</t>
  </si>
  <si>
    <t>25/12/2025 06:30</t>
  </si>
  <si>
    <t>25/12/2025 06:45</t>
  </si>
  <si>
    <t>25/12/2025 07:00</t>
  </si>
  <si>
    <t>25/12/2025 07:15</t>
  </si>
  <si>
    <t>25/12/2025 07:30</t>
  </si>
  <si>
    <t>25/12/2025 07:45</t>
  </si>
  <si>
    <t>25/12/2025 08:00</t>
  </si>
  <si>
    <t>25/12/2025 08:15</t>
  </si>
  <si>
    <t>25/12/2025 08:30</t>
  </si>
  <si>
    <t>25/12/2025 08:45</t>
  </si>
  <si>
    <t>25/12/2025 09:00</t>
  </si>
  <si>
    <t>25/12/2025 09:15</t>
  </si>
  <si>
    <t>25/12/2025 09:30</t>
  </si>
  <si>
    <t>25/12/2025 09:45</t>
  </si>
  <si>
    <t>25/12/2025 10:00</t>
  </si>
  <si>
    <t>25/12/2025 10:15</t>
  </si>
  <si>
    <t>25/12/2025 10:30</t>
  </si>
  <si>
    <t>25/12/2025 10:45</t>
  </si>
  <si>
    <t>25/12/2025 11:00</t>
  </si>
  <si>
    <t>25/12/2025 11:15</t>
  </si>
  <si>
    <t>25/12/2025 11:30</t>
  </si>
  <si>
    <t>25/12/2025 11:45</t>
  </si>
  <si>
    <t>25/12/2025 12:00</t>
  </si>
  <si>
    <t>25/12/2025 12:15</t>
  </si>
  <si>
    <t>25/12/2025 12:30</t>
  </si>
  <si>
    <t>25/12/2025 12:45</t>
  </si>
  <si>
    <t>25/12/2025 13:00</t>
  </si>
  <si>
    <t>25/12/2025 13:15</t>
  </si>
  <si>
    <t>25/12/2025 13:30</t>
  </si>
  <si>
    <t>25/12/2025 13:45</t>
  </si>
  <si>
    <t>25/12/2025 14:00</t>
  </si>
  <si>
    <t>25/12/2025 14:15</t>
  </si>
  <si>
    <t>25/12/2025 14:30</t>
  </si>
  <si>
    <t>25/12/2025 14:45</t>
  </si>
  <si>
    <t>25/12/2025 15:00</t>
  </si>
  <si>
    <t>25/12/2025 15:15</t>
  </si>
  <si>
    <t>25/12/2025 15:30</t>
  </si>
  <si>
    <t>25/12/2025 15:45</t>
  </si>
  <si>
    <t>25/12/2025 16:00</t>
  </si>
  <si>
    <t>25/12/2025 16:15</t>
  </si>
  <si>
    <t>25/12/2025 16:30</t>
  </si>
  <si>
    <t>25/12/2025 16:45</t>
  </si>
  <si>
    <t>25/12/2025 17:00</t>
  </si>
  <si>
    <t>25/12/2025 17:15</t>
  </si>
  <si>
    <t>25/12/2025 17:30</t>
  </si>
  <si>
    <t>25/12/2025 17:45</t>
  </si>
  <si>
    <t>25/12/2025 18:00</t>
  </si>
  <si>
    <t>25/12/2025 18:15</t>
  </si>
  <si>
    <t>25/12/2025 18:30</t>
  </si>
  <si>
    <t>25/12/2025 18:45</t>
  </si>
  <si>
    <t>25/12/2025 19:00</t>
  </si>
  <si>
    <t>25/12/2025 19:15</t>
  </si>
  <si>
    <t>25/12/2025 19:30</t>
  </si>
  <si>
    <t>25/12/2025 19:45</t>
  </si>
  <si>
    <t>25/12/2025 20:00</t>
  </si>
  <si>
    <t>25/12/2025 20:15</t>
  </si>
  <si>
    <t>25/12/2025 20:30</t>
  </si>
  <si>
    <t>25/12/2025 20:45</t>
  </si>
  <si>
    <t>25/12/2025 21:00</t>
  </si>
  <si>
    <t>25/12/2025 21:15</t>
  </si>
  <si>
    <t>25/12/2025 21:30</t>
  </si>
  <si>
    <t>25/12/2025 21:45</t>
  </si>
  <si>
    <t>25/12/2025 22:00</t>
  </si>
  <si>
    <t>25/12/2025 22:15</t>
  </si>
  <si>
    <t>25/12/2025 22:30</t>
  </si>
  <si>
    <t>25/12/2025 22:45</t>
  </si>
  <si>
    <t>25/12/2025 23:00</t>
  </si>
  <si>
    <t>25/12/2025 23:15</t>
  </si>
  <si>
    <t>25/12/2025 23:30</t>
  </si>
  <si>
    <t>25/12/2025 23:45</t>
  </si>
  <si>
    <t>25/12/2025 24:00</t>
  </si>
  <si>
    <t>26/12/2025 00:15</t>
  </si>
  <si>
    <t>26/12/2025 00:30</t>
  </si>
  <si>
    <t>26/12/2025 00:45</t>
  </si>
  <si>
    <t>26/12/2025 01:00</t>
  </si>
  <si>
    <t>26/12/2025 01:15</t>
  </si>
  <si>
    <t>26/12/2025 01:30</t>
  </si>
  <si>
    <t>26/12/2025 01:45</t>
  </si>
  <si>
    <t>26/12/2025 02:00</t>
  </si>
  <si>
    <t>26/12/2025 02:15</t>
  </si>
  <si>
    <t>26/12/2025 02:30</t>
  </si>
  <si>
    <t>26/12/2025 02:45</t>
  </si>
  <si>
    <t>26/12/2025 03:00</t>
  </si>
  <si>
    <t>26/12/2025 03:15</t>
  </si>
  <si>
    <t>26/12/2025 03:30</t>
  </si>
  <si>
    <t>26/12/2025 03:45</t>
  </si>
  <si>
    <t>26/12/2025 04:00</t>
  </si>
  <si>
    <t>26/12/2025 04:15</t>
  </si>
  <si>
    <t>26/12/2025 04:30</t>
  </si>
  <si>
    <t>26/12/2025 04:45</t>
  </si>
  <si>
    <t>26/12/2025 05:00</t>
  </si>
  <si>
    <t>26/12/2025 05:15</t>
  </si>
  <si>
    <t>26/12/2025 05:30</t>
  </si>
  <si>
    <t>26/12/2025 05:45</t>
  </si>
  <si>
    <t>26/12/2025 06:00</t>
  </si>
  <si>
    <t>26/12/2025 06:15</t>
  </si>
  <si>
    <t>26/12/2025 06:30</t>
  </si>
  <si>
    <t>26/12/2025 06:45</t>
  </si>
  <si>
    <t>26/12/2025 07:00</t>
  </si>
  <si>
    <t>26/12/2025 07:15</t>
  </si>
  <si>
    <t>26/12/2025 07:30</t>
  </si>
  <si>
    <t>26/12/2025 07:45</t>
  </si>
  <si>
    <t>26/12/2025 08:00</t>
  </si>
  <si>
    <t>26/12/2025 08:15</t>
  </si>
  <si>
    <t>26/12/2025 08:30</t>
  </si>
  <si>
    <t>26/12/2025 08:45</t>
  </si>
  <si>
    <t>26/12/2025 09:00</t>
  </si>
  <si>
    <t>26/12/2025 09:15</t>
  </si>
  <si>
    <t>26/12/2025 09:30</t>
  </si>
  <si>
    <t>26/12/2025 09:45</t>
  </si>
  <si>
    <t>26/12/2025 10:00</t>
  </si>
  <si>
    <t>26/12/2025 10:15</t>
  </si>
  <si>
    <t>26/12/2025 10:30</t>
  </si>
  <si>
    <t>26/12/2025 10:45</t>
  </si>
  <si>
    <t>26/12/2025 11:00</t>
  </si>
  <si>
    <t>26/12/2025 11:15</t>
  </si>
  <si>
    <t>26/12/2025 11:30</t>
  </si>
  <si>
    <t>26/12/2025 11:45</t>
  </si>
  <si>
    <t>26/12/2025 12:00</t>
  </si>
  <si>
    <t>26/12/2025 12:15</t>
  </si>
  <si>
    <t>26/12/2025 12:30</t>
  </si>
  <si>
    <t>26/12/2025 12:45</t>
  </si>
  <si>
    <t>26/12/2025 13:00</t>
  </si>
  <si>
    <t>26/12/2025 13:15</t>
  </si>
  <si>
    <t>26/12/2025 13:30</t>
  </si>
  <si>
    <t>26/12/2025 13:45</t>
  </si>
  <si>
    <t>26/12/2025 14:00</t>
  </si>
  <si>
    <t>26/12/2025 14:15</t>
  </si>
  <si>
    <t>26/12/2025 14:30</t>
  </si>
  <si>
    <t>26/12/2025 14:45</t>
  </si>
  <si>
    <t>26/12/2025 15:00</t>
  </si>
  <si>
    <t>26/12/2025 15:15</t>
  </si>
  <si>
    <t>26/12/2025 15:30</t>
  </si>
  <si>
    <t>26/12/2025 15:45</t>
  </si>
  <si>
    <t>26/12/2025 16:00</t>
  </si>
  <si>
    <t>26/12/2025 16:15</t>
  </si>
  <si>
    <t>26/12/2025 16:30</t>
  </si>
  <si>
    <t>26/12/2025 16:45</t>
  </si>
  <si>
    <t>26/12/2025 17:00</t>
  </si>
  <si>
    <t>26/12/2025 17:15</t>
  </si>
  <si>
    <t>26/12/2025 17:30</t>
  </si>
  <si>
    <t>26/12/2025 17:45</t>
  </si>
  <si>
    <t>26/12/2025 18:00</t>
  </si>
  <si>
    <t>26/12/2025 18:15</t>
  </si>
  <si>
    <t>26/12/2025 18:30</t>
  </si>
  <si>
    <t>26/12/2025 18:45</t>
  </si>
  <si>
    <t>26/12/2025 19:00</t>
  </si>
  <si>
    <t>26/12/2025 19:15</t>
  </si>
  <si>
    <t>26/12/2025 19:30</t>
  </si>
  <si>
    <t>26/12/2025 19:45</t>
  </si>
  <si>
    <t>26/12/2025 20:00</t>
  </si>
  <si>
    <t>26/12/2025 20:15</t>
  </si>
  <si>
    <t>26/12/2025 20:30</t>
  </si>
  <si>
    <t>26/12/2025 20:45</t>
  </si>
  <si>
    <t>26/12/2025 21:00</t>
  </si>
  <si>
    <t>26/12/2025 21:15</t>
  </si>
  <si>
    <t>26/12/2025 21:30</t>
  </si>
  <si>
    <t>26/12/2025 21:45</t>
  </si>
  <si>
    <t>26/12/2025 22:00</t>
  </si>
  <si>
    <t>26/12/2025 22:15</t>
  </si>
  <si>
    <t>26/12/2025 22:30</t>
  </si>
  <si>
    <t>26/12/2025 22:45</t>
  </si>
  <si>
    <t>26/12/2025 23:00</t>
  </si>
  <si>
    <t>26/12/2025 23:15</t>
  </si>
  <si>
    <t>26/12/2025 23:30</t>
  </si>
  <si>
    <t>26/12/2025 23:45</t>
  </si>
  <si>
    <t>26/12/2025 24:00</t>
  </si>
  <si>
    <t>27/12/2025 00:15</t>
  </si>
  <si>
    <t>27/12/2025 00:30</t>
  </si>
  <si>
    <t>27/12/2025 00:45</t>
  </si>
  <si>
    <t>27/12/2025 01:00</t>
  </si>
  <si>
    <t>27/12/2025 01:15</t>
  </si>
  <si>
    <t>27/12/2025 01:30</t>
  </si>
  <si>
    <t>27/12/2025 01:45</t>
  </si>
  <si>
    <t>27/12/2025 02:00</t>
  </si>
  <si>
    <t>27/12/2025 02:15</t>
  </si>
  <si>
    <t>27/12/2025 02:30</t>
  </si>
  <si>
    <t>27/12/2025 02:45</t>
  </si>
  <si>
    <t>27/12/2025 03:00</t>
  </si>
  <si>
    <t>27/12/2025 03:15</t>
  </si>
  <si>
    <t>27/12/2025 03:30</t>
  </si>
  <si>
    <t>27/12/2025 03:45</t>
  </si>
  <si>
    <t>27/12/2025 04:00</t>
  </si>
  <si>
    <t>27/12/2025 04:15</t>
  </si>
  <si>
    <t>27/12/2025 04:30</t>
  </si>
  <si>
    <t>27/12/2025 04:45</t>
  </si>
  <si>
    <t>27/12/2025 05:00</t>
  </si>
  <si>
    <t>27/12/2025 05:15</t>
  </si>
  <si>
    <t>27/12/2025 05:30</t>
  </si>
  <si>
    <t>27/12/2025 05:45</t>
  </si>
  <si>
    <t>27/12/2025 06:00</t>
  </si>
  <si>
    <t>27/12/2025 06:15</t>
  </si>
  <si>
    <t>27/12/2025 06:30</t>
  </si>
  <si>
    <t>27/12/2025 06:45</t>
  </si>
  <si>
    <t>27/12/2025 07:00</t>
  </si>
  <si>
    <t>27/12/2025 07:15</t>
  </si>
  <si>
    <t>27/12/2025 07:30</t>
  </si>
  <si>
    <t>27/12/2025 07:45</t>
  </si>
  <si>
    <t>27/12/2025 08:00</t>
  </si>
  <si>
    <t>27/12/2025 08:15</t>
  </si>
  <si>
    <t>27/12/2025 08:30</t>
  </si>
  <si>
    <t>27/12/2025 08:45</t>
  </si>
  <si>
    <t>27/12/2025 09:00</t>
  </si>
  <si>
    <t>27/12/2025 09:15</t>
  </si>
  <si>
    <t>27/12/2025 09:30</t>
  </si>
  <si>
    <t>27/12/2025 09:45</t>
  </si>
  <si>
    <t>27/12/2025 10:00</t>
  </si>
  <si>
    <t>27/12/2025 10:15</t>
  </si>
  <si>
    <t>27/12/2025 10:30</t>
  </si>
  <si>
    <t>27/12/2025 10:45</t>
  </si>
  <si>
    <t>27/12/2025 11:00</t>
  </si>
  <si>
    <t>27/12/2025 11:15</t>
  </si>
  <si>
    <t>27/12/2025 11:30</t>
  </si>
  <si>
    <t>27/12/2025 11:45</t>
  </si>
  <si>
    <t>27/12/2025 12:00</t>
  </si>
  <si>
    <t>27/12/2025 12:15</t>
  </si>
  <si>
    <t>27/12/2025 12:30</t>
  </si>
  <si>
    <t>27/12/2025 12:45</t>
  </si>
  <si>
    <t>27/12/2025 13:00</t>
  </si>
  <si>
    <t>27/12/2025 13:15</t>
  </si>
  <si>
    <t>27/12/2025 13:30</t>
  </si>
  <si>
    <t>27/12/2025 13:45</t>
  </si>
  <si>
    <t>27/12/2025 14:00</t>
  </si>
  <si>
    <t>27/12/2025 14:15</t>
  </si>
  <si>
    <t>27/12/2025 14:30</t>
  </si>
  <si>
    <t>27/12/2025 14:45</t>
  </si>
  <si>
    <t>27/12/2025 15:00</t>
  </si>
  <si>
    <t>27/12/2025 15:15</t>
  </si>
  <si>
    <t>27/12/2025 15:30</t>
  </si>
  <si>
    <t>27/12/2025 15:45</t>
  </si>
  <si>
    <t>27/12/2025 16:00</t>
  </si>
  <si>
    <t>27/12/2025 16:15</t>
  </si>
  <si>
    <t>27/12/2025 16:30</t>
  </si>
  <si>
    <t>27/12/2025 16:45</t>
  </si>
  <si>
    <t>27/12/2025 17:00</t>
  </si>
  <si>
    <t>27/12/2025 17:15</t>
  </si>
  <si>
    <t>27/12/2025 17:30</t>
  </si>
  <si>
    <t>27/12/2025 17:45</t>
  </si>
  <si>
    <t>27/12/2025 18:00</t>
  </si>
  <si>
    <t>27/12/2025 18:15</t>
  </si>
  <si>
    <t>27/12/2025 18:30</t>
  </si>
  <si>
    <t>27/12/2025 18:45</t>
  </si>
  <si>
    <t>27/12/2025 19:00</t>
  </si>
  <si>
    <t>27/12/2025 19:15</t>
  </si>
  <si>
    <t>27/12/2025 19:30</t>
  </si>
  <si>
    <t>27/12/2025 19:45</t>
  </si>
  <si>
    <t>27/12/2025 20:00</t>
  </si>
  <si>
    <t>27/12/2025 20:15</t>
  </si>
  <si>
    <t>27/12/2025 20:30</t>
  </si>
  <si>
    <t>27/12/2025 20:45</t>
  </si>
  <si>
    <t>27/12/2025 21:00</t>
  </si>
  <si>
    <t>27/12/2025 21:15</t>
  </si>
  <si>
    <t>27/12/2025 21:30</t>
  </si>
  <si>
    <t>27/12/2025 21:45</t>
  </si>
  <si>
    <t>27/12/2025 22:00</t>
  </si>
  <si>
    <t>27/12/2025 22:15</t>
  </si>
  <si>
    <t>27/12/2025 22:30</t>
  </si>
  <si>
    <t>27/12/2025 22:45</t>
  </si>
  <si>
    <t>27/12/2025 23:00</t>
  </si>
  <si>
    <t>27/12/2025 23:15</t>
  </si>
  <si>
    <t>27/12/2025 23:30</t>
  </si>
  <si>
    <t>27/12/2025 23:45</t>
  </si>
  <si>
    <t>27/12/2025 24:00</t>
  </si>
  <si>
    <t>28/12/2025 00:15</t>
  </si>
  <si>
    <t>28/12/2025 00:30</t>
  </si>
  <si>
    <t>28/12/2025 00:45</t>
  </si>
  <si>
    <t>28/12/2025 01:00</t>
  </si>
  <si>
    <t>28/12/2025 01:15</t>
  </si>
  <si>
    <t>28/12/2025 01:30</t>
  </si>
  <si>
    <t>28/12/2025 01:45</t>
  </si>
  <si>
    <t>28/12/2025 02:00</t>
  </si>
  <si>
    <t>28/12/2025 02:15</t>
  </si>
  <si>
    <t>28/12/2025 02:30</t>
  </si>
  <si>
    <t>28/12/2025 02:45</t>
  </si>
  <si>
    <t>28/12/2025 03:00</t>
  </si>
  <si>
    <t>28/12/2025 03:15</t>
  </si>
  <si>
    <t>28/12/2025 03:30</t>
  </si>
  <si>
    <t>28/12/2025 03:45</t>
  </si>
  <si>
    <t>28/12/2025 04:00</t>
  </si>
  <si>
    <t>28/12/2025 04:15</t>
  </si>
  <si>
    <t>28/12/2025 04:30</t>
  </si>
  <si>
    <t>28/12/2025 04:45</t>
  </si>
  <si>
    <t>28/12/2025 05:00</t>
  </si>
  <si>
    <t>28/12/2025 05:15</t>
  </si>
  <si>
    <t>28/12/2025 05:30</t>
  </si>
  <si>
    <t>28/12/2025 05:45</t>
  </si>
  <si>
    <t>28/12/2025 06:00</t>
  </si>
  <si>
    <t>28/12/2025 06:15</t>
  </si>
  <si>
    <t>28/12/2025 06:30</t>
  </si>
  <si>
    <t>28/12/2025 06:45</t>
  </si>
  <si>
    <t>28/12/2025 07:00</t>
  </si>
  <si>
    <t>28/12/2025 07:15</t>
  </si>
  <si>
    <t>28/12/2025 07:30</t>
  </si>
  <si>
    <t>28/12/2025 07:45</t>
  </si>
  <si>
    <t>28/12/2025 08:00</t>
  </si>
  <si>
    <t>28/12/2025 08:15</t>
  </si>
  <si>
    <t>28/12/2025 08:30</t>
  </si>
  <si>
    <t>28/12/2025 08:45</t>
  </si>
  <si>
    <t>28/12/2025 09:00</t>
  </si>
  <si>
    <t>28/12/2025 09:15</t>
  </si>
  <si>
    <t>28/12/2025 09:30</t>
  </si>
  <si>
    <t>28/12/2025 09:45</t>
  </si>
  <si>
    <t>28/12/2025 10:00</t>
  </si>
  <si>
    <t>28/12/2025 10:15</t>
  </si>
  <si>
    <t>28/12/2025 10:30</t>
  </si>
  <si>
    <t>28/12/2025 10:45</t>
  </si>
  <si>
    <t>28/12/2025 11:00</t>
  </si>
  <si>
    <t>28/12/2025 11:15</t>
  </si>
  <si>
    <t>28/12/2025 11:30</t>
  </si>
  <si>
    <t>28/12/2025 11:45</t>
  </si>
  <si>
    <t>28/12/2025 12:00</t>
  </si>
  <si>
    <t>28/12/2025 12:15</t>
  </si>
  <si>
    <t>28/12/2025 12:30</t>
  </si>
  <si>
    <t>28/12/2025 12:45</t>
  </si>
  <si>
    <t>28/12/2025 13:00</t>
  </si>
  <si>
    <t>28/12/2025 13:15</t>
  </si>
  <si>
    <t>28/12/2025 13:30</t>
  </si>
  <si>
    <t>28/12/2025 13:45</t>
  </si>
  <si>
    <t>28/12/2025 14:00</t>
  </si>
  <si>
    <t>28/12/2025 14:15</t>
  </si>
  <si>
    <t>28/12/2025 14:30</t>
  </si>
  <si>
    <t>28/12/2025 14:45</t>
  </si>
  <si>
    <t>28/12/2025 15:00</t>
  </si>
  <si>
    <t>28/12/2025 15:15</t>
  </si>
  <si>
    <t>28/12/2025 15:30</t>
  </si>
  <si>
    <t>28/12/2025 15:45</t>
  </si>
  <si>
    <t>28/12/2025 16:00</t>
  </si>
  <si>
    <t>28/12/2025 16:15</t>
  </si>
  <si>
    <t>28/12/2025 16:30</t>
  </si>
  <si>
    <t>28/12/2025 16:45</t>
  </si>
  <si>
    <t>28/12/2025 17:00</t>
  </si>
  <si>
    <t>28/12/2025 17:15</t>
  </si>
  <si>
    <t>28/12/2025 17:30</t>
  </si>
  <si>
    <t>28/12/2025 17:45</t>
  </si>
  <si>
    <t>28/12/2025 18:00</t>
  </si>
  <si>
    <t>28/12/2025 18:15</t>
  </si>
  <si>
    <t>28/12/2025 18:30</t>
  </si>
  <si>
    <t>28/12/2025 18:45</t>
  </si>
  <si>
    <t>28/12/2025 19:00</t>
  </si>
  <si>
    <t>28/12/2025 19:15</t>
  </si>
  <si>
    <t>28/12/2025 19:30</t>
  </si>
  <si>
    <t>28/12/2025 19:45</t>
  </si>
  <si>
    <t>28/12/2025 20:00</t>
  </si>
  <si>
    <t>28/12/2025 20:15</t>
  </si>
  <si>
    <t>28/12/2025 20:30</t>
  </si>
  <si>
    <t>28/12/2025 20:45</t>
  </si>
  <si>
    <t>28/12/2025 21:00</t>
  </si>
  <si>
    <t>28/12/2025 21:15</t>
  </si>
  <si>
    <t>28/12/2025 21:30</t>
  </si>
  <si>
    <t>28/12/2025 21:45</t>
  </si>
  <si>
    <t>28/12/2025 22:00</t>
  </si>
  <si>
    <t>28/12/2025 22:15</t>
  </si>
  <si>
    <t>28/12/2025 22:30</t>
  </si>
  <si>
    <t>28/12/2025 22:45</t>
  </si>
  <si>
    <t>28/12/2025 23:00</t>
  </si>
  <si>
    <t>28/12/2025 23:15</t>
  </si>
  <si>
    <t>28/12/2025 23:30</t>
  </si>
  <si>
    <t>28/12/2025 23:45</t>
  </si>
  <si>
    <t>28/12/2025 24:00</t>
  </si>
  <si>
    <t>29/12/2025 00:15</t>
  </si>
  <si>
    <t>29/12/2025 00:30</t>
  </si>
  <si>
    <t>29/12/2025 00:45</t>
  </si>
  <si>
    <t>29/12/2025 01:00</t>
  </si>
  <si>
    <t>29/12/2025 01:15</t>
  </si>
  <si>
    <t>29/12/2025 01:30</t>
  </si>
  <si>
    <t>29/12/2025 01:45</t>
  </si>
  <si>
    <t>29/12/2025 02:00</t>
  </si>
  <si>
    <t>29/12/2025 02:15</t>
  </si>
  <si>
    <t>29/12/2025 02:30</t>
  </si>
  <si>
    <t>29/12/2025 02:45</t>
  </si>
  <si>
    <t>29/12/2025 03:00</t>
  </si>
  <si>
    <t>29/12/2025 03:15</t>
  </si>
  <si>
    <t>29/12/2025 03:30</t>
  </si>
  <si>
    <t>29/12/2025 03:45</t>
  </si>
  <si>
    <t>29/12/2025 04:00</t>
  </si>
  <si>
    <t>29/12/2025 04:15</t>
  </si>
  <si>
    <t>29/12/2025 04:30</t>
  </si>
  <si>
    <t>29/12/2025 04:45</t>
  </si>
  <si>
    <t>29/12/2025 05:00</t>
  </si>
  <si>
    <t>29/12/2025 05:15</t>
  </si>
  <si>
    <t>29/12/2025 05:30</t>
  </si>
  <si>
    <t>29/12/2025 05:45</t>
  </si>
  <si>
    <t>29/12/2025 06:00</t>
  </si>
  <si>
    <t>29/12/2025 06:15</t>
  </si>
  <si>
    <t>29/12/2025 06:30</t>
  </si>
  <si>
    <t>29/12/2025 06:45</t>
  </si>
  <si>
    <t>29/12/2025 07:00</t>
  </si>
  <si>
    <t>29/12/2025 07:15</t>
  </si>
  <si>
    <t>29/12/2025 07:30</t>
  </si>
  <si>
    <t>29/12/2025 07:45</t>
  </si>
  <si>
    <t>29/12/2025 08:00</t>
  </si>
  <si>
    <t>29/12/2025 08:15</t>
  </si>
  <si>
    <t>29/12/2025 08:30</t>
  </si>
  <si>
    <t>29/12/2025 08:45</t>
  </si>
  <si>
    <t>29/12/2025 09:00</t>
  </si>
  <si>
    <t>29/12/2025 09:15</t>
  </si>
  <si>
    <t>29/12/2025 09:30</t>
  </si>
  <si>
    <t>29/12/2025 09:45</t>
  </si>
  <si>
    <t>29/12/2025 10:00</t>
  </si>
  <si>
    <t>29/12/2025 10:15</t>
  </si>
  <si>
    <t>29/12/2025 10:30</t>
  </si>
  <si>
    <t>29/12/2025 10:45</t>
  </si>
  <si>
    <t>29/12/2025 11:00</t>
  </si>
  <si>
    <t>29/12/2025 11:15</t>
  </si>
  <si>
    <t>29/12/2025 11:30</t>
  </si>
  <si>
    <t>29/12/2025 11:45</t>
  </si>
  <si>
    <t>29/12/2025 12:00</t>
  </si>
  <si>
    <t>29/12/2025 12:15</t>
  </si>
  <si>
    <t>29/12/2025 12:30</t>
  </si>
  <si>
    <t>29/12/2025 12:45</t>
  </si>
  <si>
    <t>29/12/2025 13:00</t>
  </si>
  <si>
    <t>29/12/2025 13:15</t>
  </si>
  <si>
    <t>29/12/2025 13:30</t>
  </si>
  <si>
    <t>29/12/2025 13:45</t>
  </si>
  <si>
    <t>29/12/2025 14:00</t>
  </si>
  <si>
    <t>29/12/2025 14:15</t>
  </si>
  <si>
    <t>29/12/2025 14:30</t>
  </si>
  <si>
    <t>29/12/2025 14:45</t>
  </si>
  <si>
    <t>29/12/2025 15:00</t>
  </si>
  <si>
    <t>29/12/2025 15:15</t>
  </si>
  <si>
    <t>29/12/2025 15:30</t>
  </si>
  <si>
    <t>29/12/2025 15:45</t>
  </si>
  <si>
    <t>29/12/2025 16:00</t>
  </si>
  <si>
    <t>29/12/2025 16:15</t>
  </si>
  <si>
    <t>29/12/2025 16:30</t>
  </si>
  <si>
    <t>29/12/2025 16:45</t>
  </si>
  <si>
    <t>29/12/2025 17:00</t>
  </si>
  <si>
    <t>29/12/2025 17:15</t>
  </si>
  <si>
    <t>29/12/2025 17:30</t>
  </si>
  <si>
    <t>29/12/2025 17:45</t>
  </si>
  <si>
    <t>29/12/2025 18:00</t>
  </si>
  <si>
    <t>29/12/2025 18:15</t>
  </si>
  <si>
    <t>29/12/2025 18:30</t>
  </si>
  <si>
    <t>29/12/2025 18:45</t>
  </si>
  <si>
    <t>29/12/2025 19:00</t>
  </si>
  <si>
    <t>29/12/2025 19:15</t>
  </si>
  <si>
    <t>29/12/2025 19:30</t>
  </si>
  <si>
    <t>29/12/2025 19:45</t>
  </si>
  <si>
    <t>29/12/2025 20:00</t>
  </si>
  <si>
    <t>29/12/2025 20:15</t>
  </si>
  <si>
    <t>29/12/2025 20:30</t>
  </si>
  <si>
    <t>29/12/2025 20:45</t>
  </si>
  <si>
    <t>29/12/2025 21:00</t>
  </si>
  <si>
    <t>29/12/2025 21:15</t>
  </si>
  <si>
    <t>29/12/2025 21:30</t>
  </si>
  <si>
    <t>29/12/2025 21:45</t>
  </si>
  <si>
    <t>29/12/2025 22:00</t>
  </si>
  <si>
    <t>29/12/2025 22:15</t>
  </si>
  <si>
    <t>29/12/2025 22:30</t>
  </si>
  <si>
    <t>29/12/2025 22:45</t>
  </si>
  <si>
    <t>29/12/2025 23:00</t>
  </si>
  <si>
    <t>29/12/2025 23:15</t>
  </si>
  <si>
    <t>29/12/2025 23:30</t>
  </si>
  <si>
    <t>29/12/2025 23:45</t>
  </si>
  <si>
    <t>29/12/2025 24:00</t>
  </si>
  <si>
    <t>30/12/2025 00:15</t>
  </si>
  <si>
    <t>30/12/2025 00:30</t>
  </si>
  <si>
    <t>30/12/2025 00:45</t>
  </si>
  <si>
    <t>30/12/2025 01:00</t>
  </si>
  <si>
    <t>30/12/2025 01:15</t>
  </si>
  <si>
    <t>30/12/2025 01:30</t>
  </si>
  <si>
    <t>30/12/2025 01:45</t>
  </si>
  <si>
    <t>30/12/2025 02:00</t>
  </si>
  <si>
    <t>30/12/2025 02:15</t>
  </si>
  <si>
    <t>30/12/2025 02:30</t>
  </si>
  <si>
    <t>30/12/2025 02:45</t>
  </si>
  <si>
    <t>30/12/2025 03:00</t>
  </si>
  <si>
    <t>30/12/2025 03:15</t>
  </si>
  <si>
    <t>30/12/2025 03:30</t>
  </si>
  <si>
    <t>30/12/2025 03:45</t>
  </si>
  <si>
    <t>30/12/2025 04:00</t>
  </si>
  <si>
    <t>30/12/2025 04:15</t>
  </si>
  <si>
    <t>30/12/2025 04:30</t>
  </si>
  <si>
    <t>30/12/2025 04:45</t>
  </si>
  <si>
    <t>30/12/2025 05:00</t>
  </si>
  <si>
    <t>30/12/2025 05:15</t>
  </si>
  <si>
    <t>30/12/2025 05:30</t>
  </si>
  <si>
    <t>30/12/2025 05:45</t>
  </si>
  <si>
    <t>30/12/2025 06:00</t>
  </si>
  <si>
    <t>30/12/2025 06:15</t>
  </si>
  <si>
    <t>30/12/2025 06:30</t>
  </si>
  <si>
    <t>30/12/2025 06:45</t>
  </si>
  <si>
    <t>30/12/2025 07:00</t>
  </si>
  <si>
    <t>30/12/2025 07:15</t>
  </si>
  <si>
    <t>30/12/2025 07:30</t>
  </si>
  <si>
    <t>30/12/2025 07:45</t>
  </si>
  <si>
    <t>30/12/2025 08:00</t>
  </si>
  <si>
    <t>30/12/2025 08:15</t>
  </si>
  <si>
    <t>30/12/2025 08:30</t>
  </si>
  <si>
    <t>30/12/2025 08:45</t>
  </si>
  <si>
    <t>30/12/2025 09:00</t>
  </si>
  <si>
    <t>30/12/2025 09:15</t>
  </si>
  <si>
    <t>30/12/2025 09:30</t>
  </si>
  <si>
    <t>30/12/2025 09:45</t>
  </si>
  <si>
    <t>30/12/2025 10:00</t>
  </si>
  <si>
    <t>30/12/2025 10:15</t>
  </si>
  <si>
    <t>30/12/2025 10:30</t>
  </si>
  <si>
    <t>30/12/2025 10:45</t>
  </si>
  <si>
    <t>30/12/2025 11:00</t>
  </si>
  <si>
    <t>30/12/2025 11:15</t>
  </si>
  <si>
    <t>30/12/2025 11:30</t>
  </si>
  <si>
    <t>30/12/2025 11:45</t>
  </si>
  <si>
    <t>30/12/2025 12:00</t>
  </si>
  <si>
    <t>30/12/2025 12:15</t>
  </si>
  <si>
    <t>30/12/2025 12:30</t>
  </si>
  <si>
    <t>30/12/2025 12:45</t>
  </si>
  <si>
    <t>30/12/2025 13:00</t>
  </si>
  <si>
    <t>30/12/2025 13:15</t>
  </si>
  <si>
    <t>30/12/2025 13:30</t>
  </si>
  <si>
    <t>30/12/2025 13:45</t>
  </si>
  <si>
    <t>30/12/2025 14:00</t>
  </si>
  <si>
    <t>30/12/2025 14:15</t>
  </si>
  <si>
    <t>30/12/2025 14:30</t>
  </si>
  <si>
    <t>30/12/2025 14:45</t>
  </si>
  <si>
    <t>30/12/2025 15:00</t>
  </si>
  <si>
    <t>30/12/2025 15:15</t>
  </si>
  <si>
    <t>30/12/2025 15:30</t>
  </si>
  <si>
    <t>30/12/2025 15:45</t>
  </si>
  <si>
    <t>30/12/2025 16:00</t>
  </si>
  <si>
    <t>30/12/2025 16:15</t>
  </si>
  <si>
    <t>30/12/2025 16:30</t>
  </si>
  <si>
    <t>30/12/2025 16:45</t>
  </si>
  <si>
    <t>30/12/2025 17:00</t>
  </si>
  <si>
    <t>30/12/2025 17:15</t>
  </si>
  <si>
    <t>30/12/2025 17:30</t>
  </si>
  <si>
    <t>30/12/2025 17:45</t>
  </si>
  <si>
    <t>30/12/2025 18:00</t>
  </si>
  <si>
    <t>30/12/2025 18:15</t>
  </si>
  <si>
    <t>30/12/2025 18:30</t>
  </si>
  <si>
    <t>30/12/2025 18:45</t>
  </si>
  <si>
    <t>30/12/2025 19:00</t>
  </si>
  <si>
    <t>30/12/2025 19:15</t>
  </si>
  <si>
    <t>30/12/2025 19:30</t>
  </si>
  <si>
    <t>30/12/2025 19:45</t>
  </si>
  <si>
    <t>30/12/2025 20:00</t>
  </si>
  <si>
    <t>30/12/2025 20:15</t>
  </si>
  <si>
    <t>30/12/2025 20:30</t>
  </si>
  <si>
    <t>30/12/2025 20:45</t>
  </si>
  <si>
    <t>30/12/2025 21:00</t>
  </si>
  <si>
    <t>30/12/2025 21:15</t>
  </si>
  <si>
    <t>30/12/2025 21:30</t>
  </si>
  <si>
    <t>30/12/2025 21:45</t>
  </si>
  <si>
    <t>30/12/2025 22:00</t>
  </si>
  <si>
    <t>30/12/2025 22:15</t>
  </si>
  <si>
    <t>30/12/2025 22:30</t>
  </si>
  <si>
    <t>30/12/2025 22:45</t>
  </si>
  <si>
    <t>30/12/2025 23:00</t>
  </si>
  <si>
    <t>30/12/2025 23:15</t>
  </si>
  <si>
    <t>30/12/2025 23:30</t>
  </si>
  <si>
    <t>30/12/2025 23:45</t>
  </si>
  <si>
    <t>30/12/2025 24:00</t>
  </si>
  <si>
    <t>31/12/2025 00:15</t>
  </si>
  <si>
    <t>31/12/2025 00:30</t>
  </si>
  <si>
    <t>31/12/2025 00:45</t>
  </si>
  <si>
    <t>31/12/2025 01:00</t>
  </si>
  <si>
    <t>31/12/2025 01:15</t>
  </si>
  <si>
    <t>31/12/2025 01:30</t>
  </si>
  <si>
    <t>31/12/2025 01:45</t>
  </si>
  <si>
    <t>31/12/2025 02:00</t>
  </si>
  <si>
    <t>31/12/2025 02:15</t>
  </si>
  <si>
    <t>31/12/2025 02:30</t>
  </si>
  <si>
    <t>31/12/2025 02:45</t>
  </si>
  <si>
    <t>31/12/2025 03:00</t>
  </si>
  <si>
    <t>31/12/2025 03:15</t>
  </si>
  <si>
    <t>31/12/2025 03:30</t>
  </si>
  <si>
    <t>31/12/2025 03:45</t>
  </si>
  <si>
    <t>31/12/2025 04:00</t>
  </si>
  <si>
    <t>31/12/2025 04:15</t>
  </si>
  <si>
    <t>31/12/2025 04:30</t>
  </si>
  <si>
    <t>31/12/2025 04:45</t>
  </si>
  <si>
    <t>31/12/2025 05:00</t>
  </si>
  <si>
    <t>31/12/2025 05:15</t>
  </si>
  <si>
    <t>31/12/2025 05:30</t>
  </si>
  <si>
    <t>31/12/2025 05:45</t>
  </si>
  <si>
    <t>31/12/2025 06:00</t>
  </si>
  <si>
    <t>31/12/2025 06:15</t>
  </si>
  <si>
    <t>31/12/2025 06:30</t>
  </si>
  <si>
    <t>31/12/2025 06:45</t>
  </si>
  <si>
    <t>31/12/2025 07:00</t>
  </si>
  <si>
    <t>31/12/2025 07:15</t>
  </si>
  <si>
    <t>31/12/2025 07:30</t>
  </si>
  <si>
    <t>31/12/2025 07:45</t>
  </si>
  <si>
    <t>31/12/2025 08:00</t>
  </si>
  <si>
    <t>31/12/2025 08:15</t>
  </si>
  <si>
    <t>31/12/2025 08:30</t>
  </si>
  <si>
    <t>31/12/2025 08:45</t>
  </si>
  <si>
    <t>31/12/2025 09:00</t>
  </si>
  <si>
    <t>31/12/2025 09:15</t>
  </si>
  <si>
    <t>31/12/2025 09:30</t>
  </si>
  <si>
    <t>31/12/2025 09:45</t>
  </si>
  <si>
    <t>31/12/2025 10:00</t>
  </si>
  <si>
    <t>31/12/2025 10:15</t>
  </si>
  <si>
    <t>31/12/2025 10:30</t>
  </si>
  <si>
    <t>31/12/2025 10:45</t>
  </si>
  <si>
    <t>31/12/2025 11:00</t>
  </si>
  <si>
    <t>31/12/2025 11:15</t>
  </si>
  <si>
    <t>31/12/2025 11:30</t>
  </si>
  <si>
    <t>31/12/2025 11:45</t>
  </si>
  <si>
    <t>31/12/2025 12:00</t>
  </si>
  <si>
    <t>31/12/2025 12:15</t>
  </si>
  <si>
    <t>31/12/2025 12:30</t>
  </si>
  <si>
    <t>31/12/2025 12:45</t>
  </si>
  <si>
    <t>31/12/2025 13:00</t>
  </si>
  <si>
    <t>31/12/2025 13:15</t>
  </si>
  <si>
    <t>31/12/2025 13:30</t>
  </si>
  <si>
    <t>31/12/2025 13:45</t>
  </si>
  <si>
    <t>31/12/2025 14:00</t>
  </si>
  <si>
    <t>31/12/2025 14:15</t>
  </si>
  <si>
    <t>31/12/2025 14:30</t>
  </si>
  <si>
    <t>31/12/2025 14:45</t>
  </si>
  <si>
    <t>31/12/2025 15:00</t>
  </si>
  <si>
    <t>31/12/2025 15:15</t>
  </si>
  <si>
    <t>31/12/2025 15:30</t>
  </si>
  <si>
    <t>31/12/2025 15:45</t>
  </si>
  <si>
    <t>31/12/2025 16:00</t>
  </si>
  <si>
    <t>31/12/2025 16:15</t>
  </si>
  <si>
    <t>31/12/2025 16:30</t>
  </si>
  <si>
    <t>31/12/2025 16:45</t>
  </si>
  <si>
    <t>31/12/2025 17:00</t>
  </si>
  <si>
    <t>31/12/2025 17:15</t>
  </si>
  <si>
    <t>31/12/2025 17:30</t>
  </si>
  <si>
    <t>31/12/2025 17:45</t>
  </si>
  <si>
    <t>31/12/2025 18:00</t>
  </si>
  <si>
    <t>31/12/2025 18:15</t>
  </si>
  <si>
    <t>31/12/2025 18:30</t>
  </si>
  <si>
    <t>31/12/2025 18:45</t>
  </si>
  <si>
    <t>31/12/2025 19:00</t>
  </si>
  <si>
    <t>31/12/2025 19:15</t>
  </si>
  <si>
    <t>31/12/2025 19:30</t>
  </si>
  <si>
    <t>31/12/2025 19:45</t>
  </si>
  <si>
    <t>31/12/2025 20:00</t>
  </si>
  <si>
    <t>31/12/2025 20:15</t>
  </si>
  <si>
    <t>31/12/2025 20:30</t>
  </si>
  <si>
    <t>31/12/2025 20:45</t>
  </si>
  <si>
    <t>31/12/2025 21:00</t>
  </si>
  <si>
    <t>31/12/2025 21:15</t>
  </si>
  <si>
    <t>31/12/2025 21:30</t>
  </si>
  <si>
    <t>31/12/2025 21:45</t>
  </si>
  <si>
    <t>31/12/2025 22:00</t>
  </si>
  <si>
    <t>31/12/2025 22:15</t>
  </si>
  <si>
    <t>31/12/2025 22:30</t>
  </si>
  <si>
    <t>31/12/2025 22:45</t>
  </si>
  <si>
    <t>31/12/2025 23:00</t>
  </si>
  <si>
    <t>31/12/2025 23:15</t>
  </si>
  <si>
    <t>31/12/2025 23:30</t>
  </si>
  <si>
    <t>31/12/2025 23:45</t>
  </si>
  <si>
    <t>31/12/2025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</si>
</sst>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6"/>
      <color theme="1"/>
      <name val="Arial Black"/>
      <family val="2"/>
    </font>
    <font>
      <b/>
      <sz val="22"/>
      <color theme="1"/>
      <name val="Arial Black"/>
      <family val="2"/>
    </font>
    <font>
      <sz val="16"/>
      <color theme="0"/>
      <name val="Arial Black"/>
      <family val="2"/>
    </font>
    <font>
      <b/>
      <sz val="16"/>
      <color theme="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 vertical="center"/>
    </xf>
    <xf numFmtId="0" fontId="15" fillId="12" borderId="7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39" fillId="12" borderId="34" xfId="0" applyFont="1" applyFill="1" applyBorder="1" applyAlignment="1">
      <alignment horizontal="center" vertical="center"/>
    </xf>
    <xf numFmtId="0" fontId="39" fillId="12" borderId="32" xfId="0" applyFont="1" applyFill="1" applyBorder="1" applyAlignment="1">
      <alignment horizontal="center" vertical="center"/>
    </xf>
    <xf numFmtId="0" fontId="6" fillId="12" borderId="18" xfId="0" applyFont="1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40" fillId="12" borderId="35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39" fillId="12" borderId="35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41" fillId="12" borderId="18" xfId="0" applyFont="1" applyFill="1" applyBorder="1" applyAlignment="1">
      <alignment horizontal="center" vertical="center"/>
    </xf>
    <xf numFmtId="0" fontId="41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17" fontId="42" fillId="13" borderId="0" xfId="0" applyNumberFormat="1" applyFont="1" applyFill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39" fillId="12" borderId="38" xfId="0" applyFont="1" applyFill="1" applyBorder="1" applyAlignment="1">
      <alignment horizontal="center" vertical="center"/>
    </xf>
    <xf numFmtId="0" fontId="39" fillId="12" borderId="21" xfId="0" applyFont="1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H100" sqref="H10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247</v>
      </c>
      <c r="B9" s="64">
        <v>28.14</v>
      </c>
      <c r="C9" s="64">
        <v>13.48</v>
      </c>
      <c r="D9" s="64">
        <v>29.15</v>
      </c>
      <c r="E9" s="64">
        <v>6.05</v>
      </c>
      <c r="F9" s="64">
        <v>3.91</v>
      </c>
      <c r="G9" s="64">
        <v>80.03</v>
      </c>
      <c r="H9" s="64">
        <v>37.83</v>
      </c>
      <c r="I9" s="64">
        <v>4.8099999999999996</v>
      </c>
      <c r="J9" s="64">
        <v>0.65</v>
      </c>
      <c r="K9" s="64">
        <v>119.55</v>
      </c>
      <c r="L9" s="64">
        <v>18.329999999999998</v>
      </c>
      <c r="M9" s="64">
        <v>65.55</v>
      </c>
      <c r="N9" s="64">
        <v>31.6</v>
      </c>
      <c r="O9" s="64">
        <v>0</v>
      </c>
      <c r="P9" s="64">
        <v>1.61</v>
      </c>
      <c r="Q9" s="64">
        <v>9.69</v>
      </c>
      <c r="R9" s="198"/>
      <c r="S9" s="198"/>
      <c r="T9" s="198"/>
      <c r="U9" s="198"/>
    </row>
    <row r="10" spans="1:21" s="12" customFormat="1" x14ac:dyDescent="0.25">
      <c r="A10" s="214" t="s">
        <v>248</v>
      </c>
      <c r="B10" s="64">
        <v>26.94</v>
      </c>
      <c r="C10" s="64">
        <v>14.44</v>
      </c>
      <c r="D10" s="64">
        <v>28.69</v>
      </c>
      <c r="E10" s="64">
        <v>5.91</v>
      </c>
      <c r="F10" s="64">
        <v>4.07</v>
      </c>
      <c r="G10" s="64">
        <v>75.31</v>
      </c>
      <c r="H10" s="64">
        <v>36.380000000000003</v>
      </c>
      <c r="I10" s="64">
        <v>4.62</v>
      </c>
      <c r="J10" s="64">
        <v>0.63</v>
      </c>
      <c r="K10" s="64">
        <v>110.33</v>
      </c>
      <c r="L10" s="64">
        <v>18.55</v>
      </c>
      <c r="M10" s="64">
        <v>59.99</v>
      </c>
      <c r="N10" s="64">
        <v>31.5</v>
      </c>
      <c r="O10" s="64">
        <v>0</v>
      </c>
      <c r="P10" s="64">
        <v>1.62</v>
      </c>
      <c r="Q10" s="64">
        <v>9.69</v>
      </c>
      <c r="R10" s="198"/>
      <c r="S10" s="198"/>
      <c r="T10" s="198"/>
      <c r="U10" s="198"/>
    </row>
    <row r="11" spans="1:21" s="12" customFormat="1" x14ac:dyDescent="0.25">
      <c r="A11" s="214" t="s">
        <v>249</v>
      </c>
      <c r="B11" s="64">
        <v>25.71</v>
      </c>
      <c r="C11" s="64">
        <v>13.5</v>
      </c>
      <c r="D11" s="64">
        <v>27.21</v>
      </c>
      <c r="E11" s="64">
        <v>6.67</v>
      </c>
      <c r="F11" s="64">
        <v>5.27</v>
      </c>
      <c r="G11" s="64">
        <v>75.31</v>
      </c>
      <c r="H11" s="64">
        <v>36.380000000000003</v>
      </c>
      <c r="I11" s="64">
        <v>4.9800000000000004</v>
      </c>
      <c r="J11" s="64">
        <v>0.39</v>
      </c>
      <c r="K11" s="64">
        <v>121.51</v>
      </c>
      <c r="L11" s="64">
        <v>18.75</v>
      </c>
      <c r="M11" s="64">
        <v>59.49</v>
      </c>
      <c r="N11" s="64">
        <v>31.9</v>
      </c>
      <c r="O11" s="64">
        <v>0</v>
      </c>
      <c r="P11" s="64">
        <v>1.56</v>
      </c>
      <c r="Q11" s="64">
        <v>9.69</v>
      </c>
      <c r="R11" s="198"/>
      <c r="S11" s="198"/>
      <c r="T11" s="198"/>
      <c r="U11" s="198"/>
    </row>
    <row r="12" spans="1:21" s="12" customFormat="1" x14ac:dyDescent="0.25">
      <c r="A12" s="214" t="s">
        <v>250</v>
      </c>
      <c r="B12" s="64">
        <v>24.88</v>
      </c>
      <c r="C12" s="64">
        <v>14.97</v>
      </c>
      <c r="D12" s="64">
        <v>27.31</v>
      </c>
      <c r="E12" s="64">
        <v>6.47</v>
      </c>
      <c r="F12" s="64">
        <v>4.5199999999999996</v>
      </c>
      <c r="G12" s="64">
        <v>75.31</v>
      </c>
      <c r="H12" s="64">
        <v>36.380000000000003</v>
      </c>
      <c r="I12" s="64">
        <v>4.63</v>
      </c>
      <c r="J12" s="64">
        <v>0.13</v>
      </c>
      <c r="K12" s="64">
        <v>125.42</v>
      </c>
      <c r="L12" s="64">
        <v>18.53</v>
      </c>
      <c r="M12" s="64">
        <v>60.92</v>
      </c>
      <c r="N12" s="64">
        <v>32.1</v>
      </c>
      <c r="O12" s="64">
        <v>0</v>
      </c>
      <c r="P12" s="64">
        <v>1.52</v>
      </c>
      <c r="Q12" s="64">
        <v>9.69</v>
      </c>
      <c r="R12" s="198"/>
      <c r="S12" s="198"/>
      <c r="T12" s="198"/>
      <c r="U12" s="198"/>
    </row>
    <row r="13" spans="1:21" s="12" customFormat="1" x14ac:dyDescent="0.25">
      <c r="A13" s="214" t="s">
        <v>251</v>
      </c>
      <c r="B13" s="64">
        <v>26.09</v>
      </c>
      <c r="C13" s="64">
        <v>13.32</v>
      </c>
      <c r="D13" s="64">
        <v>27.42</v>
      </c>
      <c r="E13" s="64">
        <v>5.67</v>
      </c>
      <c r="F13" s="64">
        <v>3.6</v>
      </c>
      <c r="G13" s="64">
        <v>73.430000000000007</v>
      </c>
      <c r="H13" s="64">
        <v>35.47</v>
      </c>
      <c r="I13" s="64">
        <v>4.4000000000000004</v>
      </c>
      <c r="J13" s="64">
        <v>0.03</v>
      </c>
      <c r="K13" s="64">
        <v>76.89</v>
      </c>
      <c r="L13" s="64">
        <v>18.23</v>
      </c>
      <c r="M13" s="64">
        <v>62.94</v>
      </c>
      <c r="N13" s="64">
        <v>32.200000000000003</v>
      </c>
      <c r="O13" s="64">
        <v>0</v>
      </c>
      <c r="P13" s="64">
        <v>1.34</v>
      </c>
      <c r="Q13" s="64">
        <v>9.68</v>
      </c>
      <c r="R13" s="198"/>
      <c r="S13" s="198"/>
      <c r="T13" s="198"/>
      <c r="U13" s="198"/>
    </row>
    <row r="14" spans="1:21" s="12" customFormat="1" x14ac:dyDescent="0.25">
      <c r="A14" s="214" t="s">
        <v>252</v>
      </c>
      <c r="B14" s="64">
        <v>26.46</v>
      </c>
      <c r="C14" s="64">
        <v>12.78</v>
      </c>
      <c r="D14" s="64">
        <v>27.43</v>
      </c>
      <c r="E14" s="64">
        <v>5.46</v>
      </c>
      <c r="F14" s="64">
        <v>3.15</v>
      </c>
      <c r="G14" s="64">
        <v>65.39</v>
      </c>
      <c r="H14" s="64">
        <v>32.799999999999997</v>
      </c>
      <c r="I14" s="64">
        <v>4.33</v>
      </c>
      <c r="J14" s="64">
        <v>0.54</v>
      </c>
      <c r="K14" s="64">
        <v>127.83</v>
      </c>
      <c r="L14" s="64">
        <v>18.39</v>
      </c>
      <c r="M14" s="64">
        <v>61.9</v>
      </c>
      <c r="N14" s="64">
        <v>31.9</v>
      </c>
      <c r="O14" s="64">
        <v>0</v>
      </c>
      <c r="P14" s="64">
        <v>1.36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14" t="s">
        <v>253</v>
      </c>
      <c r="B15" s="64">
        <v>24.51</v>
      </c>
      <c r="C15" s="64">
        <v>14.32</v>
      </c>
      <c r="D15" s="64">
        <v>26.67</v>
      </c>
      <c r="E15" s="64">
        <v>5.82</v>
      </c>
      <c r="F15" s="64">
        <v>3.26</v>
      </c>
      <c r="G15" s="64">
        <v>65.39</v>
      </c>
      <c r="H15" s="64">
        <v>32.799999999999997</v>
      </c>
      <c r="I15" s="64">
        <v>4.6399999999999997</v>
      </c>
      <c r="J15" s="64">
        <v>0.52</v>
      </c>
      <c r="K15" s="64">
        <v>107.07</v>
      </c>
      <c r="L15" s="64">
        <v>18.55</v>
      </c>
      <c r="M15" s="64">
        <v>62.2</v>
      </c>
      <c r="N15" s="64">
        <v>31.9</v>
      </c>
      <c r="O15" s="64">
        <v>0</v>
      </c>
      <c r="P15" s="64">
        <v>1.3</v>
      </c>
      <c r="Q15" s="64">
        <v>9.67</v>
      </c>
      <c r="R15" s="198"/>
      <c r="S15" s="198"/>
      <c r="T15" s="198"/>
      <c r="U15" s="198"/>
    </row>
    <row r="16" spans="1:21" s="12" customFormat="1" x14ac:dyDescent="0.25">
      <c r="A16" s="214" t="s">
        <v>254</v>
      </c>
      <c r="B16" s="64">
        <v>24.18</v>
      </c>
      <c r="C16" s="64">
        <v>14.48</v>
      </c>
      <c r="D16" s="64">
        <v>26.49</v>
      </c>
      <c r="E16" s="64">
        <v>5.15</v>
      </c>
      <c r="F16" s="64">
        <v>2.87</v>
      </c>
      <c r="G16" s="64">
        <v>65.39</v>
      </c>
      <c r="H16" s="64">
        <v>32.799999999999997</v>
      </c>
      <c r="I16" s="64">
        <v>4.32</v>
      </c>
      <c r="J16" s="64">
        <v>0.01</v>
      </c>
      <c r="K16" s="64">
        <v>27.98</v>
      </c>
      <c r="L16" s="64">
        <v>18.45</v>
      </c>
      <c r="M16" s="64">
        <v>61.91</v>
      </c>
      <c r="N16" s="64">
        <v>32</v>
      </c>
      <c r="O16" s="64">
        <v>0</v>
      </c>
      <c r="P16" s="64">
        <v>1.24</v>
      </c>
      <c r="Q16" s="64">
        <v>9.65</v>
      </c>
      <c r="R16" s="198"/>
      <c r="S16" s="198"/>
      <c r="T16" s="198"/>
      <c r="U16" s="198"/>
    </row>
    <row r="17" spans="1:21" s="12" customFormat="1" x14ac:dyDescent="0.25">
      <c r="A17" s="214" t="s">
        <v>255</v>
      </c>
      <c r="B17" s="64">
        <v>23</v>
      </c>
      <c r="C17" s="64">
        <v>15.19</v>
      </c>
      <c r="D17" s="64">
        <v>25.92</v>
      </c>
      <c r="E17" s="64">
        <v>5.07</v>
      </c>
      <c r="F17" s="64">
        <v>2.77</v>
      </c>
      <c r="G17" s="64">
        <v>63.22</v>
      </c>
      <c r="H17" s="64">
        <v>31.99</v>
      </c>
      <c r="I17" s="64">
        <v>4.1100000000000003</v>
      </c>
      <c r="J17" s="64">
        <v>0.59</v>
      </c>
      <c r="K17" s="64">
        <v>347.28</v>
      </c>
      <c r="L17" s="64">
        <v>18.28</v>
      </c>
      <c r="M17" s="64">
        <v>64.2</v>
      </c>
      <c r="N17" s="64">
        <v>32.200000000000003</v>
      </c>
      <c r="O17" s="64">
        <v>0</v>
      </c>
      <c r="P17" s="64">
        <v>1.19</v>
      </c>
      <c r="Q17" s="64">
        <v>9.66</v>
      </c>
      <c r="R17" s="198"/>
      <c r="S17" s="198"/>
      <c r="T17" s="198"/>
      <c r="U17" s="198"/>
    </row>
    <row r="18" spans="1:21" s="12" customFormat="1" x14ac:dyDescent="0.25">
      <c r="A18" s="214" t="s">
        <v>256</v>
      </c>
      <c r="B18" s="64">
        <v>21.75</v>
      </c>
      <c r="C18" s="64">
        <v>15.83</v>
      </c>
      <c r="D18" s="64">
        <v>25.25</v>
      </c>
      <c r="E18" s="64">
        <v>5.0199999999999996</v>
      </c>
      <c r="F18" s="64">
        <v>3.05</v>
      </c>
      <c r="G18" s="64">
        <v>54.57</v>
      </c>
      <c r="H18" s="64">
        <v>29.62</v>
      </c>
      <c r="I18" s="64">
        <v>4.3899999999999997</v>
      </c>
      <c r="J18" s="64">
        <v>0.15</v>
      </c>
      <c r="K18" s="64">
        <v>121.7</v>
      </c>
      <c r="L18" s="64">
        <v>17.98</v>
      </c>
      <c r="M18" s="64">
        <v>65.650000000000006</v>
      </c>
      <c r="N18" s="64">
        <v>32</v>
      </c>
      <c r="O18" s="64">
        <v>0</v>
      </c>
      <c r="P18" s="64">
        <v>1.1599999999999999</v>
      </c>
      <c r="Q18" s="64">
        <v>9.66</v>
      </c>
      <c r="R18" s="198"/>
      <c r="S18" s="198"/>
      <c r="T18" s="198"/>
      <c r="U18" s="198"/>
    </row>
    <row r="19" spans="1:21" s="12" customFormat="1" x14ac:dyDescent="0.25">
      <c r="A19" s="214" t="s">
        <v>257</v>
      </c>
      <c r="B19" s="64">
        <v>20.58</v>
      </c>
      <c r="C19" s="64">
        <v>16.29</v>
      </c>
      <c r="D19" s="64">
        <v>24.55</v>
      </c>
      <c r="E19" s="64">
        <v>4.87</v>
      </c>
      <c r="F19" s="64">
        <v>2.76</v>
      </c>
      <c r="G19" s="64">
        <v>54.57</v>
      </c>
      <c r="H19" s="64">
        <v>29.62</v>
      </c>
      <c r="I19" s="64">
        <v>4.0599999999999996</v>
      </c>
      <c r="J19" s="64">
        <v>0.56999999999999995</v>
      </c>
      <c r="K19" s="64">
        <v>152.74</v>
      </c>
      <c r="L19" s="64">
        <v>18.04</v>
      </c>
      <c r="M19" s="64">
        <v>65.87</v>
      </c>
      <c r="N19" s="64">
        <v>31.8</v>
      </c>
      <c r="O19" s="64">
        <v>0</v>
      </c>
      <c r="P19" s="64">
        <v>1.1200000000000001</v>
      </c>
      <c r="Q19" s="64">
        <v>9.66</v>
      </c>
      <c r="R19" s="198"/>
      <c r="S19" s="198"/>
      <c r="T19" s="198"/>
      <c r="U19" s="198"/>
    </row>
    <row r="20" spans="1:21" s="12" customFormat="1" x14ac:dyDescent="0.25">
      <c r="A20" s="214" t="s">
        <v>258</v>
      </c>
      <c r="B20" s="64">
        <v>19.510000000000002</v>
      </c>
      <c r="C20" s="64">
        <v>16.82</v>
      </c>
      <c r="D20" s="64">
        <v>23.98</v>
      </c>
      <c r="E20" s="64">
        <v>4.7300000000000004</v>
      </c>
      <c r="F20" s="64">
        <v>2.63</v>
      </c>
      <c r="G20" s="64">
        <v>54.57</v>
      </c>
      <c r="H20" s="64">
        <v>29.62</v>
      </c>
      <c r="I20" s="64">
        <v>4.2</v>
      </c>
      <c r="J20" s="64">
        <v>0.25</v>
      </c>
      <c r="K20" s="64">
        <v>314.63</v>
      </c>
      <c r="L20" s="64">
        <v>17.91</v>
      </c>
      <c r="M20" s="64">
        <v>69.58</v>
      </c>
      <c r="N20" s="64">
        <v>32.299999999999997</v>
      </c>
      <c r="O20" s="64">
        <v>0</v>
      </c>
      <c r="P20" s="64">
        <v>1.0900000000000001</v>
      </c>
      <c r="Q20" s="64">
        <v>9.65</v>
      </c>
      <c r="R20" s="198"/>
      <c r="S20" s="198"/>
      <c r="T20" s="198"/>
      <c r="U20" s="198"/>
    </row>
    <row r="21" spans="1:21" s="12" customFormat="1" x14ac:dyDescent="0.25">
      <c r="A21" s="214" t="s">
        <v>259</v>
      </c>
      <c r="B21" s="64">
        <v>18.71</v>
      </c>
      <c r="C21" s="64">
        <v>17.149999999999999</v>
      </c>
      <c r="D21" s="64">
        <v>23.5</v>
      </c>
      <c r="E21" s="64">
        <v>4.78</v>
      </c>
      <c r="F21" s="64">
        <v>2.6</v>
      </c>
      <c r="G21" s="64">
        <v>54.78</v>
      </c>
      <c r="H21" s="64">
        <v>31.61</v>
      </c>
      <c r="I21" s="64">
        <v>3.88</v>
      </c>
      <c r="J21" s="64">
        <v>0.21</v>
      </c>
      <c r="K21" s="64">
        <v>265.39</v>
      </c>
      <c r="L21" s="64">
        <v>17.21</v>
      </c>
      <c r="M21" s="64">
        <v>75.72</v>
      </c>
      <c r="N21" s="64">
        <v>32</v>
      </c>
      <c r="O21" s="64">
        <v>0</v>
      </c>
      <c r="P21" s="64">
        <v>1.05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4" t="s">
        <v>260</v>
      </c>
      <c r="B22" s="64">
        <v>18.04</v>
      </c>
      <c r="C22" s="64">
        <v>17.36</v>
      </c>
      <c r="D22" s="64">
        <v>23.07</v>
      </c>
      <c r="E22" s="64">
        <v>4.82</v>
      </c>
      <c r="F22" s="64">
        <v>2.82</v>
      </c>
      <c r="G22" s="64">
        <v>55.63</v>
      </c>
      <c r="H22" s="64">
        <v>40.65</v>
      </c>
      <c r="I22" s="64">
        <v>3.69</v>
      </c>
      <c r="J22" s="64">
        <v>0.64</v>
      </c>
      <c r="K22" s="64">
        <v>348.55</v>
      </c>
      <c r="L22" s="64">
        <v>16.78</v>
      </c>
      <c r="M22" s="64">
        <v>82.07</v>
      </c>
      <c r="N22" s="64">
        <v>31.8</v>
      </c>
      <c r="O22" s="64">
        <v>0</v>
      </c>
      <c r="P22" s="64">
        <v>1.04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4" t="s">
        <v>261</v>
      </c>
      <c r="B23" s="64">
        <v>17.45</v>
      </c>
      <c r="C23" s="64">
        <v>16.98</v>
      </c>
      <c r="D23" s="64">
        <v>22.4</v>
      </c>
      <c r="E23" s="64">
        <v>4.8</v>
      </c>
      <c r="F23" s="64">
        <v>2.7</v>
      </c>
      <c r="G23" s="64">
        <v>55.63</v>
      </c>
      <c r="H23" s="64">
        <v>40.65</v>
      </c>
      <c r="I23" s="64">
        <v>3.98</v>
      </c>
      <c r="J23" s="64">
        <v>0.25</v>
      </c>
      <c r="K23" s="64">
        <v>329.82</v>
      </c>
      <c r="L23" s="64">
        <v>16.78</v>
      </c>
      <c r="M23" s="64">
        <v>79.81</v>
      </c>
      <c r="N23" s="64">
        <v>31.9</v>
      </c>
      <c r="O23" s="64">
        <v>0</v>
      </c>
      <c r="P23" s="64">
        <v>1.01</v>
      </c>
      <c r="Q23" s="64">
        <v>9.65</v>
      </c>
      <c r="R23" s="198"/>
      <c r="S23" s="198"/>
      <c r="T23" s="198"/>
      <c r="U23" s="198"/>
    </row>
    <row r="24" spans="1:21" s="12" customFormat="1" x14ac:dyDescent="0.25">
      <c r="A24" s="214" t="s">
        <v>262</v>
      </c>
      <c r="B24" s="64">
        <v>17.05</v>
      </c>
      <c r="C24" s="64">
        <v>17.329999999999998</v>
      </c>
      <c r="D24" s="64">
        <v>22.27</v>
      </c>
      <c r="E24" s="64">
        <v>4.7</v>
      </c>
      <c r="F24" s="64">
        <v>2.77</v>
      </c>
      <c r="G24" s="64">
        <v>55.63</v>
      </c>
      <c r="H24" s="64">
        <v>40.65</v>
      </c>
      <c r="I24" s="64">
        <v>4.04</v>
      </c>
      <c r="J24" s="64">
        <v>0.37</v>
      </c>
      <c r="K24" s="64">
        <v>341.72</v>
      </c>
      <c r="L24" s="64">
        <v>16.64</v>
      </c>
      <c r="M24" s="64">
        <v>82.82</v>
      </c>
      <c r="N24" s="64">
        <v>31.8</v>
      </c>
      <c r="O24" s="64">
        <v>0</v>
      </c>
      <c r="P24" s="64">
        <v>1.04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4" t="s">
        <v>263</v>
      </c>
      <c r="B25" s="64">
        <v>17.079999999999998</v>
      </c>
      <c r="C25" s="64">
        <v>17.489999999999998</v>
      </c>
      <c r="D25" s="64">
        <v>22.38</v>
      </c>
      <c r="E25" s="64">
        <v>4.96</v>
      </c>
      <c r="F25" s="64">
        <v>2.5499999999999998</v>
      </c>
      <c r="G25" s="64">
        <v>59.66</v>
      </c>
      <c r="H25" s="64">
        <v>40.549999999999997</v>
      </c>
      <c r="I25" s="64">
        <v>4.0199999999999996</v>
      </c>
      <c r="J25" s="64">
        <v>0.77</v>
      </c>
      <c r="K25" s="64">
        <v>345.44</v>
      </c>
      <c r="L25" s="64">
        <v>16.52</v>
      </c>
      <c r="M25" s="64">
        <v>85.48</v>
      </c>
      <c r="N25" s="64">
        <v>31.6</v>
      </c>
      <c r="O25" s="64">
        <v>0</v>
      </c>
      <c r="P25" s="64">
        <v>1.07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4" t="s">
        <v>264</v>
      </c>
      <c r="B26" s="64">
        <v>17.350000000000001</v>
      </c>
      <c r="C26" s="64">
        <v>17.600000000000001</v>
      </c>
      <c r="D26" s="64">
        <v>22.65</v>
      </c>
      <c r="E26" s="64">
        <v>4.9000000000000004</v>
      </c>
      <c r="F26" s="64">
        <v>2.73</v>
      </c>
      <c r="G26" s="64">
        <v>75.81</v>
      </c>
      <c r="H26" s="64">
        <v>40.28</v>
      </c>
      <c r="I26" s="64">
        <v>3.72</v>
      </c>
      <c r="J26" s="64">
        <v>0.45</v>
      </c>
      <c r="K26" s="64">
        <v>338.92</v>
      </c>
      <c r="L26" s="64">
        <v>16.63</v>
      </c>
      <c r="M26" s="64">
        <v>83.6</v>
      </c>
      <c r="N26" s="64">
        <v>31.6</v>
      </c>
      <c r="O26" s="64">
        <v>0</v>
      </c>
      <c r="P26" s="64">
        <v>1.1000000000000001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4" t="s">
        <v>265</v>
      </c>
      <c r="B27" s="64">
        <v>17.7</v>
      </c>
      <c r="C27" s="64">
        <v>17.829999999999998</v>
      </c>
      <c r="D27" s="64">
        <v>23.05</v>
      </c>
      <c r="E27" s="64">
        <v>5.19</v>
      </c>
      <c r="F27" s="64">
        <v>3.15</v>
      </c>
      <c r="G27" s="64">
        <v>75.81</v>
      </c>
      <c r="H27" s="64">
        <v>40.28</v>
      </c>
      <c r="I27" s="64">
        <v>3.65</v>
      </c>
      <c r="J27" s="64">
        <v>0.11</v>
      </c>
      <c r="K27" s="64">
        <v>13.41</v>
      </c>
      <c r="L27" s="64">
        <v>16.55</v>
      </c>
      <c r="M27" s="64">
        <v>82.48</v>
      </c>
      <c r="N27" s="64">
        <v>31.7</v>
      </c>
      <c r="O27" s="64">
        <v>0</v>
      </c>
      <c r="P27" s="64">
        <v>1.1100000000000001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14" t="s">
        <v>266</v>
      </c>
      <c r="B28" s="64">
        <v>17.489999999999998</v>
      </c>
      <c r="C28" s="64">
        <v>17.37</v>
      </c>
      <c r="D28" s="64">
        <v>22.64</v>
      </c>
      <c r="E28" s="64">
        <v>4.9800000000000004</v>
      </c>
      <c r="F28" s="64">
        <v>3.26</v>
      </c>
      <c r="G28" s="64">
        <v>75.81</v>
      </c>
      <c r="H28" s="64">
        <v>40.28</v>
      </c>
      <c r="I28" s="64">
        <v>3.69</v>
      </c>
      <c r="J28" s="64">
        <v>0.06</v>
      </c>
      <c r="K28" s="64">
        <v>344.23</v>
      </c>
      <c r="L28" s="64">
        <v>16.41</v>
      </c>
      <c r="M28" s="64">
        <v>82.62</v>
      </c>
      <c r="N28" s="64">
        <v>31.7</v>
      </c>
      <c r="O28" s="64">
        <v>0</v>
      </c>
      <c r="P28" s="64">
        <v>1.1200000000000001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4" t="s">
        <v>267</v>
      </c>
      <c r="B29" s="64">
        <v>17.239999999999998</v>
      </c>
      <c r="C29" s="64">
        <v>17.38</v>
      </c>
      <c r="D29" s="64">
        <v>22.44</v>
      </c>
      <c r="E29" s="64">
        <v>4.9800000000000004</v>
      </c>
      <c r="F29" s="64">
        <v>2.96</v>
      </c>
      <c r="G29" s="64">
        <v>77.569999999999993</v>
      </c>
      <c r="H29" s="64">
        <v>39.770000000000003</v>
      </c>
      <c r="I29" s="64">
        <v>3.69</v>
      </c>
      <c r="J29" s="64">
        <v>0.08</v>
      </c>
      <c r="K29" s="64">
        <v>134</v>
      </c>
      <c r="L29" s="64">
        <v>16.489999999999998</v>
      </c>
      <c r="M29" s="64">
        <v>81.94</v>
      </c>
      <c r="N29" s="64">
        <v>31.8</v>
      </c>
      <c r="O29" s="64">
        <v>0</v>
      </c>
      <c r="P29" s="64">
        <v>1.1200000000000001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4" t="s">
        <v>268</v>
      </c>
      <c r="B30" s="64">
        <v>17.07</v>
      </c>
      <c r="C30" s="64">
        <v>17.39</v>
      </c>
      <c r="D30" s="64">
        <v>22.31</v>
      </c>
      <c r="E30" s="64">
        <v>4.8899999999999997</v>
      </c>
      <c r="F30" s="64">
        <v>2.93</v>
      </c>
      <c r="G30" s="64">
        <v>84.63</v>
      </c>
      <c r="H30" s="64">
        <v>38.26</v>
      </c>
      <c r="I30" s="64">
        <v>3.66</v>
      </c>
      <c r="J30" s="64">
        <v>0.17</v>
      </c>
      <c r="K30" s="64">
        <v>133.62</v>
      </c>
      <c r="L30" s="64">
        <v>16.39</v>
      </c>
      <c r="M30" s="64">
        <v>82.59</v>
      </c>
      <c r="N30" s="64">
        <v>31.8</v>
      </c>
      <c r="O30" s="64">
        <v>0</v>
      </c>
      <c r="P30" s="64">
        <v>1.1100000000000001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4" t="s">
        <v>269</v>
      </c>
      <c r="B31" s="64">
        <v>16.920000000000002</v>
      </c>
      <c r="C31" s="64">
        <v>17.41</v>
      </c>
      <c r="D31" s="64">
        <v>22.21</v>
      </c>
      <c r="E31" s="64">
        <v>5.09</v>
      </c>
      <c r="F31" s="64">
        <v>2.9</v>
      </c>
      <c r="G31" s="64">
        <v>84.63</v>
      </c>
      <c r="H31" s="64">
        <v>38.26</v>
      </c>
      <c r="I31" s="64">
        <v>3.63</v>
      </c>
      <c r="J31" s="64">
        <v>0.28000000000000003</v>
      </c>
      <c r="K31" s="64">
        <v>307.76</v>
      </c>
      <c r="L31" s="64">
        <v>16.28</v>
      </c>
      <c r="M31" s="64">
        <v>84.34</v>
      </c>
      <c r="N31" s="64">
        <v>32</v>
      </c>
      <c r="O31" s="64">
        <v>0</v>
      </c>
      <c r="P31" s="64">
        <v>1.07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4" t="s">
        <v>270</v>
      </c>
      <c r="B32" s="64">
        <v>17.02</v>
      </c>
      <c r="C32" s="64">
        <v>17.16</v>
      </c>
      <c r="D32" s="64">
        <v>22.15</v>
      </c>
      <c r="E32" s="64">
        <v>5.37</v>
      </c>
      <c r="F32" s="64">
        <v>2.62</v>
      </c>
      <c r="G32" s="64">
        <v>84.63</v>
      </c>
      <c r="H32" s="64">
        <v>38.26</v>
      </c>
      <c r="I32" s="64">
        <v>3.59</v>
      </c>
      <c r="J32" s="64">
        <v>0.24</v>
      </c>
      <c r="K32" s="64">
        <v>303.14</v>
      </c>
      <c r="L32" s="64">
        <v>16.23</v>
      </c>
      <c r="M32" s="64">
        <v>84.97</v>
      </c>
      <c r="N32" s="64">
        <v>32</v>
      </c>
      <c r="O32" s="64">
        <v>0</v>
      </c>
      <c r="P32" s="64">
        <v>1.01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4" t="s">
        <v>271</v>
      </c>
      <c r="B33" s="64">
        <v>17.149999999999999</v>
      </c>
      <c r="C33" s="64">
        <v>16.940000000000001</v>
      </c>
      <c r="D33" s="64">
        <v>22.14</v>
      </c>
      <c r="E33" s="64">
        <v>5.05</v>
      </c>
      <c r="F33" s="64">
        <v>2.88</v>
      </c>
      <c r="G33" s="64">
        <v>84.97</v>
      </c>
      <c r="H33" s="64">
        <v>37.81</v>
      </c>
      <c r="I33" s="64">
        <v>3.54</v>
      </c>
      <c r="J33" s="64">
        <v>0.56000000000000005</v>
      </c>
      <c r="K33" s="64">
        <v>335.83</v>
      </c>
      <c r="L33" s="64">
        <v>16.309999999999999</v>
      </c>
      <c r="M33" s="64">
        <v>85.37</v>
      </c>
      <c r="N33" s="64">
        <v>32.200000000000003</v>
      </c>
      <c r="O33" s="64">
        <v>0</v>
      </c>
      <c r="P33" s="64">
        <v>0.97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4" t="s">
        <v>272</v>
      </c>
      <c r="B34" s="64">
        <v>16.989999999999998</v>
      </c>
      <c r="C34" s="64">
        <v>17.899999999999999</v>
      </c>
      <c r="D34" s="64">
        <v>22.52</v>
      </c>
      <c r="E34" s="64">
        <v>5.43</v>
      </c>
      <c r="F34" s="64">
        <v>3.1</v>
      </c>
      <c r="G34" s="64">
        <v>86.45</v>
      </c>
      <c r="H34" s="64">
        <v>36.479999999999997</v>
      </c>
      <c r="I34" s="64">
        <v>3.51</v>
      </c>
      <c r="J34" s="64">
        <v>0.91</v>
      </c>
      <c r="K34" s="64">
        <v>349.07</v>
      </c>
      <c r="L34" s="64">
        <v>16.45</v>
      </c>
      <c r="M34" s="64">
        <v>84.88</v>
      </c>
      <c r="N34" s="64">
        <v>33.9</v>
      </c>
      <c r="O34" s="64">
        <v>0</v>
      </c>
      <c r="P34" s="64">
        <v>0.93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4" t="s">
        <v>273</v>
      </c>
      <c r="B35" s="64">
        <v>16.63</v>
      </c>
      <c r="C35" s="64">
        <v>19.59</v>
      </c>
      <c r="D35" s="64">
        <v>23.11</v>
      </c>
      <c r="E35" s="64">
        <v>5.04</v>
      </c>
      <c r="F35" s="64">
        <v>3.1</v>
      </c>
      <c r="G35" s="64">
        <v>86.45</v>
      </c>
      <c r="H35" s="64">
        <v>36.479999999999997</v>
      </c>
      <c r="I35" s="64">
        <v>3.47</v>
      </c>
      <c r="J35" s="64">
        <v>0.64</v>
      </c>
      <c r="K35" s="64">
        <v>344.01</v>
      </c>
      <c r="L35" s="64">
        <v>16.53</v>
      </c>
      <c r="M35" s="64">
        <v>84.64</v>
      </c>
      <c r="N35" s="64">
        <v>42.4</v>
      </c>
      <c r="O35" s="64">
        <v>0</v>
      </c>
      <c r="P35" s="64">
        <v>0.9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4" t="s">
        <v>274</v>
      </c>
      <c r="B36" s="64">
        <v>17.079999999999998</v>
      </c>
      <c r="C36" s="64">
        <v>20.78</v>
      </c>
      <c r="D36" s="64">
        <v>24.09</v>
      </c>
      <c r="E36" s="64">
        <v>5.78</v>
      </c>
      <c r="F36" s="64">
        <v>3.43</v>
      </c>
      <c r="G36" s="64">
        <v>86.45</v>
      </c>
      <c r="H36" s="64">
        <v>36.479999999999997</v>
      </c>
      <c r="I36" s="64">
        <v>3.72</v>
      </c>
      <c r="J36" s="64">
        <v>0.77</v>
      </c>
      <c r="K36" s="64">
        <v>349.4</v>
      </c>
      <c r="L36" s="64">
        <v>16.66</v>
      </c>
      <c r="M36" s="64">
        <v>84.48</v>
      </c>
      <c r="N36" s="64">
        <v>48.2</v>
      </c>
      <c r="O36" s="64">
        <v>0</v>
      </c>
      <c r="P36" s="64">
        <v>0.89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4" t="s">
        <v>275</v>
      </c>
      <c r="B37" s="64">
        <v>18.57</v>
      </c>
      <c r="C37" s="64">
        <v>23.29</v>
      </c>
      <c r="D37" s="64">
        <v>26.59</v>
      </c>
      <c r="E37" s="64">
        <v>5.45</v>
      </c>
      <c r="F37" s="64">
        <v>3.81</v>
      </c>
      <c r="G37" s="64">
        <v>82.19</v>
      </c>
      <c r="H37" s="64">
        <v>36.049999999999997</v>
      </c>
      <c r="I37" s="64">
        <v>3.82</v>
      </c>
      <c r="J37" s="64">
        <v>0.45</v>
      </c>
      <c r="K37" s="64">
        <v>344.19</v>
      </c>
      <c r="L37" s="64">
        <v>16.71</v>
      </c>
      <c r="M37" s="64">
        <v>84.83</v>
      </c>
      <c r="N37" s="64">
        <v>59.8</v>
      </c>
      <c r="O37" s="64">
        <v>0</v>
      </c>
      <c r="P37" s="64">
        <v>0.98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4" t="s">
        <v>276</v>
      </c>
      <c r="B38" s="64">
        <v>19.52</v>
      </c>
      <c r="C38" s="64">
        <v>23.06</v>
      </c>
      <c r="D38" s="64">
        <v>27.24</v>
      </c>
      <c r="E38" s="64">
        <v>4.9000000000000004</v>
      </c>
      <c r="F38" s="64">
        <v>3.39</v>
      </c>
      <c r="G38" s="64">
        <v>65.11</v>
      </c>
      <c r="H38" s="64">
        <v>34.090000000000003</v>
      </c>
      <c r="I38" s="64">
        <v>3.81</v>
      </c>
      <c r="J38" s="64">
        <v>0.24</v>
      </c>
      <c r="K38" s="64">
        <v>328.49</v>
      </c>
      <c r="L38" s="64">
        <v>16.82</v>
      </c>
      <c r="M38" s="64">
        <v>83.32</v>
      </c>
      <c r="N38" s="64">
        <v>61</v>
      </c>
      <c r="O38" s="64">
        <v>0</v>
      </c>
      <c r="P38" s="64">
        <v>1.04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277</v>
      </c>
      <c r="B39" s="64">
        <v>20.64</v>
      </c>
      <c r="C39" s="64">
        <v>21.81</v>
      </c>
      <c r="D39" s="64">
        <v>27.49</v>
      </c>
      <c r="E39" s="64">
        <v>5.03</v>
      </c>
      <c r="F39" s="64">
        <v>3.11</v>
      </c>
      <c r="G39" s="64">
        <v>65.11</v>
      </c>
      <c r="H39" s="64">
        <v>34.090000000000003</v>
      </c>
      <c r="I39" s="64">
        <v>3.81</v>
      </c>
      <c r="J39" s="64">
        <v>0.71</v>
      </c>
      <c r="K39" s="64">
        <v>350.4</v>
      </c>
      <c r="L39" s="64">
        <v>17.2</v>
      </c>
      <c r="M39" s="64">
        <v>81.16</v>
      </c>
      <c r="N39" s="64">
        <v>69.599999999999994</v>
      </c>
      <c r="O39" s="64">
        <v>0</v>
      </c>
      <c r="P39" s="64">
        <v>1.05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4" t="s">
        <v>278</v>
      </c>
      <c r="B40" s="64">
        <v>22.1</v>
      </c>
      <c r="C40" s="64">
        <v>20.329999999999998</v>
      </c>
      <c r="D40" s="64">
        <v>27.88</v>
      </c>
      <c r="E40" s="64">
        <v>5.48</v>
      </c>
      <c r="F40" s="64">
        <v>3.29</v>
      </c>
      <c r="G40" s="64">
        <v>65.11</v>
      </c>
      <c r="H40" s="64">
        <v>34.090000000000003</v>
      </c>
      <c r="I40" s="64">
        <v>3.83</v>
      </c>
      <c r="J40" s="64">
        <v>1.23</v>
      </c>
      <c r="K40" s="64">
        <v>345.56</v>
      </c>
      <c r="L40" s="64">
        <v>17.78</v>
      </c>
      <c r="M40" s="64">
        <v>78.099999999999994</v>
      </c>
      <c r="N40" s="64">
        <v>100.1</v>
      </c>
      <c r="O40" s="64">
        <v>0</v>
      </c>
      <c r="P40" s="64">
        <v>1.07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4" t="s">
        <v>279</v>
      </c>
      <c r="B41" s="64">
        <v>23.51</v>
      </c>
      <c r="C41" s="64">
        <v>18.64</v>
      </c>
      <c r="D41" s="64">
        <v>28.13</v>
      </c>
      <c r="E41" s="64">
        <v>5.4</v>
      </c>
      <c r="F41" s="64">
        <v>3.14</v>
      </c>
      <c r="G41" s="64">
        <v>79.209999999999994</v>
      </c>
      <c r="H41" s="64">
        <v>34.25</v>
      </c>
      <c r="I41" s="64">
        <v>3.9</v>
      </c>
      <c r="J41" s="64">
        <v>1.05</v>
      </c>
      <c r="K41" s="64">
        <v>344.66</v>
      </c>
      <c r="L41" s="64">
        <v>18.37</v>
      </c>
      <c r="M41" s="64">
        <v>74.22</v>
      </c>
      <c r="N41" s="64">
        <v>128.5</v>
      </c>
      <c r="O41" s="64">
        <v>0</v>
      </c>
      <c r="P41" s="64">
        <v>1.1399999999999999</v>
      </c>
      <c r="Q41" s="64">
        <v>9.68</v>
      </c>
      <c r="R41" s="198"/>
      <c r="S41" s="198"/>
      <c r="T41" s="198"/>
      <c r="U41" s="198"/>
    </row>
    <row r="42" spans="1:21" s="12" customFormat="1" x14ac:dyDescent="0.25">
      <c r="A42" s="214" t="s">
        <v>280</v>
      </c>
      <c r="B42" s="64">
        <v>24.37</v>
      </c>
      <c r="C42" s="64">
        <v>17.87</v>
      </c>
      <c r="D42" s="64">
        <v>28.42</v>
      </c>
      <c r="E42" s="64">
        <v>5.19</v>
      </c>
      <c r="F42" s="64">
        <v>3.45</v>
      </c>
      <c r="G42" s="64">
        <v>135.58000000000001</v>
      </c>
      <c r="H42" s="64">
        <v>34.729999999999997</v>
      </c>
      <c r="I42" s="64">
        <v>3.99</v>
      </c>
      <c r="J42" s="64">
        <v>1.07</v>
      </c>
      <c r="K42" s="64">
        <v>346.58</v>
      </c>
      <c r="L42" s="64">
        <v>19.149999999999999</v>
      </c>
      <c r="M42" s="64">
        <v>69.16</v>
      </c>
      <c r="N42" s="64">
        <v>178.6</v>
      </c>
      <c r="O42" s="64">
        <v>0</v>
      </c>
      <c r="P42" s="64">
        <v>1.23</v>
      </c>
      <c r="Q42" s="64">
        <v>9.68</v>
      </c>
      <c r="R42" s="198"/>
      <c r="S42" s="198"/>
      <c r="T42" s="198"/>
      <c r="U42" s="198"/>
    </row>
    <row r="43" spans="1:21" s="12" customFormat="1" x14ac:dyDescent="0.25">
      <c r="A43" s="214" t="s">
        <v>281</v>
      </c>
      <c r="B43" s="64">
        <v>24.18</v>
      </c>
      <c r="C43" s="64">
        <v>18.329999999999998</v>
      </c>
      <c r="D43" s="64">
        <v>28.51</v>
      </c>
      <c r="E43" s="64">
        <v>5.56</v>
      </c>
      <c r="F43" s="64">
        <v>3.72</v>
      </c>
      <c r="G43" s="64">
        <v>135.58000000000001</v>
      </c>
      <c r="H43" s="64">
        <v>34.729999999999997</v>
      </c>
      <c r="I43" s="64">
        <v>4.1100000000000003</v>
      </c>
      <c r="J43" s="64">
        <v>0.82</v>
      </c>
      <c r="K43" s="64">
        <v>340.33</v>
      </c>
      <c r="L43" s="64">
        <v>19.97</v>
      </c>
      <c r="M43" s="64">
        <v>64.66</v>
      </c>
      <c r="N43" s="64">
        <v>195.7</v>
      </c>
      <c r="O43" s="64">
        <v>0</v>
      </c>
      <c r="P43" s="64">
        <v>1.27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4" t="s">
        <v>282</v>
      </c>
      <c r="B44" s="64">
        <v>24.56</v>
      </c>
      <c r="C44" s="64">
        <v>18.28</v>
      </c>
      <c r="D44" s="64">
        <v>28.79</v>
      </c>
      <c r="E44" s="64">
        <v>5.94</v>
      </c>
      <c r="F44" s="64">
        <v>3.57</v>
      </c>
      <c r="G44" s="64">
        <v>135.58000000000001</v>
      </c>
      <c r="H44" s="64">
        <v>34.729999999999997</v>
      </c>
      <c r="I44" s="64">
        <v>4.21</v>
      </c>
      <c r="J44" s="64">
        <v>1.02</v>
      </c>
      <c r="K44" s="64">
        <v>342.3</v>
      </c>
      <c r="L44" s="64">
        <v>20.98</v>
      </c>
      <c r="M44" s="64">
        <v>59.99</v>
      </c>
      <c r="N44" s="64">
        <v>251.1</v>
      </c>
      <c r="O44" s="64">
        <v>0</v>
      </c>
      <c r="P44" s="64">
        <v>1.29</v>
      </c>
      <c r="Q44" s="64">
        <v>9.67</v>
      </c>
      <c r="R44" s="198"/>
      <c r="S44" s="198"/>
      <c r="T44" s="198"/>
      <c r="U44" s="198"/>
    </row>
    <row r="45" spans="1:21" s="12" customFormat="1" x14ac:dyDescent="0.25">
      <c r="A45" s="214" t="s">
        <v>283</v>
      </c>
      <c r="B45" s="64">
        <v>24.96</v>
      </c>
      <c r="C45" s="64">
        <v>17.649999999999999</v>
      </c>
      <c r="D45" s="64">
        <v>28.78</v>
      </c>
      <c r="E45" s="64">
        <v>5.91</v>
      </c>
      <c r="F45" s="64">
        <v>3.18</v>
      </c>
      <c r="G45" s="64">
        <v>128.79</v>
      </c>
      <c r="H45" s="64">
        <v>35.43</v>
      </c>
      <c r="I45" s="64">
        <v>4.26</v>
      </c>
      <c r="J45" s="64">
        <v>0.17</v>
      </c>
      <c r="K45" s="64">
        <v>47.37</v>
      </c>
      <c r="L45" s="64">
        <v>21.49</v>
      </c>
      <c r="M45" s="64">
        <v>58.98</v>
      </c>
      <c r="N45" s="64">
        <v>222.6</v>
      </c>
      <c r="O45" s="64">
        <v>0</v>
      </c>
      <c r="P45" s="64">
        <v>1.31</v>
      </c>
      <c r="Q45" s="64">
        <v>9.68</v>
      </c>
      <c r="R45" s="198"/>
      <c r="S45" s="198"/>
      <c r="T45" s="198"/>
      <c r="U45" s="198"/>
    </row>
    <row r="46" spans="1:21" s="12" customFormat="1" x14ac:dyDescent="0.25">
      <c r="A46" s="214" t="s">
        <v>284</v>
      </c>
      <c r="B46" s="64">
        <v>24.16</v>
      </c>
      <c r="C46" s="64">
        <v>17.11</v>
      </c>
      <c r="D46" s="64">
        <v>27.86</v>
      </c>
      <c r="E46" s="64">
        <v>5.78</v>
      </c>
      <c r="F46" s="64">
        <v>3.65</v>
      </c>
      <c r="G46" s="64">
        <v>101.66</v>
      </c>
      <c r="H46" s="64">
        <v>37.47</v>
      </c>
      <c r="I46" s="64">
        <v>4.29</v>
      </c>
      <c r="J46" s="64">
        <v>1</v>
      </c>
      <c r="K46" s="64">
        <v>124.75</v>
      </c>
      <c r="L46" s="64">
        <v>20.54</v>
      </c>
      <c r="M46" s="64">
        <v>62.53</v>
      </c>
      <c r="N46" s="64">
        <v>206.2</v>
      </c>
      <c r="O46" s="64">
        <v>0</v>
      </c>
      <c r="P46" s="64">
        <v>1.32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4" t="s">
        <v>285</v>
      </c>
      <c r="B47" s="64">
        <v>22.89</v>
      </c>
      <c r="C47" s="64">
        <v>17.63</v>
      </c>
      <c r="D47" s="64">
        <v>27.11</v>
      </c>
      <c r="E47" s="64">
        <v>6.28</v>
      </c>
      <c r="F47" s="64">
        <v>3.73</v>
      </c>
      <c r="G47" s="64">
        <v>101.66</v>
      </c>
      <c r="H47" s="64">
        <v>37.47</v>
      </c>
      <c r="I47" s="64">
        <v>4.3099999999999996</v>
      </c>
      <c r="J47" s="64">
        <v>0.16</v>
      </c>
      <c r="K47" s="64">
        <v>109.86</v>
      </c>
      <c r="L47" s="64">
        <v>20.51</v>
      </c>
      <c r="M47" s="64">
        <v>61.33</v>
      </c>
      <c r="N47" s="64">
        <v>276.60000000000002</v>
      </c>
      <c r="O47" s="64">
        <v>0</v>
      </c>
      <c r="P47" s="64">
        <v>1.3</v>
      </c>
      <c r="Q47" s="64">
        <v>9.66</v>
      </c>
      <c r="R47" s="198"/>
      <c r="S47" s="198"/>
      <c r="T47" s="198"/>
      <c r="U47" s="198"/>
    </row>
    <row r="48" spans="1:21" s="12" customFormat="1" x14ac:dyDescent="0.25">
      <c r="A48" s="214" t="s">
        <v>286</v>
      </c>
      <c r="B48" s="64">
        <v>22.97</v>
      </c>
      <c r="C48" s="64">
        <v>17.899999999999999</v>
      </c>
      <c r="D48" s="64">
        <v>27.32</v>
      </c>
      <c r="E48" s="64">
        <v>5.45</v>
      </c>
      <c r="F48" s="64">
        <v>3.57</v>
      </c>
      <c r="G48" s="64">
        <v>101.66</v>
      </c>
      <c r="H48" s="64">
        <v>37.47</v>
      </c>
      <c r="I48" s="64">
        <v>4.3</v>
      </c>
      <c r="J48" s="64">
        <v>0.43</v>
      </c>
      <c r="K48" s="64">
        <v>121.05</v>
      </c>
      <c r="L48" s="64">
        <v>21.39</v>
      </c>
      <c r="M48" s="64">
        <v>58.63</v>
      </c>
      <c r="N48" s="64">
        <v>283.3</v>
      </c>
      <c r="O48" s="64">
        <v>0</v>
      </c>
      <c r="P48" s="64">
        <v>1.28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4" t="s">
        <v>287</v>
      </c>
      <c r="B49" s="64">
        <v>23.09</v>
      </c>
      <c r="C49" s="64">
        <v>17.350000000000001</v>
      </c>
      <c r="D49" s="64">
        <v>27.12</v>
      </c>
      <c r="E49" s="64">
        <v>5.63</v>
      </c>
      <c r="F49" s="64">
        <v>3.16</v>
      </c>
      <c r="G49" s="64">
        <v>81.33</v>
      </c>
      <c r="H49" s="64">
        <v>36.53</v>
      </c>
      <c r="I49" s="64">
        <v>4.28</v>
      </c>
      <c r="J49" s="64">
        <v>0.7</v>
      </c>
      <c r="K49" s="64">
        <v>128.37</v>
      </c>
      <c r="L49" s="64">
        <v>21.6</v>
      </c>
      <c r="M49" s="64">
        <v>57.8</v>
      </c>
      <c r="N49" s="64">
        <v>338.2</v>
      </c>
      <c r="O49" s="64">
        <v>0</v>
      </c>
      <c r="P49" s="64">
        <v>1.23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4" t="s">
        <v>288</v>
      </c>
      <c r="B50" s="64">
        <v>22.3</v>
      </c>
      <c r="C50" s="64">
        <v>17.420000000000002</v>
      </c>
      <c r="D50" s="64">
        <v>26.53</v>
      </c>
      <c r="E50" s="64">
        <v>5.83</v>
      </c>
      <c r="F50" s="64">
        <v>3.23</v>
      </c>
      <c r="G50" s="64">
        <v>81.33</v>
      </c>
      <c r="H50" s="64">
        <v>33.78</v>
      </c>
      <c r="I50" s="64">
        <v>4.24</v>
      </c>
      <c r="J50" s="64">
        <v>0.55000000000000004</v>
      </c>
      <c r="K50" s="64">
        <v>115.69</v>
      </c>
      <c r="L50" s="64">
        <v>23.05</v>
      </c>
      <c r="M50" s="64">
        <v>52.25</v>
      </c>
      <c r="N50" s="64">
        <v>499.9</v>
      </c>
      <c r="O50" s="64">
        <v>0</v>
      </c>
      <c r="P50" s="64">
        <v>1.18</v>
      </c>
      <c r="Q50" s="64">
        <v>9.66</v>
      </c>
      <c r="R50" s="198"/>
      <c r="S50" s="198"/>
      <c r="T50" s="198"/>
      <c r="U50" s="198"/>
    </row>
    <row r="51" spans="1:21" s="12" customFormat="1" x14ac:dyDescent="0.25">
      <c r="A51" s="214" t="s">
        <v>289</v>
      </c>
      <c r="B51" s="64">
        <v>21.59</v>
      </c>
      <c r="C51" s="64">
        <v>17.75</v>
      </c>
      <c r="D51" s="64">
        <v>26.12</v>
      </c>
      <c r="E51" s="64">
        <v>5.35</v>
      </c>
      <c r="F51" s="64">
        <v>3.24</v>
      </c>
      <c r="G51" s="64">
        <v>81.33</v>
      </c>
      <c r="H51" s="64">
        <v>33.78</v>
      </c>
      <c r="I51" s="64">
        <v>4.2</v>
      </c>
      <c r="J51" s="64">
        <v>1.02</v>
      </c>
      <c r="K51" s="64">
        <v>123.17</v>
      </c>
      <c r="L51" s="64">
        <v>23.18</v>
      </c>
      <c r="M51" s="64">
        <v>51.65</v>
      </c>
      <c r="N51" s="64">
        <v>501.4</v>
      </c>
      <c r="O51" s="64">
        <v>0</v>
      </c>
      <c r="P51" s="64">
        <v>1.1499999999999999</v>
      </c>
      <c r="Q51" s="64">
        <v>9.65</v>
      </c>
      <c r="R51" s="198"/>
      <c r="S51" s="198"/>
      <c r="T51" s="198"/>
      <c r="U51" s="198"/>
    </row>
    <row r="52" spans="1:21" s="12" customFormat="1" x14ac:dyDescent="0.25">
      <c r="A52" s="214" t="s">
        <v>290</v>
      </c>
      <c r="B52" s="64">
        <v>20.71</v>
      </c>
      <c r="C52" s="64">
        <v>18.16</v>
      </c>
      <c r="D52" s="64">
        <v>25.64</v>
      </c>
      <c r="E52" s="64">
        <v>5.84</v>
      </c>
      <c r="F52" s="64">
        <v>3.32</v>
      </c>
      <c r="G52" s="64">
        <v>81.33</v>
      </c>
      <c r="H52" s="64">
        <v>33.78</v>
      </c>
      <c r="I52" s="64">
        <v>4.18</v>
      </c>
      <c r="J52" s="64">
        <v>1.1399999999999999</v>
      </c>
      <c r="K52" s="64">
        <v>123.86</v>
      </c>
      <c r="L52" s="64">
        <v>23.34</v>
      </c>
      <c r="M52" s="64">
        <v>51.07</v>
      </c>
      <c r="N52" s="64">
        <v>405.4</v>
      </c>
      <c r="O52" s="64">
        <v>0</v>
      </c>
      <c r="P52" s="64">
        <v>1.1299999999999999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14" t="s">
        <v>291</v>
      </c>
      <c r="B53" s="64">
        <v>18.95</v>
      </c>
      <c r="C53" s="64">
        <v>19.32</v>
      </c>
      <c r="D53" s="64">
        <v>24.83</v>
      </c>
      <c r="E53" s="64">
        <v>5.99</v>
      </c>
      <c r="F53" s="64">
        <v>3.07</v>
      </c>
      <c r="G53" s="64">
        <v>81.33</v>
      </c>
      <c r="H53" s="64">
        <v>33.729999999999997</v>
      </c>
      <c r="I53" s="64">
        <v>4.1500000000000004</v>
      </c>
      <c r="J53" s="64">
        <v>1.33</v>
      </c>
      <c r="K53" s="64">
        <v>120.76</v>
      </c>
      <c r="L53" s="64">
        <v>23.15</v>
      </c>
      <c r="M53" s="64">
        <v>49.81</v>
      </c>
      <c r="N53" s="64">
        <v>380</v>
      </c>
      <c r="O53" s="64">
        <v>0</v>
      </c>
      <c r="P53" s="64">
        <v>1.1000000000000001</v>
      </c>
      <c r="Q53" s="64">
        <v>9.66</v>
      </c>
      <c r="R53" s="198"/>
      <c r="S53" s="198"/>
      <c r="T53" s="198"/>
      <c r="U53" s="198"/>
    </row>
    <row r="54" spans="1:21" s="12" customFormat="1" x14ac:dyDescent="0.25">
      <c r="A54" s="214" t="s">
        <v>292</v>
      </c>
      <c r="B54" s="64">
        <v>17.989999999999998</v>
      </c>
      <c r="C54" s="64">
        <v>19.62</v>
      </c>
      <c r="D54" s="64">
        <v>24.22</v>
      </c>
      <c r="E54" s="64">
        <v>5.91</v>
      </c>
      <c r="F54" s="64">
        <v>3.14</v>
      </c>
      <c r="G54" s="64">
        <v>81.33</v>
      </c>
      <c r="H54" s="64">
        <v>33.54</v>
      </c>
      <c r="I54" s="64">
        <v>4.1100000000000003</v>
      </c>
      <c r="J54" s="64">
        <v>1.4</v>
      </c>
      <c r="K54" s="64">
        <v>119.43</v>
      </c>
      <c r="L54" s="64">
        <v>23.44</v>
      </c>
      <c r="M54" s="64">
        <v>47.25</v>
      </c>
      <c r="N54" s="64">
        <v>475.6</v>
      </c>
      <c r="O54" s="64">
        <v>0</v>
      </c>
      <c r="P54" s="64">
        <v>1.1100000000000001</v>
      </c>
      <c r="Q54" s="64">
        <v>9.65</v>
      </c>
      <c r="R54" s="198"/>
      <c r="S54" s="198"/>
      <c r="T54" s="198"/>
      <c r="U54" s="198"/>
    </row>
    <row r="55" spans="1:21" s="12" customFormat="1" x14ac:dyDescent="0.25">
      <c r="A55" s="214" t="s">
        <v>293</v>
      </c>
      <c r="B55" s="64">
        <v>16.5</v>
      </c>
      <c r="C55" s="64">
        <v>20.329999999999998</v>
      </c>
      <c r="D55" s="64">
        <v>23.39</v>
      </c>
      <c r="E55" s="64">
        <v>5.57</v>
      </c>
      <c r="F55" s="64">
        <v>3.13</v>
      </c>
      <c r="G55" s="64">
        <v>81.33</v>
      </c>
      <c r="H55" s="64">
        <v>33.54</v>
      </c>
      <c r="I55" s="64">
        <v>4.08</v>
      </c>
      <c r="J55" s="64">
        <v>1.81</v>
      </c>
      <c r="K55" s="64">
        <v>124.52</v>
      </c>
      <c r="L55" s="64">
        <v>23.98</v>
      </c>
      <c r="M55" s="64">
        <v>44.75</v>
      </c>
      <c r="N55" s="64">
        <v>542.4</v>
      </c>
      <c r="O55" s="64">
        <v>0</v>
      </c>
      <c r="P55" s="64">
        <v>1.08</v>
      </c>
      <c r="Q55" s="64">
        <v>9.65</v>
      </c>
      <c r="R55" s="198"/>
      <c r="S55" s="198"/>
      <c r="T55" s="198"/>
      <c r="U55" s="198"/>
    </row>
    <row r="56" spans="1:21" s="12" customFormat="1" x14ac:dyDescent="0.25">
      <c r="A56" s="214" t="s">
        <v>294</v>
      </c>
      <c r="B56" s="64">
        <v>14.18</v>
      </c>
      <c r="C56" s="64">
        <v>21.16</v>
      </c>
      <c r="D56" s="64">
        <v>21.97</v>
      </c>
      <c r="E56" s="64">
        <v>6.67</v>
      </c>
      <c r="F56" s="64">
        <v>4.2</v>
      </c>
      <c r="G56" s="64">
        <v>81.33</v>
      </c>
      <c r="H56" s="64">
        <v>33.54</v>
      </c>
      <c r="I56" s="64">
        <v>4.01</v>
      </c>
      <c r="J56" s="64">
        <v>1.24</v>
      </c>
      <c r="K56" s="64">
        <v>123.98</v>
      </c>
      <c r="L56" s="64">
        <v>24.25</v>
      </c>
      <c r="M56" s="64">
        <v>43.5</v>
      </c>
      <c r="N56" s="64">
        <v>536.5</v>
      </c>
      <c r="O56" s="64">
        <v>0</v>
      </c>
      <c r="P56" s="64">
        <v>1.04</v>
      </c>
      <c r="Q56" s="64">
        <v>9.66</v>
      </c>
      <c r="R56" s="198"/>
      <c r="S56" s="198"/>
      <c r="T56" s="198"/>
      <c r="U56" s="198"/>
    </row>
    <row r="57" spans="1:21" s="12" customFormat="1" x14ac:dyDescent="0.25">
      <c r="A57" s="214" t="s">
        <v>295</v>
      </c>
      <c r="B57" s="64">
        <v>13.46</v>
      </c>
      <c r="C57" s="64">
        <v>21.29</v>
      </c>
      <c r="D57" s="64">
        <v>21.45</v>
      </c>
      <c r="E57" s="64">
        <v>6.9</v>
      </c>
      <c r="F57" s="64">
        <v>3.37</v>
      </c>
      <c r="G57" s="64">
        <v>8.8800000000000008</v>
      </c>
      <c r="H57" s="64">
        <v>31.92</v>
      </c>
      <c r="I57" s="64">
        <v>3.93</v>
      </c>
      <c r="J57" s="64">
        <v>0.77</v>
      </c>
      <c r="K57" s="64">
        <v>114.75</v>
      </c>
      <c r="L57" s="64">
        <v>25.21</v>
      </c>
      <c r="M57" s="64">
        <v>40.799999999999997</v>
      </c>
      <c r="N57" s="64">
        <v>534.29999999999995</v>
      </c>
      <c r="O57" s="64">
        <v>0</v>
      </c>
      <c r="P57" s="64">
        <v>1.02</v>
      </c>
      <c r="Q57" s="64">
        <v>9.65</v>
      </c>
      <c r="R57" s="198"/>
      <c r="S57" s="198"/>
      <c r="T57" s="198"/>
      <c r="U57" s="198"/>
    </row>
    <row r="58" spans="1:21" s="12" customFormat="1" x14ac:dyDescent="0.25">
      <c r="A58" s="214" t="s">
        <v>296</v>
      </c>
      <c r="B58" s="64">
        <v>12.84</v>
      </c>
      <c r="C58" s="64">
        <v>21.93</v>
      </c>
      <c r="D58" s="64">
        <v>21.3</v>
      </c>
      <c r="E58" s="64">
        <v>6.48</v>
      </c>
      <c r="F58" s="64">
        <v>4.26</v>
      </c>
      <c r="G58" s="64">
        <v>44.38</v>
      </c>
      <c r="H58" s="64">
        <v>27.15</v>
      </c>
      <c r="I58" s="64">
        <v>3.84</v>
      </c>
      <c r="J58" s="64">
        <v>1.93</v>
      </c>
      <c r="K58" s="64">
        <v>124.86</v>
      </c>
      <c r="L58" s="64">
        <v>24.7</v>
      </c>
      <c r="M58" s="64">
        <v>41.1</v>
      </c>
      <c r="N58" s="64">
        <v>517.70000000000005</v>
      </c>
      <c r="O58" s="64">
        <v>0</v>
      </c>
      <c r="P58" s="64">
        <v>1.01</v>
      </c>
      <c r="Q58" s="64">
        <v>9.64</v>
      </c>
      <c r="R58" s="198"/>
      <c r="S58" s="198"/>
      <c r="T58" s="198"/>
      <c r="U58" s="198"/>
    </row>
    <row r="59" spans="1:21" s="12" customFormat="1" x14ac:dyDescent="0.25">
      <c r="A59" s="214" t="s">
        <v>297</v>
      </c>
      <c r="B59" s="64">
        <v>10.79</v>
      </c>
      <c r="C59" s="64">
        <v>22</v>
      </c>
      <c r="D59" s="64">
        <v>19.690000000000001</v>
      </c>
      <c r="E59" s="64">
        <v>8.24</v>
      </c>
      <c r="F59" s="64">
        <v>5.21</v>
      </c>
      <c r="G59" s="64">
        <v>44.38</v>
      </c>
      <c r="H59" s="64">
        <v>27.15</v>
      </c>
      <c r="I59" s="64">
        <v>3.77</v>
      </c>
      <c r="J59" s="64">
        <v>0.93</v>
      </c>
      <c r="K59" s="64">
        <v>124.46</v>
      </c>
      <c r="L59" s="64">
        <v>25.12</v>
      </c>
      <c r="M59" s="64">
        <v>40.15</v>
      </c>
      <c r="N59" s="64">
        <v>521.9</v>
      </c>
      <c r="O59" s="64">
        <v>0</v>
      </c>
      <c r="P59" s="64">
        <v>0.97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4" t="s">
        <v>298</v>
      </c>
      <c r="B60" s="64">
        <v>10.15</v>
      </c>
      <c r="C60" s="64">
        <v>23.1</v>
      </c>
      <c r="D60" s="64">
        <v>19.75</v>
      </c>
      <c r="E60" s="64">
        <v>11.55</v>
      </c>
      <c r="F60" s="64">
        <v>6.35</v>
      </c>
      <c r="G60" s="64">
        <v>44.38</v>
      </c>
      <c r="H60" s="64">
        <v>27.15</v>
      </c>
      <c r="I60" s="64">
        <v>3.7</v>
      </c>
      <c r="J60" s="64">
        <v>0.53</v>
      </c>
      <c r="K60" s="64">
        <v>117.3</v>
      </c>
      <c r="L60" s="64">
        <v>25.99</v>
      </c>
      <c r="M60" s="64">
        <v>38.44</v>
      </c>
      <c r="N60" s="64">
        <v>413.9</v>
      </c>
      <c r="O60" s="64">
        <v>0</v>
      </c>
      <c r="P60" s="64">
        <v>0.98</v>
      </c>
      <c r="Q60" s="64">
        <v>9.64</v>
      </c>
      <c r="R60" s="198"/>
      <c r="S60" s="198"/>
      <c r="T60" s="198"/>
      <c r="U60" s="198"/>
    </row>
    <row r="61" spans="1:21" s="12" customFormat="1" x14ac:dyDescent="0.25">
      <c r="A61" s="214" t="s">
        <v>299</v>
      </c>
      <c r="B61" s="64">
        <v>9.11</v>
      </c>
      <c r="C61" s="64">
        <v>23.6</v>
      </c>
      <c r="D61" s="64">
        <v>19.18</v>
      </c>
      <c r="E61" s="64">
        <v>13.67</v>
      </c>
      <c r="F61" s="64">
        <v>7.74</v>
      </c>
      <c r="G61" s="64">
        <v>46.83</v>
      </c>
      <c r="H61" s="64">
        <v>26.24</v>
      </c>
      <c r="I61" s="64">
        <v>3.62</v>
      </c>
      <c r="J61" s="64">
        <v>1.27</v>
      </c>
      <c r="K61" s="64">
        <v>120.41</v>
      </c>
      <c r="L61" s="64">
        <v>25.5</v>
      </c>
      <c r="M61" s="64">
        <v>37.83</v>
      </c>
      <c r="N61" s="64">
        <v>418.6</v>
      </c>
      <c r="O61" s="64">
        <v>0</v>
      </c>
      <c r="P61" s="64">
        <v>0.94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4" t="s">
        <v>300</v>
      </c>
      <c r="B62" s="64">
        <v>8.49</v>
      </c>
      <c r="C62" s="64">
        <v>21.92</v>
      </c>
      <c r="D62" s="64">
        <v>17.8</v>
      </c>
      <c r="E62" s="64">
        <v>19.28</v>
      </c>
      <c r="F62" s="64">
        <v>10.8</v>
      </c>
      <c r="G62" s="64">
        <v>56.6</v>
      </c>
      <c r="H62" s="64">
        <v>23.57</v>
      </c>
      <c r="I62" s="64">
        <v>3.57</v>
      </c>
      <c r="J62" s="64">
        <v>0.91</v>
      </c>
      <c r="K62" s="64">
        <v>122.07</v>
      </c>
      <c r="L62" s="64">
        <v>25.13</v>
      </c>
      <c r="M62" s="64">
        <v>38.29</v>
      </c>
      <c r="N62" s="64">
        <v>349.6</v>
      </c>
      <c r="O62" s="64">
        <v>0</v>
      </c>
      <c r="P62" s="64">
        <v>0.92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4" t="s">
        <v>301</v>
      </c>
      <c r="B63" s="64">
        <v>10.4</v>
      </c>
      <c r="C63" s="64">
        <v>23.11</v>
      </c>
      <c r="D63" s="64">
        <v>19.95</v>
      </c>
      <c r="E63" s="64">
        <v>9.0399999999999991</v>
      </c>
      <c r="F63" s="64">
        <v>6.98</v>
      </c>
      <c r="G63" s="64">
        <v>56.6</v>
      </c>
      <c r="H63" s="64">
        <v>23.57</v>
      </c>
      <c r="I63" s="64">
        <v>3.52</v>
      </c>
      <c r="J63" s="64">
        <v>0.82</v>
      </c>
      <c r="K63" s="64">
        <v>108.82</v>
      </c>
      <c r="L63" s="64">
        <v>25.22</v>
      </c>
      <c r="M63" s="64">
        <v>37.78</v>
      </c>
      <c r="N63" s="64">
        <v>415.6</v>
      </c>
      <c r="O63" s="64">
        <v>0</v>
      </c>
      <c r="P63" s="64">
        <v>0.95</v>
      </c>
      <c r="Q63" s="64">
        <v>9.64</v>
      </c>
      <c r="R63" s="198"/>
      <c r="S63" s="198"/>
      <c r="T63" s="198"/>
      <c r="U63" s="198"/>
    </row>
    <row r="64" spans="1:21" s="12" customFormat="1" x14ac:dyDescent="0.25">
      <c r="A64" s="214" t="s">
        <v>302</v>
      </c>
      <c r="B64" s="64">
        <v>8.24</v>
      </c>
      <c r="C64" s="64">
        <v>23.21</v>
      </c>
      <c r="D64" s="64">
        <v>18.27</v>
      </c>
      <c r="E64" s="64">
        <v>18.3</v>
      </c>
      <c r="F64" s="64">
        <v>9.6</v>
      </c>
      <c r="G64" s="64">
        <v>56.6</v>
      </c>
      <c r="H64" s="64">
        <v>23.57</v>
      </c>
      <c r="I64" s="64">
        <v>3.45</v>
      </c>
      <c r="J64" s="64">
        <v>0.39</v>
      </c>
      <c r="K64" s="64">
        <v>81.48</v>
      </c>
      <c r="L64" s="64">
        <v>25.53</v>
      </c>
      <c r="M64" s="64">
        <v>37.659999999999997</v>
      </c>
      <c r="N64" s="64">
        <v>277.39999999999998</v>
      </c>
      <c r="O64" s="64">
        <v>0</v>
      </c>
      <c r="P64" s="64">
        <v>0.9</v>
      </c>
      <c r="Q64" s="64">
        <v>9.64</v>
      </c>
      <c r="R64" s="198"/>
      <c r="S64" s="198"/>
      <c r="T64" s="198"/>
      <c r="U64" s="198"/>
    </row>
    <row r="65" spans="1:21" s="12" customFormat="1" x14ac:dyDescent="0.25">
      <c r="A65" s="214" t="s">
        <v>303</v>
      </c>
      <c r="B65" s="64">
        <v>7.26</v>
      </c>
      <c r="C65" s="64">
        <v>23.03</v>
      </c>
      <c r="D65" s="64">
        <v>17.39</v>
      </c>
      <c r="E65" s="64">
        <v>21.14</v>
      </c>
      <c r="F65" s="64">
        <v>11.95</v>
      </c>
      <c r="G65" s="64">
        <v>57.67</v>
      </c>
      <c r="H65" s="64">
        <v>23.17</v>
      </c>
      <c r="I65" s="64">
        <v>3.38</v>
      </c>
      <c r="J65" s="64">
        <v>0.63</v>
      </c>
      <c r="K65" s="64">
        <v>107.44</v>
      </c>
      <c r="L65" s="64">
        <v>25.3</v>
      </c>
      <c r="M65" s="64">
        <v>37.4</v>
      </c>
      <c r="N65" s="64">
        <v>170.2</v>
      </c>
      <c r="O65" s="64">
        <v>0</v>
      </c>
      <c r="P65" s="64">
        <v>0.88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4" t="s">
        <v>304</v>
      </c>
      <c r="B66" s="64">
        <v>8.08</v>
      </c>
      <c r="C66" s="64">
        <v>24.32</v>
      </c>
      <c r="D66" s="64">
        <v>18.73</v>
      </c>
      <c r="E66" s="64">
        <v>9.06</v>
      </c>
      <c r="F66" s="64">
        <v>3.96</v>
      </c>
      <c r="G66" s="64">
        <v>61.97</v>
      </c>
      <c r="H66" s="64">
        <v>22</v>
      </c>
      <c r="I66" s="64">
        <v>3.31</v>
      </c>
      <c r="J66" s="64">
        <v>0.67</v>
      </c>
      <c r="K66" s="64">
        <v>119.91</v>
      </c>
      <c r="L66" s="64">
        <v>25.06</v>
      </c>
      <c r="M66" s="64">
        <v>38.61</v>
      </c>
      <c r="N66" s="64">
        <v>167.5</v>
      </c>
      <c r="O66" s="64">
        <v>0</v>
      </c>
      <c r="P66" s="64">
        <v>0.92</v>
      </c>
      <c r="Q66" s="64">
        <v>9.65</v>
      </c>
      <c r="R66" s="198"/>
      <c r="S66" s="198"/>
      <c r="T66" s="198"/>
      <c r="U66" s="198"/>
    </row>
    <row r="67" spans="1:21" s="12" customFormat="1" x14ac:dyDescent="0.25">
      <c r="A67" s="214" t="s">
        <v>305</v>
      </c>
      <c r="B67" s="64">
        <v>8.58</v>
      </c>
      <c r="C67" s="64">
        <v>25.28</v>
      </c>
      <c r="D67" s="64">
        <v>19.63</v>
      </c>
      <c r="E67" s="64">
        <v>14.1</v>
      </c>
      <c r="F67" s="64">
        <v>10.19</v>
      </c>
      <c r="G67" s="64">
        <v>61.97</v>
      </c>
      <c r="H67" s="64">
        <v>22</v>
      </c>
      <c r="I67" s="64">
        <v>3.28</v>
      </c>
      <c r="J67" s="64">
        <v>0.24</v>
      </c>
      <c r="K67" s="64">
        <v>43.94</v>
      </c>
      <c r="L67" s="64">
        <v>24.98</v>
      </c>
      <c r="M67" s="64">
        <v>39.19</v>
      </c>
      <c r="N67" s="64">
        <v>116.9</v>
      </c>
      <c r="O67" s="64">
        <v>0</v>
      </c>
      <c r="P67" s="64">
        <v>0.88</v>
      </c>
      <c r="Q67" s="64">
        <v>9.64</v>
      </c>
      <c r="R67" s="198"/>
      <c r="S67" s="198"/>
      <c r="T67" s="198"/>
      <c r="U67" s="198"/>
    </row>
    <row r="68" spans="1:21" s="12" customFormat="1" x14ac:dyDescent="0.25">
      <c r="A68" s="214" t="s">
        <v>306</v>
      </c>
      <c r="B68" s="64">
        <v>9.74</v>
      </c>
      <c r="C68" s="64">
        <v>27.26</v>
      </c>
      <c r="D68" s="64">
        <v>21.59</v>
      </c>
      <c r="E68" s="64">
        <v>19.86</v>
      </c>
      <c r="F68" s="64">
        <v>9.5299999999999994</v>
      </c>
      <c r="G68" s="64">
        <v>61.97</v>
      </c>
      <c r="H68" s="64">
        <v>22</v>
      </c>
      <c r="I68" s="64">
        <v>3.24</v>
      </c>
      <c r="J68" s="64">
        <v>0.16</v>
      </c>
      <c r="K68" s="64">
        <v>23.48</v>
      </c>
      <c r="L68" s="64">
        <v>24.85</v>
      </c>
      <c r="M68" s="64">
        <v>39.78</v>
      </c>
      <c r="N68" s="64">
        <v>103.1</v>
      </c>
      <c r="O68" s="64">
        <v>0</v>
      </c>
      <c r="P68" s="64">
        <v>0.83</v>
      </c>
      <c r="Q68" s="64">
        <v>9.64</v>
      </c>
      <c r="R68" s="198"/>
      <c r="S68" s="198"/>
      <c r="T68" s="198"/>
      <c r="U68" s="198"/>
    </row>
    <row r="69" spans="1:21" s="12" customFormat="1" x14ac:dyDescent="0.25">
      <c r="A69" s="214" t="s">
        <v>307</v>
      </c>
      <c r="B69" s="64">
        <v>7.16</v>
      </c>
      <c r="C69" s="64">
        <v>25.39</v>
      </c>
      <c r="D69" s="64">
        <v>18.55</v>
      </c>
      <c r="E69" s="64">
        <v>13.83</v>
      </c>
      <c r="F69" s="64">
        <v>7.72</v>
      </c>
      <c r="G69" s="64">
        <v>58.65</v>
      </c>
      <c r="H69" s="64">
        <v>22.25</v>
      </c>
      <c r="I69" s="64">
        <v>3.21</v>
      </c>
      <c r="J69" s="64">
        <v>1.34</v>
      </c>
      <c r="K69" s="64">
        <v>122.1</v>
      </c>
      <c r="L69" s="64">
        <v>24.5</v>
      </c>
      <c r="M69" s="64">
        <v>41.31</v>
      </c>
      <c r="N69" s="64">
        <v>94.8</v>
      </c>
      <c r="O69" s="64">
        <v>0</v>
      </c>
      <c r="P69" s="64">
        <v>0.8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4" t="s">
        <v>308</v>
      </c>
      <c r="B70" s="64">
        <v>6.96</v>
      </c>
      <c r="C70" s="64">
        <v>24.98</v>
      </c>
      <c r="D70" s="64">
        <v>18.170000000000002</v>
      </c>
      <c r="E70" s="64">
        <v>8.91</v>
      </c>
      <c r="F70" s="64">
        <v>6.83</v>
      </c>
      <c r="G70" s="64">
        <v>45.33</v>
      </c>
      <c r="H70" s="64">
        <v>23.4</v>
      </c>
      <c r="I70" s="64">
        <v>3.17</v>
      </c>
      <c r="J70" s="64">
        <v>1.25</v>
      </c>
      <c r="K70" s="64">
        <v>125.15</v>
      </c>
      <c r="L70" s="64">
        <v>24.02</v>
      </c>
      <c r="M70" s="64">
        <v>44.24</v>
      </c>
      <c r="N70" s="64">
        <v>86.7</v>
      </c>
      <c r="O70" s="64">
        <v>0</v>
      </c>
      <c r="P70" s="64">
        <v>0.82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4" t="s">
        <v>309</v>
      </c>
      <c r="B71" s="64">
        <v>6.48</v>
      </c>
      <c r="C71" s="64">
        <v>24.69</v>
      </c>
      <c r="D71" s="64">
        <v>17.64</v>
      </c>
      <c r="E71" s="64">
        <v>9.3000000000000007</v>
      </c>
      <c r="F71" s="64">
        <v>6.79</v>
      </c>
      <c r="G71" s="64">
        <v>45.33</v>
      </c>
      <c r="H71" s="64">
        <v>23.4</v>
      </c>
      <c r="I71" s="64">
        <v>3.13</v>
      </c>
      <c r="J71" s="64">
        <v>1.08</v>
      </c>
      <c r="K71" s="64">
        <v>120.53</v>
      </c>
      <c r="L71" s="64">
        <v>23.9</v>
      </c>
      <c r="M71" s="64">
        <v>44.98</v>
      </c>
      <c r="N71" s="64">
        <v>81.8</v>
      </c>
      <c r="O71" s="64">
        <v>0</v>
      </c>
      <c r="P71" s="64">
        <v>0.76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310</v>
      </c>
      <c r="B72" s="64">
        <v>5.62</v>
      </c>
      <c r="C72" s="64">
        <v>25.31</v>
      </c>
      <c r="D72" s="64">
        <v>17.27</v>
      </c>
      <c r="E72" s="64">
        <v>7.74</v>
      </c>
      <c r="F72" s="64">
        <v>9.7899999999999991</v>
      </c>
      <c r="G72" s="64">
        <v>45.33</v>
      </c>
      <c r="H72" s="64">
        <v>23.4</v>
      </c>
      <c r="I72" s="64">
        <v>3.06</v>
      </c>
      <c r="J72" s="64">
        <v>0.57999999999999996</v>
      </c>
      <c r="K72" s="64">
        <v>105.86</v>
      </c>
      <c r="L72" s="64">
        <v>23.83</v>
      </c>
      <c r="M72" s="64">
        <v>44.91</v>
      </c>
      <c r="N72" s="64">
        <v>76.3</v>
      </c>
      <c r="O72" s="64">
        <v>0</v>
      </c>
      <c r="P72" s="64">
        <v>0.75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4" t="s">
        <v>311</v>
      </c>
      <c r="B73" s="64">
        <v>5.51</v>
      </c>
      <c r="C73" s="64">
        <v>23.98</v>
      </c>
      <c r="D73" s="64">
        <v>16.489999999999998</v>
      </c>
      <c r="E73" s="64">
        <v>8.14</v>
      </c>
      <c r="F73" s="64">
        <v>7.44</v>
      </c>
      <c r="G73" s="64">
        <v>44.04</v>
      </c>
      <c r="H73" s="64">
        <v>22.97</v>
      </c>
      <c r="I73" s="64">
        <v>3</v>
      </c>
      <c r="J73" s="64">
        <v>0.96</v>
      </c>
      <c r="K73" s="64">
        <v>114.5</v>
      </c>
      <c r="L73" s="64">
        <v>23.66</v>
      </c>
      <c r="M73" s="64">
        <v>45.16</v>
      </c>
      <c r="N73" s="64">
        <v>66.3</v>
      </c>
      <c r="O73" s="64">
        <v>0</v>
      </c>
      <c r="P73" s="64">
        <v>0.76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4" t="s">
        <v>312</v>
      </c>
      <c r="B74" s="64">
        <v>5.22</v>
      </c>
      <c r="C74" s="64">
        <v>24.57</v>
      </c>
      <c r="D74" s="64">
        <v>16.57</v>
      </c>
      <c r="E74" s="64">
        <v>12.35</v>
      </c>
      <c r="F74" s="64">
        <v>13.06</v>
      </c>
      <c r="G74" s="64">
        <v>38.869999999999997</v>
      </c>
      <c r="H74" s="64">
        <v>21.68</v>
      </c>
      <c r="I74" s="64">
        <v>2.95</v>
      </c>
      <c r="J74" s="64">
        <v>0.92</v>
      </c>
      <c r="K74" s="64">
        <v>112.77</v>
      </c>
      <c r="L74" s="64">
        <v>23.53</v>
      </c>
      <c r="M74" s="64">
        <v>45.59</v>
      </c>
      <c r="N74" s="64">
        <v>55.5</v>
      </c>
      <c r="O74" s="64">
        <v>0</v>
      </c>
      <c r="P74" s="64">
        <v>0.69</v>
      </c>
      <c r="Q74" s="64">
        <v>9.58</v>
      </c>
      <c r="R74" s="198"/>
      <c r="S74" s="198"/>
      <c r="T74" s="198"/>
      <c r="U74" s="198"/>
    </row>
    <row r="75" spans="1:21" s="12" customFormat="1" x14ac:dyDescent="0.25">
      <c r="A75" s="214" t="s">
        <v>313</v>
      </c>
      <c r="B75" s="64">
        <v>5.5</v>
      </c>
      <c r="C75" s="64">
        <v>24.44</v>
      </c>
      <c r="D75" s="64">
        <v>16.72</v>
      </c>
      <c r="E75" s="64">
        <v>12.4</v>
      </c>
      <c r="F75" s="64">
        <v>10.39</v>
      </c>
      <c r="G75" s="64">
        <v>38.869999999999997</v>
      </c>
      <c r="H75" s="64">
        <v>21.68</v>
      </c>
      <c r="I75" s="64">
        <v>2.9</v>
      </c>
      <c r="J75" s="64">
        <v>0.26</v>
      </c>
      <c r="K75" s="64">
        <v>102.78</v>
      </c>
      <c r="L75" s="64">
        <v>23.27</v>
      </c>
      <c r="M75" s="64">
        <v>47.18</v>
      </c>
      <c r="N75" s="64">
        <v>48.3</v>
      </c>
      <c r="O75" s="64">
        <v>0</v>
      </c>
      <c r="P75" s="64">
        <v>0.74</v>
      </c>
      <c r="Q75" s="64">
        <v>9.57</v>
      </c>
      <c r="R75" s="198"/>
      <c r="S75" s="198"/>
      <c r="T75" s="198"/>
      <c r="U75" s="198"/>
    </row>
    <row r="76" spans="1:21" s="12" customFormat="1" x14ac:dyDescent="0.25">
      <c r="A76" s="214" t="s">
        <v>314</v>
      </c>
      <c r="B76" s="64">
        <v>6.61</v>
      </c>
      <c r="C76" s="64">
        <v>28.61</v>
      </c>
      <c r="D76" s="64">
        <v>19.84</v>
      </c>
      <c r="E76" s="64">
        <v>14.95</v>
      </c>
      <c r="F76" s="64">
        <v>10.93</v>
      </c>
      <c r="G76" s="64">
        <v>38.869999999999997</v>
      </c>
      <c r="H76" s="64">
        <v>21.68</v>
      </c>
      <c r="I76" s="64">
        <v>2.85</v>
      </c>
      <c r="J76" s="64">
        <v>0.11</v>
      </c>
      <c r="K76" s="64">
        <v>22.14</v>
      </c>
      <c r="L76" s="64">
        <v>22.87</v>
      </c>
      <c r="M76" s="64">
        <v>48.63</v>
      </c>
      <c r="N76" s="64">
        <v>41</v>
      </c>
      <c r="O76" s="64">
        <v>0</v>
      </c>
      <c r="P76" s="64">
        <v>0.89</v>
      </c>
      <c r="Q76" s="64">
        <v>9.59</v>
      </c>
      <c r="R76" s="198"/>
      <c r="S76" s="198"/>
      <c r="T76" s="198"/>
      <c r="U76" s="198"/>
    </row>
    <row r="77" spans="1:21" s="12" customFormat="1" x14ac:dyDescent="0.25">
      <c r="A77" s="214" t="s">
        <v>315</v>
      </c>
      <c r="B77" s="64">
        <v>6.59</v>
      </c>
      <c r="C77" s="64">
        <v>32.06</v>
      </c>
      <c r="D77" s="64">
        <v>21.58</v>
      </c>
      <c r="E77" s="64">
        <v>17.010000000000002</v>
      </c>
      <c r="F77" s="64">
        <v>9.8699999999999992</v>
      </c>
      <c r="G77" s="64">
        <v>39.17</v>
      </c>
      <c r="H77" s="64">
        <v>22.01</v>
      </c>
      <c r="I77" s="64">
        <v>2.85</v>
      </c>
      <c r="J77" s="64">
        <v>0.15</v>
      </c>
      <c r="K77" s="64">
        <v>77.239999999999995</v>
      </c>
      <c r="L77" s="64">
        <v>22.49</v>
      </c>
      <c r="M77" s="64">
        <v>50.08</v>
      </c>
      <c r="N77" s="64">
        <v>35.6</v>
      </c>
      <c r="O77" s="64">
        <v>0</v>
      </c>
      <c r="P77" s="64">
        <v>0.96</v>
      </c>
      <c r="Q77" s="64">
        <v>9.61</v>
      </c>
      <c r="R77" s="198"/>
      <c r="S77" s="198"/>
      <c r="T77" s="198"/>
      <c r="U77" s="198"/>
    </row>
    <row r="78" spans="1:21" s="12" customFormat="1" x14ac:dyDescent="0.25">
      <c r="A78" s="214" t="s">
        <v>316</v>
      </c>
      <c r="B78" s="64">
        <v>9.56</v>
      </c>
      <c r="C78" s="64">
        <v>35.880000000000003</v>
      </c>
      <c r="D78" s="64">
        <v>25.95</v>
      </c>
      <c r="E78" s="64">
        <v>14.69</v>
      </c>
      <c r="F78" s="64">
        <v>6.11</v>
      </c>
      <c r="G78" s="64">
        <v>40.450000000000003</v>
      </c>
      <c r="H78" s="64">
        <v>23.01</v>
      </c>
      <c r="I78" s="64">
        <v>2.86</v>
      </c>
      <c r="J78" s="64">
        <v>0.12</v>
      </c>
      <c r="K78" s="64">
        <v>28.83</v>
      </c>
      <c r="L78" s="64">
        <v>21.9</v>
      </c>
      <c r="M78" s="64">
        <v>53.4</v>
      </c>
      <c r="N78" s="64">
        <v>32.9</v>
      </c>
      <c r="O78" s="64">
        <v>0</v>
      </c>
      <c r="P78" s="64">
        <v>1.17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317</v>
      </c>
      <c r="B79" s="64">
        <v>12.13</v>
      </c>
      <c r="C79" s="64">
        <v>34.380000000000003</v>
      </c>
      <c r="D79" s="64">
        <v>27.23</v>
      </c>
      <c r="E79" s="64">
        <v>14.41</v>
      </c>
      <c r="F79" s="64">
        <v>6.16</v>
      </c>
      <c r="G79" s="64">
        <v>40.450000000000003</v>
      </c>
      <c r="H79" s="64">
        <v>23.01</v>
      </c>
      <c r="I79" s="64">
        <v>2.91</v>
      </c>
      <c r="J79" s="64">
        <v>0.23</v>
      </c>
      <c r="K79" s="64">
        <v>29.58</v>
      </c>
      <c r="L79" s="64">
        <v>21.36</v>
      </c>
      <c r="M79" s="64">
        <v>56.22</v>
      </c>
      <c r="N79" s="64">
        <v>32.1</v>
      </c>
      <c r="O79" s="64">
        <v>0</v>
      </c>
      <c r="P79" s="64">
        <v>1.25</v>
      </c>
      <c r="Q79" s="64">
        <v>9.6300000000000008</v>
      </c>
      <c r="R79" s="198"/>
      <c r="S79" s="198"/>
      <c r="T79" s="198"/>
      <c r="U79" s="198"/>
    </row>
    <row r="80" spans="1:21" s="12" customFormat="1" x14ac:dyDescent="0.25">
      <c r="A80" s="214" t="s">
        <v>318</v>
      </c>
      <c r="B80" s="64">
        <v>5.72</v>
      </c>
      <c r="C80" s="64">
        <v>32.15</v>
      </c>
      <c r="D80" s="64">
        <v>20.93</v>
      </c>
      <c r="E80" s="64">
        <v>14.53</v>
      </c>
      <c r="F80" s="64">
        <v>8.98</v>
      </c>
      <c r="G80" s="64">
        <v>40.450000000000003</v>
      </c>
      <c r="H80" s="64">
        <v>23.01</v>
      </c>
      <c r="I80" s="64">
        <v>2.99</v>
      </c>
      <c r="J80" s="64">
        <v>0.24</v>
      </c>
      <c r="K80" s="64">
        <v>71.89</v>
      </c>
      <c r="L80" s="64">
        <v>21.14</v>
      </c>
      <c r="M80" s="64">
        <v>55.9</v>
      </c>
      <c r="N80" s="64">
        <v>31.9</v>
      </c>
      <c r="O80" s="64">
        <v>0</v>
      </c>
      <c r="P80" s="64">
        <v>1.05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4" t="s">
        <v>319</v>
      </c>
      <c r="B81" s="64">
        <v>5.81</v>
      </c>
      <c r="C81" s="64">
        <v>31.67</v>
      </c>
      <c r="D81" s="64">
        <v>20.75</v>
      </c>
      <c r="E81" s="64">
        <v>14.77</v>
      </c>
      <c r="F81" s="64">
        <v>9.0299999999999994</v>
      </c>
      <c r="G81" s="64">
        <v>45.27</v>
      </c>
      <c r="H81" s="64">
        <v>23.09</v>
      </c>
      <c r="I81" s="64">
        <v>3.11</v>
      </c>
      <c r="J81" s="64">
        <v>0.22</v>
      </c>
      <c r="K81" s="64">
        <v>98.1</v>
      </c>
      <c r="L81" s="64">
        <v>21.13</v>
      </c>
      <c r="M81" s="64">
        <v>55.34</v>
      </c>
      <c r="N81" s="64">
        <v>31.7</v>
      </c>
      <c r="O81" s="64">
        <v>0</v>
      </c>
      <c r="P81" s="64">
        <v>1.04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4" t="s">
        <v>320</v>
      </c>
      <c r="B82" s="64">
        <v>6.59</v>
      </c>
      <c r="C82" s="64">
        <v>30.34</v>
      </c>
      <c r="D82" s="64">
        <v>20.68</v>
      </c>
      <c r="E82" s="64">
        <v>12.14</v>
      </c>
      <c r="F82" s="64">
        <v>9.06</v>
      </c>
      <c r="G82" s="64">
        <v>64.53</v>
      </c>
      <c r="H82" s="64">
        <v>23.32</v>
      </c>
      <c r="I82" s="64">
        <v>3.18</v>
      </c>
      <c r="J82" s="64">
        <v>0.2</v>
      </c>
      <c r="K82" s="64">
        <v>109.36</v>
      </c>
      <c r="L82" s="64">
        <v>20.98</v>
      </c>
      <c r="M82" s="64">
        <v>55.71</v>
      </c>
      <c r="N82" s="64">
        <v>31.6</v>
      </c>
      <c r="O82" s="64">
        <v>0</v>
      </c>
      <c r="P82" s="64">
        <v>1.1100000000000001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4" t="s">
        <v>321</v>
      </c>
      <c r="B83" s="64">
        <v>6.94</v>
      </c>
      <c r="C83" s="64">
        <v>26.68</v>
      </c>
      <c r="D83" s="64">
        <v>19.05</v>
      </c>
      <c r="E83" s="64">
        <v>10.15</v>
      </c>
      <c r="F83" s="64">
        <v>5.42</v>
      </c>
      <c r="G83" s="64">
        <v>64.53</v>
      </c>
      <c r="H83" s="64">
        <v>23.32</v>
      </c>
      <c r="I83" s="64">
        <v>3.24</v>
      </c>
      <c r="J83" s="64">
        <v>0.35</v>
      </c>
      <c r="K83" s="64">
        <v>113.61</v>
      </c>
      <c r="L83" s="64">
        <v>20.93</v>
      </c>
      <c r="M83" s="64">
        <v>55.6</v>
      </c>
      <c r="N83" s="64">
        <v>31.6</v>
      </c>
      <c r="O83" s="64">
        <v>0</v>
      </c>
      <c r="P83" s="64">
        <v>0.99</v>
      </c>
      <c r="Q83" s="64">
        <v>9.64</v>
      </c>
      <c r="R83" s="198"/>
      <c r="S83" s="198"/>
      <c r="T83" s="198"/>
      <c r="U83" s="198"/>
    </row>
    <row r="84" spans="1:26" s="12" customFormat="1" x14ac:dyDescent="0.25">
      <c r="A84" s="214" t="s">
        <v>322</v>
      </c>
      <c r="B84" s="64">
        <v>7.72</v>
      </c>
      <c r="C84" s="64">
        <v>24.07</v>
      </c>
      <c r="D84" s="64">
        <v>18.309999999999999</v>
      </c>
      <c r="E84" s="64">
        <v>7.41</v>
      </c>
      <c r="F84" s="64">
        <v>2.8</v>
      </c>
      <c r="G84" s="64">
        <v>64.53</v>
      </c>
      <c r="H84" s="64">
        <v>23.32</v>
      </c>
      <c r="I84" s="64">
        <v>2.96</v>
      </c>
      <c r="J84" s="64">
        <v>0.24</v>
      </c>
      <c r="K84" s="64">
        <v>113.17</v>
      </c>
      <c r="L84" s="64">
        <v>20.87</v>
      </c>
      <c r="M84" s="64">
        <v>55.47</v>
      </c>
      <c r="N84" s="64">
        <v>31.7</v>
      </c>
      <c r="O84" s="64">
        <v>0</v>
      </c>
      <c r="P84" s="64">
        <v>0.96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4" t="s">
        <v>323</v>
      </c>
      <c r="B85" s="64">
        <v>7.64</v>
      </c>
      <c r="C85" s="64">
        <v>24.58</v>
      </c>
      <c r="D85" s="64">
        <v>18.510000000000002</v>
      </c>
      <c r="E85" s="64">
        <v>7.71</v>
      </c>
      <c r="F85" s="64">
        <v>5.49</v>
      </c>
      <c r="G85" s="64">
        <v>64.709999999999994</v>
      </c>
      <c r="H85" s="64">
        <v>23.67</v>
      </c>
      <c r="I85" s="64">
        <v>3.22</v>
      </c>
      <c r="J85" s="64">
        <v>0.51</v>
      </c>
      <c r="K85" s="64">
        <v>110.49</v>
      </c>
      <c r="L85" s="64">
        <v>20.77</v>
      </c>
      <c r="M85" s="64">
        <v>56.08</v>
      </c>
      <c r="N85" s="64">
        <v>31.6</v>
      </c>
      <c r="O85" s="64">
        <v>0</v>
      </c>
      <c r="P85" s="64">
        <v>0.89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4" t="s">
        <v>324</v>
      </c>
      <c r="B86" s="64">
        <v>7.55</v>
      </c>
      <c r="C86" s="64">
        <v>25.11</v>
      </c>
      <c r="D86" s="64">
        <v>18.71</v>
      </c>
      <c r="E86" s="64">
        <v>8.0299999999999994</v>
      </c>
      <c r="F86" s="64">
        <v>4.4400000000000004</v>
      </c>
      <c r="G86" s="64">
        <v>65.48</v>
      </c>
      <c r="H86" s="64">
        <v>25.29</v>
      </c>
      <c r="I86" s="64">
        <v>3.06</v>
      </c>
      <c r="J86" s="64">
        <v>0.21</v>
      </c>
      <c r="K86" s="64">
        <v>83.41</v>
      </c>
      <c r="L86" s="64">
        <v>20.64</v>
      </c>
      <c r="M86" s="64">
        <v>56.34</v>
      </c>
      <c r="N86" s="64">
        <v>31.8</v>
      </c>
      <c r="O86" s="64">
        <v>0</v>
      </c>
      <c r="P86" s="64">
        <v>0.96</v>
      </c>
      <c r="Q86" s="64">
        <v>9.6199999999999992</v>
      </c>
      <c r="R86" s="198"/>
      <c r="S86" s="198"/>
      <c r="T86" s="198"/>
      <c r="U86" s="198"/>
    </row>
    <row r="87" spans="1:26" s="12" customFormat="1" x14ac:dyDescent="0.25">
      <c r="A87" s="214" t="s">
        <v>325</v>
      </c>
      <c r="B87" s="64">
        <v>7.9</v>
      </c>
      <c r="C87" s="64">
        <v>26.22</v>
      </c>
      <c r="D87" s="64">
        <v>19.579999999999998</v>
      </c>
      <c r="E87" s="64">
        <v>6.88</v>
      </c>
      <c r="F87" s="64">
        <v>3.89</v>
      </c>
      <c r="G87" s="64">
        <v>65.48</v>
      </c>
      <c r="H87" s="64">
        <v>25.29</v>
      </c>
      <c r="I87" s="64">
        <v>2.98</v>
      </c>
      <c r="J87" s="64">
        <v>0.11</v>
      </c>
      <c r="K87" s="64">
        <v>58.03</v>
      </c>
      <c r="L87" s="64">
        <v>20.329999999999998</v>
      </c>
      <c r="M87" s="64">
        <v>58.18</v>
      </c>
      <c r="N87" s="64">
        <v>31.8</v>
      </c>
      <c r="O87" s="64">
        <v>0</v>
      </c>
      <c r="P87" s="64">
        <v>0.96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4" t="s">
        <v>326</v>
      </c>
      <c r="B88" s="64">
        <v>8.25</v>
      </c>
      <c r="C88" s="64">
        <v>25.23</v>
      </c>
      <c r="D88" s="64">
        <v>19.34</v>
      </c>
      <c r="E88" s="64">
        <v>6.61</v>
      </c>
      <c r="F88" s="64">
        <v>3.57</v>
      </c>
      <c r="G88" s="64">
        <v>65.48</v>
      </c>
      <c r="H88" s="64">
        <v>25.29</v>
      </c>
      <c r="I88" s="64">
        <v>3.04</v>
      </c>
      <c r="J88" s="64">
        <v>0.38</v>
      </c>
      <c r="K88" s="64">
        <v>121.38</v>
      </c>
      <c r="L88" s="64">
        <v>20.11</v>
      </c>
      <c r="M88" s="64">
        <v>60.85</v>
      </c>
      <c r="N88" s="64">
        <v>31.8</v>
      </c>
      <c r="O88" s="64">
        <v>0</v>
      </c>
      <c r="P88" s="64">
        <v>0.97</v>
      </c>
      <c r="Q88" s="64">
        <v>9.6199999999999992</v>
      </c>
      <c r="R88" s="198"/>
      <c r="S88" s="198"/>
      <c r="T88" s="198"/>
      <c r="U88" s="198"/>
    </row>
    <row r="89" spans="1:26" s="12" customFormat="1" x14ac:dyDescent="0.25">
      <c r="A89" s="214" t="s">
        <v>327</v>
      </c>
      <c r="B89" s="64">
        <v>8.24</v>
      </c>
      <c r="C89" s="64">
        <v>28.72</v>
      </c>
      <c r="D89" s="64">
        <v>21.15</v>
      </c>
      <c r="E89" s="64">
        <v>6.86</v>
      </c>
      <c r="F89" s="64">
        <v>3.11</v>
      </c>
      <c r="G89" s="64">
        <v>67.11</v>
      </c>
      <c r="H89" s="64">
        <v>26.31</v>
      </c>
      <c r="I89" s="64">
        <v>3.08</v>
      </c>
      <c r="J89" s="64">
        <v>0.36</v>
      </c>
      <c r="K89" s="64">
        <v>112.93</v>
      </c>
      <c r="L89" s="64">
        <v>19.93</v>
      </c>
      <c r="M89" s="64">
        <v>63.83</v>
      </c>
      <c r="N89" s="64">
        <v>31.6</v>
      </c>
      <c r="O89" s="64">
        <v>0</v>
      </c>
      <c r="P89" s="64">
        <v>1.01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4" t="s">
        <v>328</v>
      </c>
      <c r="B90" s="64">
        <v>8.8699999999999992</v>
      </c>
      <c r="C90" s="64">
        <v>25.73</v>
      </c>
      <c r="D90" s="64">
        <v>20.09</v>
      </c>
      <c r="E90" s="64">
        <v>6.47</v>
      </c>
      <c r="F90" s="64">
        <v>2.86</v>
      </c>
      <c r="G90" s="64">
        <v>74.099999999999994</v>
      </c>
      <c r="H90" s="64">
        <v>29.3</v>
      </c>
      <c r="I90" s="64">
        <v>3.13</v>
      </c>
      <c r="J90" s="64">
        <v>0.78</v>
      </c>
      <c r="K90" s="64">
        <v>111.05</v>
      </c>
      <c r="L90" s="64">
        <v>20.11</v>
      </c>
      <c r="M90" s="64">
        <v>65.91</v>
      </c>
      <c r="N90" s="64">
        <v>31</v>
      </c>
      <c r="O90" s="64">
        <v>0</v>
      </c>
      <c r="P90" s="64">
        <v>1.01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4" t="s">
        <v>329</v>
      </c>
      <c r="B91" s="64">
        <v>9.32</v>
      </c>
      <c r="C91" s="64">
        <v>23.98</v>
      </c>
      <c r="D91" s="64">
        <v>19.54</v>
      </c>
      <c r="E91" s="64">
        <v>6.36</v>
      </c>
      <c r="F91" s="64">
        <v>2.77</v>
      </c>
      <c r="G91" s="64">
        <v>74.099999999999994</v>
      </c>
      <c r="H91" s="64">
        <v>29.3</v>
      </c>
      <c r="I91" s="64">
        <v>3.2</v>
      </c>
      <c r="J91" s="64">
        <v>1.03</v>
      </c>
      <c r="K91" s="64">
        <v>104.2</v>
      </c>
      <c r="L91" s="64">
        <v>20.38</v>
      </c>
      <c r="M91" s="64">
        <v>68.489999999999995</v>
      </c>
      <c r="N91" s="64">
        <v>31.2</v>
      </c>
      <c r="O91" s="64">
        <v>0</v>
      </c>
      <c r="P91" s="64">
        <v>1.02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4" t="s">
        <v>330</v>
      </c>
      <c r="B92" s="64">
        <v>9.49</v>
      </c>
      <c r="C92" s="64">
        <v>23.41</v>
      </c>
      <c r="D92" s="64">
        <v>19.38</v>
      </c>
      <c r="E92" s="64">
        <v>5.83</v>
      </c>
      <c r="F92" s="64">
        <v>2.64</v>
      </c>
      <c r="G92" s="64">
        <v>74.099999999999994</v>
      </c>
      <c r="H92" s="64">
        <v>29.3</v>
      </c>
      <c r="I92" s="64">
        <v>3.24</v>
      </c>
      <c r="J92" s="64">
        <v>0.56999999999999995</v>
      </c>
      <c r="K92" s="64">
        <v>106.35</v>
      </c>
      <c r="L92" s="64">
        <v>20.190000000000001</v>
      </c>
      <c r="M92" s="64">
        <v>72.349999999999994</v>
      </c>
      <c r="N92" s="64">
        <v>31.7</v>
      </c>
      <c r="O92" s="64">
        <v>0</v>
      </c>
      <c r="P92" s="64">
        <v>1.01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4" t="s">
        <v>331</v>
      </c>
      <c r="B93" s="64">
        <v>9.44</v>
      </c>
      <c r="C93" s="64">
        <v>23.29</v>
      </c>
      <c r="D93" s="64">
        <v>19.28</v>
      </c>
      <c r="E93" s="64">
        <v>5.78</v>
      </c>
      <c r="F93" s="64">
        <v>2.69</v>
      </c>
      <c r="G93" s="64">
        <v>71.77</v>
      </c>
      <c r="H93" s="64">
        <v>28.71</v>
      </c>
      <c r="I93" s="64">
        <v>3.23</v>
      </c>
      <c r="J93" s="64">
        <v>0.11</v>
      </c>
      <c r="K93" s="64">
        <v>182.44</v>
      </c>
      <c r="L93" s="64">
        <v>19.829999999999998</v>
      </c>
      <c r="M93" s="64">
        <v>76.209999999999994</v>
      </c>
      <c r="N93" s="64">
        <v>32</v>
      </c>
      <c r="O93" s="64">
        <v>0</v>
      </c>
      <c r="P93" s="64">
        <v>1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4" t="s">
        <v>332</v>
      </c>
      <c r="B94" s="64">
        <v>9.43</v>
      </c>
      <c r="C94" s="64">
        <v>22.89</v>
      </c>
      <c r="D94" s="64">
        <v>19.07</v>
      </c>
      <c r="E94" s="64">
        <v>5.78</v>
      </c>
      <c r="F94" s="64">
        <v>3.25</v>
      </c>
      <c r="G94" s="64">
        <v>62.47</v>
      </c>
      <c r="H94" s="64">
        <v>26.97</v>
      </c>
      <c r="I94" s="64">
        <v>3.22</v>
      </c>
      <c r="J94" s="64">
        <v>0.69</v>
      </c>
      <c r="K94" s="64">
        <v>100.5</v>
      </c>
      <c r="L94" s="64">
        <v>19.66</v>
      </c>
      <c r="M94" s="64">
        <v>78.61</v>
      </c>
      <c r="N94" s="64">
        <v>31.4</v>
      </c>
      <c r="O94" s="64">
        <v>0</v>
      </c>
      <c r="P94" s="64">
        <v>1.03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4" t="s">
        <v>333</v>
      </c>
      <c r="B95" s="64">
        <v>9.58</v>
      </c>
      <c r="C95" s="64">
        <v>22.81</v>
      </c>
      <c r="D95" s="64">
        <v>19.14</v>
      </c>
      <c r="E95" s="64">
        <v>5.77</v>
      </c>
      <c r="F95" s="64">
        <v>3.66</v>
      </c>
      <c r="G95" s="64">
        <v>62.47</v>
      </c>
      <c r="H95" s="64">
        <v>26.97</v>
      </c>
      <c r="I95" s="64">
        <v>3.21</v>
      </c>
      <c r="J95" s="64">
        <v>0.79</v>
      </c>
      <c r="K95" s="64">
        <v>103.66</v>
      </c>
      <c r="L95" s="64">
        <v>19.559999999999999</v>
      </c>
      <c r="M95" s="64">
        <v>80.25</v>
      </c>
      <c r="N95" s="64">
        <v>31.6</v>
      </c>
      <c r="O95" s="64">
        <v>0</v>
      </c>
      <c r="P95" s="64">
        <v>1.06</v>
      </c>
      <c r="Q95" s="64">
        <v>9.6300000000000008</v>
      </c>
      <c r="R95" s="198"/>
      <c r="S95" s="198"/>
      <c r="T95" s="198"/>
      <c r="U95" s="198"/>
    </row>
    <row r="96" spans="1:26" s="12" customFormat="1" x14ac:dyDescent="0.25">
      <c r="A96" s="214" t="s">
        <v>334</v>
      </c>
      <c r="B96" s="64">
        <v>9.61</v>
      </c>
      <c r="C96" s="64">
        <v>22.6</v>
      </c>
      <c r="D96" s="64">
        <v>19.059999999999999</v>
      </c>
      <c r="E96" s="64">
        <v>5.62</v>
      </c>
      <c r="F96" s="64">
        <v>4.32</v>
      </c>
      <c r="G96" s="64">
        <v>62.47</v>
      </c>
      <c r="H96" s="64">
        <v>26.97</v>
      </c>
      <c r="I96" s="64">
        <v>3.21</v>
      </c>
      <c r="J96" s="64">
        <v>0.96</v>
      </c>
      <c r="K96" s="64">
        <v>109.35</v>
      </c>
      <c r="L96" s="64">
        <v>19.329999999999998</v>
      </c>
      <c r="M96" s="64">
        <v>82.22</v>
      </c>
      <c r="N96" s="64">
        <v>31.6</v>
      </c>
      <c r="O96" s="64">
        <v>0</v>
      </c>
      <c r="P96" s="64">
        <v>1.07</v>
      </c>
      <c r="Q96" s="64">
        <v>9.6199999999999992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335</v>
      </c>
      <c r="B97" s="64">
        <v>9.3000000000000007</v>
      </c>
      <c r="C97" s="64">
        <v>22.48</v>
      </c>
      <c r="D97" s="64">
        <v>18.75</v>
      </c>
      <c r="E97" s="64">
        <v>6.14</v>
      </c>
      <c r="F97" s="64">
        <v>4.66</v>
      </c>
      <c r="G97" s="64">
        <v>60.39</v>
      </c>
      <c r="H97" s="64">
        <v>26.53</v>
      </c>
      <c r="I97" s="64">
        <v>3.2</v>
      </c>
      <c r="J97" s="64">
        <v>0.84</v>
      </c>
      <c r="K97" s="64">
        <v>98.27</v>
      </c>
      <c r="L97" s="64">
        <v>19.05</v>
      </c>
      <c r="M97" s="64">
        <v>84.79</v>
      </c>
      <c r="N97" s="64">
        <v>31.7</v>
      </c>
      <c r="O97" s="64">
        <v>0</v>
      </c>
      <c r="P97" s="64">
        <v>1.08</v>
      </c>
      <c r="Q97" s="64">
        <v>9.6300000000000008</v>
      </c>
      <c r="R97" s="198"/>
      <c r="S97" s="198"/>
      <c r="T97" s="198"/>
      <c r="U97" s="198"/>
    </row>
    <row r="98" spans="1:33" s="12" customFormat="1" x14ac:dyDescent="0.25">
      <c r="A98" s="214" t="s">
        <v>336</v>
      </c>
      <c r="B98" s="64">
        <v>9.4700000000000006</v>
      </c>
      <c r="C98" s="64">
        <v>22.16</v>
      </c>
      <c r="D98" s="64">
        <v>18.71</v>
      </c>
      <c r="E98" s="64">
        <v>5.96</v>
      </c>
      <c r="F98" s="64">
        <v>3.25</v>
      </c>
      <c r="G98" s="64">
        <v>52.07</v>
      </c>
      <c r="H98" s="64">
        <v>25.25</v>
      </c>
      <c r="I98" s="64">
        <v>3.18</v>
      </c>
      <c r="J98" s="64">
        <v>0.84</v>
      </c>
      <c r="K98" s="64">
        <v>98.94</v>
      </c>
      <c r="L98" s="64">
        <v>18.91</v>
      </c>
      <c r="M98" s="64">
        <v>85.6</v>
      </c>
      <c r="N98" s="64">
        <v>31.6</v>
      </c>
      <c r="O98" s="64">
        <v>0</v>
      </c>
      <c r="P98" s="64">
        <v>1.08</v>
      </c>
      <c r="Q98" s="64">
        <v>9.6199999999999992</v>
      </c>
      <c r="R98" s="198"/>
      <c r="S98" s="198"/>
      <c r="T98" s="198"/>
      <c r="U98" s="198"/>
    </row>
    <row r="99" spans="1:33" s="12" customFormat="1" x14ac:dyDescent="0.25">
      <c r="A99" s="214" t="s">
        <v>337</v>
      </c>
      <c r="B99" s="64">
        <v>9.56</v>
      </c>
      <c r="C99" s="64">
        <v>21.93</v>
      </c>
      <c r="D99" s="64">
        <v>18.670000000000002</v>
      </c>
      <c r="E99" s="64">
        <v>5.89</v>
      </c>
      <c r="F99" s="64">
        <v>3.25</v>
      </c>
      <c r="G99" s="64">
        <v>52.07</v>
      </c>
      <c r="H99" s="64">
        <v>25.25</v>
      </c>
      <c r="I99" s="64">
        <v>3.16</v>
      </c>
      <c r="J99" s="64">
        <v>0.82</v>
      </c>
      <c r="K99" s="64">
        <v>96.34</v>
      </c>
      <c r="L99" s="64">
        <v>18.79</v>
      </c>
      <c r="M99" s="64">
        <v>85.43</v>
      </c>
      <c r="N99" s="64">
        <v>31.6</v>
      </c>
      <c r="O99" s="64">
        <v>0</v>
      </c>
      <c r="P99" s="64">
        <v>1.07</v>
      </c>
      <c r="Q99" s="64">
        <v>9.6199999999999992</v>
      </c>
      <c r="R99" s="198"/>
      <c r="S99" s="198"/>
      <c r="T99" s="198"/>
      <c r="U99" s="198"/>
    </row>
    <row r="100" spans="1:33" s="12" customFormat="1" x14ac:dyDescent="0.25">
      <c r="A100" s="214" t="s">
        <v>338</v>
      </c>
      <c r="B100" s="64">
        <v>9.48</v>
      </c>
      <c r="C100" s="64">
        <v>21.64</v>
      </c>
      <c r="D100" s="64">
        <v>18.440000000000001</v>
      </c>
      <c r="E100" s="64">
        <v>5.63</v>
      </c>
      <c r="F100" s="64">
        <v>3.24</v>
      </c>
      <c r="G100" s="64">
        <v>52.07</v>
      </c>
      <c r="H100" s="64">
        <v>25.25</v>
      </c>
      <c r="I100" s="64">
        <v>3.14</v>
      </c>
      <c r="J100" s="64">
        <v>1.1399999999999999</v>
      </c>
      <c r="K100" s="64">
        <v>96.95</v>
      </c>
      <c r="L100" s="64">
        <v>18.53</v>
      </c>
      <c r="M100" s="64">
        <v>88.64</v>
      </c>
      <c r="N100" s="64">
        <v>31.7</v>
      </c>
      <c r="O100" s="64">
        <v>0</v>
      </c>
      <c r="P100" s="64">
        <v>1.06</v>
      </c>
      <c r="Q100" s="64">
        <v>9.6300000000000008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339</v>
      </c>
      <c r="B101" s="64">
        <v>9.66</v>
      </c>
      <c r="C101" s="64">
        <v>21.59</v>
      </c>
      <c r="D101" s="64">
        <v>18.57</v>
      </c>
      <c r="E101" s="64">
        <v>5.43</v>
      </c>
      <c r="F101" s="64">
        <v>3.29</v>
      </c>
      <c r="G101" s="64">
        <v>50.34</v>
      </c>
      <c r="H101" s="64">
        <v>24.99</v>
      </c>
      <c r="I101" s="64">
        <v>3.11</v>
      </c>
      <c r="J101" s="64">
        <v>0.74</v>
      </c>
      <c r="K101" s="64">
        <v>97</v>
      </c>
      <c r="L101" s="64">
        <v>18.309999999999999</v>
      </c>
      <c r="M101" s="64">
        <v>89.34</v>
      </c>
      <c r="N101" s="64">
        <v>31.8</v>
      </c>
      <c r="O101" s="64">
        <v>0</v>
      </c>
      <c r="P101" s="64">
        <v>1.04</v>
      </c>
      <c r="Q101" s="64">
        <v>9.6300000000000008</v>
      </c>
      <c r="R101" s="198"/>
      <c r="S101" s="198"/>
      <c r="T101" s="198"/>
      <c r="U101" s="198"/>
    </row>
    <row r="102" spans="1:33" s="12" customFormat="1" x14ac:dyDescent="0.25">
      <c r="A102" s="214" t="s">
        <v>340</v>
      </c>
      <c r="B102" s="64">
        <v>9.76</v>
      </c>
      <c r="C102" s="64">
        <v>21.36</v>
      </c>
      <c r="D102" s="64">
        <v>18.53</v>
      </c>
      <c r="E102" s="64">
        <v>5.59</v>
      </c>
      <c r="F102" s="64">
        <v>2.87</v>
      </c>
      <c r="G102" s="64">
        <v>43.43</v>
      </c>
      <c r="H102" s="64">
        <v>23.83</v>
      </c>
      <c r="I102" s="64">
        <v>3.07</v>
      </c>
      <c r="J102" s="64">
        <v>0.19</v>
      </c>
      <c r="K102" s="64">
        <v>204.94</v>
      </c>
      <c r="L102" s="64">
        <v>18.059999999999999</v>
      </c>
      <c r="M102" s="64">
        <v>89.97</v>
      </c>
      <c r="N102" s="64">
        <v>31.9</v>
      </c>
      <c r="O102" s="64">
        <v>0</v>
      </c>
      <c r="P102" s="64">
        <v>0.99</v>
      </c>
      <c r="Q102" s="64">
        <v>9.6300000000000008</v>
      </c>
      <c r="R102" s="198"/>
      <c r="S102" s="198"/>
      <c r="T102" s="198"/>
      <c r="U102" s="198"/>
    </row>
    <row r="103" spans="1:33" s="12" customFormat="1" x14ac:dyDescent="0.25">
      <c r="A103" s="214" t="s">
        <v>341</v>
      </c>
      <c r="B103" s="64">
        <v>9.74</v>
      </c>
      <c r="C103" s="64">
        <v>20.93</v>
      </c>
      <c r="D103" s="64">
        <v>18.28</v>
      </c>
      <c r="E103" s="64">
        <v>5.54</v>
      </c>
      <c r="F103" s="64">
        <v>2.99</v>
      </c>
      <c r="G103" s="64">
        <v>43.43</v>
      </c>
      <c r="H103" s="64">
        <v>23.83</v>
      </c>
      <c r="I103" s="64">
        <v>3.04</v>
      </c>
      <c r="J103" s="64">
        <v>0.46</v>
      </c>
      <c r="K103" s="64">
        <v>172.4</v>
      </c>
      <c r="L103" s="64">
        <v>17.940000000000001</v>
      </c>
      <c r="M103" s="64">
        <v>88.21</v>
      </c>
      <c r="N103" s="64">
        <v>31.4</v>
      </c>
      <c r="O103" s="64">
        <v>0</v>
      </c>
      <c r="P103" s="64">
        <v>0.94</v>
      </c>
      <c r="Q103" s="64">
        <v>9.6300000000000008</v>
      </c>
      <c r="R103" s="198"/>
      <c r="S103" s="198"/>
      <c r="T103" s="198"/>
      <c r="U103" s="198"/>
    </row>
    <row r="104" spans="1:33" s="12" customFormat="1" x14ac:dyDescent="0.25">
      <c r="A104" s="214" t="s">
        <v>342</v>
      </c>
      <c r="B104" s="64">
        <v>9.58</v>
      </c>
      <c r="C104" s="64">
        <v>20.88</v>
      </c>
      <c r="D104" s="64">
        <v>18.13</v>
      </c>
      <c r="E104" s="64">
        <v>5.01</v>
      </c>
      <c r="F104" s="64">
        <v>2.91</v>
      </c>
      <c r="G104" s="64">
        <v>43.43</v>
      </c>
      <c r="H104" s="64">
        <v>23.83</v>
      </c>
      <c r="I104" s="64">
        <v>3.01</v>
      </c>
      <c r="J104" s="64">
        <v>0.47</v>
      </c>
      <c r="K104" s="64">
        <v>199.53</v>
      </c>
      <c r="L104" s="64">
        <v>17.989999999999998</v>
      </c>
      <c r="M104" s="64">
        <v>85.61</v>
      </c>
      <c r="N104" s="64">
        <v>31.5</v>
      </c>
      <c r="O104" s="64">
        <v>0</v>
      </c>
      <c r="P104" s="64">
        <v>0.91</v>
      </c>
      <c r="Q104" s="64">
        <v>9.64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5.22</v>
      </c>
      <c r="C106" s="67">
        <f>MIN(C9:C104)</f>
        <v>12.78</v>
      </c>
      <c r="D106" s="67">
        <f t="shared" ref="D106:Q106" si="0">MIN(D9:D104)</f>
        <v>16.489999999999998</v>
      </c>
      <c r="E106" s="67">
        <f t="shared" si="0"/>
        <v>4.7</v>
      </c>
      <c r="F106" s="67">
        <f t="shared" si="0"/>
        <v>2.5499999999999998</v>
      </c>
      <c r="G106" s="67">
        <f t="shared" si="0"/>
        <v>8.8800000000000008</v>
      </c>
      <c r="H106" s="67">
        <f t="shared" si="0"/>
        <v>21.68</v>
      </c>
      <c r="I106" s="67">
        <f t="shared" si="0"/>
        <v>2.85</v>
      </c>
      <c r="J106" s="67">
        <f t="shared" si="0"/>
        <v>0.01</v>
      </c>
      <c r="K106" s="67">
        <f t="shared" si="0"/>
        <v>13.41</v>
      </c>
      <c r="L106" s="67">
        <f t="shared" si="0"/>
        <v>16.23</v>
      </c>
      <c r="M106" s="67">
        <f t="shared" si="0"/>
        <v>37.4</v>
      </c>
      <c r="N106" s="67">
        <f t="shared" si="0"/>
        <v>31</v>
      </c>
      <c r="O106" s="67">
        <f t="shared" si="0"/>
        <v>0</v>
      </c>
      <c r="P106" s="67">
        <f t="shared" si="0"/>
        <v>0.69</v>
      </c>
      <c r="Q106" s="67">
        <f t="shared" si="0"/>
        <v>9.57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28.14</v>
      </c>
      <c r="C107" s="66">
        <f t="shared" ref="C107:Q107" si="1">MAX(C9:C104)</f>
        <v>35.880000000000003</v>
      </c>
      <c r="D107" s="66">
        <f t="shared" si="1"/>
        <v>29.15</v>
      </c>
      <c r="E107" s="66">
        <f t="shared" si="1"/>
        <v>21.14</v>
      </c>
      <c r="F107" s="66">
        <f t="shared" si="1"/>
        <v>13.06</v>
      </c>
      <c r="G107" s="66">
        <f t="shared" si="1"/>
        <v>135.58000000000001</v>
      </c>
      <c r="H107" s="66">
        <f t="shared" si="1"/>
        <v>40.65</v>
      </c>
      <c r="I107" s="66">
        <f t="shared" si="1"/>
        <v>4.9800000000000004</v>
      </c>
      <c r="J107" s="66">
        <f t="shared" si="1"/>
        <v>1.93</v>
      </c>
      <c r="K107" s="66">
        <f t="shared" si="1"/>
        <v>350.4</v>
      </c>
      <c r="L107" s="66">
        <f t="shared" si="1"/>
        <v>25.99</v>
      </c>
      <c r="M107" s="66">
        <f t="shared" si="1"/>
        <v>89.97</v>
      </c>
      <c r="N107" s="66">
        <f t="shared" si="1"/>
        <v>542.4</v>
      </c>
      <c r="O107" s="66">
        <f t="shared" si="1"/>
        <v>0</v>
      </c>
      <c r="P107" s="66">
        <f t="shared" si="1"/>
        <v>1.62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14.641562499999999</v>
      </c>
      <c r="C108" s="67">
        <f t="shared" ref="C108:Q108" si="2">AVERAGE(C9:C104)</f>
        <v>21.238333333333337</v>
      </c>
      <c r="D108" s="67">
        <f t="shared" si="2"/>
        <v>22.378437500000008</v>
      </c>
      <c r="E108" s="67">
        <f t="shared" si="2"/>
        <v>7.6463541666666677</v>
      </c>
      <c r="F108" s="67">
        <f t="shared" si="2"/>
        <v>4.6451041666666688</v>
      </c>
      <c r="G108" s="67">
        <f t="shared" si="2"/>
        <v>66.653958333333335</v>
      </c>
      <c r="H108" s="67">
        <f t="shared" si="2"/>
        <v>30.22322916666667</v>
      </c>
      <c r="I108" s="67">
        <f t="shared" si="2"/>
        <v>3.6309375000000021</v>
      </c>
      <c r="J108" s="67">
        <f t="shared" si="2"/>
        <v>0.60427083333333342</v>
      </c>
      <c r="K108" s="67">
        <f t="shared" si="2"/>
        <v>161.53385416666674</v>
      </c>
      <c r="L108" s="67">
        <f t="shared" si="2"/>
        <v>20.345208333333332</v>
      </c>
      <c r="M108" s="67">
        <f t="shared" si="2"/>
        <v>63.611041666666686</v>
      </c>
      <c r="N108" s="67">
        <f t="shared" si="2"/>
        <v>125.86562500000001</v>
      </c>
      <c r="O108" s="67">
        <f t="shared" si="2"/>
        <v>0</v>
      </c>
      <c r="P108" s="67">
        <f t="shared" si="2"/>
        <v>1.0630208333333326</v>
      </c>
      <c r="Q108" s="67">
        <f t="shared" si="2"/>
        <v>9.6427083333333332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6.7704197690161187</v>
      </c>
      <c r="C109" s="67">
        <f t="shared" ref="C109:Q109" si="3">STDEV(C9:C104)</f>
        <v>4.7694240337838449</v>
      </c>
      <c r="D109" s="67">
        <f t="shared" si="3"/>
        <v>3.6997110351243263</v>
      </c>
      <c r="E109" s="67">
        <f t="shared" si="3"/>
        <v>3.8820884557810835</v>
      </c>
      <c r="F109" s="67">
        <f t="shared" si="3"/>
        <v>2.5644123138354433</v>
      </c>
      <c r="G109" s="67">
        <f t="shared" si="3"/>
        <v>21.58312315721011</v>
      </c>
      <c r="H109" s="67">
        <f t="shared" si="3"/>
        <v>6.1689655355260511</v>
      </c>
      <c r="I109" s="67">
        <f t="shared" si="3"/>
        <v>0.52726319828255208</v>
      </c>
      <c r="J109" s="67">
        <f t="shared" si="3"/>
        <v>0.41023162851624145</v>
      </c>
      <c r="K109" s="67">
        <f t="shared" si="3"/>
        <v>103.33656329906995</v>
      </c>
      <c r="L109" s="67">
        <f t="shared" si="3"/>
        <v>2.9441134772061224</v>
      </c>
      <c r="M109" s="67">
        <f t="shared" si="3"/>
        <v>16.513997028305226</v>
      </c>
      <c r="N109" s="67">
        <f t="shared" si="3"/>
        <v>157.53994636490742</v>
      </c>
      <c r="O109" s="67">
        <f t="shared" si="3"/>
        <v>0</v>
      </c>
      <c r="P109" s="67">
        <f t="shared" si="3"/>
        <v>0.17739708531200349</v>
      </c>
      <c r="Q109" s="67">
        <f t="shared" si="3"/>
        <v>2.2406726746867153E-2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06" sqref="I10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343</v>
      </c>
      <c r="B9" s="64">
        <v>9.3699999999999992</v>
      </c>
      <c r="C9" s="64">
        <v>20.93</v>
      </c>
      <c r="D9" s="64">
        <v>17.989999999999998</v>
      </c>
      <c r="E9" s="64">
        <v>4.8</v>
      </c>
      <c r="F9" s="64">
        <v>2.92</v>
      </c>
      <c r="G9" s="64">
        <v>43.61</v>
      </c>
      <c r="H9" s="64">
        <v>22.81</v>
      </c>
      <c r="I9" s="64">
        <v>2.99</v>
      </c>
      <c r="J9" s="64">
        <v>0.44</v>
      </c>
      <c r="K9" s="64">
        <v>214.47</v>
      </c>
      <c r="L9" s="64">
        <v>17.8</v>
      </c>
      <c r="M9" s="64">
        <v>86.32</v>
      </c>
      <c r="N9" s="64">
        <v>31.6</v>
      </c>
      <c r="O9" s="64">
        <v>0</v>
      </c>
      <c r="P9" s="64">
        <v>0.89</v>
      </c>
      <c r="Q9" s="64">
        <v>9.6300000000000008</v>
      </c>
      <c r="R9" s="198"/>
      <c r="S9" s="198"/>
      <c r="T9" s="198"/>
      <c r="U9" s="198"/>
    </row>
    <row r="10" spans="1:21" s="12" customFormat="1" x14ac:dyDescent="0.25">
      <c r="A10" s="214" t="s">
        <v>344</v>
      </c>
      <c r="B10" s="64">
        <v>9.14</v>
      </c>
      <c r="C10" s="64">
        <v>20.93</v>
      </c>
      <c r="D10" s="64">
        <v>17.8</v>
      </c>
      <c r="E10" s="64">
        <v>4.83</v>
      </c>
      <c r="F10" s="64">
        <v>2.89</v>
      </c>
      <c r="G10" s="64">
        <v>44.38</v>
      </c>
      <c r="H10" s="64">
        <v>19.809999999999999</v>
      </c>
      <c r="I10" s="64">
        <v>2.96</v>
      </c>
      <c r="J10" s="64">
        <v>0.53</v>
      </c>
      <c r="K10" s="64">
        <v>229.91</v>
      </c>
      <c r="L10" s="64">
        <v>17.63</v>
      </c>
      <c r="M10" s="64">
        <v>88.8</v>
      </c>
      <c r="N10" s="64">
        <v>31.7</v>
      </c>
      <c r="O10" s="64">
        <v>0</v>
      </c>
      <c r="P10" s="64">
        <v>0.88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4" t="s">
        <v>345</v>
      </c>
      <c r="B11" s="64">
        <v>8.9499999999999993</v>
      </c>
      <c r="C11" s="64">
        <v>21.05</v>
      </c>
      <c r="D11" s="64">
        <v>17.71</v>
      </c>
      <c r="E11" s="64">
        <v>4.7699999999999996</v>
      </c>
      <c r="F11" s="64">
        <v>2.92</v>
      </c>
      <c r="G11" s="64">
        <v>44.38</v>
      </c>
      <c r="H11" s="64">
        <v>19.809999999999999</v>
      </c>
      <c r="I11" s="64">
        <v>2.92</v>
      </c>
      <c r="J11" s="64">
        <v>0.45</v>
      </c>
      <c r="K11" s="64">
        <v>220.8</v>
      </c>
      <c r="L11" s="64">
        <v>17.29</v>
      </c>
      <c r="M11" s="64">
        <v>92.58</v>
      </c>
      <c r="N11" s="64">
        <v>31.8</v>
      </c>
      <c r="O11" s="64">
        <v>0</v>
      </c>
      <c r="P11" s="64">
        <v>0.87</v>
      </c>
      <c r="Q11" s="64">
        <v>9.6199999999999992</v>
      </c>
      <c r="R11" s="198"/>
      <c r="S11" s="198"/>
      <c r="T11" s="198"/>
      <c r="U11" s="198"/>
    </row>
    <row r="12" spans="1:21" s="12" customFormat="1" x14ac:dyDescent="0.25">
      <c r="A12" s="214" t="s">
        <v>346</v>
      </c>
      <c r="B12" s="64">
        <v>8.84</v>
      </c>
      <c r="C12" s="64">
        <v>20.93</v>
      </c>
      <c r="D12" s="64">
        <v>17.559999999999999</v>
      </c>
      <c r="E12" s="64">
        <v>4.74</v>
      </c>
      <c r="F12" s="64">
        <v>2.65</v>
      </c>
      <c r="G12" s="64">
        <v>44.38</v>
      </c>
      <c r="H12" s="64">
        <v>19.809999999999999</v>
      </c>
      <c r="I12" s="64">
        <v>2.89</v>
      </c>
      <c r="J12" s="64">
        <v>0.57999999999999996</v>
      </c>
      <c r="K12" s="64">
        <v>204.85</v>
      </c>
      <c r="L12" s="64">
        <v>17.3</v>
      </c>
      <c r="M12" s="64">
        <v>91.1</v>
      </c>
      <c r="N12" s="64">
        <v>31.4</v>
      </c>
      <c r="O12" s="64">
        <v>0</v>
      </c>
      <c r="P12" s="64">
        <v>0.85</v>
      </c>
      <c r="Q12" s="64">
        <v>9.61</v>
      </c>
      <c r="R12" s="198"/>
      <c r="S12" s="198"/>
      <c r="T12" s="198"/>
      <c r="U12" s="198"/>
    </row>
    <row r="13" spans="1:21" s="12" customFormat="1" x14ac:dyDescent="0.25">
      <c r="A13" s="214" t="s">
        <v>347</v>
      </c>
      <c r="B13" s="64">
        <v>8.64</v>
      </c>
      <c r="C13" s="64">
        <v>21.03</v>
      </c>
      <c r="D13" s="64">
        <v>17.45</v>
      </c>
      <c r="E13" s="64">
        <v>5.0999999999999996</v>
      </c>
      <c r="F13" s="64">
        <v>2.92</v>
      </c>
      <c r="G13" s="64">
        <v>42.88</v>
      </c>
      <c r="H13" s="64">
        <v>19.600000000000001</v>
      </c>
      <c r="I13" s="64">
        <v>3.2</v>
      </c>
      <c r="J13" s="64">
        <v>0.38</v>
      </c>
      <c r="K13" s="64">
        <v>181.34</v>
      </c>
      <c r="L13" s="64">
        <v>17.239999999999998</v>
      </c>
      <c r="M13" s="64">
        <v>90.9</v>
      </c>
      <c r="N13" s="64">
        <v>31.6</v>
      </c>
      <c r="O13" s="64">
        <v>0</v>
      </c>
      <c r="P13" s="64">
        <v>0.8</v>
      </c>
      <c r="Q13" s="64">
        <v>9.6</v>
      </c>
      <c r="R13" s="198"/>
      <c r="S13" s="198"/>
      <c r="T13" s="198"/>
      <c r="U13" s="198"/>
    </row>
    <row r="14" spans="1:21" s="12" customFormat="1" x14ac:dyDescent="0.25">
      <c r="A14" s="214" t="s">
        <v>348</v>
      </c>
      <c r="B14" s="64">
        <v>8.48</v>
      </c>
      <c r="C14" s="64">
        <v>21.03</v>
      </c>
      <c r="D14" s="64">
        <v>17.329999999999998</v>
      </c>
      <c r="E14" s="64">
        <v>4.88</v>
      </c>
      <c r="F14" s="64">
        <v>2.81</v>
      </c>
      <c r="G14" s="64">
        <v>36.46</v>
      </c>
      <c r="H14" s="64">
        <v>18.98</v>
      </c>
      <c r="I14" s="64">
        <v>2.96</v>
      </c>
      <c r="J14" s="64">
        <v>0.25</v>
      </c>
      <c r="K14" s="64">
        <v>241.37</v>
      </c>
      <c r="L14" s="64">
        <v>17.010000000000002</v>
      </c>
      <c r="M14" s="64">
        <v>93.02</v>
      </c>
      <c r="N14" s="64">
        <v>31.8</v>
      </c>
      <c r="O14" s="64">
        <v>0</v>
      </c>
      <c r="P14" s="64">
        <v>0.83</v>
      </c>
      <c r="Q14" s="64">
        <v>9.6</v>
      </c>
      <c r="R14" s="198"/>
      <c r="S14" s="198"/>
      <c r="T14" s="198"/>
      <c r="U14" s="198"/>
    </row>
    <row r="15" spans="1:21" s="12" customFormat="1" x14ac:dyDescent="0.25">
      <c r="A15" s="214" t="s">
        <v>349</v>
      </c>
      <c r="B15" s="64">
        <v>8.39</v>
      </c>
      <c r="C15" s="64">
        <v>20.239999999999998</v>
      </c>
      <c r="D15" s="64">
        <v>16.84</v>
      </c>
      <c r="E15" s="64">
        <v>4.37</v>
      </c>
      <c r="F15" s="64">
        <v>2.72</v>
      </c>
      <c r="G15" s="64">
        <v>36.46</v>
      </c>
      <c r="H15" s="64">
        <v>18.98</v>
      </c>
      <c r="I15" s="64">
        <v>2.82</v>
      </c>
      <c r="J15" s="64">
        <v>0.34</v>
      </c>
      <c r="K15" s="64">
        <v>250.02</v>
      </c>
      <c r="L15" s="64">
        <v>16.829999999999998</v>
      </c>
      <c r="M15" s="64">
        <v>94.5</v>
      </c>
      <c r="N15" s="64">
        <v>31.7</v>
      </c>
      <c r="O15" s="64">
        <v>0</v>
      </c>
      <c r="P15" s="64">
        <v>0.81</v>
      </c>
      <c r="Q15" s="64">
        <v>9.59</v>
      </c>
      <c r="R15" s="198"/>
      <c r="S15" s="198"/>
      <c r="T15" s="198"/>
      <c r="U15" s="198"/>
    </row>
    <row r="16" spans="1:21" s="12" customFormat="1" x14ac:dyDescent="0.25">
      <c r="A16" s="214" t="s">
        <v>350</v>
      </c>
      <c r="B16" s="64">
        <v>8.36</v>
      </c>
      <c r="C16" s="64">
        <v>19.93</v>
      </c>
      <c r="D16" s="64">
        <v>16.66</v>
      </c>
      <c r="E16" s="64">
        <v>4.5599999999999996</v>
      </c>
      <c r="F16" s="64">
        <v>2.8</v>
      </c>
      <c r="G16" s="64">
        <v>36.46</v>
      </c>
      <c r="H16" s="64">
        <v>18.98</v>
      </c>
      <c r="I16" s="64">
        <v>3.1</v>
      </c>
      <c r="J16" s="64">
        <v>0.3</v>
      </c>
      <c r="K16" s="64">
        <v>239.58</v>
      </c>
      <c r="L16" s="64">
        <v>16.78</v>
      </c>
      <c r="M16" s="64">
        <v>95.38</v>
      </c>
      <c r="N16" s="64">
        <v>31.6</v>
      </c>
      <c r="O16" s="64">
        <v>0</v>
      </c>
      <c r="P16" s="64">
        <v>0.82</v>
      </c>
      <c r="Q16" s="64">
        <v>9.61</v>
      </c>
      <c r="R16" s="198"/>
      <c r="S16" s="198"/>
      <c r="T16" s="198"/>
      <c r="U16" s="198"/>
    </row>
    <row r="17" spans="1:21" s="12" customFormat="1" x14ac:dyDescent="0.25">
      <c r="A17" s="214" t="s">
        <v>351</v>
      </c>
      <c r="B17" s="64">
        <v>8.35</v>
      </c>
      <c r="C17" s="64">
        <v>20.32</v>
      </c>
      <c r="D17" s="64">
        <v>16.86</v>
      </c>
      <c r="E17" s="64">
        <v>4.57</v>
      </c>
      <c r="F17" s="64">
        <v>2.89</v>
      </c>
      <c r="G17" s="64">
        <v>36.479999999999997</v>
      </c>
      <c r="H17" s="64">
        <v>19.010000000000002</v>
      </c>
      <c r="I17" s="64">
        <v>3.17</v>
      </c>
      <c r="J17" s="64">
        <v>0.41</v>
      </c>
      <c r="K17" s="64">
        <v>238.7</v>
      </c>
      <c r="L17" s="64">
        <v>16.57</v>
      </c>
      <c r="M17" s="64">
        <v>97.65</v>
      </c>
      <c r="N17" s="64">
        <v>31.8</v>
      </c>
      <c r="O17" s="64">
        <v>0</v>
      </c>
      <c r="P17" s="64">
        <v>0.84</v>
      </c>
      <c r="Q17" s="64">
        <v>9.6300000000000008</v>
      </c>
      <c r="R17" s="198"/>
      <c r="S17" s="198"/>
      <c r="T17" s="198"/>
      <c r="U17" s="198"/>
    </row>
    <row r="18" spans="1:21" s="12" customFormat="1" x14ac:dyDescent="0.25">
      <c r="A18" s="214" t="s">
        <v>352</v>
      </c>
      <c r="B18" s="64">
        <v>8.42</v>
      </c>
      <c r="C18" s="64">
        <v>20.5</v>
      </c>
      <c r="D18" s="64">
        <v>17</v>
      </c>
      <c r="E18" s="64">
        <v>4.5999999999999996</v>
      </c>
      <c r="F18" s="64">
        <v>2.77</v>
      </c>
      <c r="G18" s="64">
        <v>36.58</v>
      </c>
      <c r="H18" s="64">
        <v>19.100000000000001</v>
      </c>
      <c r="I18" s="64">
        <v>3.14</v>
      </c>
      <c r="J18" s="64">
        <v>0.37</v>
      </c>
      <c r="K18" s="64">
        <v>300.73</v>
      </c>
      <c r="L18" s="64">
        <v>16.18</v>
      </c>
      <c r="M18" s="64">
        <v>98.12</v>
      </c>
      <c r="N18" s="64">
        <v>32</v>
      </c>
      <c r="O18" s="64">
        <v>0</v>
      </c>
      <c r="P18" s="64">
        <v>0.86</v>
      </c>
      <c r="Q18" s="64">
        <v>9.6300000000000008</v>
      </c>
      <c r="R18" s="198"/>
      <c r="S18" s="198"/>
      <c r="T18" s="198"/>
      <c r="U18" s="198"/>
    </row>
    <row r="19" spans="1:21" s="12" customFormat="1" x14ac:dyDescent="0.25">
      <c r="A19" s="214" t="s">
        <v>353</v>
      </c>
      <c r="B19" s="64">
        <v>8.74</v>
      </c>
      <c r="C19" s="64">
        <v>20.56</v>
      </c>
      <c r="D19" s="64">
        <v>17.29</v>
      </c>
      <c r="E19" s="64">
        <v>4.71</v>
      </c>
      <c r="F19" s="64">
        <v>2.68</v>
      </c>
      <c r="G19" s="64">
        <v>36.58</v>
      </c>
      <c r="H19" s="64">
        <v>19.100000000000001</v>
      </c>
      <c r="I19" s="64">
        <v>3.1</v>
      </c>
      <c r="J19" s="64">
        <v>0.39</v>
      </c>
      <c r="K19" s="64">
        <v>326.98</v>
      </c>
      <c r="L19" s="64">
        <v>15.79</v>
      </c>
      <c r="M19" s="64">
        <v>98.14</v>
      </c>
      <c r="N19" s="64">
        <v>31.9</v>
      </c>
      <c r="O19" s="64">
        <v>0</v>
      </c>
      <c r="P19" s="64">
        <v>0.86</v>
      </c>
      <c r="Q19" s="64">
        <v>9.64</v>
      </c>
      <c r="R19" s="198"/>
      <c r="S19" s="198"/>
      <c r="T19" s="198"/>
      <c r="U19" s="198"/>
    </row>
    <row r="20" spans="1:21" s="12" customFormat="1" x14ac:dyDescent="0.25">
      <c r="A20" s="214" t="s">
        <v>354</v>
      </c>
      <c r="B20" s="64">
        <v>9.15</v>
      </c>
      <c r="C20" s="64">
        <v>20.440000000000001</v>
      </c>
      <c r="D20" s="64">
        <v>17.559999999999999</v>
      </c>
      <c r="E20" s="64">
        <v>4.5999999999999996</v>
      </c>
      <c r="F20" s="64">
        <v>2.75</v>
      </c>
      <c r="G20" s="64">
        <v>36.58</v>
      </c>
      <c r="H20" s="64">
        <v>19.100000000000001</v>
      </c>
      <c r="I20" s="64">
        <v>3.06</v>
      </c>
      <c r="J20" s="64">
        <v>0.44</v>
      </c>
      <c r="K20" s="64">
        <v>306.81</v>
      </c>
      <c r="L20" s="64">
        <v>15.58</v>
      </c>
      <c r="M20" s="64">
        <v>98.17</v>
      </c>
      <c r="N20" s="64">
        <v>31.7</v>
      </c>
      <c r="O20" s="64">
        <v>0</v>
      </c>
      <c r="P20" s="64">
        <v>0.85</v>
      </c>
      <c r="Q20" s="64">
        <v>9.6300000000000008</v>
      </c>
      <c r="R20" s="198"/>
      <c r="S20" s="198"/>
      <c r="T20" s="198"/>
      <c r="U20" s="198"/>
    </row>
    <row r="21" spans="1:21" s="12" customFormat="1" x14ac:dyDescent="0.25">
      <c r="A21" s="214" t="s">
        <v>355</v>
      </c>
      <c r="B21" s="64">
        <v>9.4600000000000009</v>
      </c>
      <c r="C21" s="64">
        <v>20.2</v>
      </c>
      <c r="D21" s="64">
        <v>17.68</v>
      </c>
      <c r="E21" s="64">
        <v>4.67</v>
      </c>
      <c r="F21" s="64">
        <v>3.06</v>
      </c>
      <c r="G21" s="64">
        <v>46.09</v>
      </c>
      <c r="H21" s="64">
        <v>20.079999999999998</v>
      </c>
      <c r="I21" s="64">
        <v>3.03</v>
      </c>
      <c r="J21" s="64">
        <v>0.44</v>
      </c>
      <c r="K21" s="64">
        <v>308.5</v>
      </c>
      <c r="L21" s="64">
        <v>15.44</v>
      </c>
      <c r="M21" s="64">
        <v>98.18</v>
      </c>
      <c r="N21" s="64">
        <v>31.7</v>
      </c>
      <c r="O21" s="64">
        <v>0</v>
      </c>
      <c r="P21" s="64">
        <v>0.84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4" t="s">
        <v>356</v>
      </c>
      <c r="B22" s="64">
        <v>9.7200000000000006</v>
      </c>
      <c r="C22" s="64">
        <v>20.11</v>
      </c>
      <c r="D22" s="64">
        <v>17.84</v>
      </c>
      <c r="E22" s="64">
        <v>4.6900000000000004</v>
      </c>
      <c r="F22" s="64">
        <v>2.87</v>
      </c>
      <c r="G22" s="64">
        <v>84.11</v>
      </c>
      <c r="H22" s="64">
        <v>24.5</v>
      </c>
      <c r="I22" s="64">
        <v>3.01</v>
      </c>
      <c r="J22" s="64">
        <v>0.3</v>
      </c>
      <c r="K22" s="64">
        <v>328.38</v>
      </c>
      <c r="L22" s="64">
        <v>15.13</v>
      </c>
      <c r="M22" s="64">
        <v>98.19</v>
      </c>
      <c r="N22" s="64">
        <v>31.8</v>
      </c>
      <c r="O22" s="64">
        <v>0</v>
      </c>
      <c r="P22" s="64">
        <v>0.85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4" t="s">
        <v>357</v>
      </c>
      <c r="B23" s="64">
        <v>9.93</v>
      </c>
      <c r="C23" s="64">
        <v>20.190000000000001</v>
      </c>
      <c r="D23" s="64">
        <v>18.05</v>
      </c>
      <c r="E23" s="64">
        <v>4.8499999999999996</v>
      </c>
      <c r="F23" s="64">
        <v>2.9</v>
      </c>
      <c r="G23" s="64">
        <v>84.11</v>
      </c>
      <c r="H23" s="64">
        <v>24.5</v>
      </c>
      <c r="I23" s="64">
        <v>2.98</v>
      </c>
      <c r="J23" s="64">
        <v>0.39</v>
      </c>
      <c r="K23" s="64">
        <v>302.61</v>
      </c>
      <c r="L23" s="64">
        <v>14.98</v>
      </c>
      <c r="M23" s="64">
        <v>98.21</v>
      </c>
      <c r="N23" s="64">
        <v>31.4</v>
      </c>
      <c r="O23" s="64">
        <v>0</v>
      </c>
      <c r="P23" s="64">
        <v>0.82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4" t="s">
        <v>358</v>
      </c>
      <c r="B24" s="64">
        <v>10.09</v>
      </c>
      <c r="C24" s="64">
        <v>19.920000000000002</v>
      </c>
      <c r="D24" s="64">
        <v>18.03</v>
      </c>
      <c r="E24" s="64">
        <v>4.75</v>
      </c>
      <c r="F24" s="64">
        <v>2.76</v>
      </c>
      <c r="G24" s="64">
        <v>84.11</v>
      </c>
      <c r="H24" s="64">
        <v>24.5</v>
      </c>
      <c r="I24" s="64">
        <v>2.94</v>
      </c>
      <c r="J24" s="64">
        <v>0.72</v>
      </c>
      <c r="K24" s="64">
        <v>323.2</v>
      </c>
      <c r="L24" s="64">
        <v>14.96</v>
      </c>
      <c r="M24" s="64">
        <v>98.23</v>
      </c>
      <c r="N24" s="64">
        <v>31.3</v>
      </c>
      <c r="O24" s="64">
        <v>0</v>
      </c>
      <c r="P24" s="64">
        <v>0.77</v>
      </c>
      <c r="Q24" s="64">
        <v>9.6199999999999992</v>
      </c>
      <c r="R24" s="198"/>
      <c r="S24" s="198"/>
      <c r="T24" s="198"/>
      <c r="U24" s="198"/>
    </row>
    <row r="25" spans="1:21" s="12" customFormat="1" x14ac:dyDescent="0.25">
      <c r="A25" s="214" t="s">
        <v>359</v>
      </c>
      <c r="B25" s="64">
        <v>10.5</v>
      </c>
      <c r="C25" s="64">
        <v>19.53</v>
      </c>
      <c r="D25" s="64">
        <v>18.16</v>
      </c>
      <c r="E25" s="64">
        <v>4.88</v>
      </c>
      <c r="F25" s="64">
        <v>2.95</v>
      </c>
      <c r="G25" s="64">
        <v>84.82</v>
      </c>
      <c r="H25" s="64">
        <v>24.88</v>
      </c>
      <c r="I25" s="64">
        <v>2.89</v>
      </c>
      <c r="J25" s="64">
        <v>0.98</v>
      </c>
      <c r="K25" s="64">
        <v>339.2</v>
      </c>
      <c r="L25" s="64">
        <v>15</v>
      </c>
      <c r="M25" s="64">
        <v>98.22</v>
      </c>
      <c r="N25" s="64">
        <v>31.2</v>
      </c>
      <c r="O25" s="64">
        <v>0</v>
      </c>
      <c r="P25" s="64">
        <v>0.76</v>
      </c>
      <c r="Q25" s="64">
        <v>9.6199999999999992</v>
      </c>
      <c r="R25" s="198"/>
      <c r="S25" s="198"/>
      <c r="T25" s="198"/>
      <c r="U25" s="198"/>
    </row>
    <row r="26" spans="1:21" s="12" customFormat="1" x14ac:dyDescent="0.25">
      <c r="A26" s="214" t="s">
        <v>360</v>
      </c>
      <c r="B26" s="64">
        <v>10.99</v>
      </c>
      <c r="C26" s="64">
        <v>19.39</v>
      </c>
      <c r="D26" s="64">
        <v>18.48</v>
      </c>
      <c r="E26" s="64">
        <v>4.2699999999999996</v>
      </c>
      <c r="F26" s="64">
        <v>3.1</v>
      </c>
      <c r="G26" s="64">
        <v>87.85</v>
      </c>
      <c r="H26" s="64">
        <v>25.99</v>
      </c>
      <c r="I26" s="64">
        <v>2.92</v>
      </c>
      <c r="J26" s="64">
        <v>0.79</v>
      </c>
      <c r="K26" s="64">
        <v>350.93</v>
      </c>
      <c r="L26" s="64">
        <v>15.09</v>
      </c>
      <c r="M26" s="64">
        <v>98.21</v>
      </c>
      <c r="N26" s="64">
        <v>31.5</v>
      </c>
      <c r="O26" s="64">
        <v>0</v>
      </c>
      <c r="P26" s="64">
        <v>0.79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4" t="s">
        <v>361</v>
      </c>
      <c r="B27" s="64">
        <v>11.85</v>
      </c>
      <c r="C27" s="64">
        <v>19.05</v>
      </c>
      <c r="D27" s="64">
        <v>19</v>
      </c>
      <c r="E27" s="64">
        <v>4.63</v>
      </c>
      <c r="F27" s="64">
        <v>3.09</v>
      </c>
      <c r="G27" s="64">
        <v>87.85</v>
      </c>
      <c r="H27" s="64">
        <v>25.99</v>
      </c>
      <c r="I27" s="64">
        <v>2.98</v>
      </c>
      <c r="J27" s="64">
        <v>0.94</v>
      </c>
      <c r="K27" s="64">
        <v>349.33</v>
      </c>
      <c r="L27" s="64">
        <v>15.25</v>
      </c>
      <c r="M27" s="64">
        <v>98.19</v>
      </c>
      <c r="N27" s="64">
        <v>31.5</v>
      </c>
      <c r="O27" s="64">
        <v>0</v>
      </c>
      <c r="P27" s="64">
        <v>0.83</v>
      </c>
      <c r="Q27" s="64">
        <v>9.6199999999999992</v>
      </c>
      <c r="R27" s="198"/>
      <c r="S27" s="198"/>
      <c r="T27" s="198"/>
      <c r="U27" s="198"/>
    </row>
    <row r="28" spans="1:21" s="12" customFormat="1" x14ac:dyDescent="0.25">
      <c r="A28" s="214" t="s">
        <v>362</v>
      </c>
      <c r="B28" s="64">
        <v>12.78</v>
      </c>
      <c r="C28" s="64">
        <v>18.850000000000001</v>
      </c>
      <c r="D28" s="64">
        <v>19.64</v>
      </c>
      <c r="E28" s="64">
        <v>4.71</v>
      </c>
      <c r="F28" s="64">
        <v>2.95</v>
      </c>
      <c r="G28" s="64">
        <v>87.85</v>
      </c>
      <c r="H28" s="64">
        <v>25.99</v>
      </c>
      <c r="I28" s="64">
        <v>3.06</v>
      </c>
      <c r="J28" s="64">
        <v>0.56999999999999995</v>
      </c>
      <c r="K28" s="64">
        <v>358.29</v>
      </c>
      <c r="L28" s="64">
        <v>15.24</v>
      </c>
      <c r="M28" s="64">
        <v>98.18</v>
      </c>
      <c r="N28" s="64">
        <v>31.7</v>
      </c>
      <c r="O28" s="64">
        <v>0</v>
      </c>
      <c r="P28" s="64">
        <v>0.86</v>
      </c>
      <c r="Q28" s="64">
        <v>9.6300000000000008</v>
      </c>
      <c r="R28" s="198"/>
      <c r="S28" s="198"/>
      <c r="T28" s="198"/>
      <c r="U28" s="198"/>
    </row>
    <row r="29" spans="1:21" s="12" customFormat="1" x14ac:dyDescent="0.25">
      <c r="A29" s="214" t="s">
        <v>363</v>
      </c>
      <c r="B29" s="64">
        <v>13.35</v>
      </c>
      <c r="C29" s="64">
        <v>18.59</v>
      </c>
      <c r="D29" s="64">
        <v>19.96</v>
      </c>
      <c r="E29" s="64">
        <v>4.4800000000000004</v>
      </c>
      <c r="F29" s="64">
        <v>3.04</v>
      </c>
      <c r="G29" s="64">
        <v>93.51</v>
      </c>
      <c r="H29" s="64">
        <v>29.33</v>
      </c>
      <c r="I29" s="64">
        <v>3.16</v>
      </c>
      <c r="J29" s="64">
        <v>0.39</v>
      </c>
      <c r="K29" s="64">
        <v>341.01</v>
      </c>
      <c r="L29" s="64">
        <v>14.98</v>
      </c>
      <c r="M29" s="64">
        <v>98.2</v>
      </c>
      <c r="N29" s="64">
        <v>31.8</v>
      </c>
      <c r="O29" s="64">
        <v>0</v>
      </c>
      <c r="P29" s="64">
        <v>0.9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4" t="s">
        <v>364</v>
      </c>
      <c r="B30" s="64">
        <v>13.67</v>
      </c>
      <c r="C30" s="64">
        <v>18.43</v>
      </c>
      <c r="D30" s="64">
        <v>20.13</v>
      </c>
      <c r="E30" s="64">
        <v>4.2</v>
      </c>
      <c r="F30" s="64">
        <v>2.91</v>
      </c>
      <c r="G30" s="64">
        <v>117.84</v>
      </c>
      <c r="H30" s="64">
        <v>39.15</v>
      </c>
      <c r="I30" s="64">
        <v>3.26</v>
      </c>
      <c r="J30" s="64">
        <v>0.94</v>
      </c>
      <c r="K30" s="64">
        <v>339.01</v>
      </c>
      <c r="L30" s="64">
        <v>14.8</v>
      </c>
      <c r="M30" s="64">
        <v>98.2</v>
      </c>
      <c r="N30" s="64">
        <v>31.6</v>
      </c>
      <c r="O30" s="64">
        <v>0</v>
      </c>
      <c r="P30" s="64">
        <v>0.98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4" t="s">
        <v>365</v>
      </c>
      <c r="B31" s="64">
        <v>13.75</v>
      </c>
      <c r="C31" s="64">
        <v>18.420000000000002</v>
      </c>
      <c r="D31" s="64">
        <v>20.190000000000001</v>
      </c>
      <c r="E31" s="64">
        <v>4.59</v>
      </c>
      <c r="F31" s="64">
        <v>3.04</v>
      </c>
      <c r="G31" s="64">
        <v>117.84</v>
      </c>
      <c r="H31" s="64">
        <v>39.15</v>
      </c>
      <c r="I31" s="64">
        <v>3.34</v>
      </c>
      <c r="J31" s="64">
        <v>0.37</v>
      </c>
      <c r="K31" s="64">
        <v>327.23</v>
      </c>
      <c r="L31" s="64">
        <v>14.74</v>
      </c>
      <c r="M31" s="64">
        <v>98.2</v>
      </c>
      <c r="N31" s="64">
        <v>31.7</v>
      </c>
      <c r="O31" s="64">
        <v>0</v>
      </c>
      <c r="P31" s="64">
        <v>1.01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4" t="s">
        <v>366</v>
      </c>
      <c r="B32" s="64">
        <v>13.82</v>
      </c>
      <c r="C32" s="64">
        <v>18.329999999999998</v>
      </c>
      <c r="D32" s="64">
        <v>20.2</v>
      </c>
      <c r="E32" s="64">
        <v>4.4400000000000004</v>
      </c>
      <c r="F32" s="64">
        <v>3.06</v>
      </c>
      <c r="G32" s="64">
        <v>117.84</v>
      </c>
      <c r="H32" s="64">
        <v>39.15</v>
      </c>
      <c r="I32" s="64">
        <v>3.39</v>
      </c>
      <c r="J32" s="64">
        <v>0.04</v>
      </c>
      <c r="K32" s="64">
        <v>356.36</v>
      </c>
      <c r="L32" s="64">
        <v>14.55</v>
      </c>
      <c r="M32" s="64">
        <v>98.22</v>
      </c>
      <c r="N32" s="64">
        <v>31.7</v>
      </c>
      <c r="O32" s="64">
        <v>0</v>
      </c>
      <c r="P32" s="64">
        <v>1.01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4" t="s">
        <v>367</v>
      </c>
      <c r="B33" s="64">
        <v>14.01</v>
      </c>
      <c r="C33" s="64">
        <v>17.010000000000002</v>
      </c>
      <c r="D33" s="64">
        <v>19.66</v>
      </c>
      <c r="E33" s="64">
        <v>4.04</v>
      </c>
      <c r="F33" s="64">
        <v>2.84</v>
      </c>
      <c r="G33" s="64">
        <v>113.68</v>
      </c>
      <c r="H33" s="64">
        <v>38.99</v>
      </c>
      <c r="I33" s="64">
        <v>3.4</v>
      </c>
      <c r="J33" s="64">
        <v>0.45</v>
      </c>
      <c r="K33" s="64">
        <v>325.49</v>
      </c>
      <c r="L33" s="64">
        <v>14.43</v>
      </c>
      <c r="M33" s="64">
        <v>98.21</v>
      </c>
      <c r="N33" s="64">
        <v>32.1</v>
      </c>
      <c r="O33" s="64">
        <v>0</v>
      </c>
      <c r="P33" s="64">
        <v>1.02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4" t="s">
        <v>368</v>
      </c>
      <c r="B34" s="64">
        <v>14.6</v>
      </c>
      <c r="C34" s="64">
        <v>17.23</v>
      </c>
      <c r="D34" s="64">
        <v>20.25</v>
      </c>
      <c r="E34" s="64">
        <v>4.37</v>
      </c>
      <c r="F34" s="64">
        <v>2.4900000000000002</v>
      </c>
      <c r="G34" s="64">
        <v>97.05</v>
      </c>
      <c r="H34" s="64">
        <v>38.51</v>
      </c>
      <c r="I34" s="64">
        <v>3.39</v>
      </c>
      <c r="J34" s="64">
        <v>0.09</v>
      </c>
      <c r="K34" s="64">
        <v>97.65</v>
      </c>
      <c r="L34" s="64">
        <v>14.4</v>
      </c>
      <c r="M34" s="64">
        <v>98.23</v>
      </c>
      <c r="N34" s="64">
        <v>35.1</v>
      </c>
      <c r="O34" s="64">
        <v>0</v>
      </c>
      <c r="P34" s="64">
        <v>1.07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4" t="s">
        <v>369</v>
      </c>
      <c r="B35" s="64">
        <v>14.91</v>
      </c>
      <c r="C35" s="64">
        <v>17.38</v>
      </c>
      <c r="D35" s="64">
        <v>20.58</v>
      </c>
      <c r="E35" s="64">
        <v>4.46</v>
      </c>
      <c r="F35" s="64">
        <v>3.07</v>
      </c>
      <c r="G35" s="64">
        <v>97.05</v>
      </c>
      <c r="H35" s="64">
        <v>38.51</v>
      </c>
      <c r="I35" s="64">
        <v>3.42</v>
      </c>
      <c r="J35" s="64">
        <v>0.15</v>
      </c>
      <c r="K35" s="64">
        <v>146.63999999999999</v>
      </c>
      <c r="L35" s="64">
        <v>14.47</v>
      </c>
      <c r="M35" s="64">
        <v>98.24</v>
      </c>
      <c r="N35" s="64">
        <v>45.4</v>
      </c>
      <c r="O35" s="64">
        <v>0</v>
      </c>
      <c r="P35" s="64">
        <v>1.08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4" t="s">
        <v>370</v>
      </c>
      <c r="B36" s="64">
        <v>14.96</v>
      </c>
      <c r="C36" s="64">
        <v>17.54</v>
      </c>
      <c r="D36" s="64">
        <v>20.7</v>
      </c>
      <c r="E36" s="64">
        <v>4.71</v>
      </c>
      <c r="F36" s="64">
        <v>2.99</v>
      </c>
      <c r="G36" s="64">
        <v>97.05</v>
      </c>
      <c r="H36" s="64">
        <v>38.51</v>
      </c>
      <c r="I36" s="64">
        <v>3.44</v>
      </c>
      <c r="J36" s="64">
        <v>0.02</v>
      </c>
      <c r="K36" s="64">
        <v>192.13</v>
      </c>
      <c r="L36" s="64">
        <v>14.81</v>
      </c>
      <c r="M36" s="64">
        <v>98.21</v>
      </c>
      <c r="N36" s="64">
        <v>58.9</v>
      </c>
      <c r="O36" s="64">
        <v>0</v>
      </c>
      <c r="P36" s="64">
        <v>1.0900000000000001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4" t="s">
        <v>371</v>
      </c>
      <c r="B37" s="64">
        <v>14.86</v>
      </c>
      <c r="C37" s="64">
        <v>17.670000000000002</v>
      </c>
      <c r="D37" s="64">
        <v>20.69</v>
      </c>
      <c r="E37" s="64">
        <v>4.82</v>
      </c>
      <c r="F37" s="64">
        <v>3.1</v>
      </c>
      <c r="G37" s="64">
        <v>92.8</v>
      </c>
      <c r="H37" s="64">
        <v>37.450000000000003</v>
      </c>
      <c r="I37" s="64">
        <v>3.44</v>
      </c>
      <c r="J37" s="64">
        <v>0.1</v>
      </c>
      <c r="K37" s="64">
        <v>78.38</v>
      </c>
      <c r="L37" s="64">
        <v>15.23</v>
      </c>
      <c r="M37" s="64">
        <v>98.19</v>
      </c>
      <c r="N37" s="64">
        <v>75.3</v>
      </c>
      <c r="O37" s="64">
        <v>0</v>
      </c>
      <c r="P37" s="64">
        <v>0.93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4" t="s">
        <v>372</v>
      </c>
      <c r="B38" s="64">
        <v>14.9</v>
      </c>
      <c r="C38" s="64">
        <v>18</v>
      </c>
      <c r="D38" s="64">
        <v>20.89</v>
      </c>
      <c r="E38" s="64">
        <v>5.04</v>
      </c>
      <c r="F38" s="64">
        <v>3.1</v>
      </c>
      <c r="G38" s="64">
        <v>75.8</v>
      </c>
      <c r="H38" s="64">
        <v>32.64</v>
      </c>
      <c r="I38" s="64">
        <v>3.43</v>
      </c>
      <c r="J38" s="64">
        <v>0.33</v>
      </c>
      <c r="K38" s="64">
        <v>327.45999999999998</v>
      </c>
      <c r="L38" s="64">
        <v>15.88</v>
      </c>
      <c r="M38" s="64">
        <v>98.13</v>
      </c>
      <c r="N38" s="64">
        <v>106.5</v>
      </c>
      <c r="O38" s="64">
        <v>0</v>
      </c>
      <c r="P38" s="64">
        <v>1.01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373</v>
      </c>
      <c r="B39" s="64">
        <v>15.54</v>
      </c>
      <c r="C39" s="64">
        <v>17.66</v>
      </c>
      <c r="D39" s="64">
        <v>21.23</v>
      </c>
      <c r="E39" s="64">
        <v>4.68</v>
      </c>
      <c r="F39" s="64">
        <v>2.93</v>
      </c>
      <c r="G39" s="64">
        <v>75.8</v>
      </c>
      <c r="H39" s="64">
        <v>32.64</v>
      </c>
      <c r="I39" s="64">
        <v>3.42</v>
      </c>
      <c r="J39" s="64">
        <v>0.4</v>
      </c>
      <c r="K39" s="64">
        <v>110.81</v>
      </c>
      <c r="L39" s="64">
        <v>16.89</v>
      </c>
      <c r="M39" s="64">
        <v>97.05</v>
      </c>
      <c r="N39" s="64">
        <v>166.9</v>
      </c>
      <c r="O39" s="64">
        <v>0</v>
      </c>
      <c r="P39" s="64">
        <v>1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4" t="s">
        <v>374</v>
      </c>
      <c r="B40" s="64">
        <v>16.34</v>
      </c>
      <c r="C40" s="64">
        <v>17.420000000000002</v>
      </c>
      <c r="D40" s="64">
        <v>21.74</v>
      </c>
      <c r="E40" s="64">
        <v>5.35</v>
      </c>
      <c r="F40" s="64">
        <v>2.84</v>
      </c>
      <c r="G40" s="64">
        <v>75.8</v>
      </c>
      <c r="H40" s="64">
        <v>32.64</v>
      </c>
      <c r="I40" s="64">
        <v>3.44</v>
      </c>
      <c r="J40" s="64">
        <v>0.31</v>
      </c>
      <c r="K40" s="64">
        <v>308.36</v>
      </c>
      <c r="L40" s="64">
        <v>18.28</v>
      </c>
      <c r="M40" s="64">
        <v>89.09</v>
      </c>
      <c r="N40" s="64">
        <v>204.1</v>
      </c>
      <c r="O40" s="64">
        <v>0</v>
      </c>
      <c r="P40" s="64">
        <v>0.99</v>
      </c>
      <c r="Q40" s="64">
        <v>9.65</v>
      </c>
      <c r="R40" s="198"/>
      <c r="S40" s="198"/>
      <c r="T40" s="198"/>
      <c r="U40" s="198"/>
    </row>
    <row r="41" spans="1:21" s="12" customFormat="1" x14ac:dyDescent="0.25">
      <c r="A41" s="214" t="s">
        <v>375</v>
      </c>
      <c r="B41" s="64">
        <v>17.440000000000001</v>
      </c>
      <c r="C41" s="64">
        <v>16.7</v>
      </c>
      <c r="D41" s="64">
        <v>22.25</v>
      </c>
      <c r="E41" s="64">
        <v>5.25</v>
      </c>
      <c r="F41" s="64">
        <v>2.94</v>
      </c>
      <c r="G41" s="64">
        <v>76.819999999999993</v>
      </c>
      <c r="H41" s="64">
        <v>32.82</v>
      </c>
      <c r="I41" s="64">
        <v>3.44</v>
      </c>
      <c r="J41" s="64">
        <v>0.12</v>
      </c>
      <c r="K41" s="64">
        <v>81.78</v>
      </c>
      <c r="L41" s="64">
        <v>19.36</v>
      </c>
      <c r="M41" s="64">
        <v>82.47</v>
      </c>
      <c r="N41" s="64">
        <v>246.2</v>
      </c>
      <c r="O41" s="64">
        <v>0</v>
      </c>
      <c r="P41" s="64">
        <v>0.96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4" t="s">
        <v>376</v>
      </c>
      <c r="B42" s="64">
        <v>18.34</v>
      </c>
      <c r="C42" s="64">
        <v>16.55</v>
      </c>
      <c r="D42" s="64">
        <v>22.89</v>
      </c>
      <c r="E42" s="64">
        <v>5.24</v>
      </c>
      <c r="F42" s="64">
        <v>2.71</v>
      </c>
      <c r="G42" s="64">
        <v>81.22</v>
      </c>
      <c r="H42" s="64">
        <v>33.33</v>
      </c>
      <c r="I42" s="64">
        <v>3.46</v>
      </c>
      <c r="J42" s="64">
        <v>0.3</v>
      </c>
      <c r="K42" s="64">
        <v>334.53</v>
      </c>
      <c r="L42" s="64">
        <v>20.51</v>
      </c>
      <c r="M42" s="64">
        <v>74.489999999999995</v>
      </c>
      <c r="N42" s="64">
        <v>288.7</v>
      </c>
      <c r="O42" s="64">
        <v>0</v>
      </c>
      <c r="P42" s="64">
        <v>0.94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377</v>
      </c>
      <c r="B43" s="64">
        <v>18.64</v>
      </c>
      <c r="C43" s="64">
        <v>16.78</v>
      </c>
      <c r="D43" s="64">
        <v>23.25</v>
      </c>
      <c r="E43" s="64">
        <v>5.25</v>
      </c>
      <c r="F43" s="64">
        <v>2.93</v>
      </c>
      <c r="G43" s="64">
        <v>81.22</v>
      </c>
      <c r="H43" s="64">
        <v>33.33</v>
      </c>
      <c r="I43" s="64">
        <v>3.49</v>
      </c>
      <c r="J43" s="64">
        <v>0.43</v>
      </c>
      <c r="K43" s="64">
        <v>124.89</v>
      </c>
      <c r="L43" s="64">
        <v>20.85</v>
      </c>
      <c r="M43" s="64">
        <v>73.98</v>
      </c>
      <c r="N43" s="64">
        <v>328.9</v>
      </c>
      <c r="O43" s="64">
        <v>0</v>
      </c>
      <c r="P43" s="64">
        <v>0.91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4" t="s">
        <v>378</v>
      </c>
      <c r="B44" s="64">
        <v>18.77</v>
      </c>
      <c r="C44" s="64">
        <v>17.09</v>
      </c>
      <c r="D44" s="64">
        <v>23.52</v>
      </c>
      <c r="E44" s="64">
        <v>5.51</v>
      </c>
      <c r="F44" s="64">
        <v>3.05</v>
      </c>
      <c r="G44" s="64">
        <v>81.22</v>
      </c>
      <c r="H44" s="64">
        <v>33.33</v>
      </c>
      <c r="I44" s="64">
        <v>3.52</v>
      </c>
      <c r="J44" s="64">
        <v>0.83</v>
      </c>
      <c r="K44" s="64">
        <v>122.18</v>
      </c>
      <c r="L44" s="64">
        <v>21.36</v>
      </c>
      <c r="M44" s="64">
        <v>70.55</v>
      </c>
      <c r="N44" s="64">
        <v>364.1</v>
      </c>
      <c r="O44" s="64">
        <v>0</v>
      </c>
      <c r="P44" s="64">
        <v>0.88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4" t="s">
        <v>379</v>
      </c>
      <c r="B45" s="64">
        <v>18.8</v>
      </c>
      <c r="C45" s="64">
        <v>17.18</v>
      </c>
      <c r="D45" s="64">
        <v>23.6</v>
      </c>
      <c r="E45" s="64">
        <v>5.38</v>
      </c>
      <c r="F45" s="64">
        <v>3.46</v>
      </c>
      <c r="G45" s="64">
        <v>79.7</v>
      </c>
      <c r="H45" s="64">
        <v>32.950000000000003</v>
      </c>
      <c r="I45" s="64">
        <v>3.52</v>
      </c>
      <c r="J45" s="64">
        <v>0.7</v>
      </c>
      <c r="K45" s="64">
        <v>119.2</v>
      </c>
      <c r="L45" s="64">
        <v>21.03</v>
      </c>
      <c r="M45" s="64">
        <v>71.41</v>
      </c>
      <c r="N45" s="64">
        <v>389.7</v>
      </c>
      <c r="O45" s="64">
        <v>0</v>
      </c>
      <c r="P45" s="64">
        <v>0.88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4" t="s">
        <v>380</v>
      </c>
      <c r="B46" s="64">
        <v>18.75</v>
      </c>
      <c r="C46" s="64">
        <v>17.29</v>
      </c>
      <c r="D46" s="64">
        <v>23.6</v>
      </c>
      <c r="E46" s="64">
        <v>5.68</v>
      </c>
      <c r="F46" s="64">
        <v>3.31</v>
      </c>
      <c r="G46" s="64">
        <v>73.180000000000007</v>
      </c>
      <c r="H46" s="64">
        <v>31.82</v>
      </c>
      <c r="I46" s="64">
        <v>3.51</v>
      </c>
      <c r="J46" s="64">
        <v>1.27</v>
      </c>
      <c r="K46" s="64">
        <v>117.46</v>
      </c>
      <c r="L46" s="64">
        <v>21.62</v>
      </c>
      <c r="M46" s="64">
        <v>68.260000000000005</v>
      </c>
      <c r="N46" s="64">
        <v>413.8</v>
      </c>
      <c r="O46" s="64">
        <v>0</v>
      </c>
      <c r="P46" s="64">
        <v>0.89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4" t="s">
        <v>381</v>
      </c>
      <c r="B47" s="64">
        <v>18.32</v>
      </c>
      <c r="C47" s="64">
        <v>17.59</v>
      </c>
      <c r="D47" s="64">
        <v>23.42</v>
      </c>
      <c r="E47" s="64">
        <v>5.39</v>
      </c>
      <c r="F47" s="64">
        <v>3.54</v>
      </c>
      <c r="G47" s="64">
        <v>73.180000000000007</v>
      </c>
      <c r="H47" s="64">
        <v>31.82</v>
      </c>
      <c r="I47" s="64">
        <v>3.49</v>
      </c>
      <c r="J47" s="64">
        <v>1.72</v>
      </c>
      <c r="K47" s="64">
        <v>123.09</v>
      </c>
      <c r="L47" s="64">
        <v>21.48</v>
      </c>
      <c r="M47" s="64">
        <v>68.959999999999994</v>
      </c>
      <c r="N47" s="64">
        <v>442</v>
      </c>
      <c r="O47" s="64">
        <v>0</v>
      </c>
      <c r="P47" s="64">
        <v>0.87</v>
      </c>
      <c r="Q47" s="64">
        <v>9.66</v>
      </c>
      <c r="R47" s="198"/>
      <c r="S47" s="198"/>
      <c r="T47" s="198"/>
      <c r="U47" s="198"/>
    </row>
    <row r="48" spans="1:21" s="12" customFormat="1" x14ac:dyDescent="0.25">
      <c r="A48" s="214" t="s">
        <v>382</v>
      </c>
      <c r="B48" s="64">
        <v>11.45</v>
      </c>
      <c r="C48" s="64">
        <v>29.51</v>
      </c>
      <c r="D48" s="64">
        <v>24.14</v>
      </c>
      <c r="E48" s="64">
        <v>9.3800000000000008</v>
      </c>
      <c r="F48" s="64">
        <v>5.19</v>
      </c>
      <c r="G48" s="64">
        <v>73.180000000000007</v>
      </c>
      <c r="H48" s="64">
        <v>31.82</v>
      </c>
      <c r="I48" s="64">
        <v>3.47</v>
      </c>
      <c r="J48" s="64">
        <v>1.36</v>
      </c>
      <c r="K48" s="64">
        <v>118.36</v>
      </c>
      <c r="L48" s="64">
        <v>22.03</v>
      </c>
      <c r="M48" s="64">
        <v>65.930000000000007</v>
      </c>
      <c r="N48" s="64">
        <v>462.3</v>
      </c>
      <c r="O48" s="64">
        <v>0</v>
      </c>
      <c r="P48" s="64">
        <v>0.77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4" t="s">
        <v>383</v>
      </c>
      <c r="B49" s="64">
        <v>8</v>
      </c>
      <c r="C49" s="64">
        <v>39.67</v>
      </c>
      <c r="D49" s="64">
        <v>26.68</v>
      </c>
      <c r="E49" s="64">
        <v>10.6</v>
      </c>
      <c r="F49" s="64">
        <v>5.08</v>
      </c>
      <c r="G49" s="64">
        <v>73.180000000000007</v>
      </c>
      <c r="H49" s="64">
        <v>31.82</v>
      </c>
      <c r="I49" s="64">
        <v>3.33</v>
      </c>
      <c r="J49" s="64">
        <v>1.2</v>
      </c>
      <c r="K49" s="64">
        <v>122.99</v>
      </c>
      <c r="L49" s="64">
        <v>22.65</v>
      </c>
      <c r="M49" s="64">
        <v>63.19</v>
      </c>
      <c r="N49" s="64">
        <v>480.1</v>
      </c>
      <c r="O49" s="64">
        <v>0</v>
      </c>
      <c r="P49" s="64">
        <v>0.76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4" t="s">
        <v>384</v>
      </c>
      <c r="B50" s="64">
        <v>7.84</v>
      </c>
      <c r="C50" s="64">
        <v>40.520000000000003</v>
      </c>
      <c r="D50" s="64">
        <v>27</v>
      </c>
      <c r="E50" s="64">
        <v>8.4</v>
      </c>
      <c r="F50" s="64">
        <v>4.8099999999999996</v>
      </c>
      <c r="G50" s="64">
        <v>73.180000000000007</v>
      </c>
      <c r="H50" s="64">
        <v>31.82</v>
      </c>
      <c r="I50" s="64">
        <v>2.92</v>
      </c>
      <c r="J50" s="64">
        <v>0.23</v>
      </c>
      <c r="K50" s="64">
        <v>55.69</v>
      </c>
      <c r="L50" s="64">
        <v>24.89</v>
      </c>
      <c r="M50" s="64">
        <v>52.55</v>
      </c>
      <c r="N50" s="64">
        <v>493.9</v>
      </c>
      <c r="O50" s="64">
        <v>0</v>
      </c>
      <c r="P50" s="64">
        <v>0.79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4" t="s">
        <v>385</v>
      </c>
      <c r="B51" s="64">
        <v>7.07</v>
      </c>
      <c r="C51" s="64">
        <v>38.07</v>
      </c>
      <c r="D51" s="64">
        <v>25.1</v>
      </c>
      <c r="E51" s="64">
        <v>7.66</v>
      </c>
      <c r="F51" s="64">
        <v>4.8899999999999997</v>
      </c>
      <c r="G51" s="64">
        <v>73.180000000000007</v>
      </c>
      <c r="H51" s="64">
        <v>31.82</v>
      </c>
      <c r="I51" s="64">
        <v>2.74</v>
      </c>
      <c r="J51" s="64">
        <v>0.69</v>
      </c>
      <c r="K51" s="64">
        <v>107.22</v>
      </c>
      <c r="L51" s="64">
        <v>24.27</v>
      </c>
      <c r="M51" s="64">
        <v>54.58</v>
      </c>
      <c r="N51" s="64">
        <v>508.2</v>
      </c>
      <c r="O51" s="64">
        <v>0</v>
      </c>
      <c r="P51" s="64">
        <v>0.82</v>
      </c>
      <c r="Q51" s="64">
        <v>9.6199999999999992</v>
      </c>
      <c r="R51" s="198"/>
      <c r="S51" s="198"/>
      <c r="T51" s="198"/>
      <c r="U51" s="198"/>
    </row>
    <row r="52" spans="1:21" s="12" customFormat="1" x14ac:dyDescent="0.25">
      <c r="A52" s="214" t="s">
        <v>386</v>
      </c>
      <c r="B52" s="64">
        <v>6.37</v>
      </c>
      <c r="C52" s="64">
        <v>36.340000000000003</v>
      </c>
      <c r="D52" s="64">
        <v>23.63</v>
      </c>
      <c r="E52" s="64">
        <v>8.01</v>
      </c>
      <c r="F52" s="64">
        <v>4.6900000000000004</v>
      </c>
      <c r="G52" s="64">
        <v>73.180000000000007</v>
      </c>
      <c r="H52" s="64">
        <v>31.82</v>
      </c>
      <c r="I52" s="64">
        <v>2.78</v>
      </c>
      <c r="J52" s="64">
        <v>1.29</v>
      </c>
      <c r="K52" s="64">
        <v>116.45</v>
      </c>
      <c r="L52" s="64">
        <v>24.5</v>
      </c>
      <c r="M52" s="64">
        <v>53.21</v>
      </c>
      <c r="N52" s="64">
        <v>508.4</v>
      </c>
      <c r="O52" s="64">
        <v>0</v>
      </c>
      <c r="P52" s="64">
        <v>0.82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4" t="s">
        <v>387</v>
      </c>
      <c r="B53" s="64">
        <v>5.29</v>
      </c>
      <c r="C53" s="64">
        <v>34.369999999999997</v>
      </c>
      <c r="D53" s="64">
        <v>21.74</v>
      </c>
      <c r="E53" s="64">
        <v>7.82</v>
      </c>
      <c r="F53" s="64">
        <v>4.9800000000000004</v>
      </c>
      <c r="G53" s="64">
        <v>0</v>
      </c>
      <c r="H53" s="64">
        <v>0</v>
      </c>
      <c r="I53" s="64">
        <v>2.87</v>
      </c>
      <c r="J53" s="64">
        <v>1.28</v>
      </c>
      <c r="K53" s="64">
        <v>124.48</v>
      </c>
      <c r="L53" s="64">
        <v>23.73</v>
      </c>
      <c r="M53" s="64">
        <v>55.75</v>
      </c>
      <c r="N53" s="64">
        <v>499.3</v>
      </c>
      <c r="O53" s="64">
        <v>0</v>
      </c>
      <c r="P53" s="64">
        <v>0.8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4" t="s">
        <v>388</v>
      </c>
      <c r="B54" s="64">
        <v>4.1100000000000003</v>
      </c>
      <c r="C54" s="64">
        <v>35.159999999999997</v>
      </c>
      <c r="D54" s="64">
        <v>21.21</v>
      </c>
      <c r="E54" s="64">
        <v>7.31</v>
      </c>
      <c r="F54" s="64">
        <v>4.53</v>
      </c>
      <c r="G54" s="64">
        <v>0</v>
      </c>
      <c r="H54" s="64">
        <v>0</v>
      </c>
      <c r="I54" s="64">
        <v>2.89</v>
      </c>
      <c r="J54" s="64">
        <v>1.58</v>
      </c>
      <c r="K54" s="64">
        <v>127.35</v>
      </c>
      <c r="L54" s="64">
        <v>24.06</v>
      </c>
      <c r="M54" s="64">
        <v>54.7</v>
      </c>
      <c r="N54" s="64">
        <v>499</v>
      </c>
      <c r="O54" s="64">
        <v>0</v>
      </c>
      <c r="P54" s="64">
        <v>0.79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4" t="s">
        <v>389</v>
      </c>
      <c r="B55" s="64">
        <v>3.65</v>
      </c>
      <c r="C55" s="64">
        <v>33.32</v>
      </c>
      <c r="D55" s="64">
        <v>19.88</v>
      </c>
      <c r="E55" s="64">
        <v>7.12</v>
      </c>
      <c r="F55" s="64">
        <v>4.49</v>
      </c>
      <c r="G55" s="64">
        <v>0</v>
      </c>
      <c r="H55" s="64">
        <v>0</v>
      </c>
      <c r="I55" s="64">
        <v>2.83</v>
      </c>
      <c r="J55" s="64">
        <v>1.07</v>
      </c>
      <c r="K55" s="64">
        <v>120.23</v>
      </c>
      <c r="L55" s="64">
        <v>24.04</v>
      </c>
      <c r="M55" s="64">
        <v>54.23</v>
      </c>
      <c r="N55" s="64">
        <v>495.6</v>
      </c>
      <c r="O55" s="64">
        <v>0</v>
      </c>
      <c r="P55" s="64">
        <v>0.76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4" t="s">
        <v>390</v>
      </c>
      <c r="B56" s="64">
        <v>4.37</v>
      </c>
      <c r="C56" s="64">
        <v>31.92</v>
      </c>
      <c r="D56" s="64">
        <v>19.72</v>
      </c>
      <c r="E56" s="64">
        <v>9.84</v>
      </c>
      <c r="F56" s="64">
        <v>6.78</v>
      </c>
      <c r="G56" s="64">
        <v>0</v>
      </c>
      <c r="H56" s="64">
        <v>0</v>
      </c>
      <c r="I56" s="64">
        <v>2.78</v>
      </c>
      <c r="J56" s="64">
        <v>0.39</v>
      </c>
      <c r="K56" s="64">
        <v>358.93</v>
      </c>
      <c r="L56" s="64">
        <v>26.02</v>
      </c>
      <c r="M56" s="64">
        <v>44.18</v>
      </c>
      <c r="N56" s="64">
        <v>464.9</v>
      </c>
      <c r="O56" s="64">
        <v>0</v>
      </c>
      <c r="P56" s="64">
        <v>0.76</v>
      </c>
      <c r="Q56" s="64">
        <v>9.6300000000000008</v>
      </c>
      <c r="R56" s="198"/>
      <c r="S56" s="198"/>
      <c r="T56" s="198"/>
      <c r="U56" s="198"/>
    </row>
    <row r="57" spans="1:21" s="12" customFormat="1" x14ac:dyDescent="0.25">
      <c r="A57" s="214" t="s">
        <v>391</v>
      </c>
      <c r="B57" s="64">
        <v>4.05</v>
      </c>
      <c r="C57" s="64">
        <v>33.53</v>
      </c>
      <c r="D57" s="64">
        <v>20.309999999999999</v>
      </c>
      <c r="E57" s="64">
        <v>7.26</v>
      </c>
      <c r="F57" s="64">
        <v>4.75</v>
      </c>
      <c r="G57" s="64">
        <v>14.11</v>
      </c>
      <c r="H57" s="64">
        <v>2.74</v>
      </c>
      <c r="I57" s="64">
        <v>2.78</v>
      </c>
      <c r="J57" s="64">
        <v>1.06</v>
      </c>
      <c r="K57" s="64">
        <v>127.54</v>
      </c>
      <c r="L57" s="64">
        <v>25.39</v>
      </c>
      <c r="M57" s="64">
        <v>46.16</v>
      </c>
      <c r="N57" s="64">
        <v>487</v>
      </c>
      <c r="O57" s="64">
        <v>0</v>
      </c>
      <c r="P57" s="64">
        <v>0.75</v>
      </c>
      <c r="Q57" s="64">
        <v>9.64</v>
      </c>
      <c r="R57" s="198"/>
      <c r="S57" s="198"/>
      <c r="T57" s="198"/>
      <c r="U57" s="198"/>
    </row>
    <row r="58" spans="1:21" s="12" customFormat="1" x14ac:dyDescent="0.25">
      <c r="A58" s="214" t="s">
        <v>392</v>
      </c>
      <c r="B58" s="64">
        <v>4.18</v>
      </c>
      <c r="C58" s="64">
        <v>31.66</v>
      </c>
      <c r="D58" s="64">
        <v>19.43</v>
      </c>
      <c r="E58" s="64">
        <v>7.61</v>
      </c>
      <c r="F58" s="64">
        <v>4.04</v>
      </c>
      <c r="G58" s="64">
        <v>84.66</v>
      </c>
      <c r="H58" s="64">
        <v>12.24</v>
      </c>
      <c r="I58" s="64">
        <v>2.78</v>
      </c>
      <c r="J58" s="64">
        <v>0.46</v>
      </c>
      <c r="K58" s="64">
        <v>107.58</v>
      </c>
      <c r="L58" s="64">
        <v>25.52</v>
      </c>
      <c r="M58" s="64">
        <v>46.38</v>
      </c>
      <c r="N58" s="64">
        <v>455.2</v>
      </c>
      <c r="O58" s="64">
        <v>0</v>
      </c>
      <c r="P58" s="64">
        <v>0.73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4" t="s">
        <v>393</v>
      </c>
      <c r="B59" s="64">
        <v>5.41</v>
      </c>
      <c r="C59" s="64">
        <v>30.36</v>
      </c>
      <c r="D59" s="64">
        <v>19.739999999999998</v>
      </c>
      <c r="E59" s="64">
        <v>8.6199999999999992</v>
      </c>
      <c r="F59" s="64">
        <v>4.4400000000000004</v>
      </c>
      <c r="G59" s="64">
        <v>84.66</v>
      </c>
      <c r="H59" s="64">
        <v>12.24</v>
      </c>
      <c r="I59" s="64">
        <v>2.8</v>
      </c>
      <c r="J59" s="64">
        <v>0.8</v>
      </c>
      <c r="K59" s="64">
        <v>348.2</v>
      </c>
      <c r="L59" s="64">
        <v>27.23</v>
      </c>
      <c r="M59" s="64">
        <v>38.130000000000003</v>
      </c>
      <c r="N59" s="64">
        <v>429.5</v>
      </c>
      <c r="O59" s="64">
        <v>0</v>
      </c>
      <c r="P59" s="64">
        <v>0.74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4" t="s">
        <v>394</v>
      </c>
      <c r="B60" s="64">
        <v>5.31</v>
      </c>
      <c r="C60" s="64">
        <v>29.72</v>
      </c>
      <c r="D60" s="64">
        <v>19.32</v>
      </c>
      <c r="E60" s="64">
        <v>9.73</v>
      </c>
      <c r="F60" s="64">
        <v>4.4400000000000004</v>
      </c>
      <c r="G60" s="64">
        <v>84.66</v>
      </c>
      <c r="H60" s="64">
        <v>12.24</v>
      </c>
      <c r="I60" s="64">
        <v>2.81</v>
      </c>
      <c r="J60" s="64">
        <v>1.54</v>
      </c>
      <c r="K60" s="64">
        <v>122.35</v>
      </c>
      <c r="L60" s="64">
        <v>25.28</v>
      </c>
      <c r="M60" s="64">
        <v>44.09</v>
      </c>
      <c r="N60" s="64">
        <v>420.9</v>
      </c>
      <c r="O60" s="64">
        <v>0</v>
      </c>
      <c r="P60" s="64">
        <v>0.73</v>
      </c>
      <c r="Q60" s="64">
        <v>9.6300000000000008</v>
      </c>
      <c r="R60" s="198"/>
      <c r="S60" s="198"/>
      <c r="T60" s="198"/>
      <c r="U60" s="198"/>
    </row>
    <row r="61" spans="1:21" s="12" customFormat="1" x14ac:dyDescent="0.25">
      <c r="A61" s="214" t="s">
        <v>395</v>
      </c>
      <c r="B61" s="64">
        <v>4.7699999999999996</v>
      </c>
      <c r="C61" s="64">
        <v>31.01</v>
      </c>
      <c r="D61" s="64">
        <v>19.57</v>
      </c>
      <c r="E61" s="64">
        <v>10.83</v>
      </c>
      <c r="F61" s="64">
        <v>5.63</v>
      </c>
      <c r="G61" s="64">
        <v>82.98</v>
      </c>
      <c r="H61" s="64">
        <v>13.85</v>
      </c>
      <c r="I61" s="64">
        <v>2.81</v>
      </c>
      <c r="J61" s="64">
        <v>0.4</v>
      </c>
      <c r="K61" s="64">
        <v>32.94</v>
      </c>
      <c r="L61" s="64">
        <v>25.72</v>
      </c>
      <c r="M61" s="64">
        <v>40.76</v>
      </c>
      <c r="N61" s="64">
        <v>371.2</v>
      </c>
      <c r="O61" s="64">
        <v>0</v>
      </c>
      <c r="P61" s="64">
        <v>0.77</v>
      </c>
      <c r="Q61" s="64">
        <v>9.6199999999999992</v>
      </c>
      <c r="R61" s="198"/>
      <c r="S61" s="198"/>
      <c r="T61" s="198"/>
      <c r="U61" s="198"/>
    </row>
    <row r="62" spans="1:21" s="12" customFormat="1" x14ac:dyDescent="0.25">
      <c r="A62" s="214" t="s">
        <v>396</v>
      </c>
      <c r="B62" s="64">
        <v>4.32</v>
      </c>
      <c r="C62" s="64">
        <v>29.74</v>
      </c>
      <c r="D62" s="64">
        <v>18.54</v>
      </c>
      <c r="E62" s="64">
        <v>11.42</v>
      </c>
      <c r="F62" s="64">
        <v>6.64</v>
      </c>
      <c r="G62" s="64">
        <v>74.599999999999994</v>
      </c>
      <c r="H62" s="64">
        <v>19.43</v>
      </c>
      <c r="I62" s="64">
        <v>2.75</v>
      </c>
      <c r="J62" s="64">
        <v>1.47</v>
      </c>
      <c r="K62" s="64">
        <v>121.99</v>
      </c>
      <c r="L62" s="64">
        <v>24.77</v>
      </c>
      <c r="M62" s="64">
        <v>44.01</v>
      </c>
      <c r="N62" s="64">
        <v>369.5</v>
      </c>
      <c r="O62" s="64">
        <v>0</v>
      </c>
      <c r="P62" s="64">
        <v>0.77</v>
      </c>
      <c r="Q62" s="64">
        <v>9.61</v>
      </c>
      <c r="R62" s="198"/>
      <c r="S62" s="198"/>
      <c r="T62" s="198"/>
      <c r="U62" s="198"/>
    </row>
    <row r="63" spans="1:21" s="12" customFormat="1" x14ac:dyDescent="0.25">
      <c r="A63" s="214" t="s">
        <v>397</v>
      </c>
      <c r="B63" s="64">
        <v>4.6100000000000003</v>
      </c>
      <c r="C63" s="64">
        <v>30.87</v>
      </c>
      <c r="D63" s="64">
        <v>19.37</v>
      </c>
      <c r="E63" s="64">
        <v>9.67</v>
      </c>
      <c r="F63" s="64">
        <v>4.1399999999999997</v>
      </c>
      <c r="G63" s="64">
        <v>74.599999999999994</v>
      </c>
      <c r="H63" s="64">
        <v>19.43</v>
      </c>
      <c r="I63" s="64">
        <v>2.72</v>
      </c>
      <c r="J63" s="64">
        <v>1.1599999999999999</v>
      </c>
      <c r="K63" s="64">
        <v>118.25</v>
      </c>
      <c r="L63" s="64">
        <v>24.57</v>
      </c>
      <c r="M63" s="64">
        <v>44.74</v>
      </c>
      <c r="N63" s="64">
        <v>331.1</v>
      </c>
      <c r="O63" s="64">
        <v>0</v>
      </c>
      <c r="P63" s="64">
        <v>0.78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4" t="s">
        <v>398</v>
      </c>
      <c r="B64" s="64">
        <v>5.62</v>
      </c>
      <c r="C64" s="64">
        <v>33.630000000000003</v>
      </c>
      <c r="D64" s="64">
        <v>21.62</v>
      </c>
      <c r="E64" s="64">
        <v>13.38</v>
      </c>
      <c r="F64" s="64">
        <v>7.14</v>
      </c>
      <c r="G64" s="64">
        <v>74.599999999999994</v>
      </c>
      <c r="H64" s="64">
        <v>19.43</v>
      </c>
      <c r="I64" s="64">
        <v>2.66</v>
      </c>
      <c r="J64" s="64">
        <v>0.28000000000000003</v>
      </c>
      <c r="K64" s="64">
        <v>112.46</v>
      </c>
      <c r="L64" s="64">
        <v>25.09</v>
      </c>
      <c r="M64" s="64">
        <v>43.61</v>
      </c>
      <c r="N64" s="64">
        <v>253.8</v>
      </c>
      <c r="O64" s="64">
        <v>0</v>
      </c>
      <c r="P64" s="64">
        <v>0.8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4" t="s">
        <v>399</v>
      </c>
      <c r="B65" s="64">
        <v>4.3600000000000003</v>
      </c>
      <c r="C65" s="64">
        <v>34.549999999999997</v>
      </c>
      <c r="D65" s="64">
        <v>21.09</v>
      </c>
      <c r="E65" s="64">
        <v>11.59</v>
      </c>
      <c r="F65" s="64">
        <v>6.79</v>
      </c>
      <c r="G65" s="64">
        <v>71.52</v>
      </c>
      <c r="H65" s="64">
        <v>18.95</v>
      </c>
      <c r="I65" s="64">
        <v>2.62</v>
      </c>
      <c r="J65" s="64">
        <v>1.3</v>
      </c>
      <c r="K65" s="64">
        <v>115.17</v>
      </c>
      <c r="L65" s="64">
        <v>24.77</v>
      </c>
      <c r="M65" s="64">
        <v>42.84</v>
      </c>
      <c r="N65" s="64">
        <v>153.80000000000001</v>
      </c>
      <c r="O65" s="64">
        <v>0</v>
      </c>
      <c r="P65" s="64">
        <v>0.76</v>
      </c>
      <c r="Q65" s="64">
        <v>9.6300000000000008</v>
      </c>
      <c r="R65" s="198"/>
      <c r="S65" s="198"/>
      <c r="T65" s="198"/>
      <c r="U65" s="198"/>
    </row>
    <row r="66" spans="1:21" s="12" customFormat="1" x14ac:dyDescent="0.25">
      <c r="A66" s="214" t="s">
        <v>400</v>
      </c>
      <c r="B66" s="64">
        <v>3.95</v>
      </c>
      <c r="C66" s="64">
        <v>32.99</v>
      </c>
      <c r="D66" s="64">
        <v>19.940000000000001</v>
      </c>
      <c r="E66" s="64">
        <v>15.36</v>
      </c>
      <c r="F66" s="64">
        <v>8.26</v>
      </c>
      <c r="G66" s="64">
        <v>56.13</v>
      </c>
      <c r="H66" s="64">
        <v>17.170000000000002</v>
      </c>
      <c r="I66" s="64">
        <v>2.57</v>
      </c>
      <c r="J66" s="64">
        <v>1.21</v>
      </c>
      <c r="K66" s="64">
        <v>119.7</v>
      </c>
      <c r="L66" s="64">
        <v>24.35</v>
      </c>
      <c r="M66" s="64">
        <v>44.05</v>
      </c>
      <c r="N66" s="64">
        <v>149.5</v>
      </c>
      <c r="O66" s="64">
        <v>0</v>
      </c>
      <c r="P66" s="64">
        <v>0.72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4" t="s">
        <v>401</v>
      </c>
      <c r="B67" s="64">
        <v>3.82</v>
      </c>
      <c r="C67" s="64">
        <v>30.5</v>
      </c>
      <c r="D67" s="64">
        <v>18.54</v>
      </c>
      <c r="E67" s="64">
        <v>16.190000000000001</v>
      </c>
      <c r="F67" s="64">
        <v>11.09</v>
      </c>
      <c r="G67" s="64">
        <v>56.13</v>
      </c>
      <c r="H67" s="64">
        <v>17.170000000000002</v>
      </c>
      <c r="I67" s="64">
        <v>2.5299999999999998</v>
      </c>
      <c r="J67" s="64">
        <v>1</v>
      </c>
      <c r="K67" s="64">
        <v>120.82</v>
      </c>
      <c r="L67" s="64">
        <v>24.4</v>
      </c>
      <c r="M67" s="64">
        <v>43.81</v>
      </c>
      <c r="N67" s="64">
        <v>123.5</v>
      </c>
      <c r="O67" s="64">
        <v>0</v>
      </c>
      <c r="P67" s="64">
        <v>0.71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14" t="s">
        <v>402</v>
      </c>
      <c r="B68" s="64">
        <v>5.13</v>
      </c>
      <c r="C68" s="64">
        <v>30.81</v>
      </c>
      <c r="D68" s="64">
        <v>19.75</v>
      </c>
      <c r="E68" s="64">
        <v>20.85</v>
      </c>
      <c r="F68" s="64">
        <v>14.41</v>
      </c>
      <c r="G68" s="64">
        <v>56.13</v>
      </c>
      <c r="H68" s="64">
        <v>17.170000000000002</v>
      </c>
      <c r="I68" s="64">
        <v>2.48</v>
      </c>
      <c r="J68" s="64">
        <v>0.41</v>
      </c>
      <c r="K68" s="64">
        <v>103.65</v>
      </c>
      <c r="L68" s="64">
        <v>24.52</v>
      </c>
      <c r="M68" s="64">
        <v>43.57</v>
      </c>
      <c r="N68" s="64">
        <v>110.3</v>
      </c>
      <c r="O68" s="64">
        <v>0</v>
      </c>
      <c r="P68" s="64">
        <v>0.72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4" t="s">
        <v>403</v>
      </c>
      <c r="B69" s="64">
        <v>3.48</v>
      </c>
      <c r="C69" s="64">
        <v>29.02</v>
      </c>
      <c r="D69" s="64">
        <v>17.489999999999998</v>
      </c>
      <c r="E69" s="64">
        <v>23.18</v>
      </c>
      <c r="F69" s="64">
        <v>13.23</v>
      </c>
      <c r="G69" s="64">
        <v>57.81</v>
      </c>
      <c r="H69" s="64">
        <v>18.3</v>
      </c>
      <c r="I69" s="64">
        <v>2.41</v>
      </c>
      <c r="J69" s="64">
        <v>0.44</v>
      </c>
      <c r="K69" s="64">
        <v>113.98</v>
      </c>
      <c r="L69" s="64">
        <v>24.49</v>
      </c>
      <c r="M69" s="64">
        <v>43.17</v>
      </c>
      <c r="N69" s="64">
        <v>92.3</v>
      </c>
      <c r="O69" s="64">
        <v>0</v>
      </c>
      <c r="P69" s="64">
        <v>0.77</v>
      </c>
      <c r="Q69" s="64">
        <v>9.61</v>
      </c>
      <c r="R69" s="198"/>
      <c r="S69" s="198"/>
      <c r="T69" s="198"/>
      <c r="U69" s="198"/>
    </row>
    <row r="70" spans="1:21" s="12" customFormat="1" x14ac:dyDescent="0.25">
      <c r="A70" s="214" t="s">
        <v>404</v>
      </c>
      <c r="B70" s="64">
        <v>3.52</v>
      </c>
      <c r="C70" s="64">
        <v>33.24</v>
      </c>
      <c r="D70" s="64">
        <v>19.72</v>
      </c>
      <c r="E70" s="64">
        <v>12.09</v>
      </c>
      <c r="F70" s="64">
        <v>8.64</v>
      </c>
      <c r="G70" s="64">
        <v>66.2</v>
      </c>
      <c r="H70" s="64">
        <v>23.64</v>
      </c>
      <c r="I70" s="64">
        <v>2.35</v>
      </c>
      <c r="J70" s="64">
        <v>0.48</v>
      </c>
      <c r="K70" s="64">
        <v>121.01</v>
      </c>
      <c r="L70" s="64">
        <v>24.22</v>
      </c>
      <c r="M70" s="64">
        <v>43.08</v>
      </c>
      <c r="N70" s="64">
        <v>90.7</v>
      </c>
      <c r="O70" s="64">
        <v>0</v>
      </c>
      <c r="P70" s="64">
        <v>0.76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4" t="s">
        <v>405</v>
      </c>
      <c r="B71" s="64">
        <v>3.16</v>
      </c>
      <c r="C71" s="64">
        <v>30.65</v>
      </c>
      <c r="D71" s="64">
        <v>18.09</v>
      </c>
      <c r="E71" s="64">
        <v>16.78</v>
      </c>
      <c r="F71" s="64">
        <v>13.52</v>
      </c>
      <c r="G71" s="64">
        <v>66.2</v>
      </c>
      <c r="H71" s="64">
        <v>23.64</v>
      </c>
      <c r="I71" s="64">
        <v>2.31</v>
      </c>
      <c r="J71" s="64">
        <v>0.92</v>
      </c>
      <c r="K71" s="64">
        <v>116.39</v>
      </c>
      <c r="L71" s="64">
        <v>24.11</v>
      </c>
      <c r="M71" s="64">
        <v>43.97</v>
      </c>
      <c r="N71" s="64">
        <v>80.900000000000006</v>
      </c>
      <c r="O71" s="64">
        <v>0</v>
      </c>
      <c r="P71" s="64">
        <v>0.72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406</v>
      </c>
      <c r="B72" s="64">
        <v>4.8899999999999997</v>
      </c>
      <c r="C72" s="64">
        <v>38.200000000000003</v>
      </c>
      <c r="D72" s="64">
        <v>25.19</v>
      </c>
      <c r="E72" s="64">
        <v>27.09</v>
      </c>
      <c r="F72" s="64">
        <v>20.07</v>
      </c>
      <c r="G72" s="64">
        <v>66.2</v>
      </c>
      <c r="H72" s="64">
        <v>23.64</v>
      </c>
      <c r="I72" s="64">
        <v>2.3199999999999998</v>
      </c>
      <c r="J72" s="64">
        <v>0.7</v>
      </c>
      <c r="K72" s="64">
        <v>115.71</v>
      </c>
      <c r="L72" s="64">
        <v>23.9</v>
      </c>
      <c r="M72" s="64">
        <v>43.63</v>
      </c>
      <c r="N72" s="64">
        <v>69.8</v>
      </c>
      <c r="O72" s="64">
        <v>0</v>
      </c>
      <c r="P72" s="64">
        <v>0.84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4" t="s">
        <v>407</v>
      </c>
      <c r="B73" s="64">
        <v>2.86</v>
      </c>
      <c r="C73" s="64">
        <v>40.479999999999997</v>
      </c>
      <c r="D73" s="64">
        <v>22.98</v>
      </c>
      <c r="E73" s="64">
        <v>26.24</v>
      </c>
      <c r="F73" s="64">
        <v>21.47</v>
      </c>
      <c r="G73" s="64">
        <v>62.42</v>
      </c>
      <c r="H73" s="64">
        <v>23</v>
      </c>
      <c r="I73" s="64">
        <v>2.35</v>
      </c>
      <c r="J73" s="64">
        <v>0.39</v>
      </c>
      <c r="K73" s="64">
        <v>97.87</v>
      </c>
      <c r="L73" s="64">
        <v>23.78</v>
      </c>
      <c r="M73" s="64">
        <v>44.32</v>
      </c>
      <c r="N73" s="64">
        <v>63.7</v>
      </c>
      <c r="O73" s="64">
        <v>0</v>
      </c>
      <c r="P73" s="64">
        <v>0.85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4" t="s">
        <v>408</v>
      </c>
      <c r="B74" s="64">
        <v>3.2</v>
      </c>
      <c r="C74" s="64">
        <v>43.45</v>
      </c>
      <c r="D74" s="64">
        <v>24.81</v>
      </c>
      <c r="E74" s="64">
        <v>25.39</v>
      </c>
      <c r="F74" s="64">
        <v>14.2</v>
      </c>
      <c r="G74" s="64">
        <v>43.52</v>
      </c>
      <c r="H74" s="64">
        <v>20.6</v>
      </c>
      <c r="I74" s="64">
        <v>2.12</v>
      </c>
      <c r="J74" s="64">
        <v>0.1</v>
      </c>
      <c r="K74" s="64">
        <v>280.29000000000002</v>
      </c>
      <c r="L74" s="64">
        <v>23.54</v>
      </c>
      <c r="M74" s="64">
        <v>46.22</v>
      </c>
      <c r="N74" s="64">
        <v>55.2</v>
      </c>
      <c r="O74" s="64">
        <v>0</v>
      </c>
      <c r="P74" s="64">
        <v>0.94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4" t="s">
        <v>409</v>
      </c>
      <c r="B75" s="64">
        <v>3.21</v>
      </c>
      <c r="C75" s="64">
        <v>46.07</v>
      </c>
      <c r="D75" s="64">
        <v>26.18</v>
      </c>
      <c r="E75" s="64">
        <v>24.42</v>
      </c>
      <c r="F75" s="64">
        <v>15.03</v>
      </c>
      <c r="G75" s="64">
        <v>43.52</v>
      </c>
      <c r="H75" s="64">
        <v>20.6</v>
      </c>
      <c r="I75" s="64">
        <v>2.08</v>
      </c>
      <c r="J75" s="64">
        <v>0.28999999999999998</v>
      </c>
      <c r="K75" s="64">
        <v>99.79</v>
      </c>
      <c r="L75" s="64">
        <v>23.21</v>
      </c>
      <c r="M75" s="64">
        <v>46.53</v>
      </c>
      <c r="N75" s="64">
        <v>48</v>
      </c>
      <c r="O75" s="64">
        <v>0</v>
      </c>
      <c r="P75" s="64">
        <v>0.99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4" t="s">
        <v>410</v>
      </c>
      <c r="B76" s="64">
        <v>2.85</v>
      </c>
      <c r="C76" s="64">
        <v>39.590000000000003</v>
      </c>
      <c r="D76" s="64">
        <v>22.51</v>
      </c>
      <c r="E76" s="64">
        <v>21.85</v>
      </c>
      <c r="F76" s="64">
        <v>14.57</v>
      </c>
      <c r="G76" s="64">
        <v>43.52</v>
      </c>
      <c r="H76" s="64">
        <v>20.6</v>
      </c>
      <c r="I76" s="64">
        <v>2.15</v>
      </c>
      <c r="J76" s="64">
        <v>0.39</v>
      </c>
      <c r="K76" s="64">
        <v>98.12</v>
      </c>
      <c r="L76" s="64">
        <v>22.85</v>
      </c>
      <c r="M76" s="64">
        <v>47.88</v>
      </c>
      <c r="N76" s="64">
        <v>39</v>
      </c>
      <c r="O76" s="64">
        <v>0</v>
      </c>
      <c r="P76" s="64">
        <v>1.01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4" t="s">
        <v>411</v>
      </c>
      <c r="B77" s="64">
        <v>5.99</v>
      </c>
      <c r="C77" s="64">
        <v>48.98</v>
      </c>
      <c r="D77" s="64">
        <v>29.93</v>
      </c>
      <c r="E77" s="64">
        <v>21.37</v>
      </c>
      <c r="F77" s="64">
        <v>9.24</v>
      </c>
      <c r="G77" s="64">
        <v>47.39</v>
      </c>
      <c r="H77" s="64">
        <v>21.41</v>
      </c>
      <c r="I77" s="64">
        <v>2.2000000000000002</v>
      </c>
      <c r="J77" s="64">
        <v>0.41</v>
      </c>
      <c r="K77" s="64">
        <v>86.85</v>
      </c>
      <c r="L77" s="64">
        <v>22.31</v>
      </c>
      <c r="M77" s="64">
        <v>50.98</v>
      </c>
      <c r="N77" s="64">
        <v>34</v>
      </c>
      <c r="O77" s="64">
        <v>0</v>
      </c>
      <c r="P77" s="64">
        <v>1.23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4" t="s">
        <v>412</v>
      </c>
      <c r="B78" s="64">
        <v>18.62</v>
      </c>
      <c r="C78" s="64">
        <v>41.83</v>
      </c>
      <c r="D78" s="64">
        <v>36.33</v>
      </c>
      <c r="E78" s="64">
        <v>16.32</v>
      </c>
      <c r="F78" s="64">
        <v>6.66</v>
      </c>
      <c r="G78" s="64">
        <v>66.75</v>
      </c>
      <c r="H78" s="64">
        <v>24.28</v>
      </c>
      <c r="I78" s="64">
        <v>2.2599999999999998</v>
      </c>
      <c r="J78" s="64">
        <v>0.15</v>
      </c>
      <c r="K78" s="64">
        <v>23.5</v>
      </c>
      <c r="L78" s="64">
        <v>21.8</v>
      </c>
      <c r="M78" s="64">
        <v>55.85</v>
      </c>
      <c r="N78" s="64">
        <v>32.6</v>
      </c>
      <c r="O78" s="64">
        <v>0</v>
      </c>
      <c r="P78" s="64">
        <v>1.52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4" t="s">
        <v>413</v>
      </c>
      <c r="B79" s="64">
        <v>7.14</v>
      </c>
      <c r="C79" s="64">
        <v>35.409999999999997</v>
      </c>
      <c r="D79" s="64">
        <v>23.77</v>
      </c>
      <c r="E79" s="64">
        <v>10.72</v>
      </c>
      <c r="F79" s="64">
        <v>3.62</v>
      </c>
      <c r="G79" s="64">
        <v>66.75</v>
      </c>
      <c r="H79" s="64">
        <v>24.28</v>
      </c>
      <c r="I79" s="64">
        <v>2.3199999999999998</v>
      </c>
      <c r="J79" s="64">
        <v>0.3</v>
      </c>
      <c r="K79" s="64">
        <v>330.39</v>
      </c>
      <c r="L79" s="64">
        <v>21.15</v>
      </c>
      <c r="M79" s="64">
        <v>60.85</v>
      </c>
      <c r="N79" s="64">
        <v>32.200000000000003</v>
      </c>
      <c r="O79" s="64">
        <v>0</v>
      </c>
      <c r="P79" s="64">
        <v>1.05</v>
      </c>
      <c r="Q79" s="64">
        <v>9.65</v>
      </c>
      <c r="R79" s="198"/>
      <c r="S79" s="198"/>
      <c r="T79" s="198"/>
      <c r="U79" s="198"/>
    </row>
    <row r="80" spans="1:21" s="12" customFormat="1" x14ac:dyDescent="0.25">
      <c r="A80" s="214" t="s">
        <v>414</v>
      </c>
      <c r="B80" s="64">
        <v>11.56</v>
      </c>
      <c r="C80" s="64">
        <v>33.799999999999997</v>
      </c>
      <c r="D80" s="64">
        <v>26.44</v>
      </c>
      <c r="E80" s="64">
        <v>7.23</v>
      </c>
      <c r="F80" s="64">
        <v>3.34</v>
      </c>
      <c r="G80" s="64">
        <v>66.75</v>
      </c>
      <c r="H80" s="64">
        <v>24.28</v>
      </c>
      <c r="I80" s="64">
        <v>2.46</v>
      </c>
      <c r="J80" s="64">
        <v>0.43</v>
      </c>
      <c r="K80" s="64">
        <v>345.65</v>
      </c>
      <c r="L80" s="64">
        <v>20.54</v>
      </c>
      <c r="M80" s="64">
        <v>69.569999999999993</v>
      </c>
      <c r="N80" s="64">
        <v>32.200000000000003</v>
      </c>
      <c r="O80" s="64">
        <v>0</v>
      </c>
      <c r="P80" s="64">
        <v>1.1100000000000001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4" t="s">
        <v>415</v>
      </c>
      <c r="B81" s="64">
        <v>13.6</v>
      </c>
      <c r="C81" s="64">
        <v>28.82</v>
      </c>
      <c r="D81" s="64">
        <v>25.5</v>
      </c>
      <c r="E81" s="64">
        <v>6.91</v>
      </c>
      <c r="F81" s="64">
        <v>3.49</v>
      </c>
      <c r="G81" s="64">
        <v>72.31</v>
      </c>
      <c r="H81" s="64">
        <v>26.68</v>
      </c>
      <c r="I81" s="64">
        <v>2.6</v>
      </c>
      <c r="J81" s="64">
        <v>0.37</v>
      </c>
      <c r="K81" s="64">
        <v>334.78</v>
      </c>
      <c r="L81" s="64">
        <v>20.059999999999999</v>
      </c>
      <c r="M81" s="64">
        <v>74.75</v>
      </c>
      <c r="N81" s="64">
        <v>32</v>
      </c>
      <c r="O81" s="64">
        <v>0</v>
      </c>
      <c r="P81" s="64">
        <v>1.1499999999999999</v>
      </c>
      <c r="Q81" s="64">
        <v>9.64</v>
      </c>
      <c r="R81" s="198"/>
      <c r="S81" s="198"/>
      <c r="T81" s="198"/>
      <c r="U81" s="198"/>
    </row>
    <row r="82" spans="1:26" s="12" customFormat="1" x14ac:dyDescent="0.25">
      <c r="A82" s="214" t="s">
        <v>416</v>
      </c>
      <c r="B82" s="64">
        <v>17.579999999999998</v>
      </c>
      <c r="C82" s="64">
        <v>27.9</v>
      </c>
      <c r="D82" s="64">
        <v>28.21</v>
      </c>
      <c r="E82" s="64">
        <v>6.42</v>
      </c>
      <c r="F82" s="64">
        <v>3.32</v>
      </c>
      <c r="G82" s="64">
        <v>100.12</v>
      </c>
      <c r="H82" s="64">
        <v>35.200000000000003</v>
      </c>
      <c r="I82" s="64">
        <v>2.9</v>
      </c>
      <c r="J82" s="64">
        <v>0.34</v>
      </c>
      <c r="K82" s="64">
        <v>332.66</v>
      </c>
      <c r="L82" s="64">
        <v>19.79</v>
      </c>
      <c r="M82" s="64">
        <v>76.36</v>
      </c>
      <c r="N82" s="64">
        <v>32.1</v>
      </c>
      <c r="O82" s="64">
        <v>0</v>
      </c>
      <c r="P82" s="64">
        <v>1.26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4" t="s">
        <v>417</v>
      </c>
      <c r="B83" s="64">
        <v>18.010000000000002</v>
      </c>
      <c r="C83" s="64">
        <v>26.57</v>
      </c>
      <c r="D83" s="64">
        <v>27.86</v>
      </c>
      <c r="E83" s="64">
        <v>6.1</v>
      </c>
      <c r="F83" s="64">
        <v>2.99</v>
      </c>
      <c r="G83" s="64">
        <v>100.12</v>
      </c>
      <c r="H83" s="64">
        <v>35.200000000000003</v>
      </c>
      <c r="I83" s="64">
        <v>3.52</v>
      </c>
      <c r="J83" s="64">
        <v>0.32</v>
      </c>
      <c r="K83" s="64">
        <v>311.08999999999997</v>
      </c>
      <c r="L83" s="64">
        <v>19.37</v>
      </c>
      <c r="M83" s="64">
        <v>78.87</v>
      </c>
      <c r="N83" s="64">
        <v>32.1</v>
      </c>
      <c r="O83" s="64">
        <v>0</v>
      </c>
      <c r="P83" s="64">
        <v>1.33</v>
      </c>
      <c r="Q83" s="64">
        <v>9.65</v>
      </c>
      <c r="R83" s="198"/>
      <c r="S83" s="198"/>
      <c r="T83" s="198"/>
      <c r="U83" s="198"/>
    </row>
    <row r="84" spans="1:26" s="12" customFormat="1" x14ac:dyDescent="0.25">
      <c r="A84" s="214" t="s">
        <v>418</v>
      </c>
      <c r="B84" s="64">
        <v>20.97</v>
      </c>
      <c r="C84" s="64">
        <v>24.77</v>
      </c>
      <c r="D84" s="64">
        <v>29.3</v>
      </c>
      <c r="E84" s="64">
        <v>6.08</v>
      </c>
      <c r="F84" s="64">
        <v>2.87</v>
      </c>
      <c r="G84" s="64">
        <v>100.12</v>
      </c>
      <c r="H84" s="64">
        <v>35.200000000000003</v>
      </c>
      <c r="I84" s="64">
        <v>3.95</v>
      </c>
      <c r="J84" s="64">
        <v>0.26</v>
      </c>
      <c r="K84" s="64">
        <v>149.46</v>
      </c>
      <c r="L84" s="64">
        <v>19.079999999999998</v>
      </c>
      <c r="M84" s="64">
        <v>83.41</v>
      </c>
      <c r="N84" s="64">
        <v>32</v>
      </c>
      <c r="O84" s="64">
        <v>0</v>
      </c>
      <c r="P84" s="64">
        <v>1.45</v>
      </c>
      <c r="Q84" s="64">
        <v>9.67</v>
      </c>
      <c r="R84" s="198"/>
      <c r="S84" s="198"/>
      <c r="T84" s="198"/>
      <c r="U84" s="198"/>
    </row>
    <row r="85" spans="1:26" s="12" customFormat="1" x14ac:dyDescent="0.25">
      <c r="A85" s="214" t="s">
        <v>419</v>
      </c>
      <c r="B85" s="64">
        <v>25.03</v>
      </c>
      <c r="C85" s="64">
        <v>22.27</v>
      </c>
      <c r="D85" s="64">
        <v>31.24</v>
      </c>
      <c r="E85" s="64">
        <v>6.08</v>
      </c>
      <c r="F85" s="64">
        <v>2.8</v>
      </c>
      <c r="G85" s="64">
        <v>104.42</v>
      </c>
      <c r="H85" s="64">
        <v>36.979999999999997</v>
      </c>
      <c r="I85" s="64">
        <v>4.26</v>
      </c>
      <c r="J85" s="64">
        <v>0.25</v>
      </c>
      <c r="K85" s="64">
        <v>358.22</v>
      </c>
      <c r="L85" s="64">
        <v>18.96</v>
      </c>
      <c r="M85" s="64">
        <v>82.02</v>
      </c>
      <c r="N85" s="64">
        <v>31.9</v>
      </c>
      <c r="O85" s="64">
        <v>0</v>
      </c>
      <c r="P85" s="64">
        <v>1.43</v>
      </c>
      <c r="Q85" s="64">
        <v>9.68</v>
      </c>
      <c r="R85" s="198"/>
      <c r="S85" s="198"/>
      <c r="T85" s="198"/>
      <c r="U85" s="198"/>
    </row>
    <row r="86" spans="1:26" s="12" customFormat="1" x14ac:dyDescent="0.25">
      <c r="A86" s="214" t="s">
        <v>420</v>
      </c>
      <c r="B86" s="64">
        <v>26.35</v>
      </c>
      <c r="C86" s="64">
        <v>20.82</v>
      </c>
      <c r="D86" s="64">
        <v>31.55</v>
      </c>
      <c r="E86" s="64">
        <v>5.88</v>
      </c>
      <c r="F86" s="64">
        <v>2.87</v>
      </c>
      <c r="G86" s="64">
        <v>125.93</v>
      </c>
      <c r="H86" s="64">
        <v>45.57</v>
      </c>
      <c r="I86" s="64">
        <v>4.5999999999999996</v>
      </c>
      <c r="J86" s="64">
        <v>0.27</v>
      </c>
      <c r="K86" s="64">
        <v>237.34</v>
      </c>
      <c r="L86" s="64">
        <v>18.95</v>
      </c>
      <c r="M86" s="64">
        <v>84.57</v>
      </c>
      <c r="N86" s="64">
        <v>31.6</v>
      </c>
      <c r="O86" s="64">
        <v>0</v>
      </c>
      <c r="P86" s="64">
        <v>1.56</v>
      </c>
      <c r="Q86" s="64">
        <v>9.68</v>
      </c>
      <c r="R86" s="198"/>
      <c r="S86" s="198"/>
      <c r="T86" s="198"/>
      <c r="U86" s="198"/>
    </row>
    <row r="87" spans="1:26" s="12" customFormat="1" x14ac:dyDescent="0.25">
      <c r="A87" s="214" t="s">
        <v>421</v>
      </c>
      <c r="B87" s="64">
        <v>28.74</v>
      </c>
      <c r="C87" s="64">
        <v>18.579999999999998</v>
      </c>
      <c r="D87" s="64">
        <v>32.29</v>
      </c>
      <c r="E87" s="64">
        <v>5.82</v>
      </c>
      <c r="F87" s="64">
        <v>3.09</v>
      </c>
      <c r="G87" s="64">
        <v>125.93</v>
      </c>
      <c r="H87" s="64">
        <v>45.57</v>
      </c>
      <c r="I87" s="64">
        <v>4.84</v>
      </c>
      <c r="J87" s="64">
        <v>0.22</v>
      </c>
      <c r="K87" s="64">
        <v>293.26</v>
      </c>
      <c r="L87" s="64">
        <v>18.86</v>
      </c>
      <c r="M87" s="64">
        <v>85.37</v>
      </c>
      <c r="N87" s="64">
        <v>31.8</v>
      </c>
      <c r="O87" s="64">
        <v>0</v>
      </c>
      <c r="P87" s="64">
        <v>1.63</v>
      </c>
      <c r="Q87" s="64">
        <v>9.68</v>
      </c>
      <c r="R87" s="198"/>
      <c r="S87" s="198"/>
      <c r="T87" s="198"/>
      <c r="U87" s="198"/>
    </row>
    <row r="88" spans="1:26" s="12" customFormat="1" x14ac:dyDescent="0.25">
      <c r="A88" s="214" t="s">
        <v>422</v>
      </c>
      <c r="B88" s="64">
        <v>32</v>
      </c>
      <c r="C88" s="64">
        <v>16.64</v>
      </c>
      <c r="D88" s="64">
        <v>33.9</v>
      </c>
      <c r="E88" s="64">
        <v>5.57</v>
      </c>
      <c r="F88" s="64">
        <v>2.83</v>
      </c>
      <c r="G88" s="64">
        <v>125.93</v>
      </c>
      <c r="H88" s="64">
        <v>45.57</v>
      </c>
      <c r="I88" s="64">
        <v>5.07</v>
      </c>
      <c r="J88" s="64">
        <v>0.35</v>
      </c>
      <c r="K88" s="64">
        <v>323.38</v>
      </c>
      <c r="L88" s="64">
        <v>18.670000000000002</v>
      </c>
      <c r="M88" s="64">
        <v>85.21</v>
      </c>
      <c r="N88" s="64">
        <v>31.8</v>
      </c>
      <c r="O88" s="64">
        <v>0</v>
      </c>
      <c r="P88" s="64">
        <v>1.72</v>
      </c>
      <c r="Q88" s="64">
        <v>9.68</v>
      </c>
      <c r="R88" s="198"/>
      <c r="S88" s="198"/>
      <c r="T88" s="198"/>
      <c r="U88" s="198"/>
    </row>
    <row r="89" spans="1:26" s="12" customFormat="1" x14ac:dyDescent="0.25">
      <c r="A89" s="214" t="s">
        <v>423</v>
      </c>
      <c r="B89" s="64">
        <v>36.74</v>
      </c>
      <c r="C89" s="64">
        <v>12.98</v>
      </c>
      <c r="D89" s="64">
        <v>35.78</v>
      </c>
      <c r="E89" s="64">
        <v>5.72</v>
      </c>
      <c r="F89" s="64">
        <v>2.96</v>
      </c>
      <c r="G89" s="64">
        <v>127.15</v>
      </c>
      <c r="H89" s="64">
        <v>46.59</v>
      </c>
      <c r="I89" s="64">
        <v>5.28</v>
      </c>
      <c r="J89" s="64">
        <v>0.33</v>
      </c>
      <c r="K89" s="64">
        <v>331.46</v>
      </c>
      <c r="L89" s="64">
        <v>18.37</v>
      </c>
      <c r="M89" s="64">
        <v>89.57</v>
      </c>
      <c r="N89" s="64">
        <v>31.9</v>
      </c>
      <c r="O89" s="64">
        <v>0</v>
      </c>
      <c r="P89" s="64">
        <v>1.87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14" t="s">
        <v>424</v>
      </c>
      <c r="B90" s="64">
        <v>38.47</v>
      </c>
      <c r="C90" s="64">
        <v>15.85</v>
      </c>
      <c r="D90" s="64">
        <v>38.67</v>
      </c>
      <c r="E90" s="64">
        <v>6.11</v>
      </c>
      <c r="F90" s="64">
        <v>3.1</v>
      </c>
      <c r="G90" s="64">
        <v>133.24</v>
      </c>
      <c r="H90" s="64">
        <v>50.18</v>
      </c>
      <c r="I90" s="64">
        <v>5.58</v>
      </c>
      <c r="J90" s="64">
        <v>0.1</v>
      </c>
      <c r="K90" s="64">
        <v>359.98</v>
      </c>
      <c r="L90" s="64">
        <v>18.3</v>
      </c>
      <c r="M90" s="64">
        <v>83.23</v>
      </c>
      <c r="N90" s="64">
        <v>31.5</v>
      </c>
      <c r="O90" s="64">
        <v>0</v>
      </c>
      <c r="P90" s="64">
        <v>1.99</v>
      </c>
      <c r="Q90" s="64">
        <v>9.69</v>
      </c>
      <c r="R90" s="198"/>
      <c r="S90" s="198"/>
      <c r="T90" s="198"/>
      <c r="U90" s="198"/>
    </row>
    <row r="91" spans="1:26" s="12" customFormat="1" x14ac:dyDescent="0.25">
      <c r="A91" s="214" t="s">
        <v>425</v>
      </c>
      <c r="B91" s="64">
        <v>38.380000000000003</v>
      </c>
      <c r="C91" s="64">
        <v>16.53</v>
      </c>
      <c r="D91" s="64">
        <v>38.950000000000003</v>
      </c>
      <c r="E91" s="64">
        <v>6.41</v>
      </c>
      <c r="F91" s="64">
        <v>3</v>
      </c>
      <c r="G91" s="64">
        <v>133.24</v>
      </c>
      <c r="H91" s="64">
        <v>50.18</v>
      </c>
      <c r="I91" s="64">
        <v>5.84</v>
      </c>
      <c r="J91" s="64">
        <v>0.22</v>
      </c>
      <c r="K91" s="64">
        <v>334.38</v>
      </c>
      <c r="L91" s="64">
        <v>18.55</v>
      </c>
      <c r="M91" s="64">
        <v>79.459999999999994</v>
      </c>
      <c r="N91" s="64">
        <v>31.6</v>
      </c>
      <c r="O91" s="64">
        <v>0</v>
      </c>
      <c r="P91" s="64">
        <v>2.02</v>
      </c>
      <c r="Q91" s="64">
        <v>9.69</v>
      </c>
      <c r="R91" s="198"/>
      <c r="S91" s="198"/>
      <c r="T91" s="198"/>
      <c r="U91" s="198"/>
    </row>
    <row r="92" spans="1:26" s="12" customFormat="1" x14ac:dyDescent="0.25">
      <c r="A92" s="214" t="s">
        <v>426</v>
      </c>
      <c r="B92" s="64">
        <v>38.29</v>
      </c>
      <c r="C92" s="64">
        <v>16.12</v>
      </c>
      <c r="D92" s="64">
        <v>38.67</v>
      </c>
      <c r="E92" s="64">
        <v>6.25</v>
      </c>
      <c r="F92" s="64">
        <v>2.84</v>
      </c>
      <c r="G92" s="64">
        <v>133.24</v>
      </c>
      <c r="H92" s="64">
        <v>50.18</v>
      </c>
      <c r="I92" s="64">
        <v>5.49</v>
      </c>
      <c r="J92" s="64">
        <v>0.37</v>
      </c>
      <c r="K92" s="64">
        <v>295.48</v>
      </c>
      <c r="L92" s="64">
        <v>18.46</v>
      </c>
      <c r="M92" s="64">
        <v>79.33</v>
      </c>
      <c r="N92" s="64">
        <v>31.7</v>
      </c>
      <c r="O92" s="64">
        <v>0</v>
      </c>
      <c r="P92" s="64">
        <v>2.0299999999999998</v>
      </c>
      <c r="Q92" s="64">
        <v>9.6999999999999993</v>
      </c>
      <c r="R92" s="198"/>
      <c r="S92" s="198"/>
      <c r="T92" s="198"/>
      <c r="U92" s="198"/>
    </row>
    <row r="93" spans="1:26" s="12" customFormat="1" x14ac:dyDescent="0.25">
      <c r="A93" s="214" t="s">
        <v>427</v>
      </c>
      <c r="B93" s="64">
        <v>37.799999999999997</v>
      </c>
      <c r="C93" s="64">
        <v>17.100000000000001</v>
      </c>
      <c r="D93" s="64">
        <v>38.79</v>
      </c>
      <c r="E93" s="64">
        <v>6.44</v>
      </c>
      <c r="F93" s="64">
        <v>3.73</v>
      </c>
      <c r="G93" s="64">
        <v>129.5</v>
      </c>
      <c r="H93" s="64">
        <v>49.35</v>
      </c>
      <c r="I93" s="64">
        <v>5.86</v>
      </c>
      <c r="J93" s="64">
        <v>0.13</v>
      </c>
      <c r="K93" s="64">
        <v>200.64</v>
      </c>
      <c r="L93" s="64">
        <v>18.649999999999999</v>
      </c>
      <c r="M93" s="64">
        <v>75.77</v>
      </c>
      <c r="N93" s="64">
        <v>31.5</v>
      </c>
      <c r="O93" s="64">
        <v>0</v>
      </c>
      <c r="P93" s="64">
        <v>2.0299999999999998</v>
      </c>
      <c r="Q93" s="64">
        <v>9.6999999999999993</v>
      </c>
      <c r="R93" s="198"/>
      <c r="S93" s="198"/>
      <c r="T93" s="198"/>
      <c r="U93" s="198"/>
    </row>
    <row r="94" spans="1:26" s="12" customFormat="1" x14ac:dyDescent="0.25">
      <c r="A94" s="214" t="s">
        <v>428</v>
      </c>
      <c r="B94" s="64">
        <v>37.94</v>
      </c>
      <c r="C94" s="64">
        <v>14.45</v>
      </c>
      <c r="D94" s="64">
        <v>37.51</v>
      </c>
      <c r="E94" s="64">
        <v>6.18</v>
      </c>
      <c r="F94" s="64">
        <v>3.48</v>
      </c>
      <c r="G94" s="64">
        <v>110.79</v>
      </c>
      <c r="H94" s="64">
        <v>46.41</v>
      </c>
      <c r="I94" s="64">
        <v>6.05</v>
      </c>
      <c r="J94" s="64">
        <v>0.18</v>
      </c>
      <c r="K94" s="64">
        <v>192.39</v>
      </c>
      <c r="L94" s="64">
        <v>18.66</v>
      </c>
      <c r="M94" s="64">
        <v>75.59</v>
      </c>
      <c r="N94" s="64">
        <v>31.4</v>
      </c>
      <c r="O94" s="64">
        <v>0</v>
      </c>
      <c r="P94" s="64">
        <v>2.0299999999999998</v>
      </c>
      <c r="Q94" s="64">
        <v>9.7100000000000009</v>
      </c>
      <c r="R94" s="198"/>
      <c r="S94" s="198"/>
      <c r="T94" s="198"/>
      <c r="U94" s="198"/>
    </row>
    <row r="95" spans="1:26" s="12" customFormat="1" x14ac:dyDescent="0.25">
      <c r="A95" s="214" t="s">
        <v>429</v>
      </c>
      <c r="B95" s="64">
        <v>37.549999999999997</v>
      </c>
      <c r="C95" s="64">
        <v>15.03</v>
      </c>
      <c r="D95" s="64">
        <v>37.51</v>
      </c>
      <c r="E95" s="64">
        <v>6.04</v>
      </c>
      <c r="F95" s="64">
        <v>3.35</v>
      </c>
      <c r="G95" s="64">
        <v>110.79</v>
      </c>
      <c r="H95" s="64">
        <v>46.41</v>
      </c>
      <c r="I95" s="64">
        <v>6.07</v>
      </c>
      <c r="J95" s="64">
        <v>0.15</v>
      </c>
      <c r="K95" s="64">
        <v>261.64999999999998</v>
      </c>
      <c r="L95" s="64">
        <v>18.649999999999999</v>
      </c>
      <c r="M95" s="64">
        <v>73.97</v>
      </c>
      <c r="N95" s="64">
        <v>31.5</v>
      </c>
      <c r="O95" s="64">
        <v>0</v>
      </c>
      <c r="P95" s="64">
        <v>2.0299999999999998</v>
      </c>
      <c r="Q95" s="64">
        <v>9.7100000000000009</v>
      </c>
      <c r="R95" s="198"/>
      <c r="S95" s="198"/>
      <c r="T95" s="198"/>
      <c r="U95" s="198"/>
    </row>
    <row r="96" spans="1:26" s="12" customFormat="1" x14ac:dyDescent="0.25">
      <c r="A96" s="214" t="s">
        <v>430</v>
      </c>
      <c r="B96" s="64">
        <v>36.86</v>
      </c>
      <c r="C96" s="64">
        <v>14.22</v>
      </c>
      <c r="D96" s="64">
        <v>36.520000000000003</v>
      </c>
      <c r="E96" s="64">
        <v>6.25</v>
      </c>
      <c r="F96" s="64">
        <v>3.54</v>
      </c>
      <c r="G96" s="64">
        <v>110.79</v>
      </c>
      <c r="H96" s="64">
        <v>46.41</v>
      </c>
      <c r="I96" s="64">
        <v>5.56</v>
      </c>
      <c r="J96" s="64">
        <v>0.31</v>
      </c>
      <c r="K96" s="64">
        <v>303.08999999999997</v>
      </c>
      <c r="L96" s="64">
        <v>18.579999999999998</v>
      </c>
      <c r="M96" s="64">
        <v>75.03</v>
      </c>
      <c r="N96" s="64">
        <v>31.7</v>
      </c>
      <c r="O96" s="64">
        <v>0</v>
      </c>
      <c r="P96" s="64">
        <v>1.99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431</v>
      </c>
      <c r="B97" s="64">
        <v>39.130000000000003</v>
      </c>
      <c r="C97" s="64">
        <v>11.22</v>
      </c>
      <c r="D97" s="64">
        <v>36.78</v>
      </c>
      <c r="E97" s="64">
        <v>5.77</v>
      </c>
      <c r="F97" s="64">
        <v>3.15</v>
      </c>
      <c r="G97" s="64">
        <v>107.34</v>
      </c>
      <c r="H97" s="64">
        <v>46.49</v>
      </c>
      <c r="I97" s="64">
        <v>5.37</v>
      </c>
      <c r="J97" s="64">
        <v>0.3</v>
      </c>
      <c r="K97" s="64">
        <v>311.14999999999998</v>
      </c>
      <c r="L97" s="64">
        <v>18.170000000000002</v>
      </c>
      <c r="M97" s="64">
        <v>78.58</v>
      </c>
      <c r="N97" s="64">
        <v>31.8</v>
      </c>
      <c r="O97" s="64">
        <v>0</v>
      </c>
      <c r="P97" s="64">
        <v>2</v>
      </c>
      <c r="Q97" s="64">
        <v>9.7100000000000009</v>
      </c>
      <c r="R97" s="198"/>
      <c r="S97" s="198"/>
      <c r="T97" s="198"/>
      <c r="U97" s="198"/>
    </row>
    <row r="98" spans="1:33" s="12" customFormat="1" x14ac:dyDescent="0.25">
      <c r="A98" s="214" t="s">
        <v>432</v>
      </c>
      <c r="B98" s="64">
        <v>39.75</v>
      </c>
      <c r="C98" s="64">
        <v>10.6</v>
      </c>
      <c r="D98" s="64">
        <v>36.950000000000003</v>
      </c>
      <c r="E98" s="64">
        <v>5.63</v>
      </c>
      <c r="F98" s="64">
        <v>2.82</v>
      </c>
      <c r="G98" s="64">
        <v>90.11</v>
      </c>
      <c r="H98" s="64">
        <v>46.76</v>
      </c>
      <c r="I98" s="64">
        <v>5.79</v>
      </c>
      <c r="J98" s="64">
        <v>0.39</v>
      </c>
      <c r="K98" s="64">
        <v>275.14</v>
      </c>
      <c r="L98" s="64">
        <v>17.940000000000001</v>
      </c>
      <c r="M98" s="64">
        <v>80.53</v>
      </c>
      <c r="N98" s="64">
        <v>31.9</v>
      </c>
      <c r="O98" s="64">
        <v>0</v>
      </c>
      <c r="P98" s="64">
        <v>1.96</v>
      </c>
      <c r="Q98" s="64">
        <v>9.6999999999999993</v>
      </c>
      <c r="R98" s="198"/>
      <c r="S98" s="198"/>
      <c r="T98" s="198"/>
      <c r="U98" s="198"/>
    </row>
    <row r="99" spans="1:33" s="12" customFormat="1" x14ac:dyDescent="0.25">
      <c r="A99" s="214" t="s">
        <v>433</v>
      </c>
      <c r="B99" s="64">
        <v>39.14</v>
      </c>
      <c r="C99" s="64">
        <v>10.6</v>
      </c>
      <c r="D99" s="64">
        <v>36.47</v>
      </c>
      <c r="E99" s="64">
        <v>5.3</v>
      </c>
      <c r="F99" s="64">
        <v>3.32</v>
      </c>
      <c r="G99" s="64">
        <v>90.11</v>
      </c>
      <c r="H99" s="64">
        <v>46.76</v>
      </c>
      <c r="I99" s="64">
        <v>5.9</v>
      </c>
      <c r="J99" s="64">
        <v>0.25</v>
      </c>
      <c r="K99" s="64">
        <v>268.2</v>
      </c>
      <c r="L99" s="64">
        <v>17.36</v>
      </c>
      <c r="M99" s="64">
        <v>84.19</v>
      </c>
      <c r="N99" s="64">
        <v>31.9</v>
      </c>
      <c r="O99" s="64">
        <v>0</v>
      </c>
      <c r="P99" s="64">
        <v>1.92</v>
      </c>
      <c r="Q99" s="64">
        <v>9.6999999999999993</v>
      </c>
      <c r="R99" s="198"/>
      <c r="S99" s="198"/>
      <c r="T99" s="198"/>
      <c r="U99" s="198"/>
    </row>
    <row r="100" spans="1:33" s="12" customFormat="1" x14ac:dyDescent="0.25">
      <c r="A100" s="214" t="s">
        <v>434</v>
      </c>
      <c r="B100" s="64">
        <v>38.18</v>
      </c>
      <c r="C100" s="64">
        <v>11.04</v>
      </c>
      <c r="D100" s="64">
        <v>35.93</v>
      </c>
      <c r="E100" s="64">
        <v>5.51</v>
      </c>
      <c r="F100" s="64">
        <v>3.08</v>
      </c>
      <c r="G100" s="64">
        <v>90.11</v>
      </c>
      <c r="H100" s="64">
        <v>46.76</v>
      </c>
      <c r="I100" s="64">
        <v>5.87</v>
      </c>
      <c r="J100" s="64">
        <v>0.22</v>
      </c>
      <c r="K100" s="64">
        <v>248.4</v>
      </c>
      <c r="L100" s="64">
        <v>17.22</v>
      </c>
      <c r="M100" s="64">
        <v>87.59</v>
      </c>
      <c r="N100" s="64">
        <v>31.9</v>
      </c>
      <c r="O100" s="64">
        <v>0</v>
      </c>
      <c r="P100" s="64">
        <v>1.88</v>
      </c>
      <c r="Q100" s="64">
        <v>9.7100000000000009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435</v>
      </c>
      <c r="B101" s="64">
        <v>37.74</v>
      </c>
      <c r="C101" s="64">
        <v>11.18</v>
      </c>
      <c r="D101" s="64">
        <v>35.64</v>
      </c>
      <c r="E101" s="64">
        <v>5.56</v>
      </c>
      <c r="F101" s="64">
        <v>2.99</v>
      </c>
      <c r="G101" s="64">
        <v>89.16</v>
      </c>
      <c r="H101" s="64">
        <v>46.01</v>
      </c>
      <c r="I101" s="64">
        <v>5.82</v>
      </c>
      <c r="J101" s="64">
        <v>0.3</v>
      </c>
      <c r="K101" s="64">
        <v>352.38</v>
      </c>
      <c r="L101" s="64">
        <v>16.98</v>
      </c>
      <c r="M101" s="64">
        <v>90.69</v>
      </c>
      <c r="N101" s="64">
        <v>32.200000000000003</v>
      </c>
      <c r="O101" s="64">
        <v>0</v>
      </c>
      <c r="P101" s="64">
        <v>1.89</v>
      </c>
      <c r="Q101" s="64">
        <v>9.69</v>
      </c>
      <c r="R101" s="198"/>
      <c r="S101" s="198"/>
      <c r="T101" s="198"/>
      <c r="U101" s="198"/>
    </row>
    <row r="102" spans="1:33" s="12" customFormat="1" x14ac:dyDescent="0.25">
      <c r="A102" s="214" t="s">
        <v>436</v>
      </c>
      <c r="B102" s="64">
        <v>38.700000000000003</v>
      </c>
      <c r="C102" s="64">
        <v>10.8</v>
      </c>
      <c r="D102" s="64">
        <v>36.22</v>
      </c>
      <c r="E102" s="64">
        <v>5.39</v>
      </c>
      <c r="F102" s="64">
        <v>2.98</v>
      </c>
      <c r="G102" s="64">
        <v>84.4</v>
      </c>
      <c r="H102" s="64">
        <v>42.41</v>
      </c>
      <c r="I102" s="64">
        <v>5.79</v>
      </c>
      <c r="J102" s="64">
        <v>0.05</v>
      </c>
      <c r="K102" s="64">
        <v>198.88</v>
      </c>
      <c r="L102" s="64">
        <v>16.920000000000002</v>
      </c>
      <c r="M102" s="64">
        <v>89.05</v>
      </c>
      <c r="N102" s="64">
        <v>31.4</v>
      </c>
      <c r="O102" s="64">
        <v>0</v>
      </c>
      <c r="P102" s="64">
        <v>1.91</v>
      </c>
      <c r="Q102" s="64">
        <v>9.69</v>
      </c>
      <c r="R102" s="198"/>
      <c r="S102" s="198"/>
      <c r="T102" s="198"/>
      <c r="U102" s="198"/>
    </row>
    <row r="103" spans="1:33" s="12" customFormat="1" x14ac:dyDescent="0.25">
      <c r="A103" s="214" t="s">
        <v>437</v>
      </c>
      <c r="B103" s="64">
        <v>39.590000000000003</v>
      </c>
      <c r="C103" s="64">
        <v>9.89</v>
      </c>
      <c r="D103" s="64">
        <v>36.450000000000003</v>
      </c>
      <c r="E103" s="64">
        <v>5.43</v>
      </c>
      <c r="F103" s="64">
        <v>2.71</v>
      </c>
      <c r="G103" s="64">
        <v>84.4</v>
      </c>
      <c r="H103" s="64">
        <v>42.41</v>
      </c>
      <c r="I103" s="64">
        <v>5.8</v>
      </c>
      <c r="J103" s="64">
        <v>0.2</v>
      </c>
      <c r="K103" s="64">
        <v>343.48</v>
      </c>
      <c r="L103" s="64">
        <v>16.96</v>
      </c>
      <c r="M103" s="64">
        <v>87.31</v>
      </c>
      <c r="N103" s="64">
        <v>31.8</v>
      </c>
      <c r="O103" s="64">
        <v>0</v>
      </c>
      <c r="P103" s="64">
        <v>1.87</v>
      </c>
      <c r="Q103" s="64">
        <v>9.6999999999999993</v>
      </c>
      <c r="R103" s="198"/>
      <c r="S103" s="198"/>
      <c r="T103" s="198"/>
      <c r="U103" s="198"/>
    </row>
    <row r="104" spans="1:33" s="12" customFormat="1" x14ac:dyDescent="0.25">
      <c r="A104" s="214" t="s">
        <v>438</v>
      </c>
      <c r="B104" s="64">
        <v>39.869999999999997</v>
      </c>
      <c r="C104" s="64">
        <v>9.74</v>
      </c>
      <c r="D104" s="64">
        <v>36.6</v>
      </c>
      <c r="E104" s="64">
        <v>5.44</v>
      </c>
      <c r="F104" s="64">
        <v>2.71</v>
      </c>
      <c r="G104" s="64">
        <v>84.4</v>
      </c>
      <c r="H104" s="64">
        <v>42.41</v>
      </c>
      <c r="I104" s="64">
        <v>5.74</v>
      </c>
      <c r="J104" s="64">
        <v>0.25</v>
      </c>
      <c r="K104" s="64">
        <v>340.66</v>
      </c>
      <c r="L104" s="64">
        <v>16.61</v>
      </c>
      <c r="M104" s="64">
        <v>91.51</v>
      </c>
      <c r="N104" s="64">
        <v>31.9</v>
      </c>
      <c r="O104" s="64">
        <v>0</v>
      </c>
      <c r="P104" s="64">
        <v>1.83</v>
      </c>
      <c r="Q104" s="64">
        <v>9.6999999999999993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2.85</v>
      </c>
      <c r="C106" s="67">
        <f>MIN(C9:C104)</f>
        <v>9.74</v>
      </c>
      <c r="D106" s="67">
        <f t="shared" ref="D106:Q106" si="0">MIN(D9:D104)</f>
        <v>16.66</v>
      </c>
      <c r="E106" s="67">
        <f t="shared" si="0"/>
        <v>4.04</v>
      </c>
      <c r="F106" s="67">
        <f t="shared" si="0"/>
        <v>2.4900000000000002</v>
      </c>
      <c r="G106" s="67">
        <f t="shared" si="0"/>
        <v>0</v>
      </c>
      <c r="H106" s="67">
        <f t="shared" si="0"/>
        <v>0</v>
      </c>
      <c r="I106" s="67">
        <f t="shared" si="0"/>
        <v>2.08</v>
      </c>
      <c r="J106" s="67">
        <f t="shared" si="0"/>
        <v>0.02</v>
      </c>
      <c r="K106" s="67">
        <f t="shared" si="0"/>
        <v>23.5</v>
      </c>
      <c r="L106" s="67">
        <f t="shared" si="0"/>
        <v>14.4</v>
      </c>
      <c r="M106" s="67">
        <f t="shared" si="0"/>
        <v>38.130000000000003</v>
      </c>
      <c r="N106" s="67">
        <f t="shared" si="0"/>
        <v>31.2</v>
      </c>
      <c r="O106" s="67">
        <f t="shared" si="0"/>
        <v>0</v>
      </c>
      <c r="P106" s="67">
        <f t="shared" si="0"/>
        <v>0.71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39.869999999999997</v>
      </c>
      <c r="C107" s="66">
        <f t="shared" ref="C107:Q107" si="1">MAX(C9:C104)</f>
        <v>48.98</v>
      </c>
      <c r="D107" s="66">
        <f t="shared" si="1"/>
        <v>38.950000000000003</v>
      </c>
      <c r="E107" s="66">
        <f t="shared" si="1"/>
        <v>27.09</v>
      </c>
      <c r="F107" s="66">
        <f t="shared" si="1"/>
        <v>21.47</v>
      </c>
      <c r="G107" s="66">
        <f t="shared" si="1"/>
        <v>133.24</v>
      </c>
      <c r="H107" s="66">
        <f t="shared" si="1"/>
        <v>50.18</v>
      </c>
      <c r="I107" s="66">
        <f t="shared" si="1"/>
        <v>6.07</v>
      </c>
      <c r="J107" s="66">
        <f t="shared" si="1"/>
        <v>1.72</v>
      </c>
      <c r="K107" s="66">
        <f t="shared" si="1"/>
        <v>359.98</v>
      </c>
      <c r="L107" s="66">
        <f t="shared" si="1"/>
        <v>27.23</v>
      </c>
      <c r="M107" s="66">
        <f t="shared" si="1"/>
        <v>98.24</v>
      </c>
      <c r="N107" s="66">
        <f t="shared" si="1"/>
        <v>508.4</v>
      </c>
      <c r="O107" s="66">
        <f t="shared" si="1"/>
        <v>0</v>
      </c>
      <c r="P107" s="66">
        <f t="shared" si="1"/>
        <v>2.0299999999999998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15.359270833333333</v>
      </c>
      <c r="C108" s="67">
        <f t="shared" ref="C108:Q108" si="2">AVERAGE(C9:C104)</f>
        <v>23.861249999999984</v>
      </c>
      <c r="D108" s="67">
        <f t="shared" si="2"/>
        <v>24.340937499999985</v>
      </c>
      <c r="E108" s="67">
        <f t="shared" si="2"/>
        <v>8.1300000000000008</v>
      </c>
      <c r="F108" s="67">
        <f t="shared" si="2"/>
        <v>4.7871874999999982</v>
      </c>
      <c r="G108" s="67">
        <f t="shared" si="2"/>
        <v>75.85395833333331</v>
      </c>
      <c r="H108" s="67">
        <f t="shared" si="2"/>
        <v>28.736562499999991</v>
      </c>
      <c r="I108" s="67">
        <f t="shared" si="2"/>
        <v>3.4883333333333337</v>
      </c>
      <c r="J108" s="67">
        <f t="shared" si="2"/>
        <v>0.52374999999999972</v>
      </c>
      <c r="K108" s="67">
        <f t="shared" si="2"/>
        <v>220.6157291666668</v>
      </c>
      <c r="L108" s="67">
        <f t="shared" si="2"/>
        <v>19.651874999999993</v>
      </c>
      <c r="M108" s="67">
        <f t="shared" si="2"/>
        <v>74.761041666666671</v>
      </c>
      <c r="N108" s="67">
        <f t="shared" si="2"/>
        <v>140.18437499999999</v>
      </c>
      <c r="O108" s="67">
        <f t="shared" si="2"/>
        <v>0</v>
      </c>
      <c r="P108" s="67">
        <f t="shared" si="2"/>
        <v>1.1012499999999998</v>
      </c>
      <c r="Q108" s="67">
        <f t="shared" si="2"/>
        <v>9.6456250000000008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11.914061947727916</v>
      </c>
      <c r="C109" s="67">
        <f t="shared" ref="C109:Q109" si="3">STDEV(C9:C104)</f>
        <v>9.2887201826505521</v>
      </c>
      <c r="D109" s="67">
        <f t="shared" si="3"/>
        <v>6.9768006659854729</v>
      </c>
      <c r="E109" s="67">
        <f t="shared" si="3"/>
        <v>5.545626062136952</v>
      </c>
      <c r="F109" s="67">
        <f t="shared" si="3"/>
        <v>3.783275857918011</v>
      </c>
      <c r="G109" s="67">
        <f t="shared" si="3"/>
        <v>30.915967820398713</v>
      </c>
      <c r="H109" s="67">
        <f t="shared" si="3"/>
        <v>12.459761240267575</v>
      </c>
      <c r="I109" s="67">
        <f t="shared" si="3"/>
        <v>1.137465943195586</v>
      </c>
      <c r="J109" s="67">
        <f t="shared" si="3"/>
        <v>0.39753516891756407</v>
      </c>
      <c r="K109" s="67">
        <f t="shared" si="3"/>
        <v>102.83072315570776</v>
      </c>
      <c r="L109" s="67">
        <f t="shared" si="3"/>
        <v>3.6785847714919848</v>
      </c>
      <c r="M109" s="67">
        <f t="shared" si="3"/>
        <v>20.784004298810675</v>
      </c>
      <c r="N109" s="67">
        <f t="shared" si="3"/>
        <v>168.43959050064905</v>
      </c>
      <c r="O109" s="67">
        <f t="shared" si="3"/>
        <v>0</v>
      </c>
      <c r="P109" s="67">
        <f t="shared" si="3"/>
        <v>0.43392274354822835</v>
      </c>
      <c r="Q109" s="67">
        <f t="shared" si="3"/>
        <v>2.9012247867336756E-2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R107" sqref="R10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439</v>
      </c>
      <c r="B9" s="64">
        <v>39.9</v>
      </c>
      <c r="C9" s="64">
        <v>9.69</v>
      </c>
      <c r="D9" s="64">
        <v>36.6</v>
      </c>
      <c r="E9" s="64">
        <v>5.8</v>
      </c>
      <c r="F9" s="64">
        <v>2.92</v>
      </c>
      <c r="G9" s="64">
        <v>86.36</v>
      </c>
      <c r="H9" s="64">
        <v>41.79</v>
      </c>
      <c r="I9" s="64">
        <v>5.23</v>
      </c>
      <c r="J9" s="64">
        <v>0.42</v>
      </c>
      <c r="K9" s="64">
        <v>336.07</v>
      </c>
      <c r="L9" s="64">
        <v>16.29</v>
      </c>
      <c r="M9" s="64">
        <v>96.86</v>
      </c>
      <c r="N9" s="64">
        <v>32.1</v>
      </c>
      <c r="O9" s="64">
        <v>0</v>
      </c>
      <c r="P9" s="64">
        <v>1.81</v>
      </c>
      <c r="Q9" s="64">
        <v>9.7100000000000009</v>
      </c>
      <c r="R9" s="198"/>
      <c r="S9" s="198"/>
      <c r="T9" s="198"/>
      <c r="U9" s="198"/>
    </row>
    <row r="10" spans="1:21" s="12" customFormat="1" x14ac:dyDescent="0.25">
      <c r="A10" s="214" t="s">
        <v>440</v>
      </c>
      <c r="B10" s="64">
        <v>39.799999999999997</v>
      </c>
      <c r="C10" s="64">
        <v>9.1999999999999993</v>
      </c>
      <c r="D10" s="64">
        <v>36.26</v>
      </c>
      <c r="E10" s="64">
        <v>6.32</v>
      </c>
      <c r="F10" s="64">
        <v>2.81</v>
      </c>
      <c r="G10" s="64">
        <v>96.16</v>
      </c>
      <c r="H10" s="64">
        <v>39.6</v>
      </c>
      <c r="I10" s="64">
        <v>5.03</v>
      </c>
      <c r="J10" s="64">
        <v>0.39</v>
      </c>
      <c r="K10" s="64">
        <v>307.60000000000002</v>
      </c>
      <c r="L10" s="64">
        <v>16.09</v>
      </c>
      <c r="M10" s="64">
        <v>98.1</v>
      </c>
      <c r="N10" s="64">
        <v>31.8</v>
      </c>
      <c r="O10" s="64">
        <v>0</v>
      </c>
      <c r="P10" s="64">
        <v>1.8</v>
      </c>
      <c r="Q10" s="64">
        <v>9.7100000000000009</v>
      </c>
      <c r="R10" s="198"/>
      <c r="S10" s="198"/>
      <c r="T10" s="198"/>
      <c r="U10" s="198"/>
    </row>
    <row r="11" spans="1:21" s="12" customFormat="1" x14ac:dyDescent="0.25">
      <c r="A11" s="214" t="s">
        <v>441</v>
      </c>
      <c r="B11" s="64">
        <v>39.130000000000003</v>
      </c>
      <c r="C11" s="64">
        <v>7.64</v>
      </c>
      <c r="D11" s="64">
        <v>34.909999999999997</v>
      </c>
      <c r="E11" s="64">
        <v>5.76</v>
      </c>
      <c r="F11" s="64">
        <v>2.91</v>
      </c>
      <c r="G11" s="64">
        <v>96.16</v>
      </c>
      <c r="H11" s="64">
        <v>39.6</v>
      </c>
      <c r="I11" s="64">
        <v>5.47</v>
      </c>
      <c r="J11" s="64">
        <v>0.18</v>
      </c>
      <c r="K11" s="64">
        <v>21.53</v>
      </c>
      <c r="L11" s="64">
        <v>15.96</v>
      </c>
      <c r="M11" s="64">
        <v>97.75</v>
      </c>
      <c r="N11" s="64">
        <v>31.8</v>
      </c>
      <c r="O11" s="64">
        <v>0</v>
      </c>
      <c r="P11" s="64">
        <v>1.79</v>
      </c>
      <c r="Q11" s="64">
        <v>9.7100000000000009</v>
      </c>
      <c r="R11" s="198"/>
      <c r="S11" s="198"/>
      <c r="T11" s="198"/>
      <c r="U11" s="198"/>
    </row>
    <row r="12" spans="1:21" s="12" customFormat="1" x14ac:dyDescent="0.25">
      <c r="A12" s="214" t="s">
        <v>442</v>
      </c>
      <c r="B12" s="64">
        <v>37.99</v>
      </c>
      <c r="C12" s="64">
        <v>8.52</v>
      </c>
      <c r="D12" s="64">
        <v>34.46</v>
      </c>
      <c r="E12" s="64">
        <v>5.59</v>
      </c>
      <c r="F12" s="64">
        <v>2.8</v>
      </c>
      <c r="G12" s="64">
        <v>96.16</v>
      </c>
      <c r="H12" s="64">
        <v>39.6</v>
      </c>
      <c r="I12" s="64">
        <v>5.19</v>
      </c>
      <c r="J12" s="64">
        <v>0.17</v>
      </c>
      <c r="K12" s="64">
        <v>328.16</v>
      </c>
      <c r="L12" s="64">
        <v>15.93</v>
      </c>
      <c r="M12" s="64">
        <v>97.95</v>
      </c>
      <c r="N12" s="64">
        <v>31.8</v>
      </c>
      <c r="O12" s="64">
        <v>0</v>
      </c>
      <c r="P12" s="64">
        <v>1.8</v>
      </c>
      <c r="Q12" s="64">
        <v>9.7100000000000009</v>
      </c>
      <c r="R12" s="198"/>
      <c r="S12" s="198"/>
      <c r="T12" s="198"/>
      <c r="U12" s="198"/>
    </row>
    <row r="13" spans="1:21" s="12" customFormat="1" x14ac:dyDescent="0.25">
      <c r="A13" s="214" t="s">
        <v>443</v>
      </c>
      <c r="B13" s="64">
        <v>36.83</v>
      </c>
      <c r="C13" s="64">
        <v>9.4700000000000006</v>
      </c>
      <c r="D13" s="64">
        <v>34.020000000000003</v>
      </c>
      <c r="E13" s="64">
        <v>5.7</v>
      </c>
      <c r="F13" s="64">
        <v>2.92</v>
      </c>
      <c r="G13" s="64">
        <v>93.32</v>
      </c>
      <c r="H13" s="64">
        <v>39.71</v>
      </c>
      <c r="I13" s="64">
        <v>5.07</v>
      </c>
      <c r="J13" s="64">
        <v>0.22</v>
      </c>
      <c r="K13" s="64">
        <v>171.8</v>
      </c>
      <c r="L13" s="64">
        <v>15.93</v>
      </c>
      <c r="M13" s="64">
        <v>98.06</v>
      </c>
      <c r="N13" s="64">
        <v>31.4</v>
      </c>
      <c r="O13" s="64">
        <v>0</v>
      </c>
      <c r="P13" s="64">
        <v>1.53</v>
      </c>
      <c r="Q13" s="64">
        <v>9.6999999999999993</v>
      </c>
      <c r="R13" s="198"/>
      <c r="S13" s="198"/>
      <c r="T13" s="198"/>
      <c r="U13" s="198"/>
    </row>
    <row r="14" spans="1:21" s="12" customFormat="1" x14ac:dyDescent="0.25">
      <c r="A14" s="214" t="s">
        <v>444</v>
      </c>
      <c r="B14" s="64">
        <v>35.729999999999997</v>
      </c>
      <c r="C14" s="64">
        <v>10.210000000000001</v>
      </c>
      <c r="D14" s="64">
        <v>33.520000000000003</v>
      </c>
      <c r="E14" s="64">
        <v>5.43</v>
      </c>
      <c r="F14" s="64">
        <v>2.96</v>
      </c>
      <c r="G14" s="64">
        <v>79.099999999999994</v>
      </c>
      <c r="H14" s="64">
        <v>40.119999999999997</v>
      </c>
      <c r="I14" s="64">
        <v>5.55</v>
      </c>
      <c r="J14" s="64">
        <v>0.35</v>
      </c>
      <c r="K14" s="64">
        <v>286.62</v>
      </c>
      <c r="L14" s="64">
        <v>15.9</v>
      </c>
      <c r="M14" s="64">
        <v>98.08</v>
      </c>
      <c r="N14" s="64">
        <v>31.7</v>
      </c>
      <c r="O14" s="64">
        <v>0</v>
      </c>
      <c r="P14" s="64">
        <v>1.6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4" t="s">
        <v>445</v>
      </c>
      <c r="B15" s="64">
        <v>34.799999999999997</v>
      </c>
      <c r="C15" s="64">
        <v>10.3</v>
      </c>
      <c r="D15" s="64">
        <v>32.83</v>
      </c>
      <c r="E15" s="64">
        <v>6.21</v>
      </c>
      <c r="F15" s="64">
        <v>3.12</v>
      </c>
      <c r="G15" s="64">
        <v>79.099999999999994</v>
      </c>
      <c r="H15" s="64">
        <v>40.119999999999997</v>
      </c>
      <c r="I15" s="64">
        <v>5.71</v>
      </c>
      <c r="J15" s="64">
        <v>0.39</v>
      </c>
      <c r="K15" s="64">
        <v>313.49</v>
      </c>
      <c r="L15" s="64">
        <v>15.61</v>
      </c>
      <c r="M15" s="64">
        <v>98.08</v>
      </c>
      <c r="N15" s="64">
        <v>31.8</v>
      </c>
      <c r="O15" s="64">
        <v>0</v>
      </c>
      <c r="P15" s="64">
        <v>1.58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4" t="s">
        <v>446</v>
      </c>
      <c r="B16" s="64">
        <v>33.770000000000003</v>
      </c>
      <c r="C16" s="64">
        <v>10.63</v>
      </c>
      <c r="D16" s="64">
        <v>32.17</v>
      </c>
      <c r="E16" s="64">
        <v>5.9</v>
      </c>
      <c r="F16" s="64">
        <v>2.88</v>
      </c>
      <c r="G16" s="64">
        <v>79.099999999999994</v>
      </c>
      <c r="H16" s="64">
        <v>40.119999999999997</v>
      </c>
      <c r="I16" s="64">
        <v>5.69</v>
      </c>
      <c r="J16" s="64">
        <v>0.04</v>
      </c>
      <c r="K16" s="64">
        <v>341.09</v>
      </c>
      <c r="L16" s="64">
        <v>15.61</v>
      </c>
      <c r="M16" s="64">
        <v>98.07</v>
      </c>
      <c r="N16" s="64">
        <v>31.6</v>
      </c>
      <c r="O16" s="64">
        <v>0</v>
      </c>
      <c r="P16" s="64">
        <v>1.56</v>
      </c>
      <c r="Q16" s="64">
        <v>9.6999999999999993</v>
      </c>
      <c r="R16" s="198"/>
      <c r="S16" s="198"/>
      <c r="T16" s="198"/>
      <c r="U16" s="198"/>
    </row>
    <row r="17" spans="1:21" s="12" customFormat="1" x14ac:dyDescent="0.25">
      <c r="A17" s="214" t="s">
        <v>447</v>
      </c>
      <c r="B17" s="64">
        <v>32.54</v>
      </c>
      <c r="C17" s="64">
        <v>11.19</v>
      </c>
      <c r="D17" s="64">
        <v>31.48</v>
      </c>
      <c r="E17" s="64">
        <v>6.03</v>
      </c>
      <c r="F17" s="64">
        <v>2.85</v>
      </c>
      <c r="G17" s="64">
        <v>78.83</v>
      </c>
      <c r="H17" s="64">
        <v>39.869999999999997</v>
      </c>
      <c r="I17" s="64">
        <v>5.66</v>
      </c>
      <c r="J17" s="64">
        <v>0.3</v>
      </c>
      <c r="K17" s="64">
        <v>170.1</v>
      </c>
      <c r="L17" s="64">
        <v>15.76</v>
      </c>
      <c r="M17" s="64">
        <v>97.8</v>
      </c>
      <c r="N17" s="64">
        <v>31.3</v>
      </c>
      <c r="O17" s="64">
        <v>0</v>
      </c>
      <c r="P17" s="64">
        <v>1.54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4" t="s">
        <v>448</v>
      </c>
      <c r="B18" s="64">
        <v>31.22</v>
      </c>
      <c r="C18" s="64">
        <v>12.16</v>
      </c>
      <c r="D18" s="64">
        <v>30.93</v>
      </c>
      <c r="E18" s="64">
        <v>5.75</v>
      </c>
      <c r="F18" s="64">
        <v>3.3</v>
      </c>
      <c r="G18" s="64">
        <v>77.45</v>
      </c>
      <c r="H18" s="64">
        <v>38.94</v>
      </c>
      <c r="I18" s="64">
        <v>5.64</v>
      </c>
      <c r="J18" s="64">
        <v>0.12</v>
      </c>
      <c r="K18" s="64">
        <v>52.91</v>
      </c>
      <c r="L18" s="64">
        <v>15.95</v>
      </c>
      <c r="M18" s="64">
        <v>94.51</v>
      </c>
      <c r="N18" s="64">
        <v>31.4</v>
      </c>
      <c r="O18" s="64">
        <v>0</v>
      </c>
      <c r="P18" s="64">
        <v>1.51</v>
      </c>
      <c r="Q18" s="64">
        <v>9.69</v>
      </c>
      <c r="R18" s="198"/>
      <c r="S18" s="198"/>
      <c r="T18" s="198"/>
      <c r="U18" s="198"/>
    </row>
    <row r="19" spans="1:21" s="12" customFormat="1" x14ac:dyDescent="0.25">
      <c r="A19" s="214" t="s">
        <v>449</v>
      </c>
      <c r="B19" s="64">
        <v>30.03</v>
      </c>
      <c r="C19" s="64">
        <v>13.45</v>
      </c>
      <c r="D19" s="64">
        <v>30.65</v>
      </c>
      <c r="E19" s="64">
        <v>6.03</v>
      </c>
      <c r="F19" s="64">
        <v>3.09</v>
      </c>
      <c r="G19" s="64">
        <v>77.45</v>
      </c>
      <c r="H19" s="64">
        <v>38.94</v>
      </c>
      <c r="I19" s="64">
        <v>5.61</v>
      </c>
      <c r="J19" s="64">
        <v>0.13</v>
      </c>
      <c r="K19" s="64">
        <v>272.33</v>
      </c>
      <c r="L19" s="64">
        <v>15.55</v>
      </c>
      <c r="M19" s="64">
        <v>97.42</v>
      </c>
      <c r="N19" s="64">
        <v>31.9</v>
      </c>
      <c r="O19" s="64">
        <v>0</v>
      </c>
      <c r="P19" s="64">
        <v>1.44</v>
      </c>
      <c r="Q19" s="64">
        <v>9.68</v>
      </c>
      <c r="R19" s="198"/>
      <c r="S19" s="198"/>
      <c r="T19" s="198"/>
      <c r="U19" s="198"/>
    </row>
    <row r="20" spans="1:21" s="12" customFormat="1" x14ac:dyDescent="0.25">
      <c r="A20" s="214" t="s">
        <v>450</v>
      </c>
      <c r="B20" s="64">
        <v>28.86</v>
      </c>
      <c r="C20" s="64">
        <v>13.51</v>
      </c>
      <c r="D20" s="64">
        <v>29.74</v>
      </c>
      <c r="E20" s="64">
        <v>5.49</v>
      </c>
      <c r="F20" s="64">
        <v>3.06</v>
      </c>
      <c r="G20" s="64">
        <v>77.45</v>
      </c>
      <c r="H20" s="64">
        <v>38.94</v>
      </c>
      <c r="I20" s="64">
        <v>5.49</v>
      </c>
      <c r="J20" s="64">
        <v>0.2</v>
      </c>
      <c r="K20" s="64">
        <v>281.73</v>
      </c>
      <c r="L20" s="64">
        <v>15.21</v>
      </c>
      <c r="M20" s="64">
        <v>98.05</v>
      </c>
      <c r="N20" s="64">
        <v>32</v>
      </c>
      <c r="O20" s="64">
        <v>0</v>
      </c>
      <c r="P20" s="64">
        <v>1.36</v>
      </c>
      <c r="Q20" s="64">
        <v>9.68</v>
      </c>
      <c r="R20" s="198"/>
      <c r="S20" s="198"/>
      <c r="T20" s="198"/>
      <c r="U20" s="198"/>
    </row>
    <row r="21" spans="1:21" s="12" customFormat="1" x14ac:dyDescent="0.25">
      <c r="A21" s="214" t="s">
        <v>451</v>
      </c>
      <c r="B21" s="64">
        <v>27.59</v>
      </c>
      <c r="C21" s="64">
        <v>13.28</v>
      </c>
      <c r="D21" s="64">
        <v>28.6</v>
      </c>
      <c r="E21" s="64">
        <v>5.51</v>
      </c>
      <c r="F21" s="64">
        <v>2.94</v>
      </c>
      <c r="G21" s="64">
        <v>76.25</v>
      </c>
      <c r="H21" s="64">
        <v>38.76</v>
      </c>
      <c r="I21" s="64">
        <v>5.35</v>
      </c>
      <c r="J21" s="64">
        <v>0.12</v>
      </c>
      <c r="K21" s="64">
        <v>267.08</v>
      </c>
      <c r="L21" s="64">
        <v>14.74</v>
      </c>
      <c r="M21" s="64">
        <v>98.08</v>
      </c>
      <c r="N21" s="64">
        <v>31.9</v>
      </c>
      <c r="O21" s="64">
        <v>0</v>
      </c>
      <c r="P21" s="64">
        <v>1.31</v>
      </c>
      <c r="Q21" s="64">
        <v>9.67</v>
      </c>
      <c r="R21" s="198"/>
      <c r="S21" s="198"/>
      <c r="T21" s="198"/>
      <c r="U21" s="198"/>
    </row>
    <row r="22" spans="1:21" s="12" customFormat="1" x14ac:dyDescent="0.25">
      <c r="A22" s="214" t="s">
        <v>452</v>
      </c>
      <c r="B22" s="64">
        <v>26.53</v>
      </c>
      <c r="C22" s="64">
        <v>13.63</v>
      </c>
      <c r="D22" s="64">
        <v>27.93</v>
      </c>
      <c r="E22" s="64">
        <v>5.56</v>
      </c>
      <c r="F22" s="64">
        <v>2.8</v>
      </c>
      <c r="G22" s="64">
        <v>70.25</v>
      </c>
      <c r="H22" s="64">
        <v>37.840000000000003</v>
      </c>
      <c r="I22" s="64">
        <v>5.24</v>
      </c>
      <c r="J22" s="64">
        <v>0.26</v>
      </c>
      <c r="K22" s="64">
        <v>331.73</v>
      </c>
      <c r="L22" s="64">
        <v>14.47</v>
      </c>
      <c r="M22" s="64">
        <v>98.11</v>
      </c>
      <c r="N22" s="64">
        <v>31.7</v>
      </c>
      <c r="O22" s="64">
        <v>0</v>
      </c>
      <c r="P22" s="64">
        <v>1.28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4" t="s">
        <v>453</v>
      </c>
      <c r="B23" s="64">
        <v>25.57</v>
      </c>
      <c r="C23" s="64">
        <v>14.01</v>
      </c>
      <c r="D23" s="64">
        <v>27.37</v>
      </c>
      <c r="E23" s="64">
        <v>5.58</v>
      </c>
      <c r="F23" s="64">
        <v>3.03</v>
      </c>
      <c r="G23" s="64">
        <v>70.25</v>
      </c>
      <c r="H23" s="64">
        <v>37.840000000000003</v>
      </c>
      <c r="I23" s="64">
        <v>5.19</v>
      </c>
      <c r="J23" s="64">
        <v>0.37</v>
      </c>
      <c r="K23" s="64">
        <v>5.71</v>
      </c>
      <c r="L23" s="64">
        <v>14.53</v>
      </c>
      <c r="M23" s="64">
        <v>98.13</v>
      </c>
      <c r="N23" s="64">
        <v>31.8</v>
      </c>
      <c r="O23" s="64">
        <v>0</v>
      </c>
      <c r="P23" s="64">
        <v>1.24</v>
      </c>
      <c r="Q23" s="64">
        <v>9.66</v>
      </c>
      <c r="R23" s="198"/>
      <c r="S23" s="198"/>
      <c r="T23" s="198"/>
      <c r="U23" s="198"/>
    </row>
    <row r="24" spans="1:21" s="12" customFormat="1" x14ac:dyDescent="0.25">
      <c r="A24" s="214" t="s">
        <v>454</v>
      </c>
      <c r="B24" s="64">
        <v>24.7</v>
      </c>
      <c r="C24" s="64">
        <v>14.3</v>
      </c>
      <c r="D24" s="64">
        <v>26.82</v>
      </c>
      <c r="E24" s="64">
        <v>5.55</v>
      </c>
      <c r="F24" s="64">
        <v>2.87</v>
      </c>
      <c r="G24" s="64">
        <v>70.25</v>
      </c>
      <c r="H24" s="64">
        <v>37.840000000000003</v>
      </c>
      <c r="I24" s="64">
        <v>5.15</v>
      </c>
      <c r="J24" s="64">
        <v>0.46</v>
      </c>
      <c r="K24" s="64">
        <v>346.5</v>
      </c>
      <c r="L24" s="64">
        <v>14.68</v>
      </c>
      <c r="M24" s="64">
        <v>98.11</v>
      </c>
      <c r="N24" s="64">
        <v>31.3</v>
      </c>
      <c r="O24" s="64">
        <v>0</v>
      </c>
      <c r="P24" s="64">
        <v>1.22</v>
      </c>
      <c r="Q24" s="64">
        <v>9.66</v>
      </c>
      <c r="R24" s="198"/>
      <c r="S24" s="198"/>
      <c r="T24" s="198"/>
      <c r="U24" s="198"/>
    </row>
    <row r="25" spans="1:21" s="12" customFormat="1" x14ac:dyDescent="0.25">
      <c r="A25" s="214" t="s">
        <v>455</v>
      </c>
      <c r="B25" s="64">
        <v>24.08</v>
      </c>
      <c r="C25" s="64">
        <v>14.52</v>
      </c>
      <c r="D25" s="64">
        <v>26.44</v>
      </c>
      <c r="E25" s="64">
        <v>5.61</v>
      </c>
      <c r="F25" s="64">
        <v>2.84</v>
      </c>
      <c r="G25" s="64">
        <v>72.510000000000005</v>
      </c>
      <c r="H25" s="64">
        <v>37.76</v>
      </c>
      <c r="I25" s="64">
        <v>5.15</v>
      </c>
      <c r="J25" s="64">
        <v>0.34</v>
      </c>
      <c r="K25" s="64">
        <v>14.4</v>
      </c>
      <c r="L25" s="64">
        <v>14.87</v>
      </c>
      <c r="M25" s="64">
        <v>98.1</v>
      </c>
      <c r="N25" s="64">
        <v>31.6</v>
      </c>
      <c r="O25" s="64">
        <v>0</v>
      </c>
      <c r="P25" s="64">
        <v>1.2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4" t="s">
        <v>456</v>
      </c>
      <c r="B26" s="64">
        <v>23.63</v>
      </c>
      <c r="C26" s="64">
        <v>14.78</v>
      </c>
      <c r="D26" s="64">
        <v>26.21</v>
      </c>
      <c r="E26" s="64">
        <v>5.68</v>
      </c>
      <c r="F26" s="64">
        <v>2.71</v>
      </c>
      <c r="G26" s="64">
        <v>83.79</v>
      </c>
      <c r="H26" s="64">
        <v>37.479999999999997</v>
      </c>
      <c r="I26" s="64">
        <v>4.7300000000000004</v>
      </c>
      <c r="J26" s="64">
        <v>0.25</v>
      </c>
      <c r="K26" s="64">
        <v>51.51</v>
      </c>
      <c r="L26" s="64">
        <v>14.92</v>
      </c>
      <c r="M26" s="64">
        <v>98.1</v>
      </c>
      <c r="N26" s="64">
        <v>31.6</v>
      </c>
      <c r="O26" s="64">
        <v>0</v>
      </c>
      <c r="P26" s="64">
        <v>1.22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4" t="s">
        <v>457</v>
      </c>
      <c r="B27" s="64">
        <v>23.13</v>
      </c>
      <c r="C27" s="64">
        <v>14.94</v>
      </c>
      <c r="D27" s="64">
        <v>25.89</v>
      </c>
      <c r="E27" s="64">
        <v>5.51</v>
      </c>
      <c r="F27" s="64">
        <v>2.96</v>
      </c>
      <c r="G27" s="64">
        <v>83.79</v>
      </c>
      <c r="H27" s="64">
        <v>37.479999999999997</v>
      </c>
      <c r="I27" s="64">
        <v>4.59</v>
      </c>
      <c r="J27" s="64">
        <v>0.26</v>
      </c>
      <c r="K27" s="64">
        <v>74.27</v>
      </c>
      <c r="L27" s="64">
        <v>14.89</v>
      </c>
      <c r="M27" s="64">
        <v>98.1</v>
      </c>
      <c r="N27" s="64">
        <v>31.5</v>
      </c>
      <c r="O27" s="64">
        <v>0</v>
      </c>
      <c r="P27" s="64">
        <v>1.25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4" t="s">
        <v>458</v>
      </c>
      <c r="B28" s="64">
        <v>22.67</v>
      </c>
      <c r="C28" s="64">
        <v>14.78</v>
      </c>
      <c r="D28" s="64">
        <v>25.45</v>
      </c>
      <c r="E28" s="64">
        <v>5.52</v>
      </c>
      <c r="F28" s="64">
        <v>2.69</v>
      </c>
      <c r="G28" s="64">
        <v>83.79</v>
      </c>
      <c r="H28" s="64">
        <v>37.479999999999997</v>
      </c>
      <c r="I28" s="64">
        <v>4.59</v>
      </c>
      <c r="J28" s="64">
        <v>0.26</v>
      </c>
      <c r="K28" s="64">
        <v>81.77</v>
      </c>
      <c r="L28" s="64">
        <v>14.84</v>
      </c>
      <c r="M28" s="64">
        <v>98.12</v>
      </c>
      <c r="N28" s="64">
        <v>31.7</v>
      </c>
      <c r="O28" s="64">
        <v>0</v>
      </c>
      <c r="P28" s="64">
        <v>1.26</v>
      </c>
      <c r="Q28" s="64">
        <v>9.66</v>
      </c>
      <c r="R28" s="198"/>
      <c r="S28" s="198"/>
      <c r="T28" s="198"/>
      <c r="U28" s="198"/>
    </row>
    <row r="29" spans="1:21" s="12" customFormat="1" x14ac:dyDescent="0.25">
      <c r="A29" s="214" t="s">
        <v>459</v>
      </c>
      <c r="B29" s="64">
        <v>22.22</v>
      </c>
      <c r="C29" s="64">
        <v>14.19</v>
      </c>
      <c r="D29" s="64">
        <v>24.77</v>
      </c>
      <c r="E29" s="64">
        <v>5.18</v>
      </c>
      <c r="F29" s="64">
        <v>2.95</v>
      </c>
      <c r="G29" s="64">
        <v>88.65</v>
      </c>
      <c r="H29" s="64">
        <v>39.229999999999997</v>
      </c>
      <c r="I29" s="64">
        <v>4.58</v>
      </c>
      <c r="J29" s="64">
        <v>0.43</v>
      </c>
      <c r="K29" s="64">
        <v>119.45</v>
      </c>
      <c r="L29" s="64">
        <v>14.95</v>
      </c>
      <c r="M29" s="64">
        <v>98.1</v>
      </c>
      <c r="N29" s="64">
        <v>31.3</v>
      </c>
      <c r="O29" s="64">
        <v>0</v>
      </c>
      <c r="P29" s="64">
        <v>1.3</v>
      </c>
      <c r="Q29" s="64">
        <v>9.67</v>
      </c>
      <c r="R29" s="198"/>
      <c r="S29" s="198"/>
      <c r="T29" s="198"/>
      <c r="U29" s="198"/>
    </row>
    <row r="30" spans="1:21" s="12" customFormat="1" x14ac:dyDescent="0.25">
      <c r="A30" s="214" t="s">
        <v>460</v>
      </c>
      <c r="B30" s="64">
        <v>21.85</v>
      </c>
      <c r="C30" s="64">
        <v>15.11</v>
      </c>
      <c r="D30" s="64">
        <v>24.95</v>
      </c>
      <c r="E30" s="64">
        <v>5.07</v>
      </c>
      <c r="F30" s="64">
        <v>2.82</v>
      </c>
      <c r="G30" s="64">
        <v>112.91</v>
      </c>
      <c r="H30" s="64">
        <v>45.39</v>
      </c>
      <c r="I30" s="64">
        <v>4.5999999999999996</v>
      </c>
      <c r="J30" s="64">
        <v>0.25</v>
      </c>
      <c r="K30" s="64">
        <v>343.71</v>
      </c>
      <c r="L30" s="64">
        <v>14.75</v>
      </c>
      <c r="M30" s="64">
        <v>98.11</v>
      </c>
      <c r="N30" s="64">
        <v>31.9</v>
      </c>
      <c r="O30" s="64">
        <v>0</v>
      </c>
      <c r="P30" s="64">
        <v>1.36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4" t="s">
        <v>461</v>
      </c>
      <c r="B31" s="64">
        <v>22.02</v>
      </c>
      <c r="C31" s="64">
        <v>15.51</v>
      </c>
      <c r="D31" s="64">
        <v>25.3</v>
      </c>
      <c r="E31" s="64">
        <v>5.5</v>
      </c>
      <c r="F31" s="64">
        <v>3.05</v>
      </c>
      <c r="G31" s="64">
        <v>112.91</v>
      </c>
      <c r="H31" s="64">
        <v>45.39</v>
      </c>
      <c r="I31" s="64">
        <v>4.5999999999999996</v>
      </c>
      <c r="J31" s="64">
        <v>0.16</v>
      </c>
      <c r="K31" s="64">
        <v>2.4500000000000002</v>
      </c>
      <c r="L31" s="64">
        <v>14.34</v>
      </c>
      <c r="M31" s="64">
        <v>98.16</v>
      </c>
      <c r="N31" s="64">
        <v>31.7</v>
      </c>
      <c r="O31" s="64">
        <v>0</v>
      </c>
      <c r="P31" s="64">
        <v>1.41</v>
      </c>
      <c r="Q31" s="64">
        <v>9.67</v>
      </c>
      <c r="R31" s="198"/>
      <c r="S31" s="198"/>
      <c r="T31" s="198"/>
      <c r="U31" s="198"/>
    </row>
    <row r="32" spans="1:21" s="12" customFormat="1" x14ac:dyDescent="0.25">
      <c r="A32" s="214" t="s">
        <v>462</v>
      </c>
      <c r="B32" s="64">
        <v>22.14</v>
      </c>
      <c r="C32" s="64">
        <v>15.39</v>
      </c>
      <c r="D32" s="64">
        <v>25.34</v>
      </c>
      <c r="E32" s="64">
        <v>5.66</v>
      </c>
      <c r="F32" s="64">
        <v>2.79</v>
      </c>
      <c r="G32" s="64">
        <v>112.91</v>
      </c>
      <c r="H32" s="64">
        <v>45.39</v>
      </c>
      <c r="I32" s="64">
        <v>4.5999999999999996</v>
      </c>
      <c r="J32" s="64">
        <v>0.39</v>
      </c>
      <c r="K32" s="64">
        <v>335.41</v>
      </c>
      <c r="L32" s="64">
        <v>14.39</v>
      </c>
      <c r="M32" s="64">
        <v>98.12</v>
      </c>
      <c r="N32" s="64">
        <v>31.8</v>
      </c>
      <c r="O32" s="64">
        <v>0</v>
      </c>
      <c r="P32" s="64">
        <v>1.45</v>
      </c>
      <c r="Q32" s="64">
        <v>9.67</v>
      </c>
      <c r="R32" s="198"/>
      <c r="S32" s="198"/>
      <c r="T32" s="198"/>
      <c r="U32" s="198"/>
    </row>
    <row r="33" spans="1:21" s="12" customFormat="1" x14ac:dyDescent="0.25">
      <c r="A33" s="214" t="s">
        <v>463</v>
      </c>
      <c r="B33" s="64">
        <v>22.4</v>
      </c>
      <c r="C33" s="64">
        <v>15.41</v>
      </c>
      <c r="D33" s="64">
        <v>25.55</v>
      </c>
      <c r="E33" s="64">
        <v>5.45</v>
      </c>
      <c r="F33" s="64">
        <v>2.86</v>
      </c>
      <c r="G33" s="64">
        <v>112.91</v>
      </c>
      <c r="H33" s="64">
        <v>46</v>
      </c>
      <c r="I33" s="64">
        <v>4.58</v>
      </c>
      <c r="J33" s="64">
        <v>0.28999999999999998</v>
      </c>
      <c r="K33" s="64">
        <v>229.17</v>
      </c>
      <c r="L33" s="64">
        <v>14.41</v>
      </c>
      <c r="M33" s="64">
        <v>98.09</v>
      </c>
      <c r="N33" s="64">
        <v>31.9</v>
      </c>
      <c r="O33" s="64">
        <v>0</v>
      </c>
      <c r="P33" s="64">
        <v>1.46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4" t="s">
        <v>464</v>
      </c>
      <c r="B34" s="64">
        <v>22.41</v>
      </c>
      <c r="C34" s="64">
        <v>15.65</v>
      </c>
      <c r="D34" s="64">
        <v>25.68</v>
      </c>
      <c r="E34" s="64">
        <v>5.85</v>
      </c>
      <c r="F34" s="64">
        <v>3.12</v>
      </c>
      <c r="G34" s="64">
        <v>112.91</v>
      </c>
      <c r="H34" s="64">
        <v>48.14</v>
      </c>
      <c r="I34" s="64">
        <v>4.57</v>
      </c>
      <c r="J34" s="64">
        <v>0.34</v>
      </c>
      <c r="K34" s="64">
        <v>211.03</v>
      </c>
      <c r="L34" s="64">
        <v>14.75</v>
      </c>
      <c r="M34" s="64">
        <v>98.07</v>
      </c>
      <c r="N34" s="64">
        <v>34.1</v>
      </c>
      <c r="O34" s="64">
        <v>0</v>
      </c>
      <c r="P34" s="64">
        <v>1.48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4" t="s">
        <v>465</v>
      </c>
      <c r="B35" s="64">
        <v>23.24</v>
      </c>
      <c r="C35" s="64">
        <v>15.69</v>
      </c>
      <c r="D35" s="64">
        <v>26.37</v>
      </c>
      <c r="E35" s="64">
        <v>5.56</v>
      </c>
      <c r="F35" s="64">
        <v>3.49</v>
      </c>
      <c r="G35" s="64">
        <v>112.91</v>
      </c>
      <c r="H35" s="64">
        <v>48.14</v>
      </c>
      <c r="I35" s="64">
        <v>4.5599999999999996</v>
      </c>
      <c r="J35" s="64">
        <v>0.37</v>
      </c>
      <c r="K35" s="64">
        <v>332</v>
      </c>
      <c r="L35" s="64">
        <v>14.64</v>
      </c>
      <c r="M35" s="64">
        <v>98.09</v>
      </c>
      <c r="N35" s="64">
        <v>44.4</v>
      </c>
      <c r="O35" s="64">
        <v>0</v>
      </c>
      <c r="P35" s="64">
        <v>1.47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4" t="s">
        <v>466</v>
      </c>
      <c r="B36" s="64">
        <v>25.14</v>
      </c>
      <c r="C36" s="64">
        <v>14.23</v>
      </c>
      <c r="D36" s="64">
        <v>27.13</v>
      </c>
      <c r="E36" s="64">
        <v>5.68</v>
      </c>
      <c r="F36" s="64">
        <v>3.42</v>
      </c>
      <c r="G36" s="64">
        <v>112.91</v>
      </c>
      <c r="H36" s="64">
        <v>48.14</v>
      </c>
      <c r="I36" s="64">
        <v>4.53</v>
      </c>
      <c r="J36" s="64">
        <v>0.2</v>
      </c>
      <c r="K36" s="64">
        <v>289.64</v>
      </c>
      <c r="L36" s="64">
        <v>14.66</v>
      </c>
      <c r="M36" s="64">
        <v>98.08</v>
      </c>
      <c r="N36" s="64">
        <v>58.6</v>
      </c>
      <c r="O36" s="64">
        <v>0</v>
      </c>
      <c r="P36" s="64">
        <v>1.45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4" t="s">
        <v>467</v>
      </c>
      <c r="B37" s="64">
        <v>26.42</v>
      </c>
      <c r="C37" s="64">
        <v>13.1</v>
      </c>
      <c r="D37" s="64">
        <v>27.58</v>
      </c>
      <c r="E37" s="64">
        <v>5.39</v>
      </c>
      <c r="F37" s="64">
        <v>3.25</v>
      </c>
      <c r="G37" s="64">
        <v>110.06</v>
      </c>
      <c r="H37" s="64">
        <v>47.6</v>
      </c>
      <c r="I37" s="64">
        <v>4.54</v>
      </c>
      <c r="J37" s="64">
        <v>0.24</v>
      </c>
      <c r="K37" s="64">
        <v>334.85</v>
      </c>
      <c r="L37" s="64">
        <v>15.21</v>
      </c>
      <c r="M37" s="64">
        <v>94.71</v>
      </c>
      <c r="N37" s="64">
        <v>74</v>
      </c>
      <c r="O37" s="64">
        <v>0</v>
      </c>
      <c r="P37" s="64">
        <v>1.35</v>
      </c>
      <c r="Q37" s="64">
        <v>9.67</v>
      </c>
      <c r="R37" s="198"/>
      <c r="S37" s="198"/>
      <c r="T37" s="198"/>
      <c r="U37" s="198"/>
    </row>
    <row r="38" spans="1:21" s="12" customFormat="1" x14ac:dyDescent="0.25">
      <c r="A38" s="214" t="s">
        <v>468</v>
      </c>
      <c r="B38" s="64">
        <v>26.9</v>
      </c>
      <c r="C38" s="64">
        <v>12.95</v>
      </c>
      <c r="D38" s="64">
        <v>27.88</v>
      </c>
      <c r="E38" s="64">
        <v>5.42</v>
      </c>
      <c r="F38" s="64">
        <v>3.05</v>
      </c>
      <c r="G38" s="64">
        <v>95.8</v>
      </c>
      <c r="H38" s="64">
        <v>44.99</v>
      </c>
      <c r="I38" s="64">
        <v>5.0199999999999996</v>
      </c>
      <c r="J38" s="64">
        <v>0.36</v>
      </c>
      <c r="K38" s="64">
        <v>337.86</v>
      </c>
      <c r="L38" s="64">
        <v>15.89</v>
      </c>
      <c r="M38" s="64">
        <v>91.42</v>
      </c>
      <c r="N38" s="64">
        <v>99.2</v>
      </c>
      <c r="O38" s="64">
        <v>0</v>
      </c>
      <c r="P38" s="64">
        <v>1.34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4" t="s">
        <v>469</v>
      </c>
      <c r="B39" s="64">
        <v>27.6</v>
      </c>
      <c r="C39" s="64">
        <v>12.72</v>
      </c>
      <c r="D39" s="64">
        <v>28.31</v>
      </c>
      <c r="E39" s="64">
        <v>5.37</v>
      </c>
      <c r="F39" s="64">
        <v>2.97</v>
      </c>
      <c r="G39" s="64">
        <v>95.8</v>
      </c>
      <c r="H39" s="64">
        <v>44.99</v>
      </c>
      <c r="I39" s="64">
        <v>5.16</v>
      </c>
      <c r="J39" s="64">
        <v>0.49</v>
      </c>
      <c r="K39" s="64">
        <v>335.69</v>
      </c>
      <c r="L39" s="64">
        <v>17.07</v>
      </c>
      <c r="M39" s="64">
        <v>83.78</v>
      </c>
      <c r="N39" s="64">
        <v>150.19999999999999</v>
      </c>
      <c r="O39" s="64">
        <v>0</v>
      </c>
      <c r="P39" s="64">
        <v>1.32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4" t="s">
        <v>470</v>
      </c>
      <c r="B40" s="64">
        <v>28.47</v>
      </c>
      <c r="C40" s="64">
        <v>12.85</v>
      </c>
      <c r="D40" s="64">
        <v>29.09</v>
      </c>
      <c r="E40" s="64">
        <v>5.38</v>
      </c>
      <c r="F40" s="64">
        <v>2.93</v>
      </c>
      <c r="G40" s="64">
        <v>95.8</v>
      </c>
      <c r="H40" s="64">
        <v>44.99</v>
      </c>
      <c r="I40" s="64">
        <v>5.14</v>
      </c>
      <c r="J40" s="64">
        <v>0.82</v>
      </c>
      <c r="K40" s="64">
        <v>341.53</v>
      </c>
      <c r="L40" s="64">
        <v>18.739999999999998</v>
      </c>
      <c r="M40" s="64">
        <v>74.19</v>
      </c>
      <c r="N40" s="64">
        <v>192</v>
      </c>
      <c r="O40" s="64">
        <v>0</v>
      </c>
      <c r="P40" s="64">
        <v>1.29</v>
      </c>
      <c r="Q40" s="64">
        <v>9.67</v>
      </c>
      <c r="R40" s="198"/>
      <c r="S40" s="198"/>
      <c r="T40" s="198"/>
      <c r="U40" s="198"/>
    </row>
    <row r="41" spans="1:21" s="12" customFormat="1" x14ac:dyDescent="0.25">
      <c r="A41" s="214" t="s">
        <v>471</v>
      </c>
      <c r="B41" s="64">
        <v>29.48</v>
      </c>
      <c r="C41" s="64">
        <v>12.73</v>
      </c>
      <c r="D41" s="64">
        <v>29.83</v>
      </c>
      <c r="E41" s="64">
        <v>6.5</v>
      </c>
      <c r="F41" s="64">
        <v>3.06</v>
      </c>
      <c r="G41" s="64">
        <v>93.74</v>
      </c>
      <c r="H41" s="64">
        <v>44.76</v>
      </c>
      <c r="I41" s="64">
        <v>5.09</v>
      </c>
      <c r="J41" s="64">
        <v>0.81</v>
      </c>
      <c r="K41" s="64">
        <v>338.47</v>
      </c>
      <c r="L41" s="64">
        <v>20.03</v>
      </c>
      <c r="M41" s="64">
        <v>66.510000000000005</v>
      </c>
      <c r="N41" s="64">
        <v>229.1</v>
      </c>
      <c r="O41" s="64">
        <v>0</v>
      </c>
      <c r="P41" s="64">
        <v>1.27</v>
      </c>
      <c r="Q41" s="64">
        <v>9.67</v>
      </c>
      <c r="R41" s="198"/>
      <c r="S41" s="198"/>
      <c r="T41" s="198"/>
      <c r="U41" s="198"/>
    </row>
    <row r="42" spans="1:21" s="12" customFormat="1" x14ac:dyDescent="0.25">
      <c r="A42" s="214" t="s">
        <v>472</v>
      </c>
      <c r="B42" s="64">
        <v>30.04</v>
      </c>
      <c r="C42" s="64">
        <v>12.6</v>
      </c>
      <c r="D42" s="64">
        <v>30.21</v>
      </c>
      <c r="E42" s="64">
        <v>6.54</v>
      </c>
      <c r="F42" s="64">
        <v>2.9</v>
      </c>
      <c r="G42" s="64">
        <v>83.41</v>
      </c>
      <c r="H42" s="64">
        <v>43.93</v>
      </c>
      <c r="I42" s="64">
        <v>5.0199999999999996</v>
      </c>
      <c r="J42" s="64">
        <v>0.94</v>
      </c>
      <c r="K42" s="64">
        <v>342.78</v>
      </c>
      <c r="L42" s="64">
        <v>21.3</v>
      </c>
      <c r="M42" s="64">
        <v>59.75</v>
      </c>
      <c r="N42" s="64">
        <v>272.89999999999998</v>
      </c>
      <c r="O42" s="64">
        <v>0</v>
      </c>
      <c r="P42" s="64">
        <v>1.24</v>
      </c>
      <c r="Q42" s="64">
        <v>9.68</v>
      </c>
      <c r="R42" s="198"/>
      <c r="S42" s="198"/>
      <c r="T42" s="198"/>
      <c r="U42" s="198"/>
    </row>
    <row r="43" spans="1:21" s="12" customFormat="1" x14ac:dyDescent="0.25">
      <c r="A43" s="214" t="s">
        <v>473</v>
      </c>
      <c r="B43" s="64">
        <v>30.09</v>
      </c>
      <c r="C43" s="64">
        <v>13.03</v>
      </c>
      <c r="D43" s="64">
        <v>30.48</v>
      </c>
      <c r="E43" s="64">
        <v>6.61</v>
      </c>
      <c r="F43" s="64">
        <v>2.93</v>
      </c>
      <c r="G43" s="64">
        <v>83.41</v>
      </c>
      <c r="H43" s="64">
        <v>43.93</v>
      </c>
      <c r="I43" s="64">
        <v>4.95</v>
      </c>
      <c r="J43" s="64">
        <v>1.05</v>
      </c>
      <c r="K43" s="64">
        <v>342.53</v>
      </c>
      <c r="L43" s="64">
        <v>22.4</v>
      </c>
      <c r="M43" s="64">
        <v>54.3</v>
      </c>
      <c r="N43" s="64">
        <v>315.8</v>
      </c>
      <c r="O43" s="64">
        <v>0</v>
      </c>
      <c r="P43" s="64">
        <v>1.21</v>
      </c>
      <c r="Q43" s="64">
        <v>9.68</v>
      </c>
      <c r="R43" s="198"/>
      <c r="S43" s="198"/>
      <c r="T43" s="198"/>
      <c r="U43" s="198"/>
    </row>
    <row r="44" spans="1:21" s="12" customFormat="1" x14ac:dyDescent="0.25">
      <c r="A44" s="214" t="s">
        <v>474</v>
      </c>
      <c r="B44" s="64">
        <v>29.75</v>
      </c>
      <c r="C44" s="64">
        <v>13.43</v>
      </c>
      <c r="D44" s="64">
        <v>30.42</v>
      </c>
      <c r="E44" s="64">
        <v>6.79</v>
      </c>
      <c r="F44" s="64">
        <v>2.83</v>
      </c>
      <c r="G44" s="64">
        <v>83.41</v>
      </c>
      <c r="H44" s="64">
        <v>43.93</v>
      </c>
      <c r="I44" s="64">
        <v>4.84</v>
      </c>
      <c r="J44" s="64">
        <v>1.3</v>
      </c>
      <c r="K44" s="64">
        <v>341.87</v>
      </c>
      <c r="L44" s="64">
        <v>23.54</v>
      </c>
      <c r="M44" s="64">
        <v>49.86</v>
      </c>
      <c r="N44" s="64">
        <v>357.3</v>
      </c>
      <c r="O44" s="64">
        <v>0</v>
      </c>
      <c r="P44" s="64">
        <v>1.1599999999999999</v>
      </c>
      <c r="Q44" s="64">
        <v>9.67</v>
      </c>
      <c r="R44" s="198"/>
      <c r="S44" s="198"/>
      <c r="T44" s="198"/>
      <c r="U44" s="198"/>
    </row>
    <row r="45" spans="1:21" s="12" customFormat="1" x14ac:dyDescent="0.25">
      <c r="A45" s="214" t="s">
        <v>475</v>
      </c>
      <c r="B45" s="64">
        <v>29.14</v>
      </c>
      <c r="C45" s="64">
        <v>14.36</v>
      </c>
      <c r="D45" s="64">
        <v>30.41</v>
      </c>
      <c r="E45" s="64">
        <v>6.77</v>
      </c>
      <c r="F45" s="64">
        <v>3.05</v>
      </c>
      <c r="G45" s="64">
        <v>81.5</v>
      </c>
      <c r="H45" s="64">
        <v>42.37</v>
      </c>
      <c r="I45" s="64">
        <v>4.3099999999999996</v>
      </c>
      <c r="J45" s="64">
        <v>1.1599999999999999</v>
      </c>
      <c r="K45" s="64">
        <v>344.58</v>
      </c>
      <c r="L45" s="64">
        <v>24.28</v>
      </c>
      <c r="M45" s="64">
        <v>45.25</v>
      </c>
      <c r="N45" s="64">
        <v>389.7</v>
      </c>
      <c r="O45" s="64">
        <v>0</v>
      </c>
      <c r="P45" s="64">
        <v>1.1200000000000001</v>
      </c>
      <c r="Q45" s="64">
        <v>9.66</v>
      </c>
      <c r="R45" s="198"/>
      <c r="S45" s="198"/>
      <c r="T45" s="198"/>
      <c r="U45" s="198"/>
    </row>
    <row r="46" spans="1:21" s="12" customFormat="1" x14ac:dyDescent="0.25">
      <c r="A46" s="214" t="s">
        <v>476</v>
      </c>
      <c r="B46" s="64">
        <v>28.4</v>
      </c>
      <c r="C46" s="64">
        <v>14.05</v>
      </c>
      <c r="D46" s="64">
        <v>29.65</v>
      </c>
      <c r="E46" s="64">
        <v>7.05</v>
      </c>
      <c r="F46" s="64">
        <v>3.23</v>
      </c>
      <c r="G46" s="64">
        <v>71.98</v>
      </c>
      <c r="H46" s="64">
        <v>36.85</v>
      </c>
      <c r="I46" s="64">
        <v>4.46</v>
      </c>
      <c r="J46" s="64">
        <v>0.48</v>
      </c>
      <c r="K46" s="64">
        <v>336.66</v>
      </c>
      <c r="L46" s="64">
        <v>24.03</v>
      </c>
      <c r="M46" s="64">
        <v>45.43</v>
      </c>
      <c r="N46" s="64">
        <v>421.2</v>
      </c>
      <c r="O46" s="64">
        <v>0</v>
      </c>
      <c r="P46" s="64">
        <v>1.1000000000000001</v>
      </c>
      <c r="Q46" s="64">
        <v>9.67</v>
      </c>
      <c r="R46" s="198"/>
      <c r="S46" s="198"/>
      <c r="T46" s="198"/>
      <c r="U46" s="198"/>
    </row>
    <row r="47" spans="1:21" s="12" customFormat="1" x14ac:dyDescent="0.25">
      <c r="A47" s="214" t="s">
        <v>477</v>
      </c>
      <c r="B47" s="64">
        <v>27</v>
      </c>
      <c r="C47" s="64">
        <v>15.54</v>
      </c>
      <c r="D47" s="64">
        <v>29.31</v>
      </c>
      <c r="E47" s="64">
        <v>7.43</v>
      </c>
      <c r="F47" s="64">
        <v>3.61</v>
      </c>
      <c r="G47" s="64">
        <v>71.98</v>
      </c>
      <c r="H47" s="64">
        <v>36.85</v>
      </c>
      <c r="I47" s="64">
        <v>4.51</v>
      </c>
      <c r="J47" s="64">
        <v>1.18</v>
      </c>
      <c r="K47" s="64">
        <v>343.79</v>
      </c>
      <c r="L47" s="64">
        <v>25.19</v>
      </c>
      <c r="M47" s="64">
        <v>40.6</v>
      </c>
      <c r="N47" s="64">
        <v>450.3</v>
      </c>
      <c r="O47" s="64">
        <v>0</v>
      </c>
      <c r="P47" s="64">
        <v>1.1000000000000001</v>
      </c>
      <c r="Q47" s="64">
        <v>9.67</v>
      </c>
      <c r="R47" s="198"/>
      <c r="S47" s="198"/>
      <c r="T47" s="198"/>
      <c r="U47" s="198"/>
    </row>
    <row r="48" spans="1:21" s="12" customFormat="1" x14ac:dyDescent="0.25">
      <c r="A48" s="214" t="s">
        <v>478</v>
      </c>
      <c r="B48" s="64">
        <v>25.51</v>
      </c>
      <c r="C48" s="64">
        <v>16.79</v>
      </c>
      <c r="D48" s="64">
        <v>28.76</v>
      </c>
      <c r="E48" s="64">
        <v>7.53</v>
      </c>
      <c r="F48" s="64">
        <v>3.81</v>
      </c>
      <c r="G48" s="64">
        <v>71.98</v>
      </c>
      <c r="H48" s="64">
        <v>36.85</v>
      </c>
      <c r="I48" s="64">
        <v>4.4400000000000004</v>
      </c>
      <c r="J48" s="64">
        <v>0.79</v>
      </c>
      <c r="K48" s="64">
        <v>335.76</v>
      </c>
      <c r="L48" s="64">
        <v>25.71</v>
      </c>
      <c r="M48" s="64">
        <v>38.28</v>
      </c>
      <c r="N48" s="64">
        <v>473.2</v>
      </c>
      <c r="O48" s="64">
        <v>0</v>
      </c>
      <c r="P48" s="64">
        <v>1.1100000000000001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4" t="s">
        <v>479</v>
      </c>
      <c r="B49" s="64">
        <v>14.78</v>
      </c>
      <c r="C49" s="64">
        <v>31.13</v>
      </c>
      <c r="D49" s="64">
        <v>27.66</v>
      </c>
      <c r="E49" s="64">
        <v>11.28</v>
      </c>
      <c r="F49" s="64">
        <v>4.91</v>
      </c>
      <c r="G49" s="64">
        <v>67.599999999999994</v>
      </c>
      <c r="H49" s="64">
        <v>34.92</v>
      </c>
      <c r="I49" s="64">
        <v>4.37</v>
      </c>
      <c r="J49" s="64">
        <v>1.1399999999999999</v>
      </c>
      <c r="K49" s="64">
        <v>343.57</v>
      </c>
      <c r="L49" s="64">
        <v>26.4</v>
      </c>
      <c r="M49" s="64">
        <v>36.79</v>
      </c>
      <c r="N49" s="64">
        <v>493.3</v>
      </c>
      <c r="O49" s="64">
        <v>0</v>
      </c>
      <c r="P49" s="64">
        <v>0.97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4" t="s">
        <v>480</v>
      </c>
      <c r="B50" s="64">
        <v>9.06</v>
      </c>
      <c r="C50" s="64">
        <v>37.17</v>
      </c>
      <c r="D50" s="64">
        <v>26.22</v>
      </c>
      <c r="E50" s="64">
        <v>9.17</v>
      </c>
      <c r="F50" s="64">
        <v>4.8</v>
      </c>
      <c r="G50" s="64">
        <v>45.7</v>
      </c>
      <c r="H50" s="64">
        <v>27.74</v>
      </c>
      <c r="I50" s="64">
        <v>4.1500000000000004</v>
      </c>
      <c r="J50" s="64">
        <v>0.24</v>
      </c>
      <c r="K50" s="64">
        <v>80.31</v>
      </c>
      <c r="L50" s="64">
        <v>25.35</v>
      </c>
      <c r="M50" s="64">
        <v>39.92</v>
      </c>
      <c r="N50" s="64">
        <v>504.6</v>
      </c>
      <c r="O50" s="64">
        <v>0</v>
      </c>
      <c r="P50" s="64">
        <v>0.94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4" t="s">
        <v>481</v>
      </c>
      <c r="B51" s="64">
        <v>8.64</v>
      </c>
      <c r="C51" s="64">
        <v>34.36</v>
      </c>
      <c r="D51" s="64">
        <v>24.42</v>
      </c>
      <c r="E51" s="64">
        <v>13.38</v>
      </c>
      <c r="F51" s="64">
        <v>6.81</v>
      </c>
      <c r="G51" s="64">
        <v>45.7</v>
      </c>
      <c r="H51" s="64">
        <v>27.74</v>
      </c>
      <c r="I51" s="64">
        <v>3.28</v>
      </c>
      <c r="J51" s="64">
        <v>1.26</v>
      </c>
      <c r="K51" s="64">
        <v>340.55</v>
      </c>
      <c r="L51" s="64">
        <v>26.37</v>
      </c>
      <c r="M51" s="64">
        <v>36.340000000000003</v>
      </c>
      <c r="N51" s="64">
        <v>514.79999999999995</v>
      </c>
      <c r="O51" s="64">
        <v>0</v>
      </c>
      <c r="P51" s="64">
        <v>0.88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4" t="s">
        <v>482</v>
      </c>
      <c r="B52" s="64">
        <v>8.57</v>
      </c>
      <c r="C52" s="64">
        <v>32.83</v>
      </c>
      <c r="D52" s="64">
        <v>23.57</v>
      </c>
      <c r="E52" s="64">
        <v>11.8</v>
      </c>
      <c r="F52" s="64">
        <v>5.67</v>
      </c>
      <c r="G52" s="64">
        <v>45.7</v>
      </c>
      <c r="H52" s="64">
        <v>27.74</v>
      </c>
      <c r="I52" s="64">
        <v>2.99</v>
      </c>
      <c r="J52" s="64">
        <v>0.66</v>
      </c>
      <c r="K52" s="64">
        <v>342.07</v>
      </c>
      <c r="L52" s="64">
        <v>27.34</v>
      </c>
      <c r="M52" s="64">
        <v>33.89</v>
      </c>
      <c r="N52" s="64">
        <v>517.9</v>
      </c>
      <c r="O52" s="64">
        <v>0</v>
      </c>
      <c r="P52" s="64">
        <v>0.89</v>
      </c>
      <c r="Q52" s="64">
        <v>9.64</v>
      </c>
      <c r="R52" s="198"/>
      <c r="S52" s="198"/>
      <c r="T52" s="198"/>
      <c r="U52" s="198"/>
    </row>
    <row r="53" spans="1:21" s="12" customFormat="1" x14ac:dyDescent="0.25">
      <c r="A53" s="214" t="s">
        <v>483</v>
      </c>
      <c r="B53" s="64">
        <v>8.5500000000000007</v>
      </c>
      <c r="C53" s="64">
        <v>31.74</v>
      </c>
      <c r="D53" s="64">
        <v>22.98</v>
      </c>
      <c r="E53" s="64">
        <v>10.89</v>
      </c>
      <c r="F53" s="64">
        <v>5.03</v>
      </c>
      <c r="G53" s="64">
        <v>47.87</v>
      </c>
      <c r="H53" s="64">
        <v>27.36</v>
      </c>
      <c r="I53" s="64">
        <v>2.92</v>
      </c>
      <c r="J53" s="64">
        <v>0.31</v>
      </c>
      <c r="K53" s="64">
        <v>126.82</v>
      </c>
      <c r="L53" s="64">
        <v>27.14</v>
      </c>
      <c r="M53" s="64">
        <v>33.700000000000003</v>
      </c>
      <c r="N53" s="64">
        <v>529.9</v>
      </c>
      <c r="O53" s="64">
        <v>0</v>
      </c>
      <c r="P53" s="64">
        <v>0.84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4" t="s">
        <v>484</v>
      </c>
      <c r="B54" s="64">
        <v>7.81</v>
      </c>
      <c r="C54" s="64">
        <v>31.7</v>
      </c>
      <c r="D54" s="64">
        <v>22.36</v>
      </c>
      <c r="E54" s="64">
        <v>9.9</v>
      </c>
      <c r="F54" s="64">
        <v>4.13</v>
      </c>
      <c r="G54" s="64">
        <v>58.71</v>
      </c>
      <c r="H54" s="64">
        <v>25.56</v>
      </c>
      <c r="I54" s="64">
        <v>2.86</v>
      </c>
      <c r="J54" s="64">
        <v>0.28000000000000003</v>
      </c>
      <c r="K54" s="64">
        <v>65.47</v>
      </c>
      <c r="L54" s="64">
        <v>26.44</v>
      </c>
      <c r="M54" s="64">
        <v>34.78</v>
      </c>
      <c r="N54" s="64">
        <v>534.20000000000005</v>
      </c>
      <c r="O54" s="64">
        <v>0</v>
      </c>
      <c r="P54" s="64">
        <v>0.8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4" t="s">
        <v>485</v>
      </c>
      <c r="B55" s="64">
        <v>7.54</v>
      </c>
      <c r="C55" s="64">
        <v>32.630000000000003</v>
      </c>
      <c r="D55" s="64">
        <v>22.63</v>
      </c>
      <c r="E55" s="64">
        <v>10.43</v>
      </c>
      <c r="F55" s="64">
        <v>5.13</v>
      </c>
      <c r="G55" s="64">
        <v>58.71</v>
      </c>
      <c r="H55" s="64">
        <v>25.56</v>
      </c>
      <c r="I55" s="64">
        <v>2.81</v>
      </c>
      <c r="J55" s="64">
        <v>0.4</v>
      </c>
      <c r="K55" s="64">
        <v>344.35</v>
      </c>
      <c r="L55" s="64">
        <v>26.89</v>
      </c>
      <c r="M55" s="64">
        <v>33.42</v>
      </c>
      <c r="N55" s="64">
        <v>529.29999999999995</v>
      </c>
      <c r="O55" s="64">
        <v>0</v>
      </c>
      <c r="P55" s="64">
        <v>0.73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4" t="s">
        <v>486</v>
      </c>
      <c r="B56" s="64">
        <v>8.0299999999999994</v>
      </c>
      <c r="C56" s="64">
        <v>31.63</v>
      </c>
      <c r="D56" s="64">
        <v>22.5</v>
      </c>
      <c r="E56" s="64">
        <v>8.67</v>
      </c>
      <c r="F56" s="64">
        <v>4.53</v>
      </c>
      <c r="G56" s="64">
        <v>58.71</v>
      </c>
      <c r="H56" s="64">
        <v>25.56</v>
      </c>
      <c r="I56" s="64">
        <v>2.68</v>
      </c>
      <c r="J56" s="64">
        <v>1.02</v>
      </c>
      <c r="K56" s="64">
        <v>335.6</v>
      </c>
      <c r="L56" s="64">
        <v>28.17</v>
      </c>
      <c r="M56" s="64">
        <v>29.93</v>
      </c>
      <c r="N56" s="64">
        <v>517.79999999999995</v>
      </c>
      <c r="O56" s="64">
        <v>0</v>
      </c>
      <c r="P56" s="64">
        <v>0.7</v>
      </c>
      <c r="Q56" s="64">
        <v>9.6300000000000008</v>
      </c>
      <c r="R56" s="198"/>
      <c r="S56" s="198"/>
      <c r="T56" s="198"/>
      <c r="U56" s="198"/>
    </row>
    <row r="57" spans="1:21" s="12" customFormat="1" x14ac:dyDescent="0.25">
      <c r="A57" s="214" t="s">
        <v>487</v>
      </c>
      <c r="B57" s="64">
        <v>7.82</v>
      </c>
      <c r="C57" s="64">
        <v>30.11</v>
      </c>
      <c r="D57" s="64">
        <v>21.54</v>
      </c>
      <c r="E57" s="64">
        <v>8.92</v>
      </c>
      <c r="F57" s="64">
        <v>4.5999999999999996</v>
      </c>
      <c r="G57" s="64">
        <v>55.72</v>
      </c>
      <c r="H57" s="64">
        <v>24.03</v>
      </c>
      <c r="I57" s="64">
        <v>2.54</v>
      </c>
      <c r="J57" s="64">
        <v>0.27</v>
      </c>
      <c r="K57" s="64">
        <v>80.069999999999993</v>
      </c>
      <c r="L57" s="64">
        <v>26.95</v>
      </c>
      <c r="M57" s="64">
        <v>33.57</v>
      </c>
      <c r="N57" s="64">
        <v>521.29999999999995</v>
      </c>
      <c r="O57" s="64">
        <v>0</v>
      </c>
      <c r="P57" s="64">
        <v>0.68</v>
      </c>
      <c r="Q57" s="64">
        <v>9.64</v>
      </c>
      <c r="R57" s="198"/>
      <c r="S57" s="198"/>
      <c r="T57" s="198"/>
      <c r="U57" s="198"/>
    </row>
    <row r="58" spans="1:21" s="12" customFormat="1" x14ac:dyDescent="0.25">
      <c r="A58" s="214" t="s">
        <v>488</v>
      </c>
      <c r="B58" s="64">
        <v>7.15</v>
      </c>
      <c r="C58" s="64">
        <v>29.74</v>
      </c>
      <c r="D58" s="64">
        <v>20.81</v>
      </c>
      <c r="E58" s="64">
        <v>11.09</v>
      </c>
      <c r="F58" s="64">
        <v>9.42</v>
      </c>
      <c r="G58" s="64">
        <v>40.79</v>
      </c>
      <c r="H58" s="64">
        <v>18.73</v>
      </c>
      <c r="I58" s="64">
        <v>2.5</v>
      </c>
      <c r="J58" s="64">
        <v>0.84</v>
      </c>
      <c r="K58" s="64">
        <v>337.17</v>
      </c>
      <c r="L58" s="64">
        <v>27.66</v>
      </c>
      <c r="M58" s="64">
        <v>31.56</v>
      </c>
      <c r="N58" s="64">
        <v>495.4</v>
      </c>
      <c r="O58" s="64">
        <v>0</v>
      </c>
      <c r="P58" s="64">
        <v>0.65</v>
      </c>
      <c r="Q58" s="64">
        <v>9.64</v>
      </c>
      <c r="R58" s="198"/>
      <c r="S58" s="198"/>
      <c r="T58" s="198"/>
      <c r="U58" s="198"/>
    </row>
    <row r="59" spans="1:21" s="12" customFormat="1" x14ac:dyDescent="0.25">
      <c r="A59" s="214" t="s">
        <v>489</v>
      </c>
      <c r="B59" s="64">
        <v>5.44</v>
      </c>
      <c r="C59" s="64">
        <v>31.04</v>
      </c>
      <c r="D59" s="64">
        <v>20.12</v>
      </c>
      <c r="E59" s="64">
        <v>13.66</v>
      </c>
      <c r="F59" s="64">
        <v>13.09</v>
      </c>
      <c r="G59" s="64">
        <v>40.79</v>
      </c>
      <c r="H59" s="64">
        <v>18.73</v>
      </c>
      <c r="I59" s="64">
        <v>2.4700000000000002</v>
      </c>
      <c r="J59" s="64">
        <v>0.73</v>
      </c>
      <c r="K59" s="64">
        <v>334.49</v>
      </c>
      <c r="L59" s="64">
        <v>27.47</v>
      </c>
      <c r="M59" s="64">
        <v>32.24</v>
      </c>
      <c r="N59" s="64">
        <v>472.8</v>
      </c>
      <c r="O59" s="64">
        <v>0</v>
      </c>
      <c r="P59" s="64">
        <v>0.62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4" t="s">
        <v>490</v>
      </c>
      <c r="B60" s="64">
        <v>5.63</v>
      </c>
      <c r="C60" s="64">
        <v>32.9</v>
      </c>
      <c r="D60" s="64">
        <v>21.25</v>
      </c>
      <c r="E60" s="64">
        <v>12.43</v>
      </c>
      <c r="F60" s="64">
        <v>7.58</v>
      </c>
      <c r="G60" s="64">
        <v>40.79</v>
      </c>
      <c r="H60" s="64">
        <v>18.73</v>
      </c>
      <c r="I60" s="64">
        <v>2.36</v>
      </c>
      <c r="J60" s="64">
        <v>1.56</v>
      </c>
      <c r="K60" s="64">
        <v>338.98</v>
      </c>
      <c r="L60" s="64">
        <v>28.2</v>
      </c>
      <c r="M60" s="64">
        <v>29.86</v>
      </c>
      <c r="N60" s="64">
        <v>472.1</v>
      </c>
      <c r="O60" s="64">
        <v>0</v>
      </c>
      <c r="P60" s="64">
        <v>0.61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4" t="s">
        <v>491</v>
      </c>
      <c r="B61" s="64">
        <v>4</v>
      </c>
      <c r="C61" s="64">
        <v>32.51</v>
      </c>
      <c r="D61" s="64">
        <v>19.73</v>
      </c>
      <c r="E61" s="64">
        <v>10.27</v>
      </c>
      <c r="F61" s="64">
        <v>6.16</v>
      </c>
      <c r="G61" s="64">
        <v>38.15</v>
      </c>
      <c r="H61" s="64">
        <v>18.72</v>
      </c>
      <c r="I61" s="64">
        <v>2.2400000000000002</v>
      </c>
      <c r="J61" s="64">
        <v>0.17</v>
      </c>
      <c r="K61" s="64">
        <v>42.14</v>
      </c>
      <c r="L61" s="64">
        <v>27.69</v>
      </c>
      <c r="M61" s="64">
        <v>31</v>
      </c>
      <c r="N61" s="64">
        <v>442.3</v>
      </c>
      <c r="O61" s="64">
        <v>0</v>
      </c>
      <c r="P61" s="64">
        <v>0.74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4" t="s">
        <v>492</v>
      </c>
      <c r="B62" s="64">
        <v>4.76</v>
      </c>
      <c r="C62" s="64">
        <v>31.09</v>
      </c>
      <c r="D62" s="64">
        <v>19.600000000000001</v>
      </c>
      <c r="E62" s="64">
        <v>9.49</v>
      </c>
      <c r="F62" s="64">
        <v>5.63</v>
      </c>
      <c r="G62" s="64">
        <v>24.92</v>
      </c>
      <c r="H62" s="64">
        <v>18.71</v>
      </c>
      <c r="I62" s="64">
        <v>2.14</v>
      </c>
      <c r="J62" s="64">
        <v>1.1599999999999999</v>
      </c>
      <c r="K62" s="64">
        <v>340.22</v>
      </c>
      <c r="L62" s="64">
        <v>27.43</v>
      </c>
      <c r="M62" s="64">
        <v>31.4</v>
      </c>
      <c r="N62" s="64">
        <v>417.7</v>
      </c>
      <c r="O62" s="64">
        <v>0</v>
      </c>
      <c r="P62" s="64">
        <v>0.79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4" t="s">
        <v>493</v>
      </c>
      <c r="B63" s="64">
        <v>5.21</v>
      </c>
      <c r="C63" s="64">
        <v>30.6</v>
      </c>
      <c r="D63" s="64">
        <v>19.71</v>
      </c>
      <c r="E63" s="64">
        <v>10</v>
      </c>
      <c r="F63" s="64">
        <v>5.23</v>
      </c>
      <c r="G63" s="64">
        <v>24.92</v>
      </c>
      <c r="H63" s="64">
        <v>18.71</v>
      </c>
      <c r="I63" s="64">
        <v>2.12</v>
      </c>
      <c r="J63" s="64">
        <v>0.54</v>
      </c>
      <c r="K63" s="64">
        <v>359.87</v>
      </c>
      <c r="L63" s="64">
        <v>27.37</v>
      </c>
      <c r="M63" s="64">
        <v>31.2</v>
      </c>
      <c r="N63" s="64">
        <v>395.7</v>
      </c>
      <c r="O63" s="64">
        <v>0</v>
      </c>
      <c r="P63" s="64">
        <v>0.77</v>
      </c>
      <c r="Q63" s="64">
        <v>9.6300000000000008</v>
      </c>
      <c r="R63" s="198"/>
      <c r="S63" s="198"/>
      <c r="T63" s="198"/>
      <c r="U63" s="198"/>
    </row>
    <row r="64" spans="1:21" s="12" customFormat="1" x14ac:dyDescent="0.25">
      <c r="A64" s="214" t="s">
        <v>494</v>
      </c>
      <c r="B64" s="64">
        <v>4.84</v>
      </c>
      <c r="C64" s="64">
        <v>27.8</v>
      </c>
      <c r="D64" s="64">
        <v>17.940000000000001</v>
      </c>
      <c r="E64" s="64">
        <v>9.2799999999999994</v>
      </c>
      <c r="F64" s="64">
        <v>10.45</v>
      </c>
      <c r="G64" s="64">
        <v>24.92</v>
      </c>
      <c r="H64" s="64">
        <v>18.71</v>
      </c>
      <c r="I64" s="64">
        <v>2.11</v>
      </c>
      <c r="J64" s="64">
        <v>0.6</v>
      </c>
      <c r="K64" s="64">
        <v>100.5</v>
      </c>
      <c r="L64" s="64">
        <v>25.47</v>
      </c>
      <c r="M64" s="64">
        <v>35.1</v>
      </c>
      <c r="N64" s="64">
        <v>319.7</v>
      </c>
      <c r="O64" s="64">
        <v>0</v>
      </c>
      <c r="P64" s="64">
        <v>0.75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4" t="s">
        <v>495</v>
      </c>
      <c r="B65" s="64">
        <v>5.37</v>
      </c>
      <c r="C65" s="64">
        <v>28.48</v>
      </c>
      <c r="D65" s="64">
        <v>18.73</v>
      </c>
      <c r="E65" s="64">
        <v>9.66</v>
      </c>
      <c r="F65" s="64">
        <v>8.07</v>
      </c>
      <c r="G65" s="64">
        <v>31.09</v>
      </c>
      <c r="H65" s="64">
        <v>19.059999999999999</v>
      </c>
      <c r="I65" s="64">
        <v>2.11</v>
      </c>
      <c r="J65" s="64">
        <v>0.26</v>
      </c>
      <c r="K65" s="64">
        <v>59.7</v>
      </c>
      <c r="L65" s="64">
        <v>24.94</v>
      </c>
      <c r="M65" s="64">
        <v>35.18</v>
      </c>
      <c r="N65" s="64">
        <v>143.19999999999999</v>
      </c>
      <c r="O65" s="64">
        <v>0</v>
      </c>
      <c r="P65" s="64">
        <v>0.73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4" t="s">
        <v>496</v>
      </c>
      <c r="B66" s="64">
        <v>5.0599999999999996</v>
      </c>
      <c r="C66" s="64">
        <v>26.29</v>
      </c>
      <c r="D66" s="64">
        <v>17.329999999999998</v>
      </c>
      <c r="E66" s="64">
        <v>9.7899999999999991</v>
      </c>
      <c r="F66" s="64">
        <v>10.08</v>
      </c>
      <c r="G66" s="64">
        <v>61.91</v>
      </c>
      <c r="H66" s="64">
        <v>20.3</v>
      </c>
      <c r="I66" s="64">
        <v>2.37</v>
      </c>
      <c r="J66" s="64">
        <v>0.85</v>
      </c>
      <c r="K66" s="64">
        <v>116.3</v>
      </c>
      <c r="L66" s="64">
        <v>24.7</v>
      </c>
      <c r="M66" s="64">
        <v>35.409999999999997</v>
      </c>
      <c r="N66" s="64">
        <v>142.6</v>
      </c>
      <c r="O66" s="64">
        <v>0</v>
      </c>
      <c r="P66" s="64">
        <v>0.77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4" t="s">
        <v>497</v>
      </c>
      <c r="B67" s="64">
        <v>4.32</v>
      </c>
      <c r="C67" s="64">
        <v>28.18</v>
      </c>
      <c r="D67" s="64">
        <v>17.73</v>
      </c>
      <c r="E67" s="64">
        <v>10.199999999999999</v>
      </c>
      <c r="F67" s="64">
        <v>12.82</v>
      </c>
      <c r="G67" s="64">
        <v>61.91</v>
      </c>
      <c r="H67" s="64">
        <v>20.3</v>
      </c>
      <c r="I67" s="64">
        <v>2.4500000000000002</v>
      </c>
      <c r="J67" s="64">
        <v>0.69</v>
      </c>
      <c r="K67" s="64">
        <v>344.67</v>
      </c>
      <c r="L67" s="64">
        <v>24.84</v>
      </c>
      <c r="M67" s="64">
        <v>34.25</v>
      </c>
      <c r="N67" s="64">
        <v>109.3</v>
      </c>
      <c r="O67" s="64">
        <v>0</v>
      </c>
      <c r="P67" s="64">
        <v>0.76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4" t="s">
        <v>498</v>
      </c>
      <c r="B68" s="64">
        <v>4.67</v>
      </c>
      <c r="C68" s="64">
        <v>31.09</v>
      </c>
      <c r="D68" s="64">
        <v>19.53</v>
      </c>
      <c r="E68" s="64">
        <v>12.41</v>
      </c>
      <c r="F68" s="64">
        <v>17.25</v>
      </c>
      <c r="G68" s="64">
        <v>61.91</v>
      </c>
      <c r="H68" s="64">
        <v>20.3</v>
      </c>
      <c r="I68" s="64">
        <v>2.42</v>
      </c>
      <c r="J68" s="64">
        <v>0.3</v>
      </c>
      <c r="K68" s="64">
        <v>18.420000000000002</v>
      </c>
      <c r="L68" s="64">
        <v>24.92</v>
      </c>
      <c r="M68" s="64">
        <v>34.08</v>
      </c>
      <c r="N68" s="64">
        <v>96.3</v>
      </c>
      <c r="O68" s="64">
        <v>0</v>
      </c>
      <c r="P68" s="64">
        <v>0.77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4" t="s">
        <v>499</v>
      </c>
      <c r="B69" s="64">
        <v>3.53</v>
      </c>
      <c r="C69" s="64">
        <v>29.5</v>
      </c>
      <c r="D69" s="64">
        <v>17.78</v>
      </c>
      <c r="E69" s="64">
        <v>16.940000000000001</v>
      </c>
      <c r="F69" s="64">
        <v>21</v>
      </c>
      <c r="G69" s="64">
        <v>59.58</v>
      </c>
      <c r="H69" s="64">
        <v>20</v>
      </c>
      <c r="I69" s="64">
        <v>2.41</v>
      </c>
      <c r="J69" s="64">
        <v>0.12</v>
      </c>
      <c r="K69" s="64">
        <v>102.87</v>
      </c>
      <c r="L69" s="64">
        <v>24.47</v>
      </c>
      <c r="M69" s="64">
        <v>34.909999999999997</v>
      </c>
      <c r="N69" s="64">
        <v>88.5</v>
      </c>
      <c r="O69" s="64">
        <v>0</v>
      </c>
      <c r="P69" s="64">
        <v>0.7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4" t="s">
        <v>500</v>
      </c>
      <c r="B70" s="64">
        <v>2.62</v>
      </c>
      <c r="C70" s="64">
        <v>25.76</v>
      </c>
      <c r="D70" s="64">
        <v>15.1</v>
      </c>
      <c r="E70" s="64">
        <v>18.149999999999999</v>
      </c>
      <c r="F70" s="64">
        <v>24.27</v>
      </c>
      <c r="G70" s="64">
        <v>47.92</v>
      </c>
      <c r="H70" s="64">
        <v>18.559999999999999</v>
      </c>
      <c r="I70" s="64">
        <v>2.33</v>
      </c>
      <c r="J70" s="64">
        <v>0.47</v>
      </c>
      <c r="K70" s="64">
        <v>112.89</v>
      </c>
      <c r="L70" s="64">
        <v>24.28</v>
      </c>
      <c r="M70" s="64">
        <v>34.01</v>
      </c>
      <c r="N70" s="64">
        <v>82.6</v>
      </c>
      <c r="O70" s="64">
        <v>0</v>
      </c>
      <c r="P70" s="64">
        <v>0.7</v>
      </c>
      <c r="Q70" s="64">
        <v>9.64</v>
      </c>
      <c r="R70" s="198"/>
      <c r="S70" s="198"/>
      <c r="T70" s="198"/>
      <c r="U70" s="198"/>
    </row>
    <row r="71" spans="1:21" s="12" customFormat="1" x14ac:dyDescent="0.25">
      <c r="A71" s="214" t="s">
        <v>501</v>
      </c>
      <c r="B71" s="64">
        <v>4.59</v>
      </c>
      <c r="C71" s="64">
        <v>28.11</v>
      </c>
      <c r="D71" s="64">
        <v>17.91</v>
      </c>
      <c r="E71" s="64">
        <v>15.09</v>
      </c>
      <c r="F71" s="64">
        <v>11.61</v>
      </c>
      <c r="G71" s="64">
        <v>47.92</v>
      </c>
      <c r="H71" s="64">
        <v>18.559999999999999</v>
      </c>
      <c r="I71" s="64">
        <v>2.0299999999999998</v>
      </c>
      <c r="J71" s="64">
        <v>0.26</v>
      </c>
      <c r="K71" s="64">
        <v>338.93</v>
      </c>
      <c r="L71" s="64">
        <v>24.1</v>
      </c>
      <c r="M71" s="64">
        <v>34.94</v>
      </c>
      <c r="N71" s="64">
        <v>74.400000000000006</v>
      </c>
      <c r="O71" s="64">
        <v>0</v>
      </c>
      <c r="P71" s="64">
        <v>0.74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4" t="s">
        <v>502</v>
      </c>
      <c r="B72" s="64">
        <v>3.86</v>
      </c>
      <c r="C72" s="64">
        <v>27.44</v>
      </c>
      <c r="D72" s="64">
        <v>16.97</v>
      </c>
      <c r="E72" s="64">
        <v>8.56</v>
      </c>
      <c r="F72" s="64">
        <v>10.99</v>
      </c>
      <c r="G72" s="64">
        <v>47.92</v>
      </c>
      <c r="H72" s="64">
        <v>18.559999999999999</v>
      </c>
      <c r="I72" s="64">
        <v>2.16</v>
      </c>
      <c r="J72" s="64">
        <v>0.41</v>
      </c>
      <c r="K72" s="64">
        <v>342.54</v>
      </c>
      <c r="L72" s="64">
        <v>23.97</v>
      </c>
      <c r="M72" s="64">
        <v>34.79</v>
      </c>
      <c r="N72" s="64">
        <v>67.400000000000006</v>
      </c>
      <c r="O72" s="64">
        <v>0</v>
      </c>
      <c r="P72" s="64">
        <v>0.7</v>
      </c>
      <c r="Q72" s="64">
        <v>9.61</v>
      </c>
      <c r="R72" s="198"/>
      <c r="S72" s="198"/>
      <c r="T72" s="198"/>
      <c r="U72" s="198"/>
    </row>
    <row r="73" spans="1:21" s="12" customFormat="1" x14ac:dyDescent="0.25">
      <c r="A73" s="214" t="s">
        <v>503</v>
      </c>
      <c r="B73" s="64">
        <v>6.11</v>
      </c>
      <c r="C73" s="64">
        <v>33.880000000000003</v>
      </c>
      <c r="D73" s="64">
        <v>22.14</v>
      </c>
      <c r="E73" s="64">
        <v>9.2100000000000009</v>
      </c>
      <c r="F73" s="64">
        <v>9.5</v>
      </c>
      <c r="G73" s="64">
        <v>46.58</v>
      </c>
      <c r="H73" s="64">
        <v>18.54</v>
      </c>
      <c r="I73" s="64">
        <v>2.23</v>
      </c>
      <c r="J73" s="64">
        <v>0.65</v>
      </c>
      <c r="K73" s="64">
        <v>350.47</v>
      </c>
      <c r="L73" s="64">
        <v>23.92</v>
      </c>
      <c r="M73" s="64">
        <v>34.1</v>
      </c>
      <c r="N73" s="64">
        <v>60.3</v>
      </c>
      <c r="O73" s="64">
        <v>0</v>
      </c>
      <c r="P73" s="64">
        <v>0.73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4" t="s">
        <v>504</v>
      </c>
      <c r="B74" s="64">
        <v>5.38</v>
      </c>
      <c r="C74" s="64">
        <v>34.299999999999997</v>
      </c>
      <c r="D74" s="64">
        <v>21.77</v>
      </c>
      <c r="E74" s="64">
        <v>7.96</v>
      </c>
      <c r="F74" s="64">
        <v>5.24</v>
      </c>
      <c r="G74" s="64">
        <v>39.92</v>
      </c>
      <c r="H74" s="64">
        <v>18.47</v>
      </c>
      <c r="I74" s="64">
        <v>2.23</v>
      </c>
      <c r="J74" s="64">
        <v>0.7</v>
      </c>
      <c r="K74" s="64">
        <v>341.05</v>
      </c>
      <c r="L74" s="64">
        <v>23.68</v>
      </c>
      <c r="M74" s="64">
        <v>34.049999999999997</v>
      </c>
      <c r="N74" s="64">
        <v>53.4</v>
      </c>
      <c r="O74" s="64">
        <v>0</v>
      </c>
      <c r="P74" s="64">
        <v>0.76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4" t="s">
        <v>505</v>
      </c>
      <c r="B75" s="64">
        <v>5.0199999999999996</v>
      </c>
      <c r="C75" s="64">
        <v>35.99</v>
      </c>
      <c r="D75" s="64">
        <v>22.37</v>
      </c>
      <c r="E75" s="64">
        <v>7.57</v>
      </c>
      <c r="F75" s="64">
        <v>7.49</v>
      </c>
      <c r="G75" s="64">
        <v>39.92</v>
      </c>
      <c r="H75" s="64">
        <v>18.47</v>
      </c>
      <c r="I75" s="64">
        <v>1.99</v>
      </c>
      <c r="J75" s="64">
        <v>0.24</v>
      </c>
      <c r="K75" s="64">
        <v>32.83</v>
      </c>
      <c r="L75" s="64">
        <v>23.18</v>
      </c>
      <c r="M75" s="64">
        <v>35.5</v>
      </c>
      <c r="N75" s="64">
        <v>47.6</v>
      </c>
      <c r="O75" s="64">
        <v>0</v>
      </c>
      <c r="P75" s="64">
        <v>0.86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506</v>
      </c>
      <c r="B76" s="64">
        <v>4.8600000000000003</v>
      </c>
      <c r="C76" s="64">
        <v>32.36</v>
      </c>
      <c r="D76" s="64">
        <v>19.75</v>
      </c>
      <c r="E76" s="64">
        <v>7.05</v>
      </c>
      <c r="F76" s="64">
        <v>5.43</v>
      </c>
      <c r="G76" s="64">
        <v>39.92</v>
      </c>
      <c r="H76" s="64">
        <v>18.47</v>
      </c>
      <c r="I76" s="64">
        <v>1.98</v>
      </c>
      <c r="J76" s="64">
        <v>0.33</v>
      </c>
      <c r="K76" s="64">
        <v>71</v>
      </c>
      <c r="L76" s="64">
        <v>22.46</v>
      </c>
      <c r="M76" s="64">
        <v>36.22</v>
      </c>
      <c r="N76" s="64">
        <v>38.200000000000003</v>
      </c>
      <c r="O76" s="64">
        <v>0</v>
      </c>
      <c r="P76" s="64">
        <v>0.79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4" t="s">
        <v>507</v>
      </c>
      <c r="B77" s="64">
        <v>9.6</v>
      </c>
      <c r="C77" s="64">
        <v>38.29</v>
      </c>
      <c r="D77" s="64">
        <v>27.25</v>
      </c>
      <c r="E77" s="64">
        <v>6.41</v>
      </c>
      <c r="F77" s="64">
        <v>4.34</v>
      </c>
      <c r="G77" s="64">
        <v>41.01</v>
      </c>
      <c r="H77" s="64">
        <v>18.809999999999999</v>
      </c>
      <c r="I77" s="64">
        <v>2.02</v>
      </c>
      <c r="J77" s="64">
        <v>0.35</v>
      </c>
      <c r="K77" s="64">
        <v>57.02</v>
      </c>
      <c r="L77" s="64">
        <v>22</v>
      </c>
      <c r="M77" s="64">
        <v>39.17</v>
      </c>
      <c r="N77" s="64">
        <v>35.200000000000003</v>
      </c>
      <c r="O77" s="64">
        <v>0</v>
      </c>
      <c r="P77" s="64">
        <v>0.98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4" t="s">
        <v>508</v>
      </c>
      <c r="B78" s="64">
        <v>4.75</v>
      </c>
      <c r="C78" s="64">
        <v>43.12</v>
      </c>
      <c r="D78" s="64">
        <v>25.88</v>
      </c>
      <c r="E78" s="64">
        <v>6.8</v>
      </c>
      <c r="F78" s="64">
        <v>6.24</v>
      </c>
      <c r="G78" s="64">
        <v>46.47</v>
      </c>
      <c r="H78" s="64">
        <v>20.02</v>
      </c>
      <c r="I78" s="64">
        <v>2.11</v>
      </c>
      <c r="J78" s="64">
        <v>0.26</v>
      </c>
      <c r="K78" s="64">
        <v>13.66</v>
      </c>
      <c r="L78" s="64">
        <v>21.17</v>
      </c>
      <c r="M78" s="64">
        <v>42.06</v>
      </c>
      <c r="N78" s="64">
        <v>32.799999999999997</v>
      </c>
      <c r="O78" s="64">
        <v>0</v>
      </c>
      <c r="P78" s="64">
        <v>1.02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509</v>
      </c>
      <c r="B79" s="64">
        <v>8.4700000000000006</v>
      </c>
      <c r="C79" s="64">
        <v>39.86</v>
      </c>
      <c r="D79" s="64">
        <v>27.16</v>
      </c>
      <c r="E79" s="64">
        <v>5.96</v>
      </c>
      <c r="F79" s="64">
        <v>4.78</v>
      </c>
      <c r="G79" s="64">
        <v>46.47</v>
      </c>
      <c r="H79" s="64">
        <v>20.02</v>
      </c>
      <c r="I79" s="64">
        <v>2.67</v>
      </c>
      <c r="J79" s="64">
        <v>0.41</v>
      </c>
      <c r="K79" s="64">
        <v>345.16</v>
      </c>
      <c r="L79" s="64">
        <v>20.66</v>
      </c>
      <c r="M79" s="64">
        <v>47.99</v>
      </c>
      <c r="N79" s="64">
        <v>32.299999999999997</v>
      </c>
      <c r="O79" s="64">
        <v>0</v>
      </c>
      <c r="P79" s="64">
        <v>1.0900000000000001</v>
      </c>
      <c r="Q79" s="64">
        <v>9.6300000000000008</v>
      </c>
      <c r="R79" s="198"/>
      <c r="S79" s="198"/>
      <c r="T79" s="198"/>
      <c r="U79" s="198"/>
    </row>
    <row r="80" spans="1:21" s="12" customFormat="1" x14ac:dyDescent="0.25">
      <c r="A80" s="214" t="s">
        <v>510</v>
      </c>
      <c r="B80" s="64">
        <v>8.2100000000000009</v>
      </c>
      <c r="C80" s="64">
        <v>37.51</v>
      </c>
      <c r="D80" s="64">
        <v>25.72</v>
      </c>
      <c r="E80" s="64">
        <v>5.6</v>
      </c>
      <c r="F80" s="64">
        <v>3.36</v>
      </c>
      <c r="G80" s="64">
        <v>46.47</v>
      </c>
      <c r="H80" s="64">
        <v>20.02</v>
      </c>
      <c r="I80" s="64">
        <v>2.91</v>
      </c>
      <c r="J80" s="64">
        <v>0.38</v>
      </c>
      <c r="K80" s="64">
        <v>341.01</v>
      </c>
      <c r="L80" s="64">
        <v>19.809999999999999</v>
      </c>
      <c r="M80" s="64">
        <v>56.56</v>
      </c>
      <c r="N80" s="64">
        <v>32.299999999999997</v>
      </c>
      <c r="O80" s="64">
        <v>0</v>
      </c>
      <c r="P80" s="64">
        <v>1.1100000000000001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4" t="s">
        <v>511</v>
      </c>
      <c r="B81" s="64">
        <v>16.04</v>
      </c>
      <c r="C81" s="64">
        <v>33.11</v>
      </c>
      <c r="D81" s="64">
        <v>29.7</v>
      </c>
      <c r="E81" s="64">
        <v>5.69</v>
      </c>
      <c r="F81" s="64">
        <v>2.94</v>
      </c>
      <c r="G81" s="64">
        <v>52.64</v>
      </c>
      <c r="H81" s="64">
        <v>21.73</v>
      </c>
      <c r="I81" s="64">
        <v>3.05</v>
      </c>
      <c r="J81" s="64">
        <v>0.28000000000000003</v>
      </c>
      <c r="K81" s="64">
        <v>341.1</v>
      </c>
      <c r="L81" s="64">
        <v>19.11</v>
      </c>
      <c r="M81" s="64">
        <v>61.91</v>
      </c>
      <c r="N81" s="64">
        <v>32.299999999999997</v>
      </c>
      <c r="O81" s="64">
        <v>0</v>
      </c>
      <c r="P81" s="64">
        <v>1.32</v>
      </c>
      <c r="Q81" s="64">
        <v>9.64</v>
      </c>
      <c r="R81" s="198"/>
      <c r="S81" s="198"/>
      <c r="T81" s="198"/>
      <c r="U81" s="198"/>
    </row>
    <row r="82" spans="1:26" s="12" customFormat="1" x14ac:dyDescent="0.25">
      <c r="A82" s="214" t="s">
        <v>512</v>
      </c>
      <c r="B82" s="64">
        <v>17.07</v>
      </c>
      <c r="C82" s="64">
        <v>33.72</v>
      </c>
      <c r="D82" s="64">
        <v>30.85</v>
      </c>
      <c r="E82" s="64">
        <v>5.44</v>
      </c>
      <c r="F82" s="64">
        <v>2.94</v>
      </c>
      <c r="G82" s="64">
        <v>83.49</v>
      </c>
      <c r="H82" s="64">
        <v>27.78</v>
      </c>
      <c r="I82" s="64">
        <v>3.24</v>
      </c>
      <c r="J82" s="64">
        <v>0.2</v>
      </c>
      <c r="K82" s="64">
        <v>100.83</v>
      </c>
      <c r="L82" s="64">
        <v>18.7</v>
      </c>
      <c r="M82" s="64">
        <v>62.96</v>
      </c>
      <c r="N82" s="64">
        <v>31.9</v>
      </c>
      <c r="O82" s="64">
        <v>0</v>
      </c>
      <c r="P82" s="64">
        <v>1.52</v>
      </c>
      <c r="Q82" s="64">
        <v>9.66</v>
      </c>
      <c r="R82" s="198"/>
      <c r="S82" s="198"/>
      <c r="T82" s="198"/>
      <c r="U82" s="198"/>
    </row>
    <row r="83" spans="1:26" s="12" customFormat="1" x14ac:dyDescent="0.25">
      <c r="A83" s="214" t="s">
        <v>513</v>
      </c>
      <c r="B83" s="64">
        <v>24.03</v>
      </c>
      <c r="C83" s="64">
        <v>30.01</v>
      </c>
      <c r="D83" s="64">
        <v>34.49</v>
      </c>
      <c r="E83" s="64">
        <v>5.77</v>
      </c>
      <c r="F83" s="64">
        <v>2.89</v>
      </c>
      <c r="G83" s="64">
        <v>83.49</v>
      </c>
      <c r="H83" s="64">
        <v>27.78</v>
      </c>
      <c r="I83" s="64">
        <v>3.17</v>
      </c>
      <c r="J83" s="64">
        <v>0.33</v>
      </c>
      <c r="K83" s="64">
        <v>114.96</v>
      </c>
      <c r="L83" s="64">
        <v>18.47</v>
      </c>
      <c r="M83" s="64">
        <v>62.7</v>
      </c>
      <c r="N83" s="64">
        <v>31.9</v>
      </c>
      <c r="O83" s="64">
        <v>0</v>
      </c>
      <c r="P83" s="64">
        <v>1.64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4" t="s">
        <v>514</v>
      </c>
      <c r="B84" s="64">
        <v>22.79</v>
      </c>
      <c r="C84" s="64">
        <v>27.93</v>
      </c>
      <c r="D84" s="64">
        <v>32.4</v>
      </c>
      <c r="E84" s="64">
        <v>6.2</v>
      </c>
      <c r="F84" s="64">
        <v>3.11</v>
      </c>
      <c r="G84" s="64">
        <v>83.49</v>
      </c>
      <c r="H84" s="64">
        <v>27.78</v>
      </c>
      <c r="I84" s="64">
        <v>3.24</v>
      </c>
      <c r="J84" s="64">
        <v>0.31</v>
      </c>
      <c r="K84" s="64">
        <v>314.38</v>
      </c>
      <c r="L84" s="64">
        <v>18.309999999999999</v>
      </c>
      <c r="M84" s="64">
        <v>65.900000000000006</v>
      </c>
      <c r="N84" s="64">
        <v>31.8</v>
      </c>
      <c r="O84" s="64">
        <v>0</v>
      </c>
      <c r="P84" s="64">
        <v>1.66</v>
      </c>
      <c r="Q84" s="64">
        <v>9.6300000000000008</v>
      </c>
      <c r="R84" s="198"/>
      <c r="S84" s="198"/>
      <c r="T84" s="198"/>
      <c r="U84" s="198"/>
    </row>
    <row r="85" spans="1:26" s="12" customFormat="1" x14ac:dyDescent="0.25">
      <c r="A85" s="214" t="s">
        <v>515</v>
      </c>
      <c r="B85" s="64">
        <v>27.72</v>
      </c>
      <c r="C85" s="64">
        <v>27.29</v>
      </c>
      <c r="D85" s="64">
        <v>36.03</v>
      </c>
      <c r="E85" s="64">
        <v>5.79</v>
      </c>
      <c r="F85" s="64">
        <v>3.12</v>
      </c>
      <c r="G85" s="64">
        <v>85.93</v>
      </c>
      <c r="H85" s="64">
        <v>28.84</v>
      </c>
      <c r="I85" s="64">
        <v>3.75</v>
      </c>
      <c r="J85" s="64">
        <v>0.08</v>
      </c>
      <c r="K85" s="64">
        <v>111.96</v>
      </c>
      <c r="L85" s="64">
        <v>18.29</v>
      </c>
      <c r="M85" s="64">
        <v>66.34</v>
      </c>
      <c r="N85" s="64">
        <v>31.4</v>
      </c>
      <c r="O85" s="64">
        <v>0</v>
      </c>
      <c r="P85" s="64">
        <v>1.49</v>
      </c>
      <c r="Q85" s="64">
        <v>9.64</v>
      </c>
      <c r="R85" s="198"/>
      <c r="S85" s="198"/>
      <c r="T85" s="198"/>
      <c r="U85" s="198"/>
    </row>
    <row r="86" spans="1:26" s="12" customFormat="1" x14ac:dyDescent="0.25">
      <c r="A86" s="214" t="s">
        <v>516</v>
      </c>
      <c r="B86" s="64">
        <v>30.38</v>
      </c>
      <c r="C86" s="64">
        <v>24.66</v>
      </c>
      <c r="D86" s="64">
        <v>36.79</v>
      </c>
      <c r="E86" s="64">
        <v>5.64</v>
      </c>
      <c r="F86" s="64">
        <v>3.39</v>
      </c>
      <c r="G86" s="64">
        <v>98.16</v>
      </c>
      <c r="H86" s="64">
        <v>33.94</v>
      </c>
      <c r="I86" s="64">
        <v>3.81</v>
      </c>
      <c r="J86" s="64">
        <v>0.42</v>
      </c>
      <c r="K86" s="64">
        <v>358.95</v>
      </c>
      <c r="L86" s="64">
        <v>18.09</v>
      </c>
      <c r="M86" s="64">
        <v>72.77</v>
      </c>
      <c r="N86" s="64">
        <v>32.1</v>
      </c>
      <c r="O86" s="64">
        <v>0</v>
      </c>
      <c r="P86" s="64">
        <v>1.69</v>
      </c>
      <c r="Q86" s="64">
        <v>9.66</v>
      </c>
      <c r="R86" s="198"/>
      <c r="S86" s="198"/>
      <c r="T86" s="198"/>
      <c r="U86" s="198"/>
    </row>
    <row r="87" spans="1:26" s="12" customFormat="1" x14ac:dyDescent="0.25">
      <c r="A87" s="214" t="s">
        <v>517</v>
      </c>
      <c r="B87" s="64">
        <v>27.81</v>
      </c>
      <c r="C87" s="64">
        <v>22.79</v>
      </c>
      <c r="D87" s="64">
        <v>33.74</v>
      </c>
      <c r="E87" s="64">
        <v>5.48</v>
      </c>
      <c r="F87" s="64">
        <v>3.58</v>
      </c>
      <c r="G87" s="64">
        <v>98.16</v>
      </c>
      <c r="H87" s="64">
        <v>33.94</v>
      </c>
      <c r="I87" s="64">
        <v>4.25</v>
      </c>
      <c r="J87" s="64">
        <v>0.36</v>
      </c>
      <c r="K87" s="64">
        <v>22.68</v>
      </c>
      <c r="L87" s="64">
        <v>17.71</v>
      </c>
      <c r="M87" s="64">
        <v>72.62</v>
      </c>
      <c r="N87" s="64">
        <v>31.9</v>
      </c>
      <c r="O87" s="64">
        <v>0</v>
      </c>
      <c r="P87" s="64">
        <v>1.66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14" t="s">
        <v>518</v>
      </c>
      <c r="B88" s="64">
        <v>34.74</v>
      </c>
      <c r="C88" s="64">
        <v>17.03</v>
      </c>
      <c r="D88" s="64">
        <v>36.29</v>
      </c>
      <c r="E88" s="64">
        <v>5.56</v>
      </c>
      <c r="F88" s="64">
        <v>3.11</v>
      </c>
      <c r="G88" s="64">
        <v>98.16</v>
      </c>
      <c r="H88" s="64">
        <v>33.94</v>
      </c>
      <c r="I88" s="64">
        <v>4.62</v>
      </c>
      <c r="J88" s="64">
        <v>0.36</v>
      </c>
      <c r="K88" s="64">
        <v>7.0000000000000007E-2</v>
      </c>
      <c r="L88" s="64">
        <v>17.47</v>
      </c>
      <c r="M88" s="64">
        <v>79.19</v>
      </c>
      <c r="N88" s="64">
        <v>31.9</v>
      </c>
      <c r="O88" s="64">
        <v>0</v>
      </c>
      <c r="P88" s="64">
        <v>1.83</v>
      </c>
      <c r="Q88" s="64">
        <v>9.68</v>
      </c>
      <c r="R88" s="198"/>
      <c r="S88" s="198"/>
      <c r="T88" s="198"/>
      <c r="U88" s="198"/>
    </row>
    <row r="89" spans="1:26" s="12" customFormat="1" x14ac:dyDescent="0.25">
      <c r="A89" s="214" t="s">
        <v>519</v>
      </c>
      <c r="B89" s="64">
        <v>33.89</v>
      </c>
      <c r="C89" s="64">
        <v>15.63</v>
      </c>
      <c r="D89" s="64">
        <v>34.880000000000003</v>
      </c>
      <c r="E89" s="64">
        <v>5.37</v>
      </c>
      <c r="F89" s="64">
        <v>2.98</v>
      </c>
      <c r="G89" s="64">
        <v>101.11</v>
      </c>
      <c r="H89" s="64">
        <v>36.1</v>
      </c>
      <c r="I89" s="64">
        <v>4.9000000000000004</v>
      </c>
      <c r="J89" s="64">
        <v>0.28999999999999998</v>
      </c>
      <c r="K89" s="64">
        <v>334.43</v>
      </c>
      <c r="L89" s="64">
        <v>17.329999999999998</v>
      </c>
      <c r="M89" s="64">
        <v>81.010000000000005</v>
      </c>
      <c r="N89" s="64">
        <v>31.7</v>
      </c>
      <c r="O89" s="64">
        <v>0</v>
      </c>
      <c r="P89" s="64">
        <v>1.82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14" t="s">
        <v>520</v>
      </c>
      <c r="B90" s="64">
        <v>40.700000000000003</v>
      </c>
      <c r="C90" s="64">
        <v>12.19</v>
      </c>
      <c r="D90" s="64">
        <v>38.549999999999997</v>
      </c>
      <c r="E90" s="64">
        <v>5.67</v>
      </c>
      <c r="F90" s="64">
        <v>2.97</v>
      </c>
      <c r="G90" s="64">
        <v>115.86</v>
      </c>
      <c r="H90" s="64">
        <v>44.27</v>
      </c>
      <c r="I90" s="64">
        <v>5.32</v>
      </c>
      <c r="J90" s="64">
        <v>0.33</v>
      </c>
      <c r="K90" s="64">
        <v>344.04</v>
      </c>
      <c r="L90" s="64">
        <v>17.3</v>
      </c>
      <c r="M90" s="64">
        <v>81.03</v>
      </c>
      <c r="N90" s="64">
        <v>31.8</v>
      </c>
      <c r="O90" s="64">
        <v>0</v>
      </c>
      <c r="P90" s="64">
        <v>2</v>
      </c>
      <c r="Q90" s="64">
        <v>9.69</v>
      </c>
      <c r="R90" s="198"/>
      <c r="S90" s="198"/>
      <c r="T90" s="198"/>
      <c r="U90" s="198"/>
    </row>
    <row r="91" spans="1:26" s="12" customFormat="1" x14ac:dyDescent="0.25">
      <c r="A91" s="214" t="s">
        <v>521</v>
      </c>
      <c r="B91" s="64">
        <v>46.28</v>
      </c>
      <c r="C91" s="64">
        <v>9.35</v>
      </c>
      <c r="D91" s="64">
        <v>41.54</v>
      </c>
      <c r="E91" s="64">
        <v>5.73</v>
      </c>
      <c r="F91" s="64">
        <v>3.35</v>
      </c>
      <c r="G91" s="64">
        <v>115.86</v>
      </c>
      <c r="H91" s="64">
        <v>44.27</v>
      </c>
      <c r="I91" s="64">
        <v>5.45</v>
      </c>
      <c r="J91" s="64">
        <v>0.19</v>
      </c>
      <c r="K91" s="64">
        <v>272.64</v>
      </c>
      <c r="L91" s="64">
        <v>17.14</v>
      </c>
      <c r="M91" s="64">
        <v>82.06</v>
      </c>
      <c r="N91" s="64">
        <v>31.7</v>
      </c>
      <c r="O91" s="64">
        <v>0</v>
      </c>
      <c r="P91" s="64">
        <v>2.1800000000000002</v>
      </c>
      <c r="Q91" s="64">
        <v>9.69</v>
      </c>
      <c r="R91" s="198"/>
      <c r="S91" s="198"/>
      <c r="T91" s="198"/>
      <c r="U91" s="198"/>
    </row>
    <row r="92" spans="1:26" s="12" customFormat="1" x14ac:dyDescent="0.25">
      <c r="A92" s="214" t="s">
        <v>522</v>
      </c>
      <c r="B92" s="64">
        <v>51.58</v>
      </c>
      <c r="C92" s="64">
        <v>6.95</v>
      </c>
      <c r="D92" s="64">
        <v>44.54</v>
      </c>
      <c r="E92" s="64">
        <v>5.57</v>
      </c>
      <c r="F92" s="64">
        <v>3.33</v>
      </c>
      <c r="G92" s="64">
        <v>115.86</v>
      </c>
      <c r="H92" s="64">
        <v>44.27</v>
      </c>
      <c r="I92" s="64">
        <v>6.38</v>
      </c>
      <c r="J92" s="64">
        <v>0.14000000000000001</v>
      </c>
      <c r="K92" s="64">
        <v>39.54</v>
      </c>
      <c r="L92" s="64">
        <v>17.2</v>
      </c>
      <c r="M92" s="64">
        <v>76.099999999999994</v>
      </c>
      <c r="N92" s="64">
        <v>31.6</v>
      </c>
      <c r="O92" s="64">
        <v>0</v>
      </c>
      <c r="P92" s="64">
        <v>2.36</v>
      </c>
      <c r="Q92" s="64">
        <v>9.6999999999999993</v>
      </c>
      <c r="R92" s="198"/>
      <c r="S92" s="198"/>
      <c r="T92" s="198"/>
      <c r="U92" s="198"/>
    </row>
    <row r="93" spans="1:26" s="12" customFormat="1" x14ac:dyDescent="0.25">
      <c r="A93" s="214" t="s">
        <v>523</v>
      </c>
      <c r="B93" s="64">
        <v>56.33</v>
      </c>
      <c r="C93" s="64">
        <v>4.51</v>
      </c>
      <c r="D93" s="64">
        <v>47.06</v>
      </c>
      <c r="E93" s="64">
        <v>5.57</v>
      </c>
      <c r="F93" s="64">
        <v>3.2</v>
      </c>
      <c r="G93" s="64">
        <v>117.04</v>
      </c>
      <c r="H93" s="64">
        <v>44.92</v>
      </c>
      <c r="I93" s="64">
        <v>7.07</v>
      </c>
      <c r="J93" s="64">
        <v>0.04</v>
      </c>
      <c r="K93" s="64">
        <v>276.60000000000002</v>
      </c>
      <c r="L93" s="64">
        <v>17.420000000000002</v>
      </c>
      <c r="M93" s="64">
        <v>70.09</v>
      </c>
      <c r="N93" s="64">
        <v>31.7</v>
      </c>
      <c r="O93" s="64">
        <v>0</v>
      </c>
      <c r="P93" s="64">
        <v>2.4700000000000002</v>
      </c>
      <c r="Q93" s="64">
        <v>9.73</v>
      </c>
      <c r="R93" s="198"/>
      <c r="S93" s="198"/>
      <c r="T93" s="198"/>
      <c r="U93" s="198"/>
    </row>
    <row r="94" spans="1:26" s="12" customFormat="1" x14ac:dyDescent="0.25">
      <c r="A94" s="214" t="s">
        <v>524</v>
      </c>
      <c r="B94" s="64">
        <v>58.1</v>
      </c>
      <c r="C94" s="64">
        <v>3.45</v>
      </c>
      <c r="D94" s="64">
        <v>47.94</v>
      </c>
      <c r="E94" s="64">
        <v>5.7</v>
      </c>
      <c r="F94" s="64">
        <v>3.26</v>
      </c>
      <c r="G94" s="64">
        <v>122.93</v>
      </c>
      <c r="H94" s="64">
        <v>47.23</v>
      </c>
      <c r="I94" s="64">
        <v>7.45</v>
      </c>
      <c r="J94" s="64">
        <v>0.08</v>
      </c>
      <c r="K94" s="64">
        <v>15.98</v>
      </c>
      <c r="L94" s="64">
        <v>17.510000000000002</v>
      </c>
      <c r="M94" s="64">
        <v>65.63</v>
      </c>
      <c r="N94" s="64">
        <v>31.6</v>
      </c>
      <c r="O94" s="64">
        <v>0</v>
      </c>
      <c r="P94" s="64">
        <v>2.52</v>
      </c>
      <c r="Q94" s="64">
        <v>9.74</v>
      </c>
      <c r="R94" s="198"/>
      <c r="S94" s="198"/>
      <c r="T94" s="198"/>
      <c r="U94" s="198"/>
    </row>
    <row r="95" spans="1:26" s="12" customFormat="1" x14ac:dyDescent="0.25">
      <c r="A95" s="214" t="s">
        <v>525</v>
      </c>
      <c r="B95" s="64">
        <v>59.03</v>
      </c>
      <c r="C95" s="64">
        <v>2.9</v>
      </c>
      <c r="D95" s="64">
        <v>48.39</v>
      </c>
      <c r="E95" s="64">
        <v>5.69</v>
      </c>
      <c r="F95" s="64">
        <v>3.2</v>
      </c>
      <c r="G95" s="64">
        <v>122.93</v>
      </c>
      <c r="H95" s="64">
        <v>47.23</v>
      </c>
      <c r="I95" s="64">
        <v>7.04</v>
      </c>
      <c r="J95" s="64">
        <v>0.27</v>
      </c>
      <c r="K95" s="64">
        <v>83.45</v>
      </c>
      <c r="L95" s="64">
        <v>17.41</v>
      </c>
      <c r="M95" s="64">
        <v>65.7</v>
      </c>
      <c r="N95" s="64">
        <v>31.6</v>
      </c>
      <c r="O95" s="64">
        <v>0</v>
      </c>
      <c r="P95" s="64">
        <v>2.56</v>
      </c>
      <c r="Q95" s="64">
        <v>9.75</v>
      </c>
      <c r="R95" s="198"/>
      <c r="S95" s="198"/>
      <c r="T95" s="198"/>
      <c r="U95" s="198"/>
    </row>
    <row r="96" spans="1:26" s="12" customFormat="1" x14ac:dyDescent="0.25">
      <c r="A96" s="214" t="s">
        <v>526</v>
      </c>
      <c r="B96" s="64">
        <v>59.09</v>
      </c>
      <c r="C96" s="64">
        <v>2.61</v>
      </c>
      <c r="D96" s="64">
        <v>48.29</v>
      </c>
      <c r="E96" s="64">
        <v>5.53</v>
      </c>
      <c r="F96" s="64">
        <v>3.15</v>
      </c>
      <c r="G96" s="64">
        <v>122.93</v>
      </c>
      <c r="H96" s="64">
        <v>47.23</v>
      </c>
      <c r="I96" s="64">
        <v>7.44</v>
      </c>
      <c r="J96" s="64">
        <v>0.13</v>
      </c>
      <c r="K96" s="64">
        <v>311.98</v>
      </c>
      <c r="L96" s="64">
        <v>17.420000000000002</v>
      </c>
      <c r="M96" s="64">
        <v>63.88</v>
      </c>
      <c r="N96" s="64">
        <v>31.7</v>
      </c>
      <c r="O96" s="64">
        <v>0</v>
      </c>
      <c r="P96" s="64">
        <v>2.57</v>
      </c>
      <c r="Q96" s="64">
        <v>9.73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527</v>
      </c>
      <c r="B97" s="64">
        <v>58.55</v>
      </c>
      <c r="C97" s="64">
        <v>2.69</v>
      </c>
      <c r="D97" s="64">
        <v>47.9</v>
      </c>
      <c r="E97" s="64">
        <v>5.59</v>
      </c>
      <c r="F97" s="64">
        <v>2.85</v>
      </c>
      <c r="G97" s="64">
        <v>106.77</v>
      </c>
      <c r="H97" s="64">
        <v>46.56</v>
      </c>
      <c r="I97" s="64">
        <v>7.1</v>
      </c>
      <c r="J97" s="64">
        <v>0.12</v>
      </c>
      <c r="K97" s="64">
        <v>32.9</v>
      </c>
      <c r="L97" s="64">
        <v>17.28</v>
      </c>
      <c r="M97" s="64">
        <v>63.67</v>
      </c>
      <c r="N97" s="64">
        <v>31.7</v>
      </c>
      <c r="O97" s="64">
        <v>0</v>
      </c>
      <c r="P97" s="64">
        <v>2.5499999999999998</v>
      </c>
      <c r="Q97" s="64">
        <v>9.73</v>
      </c>
      <c r="R97" s="198"/>
      <c r="S97" s="198"/>
      <c r="T97" s="198"/>
      <c r="U97" s="198"/>
    </row>
    <row r="98" spans="1:33" s="12" customFormat="1" x14ac:dyDescent="0.25">
      <c r="A98" s="214" t="s">
        <v>528</v>
      </c>
      <c r="B98" s="64">
        <v>57.45</v>
      </c>
      <c r="C98" s="64">
        <v>3.08</v>
      </c>
      <c r="D98" s="64">
        <v>47.22</v>
      </c>
      <c r="E98" s="64">
        <v>5.55</v>
      </c>
      <c r="F98" s="64">
        <v>2.93</v>
      </c>
      <c r="G98" s="64">
        <v>25.96</v>
      </c>
      <c r="H98" s="64">
        <v>44.25</v>
      </c>
      <c r="I98" s="64">
        <v>7.48</v>
      </c>
      <c r="J98" s="64">
        <v>0.06</v>
      </c>
      <c r="K98" s="64">
        <v>9.27</v>
      </c>
      <c r="L98" s="64">
        <v>17.260000000000002</v>
      </c>
      <c r="M98" s="64">
        <v>60.91</v>
      </c>
      <c r="N98" s="64">
        <v>31.5</v>
      </c>
      <c r="O98" s="64">
        <v>0</v>
      </c>
      <c r="P98" s="64">
        <v>2.52</v>
      </c>
      <c r="Q98" s="64">
        <v>9.7100000000000009</v>
      </c>
      <c r="R98" s="198"/>
      <c r="S98" s="198"/>
      <c r="T98" s="198"/>
      <c r="U98" s="198"/>
    </row>
    <row r="99" spans="1:33" s="12" customFormat="1" x14ac:dyDescent="0.25">
      <c r="A99" s="214" t="s">
        <v>529</v>
      </c>
      <c r="B99" s="64">
        <v>55.65</v>
      </c>
      <c r="C99" s="64">
        <v>2.73</v>
      </c>
      <c r="D99" s="64">
        <v>45.59</v>
      </c>
      <c r="E99" s="64">
        <v>5.65</v>
      </c>
      <c r="F99" s="64">
        <v>3.13</v>
      </c>
      <c r="G99" s="64">
        <v>25.96</v>
      </c>
      <c r="H99" s="64">
        <v>44.25</v>
      </c>
      <c r="I99" s="64">
        <v>7.02</v>
      </c>
      <c r="J99" s="64">
        <v>0.16</v>
      </c>
      <c r="K99" s="64">
        <v>353</v>
      </c>
      <c r="L99" s="64">
        <v>17.23</v>
      </c>
      <c r="M99" s="64">
        <v>57.68</v>
      </c>
      <c r="N99" s="64">
        <v>31.6</v>
      </c>
      <c r="O99" s="64">
        <v>0</v>
      </c>
      <c r="P99" s="64">
        <v>2.4900000000000002</v>
      </c>
      <c r="Q99" s="64">
        <v>9.7200000000000006</v>
      </c>
      <c r="R99" s="198"/>
      <c r="S99" s="198"/>
      <c r="T99" s="198"/>
      <c r="U99" s="198"/>
    </row>
    <row r="100" spans="1:33" s="12" customFormat="1" x14ac:dyDescent="0.25">
      <c r="A100" s="214" t="s">
        <v>530</v>
      </c>
      <c r="B100" s="64">
        <v>54.21</v>
      </c>
      <c r="C100" s="64">
        <v>3.6</v>
      </c>
      <c r="D100" s="64">
        <v>44.89</v>
      </c>
      <c r="E100" s="64">
        <v>5.36</v>
      </c>
      <c r="F100" s="64">
        <v>3.06</v>
      </c>
      <c r="G100" s="64">
        <v>25.96</v>
      </c>
      <c r="H100" s="64">
        <v>44.25</v>
      </c>
      <c r="I100" s="64">
        <v>6.74</v>
      </c>
      <c r="J100" s="64">
        <v>0.32</v>
      </c>
      <c r="K100" s="64">
        <v>333.21</v>
      </c>
      <c r="L100" s="64">
        <v>17.21</v>
      </c>
      <c r="M100" s="64">
        <v>55.96</v>
      </c>
      <c r="N100" s="64">
        <v>31.7</v>
      </c>
      <c r="O100" s="64">
        <v>0</v>
      </c>
      <c r="P100" s="64">
        <v>2.4700000000000002</v>
      </c>
      <c r="Q100" s="64">
        <v>9.7200000000000006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531</v>
      </c>
      <c r="B101" s="64">
        <v>53.19</v>
      </c>
      <c r="C101" s="64">
        <v>4.4400000000000004</v>
      </c>
      <c r="D101" s="64">
        <v>44.51</v>
      </c>
      <c r="E101" s="64">
        <v>5.46</v>
      </c>
      <c r="F101" s="64">
        <v>3.01</v>
      </c>
      <c r="G101" s="64">
        <v>43.7</v>
      </c>
      <c r="H101" s="64">
        <v>43.78</v>
      </c>
      <c r="I101" s="64">
        <v>6.65</v>
      </c>
      <c r="J101" s="64">
        <v>0.27</v>
      </c>
      <c r="K101" s="64">
        <v>8.9</v>
      </c>
      <c r="L101" s="64">
        <v>17.11</v>
      </c>
      <c r="M101" s="64">
        <v>54.01</v>
      </c>
      <c r="N101" s="64">
        <v>31.7</v>
      </c>
      <c r="O101" s="64">
        <v>0</v>
      </c>
      <c r="P101" s="64">
        <v>2.4300000000000002</v>
      </c>
      <c r="Q101" s="64">
        <v>9.74</v>
      </c>
      <c r="R101" s="198"/>
      <c r="S101" s="198"/>
      <c r="T101" s="198"/>
      <c r="U101" s="198"/>
    </row>
    <row r="102" spans="1:33" s="12" customFormat="1" x14ac:dyDescent="0.25">
      <c r="A102" s="214" t="s">
        <v>532</v>
      </c>
      <c r="B102" s="64">
        <v>52.5</v>
      </c>
      <c r="C102" s="64">
        <v>4.8099999999999996</v>
      </c>
      <c r="D102" s="64">
        <v>44.15</v>
      </c>
      <c r="E102" s="64">
        <v>5.4</v>
      </c>
      <c r="F102" s="64">
        <v>2.87</v>
      </c>
      <c r="G102" s="64">
        <v>132.4</v>
      </c>
      <c r="H102" s="64">
        <v>41.49</v>
      </c>
      <c r="I102" s="64">
        <v>6.54</v>
      </c>
      <c r="J102" s="64">
        <v>0.22</v>
      </c>
      <c r="K102" s="64">
        <v>303.57</v>
      </c>
      <c r="L102" s="64">
        <v>16.940000000000001</v>
      </c>
      <c r="M102" s="64">
        <v>57.11</v>
      </c>
      <c r="N102" s="64">
        <v>31.8</v>
      </c>
      <c r="O102" s="64">
        <v>0</v>
      </c>
      <c r="P102" s="64">
        <v>2.42</v>
      </c>
      <c r="Q102" s="64">
        <v>9.73</v>
      </c>
      <c r="R102" s="198"/>
      <c r="S102" s="198"/>
      <c r="T102" s="198"/>
      <c r="U102" s="198"/>
    </row>
    <row r="103" spans="1:33" s="12" customFormat="1" x14ac:dyDescent="0.25">
      <c r="A103" s="214" t="s">
        <v>533</v>
      </c>
      <c r="B103" s="64">
        <v>51.45</v>
      </c>
      <c r="C103" s="64">
        <v>4.8499999999999996</v>
      </c>
      <c r="D103" s="64">
        <v>43.33</v>
      </c>
      <c r="E103" s="64">
        <v>5.64</v>
      </c>
      <c r="F103" s="64">
        <v>3.44</v>
      </c>
      <c r="G103" s="64">
        <v>132.4</v>
      </c>
      <c r="H103" s="64">
        <v>41.49</v>
      </c>
      <c r="I103" s="64">
        <v>7</v>
      </c>
      <c r="J103" s="64">
        <v>0.41</v>
      </c>
      <c r="K103" s="64">
        <v>336.68</v>
      </c>
      <c r="L103" s="64">
        <v>16.309999999999999</v>
      </c>
      <c r="M103" s="64">
        <v>65.650000000000006</v>
      </c>
      <c r="N103" s="64">
        <v>32.1</v>
      </c>
      <c r="O103" s="64">
        <v>0</v>
      </c>
      <c r="P103" s="64">
        <v>2.37</v>
      </c>
      <c r="Q103" s="64">
        <v>9.73</v>
      </c>
      <c r="R103" s="198"/>
      <c r="S103" s="198"/>
      <c r="T103" s="198"/>
      <c r="U103" s="198"/>
    </row>
    <row r="104" spans="1:33" s="12" customFormat="1" x14ac:dyDescent="0.25">
      <c r="A104" s="214" t="s">
        <v>534</v>
      </c>
      <c r="B104" s="64">
        <v>51.64</v>
      </c>
      <c r="C104" s="64">
        <v>4.51</v>
      </c>
      <c r="D104" s="64">
        <v>43.31</v>
      </c>
      <c r="E104" s="64">
        <v>5.3</v>
      </c>
      <c r="F104" s="64">
        <v>3.05</v>
      </c>
      <c r="G104" s="64">
        <v>132.4</v>
      </c>
      <c r="H104" s="64">
        <v>41.49</v>
      </c>
      <c r="I104" s="64">
        <v>7.06</v>
      </c>
      <c r="J104" s="64">
        <v>0.33</v>
      </c>
      <c r="K104" s="64">
        <v>282.31</v>
      </c>
      <c r="L104" s="64">
        <v>15.81</v>
      </c>
      <c r="M104" s="64">
        <v>69.36</v>
      </c>
      <c r="N104" s="64">
        <v>31.6</v>
      </c>
      <c r="O104" s="64">
        <v>0</v>
      </c>
      <c r="P104" s="64">
        <v>2.33</v>
      </c>
      <c r="Q104" s="64">
        <v>9.74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2.62</v>
      </c>
      <c r="C106" s="67">
        <f>MIN(C9:C104)</f>
        <v>2.61</v>
      </c>
      <c r="D106" s="67">
        <f t="shared" ref="D106:Q106" si="0">MIN(D9:D104)</f>
        <v>15.1</v>
      </c>
      <c r="E106" s="67">
        <f t="shared" si="0"/>
        <v>5.07</v>
      </c>
      <c r="F106" s="67">
        <f t="shared" si="0"/>
        <v>2.69</v>
      </c>
      <c r="G106" s="67">
        <f t="shared" si="0"/>
        <v>24.92</v>
      </c>
      <c r="H106" s="67">
        <f t="shared" si="0"/>
        <v>18.47</v>
      </c>
      <c r="I106" s="67">
        <f t="shared" si="0"/>
        <v>1.98</v>
      </c>
      <c r="J106" s="67">
        <f t="shared" si="0"/>
        <v>0.04</v>
      </c>
      <c r="K106" s="67">
        <f t="shared" si="0"/>
        <v>7.0000000000000007E-2</v>
      </c>
      <c r="L106" s="67">
        <f t="shared" si="0"/>
        <v>14.34</v>
      </c>
      <c r="M106" s="67">
        <f t="shared" si="0"/>
        <v>29.86</v>
      </c>
      <c r="N106" s="67">
        <f t="shared" si="0"/>
        <v>31.3</v>
      </c>
      <c r="O106" s="67">
        <f t="shared" si="0"/>
        <v>0</v>
      </c>
      <c r="P106" s="67">
        <f t="shared" si="0"/>
        <v>0.61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59.09</v>
      </c>
      <c r="C107" s="66">
        <f t="shared" ref="C107:Q107" si="1">MAX(C9:C104)</f>
        <v>43.12</v>
      </c>
      <c r="D107" s="66">
        <f t="shared" si="1"/>
        <v>48.39</v>
      </c>
      <c r="E107" s="66">
        <f t="shared" si="1"/>
        <v>18.149999999999999</v>
      </c>
      <c r="F107" s="66">
        <f t="shared" si="1"/>
        <v>24.27</v>
      </c>
      <c r="G107" s="66">
        <f t="shared" si="1"/>
        <v>132.4</v>
      </c>
      <c r="H107" s="66">
        <f t="shared" si="1"/>
        <v>48.14</v>
      </c>
      <c r="I107" s="66">
        <f t="shared" si="1"/>
        <v>7.48</v>
      </c>
      <c r="J107" s="66">
        <f t="shared" si="1"/>
        <v>1.56</v>
      </c>
      <c r="K107" s="66">
        <f t="shared" si="1"/>
        <v>359.87</v>
      </c>
      <c r="L107" s="66">
        <f t="shared" si="1"/>
        <v>28.2</v>
      </c>
      <c r="M107" s="66">
        <f t="shared" si="1"/>
        <v>98.16</v>
      </c>
      <c r="N107" s="66">
        <f t="shared" si="1"/>
        <v>534.20000000000005</v>
      </c>
      <c r="O107" s="66">
        <f t="shared" si="1"/>
        <v>0</v>
      </c>
      <c r="P107" s="66">
        <f t="shared" si="1"/>
        <v>2.57</v>
      </c>
      <c r="Q107" s="66">
        <f t="shared" si="1"/>
        <v>9.75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24.824895833333319</v>
      </c>
      <c r="C108" s="67">
        <f t="shared" ref="C108:Q108" si="2">AVERAGE(C9:C104)</f>
        <v>19.369999999999997</v>
      </c>
      <c r="D108" s="67">
        <f t="shared" si="2"/>
        <v>29.560833333333338</v>
      </c>
      <c r="E108" s="67">
        <f t="shared" si="2"/>
        <v>7.2669791666666681</v>
      </c>
      <c r="F108" s="67">
        <f t="shared" si="2"/>
        <v>4.8029166666666665</v>
      </c>
      <c r="G108" s="67">
        <f t="shared" si="2"/>
        <v>75.787708333333313</v>
      </c>
      <c r="H108" s="67">
        <f t="shared" si="2"/>
        <v>34.189687499999998</v>
      </c>
      <c r="I108" s="67">
        <f t="shared" si="2"/>
        <v>4.3350000000000017</v>
      </c>
      <c r="J108" s="67">
        <f t="shared" si="2"/>
        <v>0.42541666666666672</v>
      </c>
      <c r="K108" s="67">
        <f t="shared" si="2"/>
        <v>224.99750000000003</v>
      </c>
      <c r="L108" s="67">
        <f t="shared" si="2"/>
        <v>19.82791666666667</v>
      </c>
      <c r="M108" s="67">
        <f t="shared" si="2"/>
        <v>64.965000000000018</v>
      </c>
      <c r="N108" s="67">
        <f t="shared" si="2"/>
        <v>145.12291666666667</v>
      </c>
      <c r="O108" s="67">
        <f t="shared" si="2"/>
        <v>0</v>
      </c>
      <c r="P108" s="67">
        <f t="shared" si="2"/>
        <v>1.3721874999999999</v>
      </c>
      <c r="Q108" s="67">
        <f t="shared" si="2"/>
        <v>9.6639583333333352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16.533636909727992</v>
      </c>
      <c r="C109" s="67">
        <f t="shared" ref="C109:Q109" si="3">STDEV(C9:C104)</f>
        <v>10.972085346100149</v>
      </c>
      <c r="D109" s="67">
        <f t="shared" si="3"/>
        <v>8.4826842408417082</v>
      </c>
      <c r="E109" s="67">
        <f t="shared" si="3"/>
        <v>2.7339796017379641</v>
      </c>
      <c r="F109" s="67">
        <f t="shared" si="3"/>
        <v>3.7763783587945632</v>
      </c>
      <c r="G109" s="67">
        <f t="shared" si="3"/>
        <v>29.259521436499782</v>
      </c>
      <c r="H109" s="67">
        <f t="shared" si="3"/>
        <v>10.421297570802313</v>
      </c>
      <c r="I109" s="67">
        <f t="shared" si="3"/>
        <v>1.5894567095642871</v>
      </c>
      <c r="J109" s="67">
        <f t="shared" si="3"/>
        <v>0.31892885419022149</v>
      </c>
      <c r="K109" s="67">
        <f t="shared" si="3"/>
        <v>133.12135915456193</v>
      </c>
      <c r="L109" s="67">
        <f t="shared" si="3"/>
        <v>4.592002869214836</v>
      </c>
      <c r="M109" s="67">
        <f t="shared" si="3"/>
        <v>26.153159374407444</v>
      </c>
      <c r="N109" s="67">
        <f t="shared" si="3"/>
        <v>179.43369423604071</v>
      </c>
      <c r="O109" s="67">
        <f t="shared" si="3"/>
        <v>0</v>
      </c>
      <c r="P109" s="67">
        <f t="shared" si="3"/>
        <v>0.56190128956118812</v>
      </c>
      <c r="Q109" s="67">
        <f t="shared" si="3"/>
        <v>3.683474237203295E-2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4" sqref="D1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535</v>
      </c>
      <c r="B9" s="64">
        <v>51.21</v>
      </c>
      <c r="C9" s="64">
        <v>4.33</v>
      </c>
      <c r="D9" s="64">
        <v>42.87</v>
      </c>
      <c r="E9" s="64">
        <v>5.72</v>
      </c>
      <c r="F9" s="64">
        <v>2.78</v>
      </c>
      <c r="G9" s="64">
        <v>121.71</v>
      </c>
      <c r="H9" s="64">
        <v>40.32</v>
      </c>
      <c r="I9" s="64">
        <v>6.39</v>
      </c>
      <c r="J9" s="64">
        <v>0.41</v>
      </c>
      <c r="K9" s="64">
        <v>327.45</v>
      </c>
      <c r="L9" s="64">
        <v>15.7</v>
      </c>
      <c r="M9" s="64">
        <v>67.44</v>
      </c>
      <c r="N9" s="64">
        <v>31.6</v>
      </c>
      <c r="O9" s="64">
        <v>0</v>
      </c>
      <c r="P9" s="64">
        <v>2.27</v>
      </c>
      <c r="Q9" s="64">
        <v>9.7200000000000006</v>
      </c>
      <c r="R9" s="198"/>
      <c r="S9" s="198"/>
      <c r="T9" s="198"/>
      <c r="U9" s="198"/>
    </row>
    <row r="10" spans="1:21" s="12" customFormat="1" x14ac:dyDescent="0.25">
      <c r="A10" s="214" t="s">
        <v>536</v>
      </c>
      <c r="B10" s="64">
        <v>50.69</v>
      </c>
      <c r="C10" s="64">
        <v>4.0199999999999996</v>
      </c>
      <c r="D10" s="64">
        <v>42.29</v>
      </c>
      <c r="E10" s="64">
        <v>5.26</v>
      </c>
      <c r="F10" s="64">
        <v>3.09</v>
      </c>
      <c r="G10" s="64">
        <v>68.23</v>
      </c>
      <c r="H10" s="64">
        <v>36.159999999999997</v>
      </c>
      <c r="I10" s="64">
        <v>6.09</v>
      </c>
      <c r="J10" s="64">
        <v>0.49</v>
      </c>
      <c r="K10" s="64">
        <v>342.65</v>
      </c>
      <c r="L10" s="64">
        <v>15.6</v>
      </c>
      <c r="M10" s="64">
        <v>67.430000000000007</v>
      </c>
      <c r="N10" s="64">
        <v>31.6</v>
      </c>
      <c r="O10" s="64">
        <v>0</v>
      </c>
      <c r="P10" s="64">
        <v>2.2200000000000002</v>
      </c>
      <c r="Q10" s="64">
        <v>9.73</v>
      </c>
      <c r="R10" s="198"/>
      <c r="S10" s="198"/>
      <c r="T10" s="198"/>
      <c r="U10" s="198"/>
    </row>
    <row r="11" spans="1:21" s="12" customFormat="1" x14ac:dyDescent="0.25">
      <c r="A11" s="214" t="s">
        <v>537</v>
      </c>
      <c r="B11" s="64">
        <v>49.75</v>
      </c>
      <c r="C11" s="64">
        <v>3.11</v>
      </c>
      <c r="D11" s="64">
        <v>41.06</v>
      </c>
      <c r="E11" s="64">
        <v>5.29</v>
      </c>
      <c r="F11" s="64">
        <v>3.13</v>
      </c>
      <c r="G11" s="64">
        <v>68.23</v>
      </c>
      <c r="H11" s="64">
        <v>36.159999999999997</v>
      </c>
      <c r="I11" s="64">
        <v>5.98</v>
      </c>
      <c r="J11" s="64">
        <v>0.74</v>
      </c>
      <c r="K11" s="64">
        <v>346.51</v>
      </c>
      <c r="L11" s="64">
        <v>16.02</v>
      </c>
      <c r="M11" s="64">
        <v>59.98</v>
      </c>
      <c r="N11" s="64">
        <v>30.8</v>
      </c>
      <c r="O11" s="64">
        <v>0</v>
      </c>
      <c r="P11" s="64">
        <v>2.13</v>
      </c>
      <c r="Q11" s="64">
        <v>9.7200000000000006</v>
      </c>
      <c r="R11" s="198"/>
      <c r="S11" s="198"/>
      <c r="T11" s="198"/>
      <c r="U11" s="198"/>
    </row>
    <row r="12" spans="1:21" s="12" customFormat="1" x14ac:dyDescent="0.25">
      <c r="A12" s="214" t="s">
        <v>538</v>
      </c>
      <c r="B12" s="64">
        <v>47.71</v>
      </c>
      <c r="C12" s="64">
        <v>3.99</v>
      </c>
      <c r="D12" s="64">
        <v>39.89</v>
      </c>
      <c r="E12" s="64">
        <v>5.26</v>
      </c>
      <c r="F12" s="64">
        <v>2.98</v>
      </c>
      <c r="G12" s="64">
        <v>68.23</v>
      </c>
      <c r="H12" s="64">
        <v>36.159999999999997</v>
      </c>
      <c r="I12" s="64">
        <v>6.33</v>
      </c>
      <c r="J12" s="64">
        <v>0.39</v>
      </c>
      <c r="K12" s="64">
        <v>4.53</v>
      </c>
      <c r="L12" s="64">
        <v>16.100000000000001</v>
      </c>
      <c r="M12" s="64">
        <v>58.4</v>
      </c>
      <c r="N12" s="64">
        <v>31.8</v>
      </c>
      <c r="O12" s="64">
        <v>0</v>
      </c>
      <c r="P12" s="64">
        <v>2</v>
      </c>
      <c r="Q12" s="64">
        <v>9.7100000000000009</v>
      </c>
      <c r="R12" s="198"/>
      <c r="S12" s="198"/>
      <c r="T12" s="198"/>
      <c r="U12" s="198"/>
    </row>
    <row r="13" spans="1:21" s="12" customFormat="1" x14ac:dyDescent="0.25">
      <c r="A13" s="214" t="s">
        <v>539</v>
      </c>
      <c r="B13" s="64">
        <v>45.45</v>
      </c>
      <c r="C13" s="64">
        <v>4.8899999999999997</v>
      </c>
      <c r="D13" s="64">
        <v>38.54</v>
      </c>
      <c r="E13" s="64">
        <v>5.28</v>
      </c>
      <c r="F13" s="64">
        <v>2.87</v>
      </c>
      <c r="G13" s="64">
        <v>68.150000000000006</v>
      </c>
      <c r="H13" s="64">
        <v>35.130000000000003</v>
      </c>
      <c r="I13" s="64">
        <v>5.81</v>
      </c>
      <c r="J13" s="64">
        <v>0.33</v>
      </c>
      <c r="K13" s="64">
        <v>14.31</v>
      </c>
      <c r="L13" s="64">
        <v>15.9</v>
      </c>
      <c r="M13" s="64">
        <v>59.17</v>
      </c>
      <c r="N13" s="64">
        <v>31.9</v>
      </c>
      <c r="O13" s="64">
        <v>0</v>
      </c>
      <c r="P13" s="64">
        <v>1.76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4" t="s">
        <v>540</v>
      </c>
      <c r="B14" s="64">
        <v>43.05</v>
      </c>
      <c r="C14" s="64">
        <v>6.04</v>
      </c>
      <c r="D14" s="64">
        <v>37.21</v>
      </c>
      <c r="E14" s="64">
        <v>5.3</v>
      </c>
      <c r="F14" s="64">
        <v>2.67</v>
      </c>
      <c r="G14" s="64">
        <v>67.75</v>
      </c>
      <c r="H14" s="64">
        <v>31.25</v>
      </c>
      <c r="I14" s="64">
        <v>5.51</v>
      </c>
      <c r="J14" s="64">
        <v>0.84</v>
      </c>
      <c r="K14" s="64">
        <v>344.75</v>
      </c>
      <c r="L14" s="64">
        <v>15.98</v>
      </c>
      <c r="M14" s="64">
        <v>61.18</v>
      </c>
      <c r="N14" s="64">
        <v>31.1</v>
      </c>
      <c r="O14" s="64">
        <v>0</v>
      </c>
      <c r="P14" s="64">
        <v>1.79</v>
      </c>
      <c r="Q14" s="64">
        <v>9.6999999999999993</v>
      </c>
      <c r="R14" s="198"/>
      <c r="S14" s="198"/>
      <c r="T14" s="198"/>
      <c r="U14" s="198"/>
    </row>
    <row r="15" spans="1:21" s="12" customFormat="1" x14ac:dyDescent="0.25">
      <c r="A15" s="214" t="s">
        <v>541</v>
      </c>
      <c r="B15" s="64">
        <v>40.369999999999997</v>
      </c>
      <c r="C15" s="64">
        <v>7.44</v>
      </c>
      <c r="D15" s="64">
        <v>35.799999999999997</v>
      </c>
      <c r="E15" s="64">
        <v>5.15</v>
      </c>
      <c r="F15" s="64">
        <v>2.93</v>
      </c>
      <c r="G15" s="64">
        <v>67.75</v>
      </c>
      <c r="H15" s="64">
        <v>31.25</v>
      </c>
      <c r="I15" s="64">
        <v>5.38</v>
      </c>
      <c r="J15" s="64">
        <v>0.96</v>
      </c>
      <c r="K15" s="64">
        <v>349.22</v>
      </c>
      <c r="L15" s="64">
        <v>16.12</v>
      </c>
      <c r="M15" s="64">
        <v>59.98</v>
      </c>
      <c r="N15" s="64">
        <v>31.4</v>
      </c>
      <c r="O15" s="64">
        <v>0</v>
      </c>
      <c r="P15" s="64">
        <v>1.7</v>
      </c>
      <c r="Q15" s="64">
        <v>9.6999999999999993</v>
      </c>
      <c r="R15" s="198"/>
      <c r="S15" s="198"/>
      <c r="T15" s="198"/>
      <c r="U15" s="198"/>
    </row>
    <row r="16" spans="1:21" s="12" customFormat="1" x14ac:dyDescent="0.25">
      <c r="A16" s="214" t="s">
        <v>542</v>
      </c>
      <c r="B16" s="64">
        <v>37.72</v>
      </c>
      <c r="C16" s="64">
        <v>8.7899999999999991</v>
      </c>
      <c r="D16" s="64">
        <v>34.380000000000003</v>
      </c>
      <c r="E16" s="64">
        <v>5.31</v>
      </c>
      <c r="F16" s="64">
        <v>2.93</v>
      </c>
      <c r="G16" s="64">
        <v>67.75</v>
      </c>
      <c r="H16" s="64">
        <v>31.25</v>
      </c>
      <c r="I16" s="64">
        <v>5.22</v>
      </c>
      <c r="J16" s="64">
        <v>0.51</v>
      </c>
      <c r="K16" s="64">
        <v>341</v>
      </c>
      <c r="L16" s="64">
        <v>16</v>
      </c>
      <c r="M16" s="64">
        <v>61.58</v>
      </c>
      <c r="N16" s="64">
        <v>31.8</v>
      </c>
      <c r="O16" s="64">
        <v>0</v>
      </c>
      <c r="P16" s="64">
        <v>1.63</v>
      </c>
      <c r="Q16" s="64">
        <v>9.69</v>
      </c>
      <c r="R16" s="198"/>
      <c r="S16" s="198"/>
      <c r="T16" s="198"/>
      <c r="U16" s="198"/>
    </row>
    <row r="17" spans="1:21" s="12" customFormat="1" x14ac:dyDescent="0.25">
      <c r="A17" s="214" t="s">
        <v>543</v>
      </c>
      <c r="B17" s="64">
        <v>35.590000000000003</v>
      </c>
      <c r="C17" s="64">
        <v>9.86</v>
      </c>
      <c r="D17" s="64">
        <v>33.229999999999997</v>
      </c>
      <c r="E17" s="64">
        <v>4.7300000000000004</v>
      </c>
      <c r="F17" s="64">
        <v>2.82</v>
      </c>
      <c r="G17" s="64">
        <v>68.459999999999994</v>
      </c>
      <c r="H17" s="64">
        <v>31.8</v>
      </c>
      <c r="I17" s="64">
        <v>5.07</v>
      </c>
      <c r="J17" s="64">
        <v>0.32</v>
      </c>
      <c r="K17" s="64">
        <v>334.89</v>
      </c>
      <c r="L17" s="64">
        <v>15.66</v>
      </c>
      <c r="M17" s="64">
        <v>62.85</v>
      </c>
      <c r="N17" s="64">
        <v>31.9</v>
      </c>
      <c r="O17" s="64">
        <v>0</v>
      </c>
      <c r="P17" s="64">
        <v>1.58</v>
      </c>
      <c r="Q17" s="64">
        <v>9.69</v>
      </c>
      <c r="R17" s="198"/>
      <c r="S17" s="198"/>
      <c r="T17" s="198"/>
      <c r="U17" s="198"/>
    </row>
    <row r="18" spans="1:21" s="12" customFormat="1" x14ac:dyDescent="0.25">
      <c r="A18" s="214" t="s">
        <v>544</v>
      </c>
      <c r="B18" s="64">
        <v>33.89</v>
      </c>
      <c r="C18" s="64">
        <v>10.54</v>
      </c>
      <c r="D18" s="64">
        <v>32.22</v>
      </c>
      <c r="E18" s="64">
        <v>4.8600000000000003</v>
      </c>
      <c r="F18" s="64">
        <v>2.99</v>
      </c>
      <c r="G18" s="64">
        <v>72</v>
      </c>
      <c r="H18" s="64">
        <v>33.74</v>
      </c>
      <c r="I18" s="64">
        <v>5.38</v>
      </c>
      <c r="J18" s="64">
        <v>0.68</v>
      </c>
      <c r="K18" s="64">
        <v>349.8</v>
      </c>
      <c r="L18" s="64">
        <v>15.43</v>
      </c>
      <c r="M18" s="64">
        <v>64.64</v>
      </c>
      <c r="N18" s="64">
        <v>31.6</v>
      </c>
      <c r="O18" s="64">
        <v>0</v>
      </c>
      <c r="P18" s="64">
        <v>1.54</v>
      </c>
      <c r="Q18" s="64">
        <v>9.68</v>
      </c>
      <c r="R18" s="198"/>
      <c r="S18" s="198"/>
      <c r="T18" s="198"/>
      <c r="U18" s="198"/>
    </row>
    <row r="19" spans="1:21" s="12" customFormat="1" x14ac:dyDescent="0.25">
      <c r="A19" s="214" t="s">
        <v>545</v>
      </c>
      <c r="B19" s="64">
        <v>32.24</v>
      </c>
      <c r="C19" s="64">
        <v>11.17</v>
      </c>
      <c r="D19" s="64">
        <v>31.23</v>
      </c>
      <c r="E19" s="64">
        <v>4.93</v>
      </c>
      <c r="F19" s="64">
        <v>2.92</v>
      </c>
      <c r="G19" s="64">
        <v>72</v>
      </c>
      <c r="H19" s="64">
        <v>33.74</v>
      </c>
      <c r="I19" s="64">
        <v>5.44</v>
      </c>
      <c r="J19" s="64">
        <v>0.47</v>
      </c>
      <c r="K19" s="64">
        <v>348.34</v>
      </c>
      <c r="L19" s="64">
        <v>15.28</v>
      </c>
      <c r="M19" s="64">
        <v>66.27</v>
      </c>
      <c r="N19" s="64">
        <v>31.9</v>
      </c>
      <c r="O19" s="64">
        <v>0</v>
      </c>
      <c r="P19" s="64">
        <v>1.51</v>
      </c>
      <c r="Q19" s="64">
        <v>9.68</v>
      </c>
      <c r="R19" s="198"/>
      <c r="S19" s="198"/>
      <c r="T19" s="198"/>
      <c r="U19" s="198"/>
    </row>
    <row r="20" spans="1:21" s="12" customFormat="1" x14ac:dyDescent="0.25">
      <c r="A20" s="214" t="s">
        <v>546</v>
      </c>
      <c r="B20" s="64">
        <v>30.79</v>
      </c>
      <c r="C20" s="64">
        <v>11.56</v>
      </c>
      <c r="D20" s="64">
        <v>30.27</v>
      </c>
      <c r="E20" s="64">
        <v>4.72</v>
      </c>
      <c r="F20" s="64">
        <v>3.07</v>
      </c>
      <c r="G20" s="64">
        <v>72</v>
      </c>
      <c r="H20" s="64">
        <v>33.74</v>
      </c>
      <c r="I20" s="64">
        <v>5.33</v>
      </c>
      <c r="J20" s="64">
        <v>0.28000000000000003</v>
      </c>
      <c r="K20" s="64">
        <v>348.66</v>
      </c>
      <c r="L20" s="64">
        <v>14.98</v>
      </c>
      <c r="M20" s="64">
        <v>67.91</v>
      </c>
      <c r="N20" s="64">
        <v>31.7</v>
      </c>
      <c r="O20" s="64">
        <v>0</v>
      </c>
      <c r="P20" s="64">
        <v>1.47</v>
      </c>
      <c r="Q20" s="64">
        <v>9.68</v>
      </c>
      <c r="R20" s="198"/>
      <c r="S20" s="198"/>
      <c r="T20" s="198"/>
      <c r="U20" s="198"/>
    </row>
    <row r="21" spans="1:21" s="12" customFormat="1" x14ac:dyDescent="0.25">
      <c r="A21" s="214" t="s">
        <v>547</v>
      </c>
      <c r="B21" s="64">
        <v>29.45</v>
      </c>
      <c r="C21" s="64">
        <v>11.71</v>
      </c>
      <c r="D21" s="64">
        <v>29.27</v>
      </c>
      <c r="E21" s="64">
        <v>4.78</v>
      </c>
      <c r="F21" s="64">
        <v>2.91</v>
      </c>
      <c r="G21" s="64">
        <v>74.64</v>
      </c>
      <c r="H21" s="64">
        <v>33.99</v>
      </c>
      <c r="I21" s="64">
        <v>4.84</v>
      </c>
      <c r="J21" s="64">
        <v>0.19</v>
      </c>
      <c r="K21" s="64">
        <v>1.45</v>
      </c>
      <c r="L21" s="64">
        <v>14.85</v>
      </c>
      <c r="M21" s="64">
        <v>68.819999999999993</v>
      </c>
      <c r="N21" s="64">
        <v>31.9</v>
      </c>
      <c r="O21" s="64">
        <v>0</v>
      </c>
      <c r="P21" s="64">
        <v>1.47</v>
      </c>
      <c r="Q21" s="64">
        <v>9.67</v>
      </c>
      <c r="R21" s="198"/>
      <c r="S21" s="198"/>
      <c r="T21" s="198"/>
      <c r="U21" s="198"/>
    </row>
    <row r="22" spans="1:21" s="12" customFormat="1" x14ac:dyDescent="0.25">
      <c r="A22" s="214" t="s">
        <v>548</v>
      </c>
      <c r="B22" s="64">
        <v>28.53</v>
      </c>
      <c r="C22" s="64">
        <v>12.63</v>
      </c>
      <c r="D22" s="64">
        <v>29.01</v>
      </c>
      <c r="E22" s="64">
        <v>4.7699999999999996</v>
      </c>
      <c r="F22" s="64">
        <v>2.72</v>
      </c>
      <c r="G22" s="64">
        <v>87.82</v>
      </c>
      <c r="H22" s="64">
        <v>35.17</v>
      </c>
      <c r="I22" s="64">
        <v>5.05</v>
      </c>
      <c r="J22" s="64">
        <v>0.41</v>
      </c>
      <c r="K22" s="64">
        <v>350.13</v>
      </c>
      <c r="L22" s="64">
        <v>14.66</v>
      </c>
      <c r="M22" s="64">
        <v>72.25</v>
      </c>
      <c r="N22" s="64">
        <v>31.7</v>
      </c>
      <c r="O22" s="64">
        <v>0</v>
      </c>
      <c r="P22" s="64">
        <v>1.5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4" t="s">
        <v>549</v>
      </c>
      <c r="B23" s="64">
        <v>27.78</v>
      </c>
      <c r="C23" s="64">
        <v>13.04</v>
      </c>
      <c r="D23" s="64">
        <v>28.63</v>
      </c>
      <c r="E23" s="64">
        <v>4.8899999999999997</v>
      </c>
      <c r="F23" s="64">
        <v>2.91</v>
      </c>
      <c r="G23" s="64">
        <v>87.82</v>
      </c>
      <c r="H23" s="64">
        <v>35.17</v>
      </c>
      <c r="I23" s="64">
        <v>5.16</v>
      </c>
      <c r="J23" s="64">
        <v>0.44</v>
      </c>
      <c r="K23" s="64">
        <v>354.95</v>
      </c>
      <c r="L23" s="64">
        <v>14.51</v>
      </c>
      <c r="M23" s="64">
        <v>73.48</v>
      </c>
      <c r="N23" s="64">
        <v>31.5</v>
      </c>
      <c r="O23" s="64">
        <v>0</v>
      </c>
      <c r="P23" s="64">
        <v>1.52</v>
      </c>
      <c r="Q23" s="64">
        <v>9.68</v>
      </c>
      <c r="R23" s="198"/>
      <c r="S23" s="198"/>
      <c r="T23" s="198"/>
      <c r="U23" s="198"/>
    </row>
    <row r="24" spans="1:21" s="12" customFormat="1" x14ac:dyDescent="0.25">
      <c r="A24" s="214" t="s">
        <v>550</v>
      </c>
      <c r="B24" s="64">
        <v>27.34</v>
      </c>
      <c r="C24" s="64">
        <v>13.43</v>
      </c>
      <c r="D24" s="64">
        <v>28.48</v>
      </c>
      <c r="E24" s="64">
        <v>5.09</v>
      </c>
      <c r="F24" s="64">
        <v>2.97</v>
      </c>
      <c r="G24" s="64">
        <v>87.82</v>
      </c>
      <c r="H24" s="64">
        <v>35.17</v>
      </c>
      <c r="I24" s="64">
        <v>5.14</v>
      </c>
      <c r="J24" s="64">
        <v>0.4</v>
      </c>
      <c r="K24" s="64">
        <v>349.86</v>
      </c>
      <c r="L24" s="64">
        <v>14.27</v>
      </c>
      <c r="M24" s="64">
        <v>76.19</v>
      </c>
      <c r="N24" s="64">
        <v>31.8</v>
      </c>
      <c r="O24" s="64">
        <v>0</v>
      </c>
      <c r="P24" s="64">
        <v>1.53</v>
      </c>
      <c r="Q24" s="64">
        <v>9.66</v>
      </c>
      <c r="R24" s="198"/>
      <c r="S24" s="198"/>
      <c r="T24" s="198"/>
      <c r="U24" s="198"/>
    </row>
    <row r="25" spans="1:21" s="12" customFormat="1" x14ac:dyDescent="0.25">
      <c r="A25" s="214" t="s">
        <v>551</v>
      </c>
      <c r="B25" s="64">
        <v>27.12</v>
      </c>
      <c r="C25" s="64">
        <v>13.46</v>
      </c>
      <c r="D25" s="64">
        <v>28.32</v>
      </c>
      <c r="E25" s="64">
        <v>4.74</v>
      </c>
      <c r="F25" s="64">
        <v>2.77</v>
      </c>
      <c r="G25" s="64">
        <v>84.12</v>
      </c>
      <c r="H25" s="64">
        <v>35.72</v>
      </c>
      <c r="I25" s="64">
        <v>4.72</v>
      </c>
      <c r="J25" s="64">
        <v>0.26</v>
      </c>
      <c r="K25" s="64">
        <v>41.99</v>
      </c>
      <c r="L25" s="64">
        <v>14.11</v>
      </c>
      <c r="M25" s="64">
        <v>77</v>
      </c>
      <c r="N25" s="64">
        <v>31.6</v>
      </c>
      <c r="O25" s="64">
        <v>0</v>
      </c>
      <c r="P25" s="64">
        <v>1.53</v>
      </c>
      <c r="Q25" s="64">
        <v>9.67</v>
      </c>
      <c r="R25" s="198"/>
      <c r="S25" s="198"/>
      <c r="T25" s="198"/>
      <c r="U25" s="198"/>
    </row>
    <row r="26" spans="1:21" s="12" customFormat="1" x14ac:dyDescent="0.25">
      <c r="A26" s="214" t="s">
        <v>552</v>
      </c>
      <c r="B26" s="64">
        <v>26.75</v>
      </c>
      <c r="C26" s="64">
        <v>13.58</v>
      </c>
      <c r="D26" s="64">
        <v>28.08</v>
      </c>
      <c r="E26" s="64">
        <v>5.04</v>
      </c>
      <c r="F26" s="64">
        <v>2.79</v>
      </c>
      <c r="G26" s="64">
        <v>65.64</v>
      </c>
      <c r="H26" s="64">
        <v>37.65</v>
      </c>
      <c r="I26" s="64">
        <v>4.58</v>
      </c>
      <c r="J26" s="64">
        <v>0.17</v>
      </c>
      <c r="K26" s="64">
        <v>68.78</v>
      </c>
      <c r="L26" s="64">
        <v>13.95</v>
      </c>
      <c r="M26" s="64">
        <v>77.11</v>
      </c>
      <c r="N26" s="64">
        <v>31.6</v>
      </c>
      <c r="O26" s="64">
        <v>0</v>
      </c>
      <c r="P26" s="64">
        <v>1.56</v>
      </c>
      <c r="Q26" s="64">
        <v>9.68</v>
      </c>
      <c r="R26" s="198"/>
      <c r="S26" s="198"/>
      <c r="T26" s="198"/>
      <c r="U26" s="198"/>
    </row>
    <row r="27" spans="1:21" s="12" customFormat="1" x14ac:dyDescent="0.25">
      <c r="A27" s="214" t="s">
        <v>553</v>
      </c>
      <c r="B27" s="64">
        <v>26.13</v>
      </c>
      <c r="C27" s="64">
        <v>13.66</v>
      </c>
      <c r="D27" s="64">
        <v>27.63</v>
      </c>
      <c r="E27" s="64">
        <v>4.79</v>
      </c>
      <c r="F27" s="64">
        <v>2.6</v>
      </c>
      <c r="G27" s="64">
        <v>65.64</v>
      </c>
      <c r="H27" s="64">
        <v>37.65</v>
      </c>
      <c r="I27" s="64">
        <v>4.54</v>
      </c>
      <c r="J27" s="64">
        <v>0.13</v>
      </c>
      <c r="K27" s="64">
        <v>7.15</v>
      </c>
      <c r="L27" s="64">
        <v>13.62</v>
      </c>
      <c r="M27" s="64">
        <v>78.510000000000005</v>
      </c>
      <c r="N27" s="64">
        <v>31.7</v>
      </c>
      <c r="O27" s="64">
        <v>0</v>
      </c>
      <c r="P27" s="64">
        <v>1.58</v>
      </c>
      <c r="Q27" s="64">
        <v>9.67</v>
      </c>
      <c r="R27" s="198"/>
      <c r="S27" s="198"/>
      <c r="T27" s="198"/>
      <c r="U27" s="198"/>
    </row>
    <row r="28" spans="1:21" s="12" customFormat="1" x14ac:dyDescent="0.25">
      <c r="A28" s="214" t="s">
        <v>554</v>
      </c>
      <c r="B28" s="64">
        <v>25.7</v>
      </c>
      <c r="C28" s="64">
        <v>13.8</v>
      </c>
      <c r="D28" s="64">
        <v>27.36</v>
      </c>
      <c r="E28" s="64">
        <v>4.8600000000000003</v>
      </c>
      <c r="F28" s="64">
        <v>3.05</v>
      </c>
      <c r="G28" s="64">
        <v>65.64</v>
      </c>
      <c r="H28" s="64">
        <v>37.65</v>
      </c>
      <c r="I28" s="64">
        <v>4.8899999999999997</v>
      </c>
      <c r="J28" s="64">
        <v>0.6</v>
      </c>
      <c r="K28" s="64">
        <v>338.11</v>
      </c>
      <c r="L28" s="64">
        <v>13.53</v>
      </c>
      <c r="M28" s="64">
        <v>80.08</v>
      </c>
      <c r="N28" s="64">
        <v>31.5</v>
      </c>
      <c r="O28" s="64">
        <v>0</v>
      </c>
      <c r="P28" s="64">
        <v>1.57</v>
      </c>
      <c r="Q28" s="64">
        <v>9.67</v>
      </c>
      <c r="R28" s="198"/>
      <c r="S28" s="198"/>
      <c r="T28" s="198"/>
      <c r="U28" s="198"/>
    </row>
    <row r="29" spans="1:21" s="12" customFormat="1" x14ac:dyDescent="0.25">
      <c r="A29" s="214" t="s">
        <v>555</v>
      </c>
      <c r="B29" s="64">
        <v>25.26</v>
      </c>
      <c r="C29" s="64">
        <v>13.55</v>
      </c>
      <c r="D29" s="64">
        <v>26.88</v>
      </c>
      <c r="E29" s="64">
        <v>4.7</v>
      </c>
      <c r="F29" s="64">
        <v>2.97</v>
      </c>
      <c r="G29" s="64">
        <v>72.290000000000006</v>
      </c>
      <c r="H29" s="64">
        <v>37.26</v>
      </c>
      <c r="I29" s="64">
        <v>4.5999999999999996</v>
      </c>
      <c r="J29" s="64">
        <v>0.62</v>
      </c>
      <c r="K29" s="64">
        <v>341.27</v>
      </c>
      <c r="L29" s="64">
        <v>13.7</v>
      </c>
      <c r="M29" s="64">
        <v>78.099999999999994</v>
      </c>
      <c r="N29" s="64">
        <v>31.4</v>
      </c>
      <c r="O29" s="64">
        <v>0</v>
      </c>
      <c r="P29" s="64">
        <v>1.52</v>
      </c>
      <c r="Q29" s="64">
        <v>9.67</v>
      </c>
      <c r="R29" s="198"/>
      <c r="S29" s="198"/>
      <c r="T29" s="198"/>
      <c r="U29" s="198"/>
    </row>
    <row r="30" spans="1:21" s="12" customFormat="1" x14ac:dyDescent="0.25">
      <c r="A30" s="214" t="s">
        <v>556</v>
      </c>
      <c r="B30" s="64">
        <v>24.79</v>
      </c>
      <c r="C30" s="64">
        <v>13.3</v>
      </c>
      <c r="D30" s="64">
        <v>26.37</v>
      </c>
      <c r="E30" s="64">
        <v>5.03</v>
      </c>
      <c r="F30" s="64">
        <v>2.87</v>
      </c>
      <c r="G30" s="64">
        <v>105.53</v>
      </c>
      <c r="H30" s="64">
        <v>35.880000000000003</v>
      </c>
      <c r="I30" s="64">
        <v>4.3899999999999997</v>
      </c>
      <c r="J30" s="64">
        <v>0.53</v>
      </c>
      <c r="K30" s="64">
        <v>334.08</v>
      </c>
      <c r="L30" s="64">
        <v>13.74</v>
      </c>
      <c r="M30" s="64">
        <v>77.12</v>
      </c>
      <c r="N30" s="64">
        <v>31.5</v>
      </c>
      <c r="O30" s="64">
        <v>0</v>
      </c>
      <c r="P30" s="64">
        <v>1.46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4" t="s">
        <v>557</v>
      </c>
      <c r="B31" s="64">
        <v>24.06</v>
      </c>
      <c r="C31" s="64">
        <v>13.44</v>
      </c>
      <c r="D31" s="64">
        <v>25.85</v>
      </c>
      <c r="E31" s="64">
        <v>5.0999999999999996</v>
      </c>
      <c r="F31" s="64">
        <v>2.94</v>
      </c>
      <c r="G31" s="64">
        <v>105.53</v>
      </c>
      <c r="H31" s="64">
        <v>35.880000000000003</v>
      </c>
      <c r="I31" s="64">
        <v>4.3</v>
      </c>
      <c r="J31" s="64">
        <v>0.42</v>
      </c>
      <c r="K31" s="64">
        <v>341.6</v>
      </c>
      <c r="L31" s="64">
        <v>13.66</v>
      </c>
      <c r="M31" s="64">
        <v>77.11</v>
      </c>
      <c r="N31" s="64">
        <v>31.6</v>
      </c>
      <c r="O31" s="64">
        <v>0</v>
      </c>
      <c r="P31" s="64">
        <v>1.39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4" t="s">
        <v>558</v>
      </c>
      <c r="B32" s="64">
        <v>23.63</v>
      </c>
      <c r="C32" s="64">
        <v>13.62</v>
      </c>
      <c r="D32" s="64">
        <v>25.61</v>
      </c>
      <c r="E32" s="64">
        <v>4.4400000000000004</v>
      </c>
      <c r="F32" s="64">
        <v>3.09</v>
      </c>
      <c r="G32" s="64">
        <v>105.53</v>
      </c>
      <c r="H32" s="64">
        <v>35.880000000000003</v>
      </c>
      <c r="I32" s="64">
        <v>4.25</v>
      </c>
      <c r="J32" s="64">
        <v>0.43</v>
      </c>
      <c r="K32" s="64">
        <v>337.18</v>
      </c>
      <c r="L32" s="64">
        <v>13.53</v>
      </c>
      <c r="M32" s="64">
        <v>78.25</v>
      </c>
      <c r="N32" s="64">
        <v>31.8</v>
      </c>
      <c r="O32" s="64">
        <v>0</v>
      </c>
      <c r="P32" s="64">
        <v>1.35</v>
      </c>
      <c r="Q32" s="64">
        <v>9.66</v>
      </c>
      <c r="R32" s="198"/>
      <c r="S32" s="198"/>
      <c r="T32" s="198"/>
      <c r="U32" s="198"/>
    </row>
    <row r="33" spans="1:21" s="12" customFormat="1" x14ac:dyDescent="0.25">
      <c r="A33" s="214" t="s">
        <v>559</v>
      </c>
      <c r="B33" s="64">
        <v>23.21</v>
      </c>
      <c r="C33" s="64">
        <v>13.82</v>
      </c>
      <c r="D33" s="64">
        <v>25.37</v>
      </c>
      <c r="E33" s="64">
        <v>4.6399999999999997</v>
      </c>
      <c r="F33" s="64">
        <v>2.81</v>
      </c>
      <c r="G33" s="64">
        <v>102.75</v>
      </c>
      <c r="H33" s="64">
        <v>35.590000000000003</v>
      </c>
      <c r="I33" s="64">
        <v>4.21</v>
      </c>
      <c r="J33" s="64">
        <v>0.3</v>
      </c>
      <c r="K33" s="64">
        <v>336.05</v>
      </c>
      <c r="L33" s="64">
        <v>13.37</v>
      </c>
      <c r="M33" s="64">
        <v>79.12</v>
      </c>
      <c r="N33" s="64">
        <v>32.6</v>
      </c>
      <c r="O33" s="64">
        <v>0</v>
      </c>
      <c r="P33" s="64">
        <v>1.3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4" t="s">
        <v>560</v>
      </c>
      <c r="B34" s="64">
        <v>22.89</v>
      </c>
      <c r="C34" s="64">
        <v>14.01</v>
      </c>
      <c r="D34" s="64">
        <v>25.22</v>
      </c>
      <c r="E34" s="64">
        <v>4.1900000000000004</v>
      </c>
      <c r="F34" s="64">
        <v>2.95</v>
      </c>
      <c r="G34" s="64">
        <v>88.89</v>
      </c>
      <c r="H34" s="64">
        <v>34.56</v>
      </c>
      <c r="I34" s="64">
        <v>4.21</v>
      </c>
      <c r="J34" s="64">
        <v>0.09</v>
      </c>
      <c r="K34" s="64">
        <v>10.79</v>
      </c>
      <c r="L34" s="64">
        <v>13.31</v>
      </c>
      <c r="M34" s="64">
        <v>78.650000000000006</v>
      </c>
      <c r="N34" s="64">
        <v>35.1</v>
      </c>
      <c r="O34" s="64">
        <v>0</v>
      </c>
      <c r="P34" s="64">
        <v>1.26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4" t="s">
        <v>561</v>
      </c>
      <c r="B35" s="64">
        <v>23.07</v>
      </c>
      <c r="C35" s="64">
        <v>14.03</v>
      </c>
      <c r="D35" s="64">
        <v>25.37</v>
      </c>
      <c r="E35" s="64">
        <v>4.41</v>
      </c>
      <c r="F35" s="64">
        <v>2.8</v>
      </c>
      <c r="G35" s="64">
        <v>88.89</v>
      </c>
      <c r="H35" s="64">
        <v>34.56</v>
      </c>
      <c r="I35" s="64">
        <v>4.21</v>
      </c>
      <c r="J35" s="64">
        <v>0.06</v>
      </c>
      <c r="K35" s="64">
        <v>98.9</v>
      </c>
      <c r="L35" s="64">
        <v>13.2</v>
      </c>
      <c r="M35" s="64">
        <v>79.760000000000005</v>
      </c>
      <c r="N35" s="64">
        <v>41.4</v>
      </c>
      <c r="O35" s="64">
        <v>0</v>
      </c>
      <c r="P35" s="64">
        <v>1.23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4" t="s">
        <v>562</v>
      </c>
      <c r="B36" s="64">
        <v>22.92</v>
      </c>
      <c r="C36" s="64">
        <v>14.23</v>
      </c>
      <c r="D36" s="64">
        <v>25.35</v>
      </c>
      <c r="E36" s="64">
        <v>4.54</v>
      </c>
      <c r="F36" s="64">
        <v>2.64</v>
      </c>
      <c r="G36" s="64">
        <v>88.89</v>
      </c>
      <c r="H36" s="64">
        <v>34.56</v>
      </c>
      <c r="I36" s="64">
        <v>4.22</v>
      </c>
      <c r="J36" s="64">
        <v>0.39</v>
      </c>
      <c r="K36" s="64">
        <v>102.26</v>
      </c>
      <c r="L36" s="64">
        <v>13.46</v>
      </c>
      <c r="M36" s="64">
        <v>78.239999999999995</v>
      </c>
      <c r="N36" s="64">
        <v>48.1</v>
      </c>
      <c r="O36" s="64">
        <v>0</v>
      </c>
      <c r="P36" s="64">
        <v>1.18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4" t="s">
        <v>563</v>
      </c>
      <c r="B37" s="64">
        <v>22.19</v>
      </c>
      <c r="C37" s="64">
        <v>14.51</v>
      </c>
      <c r="D37" s="64">
        <v>24.91</v>
      </c>
      <c r="E37" s="64">
        <v>4.47</v>
      </c>
      <c r="F37" s="64">
        <v>2.84</v>
      </c>
      <c r="G37" s="64">
        <v>84.04</v>
      </c>
      <c r="H37" s="64">
        <v>34.29</v>
      </c>
      <c r="I37" s="64">
        <v>4.17</v>
      </c>
      <c r="J37" s="64">
        <v>0.12</v>
      </c>
      <c r="K37" s="64">
        <v>289.2</v>
      </c>
      <c r="L37" s="64">
        <v>13.66</v>
      </c>
      <c r="M37" s="64">
        <v>78.69</v>
      </c>
      <c r="N37" s="64">
        <v>62.9</v>
      </c>
      <c r="O37" s="64">
        <v>0</v>
      </c>
      <c r="P37" s="64">
        <v>1.1599999999999999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4" t="s">
        <v>564</v>
      </c>
      <c r="B38" s="64">
        <v>22.42</v>
      </c>
      <c r="C38" s="64">
        <v>14.2</v>
      </c>
      <c r="D38" s="64">
        <v>24.94</v>
      </c>
      <c r="E38" s="64">
        <v>4.58</v>
      </c>
      <c r="F38" s="64">
        <v>2.4900000000000002</v>
      </c>
      <c r="G38" s="64">
        <v>59.8</v>
      </c>
      <c r="H38" s="64">
        <v>32.76</v>
      </c>
      <c r="I38" s="64">
        <v>4.4400000000000004</v>
      </c>
      <c r="J38" s="64">
        <v>0.42</v>
      </c>
      <c r="K38" s="64">
        <v>336.39</v>
      </c>
      <c r="L38" s="64">
        <v>14.48</v>
      </c>
      <c r="M38" s="64">
        <v>74.959999999999994</v>
      </c>
      <c r="N38" s="64">
        <v>111.8</v>
      </c>
      <c r="O38" s="64">
        <v>0</v>
      </c>
      <c r="P38" s="64">
        <v>1.21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4" t="s">
        <v>565</v>
      </c>
      <c r="B39" s="64">
        <v>23.47</v>
      </c>
      <c r="C39" s="64">
        <v>13.97</v>
      </c>
      <c r="D39" s="64">
        <v>25.67</v>
      </c>
      <c r="E39" s="64">
        <v>4.62</v>
      </c>
      <c r="F39" s="64">
        <v>2.52</v>
      </c>
      <c r="G39" s="64">
        <v>59.8</v>
      </c>
      <c r="H39" s="64">
        <v>32.76</v>
      </c>
      <c r="I39" s="64">
        <v>4.5</v>
      </c>
      <c r="J39" s="64">
        <v>0.72</v>
      </c>
      <c r="K39" s="64">
        <v>335.33</v>
      </c>
      <c r="L39" s="64">
        <v>16.73</v>
      </c>
      <c r="M39" s="64">
        <v>62.14</v>
      </c>
      <c r="N39" s="64">
        <v>206.1</v>
      </c>
      <c r="O39" s="64">
        <v>0</v>
      </c>
      <c r="P39" s="64">
        <v>1.21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4" t="s">
        <v>566</v>
      </c>
      <c r="B40" s="64">
        <v>24.06</v>
      </c>
      <c r="C40" s="64">
        <v>14.32</v>
      </c>
      <c r="D40" s="64">
        <v>26.31</v>
      </c>
      <c r="E40" s="64">
        <v>5.07</v>
      </c>
      <c r="F40" s="64">
        <v>2.82</v>
      </c>
      <c r="G40" s="64">
        <v>59.8</v>
      </c>
      <c r="H40" s="64">
        <v>32.76</v>
      </c>
      <c r="I40" s="64">
        <v>4.46</v>
      </c>
      <c r="J40" s="64">
        <v>0.95</v>
      </c>
      <c r="K40" s="64">
        <v>340.68</v>
      </c>
      <c r="L40" s="64">
        <v>19.36</v>
      </c>
      <c r="M40" s="64">
        <v>49.26</v>
      </c>
      <c r="N40" s="64">
        <v>254.5</v>
      </c>
      <c r="O40" s="64">
        <v>0</v>
      </c>
      <c r="P40" s="64">
        <v>1.21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4" t="s">
        <v>567</v>
      </c>
      <c r="B41" s="64">
        <v>24.08</v>
      </c>
      <c r="C41" s="64">
        <v>15.11</v>
      </c>
      <c r="D41" s="64">
        <v>26.75</v>
      </c>
      <c r="E41" s="64">
        <v>5.3</v>
      </c>
      <c r="F41" s="64">
        <v>2.74</v>
      </c>
      <c r="G41" s="64">
        <v>57.62</v>
      </c>
      <c r="H41" s="64">
        <v>31.2</v>
      </c>
      <c r="I41" s="64">
        <v>4.4400000000000004</v>
      </c>
      <c r="J41" s="64">
        <v>0.84</v>
      </c>
      <c r="K41" s="64">
        <v>341.71</v>
      </c>
      <c r="L41" s="64">
        <v>20.59</v>
      </c>
      <c r="M41" s="64">
        <v>45.61</v>
      </c>
      <c r="N41" s="64">
        <v>303.2</v>
      </c>
      <c r="O41" s="64">
        <v>0</v>
      </c>
      <c r="P41" s="64">
        <v>1.19</v>
      </c>
      <c r="Q41" s="64">
        <v>9.68</v>
      </c>
      <c r="R41" s="198"/>
      <c r="S41" s="198"/>
      <c r="T41" s="198"/>
      <c r="U41" s="198"/>
    </row>
    <row r="42" spans="1:21" s="12" customFormat="1" x14ac:dyDescent="0.25">
      <c r="A42" s="214" t="s">
        <v>568</v>
      </c>
      <c r="B42" s="64">
        <v>23.74</v>
      </c>
      <c r="C42" s="64">
        <v>15.4</v>
      </c>
      <c r="D42" s="64">
        <v>26.62</v>
      </c>
      <c r="E42" s="64">
        <v>5.39</v>
      </c>
      <c r="F42" s="64">
        <v>3.17</v>
      </c>
      <c r="G42" s="64">
        <v>46.69</v>
      </c>
      <c r="H42" s="64">
        <v>25.31</v>
      </c>
      <c r="I42" s="64">
        <v>4.38</v>
      </c>
      <c r="J42" s="64">
        <v>1.1599999999999999</v>
      </c>
      <c r="K42" s="64">
        <v>345.56</v>
      </c>
      <c r="L42" s="64">
        <v>22.43</v>
      </c>
      <c r="M42" s="64">
        <v>39.81</v>
      </c>
      <c r="N42" s="64">
        <v>345</v>
      </c>
      <c r="O42" s="64">
        <v>0</v>
      </c>
      <c r="P42" s="64">
        <v>1.17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4" t="s">
        <v>569</v>
      </c>
      <c r="B43" s="64">
        <v>22.96</v>
      </c>
      <c r="C43" s="64">
        <v>15.92</v>
      </c>
      <c r="D43" s="64">
        <v>26.27</v>
      </c>
      <c r="E43" s="64">
        <v>6.08</v>
      </c>
      <c r="F43" s="64">
        <v>3.43</v>
      </c>
      <c r="G43" s="64">
        <v>46.69</v>
      </c>
      <c r="H43" s="64">
        <v>25.31</v>
      </c>
      <c r="I43" s="64">
        <v>4.3099999999999996</v>
      </c>
      <c r="J43" s="64">
        <v>0.76</v>
      </c>
      <c r="K43" s="64">
        <v>336.9</v>
      </c>
      <c r="L43" s="64">
        <v>22.71</v>
      </c>
      <c r="M43" s="64">
        <v>39.67</v>
      </c>
      <c r="N43" s="64">
        <v>380.5</v>
      </c>
      <c r="O43" s="64">
        <v>0</v>
      </c>
      <c r="P43" s="64">
        <v>1.1399999999999999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4" t="s">
        <v>570</v>
      </c>
      <c r="B44" s="64">
        <v>22.79</v>
      </c>
      <c r="C44" s="64">
        <v>16.309999999999999</v>
      </c>
      <c r="D44" s="64">
        <v>26.33</v>
      </c>
      <c r="E44" s="64">
        <v>6.78</v>
      </c>
      <c r="F44" s="64">
        <v>3.26</v>
      </c>
      <c r="G44" s="64">
        <v>46.69</v>
      </c>
      <c r="H44" s="64">
        <v>25.31</v>
      </c>
      <c r="I44" s="64">
        <v>4.2300000000000004</v>
      </c>
      <c r="J44" s="64">
        <v>0.87</v>
      </c>
      <c r="K44" s="64">
        <v>337.93</v>
      </c>
      <c r="L44" s="64">
        <v>23.78</v>
      </c>
      <c r="M44" s="64">
        <v>36.97</v>
      </c>
      <c r="N44" s="64">
        <v>420.1</v>
      </c>
      <c r="O44" s="64">
        <v>0</v>
      </c>
      <c r="P44" s="64">
        <v>1.1000000000000001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4" t="s">
        <v>571</v>
      </c>
      <c r="B45" s="64">
        <v>22.2</v>
      </c>
      <c r="C45" s="64">
        <v>17.61</v>
      </c>
      <c r="D45" s="64">
        <v>26.55</v>
      </c>
      <c r="E45" s="64">
        <v>6.37</v>
      </c>
      <c r="F45" s="64">
        <v>3.27</v>
      </c>
      <c r="G45" s="64">
        <v>47.32</v>
      </c>
      <c r="H45" s="64">
        <v>25.04</v>
      </c>
      <c r="I45" s="64">
        <v>4.1399999999999997</v>
      </c>
      <c r="J45" s="64">
        <v>0.81</v>
      </c>
      <c r="K45" s="64">
        <v>338.95</v>
      </c>
      <c r="L45" s="64">
        <v>24.26</v>
      </c>
      <c r="M45" s="64">
        <v>36.32</v>
      </c>
      <c r="N45" s="64">
        <v>445.4</v>
      </c>
      <c r="O45" s="64">
        <v>0</v>
      </c>
      <c r="P45" s="64">
        <v>1.08</v>
      </c>
      <c r="Q45" s="64">
        <v>9.67</v>
      </c>
      <c r="R45" s="198"/>
      <c r="S45" s="198"/>
      <c r="T45" s="198"/>
      <c r="U45" s="198"/>
    </row>
    <row r="46" spans="1:21" s="12" customFormat="1" x14ac:dyDescent="0.25">
      <c r="A46" s="214" t="s">
        <v>572</v>
      </c>
      <c r="B46" s="64">
        <v>22.21</v>
      </c>
      <c r="C46" s="64">
        <v>17.600000000000001</v>
      </c>
      <c r="D46" s="64">
        <v>26.54</v>
      </c>
      <c r="E46" s="64">
        <v>5.47</v>
      </c>
      <c r="F46" s="64">
        <v>3.21</v>
      </c>
      <c r="G46" s="64">
        <v>50.47</v>
      </c>
      <c r="H46" s="64">
        <v>24.09</v>
      </c>
      <c r="I46" s="64">
        <v>4.05</v>
      </c>
      <c r="J46" s="64">
        <v>0.53</v>
      </c>
      <c r="K46" s="64">
        <v>107.42</v>
      </c>
      <c r="L46" s="64">
        <v>23.21</v>
      </c>
      <c r="M46" s="64">
        <v>38.68</v>
      </c>
      <c r="N46" s="64">
        <v>473.1</v>
      </c>
      <c r="O46" s="64">
        <v>0</v>
      </c>
      <c r="P46" s="64">
        <v>1.06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4" t="s">
        <v>573</v>
      </c>
      <c r="B47" s="64">
        <v>22.54</v>
      </c>
      <c r="C47" s="64">
        <v>17.38</v>
      </c>
      <c r="D47" s="64">
        <v>26.69</v>
      </c>
      <c r="E47" s="64">
        <v>5.52</v>
      </c>
      <c r="F47" s="64">
        <v>3</v>
      </c>
      <c r="G47" s="64">
        <v>50.47</v>
      </c>
      <c r="H47" s="64">
        <v>24.09</v>
      </c>
      <c r="I47" s="64">
        <v>3.98</v>
      </c>
      <c r="J47" s="64">
        <v>0.25</v>
      </c>
      <c r="K47" s="64">
        <v>342.63</v>
      </c>
      <c r="L47" s="64">
        <v>23.86</v>
      </c>
      <c r="M47" s="64">
        <v>36.58</v>
      </c>
      <c r="N47" s="64">
        <v>496.1</v>
      </c>
      <c r="O47" s="64">
        <v>0</v>
      </c>
      <c r="P47" s="64">
        <v>1.01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4" t="s">
        <v>574</v>
      </c>
      <c r="B48" s="64">
        <v>22.34</v>
      </c>
      <c r="C48" s="64">
        <v>18.239999999999998</v>
      </c>
      <c r="D48" s="64">
        <v>26.98</v>
      </c>
      <c r="E48" s="64">
        <v>5.9</v>
      </c>
      <c r="F48" s="64">
        <v>3</v>
      </c>
      <c r="G48" s="64">
        <v>50.47</v>
      </c>
      <c r="H48" s="64">
        <v>24.09</v>
      </c>
      <c r="I48" s="64">
        <v>3.88</v>
      </c>
      <c r="J48" s="64">
        <v>0.35</v>
      </c>
      <c r="K48" s="64">
        <v>341.69</v>
      </c>
      <c r="L48" s="64">
        <v>24.55</v>
      </c>
      <c r="M48" s="64">
        <v>35.11</v>
      </c>
      <c r="N48" s="64">
        <v>519.1</v>
      </c>
      <c r="O48" s="64">
        <v>0</v>
      </c>
      <c r="P48" s="64">
        <v>0.97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4" t="s">
        <v>575</v>
      </c>
      <c r="B49" s="64">
        <v>23.23</v>
      </c>
      <c r="C49" s="64">
        <v>19.64</v>
      </c>
      <c r="D49" s="64">
        <v>28.43</v>
      </c>
      <c r="E49" s="64">
        <v>6.61</v>
      </c>
      <c r="F49" s="64">
        <v>3.55</v>
      </c>
      <c r="G49" s="64">
        <v>51.4</v>
      </c>
      <c r="H49" s="64">
        <v>24.41</v>
      </c>
      <c r="I49" s="64">
        <v>3.81</v>
      </c>
      <c r="J49" s="64">
        <v>1.1599999999999999</v>
      </c>
      <c r="K49" s="64">
        <v>342.6</v>
      </c>
      <c r="L49" s="64">
        <v>26.11</v>
      </c>
      <c r="M49" s="64">
        <v>31.51</v>
      </c>
      <c r="N49" s="64">
        <v>536.4</v>
      </c>
      <c r="O49" s="64">
        <v>0</v>
      </c>
      <c r="P49" s="64">
        <v>0.93</v>
      </c>
      <c r="Q49" s="64">
        <v>9.66</v>
      </c>
      <c r="R49" s="198"/>
      <c r="S49" s="198"/>
      <c r="T49" s="198"/>
      <c r="U49" s="198"/>
    </row>
    <row r="50" spans="1:21" s="12" customFormat="1" x14ac:dyDescent="0.25">
      <c r="A50" s="214" t="s">
        <v>576</v>
      </c>
      <c r="B50" s="64">
        <v>22.64</v>
      </c>
      <c r="C50" s="64">
        <v>19.100000000000001</v>
      </c>
      <c r="D50" s="64">
        <v>27.67</v>
      </c>
      <c r="E50" s="64">
        <v>6.28</v>
      </c>
      <c r="F50" s="64">
        <v>3.13</v>
      </c>
      <c r="G50" s="64">
        <v>56.03</v>
      </c>
      <c r="H50" s="64">
        <v>25.52</v>
      </c>
      <c r="I50" s="64">
        <v>3.76</v>
      </c>
      <c r="J50" s="64">
        <v>0.17</v>
      </c>
      <c r="K50" s="64">
        <v>8.3699999999999992</v>
      </c>
      <c r="L50" s="64">
        <v>26.39</v>
      </c>
      <c r="M50" s="64">
        <v>30.91</v>
      </c>
      <c r="N50" s="64">
        <v>546</v>
      </c>
      <c r="O50" s="64">
        <v>0</v>
      </c>
      <c r="P50" s="64">
        <v>0.92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4" t="s">
        <v>577</v>
      </c>
      <c r="B51" s="64">
        <v>22.56</v>
      </c>
      <c r="C51" s="64">
        <v>19.57</v>
      </c>
      <c r="D51" s="64">
        <v>27.86</v>
      </c>
      <c r="E51" s="64">
        <v>6.19</v>
      </c>
      <c r="F51" s="64">
        <v>2.92</v>
      </c>
      <c r="G51" s="64">
        <v>56.03</v>
      </c>
      <c r="H51" s="64">
        <v>25.52</v>
      </c>
      <c r="I51" s="64">
        <v>3.67</v>
      </c>
      <c r="J51" s="64">
        <v>0.37</v>
      </c>
      <c r="K51" s="64">
        <v>351.55</v>
      </c>
      <c r="L51" s="64">
        <v>26.33</v>
      </c>
      <c r="M51" s="64">
        <v>30.89</v>
      </c>
      <c r="N51" s="64">
        <v>553.20000000000005</v>
      </c>
      <c r="O51" s="64">
        <v>0</v>
      </c>
      <c r="P51" s="64">
        <v>0.91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4" t="s">
        <v>578</v>
      </c>
      <c r="B52" s="64">
        <v>22.46</v>
      </c>
      <c r="C52" s="64">
        <v>20.25</v>
      </c>
      <c r="D52" s="64">
        <v>28.13</v>
      </c>
      <c r="E52" s="64">
        <v>5.84</v>
      </c>
      <c r="F52" s="64">
        <v>3.24</v>
      </c>
      <c r="G52" s="64">
        <v>56.03</v>
      </c>
      <c r="H52" s="64">
        <v>25.52</v>
      </c>
      <c r="I52" s="64">
        <v>3.6</v>
      </c>
      <c r="J52" s="64">
        <v>0.54</v>
      </c>
      <c r="K52" s="64">
        <v>117.12</v>
      </c>
      <c r="L52" s="64">
        <v>25.17</v>
      </c>
      <c r="M52" s="64">
        <v>32.83</v>
      </c>
      <c r="N52" s="64">
        <v>564</v>
      </c>
      <c r="O52" s="64">
        <v>0</v>
      </c>
      <c r="P52" s="64">
        <v>0.88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14" t="s">
        <v>579</v>
      </c>
      <c r="B53" s="64">
        <v>21.71</v>
      </c>
      <c r="C53" s="64">
        <v>20.079999999999998</v>
      </c>
      <c r="D53" s="64">
        <v>27.44</v>
      </c>
      <c r="E53" s="64">
        <v>5.51</v>
      </c>
      <c r="F53" s="64">
        <v>3.44</v>
      </c>
      <c r="G53" s="64">
        <v>51.02</v>
      </c>
      <c r="H53" s="64">
        <v>25.39</v>
      </c>
      <c r="I53" s="64">
        <v>3.53</v>
      </c>
      <c r="J53" s="64">
        <v>0.91</v>
      </c>
      <c r="K53" s="64">
        <v>117.45</v>
      </c>
      <c r="L53" s="64">
        <v>25.15</v>
      </c>
      <c r="M53" s="64">
        <v>32.06</v>
      </c>
      <c r="N53" s="64">
        <v>577.6</v>
      </c>
      <c r="O53" s="64">
        <v>0</v>
      </c>
      <c r="P53" s="64">
        <v>0.86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4" t="s">
        <v>580</v>
      </c>
      <c r="B54" s="64">
        <v>19.28</v>
      </c>
      <c r="C54" s="64">
        <v>20.53</v>
      </c>
      <c r="D54" s="64">
        <v>25.73</v>
      </c>
      <c r="E54" s="64">
        <v>5.72</v>
      </c>
      <c r="F54" s="64">
        <v>3.43</v>
      </c>
      <c r="G54" s="64">
        <v>13.45</v>
      </c>
      <c r="H54" s="64">
        <v>24.75</v>
      </c>
      <c r="I54" s="64">
        <v>3.47</v>
      </c>
      <c r="J54" s="64">
        <v>1.29</v>
      </c>
      <c r="K54" s="64">
        <v>123.17</v>
      </c>
      <c r="L54" s="64">
        <v>24.61</v>
      </c>
      <c r="M54" s="64">
        <v>32.729999999999997</v>
      </c>
      <c r="N54" s="64">
        <v>586.20000000000005</v>
      </c>
      <c r="O54" s="64">
        <v>0</v>
      </c>
      <c r="P54" s="64">
        <v>0.85</v>
      </c>
      <c r="Q54" s="64">
        <v>9.64</v>
      </c>
      <c r="R54" s="198"/>
      <c r="S54" s="198"/>
      <c r="T54" s="198"/>
      <c r="U54" s="198"/>
    </row>
    <row r="55" spans="1:21" s="12" customFormat="1" x14ac:dyDescent="0.25">
      <c r="A55" s="214" t="s">
        <v>581</v>
      </c>
      <c r="B55" s="64">
        <v>18.71</v>
      </c>
      <c r="C55" s="64">
        <v>19.55</v>
      </c>
      <c r="D55" s="64">
        <v>24.75</v>
      </c>
      <c r="E55" s="64">
        <v>5.16</v>
      </c>
      <c r="F55" s="64">
        <v>3.03</v>
      </c>
      <c r="G55" s="64">
        <v>13.45</v>
      </c>
      <c r="H55" s="64">
        <v>24.75</v>
      </c>
      <c r="I55" s="64">
        <v>3.41</v>
      </c>
      <c r="J55" s="64">
        <v>1.8</v>
      </c>
      <c r="K55" s="64">
        <v>121.19</v>
      </c>
      <c r="L55" s="64">
        <v>24.12</v>
      </c>
      <c r="M55" s="64">
        <v>32.99</v>
      </c>
      <c r="N55" s="64">
        <v>584.79999999999995</v>
      </c>
      <c r="O55" s="64">
        <v>0</v>
      </c>
      <c r="P55" s="64">
        <v>0.82</v>
      </c>
      <c r="Q55" s="64">
        <v>9.6300000000000008</v>
      </c>
      <c r="R55" s="198"/>
      <c r="S55" s="198"/>
      <c r="T55" s="198"/>
      <c r="U55" s="198"/>
    </row>
    <row r="56" spans="1:21" s="12" customFormat="1" x14ac:dyDescent="0.25">
      <c r="A56" s="214" t="s">
        <v>582</v>
      </c>
      <c r="B56" s="64">
        <v>16.75</v>
      </c>
      <c r="C56" s="64">
        <v>20.8</v>
      </c>
      <c r="D56" s="64">
        <v>23.84</v>
      </c>
      <c r="E56" s="64">
        <v>6.09</v>
      </c>
      <c r="F56" s="64">
        <v>4.37</v>
      </c>
      <c r="G56" s="64">
        <v>13.45</v>
      </c>
      <c r="H56" s="64">
        <v>24.75</v>
      </c>
      <c r="I56" s="64">
        <v>3.33</v>
      </c>
      <c r="J56" s="64">
        <v>0.97</v>
      </c>
      <c r="K56" s="64">
        <v>121.42</v>
      </c>
      <c r="L56" s="64">
        <v>24.82</v>
      </c>
      <c r="M56" s="64">
        <v>31.17</v>
      </c>
      <c r="N56" s="64">
        <v>562.1</v>
      </c>
      <c r="O56" s="64">
        <v>0</v>
      </c>
      <c r="P56" s="64">
        <v>0.78</v>
      </c>
      <c r="Q56" s="64">
        <v>9.65</v>
      </c>
      <c r="R56" s="198"/>
      <c r="S56" s="198"/>
      <c r="T56" s="198"/>
      <c r="U56" s="198"/>
    </row>
    <row r="57" spans="1:21" s="12" customFormat="1" x14ac:dyDescent="0.25">
      <c r="A57" s="214" t="s">
        <v>583</v>
      </c>
      <c r="B57" s="64">
        <v>15.46</v>
      </c>
      <c r="C57" s="64">
        <v>20.95</v>
      </c>
      <c r="D57" s="64">
        <v>22.89</v>
      </c>
      <c r="E57" s="64">
        <v>5.61</v>
      </c>
      <c r="F57" s="64">
        <v>3.64</v>
      </c>
      <c r="G57" s="64">
        <v>11.84</v>
      </c>
      <c r="H57" s="64">
        <v>23.84</v>
      </c>
      <c r="I57" s="64">
        <v>3.25</v>
      </c>
      <c r="J57" s="64">
        <v>0.8</v>
      </c>
      <c r="K57" s="64">
        <v>121.88</v>
      </c>
      <c r="L57" s="64">
        <v>25.03</v>
      </c>
      <c r="M57" s="64">
        <v>30.44</v>
      </c>
      <c r="N57" s="64">
        <v>545.4</v>
      </c>
      <c r="O57" s="64">
        <v>0</v>
      </c>
      <c r="P57" s="64">
        <v>0.78</v>
      </c>
      <c r="Q57" s="64">
        <v>9.65</v>
      </c>
      <c r="R57" s="198"/>
      <c r="S57" s="198"/>
      <c r="T57" s="198"/>
      <c r="U57" s="198"/>
    </row>
    <row r="58" spans="1:21" s="12" customFormat="1" x14ac:dyDescent="0.25">
      <c r="A58" s="214" t="s">
        <v>584</v>
      </c>
      <c r="B58" s="64">
        <v>14.78</v>
      </c>
      <c r="C58" s="64">
        <v>24.04</v>
      </c>
      <c r="D58" s="64">
        <v>23.95</v>
      </c>
      <c r="E58" s="64">
        <v>6.35</v>
      </c>
      <c r="F58" s="64">
        <v>6.96</v>
      </c>
      <c r="G58" s="64">
        <v>5.52</v>
      </c>
      <c r="H58" s="64">
        <v>20.62</v>
      </c>
      <c r="I58" s="64">
        <v>3.18</v>
      </c>
      <c r="J58" s="64">
        <v>0.56999999999999995</v>
      </c>
      <c r="K58" s="64">
        <v>337.13</v>
      </c>
      <c r="L58" s="64">
        <v>26.72</v>
      </c>
      <c r="M58" s="64">
        <v>26.45</v>
      </c>
      <c r="N58" s="64">
        <v>535.70000000000005</v>
      </c>
      <c r="O58" s="64">
        <v>0</v>
      </c>
      <c r="P58" s="64">
        <v>0.8</v>
      </c>
      <c r="Q58" s="64">
        <v>9.65</v>
      </c>
      <c r="R58" s="198"/>
      <c r="S58" s="198"/>
      <c r="T58" s="198"/>
      <c r="U58" s="198"/>
    </row>
    <row r="59" spans="1:21" s="12" customFormat="1" x14ac:dyDescent="0.25">
      <c r="A59" s="214" t="s">
        <v>585</v>
      </c>
      <c r="B59" s="64">
        <v>11.66</v>
      </c>
      <c r="C59" s="64">
        <v>25.41</v>
      </c>
      <c r="D59" s="64">
        <v>22.17</v>
      </c>
      <c r="E59" s="64">
        <v>7.01</v>
      </c>
      <c r="F59" s="64">
        <v>6.25</v>
      </c>
      <c r="G59" s="64">
        <v>5.52</v>
      </c>
      <c r="H59" s="64">
        <v>20.62</v>
      </c>
      <c r="I59" s="64">
        <v>3.13</v>
      </c>
      <c r="J59" s="64">
        <v>0.25</v>
      </c>
      <c r="K59" s="64">
        <v>38.85</v>
      </c>
      <c r="L59" s="64">
        <v>26.38</v>
      </c>
      <c r="M59" s="64">
        <v>26.85</v>
      </c>
      <c r="N59" s="64">
        <v>539</v>
      </c>
      <c r="O59" s="64">
        <v>0</v>
      </c>
      <c r="P59" s="64">
        <v>0.8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4" t="s">
        <v>586</v>
      </c>
      <c r="B60" s="64">
        <v>9.91</v>
      </c>
      <c r="C60" s="64">
        <v>25.27</v>
      </c>
      <c r="D60" s="64">
        <v>20.69</v>
      </c>
      <c r="E60" s="64">
        <v>8.4700000000000006</v>
      </c>
      <c r="F60" s="64">
        <v>11.69</v>
      </c>
      <c r="G60" s="64">
        <v>5.52</v>
      </c>
      <c r="H60" s="64">
        <v>20.62</v>
      </c>
      <c r="I60" s="64">
        <v>3.08</v>
      </c>
      <c r="J60" s="64">
        <v>0.54</v>
      </c>
      <c r="K60" s="64">
        <v>340.88</v>
      </c>
      <c r="L60" s="64">
        <v>27.88</v>
      </c>
      <c r="M60" s="64">
        <v>23.67</v>
      </c>
      <c r="N60" s="64">
        <v>519.29999999999995</v>
      </c>
      <c r="O60" s="64">
        <v>0</v>
      </c>
      <c r="P60" s="64">
        <v>0.73</v>
      </c>
      <c r="Q60" s="64">
        <v>9.65</v>
      </c>
      <c r="R60" s="198"/>
      <c r="S60" s="198"/>
      <c r="T60" s="198"/>
      <c r="U60" s="198"/>
    </row>
    <row r="61" spans="1:21" s="12" customFormat="1" x14ac:dyDescent="0.25">
      <c r="A61" s="214" t="s">
        <v>587</v>
      </c>
      <c r="B61" s="64">
        <v>10.06</v>
      </c>
      <c r="C61" s="64">
        <v>24.51</v>
      </c>
      <c r="D61" s="64">
        <v>20.41</v>
      </c>
      <c r="E61" s="64">
        <v>9.26</v>
      </c>
      <c r="F61" s="64">
        <v>12.65</v>
      </c>
      <c r="G61" s="64">
        <v>4.71</v>
      </c>
      <c r="H61" s="64">
        <v>20.440000000000001</v>
      </c>
      <c r="I61" s="64">
        <v>3.02</v>
      </c>
      <c r="J61" s="64">
        <v>1.04</v>
      </c>
      <c r="K61" s="64">
        <v>340.42</v>
      </c>
      <c r="L61" s="64">
        <v>28.27</v>
      </c>
      <c r="M61" s="64">
        <v>22.37</v>
      </c>
      <c r="N61" s="64">
        <v>492.1</v>
      </c>
      <c r="O61" s="64">
        <v>0</v>
      </c>
      <c r="P61" s="64">
        <v>0.77</v>
      </c>
      <c r="Q61" s="64">
        <v>9.66</v>
      </c>
      <c r="R61" s="198"/>
      <c r="S61" s="198"/>
      <c r="T61" s="198"/>
      <c r="U61" s="198"/>
    </row>
    <row r="62" spans="1:21" s="12" customFormat="1" x14ac:dyDescent="0.25">
      <c r="A62" s="214" t="s">
        <v>588</v>
      </c>
      <c r="B62" s="64">
        <v>7.84</v>
      </c>
      <c r="C62" s="64">
        <v>23.81</v>
      </c>
      <c r="D62" s="64">
        <v>18.260000000000002</v>
      </c>
      <c r="E62" s="64">
        <v>8.33</v>
      </c>
      <c r="F62" s="64">
        <v>12.42</v>
      </c>
      <c r="G62" s="64">
        <v>1.55</v>
      </c>
      <c r="H62" s="64">
        <v>19.829999999999998</v>
      </c>
      <c r="I62" s="64">
        <v>2.96</v>
      </c>
      <c r="J62" s="64">
        <v>0.68</v>
      </c>
      <c r="K62" s="64">
        <v>114.56</v>
      </c>
      <c r="L62" s="64">
        <v>26.68</v>
      </c>
      <c r="M62" s="64">
        <v>23.58</v>
      </c>
      <c r="N62" s="64">
        <v>494.4</v>
      </c>
      <c r="O62" s="64">
        <v>0</v>
      </c>
      <c r="P62" s="64">
        <v>0.78</v>
      </c>
      <c r="Q62" s="64">
        <v>9.64</v>
      </c>
      <c r="R62" s="198"/>
      <c r="S62" s="198"/>
      <c r="T62" s="198"/>
      <c r="U62" s="198"/>
    </row>
    <row r="63" spans="1:21" s="12" customFormat="1" x14ac:dyDescent="0.25">
      <c r="A63" s="214" t="s">
        <v>589</v>
      </c>
      <c r="B63" s="64">
        <v>7.41</v>
      </c>
      <c r="C63" s="64">
        <v>29.52</v>
      </c>
      <c r="D63" s="64">
        <v>20.91</v>
      </c>
      <c r="E63" s="64">
        <v>6.26</v>
      </c>
      <c r="F63" s="64">
        <v>6.6</v>
      </c>
      <c r="G63" s="64">
        <v>1.55</v>
      </c>
      <c r="H63" s="64">
        <v>19.829999999999998</v>
      </c>
      <c r="I63" s="64">
        <v>2.91</v>
      </c>
      <c r="J63" s="64">
        <v>0.31</v>
      </c>
      <c r="K63" s="64">
        <v>0.43</v>
      </c>
      <c r="L63" s="64">
        <v>26.88</v>
      </c>
      <c r="M63" s="64">
        <v>23.11</v>
      </c>
      <c r="N63" s="64">
        <v>461.6</v>
      </c>
      <c r="O63" s="64">
        <v>0</v>
      </c>
      <c r="P63" s="64">
        <v>0.82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14" t="s">
        <v>590</v>
      </c>
      <c r="B64" s="64">
        <v>8.08</v>
      </c>
      <c r="C64" s="64">
        <v>26.3</v>
      </c>
      <c r="D64" s="64">
        <v>19.760000000000002</v>
      </c>
      <c r="E64" s="64">
        <v>6.39</v>
      </c>
      <c r="F64" s="64">
        <v>4.97</v>
      </c>
      <c r="G64" s="64">
        <v>1.55</v>
      </c>
      <c r="H64" s="64">
        <v>19.829999999999998</v>
      </c>
      <c r="I64" s="64">
        <v>2.86</v>
      </c>
      <c r="J64" s="64">
        <v>1.1100000000000001</v>
      </c>
      <c r="K64" s="64">
        <v>123.85</v>
      </c>
      <c r="L64" s="64">
        <v>25.11</v>
      </c>
      <c r="M64" s="64">
        <v>25.48</v>
      </c>
      <c r="N64" s="64">
        <v>345.3</v>
      </c>
      <c r="O64" s="64">
        <v>0</v>
      </c>
      <c r="P64" s="64">
        <v>0.79</v>
      </c>
      <c r="Q64" s="64">
        <v>9.6300000000000008</v>
      </c>
      <c r="R64" s="198"/>
      <c r="S64" s="198"/>
      <c r="T64" s="198"/>
      <c r="U64" s="198"/>
    </row>
    <row r="65" spans="1:21" s="12" customFormat="1" x14ac:dyDescent="0.25">
      <c r="A65" s="214" t="s">
        <v>591</v>
      </c>
      <c r="B65" s="64">
        <v>6.85</v>
      </c>
      <c r="C65" s="64">
        <v>25.66</v>
      </c>
      <c r="D65" s="64">
        <v>18.440000000000001</v>
      </c>
      <c r="E65" s="64">
        <v>14.26</v>
      </c>
      <c r="F65" s="64">
        <v>12.28</v>
      </c>
      <c r="G65" s="64">
        <v>1.33</v>
      </c>
      <c r="H65" s="64">
        <v>19.5</v>
      </c>
      <c r="I65" s="64">
        <v>2.81</v>
      </c>
      <c r="J65" s="64">
        <v>0.36</v>
      </c>
      <c r="K65" s="64">
        <v>104.4</v>
      </c>
      <c r="L65" s="64">
        <v>24.93</v>
      </c>
      <c r="M65" s="64">
        <v>26.52</v>
      </c>
      <c r="N65" s="64">
        <v>130.1</v>
      </c>
      <c r="O65" s="64">
        <v>0</v>
      </c>
      <c r="P65" s="64">
        <v>0.66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4" t="s">
        <v>592</v>
      </c>
      <c r="B66" s="64">
        <v>6.74</v>
      </c>
      <c r="C66" s="64">
        <v>28.57</v>
      </c>
      <c r="D66" s="64">
        <v>19.87</v>
      </c>
      <c r="E66" s="64">
        <v>12.18</v>
      </c>
      <c r="F66" s="64">
        <v>7.23</v>
      </c>
      <c r="G66" s="64">
        <v>0.46</v>
      </c>
      <c r="H66" s="64">
        <v>18.36</v>
      </c>
      <c r="I66" s="64">
        <v>2.77</v>
      </c>
      <c r="J66" s="64">
        <v>0.32</v>
      </c>
      <c r="K66" s="64">
        <v>103.17</v>
      </c>
      <c r="L66" s="64">
        <v>24.92</v>
      </c>
      <c r="M66" s="64">
        <v>27.46</v>
      </c>
      <c r="N66" s="64">
        <v>131.5</v>
      </c>
      <c r="O66" s="64">
        <v>0</v>
      </c>
      <c r="P66" s="64">
        <v>0.71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4" t="s">
        <v>593</v>
      </c>
      <c r="B67" s="64">
        <v>6.58</v>
      </c>
      <c r="C67" s="64">
        <v>30.46</v>
      </c>
      <c r="D67" s="64">
        <v>20.73</v>
      </c>
      <c r="E67" s="64">
        <v>11.4</v>
      </c>
      <c r="F67" s="64">
        <v>8.0500000000000007</v>
      </c>
      <c r="G67" s="64">
        <v>0.46</v>
      </c>
      <c r="H67" s="64">
        <v>18.36</v>
      </c>
      <c r="I67" s="64">
        <v>2.73</v>
      </c>
      <c r="J67" s="64">
        <v>0.28000000000000003</v>
      </c>
      <c r="K67" s="64">
        <v>336.39</v>
      </c>
      <c r="L67" s="64">
        <v>25</v>
      </c>
      <c r="M67" s="64">
        <v>26.43</v>
      </c>
      <c r="N67" s="64">
        <v>105.7</v>
      </c>
      <c r="O67" s="64">
        <v>0</v>
      </c>
      <c r="P67" s="64">
        <v>0.7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4" t="s">
        <v>594</v>
      </c>
      <c r="B68" s="64">
        <v>5.95</v>
      </c>
      <c r="C68" s="64">
        <v>29.02</v>
      </c>
      <c r="D68" s="64">
        <v>19.47</v>
      </c>
      <c r="E68" s="64">
        <v>16.82</v>
      </c>
      <c r="F68" s="64">
        <v>8.67</v>
      </c>
      <c r="G68" s="64">
        <v>0.46</v>
      </c>
      <c r="H68" s="64">
        <v>18.36</v>
      </c>
      <c r="I68" s="64">
        <v>2.67</v>
      </c>
      <c r="J68" s="64">
        <v>0.34</v>
      </c>
      <c r="K68" s="64">
        <v>115.75</v>
      </c>
      <c r="L68" s="64">
        <v>24.64</v>
      </c>
      <c r="M68" s="64">
        <v>27.7</v>
      </c>
      <c r="N68" s="64">
        <v>95.5</v>
      </c>
      <c r="O68" s="64">
        <v>0</v>
      </c>
      <c r="P68" s="64">
        <v>0.66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4" t="s">
        <v>595</v>
      </c>
      <c r="B69" s="64">
        <v>7.95</v>
      </c>
      <c r="C69" s="64">
        <v>31.37</v>
      </c>
      <c r="D69" s="64">
        <v>22.31</v>
      </c>
      <c r="E69" s="64">
        <v>20.350000000000001</v>
      </c>
      <c r="F69" s="64">
        <v>10.23</v>
      </c>
      <c r="G69" s="64">
        <v>0.48</v>
      </c>
      <c r="H69" s="64">
        <v>18.559999999999999</v>
      </c>
      <c r="I69" s="64">
        <v>2.64</v>
      </c>
      <c r="J69" s="64">
        <v>0.72</v>
      </c>
      <c r="K69" s="64">
        <v>107.95</v>
      </c>
      <c r="L69" s="64">
        <v>24.33</v>
      </c>
      <c r="M69" s="64">
        <v>28.53</v>
      </c>
      <c r="N69" s="64">
        <v>88.1</v>
      </c>
      <c r="O69" s="64">
        <v>0</v>
      </c>
      <c r="P69" s="64">
        <v>0.71</v>
      </c>
      <c r="Q69" s="64">
        <v>9.59</v>
      </c>
      <c r="R69" s="198"/>
      <c r="S69" s="198"/>
      <c r="T69" s="198"/>
      <c r="U69" s="198"/>
    </row>
    <row r="70" spans="1:21" s="12" customFormat="1" x14ac:dyDescent="0.25">
      <c r="A70" s="214" t="s">
        <v>596</v>
      </c>
      <c r="B70" s="64">
        <v>5.91</v>
      </c>
      <c r="C70" s="64">
        <v>28.22</v>
      </c>
      <c r="D70" s="64">
        <v>19.02</v>
      </c>
      <c r="E70" s="64">
        <v>19.8</v>
      </c>
      <c r="F70" s="64">
        <v>9.07</v>
      </c>
      <c r="G70" s="64">
        <v>0.59</v>
      </c>
      <c r="H70" s="64">
        <v>19.52</v>
      </c>
      <c r="I70" s="64">
        <v>2.61</v>
      </c>
      <c r="J70" s="64">
        <v>0.96</v>
      </c>
      <c r="K70" s="64">
        <v>121.97</v>
      </c>
      <c r="L70" s="64">
        <v>24.08</v>
      </c>
      <c r="M70" s="64">
        <v>28.54</v>
      </c>
      <c r="N70" s="64">
        <v>79.5</v>
      </c>
      <c r="O70" s="64">
        <v>0</v>
      </c>
      <c r="P70" s="64">
        <v>0.66</v>
      </c>
      <c r="Q70" s="64">
        <v>9.58</v>
      </c>
      <c r="R70" s="198"/>
      <c r="S70" s="198"/>
      <c r="T70" s="198"/>
      <c r="U70" s="198"/>
    </row>
    <row r="71" spans="1:21" s="12" customFormat="1" x14ac:dyDescent="0.25">
      <c r="A71" s="214" t="s">
        <v>597</v>
      </c>
      <c r="B71" s="64">
        <v>5.42</v>
      </c>
      <c r="C71" s="64">
        <v>27.73</v>
      </c>
      <c r="D71" s="64">
        <v>18.38</v>
      </c>
      <c r="E71" s="64">
        <v>15.95</v>
      </c>
      <c r="F71" s="64">
        <v>11.77</v>
      </c>
      <c r="G71" s="64">
        <v>0.59</v>
      </c>
      <c r="H71" s="64">
        <v>19.52</v>
      </c>
      <c r="I71" s="64">
        <v>2.58</v>
      </c>
      <c r="J71" s="64">
        <v>0.99</v>
      </c>
      <c r="K71" s="64">
        <v>121.54</v>
      </c>
      <c r="L71" s="64">
        <v>23.86</v>
      </c>
      <c r="M71" s="64">
        <v>28.67</v>
      </c>
      <c r="N71" s="64">
        <v>73.2</v>
      </c>
      <c r="O71" s="64">
        <v>0</v>
      </c>
      <c r="P71" s="64">
        <v>0.63</v>
      </c>
      <c r="Q71" s="64">
        <v>9.58</v>
      </c>
      <c r="R71" s="198"/>
      <c r="S71" s="198"/>
      <c r="T71" s="198"/>
      <c r="U71" s="198"/>
    </row>
    <row r="72" spans="1:21" s="12" customFormat="1" x14ac:dyDescent="0.25">
      <c r="A72" s="214" t="s">
        <v>598</v>
      </c>
      <c r="B72" s="64">
        <v>5.5</v>
      </c>
      <c r="C72" s="64">
        <v>28.54</v>
      </c>
      <c r="D72" s="64">
        <v>18.86</v>
      </c>
      <c r="E72" s="64">
        <v>18.32</v>
      </c>
      <c r="F72" s="64">
        <v>9.26</v>
      </c>
      <c r="G72" s="64">
        <v>0.59</v>
      </c>
      <c r="H72" s="64">
        <v>19.52</v>
      </c>
      <c r="I72" s="64">
        <v>2.54</v>
      </c>
      <c r="J72" s="64">
        <v>0.49</v>
      </c>
      <c r="K72" s="64">
        <v>112.94</v>
      </c>
      <c r="L72" s="64">
        <v>23.73</v>
      </c>
      <c r="M72" s="64">
        <v>31.07</v>
      </c>
      <c r="N72" s="64">
        <v>66.400000000000006</v>
      </c>
      <c r="O72" s="64">
        <v>0</v>
      </c>
      <c r="P72" s="64">
        <v>0.63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14" t="s">
        <v>599</v>
      </c>
      <c r="B73" s="64">
        <v>6.19</v>
      </c>
      <c r="C73" s="64">
        <v>35.46</v>
      </c>
      <c r="D73" s="64">
        <v>23.03</v>
      </c>
      <c r="E73" s="64">
        <v>28.65</v>
      </c>
      <c r="F73" s="64">
        <v>11.25</v>
      </c>
      <c r="G73" s="64">
        <v>0.81</v>
      </c>
      <c r="H73" s="64">
        <v>19.84</v>
      </c>
      <c r="I73" s="64">
        <v>2.4900000000000002</v>
      </c>
      <c r="J73" s="64">
        <v>0.33</v>
      </c>
      <c r="K73" s="64">
        <v>91.02</v>
      </c>
      <c r="L73" s="64">
        <v>23.64</v>
      </c>
      <c r="M73" s="64">
        <v>30.8</v>
      </c>
      <c r="N73" s="64">
        <v>59.5</v>
      </c>
      <c r="O73" s="64">
        <v>0</v>
      </c>
      <c r="P73" s="64">
        <v>0.74</v>
      </c>
      <c r="Q73" s="64">
        <v>9.57</v>
      </c>
      <c r="R73" s="198"/>
      <c r="S73" s="198"/>
      <c r="T73" s="198"/>
      <c r="U73" s="198"/>
    </row>
    <row r="74" spans="1:21" s="12" customFormat="1" x14ac:dyDescent="0.25">
      <c r="A74" s="214" t="s">
        <v>600</v>
      </c>
      <c r="B74" s="64">
        <v>4.3</v>
      </c>
      <c r="C74" s="64">
        <v>32.75</v>
      </c>
      <c r="D74" s="64">
        <v>20.059999999999999</v>
      </c>
      <c r="E74" s="64">
        <v>26.12</v>
      </c>
      <c r="F74" s="64">
        <v>15.23</v>
      </c>
      <c r="G74" s="64">
        <v>1.65</v>
      </c>
      <c r="H74" s="64">
        <v>20.96</v>
      </c>
      <c r="I74" s="64">
        <v>2.46</v>
      </c>
      <c r="J74" s="64">
        <v>0.56999999999999995</v>
      </c>
      <c r="K74" s="64">
        <v>103.83</v>
      </c>
      <c r="L74" s="64">
        <v>23.33</v>
      </c>
      <c r="M74" s="64">
        <v>31.02</v>
      </c>
      <c r="N74" s="64">
        <v>52.6</v>
      </c>
      <c r="O74" s="64">
        <v>0</v>
      </c>
      <c r="P74" s="64">
        <v>0.6</v>
      </c>
      <c r="Q74" s="64">
        <v>9.58</v>
      </c>
      <c r="R74" s="198"/>
      <c r="S74" s="198"/>
      <c r="T74" s="198"/>
      <c r="U74" s="198"/>
    </row>
    <row r="75" spans="1:21" s="12" customFormat="1" x14ac:dyDescent="0.25">
      <c r="A75" s="214" t="s">
        <v>601</v>
      </c>
      <c r="B75" s="64">
        <v>5.56</v>
      </c>
      <c r="C75" s="64">
        <v>39.43</v>
      </c>
      <c r="D75" s="64">
        <v>24.6</v>
      </c>
      <c r="E75" s="64">
        <v>28.54</v>
      </c>
      <c r="F75" s="64">
        <v>11.73</v>
      </c>
      <c r="G75" s="64">
        <v>1.65</v>
      </c>
      <c r="H75" s="64">
        <v>20.96</v>
      </c>
      <c r="I75" s="64">
        <v>2.48</v>
      </c>
      <c r="J75" s="64">
        <v>0.38</v>
      </c>
      <c r="K75" s="64">
        <v>97.37</v>
      </c>
      <c r="L75" s="64">
        <v>22.99</v>
      </c>
      <c r="M75" s="64">
        <v>32.71</v>
      </c>
      <c r="N75" s="64">
        <v>47.1</v>
      </c>
      <c r="O75" s="64">
        <v>0</v>
      </c>
      <c r="P75" s="64">
        <v>0.71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4" t="s">
        <v>602</v>
      </c>
      <c r="B76" s="64">
        <v>8.5</v>
      </c>
      <c r="C76" s="64">
        <v>40.64</v>
      </c>
      <c r="D76" s="64">
        <v>27.59</v>
      </c>
      <c r="E76" s="64">
        <v>27.59</v>
      </c>
      <c r="F76" s="64">
        <v>9.93</v>
      </c>
      <c r="G76" s="64">
        <v>1.65</v>
      </c>
      <c r="H76" s="64">
        <v>20.96</v>
      </c>
      <c r="I76" s="64">
        <v>2.4700000000000002</v>
      </c>
      <c r="J76" s="64">
        <v>0.36</v>
      </c>
      <c r="K76" s="64">
        <v>63.14</v>
      </c>
      <c r="L76" s="64">
        <v>22.51</v>
      </c>
      <c r="M76" s="64">
        <v>34.28</v>
      </c>
      <c r="N76" s="64">
        <v>40.299999999999997</v>
      </c>
      <c r="O76" s="64">
        <v>0</v>
      </c>
      <c r="P76" s="64">
        <v>0.87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4" t="s">
        <v>603</v>
      </c>
      <c r="B77" s="64">
        <v>14.75</v>
      </c>
      <c r="C77" s="64">
        <v>42.77</v>
      </c>
      <c r="D77" s="64">
        <v>33.71</v>
      </c>
      <c r="E77" s="64">
        <v>27.36</v>
      </c>
      <c r="F77" s="64">
        <v>7.43</v>
      </c>
      <c r="G77" s="64">
        <v>0.28000000000000003</v>
      </c>
      <c r="H77" s="64">
        <v>13.14</v>
      </c>
      <c r="I77" s="64">
        <v>2.4700000000000002</v>
      </c>
      <c r="J77" s="64">
        <v>0.37</v>
      </c>
      <c r="K77" s="64">
        <v>82.95</v>
      </c>
      <c r="L77" s="64">
        <v>21.95</v>
      </c>
      <c r="M77" s="64">
        <v>36.68</v>
      </c>
      <c r="N77" s="64">
        <v>35.299999999999997</v>
      </c>
      <c r="O77" s="64">
        <v>0</v>
      </c>
      <c r="P77" s="64">
        <v>1.1000000000000001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4" t="s">
        <v>604</v>
      </c>
      <c r="B78" s="64">
        <v>25.57</v>
      </c>
      <c r="C78" s="64">
        <v>43.74</v>
      </c>
      <c r="D78" s="64">
        <v>42.65</v>
      </c>
      <c r="E78" s="64">
        <v>18.170000000000002</v>
      </c>
      <c r="F78" s="64">
        <v>5.27</v>
      </c>
      <c r="G78" s="64">
        <v>0</v>
      </c>
      <c r="H78" s="64">
        <v>0</v>
      </c>
      <c r="I78" s="64">
        <v>2.5</v>
      </c>
      <c r="J78" s="64">
        <v>0.4</v>
      </c>
      <c r="K78" s="64">
        <v>78.08</v>
      </c>
      <c r="L78" s="64">
        <v>21.22</v>
      </c>
      <c r="M78" s="64">
        <v>41.01</v>
      </c>
      <c r="N78" s="64">
        <v>32.9</v>
      </c>
      <c r="O78" s="64">
        <v>0</v>
      </c>
      <c r="P78" s="64">
        <v>1.46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4" t="s">
        <v>605</v>
      </c>
      <c r="B79" s="64">
        <v>13.64</v>
      </c>
      <c r="C79" s="64">
        <v>47.69</v>
      </c>
      <c r="D79" s="64">
        <v>35.39</v>
      </c>
      <c r="E79" s="64">
        <v>17.61</v>
      </c>
      <c r="F79" s="64">
        <v>6.02</v>
      </c>
      <c r="G79" s="64">
        <v>0</v>
      </c>
      <c r="H79" s="64">
        <v>0</v>
      </c>
      <c r="I79" s="64">
        <v>2.4300000000000002</v>
      </c>
      <c r="J79" s="64">
        <v>0.35</v>
      </c>
      <c r="K79" s="64">
        <v>339.77</v>
      </c>
      <c r="L79" s="64">
        <v>20.56</v>
      </c>
      <c r="M79" s="64">
        <v>42.03</v>
      </c>
      <c r="N79" s="64">
        <v>32.1</v>
      </c>
      <c r="O79" s="64">
        <v>0</v>
      </c>
      <c r="P79" s="64">
        <v>1.29</v>
      </c>
      <c r="Q79" s="64">
        <v>9.64</v>
      </c>
      <c r="R79" s="198"/>
      <c r="S79" s="198"/>
      <c r="T79" s="198"/>
      <c r="U79" s="198"/>
    </row>
    <row r="80" spans="1:21" s="12" customFormat="1" x14ac:dyDescent="0.25">
      <c r="A80" s="214" t="s">
        <v>606</v>
      </c>
      <c r="B80" s="64">
        <v>24.27</v>
      </c>
      <c r="C80" s="64">
        <v>38.89</v>
      </c>
      <c r="D80" s="64">
        <v>39.32</v>
      </c>
      <c r="E80" s="64">
        <v>14.16</v>
      </c>
      <c r="F80" s="64">
        <v>4.46</v>
      </c>
      <c r="G80" s="64">
        <v>0</v>
      </c>
      <c r="H80" s="64">
        <v>0</v>
      </c>
      <c r="I80" s="64">
        <v>3.27</v>
      </c>
      <c r="J80" s="64">
        <v>0.41</v>
      </c>
      <c r="K80" s="64">
        <v>350.88</v>
      </c>
      <c r="L80" s="64">
        <v>20.059999999999999</v>
      </c>
      <c r="M80" s="64">
        <v>50.28</v>
      </c>
      <c r="N80" s="64">
        <v>32.5</v>
      </c>
      <c r="O80" s="64">
        <v>0</v>
      </c>
      <c r="P80" s="64">
        <v>1.64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4" t="s">
        <v>607</v>
      </c>
      <c r="B81" s="64">
        <v>12.96</v>
      </c>
      <c r="C81" s="64">
        <v>35.29</v>
      </c>
      <c r="D81" s="64">
        <v>28.37</v>
      </c>
      <c r="E81" s="64">
        <v>7.44</v>
      </c>
      <c r="F81" s="64">
        <v>3.25</v>
      </c>
      <c r="G81" s="64">
        <v>64.48</v>
      </c>
      <c r="H81" s="64">
        <v>35.54</v>
      </c>
      <c r="I81" s="64">
        <v>3.37</v>
      </c>
      <c r="J81" s="64">
        <v>0.42</v>
      </c>
      <c r="K81" s="64">
        <v>354.99</v>
      </c>
      <c r="L81" s="64">
        <v>19.440000000000001</v>
      </c>
      <c r="M81" s="64">
        <v>53.87</v>
      </c>
      <c r="N81" s="64">
        <v>32.299999999999997</v>
      </c>
      <c r="O81" s="64">
        <v>0</v>
      </c>
      <c r="P81" s="64">
        <v>1.19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14" t="s">
        <v>608</v>
      </c>
      <c r="B82" s="64">
        <v>15.76</v>
      </c>
      <c r="C82" s="64">
        <v>32.57</v>
      </c>
      <c r="D82" s="64">
        <v>29.19</v>
      </c>
      <c r="E82" s="64">
        <v>7.22</v>
      </c>
      <c r="F82" s="64">
        <v>2.87</v>
      </c>
      <c r="G82" s="64">
        <v>118.42</v>
      </c>
      <c r="H82" s="64">
        <v>48.87</v>
      </c>
      <c r="I82" s="64">
        <v>3.46</v>
      </c>
      <c r="J82" s="64">
        <v>0.27</v>
      </c>
      <c r="K82" s="64">
        <v>15.48</v>
      </c>
      <c r="L82" s="64">
        <v>18.89</v>
      </c>
      <c r="M82" s="64">
        <v>56.45</v>
      </c>
      <c r="N82" s="64">
        <v>32.299999999999997</v>
      </c>
      <c r="O82" s="64">
        <v>0</v>
      </c>
      <c r="P82" s="64">
        <v>1.26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4" t="s">
        <v>609</v>
      </c>
      <c r="B83" s="64">
        <v>18.32</v>
      </c>
      <c r="C83" s="64">
        <v>29.87</v>
      </c>
      <c r="D83" s="64">
        <v>29.83</v>
      </c>
      <c r="E83" s="64">
        <v>7.09</v>
      </c>
      <c r="F83" s="64">
        <v>3.07</v>
      </c>
      <c r="G83" s="64">
        <v>118.42</v>
      </c>
      <c r="H83" s="64">
        <v>48.87</v>
      </c>
      <c r="I83" s="64">
        <v>3.81</v>
      </c>
      <c r="J83" s="64">
        <v>0.26</v>
      </c>
      <c r="K83" s="64">
        <v>17.78</v>
      </c>
      <c r="L83" s="64">
        <v>18.62</v>
      </c>
      <c r="M83" s="64">
        <v>58.14</v>
      </c>
      <c r="N83" s="64">
        <v>32</v>
      </c>
      <c r="O83" s="64">
        <v>0</v>
      </c>
      <c r="P83" s="64">
        <v>1.35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4" t="s">
        <v>610</v>
      </c>
      <c r="B84" s="64">
        <v>20.399999999999999</v>
      </c>
      <c r="C84" s="64">
        <v>27.56</v>
      </c>
      <c r="D84" s="64">
        <v>30.3</v>
      </c>
      <c r="E84" s="64">
        <v>6.59</v>
      </c>
      <c r="F84" s="64">
        <v>2.97</v>
      </c>
      <c r="G84" s="64">
        <v>118.42</v>
      </c>
      <c r="H84" s="64">
        <v>48.87</v>
      </c>
      <c r="I84" s="64">
        <v>4.46</v>
      </c>
      <c r="J84" s="64">
        <v>0.31</v>
      </c>
      <c r="K84" s="64">
        <v>70.430000000000007</v>
      </c>
      <c r="L84" s="64">
        <v>18.54</v>
      </c>
      <c r="M84" s="64">
        <v>56.39</v>
      </c>
      <c r="N84" s="64">
        <v>31.7</v>
      </c>
      <c r="O84" s="64">
        <v>0</v>
      </c>
      <c r="P84" s="64">
        <v>1.42</v>
      </c>
      <c r="Q84" s="64">
        <v>9.67</v>
      </c>
      <c r="R84" s="198"/>
      <c r="S84" s="198"/>
      <c r="T84" s="198"/>
      <c r="U84" s="198"/>
    </row>
    <row r="85" spans="1:26" s="12" customFormat="1" x14ac:dyDescent="0.25">
      <c r="A85" s="214" t="s">
        <v>611</v>
      </c>
      <c r="B85" s="64">
        <v>21.87</v>
      </c>
      <c r="C85" s="64">
        <v>27.49</v>
      </c>
      <c r="D85" s="64">
        <v>31.44</v>
      </c>
      <c r="E85" s="64">
        <v>6.63</v>
      </c>
      <c r="F85" s="64">
        <v>2.87</v>
      </c>
      <c r="G85" s="64">
        <v>119.17</v>
      </c>
      <c r="H85" s="64">
        <v>50.61</v>
      </c>
      <c r="I85" s="64">
        <v>4.5999999999999996</v>
      </c>
      <c r="J85" s="64">
        <v>0.3</v>
      </c>
      <c r="K85" s="64">
        <v>102.09</v>
      </c>
      <c r="L85" s="64">
        <v>18.89</v>
      </c>
      <c r="M85" s="64">
        <v>49.63</v>
      </c>
      <c r="N85" s="64">
        <v>31.7</v>
      </c>
      <c r="O85" s="64">
        <v>0</v>
      </c>
      <c r="P85" s="64">
        <v>1.35</v>
      </c>
      <c r="Q85" s="64">
        <v>9.65</v>
      </c>
      <c r="R85" s="198"/>
      <c r="S85" s="198"/>
      <c r="T85" s="198"/>
      <c r="U85" s="198"/>
    </row>
    <row r="86" spans="1:26" s="12" customFormat="1" x14ac:dyDescent="0.25">
      <c r="A86" s="214" t="s">
        <v>612</v>
      </c>
      <c r="B86" s="64">
        <v>22.31</v>
      </c>
      <c r="C86" s="64">
        <v>25.46</v>
      </c>
      <c r="D86" s="64">
        <v>30.73</v>
      </c>
      <c r="E86" s="64">
        <v>6.17</v>
      </c>
      <c r="F86" s="64">
        <v>3.21</v>
      </c>
      <c r="G86" s="64">
        <v>119.79</v>
      </c>
      <c r="H86" s="64">
        <v>51.28</v>
      </c>
      <c r="I86" s="64">
        <v>4.8600000000000003</v>
      </c>
      <c r="J86" s="64">
        <v>0.2</v>
      </c>
      <c r="K86" s="64">
        <v>31.96</v>
      </c>
      <c r="L86" s="64">
        <v>18.79</v>
      </c>
      <c r="M86" s="64">
        <v>48.67</v>
      </c>
      <c r="N86" s="64">
        <v>31.7</v>
      </c>
      <c r="O86" s="64">
        <v>0</v>
      </c>
      <c r="P86" s="64">
        <v>1.48</v>
      </c>
      <c r="Q86" s="64">
        <v>9.66</v>
      </c>
      <c r="R86" s="198"/>
      <c r="S86" s="198"/>
      <c r="T86" s="198"/>
      <c r="U86" s="198"/>
    </row>
    <row r="87" spans="1:26" s="12" customFormat="1" x14ac:dyDescent="0.25">
      <c r="A87" s="214" t="s">
        <v>613</v>
      </c>
      <c r="B87" s="64">
        <v>23.06</v>
      </c>
      <c r="C87" s="64">
        <v>24.33</v>
      </c>
      <c r="D87" s="64">
        <v>30.74</v>
      </c>
      <c r="E87" s="64">
        <v>6.32</v>
      </c>
      <c r="F87" s="64">
        <v>2.97</v>
      </c>
      <c r="G87" s="64">
        <v>119.79</v>
      </c>
      <c r="H87" s="64">
        <v>51.28</v>
      </c>
      <c r="I87" s="64">
        <v>5.05</v>
      </c>
      <c r="J87" s="64">
        <v>0.31</v>
      </c>
      <c r="K87" s="64">
        <v>359.98</v>
      </c>
      <c r="L87" s="64">
        <v>18.55</v>
      </c>
      <c r="M87" s="64">
        <v>50.85</v>
      </c>
      <c r="N87" s="64">
        <v>32</v>
      </c>
      <c r="O87" s="64">
        <v>0</v>
      </c>
      <c r="P87" s="64">
        <v>1.52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14" t="s">
        <v>614</v>
      </c>
      <c r="B88" s="64">
        <v>23.57</v>
      </c>
      <c r="C88" s="64">
        <v>22.87</v>
      </c>
      <c r="D88" s="64">
        <v>30.39</v>
      </c>
      <c r="E88" s="64">
        <v>6.09</v>
      </c>
      <c r="F88" s="64">
        <v>2.84</v>
      </c>
      <c r="G88" s="64">
        <v>119.79</v>
      </c>
      <c r="H88" s="64">
        <v>51.28</v>
      </c>
      <c r="I88" s="64">
        <v>5.13</v>
      </c>
      <c r="J88" s="64">
        <v>0.34</v>
      </c>
      <c r="K88" s="64">
        <v>294.07</v>
      </c>
      <c r="L88" s="64">
        <v>17.93</v>
      </c>
      <c r="M88" s="64">
        <v>57.15</v>
      </c>
      <c r="N88" s="64">
        <v>32.1</v>
      </c>
      <c r="O88" s="64">
        <v>0</v>
      </c>
      <c r="P88" s="64">
        <v>1.55</v>
      </c>
      <c r="Q88" s="64">
        <v>9.67</v>
      </c>
      <c r="R88" s="198"/>
      <c r="S88" s="198"/>
      <c r="T88" s="198"/>
      <c r="U88" s="198"/>
    </row>
    <row r="89" spans="1:26" s="12" customFormat="1" x14ac:dyDescent="0.25">
      <c r="A89" s="214" t="s">
        <v>615</v>
      </c>
      <c r="B89" s="64">
        <v>24.65</v>
      </c>
      <c r="C89" s="64">
        <v>21.64</v>
      </c>
      <c r="D89" s="64">
        <v>30.61</v>
      </c>
      <c r="E89" s="64">
        <v>6.04</v>
      </c>
      <c r="F89" s="64">
        <v>2.82</v>
      </c>
      <c r="G89" s="64">
        <v>113.74</v>
      </c>
      <c r="H89" s="64">
        <v>49.94</v>
      </c>
      <c r="I89" s="64">
        <v>5.19</v>
      </c>
      <c r="J89" s="64">
        <v>0.36</v>
      </c>
      <c r="K89" s="64">
        <v>313.18</v>
      </c>
      <c r="L89" s="64">
        <v>17.54</v>
      </c>
      <c r="M89" s="64">
        <v>65.27</v>
      </c>
      <c r="N89" s="64">
        <v>32.1</v>
      </c>
      <c r="O89" s="64">
        <v>0</v>
      </c>
      <c r="P89" s="64">
        <v>1.59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14" t="s">
        <v>616</v>
      </c>
      <c r="B90" s="64">
        <v>28.67</v>
      </c>
      <c r="C90" s="64">
        <v>19.25</v>
      </c>
      <c r="D90" s="64">
        <v>32.590000000000003</v>
      </c>
      <c r="E90" s="64">
        <v>5.93</v>
      </c>
      <c r="F90" s="64">
        <v>2.78</v>
      </c>
      <c r="G90" s="64">
        <v>108.68</v>
      </c>
      <c r="H90" s="64">
        <v>49.45</v>
      </c>
      <c r="I90" s="64">
        <v>5.26</v>
      </c>
      <c r="J90" s="64">
        <v>0.34</v>
      </c>
      <c r="K90" s="64">
        <v>319.56</v>
      </c>
      <c r="L90" s="64">
        <v>17.12</v>
      </c>
      <c r="M90" s="64">
        <v>70.099999999999994</v>
      </c>
      <c r="N90" s="64">
        <v>32</v>
      </c>
      <c r="O90" s="64">
        <v>0</v>
      </c>
      <c r="P90" s="64">
        <v>1.72</v>
      </c>
      <c r="Q90" s="64">
        <v>9.67</v>
      </c>
      <c r="R90" s="198"/>
      <c r="S90" s="198"/>
      <c r="T90" s="198"/>
      <c r="U90" s="198"/>
    </row>
    <row r="91" spans="1:26" s="12" customFormat="1" x14ac:dyDescent="0.25">
      <c r="A91" s="214" t="s">
        <v>617</v>
      </c>
      <c r="B91" s="64">
        <v>34.99</v>
      </c>
      <c r="C91" s="64">
        <v>15.35</v>
      </c>
      <c r="D91" s="64">
        <v>35.619999999999997</v>
      </c>
      <c r="E91" s="64">
        <v>5.73</v>
      </c>
      <c r="F91" s="64">
        <v>2.84</v>
      </c>
      <c r="G91" s="64">
        <v>108.68</v>
      </c>
      <c r="H91" s="64">
        <v>49.45</v>
      </c>
      <c r="I91" s="64">
        <v>5.84</v>
      </c>
      <c r="J91" s="64">
        <v>0.37</v>
      </c>
      <c r="K91" s="64">
        <v>297.41000000000003</v>
      </c>
      <c r="L91" s="64">
        <v>16.87</v>
      </c>
      <c r="M91" s="64">
        <v>68.55</v>
      </c>
      <c r="N91" s="64">
        <v>31.9</v>
      </c>
      <c r="O91" s="64">
        <v>0</v>
      </c>
      <c r="P91" s="64">
        <v>1.84</v>
      </c>
      <c r="Q91" s="64">
        <v>9.68</v>
      </c>
      <c r="R91" s="198"/>
      <c r="S91" s="198"/>
      <c r="T91" s="198"/>
      <c r="U91" s="198"/>
    </row>
    <row r="92" spans="1:26" s="12" customFormat="1" x14ac:dyDescent="0.25">
      <c r="A92" s="214" t="s">
        <v>618</v>
      </c>
      <c r="B92" s="64">
        <v>38.07</v>
      </c>
      <c r="C92" s="64">
        <v>13.33</v>
      </c>
      <c r="D92" s="64">
        <v>37.03</v>
      </c>
      <c r="E92" s="64">
        <v>6.28</v>
      </c>
      <c r="F92" s="64">
        <v>2.72</v>
      </c>
      <c r="G92" s="64">
        <v>108.68</v>
      </c>
      <c r="H92" s="64">
        <v>49.45</v>
      </c>
      <c r="I92" s="64">
        <v>5.78</v>
      </c>
      <c r="J92" s="64">
        <v>0.35</v>
      </c>
      <c r="K92" s="64">
        <v>287.23</v>
      </c>
      <c r="L92" s="64">
        <v>16.68</v>
      </c>
      <c r="M92" s="64">
        <v>68.12</v>
      </c>
      <c r="N92" s="64">
        <v>31.9</v>
      </c>
      <c r="O92" s="64">
        <v>0</v>
      </c>
      <c r="P92" s="64">
        <v>1.92</v>
      </c>
      <c r="Q92" s="64">
        <v>9.6999999999999993</v>
      </c>
      <c r="R92" s="198"/>
      <c r="S92" s="198"/>
      <c r="T92" s="198"/>
      <c r="U92" s="198"/>
    </row>
    <row r="93" spans="1:26" s="12" customFormat="1" x14ac:dyDescent="0.25">
      <c r="A93" s="214" t="s">
        <v>619</v>
      </c>
      <c r="B93" s="64">
        <v>43.2</v>
      </c>
      <c r="C93" s="64">
        <v>13.42</v>
      </c>
      <c r="D93" s="64">
        <v>41.19</v>
      </c>
      <c r="E93" s="64">
        <v>6.13</v>
      </c>
      <c r="F93" s="64">
        <v>2.7</v>
      </c>
      <c r="G93" s="64">
        <v>110.81</v>
      </c>
      <c r="H93" s="64">
        <v>49.42</v>
      </c>
      <c r="I93" s="64">
        <v>6.3</v>
      </c>
      <c r="J93" s="64">
        <v>0.4</v>
      </c>
      <c r="K93" s="64">
        <v>282.26</v>
      </c>
      <c r="L93" s="64">
        <v>16.649999999999999</v>
      </c>
      <c r="M93" s="64">
        <v>71.849999999999994</v>
      </c>
      <c r="N93" s="64">
        <v>31.6</v>
      </c>
      <c r="O93" s="64">
        <v>0</v>
      </c>
      <c r="P93" s="64">
        <v>2.0099999999999998</v>
      </c>
      <c r="Q93" s="64">
        <v>9.6999999999999993</v>
      </c>
      <c r="R93" s="198"/>
      <c r="S93" s="198"/>
      <c r="T93" s="198"/>
      <c r="U93" s="198"/>
    </row>
    <row r="94" spans="1:26" s="12" customFormat="1" x14ac:dyDescent="0.25">
      <c r="A94" s="214" t="s">
        <v>620</v>
      </c>
      <c r="B94" s="64">
        <v>42.96</v>
      </c>
      <c r="C94" s="64">
        <v>10.58</v>
      </c>
      <c r="D94" s="64">
        <v>39.520000000000003</v>
      </c>
      <c r="E94" s="64">
        <v>6.38</v>
      </c>
      <c r="F94" s="64">
        <v>2.88</v>
      </c>
      <c r="G94" s="64">
        <v>112.6</v>
      </c>
      <c r="H94" s="64">
        <v>49.39</v>
      </c>
      <c r="I94" s="64">
        <v>6.61</v>
      </c>
      <c r="J94" s="64">
        <v>0.41</v>
      </c>
      <c r="K94" s="64">
        <v>308.14999999999998</v>
      </c>
      <c r="L94" s="64">
        <v>16.41</v>
      </c>
      <c r="M94" s="64">
        <v>72.319999999999993</v>
      </c>
      <c r="N94" s="64">
        <v>31.7</v>
      </c>
      <c r="O94" s="64">
        <v>0</v>
      </c>
      <c r="P94" s="64">
        <v>2.04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14" t="s">
        <v>621</v>
      </c>
      <c r="B95" s="64">
        <v>44.77</v>
      </c>
      <c r="C95" s="64">
        <v>10.14</v>
      </c>
      <c r="D95" s="64">
        <v>40.74</v>
      </c>
      <c r="E95" s="64">
        <v>6.26</v>
      </c>
      <c r="F95" s="64">
        <v>3.08</v>
      </c>
      <c r="G95" s="64">
        <v>112.6</v>
      </c>
      <c r="H95" s="64">
        <v>49.39</v>
      </c>
      <c r="I95" s="64">
        <v>6.22</v>
      </c>
      <c r="J95" s="64">
        <v>0.3</v>
      </c>
      <c r="K95" s="64">
        <v>324.86</v>
      </c>
      <c r="L95" s="64">
        <v>16.66</v>
      </c>
      <c r="M95" s="64">
        <v>63.92</v>
      </c>
      <c r="N95" s="64">
        <v>31.3</v>
      </c>
      <c r="O95" s="64">
        <v>0</v>
      </c>
      <c r="P95" s="64">
        <v>2.11</v>
      </c>
      <c r="Q95" s="64">
        <v>9.7200000000000006</v>
      </c>
      <c r="R95" s="198"/>
      <c r="S95" s="198"/>
      <c r="T95" s="198"/>
      <c r="U95" s="198"/>
    </row>
    <row r="96" spans="1:26" s="12" customFormat="1" x14ac:dyDescent="0.25">
      <c r="A96" s="214" t="s">
        <v>622</v>
      </c>
      <c r="B96" s="64">
        <v>44.58</v>
      </c>
      <c r="C96" s="64">
        <v>9.57</v>
      </c>
      <c r="D96" s="64">
        <v>40.29</v>
      </c>
      <c r="E96" s="64">
        <v>6.7</v>
      </c>
      <c r="F96" s="64">
        <v>3.35</v>
      </c>
      <c r="G96" s="64">
        <v>112.6</v>
      </c>
      <c r="H96" s="64">
        <v>49.39</v>
      </c>
      <c r="I96" s="64">
        <v>6.14</v>
      </c>
      <c r="J96" s="64">
        <v>0.21</v>
      </c>
      <c r="K96" s="64">
        <v>92.4</v>
      </c>
      <c r="L96" s="64">
        <v>17.579999999999998</v>
      </c>
      <c r="M96" s="64">
        <v>50.97</v>
      </c>
      <c r="N96" s="64">
        <v>30.8</v>
      </c>
      <c r="O96" s="64">
        <v>0</v>
      </c>
      <c r="P96" s="64">
        <v>2.08</v>
      </c>
      <c r="Q96" s="64">
        <v>9.7100000000000009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623</v>
      </c>
      <c r="B97" s="64">
        <v>43.18</v>
      </c>
      <c r="C97" s="64">
        <v>8.17</v>
      </c>
      <c r="D97" s="64">
        <v>38.44</v>
      </c>
      <c r="E97" s="64">
        <v>6.33</v>
      </c>
      <c r="F97" s="64">
        <v>3.42</v>
      </c>
      <c r="G97" s="64">
        <v>106.95</v>
      </c>
      <c r="H97" s="64">
        <v>45.04</v>
      </c>
      <c r="I97" s="64">
        <v>6.21</v>
      </c>
      <c r="J97" s="64">
        <v>0.21</v>
      </c>
      <c r="K97" s="64">
        <v>108.68</v>
      </c>
      <c r="L97" s="64">
        <v>18.05</v>
      </c>
      <c r="M97" s="64">
        <v>47.7</v>
      </c>
      <c r="N97" s="64">
        <v>31.2</v>
      </c>
      <c r="O97" s="64">
        <v>0</v>
      </c>
      <c r="P97" s="64">
        <v>2.04</v>
      </c>
      <c r="Q97" s="64">
        <v>9.7100000000000009</v>
      </c>
      <c r="R97" s="198"/>
      <c r="S97" s="198"/>
      <c r="T97" s="198"/>
      <c r="U97" s="198"/>
    </row>
    <row r="98" spans="1:33" s="12" customFormat="1" x14ac:dyDescent="0.25">
      <c r="A98" s="214" t="s">
        <v>624</v>
      </c>
      <c r="B98" s="64">
        <v>42.78</v>
      </c>
      <c r="C98" s="64">
        <v>8.1300000000000008</v>
      </c>
      <c r="D98" s="64">
        <v>38.090000000000003</v>
      </c>
      <c r="E98" s="64">
        <v>6.2</v>
      </c>
      <c r="F98" s="64">
        <v>3.55</v>
      </c>
      <c r="G98" s="64">
        <v>102.22</v>
      </c>
      <c r="H98" s="64">
        <v>43.44</v>
      </c>
      <c r="I98" s="64">
        <v>6.15</v>
      </c>
      <c r="J98" s="64">
        <v>0.54</v>
      </c>
      <c r="K98" s="64">
        <v>119.11</v>
      </c>
      <c r="L98" s="64">
        <v>18.07</v>
      </c>
      <c r="M98" s="64">
        <v>47.98</v>
      </c>
      <c r="N98" s="64">
        <v>31.3</v>
      </c>
      <c r="O98" s="64">
        <v>0</v>
      </c>
      <c r="P98" s="64">
        <v>2.0099999999999998</v>
      </c>
      <c r="Q98" s="64">
        <v>9.7100000000000009</v>
      </c>
      <c r="R98" s="198"/>
      <c r="S98" s="198"/>
      <c r="T98" s="198"/>
      <c r="U98" s="198"/>
    </row>
    <row r="99" spans="1:33" s="12" customFormat="1" x14ac:dyDescent="0.25">
      <c r="A99" s="214" t="s">
        <v>625</v>
      </c>
      <c r="B99" s="64">
        <v>42.62</v>
      </c>
      <c r="C99" s="64">
        <v>8.27</v>
      </c>
      <c r="D99" s="64">
        <v>38.04</v>
      </c>
      <c r="E99" s="64">
        <v>6.15</v>
      </c>
      <c r="F99" s="64">
        <v>3.34</v>
      </c>
      <c r="G99" s="64">
        <v>102.22</v>
      </c>
      <c r="H99" s="64">
        <v>43.44</v>
      </c>
      <c r="I99" s="64">
        <v>6.03</v>
      </c>
      <c r="J99" s="64">
        <v>0.23</v>
      </c>
      <c r="K99" s="64">
        <v>130.33000000000001</v>
      </c>
      <c r="L99" s="64">
        <v>17.93</v>
      </c>
      <c r="M99" s="64">
        <v>49.09</v>
      </c>
      <c r="N99" s="64">
        <v>31.8</v>
      </c>
      <c r="O99" s="64">
        <v>0</v>
      </c>
      <c r="P99" s="64">
        <v>1.96</v>
      </c>
      <c r="Q99" s="64">
        <v>9.6999999999999993</v>
      </c>
      <c r="R99" s="198"/>
      <c r="S99" s="198"/>
      <c r="T99" s="198"/>
      <c r="U99" s="198"/>
    </row>
    <row r="100" spans="1:33" s="12" customFormat="1" x14ac:dyDescent="0.25">
      <c r="A100" s="214" t="s">
        <v>626</v>
      </c>
      <c r="B100" s="64">
        <v>40.5</v>
      </c>
      <c r="C100" s="64">
        <v>9.0500000000000007</v>
      </c>
      <c r="D100" s="64">
        <v>36.74</v>
      </c>
      <c r="E100" s="64">
        <v>6.08</v>
      </c>
      <c r="F100" s="64">
        <v>2.99</v>
      </c>
      <c r="G100" s="64">
        <v>102.22</v>
      </c>
      <c r="H100" s="64">
        <v>43.44</v>
      </c>
      <c r="I100" s="64">
        <v>5.86</v>
      </c>
      <c r="J100" s="64">
        <v>0.14000000000000001</v>
      </c>
      <c r="K100" s="64">
        <v>43.43</v>
      </c>
      <c r="L100" s="64">
        <v>17.63</v>
      </c>
      <c r="M100" s="64">
        <v>50.69</v>
      </c>
      <c r="N100" s="64">
        <v>31.9</v>
      </c>
      <c r="O100" s="64">
        <v>0</v>
      </c>
      <c r="P100" s="64">
        <v>1.86</v>
      </c>
      <c r="Q100" s="64">
        <v>9.6999999999999993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627</v>
      </c>
      <c r="B101" s="64">
        <v>39.04</v>
      </c>
      <c r="C101" s="64">
        <v>9.43</v>
      </c>
      <c r="D101" s="64">
        <v>35.770000000000003</v>
      </c>
      <c r="E101" s="64">
        <v>5.94</v>
      </c>
      <c r="F101" s="64">
        <v>2.9</v>
      </c>
      <c r="G101" s="64">
        <v>89.72</v>
      </c>
      <c r="H101" s="64">
        <v>36.130000000000003</v>
      </c>
      <c r="I101" s="64">
        <v>5.68</v>
      </c>
      <c r="J101" s="64">
        <v>0.14000000000000001</v>
      </c>
      <c r="K101" s="64">
        <v>340.75</v>
      </c>
      <c r="L101" s="64">
        <v>17.38</v>
      </c>
      <c r="M101" s="64">
        <v>52.8</v>
      </c>
      <c r="N101" s="64">
        <v>31.9</v>
      </c>
      <c r="O101" s="64">
        <v>0</v>
      </c>
      <c r="P101" s="64">
        <v>1.79</v>
      </c>
      <c r="Q101" s="64">
        <v>9.69</v>
      </c>
      <c r="R101" s="198"/>
      <c r="S101" s="198"/>
      <c r="T101" s="198"/>
      <c r="U101" s="198"/>
    </row>
    <row r="102" spans="1:33" s="12" customFormat="1" x14ac:dyDescent="0.25">
      <c r="A102" s="214" t="s">
        <v>628</v>
      </c>
      <c r="B102" s="64">
        <v>37.72</v>
      </c>
      <c r="C102" s="64">
        <v>9.7200000000000006</v>
      </c>
      <c r="D102" s="64">
        <v>34.869999999999997</v>
      </c>
      <c r="E102" s="64">
        <v>6.28</v>
      </c>
      <c r="F102" s="64">
        <v>2.92</v>
      </c>
      <c r="G102" s="64">
        <v>79.260000000000005</v>
      </c>
      <c r="H102" s="64">
        <v>33.29</v>
      </c>
      <c r="I102" s="64">
        <v>5.51</v>
      </c>
      <c r="J102" s="64">
        <v>0.22</v>
      </c>
      <c r="K102" s="64">
        <v>356.54</v>
      </c>
      <c r="L102" s="64">
        <v>17.100000000000001</v>
      </c>
      <c r="M102" s="64">
        <v>54.09</v>
      </c>
      <c r="N102" s="64">
        <v>31.9</v>
      </c>
      <c r="O102" s="64">
        <v>0</v>
      </c>
      <c r="P102" s="64">
        <v>1.73</v>
      </c>
      <c r="Q102" s="64">
        <v>9.6999999999999993</v>
      </c>
      <c r="R102" s="198"/>
      <c r="S102" s="198"/>
      <c r="T102" s="198"/>
      <c r="U102" s="198"/>
    </row>
    <row r="103" spans="1:33" s="12" customFormat="1" x14ac:dyDescent="0.25">
      <c r="A103" s="214" t="s">
        <v>629</v>
      </c>
      <c r="B103" s="64">
        <v>36.21</v>
      </c>
      <c r="C103" s="64">
        <v>10.32</v>
      </c>
      <c r="D103" s="64">
        <v>33.97</v>
      </c>
      <c r="E103" s="64">
        <v>5.63</v>
      </c>
      <c r="F103" s="64">
        <v>2.77</v>
      </c>
      <c r="G103" s="64">
        <v>79.260000000000005</v>
      </c>
      <c r="H103" s="64">
        <v>33.29</v>
      </c>
      <c r="I103" s="64">
        <v>5.4</v>
      </c>
      <c r="J103" s="64">
        <v>0.13</v>
      </c>
      <c r="K103" s="64">
        <v>338.29</v>
      </c>
      <c r="L103" s="64">
        <v>16.91</v>
      </c>
      <c r="M103" s="64">
        <v>55.7</v>
      </c>
      <c r="N103" s="64">
        <v>31.8</v>
      </c>
      <c r="O103" s="64">
        <v>0</v>
      </c>
      <c r="P103" s="64">
        <v>1.67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4" t="s">
        <v>630</v>
      </c>
      <c r="B104" s="64">
        <v>34.76</v>
      </c>
      <c r="C104" s="64">
        <v>10.88</v>
      </c>
      <c r="D104" s="64">
        <v>33.1</v>
      </c>
      <c r="E104" s="64">
        <v>5.01</v>
      </c>
      <c r="F104" s="64">
        <v>2.71</v>
      </c>
      <c r="G104" s="64">
        <v>79.260000000000005</v>
      </c>
      <c r="H104" s="64">
        <v>33.29</v>
      </c>
      <c r="I104" s="64">
        <v>5.26</v>
      </c>
      <c r="J104" s="64">
        <v>0.19</v>
      </c>
      <c r="K104" s="64">
        <v>9.14</v>
      </c>
      <c r="L104" s="64">
        <v>16.760000000000002</v>
      </c>
      <c r="M104" s="64">
        <v>56.17</v>
      </c>
      <c r="N104" s="64">
        <v>31.8</v>
      </c>
      <c r="O104" s="64">
        <v>0</v>
      </c>
      <c r="P104" s="64">
        <v>1.62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4.3</v>
      </c>
      <c r="C106" s="67">
        <f>MIN(C9:C104)</f>
        <v>3.11</v>
      </c>
      <c r="D106" s="67">
        <f t="shared" ref="D106:Q106" si="0">MIN(D9:D104)</f>
        <v>18.260000000000002</v>
      </c>
      <c r="E106" s="67">
        <f t="shared" si="0"/>
        <v>4.1900000000000004</v>
      </c>
      <c r="F106" s="67">
        <f t="shared" si="0"/>
        <v>2.4900000000000002</v>
      </c>
      <c r="G106" s="67">
        <f t="shared" si="0"/>
        <v>0</v>
      </c>
      <c r="H106" s="67">
        <f t="shared" si="0"/>
        <v>0</v>
      </c>
      <c r="I106" s="67">
        <f t="shared" si="0"/>
        <v>2.4300000000000002</v>
      </c>
      <c r="J106" s="67">
        <f t="shared" si="0"/>
        <v>0.06</v>
      </c>
      <c r="K106" s="67">
        <f t="shared" si="0"/>
        <v>0.43</v>
      </c>
      <c r="L106" s="67">
        <f t="shared" si="0"/>
        <v>13.2</v>
      </c>
      <c r="M106" s="67">
        <f t="shared" si="0"/>
        <v>22.37</v>
      </c>
      <c r="N106" s="67">
        <f t="shared" si="0"/>
        <v>30.8</v>
      </c>
      <c r="O106" s="67">
        <f t="shared" si="0"/>
        <v>0</v>
      </c>
      <c r="P106" s="67">
        <f t="shared" si="0"/>
        <v>0.6</v>
      </c>
      <c r="Q106" s="67">
        <f t="shared" si="0"/>
        <v>9.57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51.21</v>
      </c>
      <c r="C107" s="66">
        <f t="shared" ref="C107:Q107" si="1">MAX(C9:C104)</f>
        <v>47.69</v>
      </c>
      <c r="D107" s="66">
        <f t="shared" si="1"/>
        <v>42.87</v>
      </c>
      <c r="E107" s="66">
        <f t="shared" si="1"/>
        <v>28.65</v>
      </c>
      <c r="F107" s="66">
        <f t="shared" si="1"/>
        <v>15.23</v>
      </c>
      <c r="G107" s="66">
        <f t="shared" si="1"/>
        <v>121.71</v>
      </c>
      <c r="H107" s="66">
        <f t="shared" si="1"/>
        <v>51.28</v>
      </c>
      <c r="I107" s="66">
        <f t="shared" si="1"/>
        <v>6.61</v>
      </c>
      <c r="J107" s="66">
        <f t="shared" si="1"/>
        <v>1.8</v>
      </c>
      <c r="K107" s="66">
        <f t="shared" si="1"/>
        <v>359.98</v>
      </c>
      <c r="L107" s="66">
        <f t="shared" si="1"/>
        <v>28.27</v>
      </c>
      <c r="M107" s="66">
        <f t="shared" si="1"/>
        <v>80.08</v>
      </c>
      <c r="N107" s="66">
        <f t="shared" si="1"/>
        <v>586.20000000000005</v>
      </c>
      <c r="O107" s="66">
        <f t="shared" si="1"/>
        <v>0</v>
      </c>
      <c r="P107" s="66">
        <f t="shared" si="1"/>
        <v>2.27</v>
      </c>
      <c r="Q107" s="66">
        <f t="shared" si="1"/>
        <v>9.73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24.638125000000002</v>
      </c>
      <c r="C108" s="67">
        <f t="shared" ref="C108:Q108" si="2">AVERAGE(C9:C104)</f>
        <v>18.901875</v>
      </c>
      <c r="D108" s="67">
        <f t="shared" si="2"/>
        <v>29.169479166666665</v>
      </c>
      <c r="E108" s="67">
        <f t="shared" si="2"/>
        <v>8.0869791666666693</v>
      </c>
      <c r="F108" s="67">
        <f t="shared" si="2"/>
        <v>4.465729166666665</v>
      </c>
      <c r="G108" s="67">
        <f t="shared" si="2"/>
        <v>60.489166666666726</v>
      </c>
      <c r="H108" s="67">
        <f t="shared" si="2"/>
        <v>31.538437499999983</v>
      </c>
      <c r="I108" s="67">
        <f t="shared" si="2"/>
        <v>4.3259374999999993</v>
      </c>
      <c r="J108" s="67">
        <f t="shared" si="2"/>
        <v>0.48677083333333343</v>
      </c>
      <c r="K108" s="67">
        <f t="shared" si="2"/>
        <v>214.90802083333344</v>
      </c>
      <c r="L108" s="67">
        <f t="shared" si="2"/>
        <v>19.502604166666668</v>
      </c>
      <c r="M108" s="67">
        <f t="shared" si="2"/>
        <v>51.225625000000001</v>
      </c>
      <c r="N108" s="67">
        <f t="shared" si="2"/>
        <v>158.76874999999998</v>
      </c>
      <c r="O108" s="67">
        <f t="shared" si="2"/>
        <v>0</v>
      </c>
      <c r="P108" s="67">
        <f t="shared" si="2"/>
        <v>1.3141666666666663</v>
      </c>
      <c r="Q108" s="67">
        <f t="shared" si="2"/>
        <v>9.6593750000000025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12.208553284049399</v>
      </c>
      <c r="C109" s="67">
        <f t="shared" ref="C109:Q109" si="3">STDEV(C9:C104)</f>
        <v>9.8259053218895236</v>
      </c>
      <c r="D109" s="67">
        <f t="shared" si="3"/>
        <v>6.4707328747525992</v>
      </c>
      <c r="E109" s="67">
        <f t="shared" si="3"/>
        <v>5.8556019277614384</v>
      </c>
      <c r="F109" s="67">
        <f t="shared" si="3"/>
        <v>2.9828452488368842</v>
      </c>
      <c r="G109" s="67">
        <f t="shared" si="3"/>
        <v>41.376103977427235</v>
      </c>
      <c r="H109" s="67">
        <f t="shared" si="3"/>
        <v>11.620532946209842</v>
      </c>
      <c r="I109" s="67">
        <f t="shared" si="3"/>
        <v>1.1920725676648032</v>
      </c>
      <c r="J109" s="67">
        <f t="shared" si="3"/>
        <v>0.30696989323201901</v>
      </c>
      <c r="K109" s="67">
        <f t="shared" si="3"/>
        <v>133.39407946792181</v>
      </c>
      <c r="L109" s="67">
        <f t="shared" si="3"/>
        <v>4.4972654252138993</v>
      </c>
      <c r="M109" s="67">
        <f t="shared" si="3"/>
        <v>18.427631358913192</v>
      </c>
      <c r="N109" s="67">
        <f t="shared" si="3"/>
        <v>200.78676949099915</v>
      </c>
      <c r="O109" s="67">
        <f t="shared" si="3"/>
        <v>0</v>
      </c>
      <c r="P109" s="67">
        <f t="shared" si="3"/>
        <v>0.44839284154731757</v>
      </c>
      <c r="Q109" s="67">
        <f t="shared" si="3"/>
        <v>3.4268675277330941E-2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6" sqref="D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631</v>
      </c>
      <c r="B9" s="64">
        <v>33.35</v>
      </c>
      <c r="C9" s="64">
        <v>11.39</v>
      </c>
      <c r="D9" s="64">
        <v>32.229999999999997</v>
      </c>
      <c r="E9" s="64">
        <v>4.88</v>
      </c>
      <c r="F9" s="64">
        <v>2.44</v>
      </c>
      <c r="G9" s="64">
        <v>71.06</v>
      </c>
      <c r="H9" s="64">
        <v>30.38</v>
      </c>
      <c r="I9" s="64">
        <v>5.53</v>
      </c>
      <c r="J9" s="64">
        <v>0.15</v>
      </c>
      <c r="K9" s="64">
        <v>29.66</v>
      </c>
      <c r="L9" s="64">
        <v>16.559999999999999</v>
      </c>
      <c r="M9" s="64">
        <v>57.01</v>
      </c>
      <c r="N9" s="64">
        <v>31.9</v>
      </c>
      <c r="O9" s="64">
        <v>0</v>
      </c>
      <c r="P9" s="64">
        <v>1.57</v>
      </c>
      <c r="Q9" s="64">
        <v>9.68</v>
      </c>
      <c r="R9" s="198"/>
      <c r="S9" s="198"/>
      <c r="T9" s="198"/>
      <c r="U9" s="198"/>
    </row>
    <row r="10" spans="1:21" s="12" customFormat="1" x14ac:dyDescent="0.25">
      <c r="A10" s="214" t="s">
        <v>632</v>
      </c>
      <c r="B10" s="64">
        <v>31.99</v>
      </c>
      <c r="C10" s="64">
        <v>11.9</v>
      </c>
      <c r="D10" s="64">
        <v>31.41</v>
      </c>
      <c r="E10" s="64">
        <v>4.9400000000000004</v>
      </c>
      <c r="F10" s="64">
        <v>2.81</v>
      </c>
      <c r="G10" s="64">
        <v>64.2</v>
      </c>
      <c r="H10" s="64">
        <v>29.25</v>
      </c>
      <c r="I10" s="64">
        <v>5.12</v>
      </c>
      <c r="J10" s="64">
        <v>0.2</v>
      </c>
      <c r="K10" s="64">
        <v>13.54</v>
      </c>
      <c r="L10" s="64">
        <v>16.45</v>
      </c>
      <c r="M10" s="64">
        <v>57.32</v>
      </c>
      <c r="N10" s="64">
        <v>31.8</v>
      </c>
      <c r="O10" s="64">
        <v>0</v>
      </c>
      <c r="P10" s="64">
        <v>1.52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14" t="s">
        <v>633</v>
      </c>
      <c r="B11" s="64">
        <v>30.63</v>
      </c>
      <c r="C11" s="64">
        <v>12.38</v>
      </c>
      <c r="D11" s="64">
        <v>30.57</v>
      </c>
      <c r="E11" s="64">
        <v>4.79</v>
      </c>
      <c r="F11" s="64">
        <v>2.57</v>
      </c>
      <c r="G11" s="64">
        <v>64.2</v>
      </c>
      <c r="H11" s="64">
        <v>29.25</v>
      </c>
      <c r="I11" s="64">
        <v>4.8600000000000003</v>
      </c>
      <c r="J11" s="64">
        <v>0.49</v>
      </c>
      <c r="K11" s="64">
        <v>325.95</v>
      </c>
      <c r="L11" s="64">
        <v>16.2</v>
      </c>
      <c r="M11" s="64">
        <v>60.52</v>
      </c>
      <c r="N11" s="64">
        <v>31.8</v>
      </c>
      <c r="O11" s="64">
        <v>0</v>
      </c>
      <c r="P11" s="64">
        <v>1.47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4" t="s">
        <v>634</v>
      </c>
      <c r="B12" s="64">
        <v>29.22</v>
      </c>
      <c r="C12" s="64">
        <v>12.9</v>
      </c>
      <c r="D12" s="64">
        <v>29.71</v>
      </c>
      <c r="E12" s="64">
        <v>4.63</v>
      </c>
      <c r="F12" s="64">
        <v>2.48</v>
      </c>
      <c r="G12" s="64">
        <v>64.2</v>
      </c>
      <c r="H12" s="64">
        <v>29.25</v>
      </c>
      <c r="I12" s="64">
        <v>4.7300000000000004</v>
      </c>
      <c r="J12" s="64">
        <v>0.11</v>
      </c>
      <c r="K12" s="64">
        <v>275.81</v>
      </c>
      <c r="L12" s="64">
        <v>15.79</v>
      </c>
      <c r="M12" s="64">
        <v>61.84</v>
      </c>
      <c r="N12" s="64">
        <v>32.200000000000003</v>
      </c>
      <c r="O12" s="64">
        <v>0</v>
      </c>
      <c r="P12" s="64">
        <v>1.42</v>
      </c>
      <c r="Q12" s="64">
        <v>9.65</v>
      </c>
      <c r="R12" s="198"/>
      <c r="S12" s="198"/>
      <c r="T12" s="198"/>
      <c r="U12" s="198"/>
    </row>
    <row r="13" spans="1:21" s="12" customFormat="1" x14ac:dyDescent="0.25">
      <c r="A13" s="214" t="s">
        <v>635</v>
      </c>
      <c r="B13" s="64">
        <v>27.73</v>
      </c>
      <c r="C13" s="64">
        <v>13.09</v>
      </c>
      <c r="D13" s="64">
        <v>28.62</v>
      </c>
      <c r="E13" s="64">
        <v>4.66</v>
      </c>
      <c r="F13" s="64">
        <v>2.2400000000000002</v>
      </c>
      <c r="G13" s="64">
        <v>60.49</v>
      </c>
      <c r="H13" s="64">
        <v>29.06</v>
      </c>
      <c r="I13" s="64">
        <v>4.6500000000000004</v>
      </c>
      <c r="J13" s="64">
        <v>0.28999999999999998</v>
      </c>
      <c r="K13" s="64">
        <v>240.73</v>
      </c>
      <c r="L13" s="64">
        <v>15.35</v>
      </c>
      <c r="M13" s="64">
        <v>66.08</v>
      </c>
      <c r="N13" s="64">
        <v>32</v>
      </c>
      <c r="O13" s="64">
        <v>0</v>
      </c>
      <c r="P13" s="64">
        <v>1.35</v>
      </c>
      <c r="Q13" s="64">
        <v>9.67</v>
      </c>
      <c r="R13" s="198"/>
      <c r="S13" s="198"/>
      <c r="T13" s="198"/>
      <c r="U13" s="198"/>
    </row>
    <row r="14" spans="1:21" s="12" customFormat="1" x14ac:dyDescent="0.25">
      <c r="A14" s="214" t="s">
        <v>636</v>
      </c>
      <c r="B14" s="64">
        <v>26.58</v>
      </c>
      <c r="C14" s="64">
        <v>13.71</v>
      </c>
      <c r="D14" s="64">
        <v>28.02</v>
      </c>
      <c r="E14" s="64">
        <v>4.59</v>
      </c>
      <c r="F14" s="64">
        <v>2.44</v>
      </c>
      <c r="G14" s="64">
        <v>57.38</v>
      </c>
      <c r="H14" s="64">
        <v>28.93</v>
      </c>
      <c r="I14" s="64">
        <v>4.5999999999999996</v>
      </c>
      <c r="J14" s="64">
        <v>0.36</v>
      </c>
      <c r="K14" s="64">
        <v>286.2</v>
      </c>
      <c r="L14" s="64">
        <v>14.95</v>
      </c>
      <c r="M14" s="64">
        <v>71.19</v>
      </c>
      <c r="N14" s="64">
        <v>32.1</v>
      </c>
      <c r="O14" s="64">
        <v>0</v>
      </c>
      <c r="P14" s="64">
        <v>1.41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14" t="s">
        <v>637</v>
      </c>
      <c r="B15" s="64">
        <v>25.48</v>
      </c>
      <c r="C15" s="64">
        <v>14.14</v>
      </c>
      <c r="D15" s="64">
        <v>27.36</v>
      </c>
      <c r="E15" s="64">
        <v>4.46</v>
      </c>
      <c r="F15" s="64">
        <v>2.61</v>
      </c>
      <c r="G15" s="64">
        <v>57.38</v>
      </c>
      <c r="H15" s="64">
        <v>28.93</v>
      </c>
      <c r="I15" s="64">
        <v>4.92</v>
      </c>
      <c r="J15" s="64">
        <v>0.36</v>
      </c>
      <c r="K15" s="64">
        <v>321.27</v>
      </c>
      <c r="L15" s="64">
        <v>14.55</v>
      </c>
      <c r="M15" s="64">
        <v>72.03</v>
      </c>
      <c r="N15" s="64">
        <v>32</v>
      </c>
      <c r="O15" s="64">
        <v>0</v>
      </c>
      <c r="P15" s="64">
        <v>1.4</v>
      </c>
      <c r="Q15" s="64">
        <v>9.67</v>
      </c>
      <c r="R15" s="198"/>
      <c r="S15" s="198"/>
      <c r="T15" s="198"/>
      <c r="U15" s="198"/>
    </row>
    <row r="16" spans="1:21" s="12" customFormat="1" x14ac:dyDescent="0.25">
      <c r="A16" s="214" t="s">
        <v>638</v>
      </c>
      <c r="B16" s="64">
        <v>24.53</v>
      </c>
      <c r="C16" s="64">
        <v>14.49</v>
      </c>
      <c r="D16" s="64">
        <v>26.78</v>
      </c>
      <c r="E16" s="64">
        <v>4.68</v>
      </c>
      <c r="F16" s="64">
        <v>2.75</v>
      </c>
      <c r="G16" s="64">
        <v>57.38</v>
      </c>
      <c r="H16" s="64">
        <v>28.93</v>
      </c>
      <c r="I16" s="64">
        <v>4.97</v>
      </c>
      <c r="J16" s="64">
        <v>0.15</v>
      </c>
      <c r="K16" s="64">
        <v>96.46</v>
      </c>
      <c r="L16" s="64">
        <v>14.59</v>
      </c>
      <c r="M16" s="64">
        <v>70.040000000000006</v>
      </c>
      <c r="N16" s="64">
        <v>31.7</v>
      </c>
      <c r="O16" s="64">
        <v>0</v>
      </c>
      <c r="P16" s="64">
        <v>1.39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4" t="s">
        <v>639</v>
      </c>
      <c r="B17" s="64">
        <v>23.62</v>
      </c>
      <c r="C17" s="64">
        <v>14.78</v>
      </c>
      <c r="D17" s="64">
        <v>26.2</v>
      </c>
      <c r="E17" s="64">
        <v>4.5999999999999996</v>
      </c>
      <c r="F17" s="64">
        <v>2.86</v>
      </c>
      <c r="G17" s="64">
        <v>57.39</v>
      </c>
      <c r="H17" s="64">
        <v>28.07</v>
      </c>
      <c r="I17" s="64">
        <v>4.51</v>
      </c>
      <c r="J17" s="64">
        <v>0.27</v>
      </c>
      <c r="K17" s="64">
        <v>29.62</v>
      </c>
      <c r="L17" s="64">
        <v>14.93</v>
      </c>
      <c r="M17" s="64">
        <v>66.77</v>
      </c>
      <c r="N17" s="64">
        <v>31.5</v>
      </c>
      <c r="O17" s="64">
        <v>0</v>
      </c>
      <c r="P17" s="64">
        <v>1.37</v>
      </c>
      <c r="Q17" s="64">
        <v>9.66</v>
      </c>
      <c r="R17" s="198"/>
      <c r="S17" s="198"/>
      <c r="T17" s="198"/>
      <c r="U17" s="198"/>
    </row>
    <row r="18" spans="1:21" s="12" customFormat="1" x14ac:dyDescent="0.25">
      <c r="A18" s="214" t="s">
        <v>640</v>
      </c>
      <c r="B18" s="64">
        <v>22.74</v>
      </c>
      <c r="C18" s="64">
        <v>15.07</v>
      </c>
      <c r="D18" s="64">
        <v>25.65</v>
      </c>
      <c r="E18" s="64">
        <v>4.68</v>
      </c>
      <c r="F18" s="64">
        <v>2.99</v>
      </c>
      <c r="G18" s="64">
        <v>57.39</v>
      </c>
      <c r="H18" s="64">
        <v>27.73</v>
      </c>
      <c r="I18" s="64">
        <v>4.3099999999999996</v>
      </c>
      <c r="J18" s="64">
        <v>0.5</v>
      </c>
      <c r="K18" s="64">
        <v>335.92</v>
      </c>
      <c r="L18" s="64">
        <v>14.9</v>
      </c>
      <c r="M18" s="64">
        <v>68.75</v>
      </c>
      <c r="N18" s="64">
        <v>31.5</v>
      </c>
      <c r="O18" s="64">
        <v>0</v>
      </c>
      <c r="P18" s="64">
        <v>1.35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4" t="s">
        <v>641</v>
      </c>
      <c r="B19" s="64">
        <v>21.81</v>
      </c>
      <c r="C19" s="64">
        <v>15.44</v>
      </c>
      <c r="D19" s="64">
        <v>25.09</v>
      </c>
      <c r="E19" s="64">
        <v>4.53</v>
      </c>
      <c r="F19" s="64">
        <v>2.78</v>
      </c>
      <c r="G19" s="64">
        <v>57.39</v>
      </c>
      <c r="H19" s="64">
        <v>27.73</v>
      </c>
      <c r="I19" s="64">
        <v>4.5999999999999996</v>
      </c>
      <c r="J19" s="64">
        <v>0.22</v>
      </c>
      <c r="K19" s="64">
        <v>350.4</v>
      </c>
      <c r="L19" s="64">
        <v>14.91</v>
      </c>
      <c r="M19" s="64">
        <v>69.16</v>
      </c>
      <c r="N19" s="64">
        <v>31.7</v>
      </c>
      <c r="O19" s="64">
        <v>0</v>
      </c>
      <c r="P19" s="64">
        <v>1.33</v>
      </c>
      <c r="Q19" s="64">
        <v>9.66</v>
      </c>
      <c r="R19" s="198"/>
      <c r="S19" s="198"/>
      <c r="T19" s="198"/>
      <c r="U19" s="198"/>
    </row>
    <row r="20" spans="1:21" s="12" customFormat="1" x14ac:dyDescent="0.25">
      <c r="A20" s="214" t="s">
        <v>642</v>
      </c>
      <c r="B20" s="64">
        <v>20.99</v>
      </c>
      <c r="C20" s="64">
        <v>15.83</v>
      </c>
      <c r="D20" s="64">
        <v>24.64</v>
      </c>
      <c r="E20" s="64">
        <v>4.5</v>
      </c>
      <c r="F20" s="64">
        <v>2.95</v>
      </c>
      <c r="G20" s="64">
        <v>57.39</v>
      </c>
      <c r="H20" s="64">
        <v>27.73</v>
      </c>
      <c r="I20" s="64">
        <v>4.6399999999999997</v>
      </c>
      <c r="J20" s="64">
        <v>0.15</v>
      </c>
      <c r="K20" s="64">
        <v>108</v>
      </c>
      <c r="L20" s="64">
        <v>14.83</v>
      </c>
      <c r="M20" s="64">
        <v>70.08</v>
      </c>
      <c r="N20" s="64">
        <v>31.8</v>
      </c>
      <c r="O20" s="64">
        <v>0</v>
      </c>
      <c r="P20" s="64">
        <v>1.3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4" t="s">
        <v>643</v>
      </c>
      <c r="B21" s="64">
        <v>20.260000000000002</v>
      </c>
      <c r="C21" s="64">
        <v>15.88</v>
      </c>
      <c r="D21" s="64">
        <v>24.08</v>
      </c>
      <c r="E21" s="64">
        <v>4.68</v>
      </c>
      <c r="F21" s="64">
        <v>2.75</v>
      </c>
      <c r="G21" s="64">
        <v>60.46</v>
      </c>
      <c r="H21" s="64">
        <v>28.55</v>
      </c>
      <c r="I21" s="64">
        <v>4.2300000000000004</v>
      </c>
      <c r="J21" s="64">
        <v>0.14000000000000001</v>
      </c>
      <c r="K21" s="64">
        <v>42.5</v>
      </c>
      <c r="L21" s="64">
        <v>14.64</v>
      </c>
      <c r="M21" s="64">
        <v>72.290000000000006</v>
      </c>
      <c r="N21" s="64">
        <v>32</v>
      </c>
      <c r="O21" s="64">
        <v>0</v>
      </c>
      <c r="P21" s="64">
        <v>1.24</v>
      </c>
      <c r="Q21" s="64">
        <v>9.66</v>
      </c>
      <c r="R21" s="198"/>
      <c r="S21" s="198"/>
      <c r="T21" s="198"/>
      <c r="U21" s="198"/>
    </row>
    <row r="22" spans="1:21" s="12" customFormat="1" x14ac:dyDescent="0.25">
      <c r="A22" s="214" t="s">
        <v>644</v>
      </c>
      <c r="B22" s="64">
        <v>19.54</v>
      </c>
      <c r="C22" s="64">
        <v>16.03</v>
      </c>
      <c r="D22" s="64">
        <v>23.58</v>
      </c>
      <c r="E22" s="64">
        <v>4.8899999999999997</v>
      </c>
      <c r="F22" s="64">
        <v>2.83</v>
      </c>
      <c r="G22" s="64">
        <v>63.03</v>
      </c>
      <c r="H22" s="64">
        <v>28.87</v>
      </c>
      <c r="I22" s="64">
        <v>4.3600000000000003</v>
      </c>
      <c r="J22" s="64">
        <v>0.38</v>
      </c>
      <c r="K22" s="64">
        <v>340.93</v>
      </c>
      <c r="L22" s="64">
        <v>14.38</v>
      </c>
      <c r="M22" s="64">
        <v>75.87</v>
      </c>
      <c r="N22" s="64">
        <v>31.8</v>
      </c>
      <c r="O22" s="64">
        <v>0</v>
      </c>
      <c r="P22" s="64">
        <v>1.18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4" t="s">
        <v>645</v>
      </c>
      <c r="B23" s="64">
        <v>18.8</v>
      </c>
      <c r="C23" s="64">
        <v>16.329999999999998</v>
      </c>
      <c r="D23" s="64">
        <v>23.14</v>
      </c>
      <c r="E23" s="64">
        <v>4.45</v>
      </c>
      <c r="F23" s="64">
        <v>2.94</v>
      </c>
      <c r="G23" s="64">
        <v>63.03</v>
      </c>
      <c r="H23" s="64">
        <v>28.87</v>
      </c>
      <c r="I23" s="64">
        <v>4.0999999999999996</v>
      </c>
      <c r="J23" s="64">
        <v>0.84</v>
      </c>
      <c r="K23" s="64">
        <v>351.2</v>
      </c>
      <c r="L23" s="64">
        <v>14.33</v>
      </c>
      <c r="M23" s="64">
        <v>78.03</v>
      </c>
      <c r="N23" s="64">
        <v>31.5</v>
      </c>
      <c r="O23" s="64">
        <v>0</v>
      </c>
      <c r="P23" s="64">
        <v>1.1399999999999999</v>
      </c>
      <c r="Q23" s="64">
        <v>9.6300000000000008</v>
      </c>
      <c r="R23" s="198"/>
      <c r="S23" s="198"/>
      <c r="T23" s="198"/>
      <c r="U23" s="198"/>
    </row>
    <row r="24" spans="1:21" s="12" customFormat="1" x14ac:dyDescent="0.25">
      <c r="A24" s="214" t="s">
        <v>646</v>
      </c>
      <c r="B24" s="64">
        <v>18.16</v>
      </c>
      <c r="C24" s="64">
        <v>16.649999999999999</v>
      </c>
      <c r="D24" s="64">
        <v>22.8</v>
      </c>
      <c r="E24" s="64">
        <v>4.29</v>
      </c>
      <c r="F24" s="64">
        <v>2.97</v>
      </c>
      <c r="G24" s="64">
        <v>63.03</v>
      </c>
      <c r="H24" s="64">
        <v>28.87</v>
      </c>
      <c r="I24" s="64">
        <v>3.94</v>
      </c>
      <c r="J24" s="64">
        <v>0.51</v>
      </c>
      <c r="K24" s="64">
        <v>333.3</v>
      </c>
      <c r="L24" s="64">
        <v>14.33</v>
      </c>
      <c r="M24" s="64">
        <v>79.209999999999994</v>
      </c>
      <c r="N24" s="64">
        <v>31.8</v>
      </c>
      <c r="O24" s="64">
        <v>0</v>
      </c>
      <c r="P24" s="64">
        <v>1.1100000000000001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4" t="s">
        <v>647</v>
      </c>
      <c r="B25" s="64">
        <v>17.53</v>
      </c>
      <c r="C25" s="64">
        <v>16.87</v>
      </c>
      <c r="D25" s="64">
        <v>22.41</v>
      </c>
      <c r="E25" s="64">
        <v>4.68</v>
      </c>
      <c r="F25" s="64">
        <v>2.82</v>
      </c>
      <c r="G25" s="64">
        <v>66.290000000000006</v>
      </c>
      <c r="H25" s="64">
        <v>31.42</v>
      </c>
      <c r="I25" s="64">
        <v>3.9</v>
      </c>
      <c r="J25" s="64">
        <v>0.5</v>
      </c>
      <c r="K25" s="64">
        <v>339.39</v>
      </c>
      <c r="L25" s="64">
        <v>14.14</v>
      </c>
      <c r="M25" s="64">
        <v>81.319999999999993</v>
      </c>
      <c r="N25" s="64">
        <v>31.9</v>
      </c>
      <c r="O25" s="64">
        <v>0</v>
      </c>
      <c r="P25" s="64">
        <v>1.1000000000000001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4" t="s">
        <v>648</v>
      </c>
      <c r="B26" s="64">
        <v>16.97</v>
      </c>
      <c r="C26" s="64">
        <v>17.239999999999998</v>
      </c>
      <c r="D26" s="64">
        <v>22.15</v>
      </c>
      <c r="E26" s="64">
        <v>4.6900000000000004</v>
      </c>
      <c r="F26" s="64">
        <v>2.88</v>
      </c>
      <c r="G26" s="64">
        <v>69.010000000000005</v>
      </c>
      <c r="H26" s="64">
        <v>32.409999999999997</v>
      </c>
      <c r="I26" s="64">
        <v>3.84</v>
      </c>
      <c r="J26" s="64">
        <v>0.12</v>
      </c>
      <c r="K26" s="64">
        <v>104.17</v>
      </c>
      <c r="L26" s="64">
        <v>13.87</v>
      </c>
      <c r="M26" s="64">
        <v>83.22</v>
      </c>
      <c r="N26" s="64">
        <v>32</v>
      </c>
      <c r="O26" s="64">
        <v>0</v>
      </c>
      <c r="P26" s="64">
        <v>1.07</v>
      </c>
      <c r="Q26" s="64">
        <v>9.64</v>
      </c>
      <c r="R26" s="198"/>
      <c r="S26" s="198"/>
      <c r="T26" s="198"/>
      <c r="U26" s="198"/>
    </row>
    <row r="27" spans="1:21" s="12" customFormat="1" x14ac:dyDescent="0.25">
      <c r="A27" s="214" t="s">
        <v>649</v>
      </c>
      <c r="B27" s="64">
        <v>16.47</v>
      </c>
      <c r="C27" s="64">
        <v>17.37</v>
      </c>
      <c r="D27" s="64">
        <v>21.83</v>
      </c>
      <c r="E27" s="64">
        <v>4.7</v>
      </c>
      <c r="F27" s="64">
        <v>2.8</v>
      </c>
      <c r="G27" s="64">
        <v>69.010000000000005</v>
      </c>
      <c r="H27" s="64">
        <v>32.409999999999997</v>
      </c>
      <c r="I27" s="64">
        <v>3.78</v>
      </c>
      <c r="J27" s="64">
        <v>0.1</v>
      </c>
      <c r="K27" s="64">
        <v>307.17</v>
      </c>
      <c r="L27" s="64">
        <v>13.79</v>
      </c>
      <c r="M27" s="64">
        <v>83.92</v>
      </c>
      <c r="N27" s="64">
        <v>31.9</v>
      </c>
      <c r="O27" s="64">
        <v>0</v>
      </c>
      <c r="P27" s="64">
        <v>1.05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4" t="s">
        <v>650</v>
      </c>
      <c r="B28" s="64">
        <v>15.98</v>
      </c>
      <c r="C28" s="64">
        <v>17.47</v>
      </c>
      <c r="D28" s="64">
        <v>21.48</v>
      </c>
      <c r="E28" s="64">
        <v>4.6900000000000004</v>
      </c>
      <c r="F28" s="64">
        <v>2.57</v>
      </c>
      <c r="G28" s="64">
        <v>69.010000000000005</v>
      </c>
      <c r="H28" s="64">
        <v>32.409999999999997</v>
      </c>
      <c r="I28" s="64">
        <v>3.72</v>
      </c>
      <c r="J28" s="64">
        <v>0.25</v>
      </c>
      <c r="K28" s="64">
        <v>57.32</v>
      </c>
      <c r="L28" s="64">
        <v>13.68</v>
      </c>
      <c r="M28" s="64">
        <v>85.56</v>
      </c>
      <c r="N28" s="64">
        <v>31.8</v>
      </c>
      <c r="O28" s="64">
        <v>0</v>
      </c>
      <c r="P28" s="64">
        <v>1.03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4" t="s">
        <v>651</v>
      </c>
      <c r="B29" s="64">
        <v>15.71</v>
      </c>
      <c r="C29" s="64">
        <v>17.489999999999998</v>
      </c>
      <c r="D29" s="64">
        <v>21.27</v>
      </c>
      <c r="E29" s="64">
        <v>4.45</v>
      </c>
      <c r="F29" s="64">
        <v>2.59</v>
      </c>
      <c r="G29" s="64">
        <v>67.3</v>
      </c>
      <c r="H29" s="64">
        <v>31.33</v>
      </c>
      <c r="I29" s="64">
        <v>3.65</v>
      </c>
      <c r="J29" s="64">
        <v>0.15</v>
      </c>
      <c r="K29" s="64">
        <v>97.64</v>
      </c>
      <c r="L29" s="64">
        <v>13.48</v>
      </c>
      <c r="M29" s="64">
        <v>88.45</v>
      </c>
      <c r="N29" s="64">
        <v>31.9</v>
      </c>
      <c r="O29" s="64">
        <v>0</v>
      </c>
      <c r="P29" s="64">
        <v>1</v>
      </c>
      <c r="Q29" s="64">
        <v>9.64</v>
      </c>
      <c r="R29" s="198"/>
      <c r="S29" s="198"/>
      <c r="T29" s="198"/>
      <c r="U29" s="198"/>
    </row>
    <row r="30" spans="1:21" s="12" customFormat="1" x14ac:dyDescent="0.25">
      <c r="A30" s="214" t="s">
        <v>652</v>
      </c>
      <c r="B30" s="64">
        <v>15.55</v>
      </c>
      <c r="C30" s="64">
        <v>17.25</v>
      </c>
      <c r="D30" s="64">
        <v>21.02</v>
      </c>
      <c r="E30" s="64">
        <v>4.3600000000000003</v>
      </c>
      <c r="F30" s="64">
        <v>2.83</v>
      </c>
      <c r="G30" s="64">
        <v>65.87</v>
      </c>
      <c r="H30" s="64">
        <v>30.53</v>
      </c>
      <c r="I30" s="64">
        <v>3.56</v>
      </c>
      <c r="J30" s="64">
        <v>0.17</v>
      </c>
      <c r="K30" s="64">
        <v>34.869999999999997</v>
      </c>
      <c r="L30" s="64">
        <v>13.37</v>
      </c>
      <c r="M30" s="64">
        <v>89.52</v>
      </c>
      <c r="N30" s="64">
        <v>31.8</v>
      </c>
      <c r="O30" s="64">
        <v>0</v>
      </c>
      <c r="P30" s="64">
        <v>1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4" t="s">
        <v>653</v>
      </c>
      <c r="B31" s="64">
        <v>15.2</v>
      </c>
      <c r="C31" s="64">
        <v>17.2</v>
      </c>
      <c r="D31" s="64">
        <v>20.72</v>
      </c>
      <c r="E31" s="64">
        <v>4.21</v>
      </c>
      <c r="F31" s="64">
        <v>2.81</v>
      </c>
      <c r="G31" s="64">
        <v>65.87</v>
      </c>
      <c r="H31" s="64">
        <v>30.53</v>
      </c>
      <c r="I31" s="64">
        <v>3.51</v>
      </c>
      <c r="J31" s="64">
        <v>0.27</v>
      </c>
      <c r="K31" s="64">
        <v>328.26</v>
      </c>
      <c r="L31" s="64">
        <v>13.33</v>
      </c>
      <c r="M31" s="64">
        <v>90.95</v>
      </c>
      <c r="N31" s="64">
        <v>31.7</v>
      </c>
      <c r="O31" s="64">
        <v>0</v>
      </c>
      <c r="P31" s="64">
        <v>0.98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4" t="s">
        <v>654</v>
      </c>
      <c r="B32" s="64">
        <v>15.03</v>
      </c>
      <c r="C32" s="64">
        <v>17.59</v>
      </c>
      <c r="D32" s="64">
        <v>20.78</v>
      </c>
      <c r="E32" s="64">
        <v>4.34</v>
      </c>
      <c r="F32" s="64">
        <v>2.6</v>
      </c>
      <c r="G32" s="64">
        <v>65.87</v>
      </c>
      <c r="H32" s="64">
        <v>30.53</v>
      </c>
      <c r="I32" s="64">
        <v>3.48</v>
      </c>
      <c r="J32" s="64">
        <v>0.4</v>
      </c>
      <c r="K32" s="64">
        <v>328.6</v>
      </c>
      <c r="L32" s="64">
        <v>13.37</v>
      </c>
      <c r="M32" s="64">
        <v>92.21</v>
      </c>
      <c r="N32" s="64">
        <v>31.6</v>
      </c>
      <c r="O32" s="64">
        <v>0</v>
      </c>
      <c r="P32" s="64">
        <v>1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4" t="s">
        <v>655</v>
      </c>
      <c r="B33" s="64">
        <v>15.09</v>
      </c>
      <c r="C33" s="64">
        <v>17.77</v>
      </c>
      <c r="D33" s="64">
        <v>20.93</v>
      </c>
      <c r="E33" s="64">
        <v>4.32</v>
      </c>
      <c r="F33" s="64">
        <v>2.67</v>
      </c>
      <c r="G33" s="64">
        <v>65.239999999999995</v>
      </c>
      <c r="H33" s="64">
        <v>29.53</v>
      </c>
      <c r="I33" s="64">
        <v>3.44</v>
      </c>
      <c r="J33" s="64">
        <v>0.43</v>
      </c>
      <c r="K33" s="64">
        <v>317.66000000000003</v>
      </c>
      <c r="L33" s="64">
        <v>13.52</v>
      </c>
      <c r="M33" s="64">
        <v>91.55</v>
      </c>
      <c r="N33" s="64">
        <v>33</v>
      </c>
      <c r="O33" s="64">
        <v>0</v>
      </c>
      <c r="P33" s="64">
        <v>1.01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4" t="s">
        <v>656</v>
      </c>
      <c r="B34" s="64">
        <v>15.51</v>
      </c>
      <c r="C34" s="64">
        <v>17.71</v>
      </c>
      <c r="D34" s="64">
        <v>21.23</v>
      </c>
      <c r="E34" s="64">
        <v>4.1399999999999997</v>
      </c>
      <c r="F34" s="64">
        <v>2.88</v>
      </c>
      <c r="G34" s="64">
        <v>64.709999999999994</v>
      </c>
      <c r="H34" s="64">
        <v>29.16</v>
      </c>
      <c r="I34" s="64">
        <v>3.41</v>
      </c>
      <c r="J34" s="64">
        <v>0.37</v>
      </c>
      <c r="K34" s="64">
        <v>316.94</v>
      </c>
      <c r="L34" s="64">
        <v>13.53</v>
      </c>
      <c r="M34" s="64">
        <v>91.74</v>
      </c>
      <c r="N34" s="64">
        <v>36.200000000000003</v>
      </c>
      <c r="O34" s="64">
        <v>0</v>
      </c>
      <c r="P34" s="64">
        <v>1.01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4" t="s">
        <v>657</v>
      </c>
      <c r="B35" s="64">
        <v>16.190000000000001</v>
      </c>
      <c r="C35" s="64">
        <v>17.440000000000001</v>
      </c>
      <c r="D35" s="64">
        <v>21.63</v>
      </c>
      <c r="E35" s="64">
        <v>4.33</v>
      </c>
      <c r="F35" s="64">
        <v>3.08</v>
      </c>
      <c r="G35" s="64">
        <v>64.709999999999994</v>
      </c>
      <c r="H35" s="64">
        <v>29.16</v>
      </c>
      <c r="I35" s="64">
        <v>3.37</v>
      </c>
      <c r="J35" s="64">
        <v>0.73</v>
      </c>
      <c r="K35" s="64">
        <v>337.34</v>
      </c>
      <c r="L35" s="64">
        <v>13.65</v>
      </c>
      <c r="M35" s="64">
        <v>91.79</v>
      </c>
      <c r="N35" s="64">
        <v>45.5</v>
      </c>
      <c r="O35" s="64">
        <v>0</v>
      </c>
      <c r="P35" s="64">
        <v>1.02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4" t="s">
        <v>658</v>
      </c>
      <c r="B36" s="64">
        <v>16.79</v>
      </c>
      <c r="C36" s="64">
        <v>17.2</v>
      </c>
      <c r="D36" s="64">
        <v>21.99</v>
      </c>
      <c r="E36" s="64">
        <v>4.62</v>
      </c>
      <c r="F36" s="64">
        <v>2.91</v>
      </c>
      <c r="G36" s="64">
        <v>64.709999999999994</v>
      </c>
      <c r="H36" s="64">
        <v>29.16</v>
      </c>
      <c r="I36" s="64">
        <v>3.34</v>
      </c>
      <c r="J36" s="64">
        <v>0.38</v>
      </c>
      <c r="K36" s="64">
        <v>314.13</v>
      </c>
      <c r="L36" s="64">
        <v>14.01</v>
      </c>
      <c r="M36" s="64">
        <v>89.8</v>
      </c>
      <c r="N36" s="64">
        <v>53.7</v>
      </c>
      <c r="O36" s="64">
        <v>0</v>
      </c>
      <c r="P36" s="64">
        <v>1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4" t="s">
        <v>659</v>
      </c>
      <c r="B37" s="64">
        <v>17.13</v>
      </c>
      <c r="C37" s="64">
        <v>17.010000000000002</v>
      </c>
      <c r="D37" s="64">
        <v>22.16</v>
      </c>
      <c r="E37" s="64">
        <v>4.63</v>
      </c>
      <c r="F37" s="64">
        <v>2.86</v>
      </c>
      <c r="G37" s="64">
        <v>66.09</v>
      </c>
      <c r="H37" s="64">
        <v>30.75</v>
      </c>
      <c r="I37" s="64">
        <v>3.33</v>
      </c>
      <c r="J37" s="64">
        <v>0.26</v>
      </c>
      <c r="K37" s="64">
        <v>312.95</v>
      </c>
      <c r="L37" s="64">
        <v>14.36</v>
      </c>
      <c r="M37" s="64">
        <v>87.74</v>
      </c>
      <c r="N37" s="64">
        <v>74.900000000000006</v>
      </c>
      <c r="O37" s="64">
        <v>0</v>
      </c>
      <c r="P37" s="64">
        <v>0.97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4" t="s">
        <v>660</v>
      </c>
      <c r="B38" s="64">
        <v>17.75</v>
      </c>
      <c r="C38" s="64">
        <v>16.93</v>
      </c>
      <c r="D38" s="64">
        <v>22.62</v>
      </c>
      <c r="E38" s="64">
        <v>4.47</v>
      </c>
      <c r="F38" s="64">
        <v>2.92</v>
      </c>
      <c r="G38" s="64">
        <v>67.239999999999995</v>
      </c>
      <c r="H38" s="64">
        <v>31.33</v>
      </c>
      <c r="I38" s="64">
        <v>3.34</v>
      </c>
      <c r="J38" s="64">
        <v>0.48</v>
      </c>
      <c r="K38" s="64">
        <v>338.7</v>
      </c>
      <c r="L38" s="64">
        <v>14.96</v>
      </c>
      <c r="M38" s="64">
        <v>84.43</v>
      </c>
      <c r="N38" s="64">
        <v>103.9</v>
      </c>
      <c r="O38" s="64">
        <v>0</v>
      </c>
      <c r="P38" s="64">
        <v>1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4" t="s">
        <v>661</v>
      </c>
      <c r="B39" s="64">
        <v>19.059999999999999</v>
      </c>
      <c r="C39" s="64">
        <v>16.32</v>
      </c>
      <c r="D39" s="64">
        <v>23.35</v>
      </c>
      <c r="E39" s="64">
        <v>4.62</v>
      </c>
      <c r="F39" s="64">
        <v>2.74</v>
      </c>
      <c r="G39" s="64">
        <v>67.239999999999995</v>
      </c>
      <c r="H39" s="64">
        <v>31.33</v>
      </c>
      <c r="I39" s="64">
        <v>3.35</v>
      </c>
      <c r="J39" s="64">
        <v>0.77</v>
      </c>
      <c r="K39" s="64">
        <v>335.44</v>
      </c>
      <c r="L39" s="64">
        <v>16.350000000000001</v>
      </c>
      <c r="M39" s="64">
        <v>75.989999999999995</v>
      </c>
      <c r="N39" s="64">
        <v>168.8</v>
      </c>
      <c r="O39" s="64">
        <v>0</v>
      </c>
      <c r="P39" s="64">
        <v>0.98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4" t="s">
        <v>662</v>
      </c>
      <c r="B40" s="64">
        <v>20.51</v>
      </c>
      <c r="C40" s="64">
        <v>15.8</v>
      </c>
      <c r="D40" s="64">
        <v>24.24</v>
      </c>
      <c r="E40" s="64">
        <v>5.09</v>
      </c>
      <c r="F40" s="64">
        <v>2.75</v>
      </c>
      <c r="G40" s="64">
        <v>67.239999999999995</v>
      </c>
      <c r="H40" s="64">
        <v>31.33</v>
      </c>
      <c r="I40" s="64">
        <v>3.66</v>
      </c>
      <c r="J40" s="64">
        <v>0.83</v>
      </c>
      <c r="K40" s="64">
        <v>340.54</v>
      </c>
      <c r="L40" s="64">
        <v>17.920000000000002</v>
      </c>
      <c r="M40" s="64">
        <v>67.069999999999993</v>
      </c>
      <c r="N40" s="64">
        <v>225.9</v>
      </c>
      <c r="O40" s="64">
        <v>0</v>
      </c>
      <c r="P40" s="64">
        <v>0.96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4" t="s">
        <v>663</v>
      </c>
      <c r="B41" s="64">
        <v>21.54</v>
      </c>
      <c r="C41" s="64">
        <v>15.66</v>
      </c>
      <c r="D41" s="64">
        <v>24.99</v>
      </c>
      <c r="E41" s="64">
        <v>5.5</v>
      </c>
      <c r="F41" s="64">
        <v>2.73</v>
      </c>
      <c r="G41" s="64">
        <v>71.14</v>
      </c>
      <c r="H41" s="64">
        <v>32.76</v>
      </c>
      <c r="I41" s="64">
        <v>3.79</v>
      </c>
      <c r="J41" s="64">
        <v>0.93</v>
      </c>
      <c r="K41" s="64">
        <v>340.35</v>
      </c>
      <c r="L41" s="64">
        <v>19.37</v>
      </c>
      <c r="M41" s="64">
        <v>59.9</v>
      </c>
      <c r="N41" s="64">
        <v>271.3</v>
      </c>
      <c r="O41" s="64">
        <v>0</v>
      </c>
      <c r="P41" s="64">
        <v>0.94</v>
      </c>
      <c r="Q41" s="64">
        <v>9.66</v>
      </c>
      <c r="R41" s="198"/>
      <c r="S41" s="198"/>
      <c r="T41" s="198"/>
      <c r="U41" s="198"/>
    </row>
    <row r="42" spans="1:21" s="12" customFormat="1" x14ac:dyDescent="0.25">
      <c r="A42" s="214" t="s">
        <v>664</v>
      </c>
      <c r="B42" s="64">
        <v>22.33</v>
      </c>
      <c r="C42" s="64">
        <v>15.77</v>
      </c>
      <c r="D42" s="64">
        <v>25.69</v>
      </c>
      <c r="E42" s="64">
        <v>5.71</v>
      </c>
      <c r="F42" s="64">
        <v>2.78</v>
      </c>
      <c r="G42" s="64">
        <v>74.400000000000006</v>
      </c>
      <c r="H42" s="64">
        <v>33.31</v>
      </c>
      <c r="I42" s="64">
        <v>3.8</v>
      </c>
      <c r="J42" s="64">
        <v>0.88</v>
      </c>
      <c r="K42" s="64">
        <v>339.04</v>
      </c>
      <c r="L42" s="64">
        <v>20.41</v>
      </c>
      <c r="M42" s="64">
        <v>56.01</v>
      </c>
      <c r="N42" s="64">
        <v>306.10000000000002</v>
      </c>
      <c r="O42" s="64">
        <v>0</v>
      </c>
      <c r="P42" s="64">
        <v>0.93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4" t="s">
        <v>665</v>
      </c>
      <c r="B43" s="64">
        <v>22.71</v>
      </c>
      <c r="C43" s="64">
        <v>16.059999999999999</v>
      </c>
      <c r="D43" s="64">
        <v>26.14</v>
      </c>
      <c r="E43" s="64">
        <v>5.82</v>
      </c>
      <c r="F43" s="64">
        <v>2.92</v>
      </c>
      <c r="G43" s="64">
        <v>74.400000000000006</v>
      </c>
      <c r="H43" s="64">
        <v>33.31</v>
      </c>
      <c r="I43" s="64">
        <v>3.78</v>
      </c>
      <c r="J43" s="64">
        <v>0.68</v>
      </c>
      <c r="K43" s="64">
        <v>340.65</v>
      </c>
      <c r="L43" s="64">
        <v>21.41</v>
      </c>
      <c r="M43" s="64">
        <v>52.39</v>
      </c>
      <c r="N43" s="64">
        <v>341.3</v>
      </c>
      <c r="O43" s="64">
        <v>0</v>
      </c>
      <c r="P43" s="64">
        <v>0.91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4" t="s">
        <v>666</v>
      </c>
      <c r="B44" s="64">
        <v>23.03</v>
      </c>
      <c r="C44" s="64">
        <v>16.399999999999999</v>
      </c>
      <c r="D44" s="64">
        <v>26.58</v>
      </c>
      <c r="E44" s="64">
        <v>6.12</v>
      </c>
      <c r="F44" s="64">
        <v>3.2</v>
      </c>
      <c r="G44" s="64">
        <v>74.400000000000006</v>
      </c>
      <c r="H44" s="64">
        <v>33.31</v>
      </c>
      <c r="I44" s="64">
        <v>3.76</v>
      </c>
      <c r="J44" s="64">
        <v>0.5</v>
      </c>
      <c r="K44" s="64">
        <v>344.9</v>
      </c>
      <c r="L44" s="64">
        <v>21.7</v>
      </c>
      <c r="M44" s="64">
        <v>51.45</v>
      </c>
      <c r="N44" s="64">
        <v>379.1</v>
      </c>
      <c r="O44" s="64">
        <v>0</v>
      </c>
      <c r="P44" s="64">
        <v>0.91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4" t="s">
        <v>667</v>
      </c>
      <c r="B45" s="64">
        <v>23.72</v>
      </c>
      <c r="C45" s="64">
        <v>16.46</v>
      </c>
      <c r="D45" s="64">
        <v>27.16</v>
      </c>
      <c r="E45" s="64">
        <v>5.84</v>
      </c>
      <c r="F45" s="64">
        <v>3</v>
      </c>
      <c r="G45" s="64">
        <v>75.180000000000007</v>
      </c>
      <c r="H45" s="64">
        <v>32.659999999999997</v>
      </c>
      <c r="I45" s="64">
        <v>3.75</v>
      </c>
      <c r="J45" s="64">
        <v>1.06</v>
      </c>
      <c r="K45" s="64">
        <v>338.92</v>
      </c>
      <c r="L45" s="64">
        <v>22.59</v>
      </c>
      <c r="M45" s="64">
        <v>47.58</v>
      </c>
      <c r="N45" s="64">
        <v>392.1</v>
      </c>
      <c r="O45" s="64">
        <v>0</v>
      </c>
      <c r="P45" s="64">
        <v>0.91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4" t="s">
        <v>668</v>
      </c>
      <c r="B46" s="64">
        <v>23.36</v>
      </c>
      <c r="C46" s="64">
        <v>16.98</v>
      </c>
      <c r="D46" s="64">
        <v>27.15</v>
      </c>
      <c r="E46" s="64">
        <v>6.15</v>
      </c>
      <c r="F46" s="64">
        <v>3.05</v>
      </c>
      <c r="G46" s="64">
        <v>75.83</v>
      </c>
      <c r="H46" s="64">
        <v>32.18</v>
      </c>
      <c r="I46" s="64">
        <v>3.73</v>
      </c>
      <c r="J46" s="64">
        <v>1.07</v>
      </c>
      <c r="K46" s="64">
        <v>343.73</v>
      </c>
      <c r="L46" s="64">
        <v>23.63</v>
      </c>
      <c r="M46" s="64">
        <v>43.85</v>
      </c>
      <c r="N46" s="64">
        <v>431.9</v>
      </c>
      <c r="O46" s="64">
        <v>0</v>
      </c>
      <c r="P46" s="64">
        <v>0.91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4" t="s">
        <v>669</v>
      </c>
      <c r="B47" s="64">
        <v>23.4</v>
      </c>
      <c r="C47" s="64">
        <v>18.11</v>
      </c>
      <c r="D47" s="64">
        <v>27.76</v>
      </c>
      <c r="E47" s="64">
        <v>6</v>
      </c>
      <c r="F47" s="64">
        <v>2.67</v>
      </c>
      <c r="G47" s="64">
        <v>75.83</v>
      </c>
      <c r="H47" s="64">
        <v>32.18</v>
      </c>
      <c r="I47" s="64">
        <v>3.72</v>
      </c>
      <c r="J47" s="64">
        <v>0.74</v>
      </c>
      <c r="K47" s="64">
        <v>334.71</v>
      </c>
      <c r="L47" s="64">
        <v>23.79</v>
      </c>
      <c r="M47" s="64">
        <v>43.64</v>
      </c>
      <c r="N47" s="64">
        <v>465.2</v>
      </c>
      <c r="O47" s="64">
        <v>0</v>
      </c>
      <c r="P47" s="64">
        <v>0.9</v>
      </c>
      <c r="Q47" s="64">
        <v>9.66</v>
      </c>
      <c r="R47" s="198"/>
      <c r="S47" s="198"/>
      <c r="T47" s="198"/>
      <c r="U47" s="198"/>
    </row>
    <row r="48" spans="1:21" s="12" customFormat="1" x14ac:dyDescent="0.25">
      <c r="A48" s="214" t="s">
        <v>670</v>
      </c>
      <c r="B48" s="64">
        <v>22.43</v>
      </c>
      <c r="C48" s="64">
        <v>18.579999999999998</v>
      </c>
      <c r="D48" s="64">
        <v>27.24</v>
      </c>
      <c r="E48" s="64">
        <v>6.61</v>
      </c>
      <c r="F48" s="64">
        <v>2.84</v>
      </c>
      <c r="G48" s="64">
        <v>75.83</v>
      </c>
      <c r="H48" s="64">
        <v>32.18</v>
      </c>
      <c r="I48" s="64">
        <v>3.68</v>
      </c>
      <c r="J48" s="64">
        <v>0.86</v>
      </c>
      <c r="K48" s="64">
        <v>119.37</v>
      </c>
      <c r="L48" s="64">
        <v>22.86</v>
      </c>
      <c r="M48" s="64">
        <v>46.84</v>
      </c>
      <c r="N48" s="64">
        <v>492.3</v>
      </c>
      <c r="O48" s="64">
        <v>0</v>
      </c>
      <c r="P48" s="64">
        <v>0.88</v>
      </c>
      <c r="Q48" s="64">
        <v>9.66</v>
      </c>
      <c r="R48" s="198"/>
      <c r="S48" s="198"/>
      <c r="T48" s="198"/>
      <c r="U48" s="198"/>
    </row>
    <row r="49" spans="1:21" s="12" customFormat="1" x14ac:dyDescent="0.25">
      <c r="A49" s="214" t="s">
        <v>671</v>
      </c>
      <c r="B49" s="64">
        <v>21.88</v>
      </c>
      <c r="C49" s="64">
        <v>18.77</v>
      </c>
      <c r="D49" s="64">
        <v>26.89</v>
      </c>
      <c r="E49" s="64">
        <v>6.13</v>
      </c>
      <c r="F49" s="64">
        <v>2.48</v>
      </c>
      <c r="G49" s="64">
        <v>74.64</v>
      </c>
      <c r="H49" s="64">
        <v>29.53</v>
      </c>
      <c r="I49" s="64">
        <v>3.63</v>
      </c>
      <c r="J49" s="64">
        <v>0.91</v>
      </c>
      <c r="K49" s="64">
        <v>340.58</v>
      </c>
      <c r="L49" s="64">
        <v>23.97</v>
      </c>
      <c r="M49" s="64">
        <v>43.13</v>
      </c>
      <c r="N49" s="64">
        <v>497.4</v>
      </c>
      <c r="O49" s="64">
        <v>0</v>
      </c>
      <c r="P49" s="64">
        <v>0.89</v>
      </c>
      <c r="Q49" s="64">
        <v>9.66</v>
      </c>
      <c r="R49" s="198"/>
      <c r="S49" s="198"/>
      <c r="T49" s="198"/>
      <c r="U49" s="198"/>
    </row>
    <row r="50" spans="1:21" s="12" customFormat="1" x14ac:dyDescent="0.25">
      <c r="A50" s="214" t="s">
        <v>672</v>
      </c>
      <c r="B50" s="64">
        <v>21.78</v>
      </c>
      <c r="C50" s="64">
        <v>19.010000000000002</v>
      </c>
      <c r="D50" s="64">
        <v>26.94</v>
      </c>
      <c r="E50" s="64">
        <v>6.74</v>
      </c>
      <c r="F50" s="64">
        <v>3.05</v>
      </c>
      <c r="G50" s="64">
        <v>73.63</v>
      </c>
      <c r="H50" s="64">
        <v>28.56</v>
      </c>
      <c r="I50" s="64">
        <v>3.6</v>
      </c>
      <c r="J50" s="64">
        <v>0.93</v>
      </c>
      <c r="K50" s="64">
        <v>333.99</v>
      </c>
      <c r="L50" s="64">
        <v>25.38</v>
      </c>
      <c r="M50" s="64">
        <v>38.74</v>
      </c>
      <c r="N50" s="64">
        <v>510.5</v>
      </c>
      <c r="O50" s="64">
        <v>0</v>
      </c>
      <c r="P50" s="64">
        <v>0.91</v>
      </c>
      <c r="Q50" s="64">
        <v>9.66</v>
      </c>
      <c r="R50" s="198"/>
      <c r="S50" s="198"/>
      <c r="T50" s="198"/>
      <c r="U50" s="198"/>
    </row>
    <row r="51" spans="1:21" s="12" customFormat="1" x14ac:dyDescent="0.25">
      <c r="A51" s="214" t="s">
        <v>673</v>
      </c>
      <c r="B51" s="64">
        <v>21.41</v>
      </c>
      <c r="C51" s="64">
        <v>19.84</v>
      </c>
      <c r="D51" s="64">
        <v>27.08</v>
      </c>
      <c r="E51" s="64">
        <v>7.01</v>
      </c>
      <c r="F51" s="64">
        <v>3.52</v>
      </c>
      <c r="G51" s="64">
        <v>73.63</v>
      </c>
      <c r="H51" s="64">
        <v>28.56</v>
      </c>
      <c r="I51" s="64">
        <v>3.59</v>
      </c>
      <c r="J51" s="64">
        <v>0.68</v>
      </c>
      <c r="K51" s="64">
        <v>331.74</v>
      </c>
      <c r="L51" s="64">
        <v>25.76</v>
      </c>
      <c r="M51" s="64">
        <v>36.200000000000003</v>
      </c>
      <c r="N51" s="64">
        <v>519.4</v>
      </c>
      <c r="O51" s="64">
        <v>0</v>
      </c>
      <c r="P51" s="64">
        <v>0.92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4" t="s">
        <v>674</v>
      </c>
      <c r="B52" s="64">
        <v>19.29</v>
      </c>
      <c r="C52" s="64">
        <v>21.18</v>
      </c>
      <c r="D52" s="64">
        <v>26.07</v>
      </c>
      <c r="E52" s="64">
        <v>7.75</v>
      </c>
      <c r="F52" s="64">
        <v>4.0599999999999996</v>
      </c>
      <c r="G52" s="64">
        <v>73.63</v>
      </c>
      <c r="H52" s="64">
        <v>28.56</v>
      </c>
      <c r="I52" s="64">
        <v>3.56</v>
      </c>
      <c r="J52" s="64">
        <v>0.44</v>
      </c>
      <c r="K52" s="64">
        <v>7.41</v>
      </c>
      <c r="L52" s="64">
        <v>25.13</v>
      </c>
      <c r="M52" s="64">
        <v>36.82</v>
      </c>
      <c r="N52" s="64">
        <v>525.1</v>
      </c>
      <c r="O52" s="64">
        <v>0</v>
      </c>
      <c r="P52" s="64">
        <v>0.9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14" t="s">
        <v>675</v>
      </c>
      <c r="B53" s="64">
        <v>19.690000000000001</v>
      </c>
      <c r="C53" s="64">
        <v>21.08</v>
      </c>
      <c r="D53" s="64">
        <v>26.34</v>
      </c>
      <c r="E53" s="64">
        <v>7.11</v>
      </c>
      <c r="F53" s="64">
        <v>4.22</v>
      </c>
      <c r="G53" s="64">
        <v>71.650000000000006</v>
      </c>
      <c r="H53" s="64">
        <v>29.55</v>
      </c>
      <c r="I53" s="64">
        <v>3.52</v>
      </c>
      <c r="J53" s="64">
        <v>0.98</v>
      </c>
      <c r="K53" s="64">
        <v>339.25</v>
      </c>
      <c r="L53" s="64">
        <v>26.63</v>
      </c>
      <c r="M53" s="64">
        <v>32.83</v>
      </c>
      <c r="N53" s="64">
        <v>528.79999999999995</v>
      </c>
      <c r="O53" s="64">
        <v>0</v>
      </c>
      <c r="P53" s="64">
        <v>0.9</v>
      </c>
      <c r="Q53" s="64">
        <v>9.67</v>
      </c>
      <c r="R53" s="198"/>
      <c r="S53" s="198"/>
      <c r="T53" s="198"/>
      <c r="U53" s="198"/>
    </row>
    <row r="54" spans="1:21" s="12" customFormat="1" x14ac:dyDescent="0.25">
      <c r="A54" s="214" t="s">
        <v>676</v>
      </c>
      <c r="B54" s="64">
        <v>19.760000000000002</v>
      </c>
      <c r="C54" s="64">
        <v>21.6</v>
      </c>
      <c r="D54" s="64">
        <v>26.67</v>
      </c>
      <c r="E54" s="64">
        <v>7.63</v>
      </c>
      <c r="F54" s="64">
        <v>3.35</v>
      </c>
      <c r="G54" s="64">
        <v>69.98</v>
      </c>
      <c r="H54" s="64">
        <v>29.92</v>
      </c>
      <c r="I54" s="64">
        <v>3.45</v>
      </c>
      <c r="J54" s="64">
        <v>0.88</v>
      </c>
      <c r="K54" s="64">
        <v>342.1</v>
      </c>
      <c r="L54" s="64">
        <v>26.92</v>
      </c>
      <c r="M54" s="64">
        <v>32.03</v>
      </c>
      <c r="N54" s="64">
        <v>529.6</v>
      </c>
      <c r="O54" s="64">
        <v>0</v>
      </c>
      <c r="P54" s="64">
        <v>0.89</v>
      </c>
      <c r="Q54" s="64">
        <v>9.66</v>
      </c>
      <c r="R54" s="198"/>
      <c r="S54" s="198"/>
      <c r="T54" s="198"/>
      <c r="U54" s="198"/>
    </row>
    <row r="55" spans="1:21" s="12" customFormat="1" x14ac:dyDescent="0.25">
      <c r="A55" s="214" t="s">
        <v>677</v>
      </c>
      <c r="B55" s="64">
        <v>19.489999999999998</v>
      </c>
      <c r="C55" s="64">
        <v>21.82</v>
      </c>
      <c r="D55" s="64">
        <v>26.56</v>
      </c>
      <c r="E55" s="64">
        <v>7.08</v>
      </c>
      <c r="F55" s="64">
        <v>3.48</v>
      </c>
      <c r="G55" s="64">
        <v>69.98</v>
      </c>
      <c r="H55" s="64">
        <v>29.92</v>
      </c>
      <c r="I55" s="64">
        <v>3.39</v>
      </c>
      <c r="J55" s="64">
        <v>0.44</v>
      </c>
      <c r="K55" s="64">
        <v>340.86</v>
      </c>
      <c r="L55" s="64">
        <v>27.12</v>
      </c>
      <c r="M55" s="64">
        <v>31.53</v>
      </c>
      <c r="N55" s="64">
        <v>513.9</v>
      </c>
      <c r="O55" s="64">
        <v>0</v>
      </c>
      <c r="P55" s="64">
        <v>0.89</v>
      </c>
      <c r="Q55" s="64">
        <v>9.66</v>
      </c>
      <c r="R55" s="198"/>
      <c r="S55" s="198"/>
      <c r="T55" s="198"/>
      <c r="U55" s="198"/>
    </row>
    <row r="56" spans="1:21" s="12" customFormat="1" x14ac:dyDescent="0.25">
      <c r="A56" s="214" t="s">
        <v>678</v>
      </c>
      <c r="B56" s="64">
        <v>21.41</v>
      </c>
      <c r="C56" s="64">
        <v>21.13</v>
      </c>
      <c r="D56" s="64">
        <v>27.04</v>
      </c>
      <c r="E56" s="64">
        <v>6.33</v>
      </c>
      <c r="F56" s="64">
        <v>3.27</v>
      </c>
      <c r="G56" s="64">
        <v>69.98</v>
      </c>
      <c r="H56" s="64">
        <v>29.92</v>
      </c>
      <c r="I56" s="64">
        <v>3.35</v>
      </c>
      <c r="J56" s="64">
        <v>1.25</v>
      </c>
      <c r="K56" s="64">
        <v>339.83</v>
      </c>
      <c r="L56" s="64">
        <v>27.29</v>
      </c>
      <c r="M56" s="64">
        <v>30.37</v>
      </c>
      <c r="N56" s="64">
        <v>505.3</v>
      </c>
      <c r="O56" s="64">
        <v>0</v>
      </c>
      <c r="P56" s="64">
        <v>0.86</v>
      </c>
      <c r="Q56" s="64">
        <v>9.65</v>
      </c>
      <c r="R56" s="198"/>
      <c r="S56" s="198"/>
      <c r="T56" s="198"/>
      <c r="U56" s="198"/>
    </row>
    <row r="57" spans="1:21" s="12" customFormat="1" x14ac:dyDescent="0.25">
      <c r="A57" s="214" t="s">
        <v>679</v>
      </c>
      <c r="B57" s="64">
        <v>17.7</v>
      </c>
      <c r="C57" s="64">
        <v>24.2</v>
      </c>
      <c r="D57" s="64">
        <v>26.38</v>
      </c>
      <c r="E57" s="64">
        <v>7.8</v>
      </c>
      <c r="F57" s="64">
        <v>3.19</v>
      </c>
      <c r="G57" s="64">
        <v>65.849999999999994</v>
      </c>
      <c r="H57" s="64">
        <v>27.11</v>
      </c>
      <c r="I57" s="64">
        <v>3.3</v>
      </c>
      <c r="J57" s="64">
        <v>1.52</v>
      </c>
      <c r="K57" s="64">
        <v>342.82</v>
      </c>
      <c r="L57" s="64">
        <v>27.38</v>
      </c>
      <c r="M57" s="64">
        <v>29.12</v>
      </c>
      <c r="N57" s="64">
        <v>491.7</v>
      </c>
      <c r="O57" s="64">
        <v>0</v>
      </c>
      <c r="P57" s="64">
        <v>0.81</v>
      </c>
      <c r="Q57" s="64">
        <v>9.65</v>
      </c>
      <c r="R57" s="198"/>
      <c r="S57" s="198"/>
      <c r="T57" s="198"/>
      <c r="U57" s="198"/>
    </row>
    <row r="58" spans="1:21" s="12" customFormat="1" x14ac:dyDescent="0.25">
      <c r="A58" s="214" t="s">
        <v>680</v>
      </c>
      <c r="B58" s="64">
        <v>17.760000000000002</v>
      </c>
      <c r="C58" s="64">
        <v>24.73</v>
      </c>
      <c r="D58" s="64">
        <v>26.7</v>
      </c>
      <c r="E58" s="64">
        <v>7.56</v>
      </c>
      <c r="F58" s="64">
        <v>4.45</v>
      </c>
      <c r="G58" s="64">
        <v>62.4</v>
      </c>
      <c r="H58" s="64">
        <v>26.03</v>
      </c>
      <c r="I58" s="64">
        <v>3.21</v>
      </c>
      <c r="J58" s="64">
        <v>0.53</v>
      </c>
      <c r="K58" s="64">
        <v>336.16</v>
      </c>
      <c r="L58" s="64">
        <v>27.44</v>
      </c>
      <c r="M58" s="64">
        <v>29.75</v>
      </c>
      <c r="N58" s="64">
        <v>477.3</v>
      </c>
      <c r="O58" s="64">
        <v>0</v>
      </c>
      <c r="P58" s="64">
        <v>0.81</v>
      </c>
      <c r="Q58" s="64">
        <v>9.64</v>
      </c>
      <c r="R58" s="198"/>
      <c r="S58" s="198"/>
      <c r="T58" s="198"/>
      <c r="U58" s="198"/>
    </row>
    <row r="59" spans="1:21" s="12" customFormat="1" x14ac:dyDescent="0.25">
      <c r="A59" s="214" t="s">
        <v>681</v>
      </c>
      <c r="B59" s="64">
        <v>16.46</v>
      </c>
      <c r="C59" s="64">
        <v>23.98</v>
      </c>
      <c r="D59" s="64">
        <v>25.27</v>
      </c>
      <c r="E59" s="64">
        <v>6.98</v>
      </c>
      <c r="F59" s="64">
        <v>4.53</v>
      </c>
      <c r="G59" s="64">
        <v>62.4</v>
      </c>
      <c r="H59" s="64">
        <v>26.03</v>
      </c>
      <c r="I59" s="64">
        <v>3.15</v>
      </c>
      <c r="J59" s="64">
        <v>1.07</v>
      </c>
      <c r="K59" s="64">
        <v>121.89</v>
      </c>
      <c r="L59" s="64">
        <v>25.39</v>
      </c>
      <c r="M59" s="64">
        <v>34.590000000000003</v>
      </c>
      <c r="N59" s="64">
        <v>474.1</v>
      </c>
      <c r="O59" s="64">
        <v>0</v>
      </c>
      <c r="P59" s="64">
        <v>0.78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4" t="s">
        <v>682</v>
      </c>
      <c r="B60" s="64">
        <v>15.8</v>
      </c>
      <c r="C60" s="64">
        <v>25.31</v>
      </c>
      <c r="D60" s="64">
        <v>25.43</v>
      </c>
      <c r="E60" s="64">
        <v>7.07</v>
      </c>
      <c r="F60" s="64">
        <v>3.12</v>
      </c>
      <c r="G60" s="64">
        <v>62.4</v>
      </c>
      <c r="H60" s="64">
        <v>26.03</v>
      </c>
      <c r="I60" s="64">
        <v>3.13</v>
      </c>
      <c r="J60" s="64">
        <v>0.47</v>
      </c>
      <c r="K60" s="64">
        <v>107.43</v>
      </c>
      <c r="L60" s="64">
        <v>24.78</v>
      </c>
      <c r="M60" s="64">
        <v>35.43</v>
      </c>
      <c r="N60" s="64">
        <v>466.1</v>
      </c>
      <c r="O60" s="64">
        <v>0</v>
      </c>
      <c r="P60" s="64">
        <v>0.77</v>
      </c>
      <c r="Q60" s="64">
        <v>9.64</v>
      </c>
      <c r="R60" s="198"/>
      <c r="S60" s="198"/>
      <c r="T60" s="198"/>
      <c r="U60" s="198"/>
    </row>
    <row r="61" spans="1:21" s="12" customFormat="1" x14ac:dyDescent="0.25">
      <c r="A61" s="214" t="s">
        <v>683</v>
      </c>
      <c r="B61" s="64">
        <v>14.79</v>
      </c>
      <c r="C61" s="64">
        <v>25.16</v>
      </c>
      <c r="D61" s="64">
        <v>24.55</v>
      </c>
      <c r="E61" s="64">
        <v>7.86</v>
      </c>
      <c r="F61" s="64">
        <v>3.72</v>
      </c>
      <c r="G61" s="64">
        <v>60.68</v>
      </c>
      <c r="H61" s="64">
        <v>25.05</v>
      </c>
      <c r="I61" s="64">
        <v>3.13</v>
      </c>
      <c r="J61" s="64">
        <v>0.39</v>
      </c>
      <c r="K61" s="64">
        <v>96.51</v>
      </c>
      <c r="L61" s="64">
        <v>25.53</v>
      </c>
      <c r="M61" s="64">
        <v>33.92</v>
      </c>
      <c r="N61" s="64">
        <v>441.3</v>
      </c>
      <c r="O61" s="64">
        <v>0</v>
      </c>
      <c r="P61" s="64">
        <v>0.8</v>
      </c>
      <c r="Q61" s="64">
        <v>9.64</v>
      </c>
      <c r="R61" s="198"/>
      <c r="S61" s="198"/>
      <c r="T61" s="198"/>
      <c r="U61" s="198"/>
    </row>
    <row r="62" spans="1:21" s="12" customFormat="1" x14ac:dyDescent="0.25">
      <c r="A62" s="214" t="s">
        <v>684</v>
      </c>
      <c r="B62" s="64">
        <v>14.71</v>
      </c>
      <c r="C62" s="64">
        <v>25.46</v>
      </c>
      <c r="D62" s="64">
        <v>24.64</v>
      </c>
      <c r="E62" s="64">
        <v>7.23</v>
      </c>
      <c r="F62" s="64">
        <v>5.39</v>
      </c>
      <c r="G62" s="64">
        <v>59.24</v>
      </c>
      <c r="H62" s="64">
        <v>24.37</v>
      </c>
      <c r="I62" s="64">
        <v>3.1</v>
      </c>
      <c r="J62" s="64">
        <v>0.59</v>
      </c>
      <c r="K62" s="64">
        <v>338.55</v>
      </c>
      <c r="L62" s="64">
        <v>25.91</v>
      </c>
      <c r="M62" s="64">
        <v>31.79</v>
      </c>
      <c r="N62" s="64">
        <v>428.6</v>
      </c>
      <c r="O62" s="64">
        <v>0</v>
      </c>
      <c r="P62" s="64">
        <v>0.86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4" t="s">
        <v>685</v>
      </c>
      <c r="B63" s="64">
        <v>15.17</v>
      </c>
      <c r="C63" s="64">
        <v>24.8</v>
      </c>
      <c r="D63" s="64">
        <v>24.66</v>
      </c>
      <c r="E63" s="64">
        <v>7.45</v>
      </c>
      <c r="F63" s="64">
        <v>5.19</v>
      </c>
      <c r="G63" s="64">
        <v>59.24</v>
      </c>
      <c r="H63" s="64">
        <v>24.37</v>
      </c>
      <c r="I63" s="64">
        <v>3.07</v>
      </c>
      <c r="J63" s="64">
        <v>0.48</v>
      </c>
      <c r="K63" s="64">
        <v>348.69</v>
      </c>
      <c r="L63" s="64">
        <v>26.14</v>
      </c>
      <c r="M63" s="64">
        <v>30.15</v>
      </c>
      <c r="N63" s="64">
        <v>420.2</v>
      </c>
      <c r="O63" s="64">
        <v>0</v>
      </c>
      <c r="P63" s="64">
        <v>0.85</v>
      </c>
      <c r="Q63" s="64">
        <v>9.64</v>
      </c>
      <c r="R63" s="198"/>
      <c r="S63" s="198"/>
      <c r="T63" s="198"/>
      <c r="U63" s="198"/>
    </row>
    <row r="64" spans="1:21" s="12" customFormat="1" x14ac:dyDescent="0.25">
      <c r="A64" s="214" t="s">
        <v>686</v>
      </c>
      <c r="B64" s="64">
        <v>13.26</v>
      </c>
      <c r="C64" s="64">
        <v>26.01</v>
      </c>
      <c r="D64" s="64">
        <v>23.76</v>
      </c>
      <c r="E64" s="64">
        <v>8.39</v>
      </c>
      <c r="F64" s="64">
        <v>5.33</v>
      </c>
      <c r="G64" s="64">
        <v>59.24</v>
      </c>
      <c r="H64" s="64">
        <v>24.37</v>
      </c>
      <c r="I64" s="64">
        <v>3.03</v>
      </c>
      <c r="J64" s="64">
        <v>0.22</v>
      </c>
      <c r="K64" s="64">
        <v>37.35</v>
      </c>
      <c r="L64" s="64">
        <v>25.3</v>
      </c>
      <c r="M64" s="64">
        <v>31.63</v>
      </c>
      <c r="N64" s="64">
        <v>328.8</v>
      </c>
      <c r="O64" s="64">
        <v>0</v>
      </c>
      <c r="P64" s="64">
        <v>0.84</v>
      </c>
      <c r="Q64" s="64">
        <v>9.64</v>
      </c>
      <c r="R64" s="198"/>
      <c r="S64" s="198"/>
      <c r="T64" s="198"/>
      <c r="U64" s="198"/>
    </row>
    <row r="65" spans="1:21" s="12" customFormat="1" x14ac:dyDescent="0.25">
      <c r="A65" s="214" t="s">
        <v>687</v>
      </c>
      <c r="B65" s="64">
        <v>12.82</v>
      </c>
      <c r="C65" s="64">
        <v>25.38</v>
      </c>
      <c r="D65" s="64">
        <v>23.08</v>
      </c>
      <c r="E65" s="64">
        <v>8.4</v>
      </c>
      <c r="F65" s="64">
        <v>4.91</v>
      </c>
      <c r="G65" s="64">
        <v>55.59</v>
      </c>
      <c r="H65" s="64">
        <v>22.41</v>
      </c>
      <c r="I65" s="64">
        <v>2.98</v>
      </c>
      <c r="J65" s="64">
        <v>0.81</v>
      </c>
      <c r="K65" s="64">
        <v>336.73</v>
      </c>
      <c r="L65" s="64">
        <v>25.02</v>
      </c>
      <c r="M65" s="64">
        <v>31.15</v>
      </c>
      <c r="N65" s="64">
        <v>130.5</v>
      </c>
      <c r="O65" s="64">
        <v>0</v>
      </c>
      <c r="P65" s="64">
        <v>0.82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4" t="s">
        <v>688</v>
      </c>
      <c r="B66" s="64">
        <v>10.74</v>
      </c>
      <c r="C66" s="64">
        <v>25.03</v>
      </c>
      <c r="D66" s="64">
        <v>21.23</v>
      </c>
      <c r="E66" s="64">
        <v>12.87</v>
      </c>
      <c r="F66" s="64">
        <v>10.67</v>
      </c>
      <c r="G66" s="64">
        <v>52.53</v>
      </c>
      <c r="H66" s="64">
        <v>21.65</v>
      </c>
      <c r="I66" s="64">
        <v>2.98</v>
      </c>
      <c r="J66" s="64">
        <v>0.27</v>
      </c>
      <c r="K66" s="64">
        <v>28.4</v>
      </c>
      <c r="L66" s="64">
        <v>24.67</v>
      </c>
      <c r="M66" s="64">
        <v>32.06</v>
      </c>
      <c r="N66" s="64">
        <v>134.19999999999999</v>
      </c>
      <c r="O66" s="64">
        <v>0</v>
      </c>
      <c r="P66" s="64">
        <v>0.8</v>
      </c>
      <c r="Q66" s="64">
        <v>9.64</v>
      </c>
      <c r="R66" s="198"/>
      <c r="S66" s="198"/>
      <c r="T66" s="198"/>
      <c r="U66" s="198"/>
    </row>
    <row r="67" spans="1:21" s="12" customFormat="1" x14ac:dyDescent="0.25">
      <c r="A67" s="214" t="s">
        <v>689</v>
      </c>
      <c r="B67" s="64">
        <v>8.8800000000000008</v>
      </c>
      <c r="C67" s="64">
        <v>22.97</v>
      </c>
      <c r="D67" s="64">
        <v>18.66</v>
      </c>
      <c r="E67" s="64">
        <v>18.059999999999999</v>
      </c>
      <c r="F67" s="64">
        <v>14.42</v>
      </c>
      <c r="G67" s="64">
        <v>52.53</v>
      </c>
      <c r="H67" s="64">
        <v>21.65</v>
      </c>
      <c r="I67" s="64">
        <v>2.96</v>
      </c>
      <c r="J67" s="64">
        <v>0.42</v>
      </c>
      <c r="K67" s="64">
        <v>99.5</v>
      </c>
      <c r="L67" s="64">
        <v>24.1</v>
      </c>
      <c r="M67" s="64">
        <v>32.85</v>
      </c>
      <c r="N67" s="64">
        <v>108.9</v>
      </c>
      <c r="O67" s="64">
        <v>0</v>
      </c>
      <c r="P67" s="64">
        <v>0.76</v>
      </c>
      <c r="Q67" s="64">
        <v>9.65</v>
      </c>
      <c r="R67" s="198"/>
      <c r="S67" s="198"/>
      <c r="T67" s="198"/>
      <c r="U67" s="198"/>
    </row>
    <row r="68" spans="1:21" s="12" customFormat="1" x14ac:dyDescent="0.25">
      <c r="A68" s="214" t="s">
        <v>690</v>
      </c>
      <c r="B68" s="64">
        <v>10</v>
      </c>
      <c r="C68" s="64">
        <v>28.09</v>
      </c>
      <c r="D68" s="64">
        <v>22.23</v>
      </c>
      <c r="E68" s="64">
        <v>15.39</v>
      </c>
      <c r="F68" s="64">
        <v>9.33</v>
      </c>
      <c r="G68" s="64">
        <v>52.53</v>
      </c>
      <c r="H68" s="64">
        <v>21.65</v>
      </c>
      <c r="I68" s="64">
        <v>2.92</v>
      </c>
      <c r="J68" s="64">
        <v>0.85</v>
      </c>
      <c r="K68" s="64">
        <v>336.73</v>
      </c>
      <c r="L68" s="64">
        <v>24.18</v>
      </c>
      <c r="M68" s="64">
        <v>33.18</v>
      </c>
      <c r="N68" s="64">
        <v>95.5</v>
      </c>
      <c r="O68" s="64">
        <v>0</v>
      </c>
      <c r="P68" s="64">
        <v>0.84</v>
      </c>
      <c r="Q68" s="64">
        <v>9.64</v>
      </c>
      <c r="R68" s="198"/>
      <c r="S68" s="198"/>
      <c r="T68" s="198"/>
      <c r="U68" s="198"/>
    </row>
    <row r="69" spans="1:21" s="12" customFormat="1" x14ac:dyDescent="0.25">
      <c r="A69" s="214" t="s">
        <v>691</v>
      </c>
      <c r="B69" s="64">
        <v>10.09</v>
      </c>
      <c r="C69" s="64">
        <v>26.28</v>
      </c>
      <c r="D69" s="64">
        <v>21.36</v>
      </c>
      <c r="E69" s="64">
        <v>16.38</v>
      </c>
      <c r="F69" s="64">
        <v>9.59</v>
      </c>
      <c r="G69" s="64">
        <v>51.28</v>
      </c>
      <c r="H69" s="64">
        <v>21.1</v>
      </c>
      <c r="I69" s="64">
        <v>2.92</v>
      </c>
      <c r="J69" s="64">
        <v>0.49</v>
      </c>
      <c r="K69" s="64">
        <v>4.38</v>
      </c>
      <c r="L69" s="64">
        <v>24.03</v>
      </c>
      <c r="M69" s="64">
        <v>33.32</v>
      </c>
      <c r="N69" s="64">
        <v>88.1</v>
      </c>
      <c r="O69" s="64">
        <v>0</v>
      </c>
      <c r="P69" s="64">
        <v>0.86</v>
      </c>
      <c r="Q69" s="64">
        <v>9.6300000000000008</v>
      </c>
      <c r="R69" s="198"/>
      <c r="S69" s="198"/>
      <c r="T69" s="198"/>
      <c r="U69" s="198"/>
    </row>
    <row r="70" spans="1:21" s="12" customFormat="1" x14ac:dyDescent="0.25">
      <c r="A70" s="214" t="s">
        <v>692</v>
      </c>
      <c r="B70" s="64">
        <v>8.7100000000000009</v>
      </c>
      <c r="C70" s="64">
        <v>26.65</v>
      </c>
      <c r="D70" s="64">
        <v>20.45</v>
      </c>
      <c r="E70" s="64">
        <v>14.2</v>
      </c>
      <c r="F70" s="64">
        <v>13.84</v>
      </c>
      <c r="G70" s="64">
        <v>50.24</v>
      </c>
      <c r="H70" s="64">
        <v>20.9</v>
      </c>
      <c r="I70" s="64">
        <v>2.89</v>
      </c>
      <c r="J70" s="64">
        <v>0.2</v>
      </c>
      <c r="K70" s="64">
        <v>80.83</v>
      </c>
      <c r="L70" s="64">
        <v>23.72</v>
      </c>
      <c r="M70" s="64">
        <v>33.18</v>
      </c>
      <c r="N70" s="64">
        <v>80.8</v>
      </c>
      <c r="O70" s="64">
        <v>0</v>
      </c>
      <c r="P70" s="64">
        <v>0.84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4" t="s">
        <v>693</v>
      </c>
      <c r="B71" s="64">
        <v>10.09</v>
      </c>
      <c r="C71" s="64">
        <v>30.13</v>
      </c>
      <c r="D71" s="64">
        <v>23.37</v>
      </c>
      <c r="E71" s="64">
        <v>14.45</v>
      </c>
      <c r="F71" s="64">
        <v>9.49</v>
      </c>
      <c r="G71" s="64">
        <v>50.24</v>
      </c>
      <c r="H71" s="64">
        <v>20.9</v>
      </c>
      <c r="I71" s="64">
        <v>2.87</v>
      </c>
      <c r="J71" s="64">
        <v>0.56999999999999995</v>
      </c>
      <c r="K71" s="64">
        <v>343.45</v>
      </c>
      <c r="L71" s="64">
        <v>23.69</v>
      </c>
      <c r="M71" s="64">
        <v>33.81</v>
      </c>
      <c r="N71" s="64">
        <v>74.2</v>
      </c>
      <c r="O71" s="64">
        <v>0</v>
      </c>
      <c r="P71" s="64">
        <v>0.9</v>
      </c>
      <c r="Q71" s="64">
        <v>9.65</v>
      </c>
      <c r="R71" s="198"/>
      <c r="S71" s="198"/>
      <c r="T71" s="198"/>
      <c r="U71" s="198"/>
    </row>
    <row r="72" spans="1:21" s="12" customFormat="1" x14ac:dyDescent="0.25">
      <c r="A72" s="214" t="s">
        <v>694</v>
      </c>
      <c r="B72" s="64">
        <v>11.58</v>
      </c>
      <c r="C72" s="64">
        <v>29.69</v>
      </c>
      <c r="D72" s="64">
        <v>24.34</v>
      </c>
      <c r="E72" s="64">
        <v>12.27</v>
      </c>
      <c r="F72" s="64">
        <v>8.69</v>
      </c>
      <c r="G72" s="64">
        <v>50.24</v>
      </c>
      <c r="H72" s="64">
        <v>20.9</v>
      </c>
      <c r="I72" s="64">
        <v>2.86</v>
      </c>
      <c r="J72" s="64">
        <v>0.75</v>
      </c>
      <c r="K72" s="64">
        <v>346.68</v>
      </c>
      <c r="L72" s="64">
        <v>23.51</v>
      </c>
      <c r="M72" s="64">
        <v>35.25</v>
      </c>
      <c r="N72" s="64">
        <v>68</v>
      </c>
      <c r="O72" s="64">
        <v>0</v>
      </c>
      <c r="P72" s="64">
        <v>0.93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4" t="s">
        <v>695</v>
      </c>
      <c r="B73" s="64">
        <v>10.72</v>
      </c>
      <c r="C73" s="64">
        <v>27.28</v>
      </c>
      <c r="D73" s="64">
        <v>22.39</v>
      </c>
      <c r="E73" s="64">
        <v>8.4700000000000006</v>
      </c>
      <c r="F73" s="64">
        <v>4.3499999999999996</v>
      </c>
      <c r="G73" s="64">
        <v>50.5</v>
      </c>
      <c r="H73" s="64">
        <v>20.9</v>
      </c>
      <c r="I73" s="64">
        <v>2.86</v>
      </c>
      <c r="J73" s="64">
        <v>0.74</v>
      </c>
      <c r="K73" s="64">
        <v>341.67</v>
      </c>
      <c r="L73" s="64">
        <v>23.28</v>
      </c>
      <c r="M73" s="64">
        <v>34.56</v>
      </c>
      <c r="N73" s="64">
        <v>61</v>
      </c>
      <c r="O73" s="64">
        <v>0</v>
      </c>
      <c r="P73" s="64">
        <v>0.91</v>
      </c>
      <c r="Q73" s="64">
        <v>9.64</v>
      </c>
      <c r="R73" s="198"/>
      <c r="S73" s="198"/>
      <c r="T73" s="198"/>
      <c r="U73" s="198"/>
    </row>
    <row r="74" spans="1:21" s="12" customFormat="1" x14ac:dyDescent="0.25">
      <c r="A74" s="214" t="s">
        <v>696</v>
      </c>
      <c r="B74" s="64">
        <v>9.59</v>
      </c>
      <c r="C74" s="64">
        <v>27.6</v>
      </c>
      <c r="D74" s="64">
        <v>21.65</v>
      </c>
      <c r="E74" s="64">
        <v>7.3</v>
      </c>
      <c r="F74" s="64">
        <v>5.34</v>
      </c>
      <c r="G74" s="64">
        <v>50.72</v>
      </c>
      <c r="H74" s="64">
        <v>20.89</v>
      </c>
      <c r="I74" s="64">
        <v>2.88</v>
      </c>
      <c r="J74" s="64">
        <v>0.32</v>
      </c>
      <c r="K74" s="64">
        <v>347.99</v>
      </c>
      <c r="L74" s="64">
        <v>22.91</v>
      </c>
      <c r="M74" s="64">
        <v>36.520000000000003</v>
      </c>
      <c r="N74" s="64">
        <v>53.6</v>
      </c>
      <c r="O74" s="64">
        <v>0</v>
      </c>
      <c r="P74" s="64">
        <v>0.89</v>
      </c>
      <c r="Q74" s="64">
        <v>9.65</v>
      </c>
      <c r="R74" s="198"/>
      <c r="S74" s="198"/>
      <c r="T74" s="198"/>
      <c r="U74" s="198"/>
    </row>
    <row r="75" spans="1:21" s="12" customFormat="1" x14ac:dyDescent="0.25">
      <c r="A75" s="214" t="s">
        <v>697</v>
      </c>
      <c r="B75" s="64">
        <v>8.99</v>
      </c>
      <c r="C75" s="64">
        <v>27.59</v>
      </c>
      <c r="D75" s="64">
        <v>21.16</v>
      </c>
      <c r="E75" s="64">
        <v>7.39</v>
      </c>
      <c r="F75" s="64">
        <v>4.9800000000000004</v>
      </c>
      <c r="G75" s="64">
        <v>50.72</v>
      </c>
      <c r="H75" s="64">
        <v>20.89</v>
      </c>
      <c r="I75" s="64">
        <v>2.91</v>
      </c>
      <c r="J75" s="64">
        <v>0.14000000000000001</v>
      </c>
      <c r="K75" s="64">
        <v>93.01</v>
      </c>
      <c r="L75" s="64">
        <v>22.38</v>
      </c>
      <c r="M75" s="64">
        <v>38.22</v>
      </c>
      <c r="N75" s="64">
        <v>46.7</v>
      </c>
      <c r="O75" s="64">
        <v>0</v>
      </c>
      <c r="P75" s="64">
        <v>0.86</v>
      </c>
      <c r="Q75" s="64">
        <v>9.64</v>
      </c>
      <c r="R75" s="198"/>
      <c r="S75" s="198"/>
      <c r="T75" s="198"/>
      <c r="U75" s="198"/>
    </row>
    <row r="76" spans="1:21" s="12" customFormat="1" x14ac:dyDescent="0.25">
      <c r="A76" s="214" t="s">
        <v>698</v>
      </c>
      <c r="B76" s="64">
        <v>8.6999999999999993</v>
      </c>
      <c r="C76" s="64">
        <v>27.74</v>
      </c>
      <c r="D76" s="64">
        <v>21.01</v>
      </c>
      <c r="E76" s="64">
        <v>8.09</v>
      </c>
      <c r="F76" s="64">
        <v>5.97</v>
      </c>
      <c r="G76" s="64">
        <v>50.72</v>
      </c>
      <c r="H76" s="64">
        <v>20.89</v>
      </c>
      <c r="I76" s="64">
        <v>2.93</v>
      </c>
      <c r="J76" s="64">
        <v>0.26</v>
      </c>
      <c r="K76" s="64">
        <v>66.33</v>
      </c>
      <c r="L76" s="64">
        <v>21.81</v>
      </c>
      <c r="M76" s="64">
        <v>40.04</v>
      </c>
      <c r="N76" s="64">
        <v>40.6</v>
      </c>
      <c r="O76" s="64">
        <v>0</v>
      </c>
      <c r="P76" s="64">
        <v>0.84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4" t="s">
        <v>699</v>
      </c>
      <c r="B77" s="64">
        <v>9.02</v>
      </c>
      <c r="C77" s="64">
        <v>30.53</v>
      </c>
      <c r="D77" s="64">
        <v>22.72</v>
      </c>
      <c r="E77" s="64">
        <v>7.29</v>
      </c>
      <c r="F77" s="64">
        <v>5.52</v>
      </c>
      <c r="G77" s="64">
        <v>50.36</v>
      </c>
      <c r="H77" s="64">
        <v>21.69</v>
      </c>
      <c r="I77" s="64">
        <v>2.94</v>
      </c>
      <c r="J77" s="64">
        <v>0.27</v>
      </c>
      <c r="K77" s="64">
        <v>58.48</v>
      </c>
      <c r="L77" s="64">
        <v>21.31</v>
      </c>
      <c r="M77" s="64">
        <v>42.18</v>
      </c>
      <c r="N77" s="64">
        <v>35.1</v>
      </c>
      <c r="O77" s="64">
        <v>0</v>
      </c>
      <c r="P77" s="64">
        <v>0.9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4" t="s">
        <v>700</v>
      </c>
      <c r="B78" s="64">
        <v>11.44</v>
      </c>
      <c r="C78" s="64">
        <v>28.67</v>
      </c>
      <c r="D78" s="64">
        <v>23.69</v>
      </c>
      <c r="E78" s="64">
        <v>6.38</v>
      </c>
      <c r="F78" s="64">
        <v>3.33</v>
      </c>
      <c r="G78" s="64">
        <v>50.05</v>
      </c>
      <c r="H78" s="64">
        <v>22.23</v>
      </c>
      <c r="I78" s="64">
        <v>2.98</v>
      </c>
      <c r="J78" s="64">
        <v>0.3</v>
      </c>
      <c r="K78" s="64">
        <v>13.79</v>
      </c>
      <c r="L78" s="64">
        <v>20.43</v>
      </c>
      <c r="M78" s="64">
        <v>49.96</v>
      </c>
      <c r="N78" s="64">
        <v>32.9</v>
      </c>
      <c r="O78" s="64">
        <v>0</v>
      </c>
      <c r="P78" s="64">
        <v>0.95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4" t="s">
        <v>701</v>
      </c>
      <c r="B79" s="64">
        <v>10.88</v>
      </c>
      <c r="C79" s="64">
        <v>31.02</v>
      </c>
      <c r="D79" s="64">
        <v>24.47</v>
      </c>
      <c r="E79" s="64">
        <v>5.93</v>
      </c>
      <c r="F79" s="64">
        <v>3.21</v>
      </c>
      <c r="G79" s="64">
        <v>50.05</v>
      </c>
      <c r="H79" s="64">
        <v>22.23</v>
      </c>
      <c r="I79" s="64">
        <v>2.77</v>
      </c>
      <c r="J79" s="64">
        <v>0.33</v>
      </c>
      <c r="K79" s="64">
        <v>69.33</v>
      </c>
      <c r="L79" s="64">
        <v>19.95</v>
      </c>
      <c r="M79" s="64">
        <v>52.65</v>
      </c>
      <c r="N79" s="64">
        <v>32.200000000000003</v>
      </c>
      <c r="O79" s="64">
        <v>0</v>
      </c>
      <c r="P79" s="64">
        <v>0.95</v>
      </c>
      <c r="Q79" s="64">
        <v>9.6300000000000008</v>
      </c>
      <c r="R79" s="198"/>
      <c r="S79" s="198"/>
      <c r="T79" s="198"/>
      <c r="U79" s="198"/>
    </row>
    <row r="80" spans="1:21" s="12" customFormat="1" x14ac:dyDescent="0.25">
      <c r="A80" s="214" t="s">
        <v>702</v>
      </c>
      <c r="B80" s="64">
        <v>11.75</v>
      </c>
      <c r="C80" s="64">
        <v>28.71</v>
      </c>
      <c r="D80" s="64">
        <v>23.96</v>
      </c>
      <c r="E80" s="64">
        <v>5.93</v>
      </c>
      <c r="F80" s="64">
        <v>3.16</v>
      </c>
      <c r="G80" s="64">
        <v>50.05</v>
      </c>
      <c r="H80" s="64">
        <v>22.23</v>
      </c>
      <c r="I80" s="64">
        <v>2.82</v>
      </c>
      <c r="J80" s="64">
        <v>0.17</v>
      </c>
      <c r="K80" s="64">
        <v>34.950000000000003</v>
      </c>
      <c r="L80" s="64">
        <v>19.670000000000002</v>
      </c>
      <c r="M80" s="64">
        <v>52.81</v>
      </c>
      <c r="N80" s="64">
        <v>32.1</v>
      </c>
      <c r="O80" s="64">
        <v>0</v>
      </c>
      <c r="P80" s="64">
        <v>1.01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4" t="s">
        <v>703</v>
      </c>
      <c r="B81" s="64">
        <v>14.15</v>
      </c>
      <c r="C81" s="64">
        <v>24.9</v>
      </c>
      <c r="D81" s="64">
        <v>23.89</v>
      </c>
      <c r="E81" s="64">
        <v>5.65</v>
      </c>
      <c r="F81" s="64">
        <v>2.84</v>
      </c>
      <c r="G81" s="64">
        <v>59.44</v>
      </c>
      <c r="H81" s="64">
        <v>25.2</v>
      </c>
      <c r="I81" s="64">
        <v>3.02</v>
      </c>
      <c r="J81" s="64">
        <v>0.46</v>
      </c>
      <c r="K81" s="64">
        <v>3.37</v>
      </c>
      <c r="L81" s="64">
        <v>19.100000000000001</v>
      </c>
      <c r="M81" s="64">
        <v>62.74</v>
      </c>
      <c r="N81" s="64">
        <v>32.5</v>
      </c>
      <c r="O81" s="64">
        <v>0</v>
      </c>
      <c r="P81" s="64">
        <v>1.08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4" t="s">
        <v>704</v>
      </c>
      <c r="B82" s="64">
        <v>15.89</v>
      </c>
      <c r="C82" s="64">
        <v>23.32</v>
      </c>
      <c r="D82" s="64">
        <v>24.46</v>
      </c>
      <c r="E82" s="64">
        <v>5.83</v>
      </c>
      <c r="F82" s="64">
        <v>2.56</v>
      </c>
      <c r="G82" s="64">
        <v>67.3</v>
      </c>
      <c r="H82" s="64">
        <v>26.35</v>
      </c>
      <c r="I82" s="64">
        <v>3.27</v>
      </c>
      <c r="J82" s="64">
        <v>0.33</v>
      </c>
      <c r="K82" s="64">
        <v>42.17</v>
      </c>
      <c r="L82" s="64">
        <v>18.690000000000001</v>
      </c>
      <c r="M82" s="64">
        <v>60.19</v>
      </c>
      <c r="N82" s="64">
        <v>32</v>
      </c>
      <c r="O82" s="64">
        <v>0</v>
      </c>
      <c r="P82" s="64">
        <v>1.19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4" t="s">
        <v>705</v>
      </c>
      <c r="B83" s="64">
        <v>19.579999999999998</v>
      </c>
      <c r="C83" s="64">
        <v>24.12</v>
      </c>
      <c r="D83" s="64">
        <v>27.85</v>
      </c>
      <c r="E83" s="64">
        <v>6.03</v>
      </c>
      <c r="F83" s="64">
        <v>3.09</v>
      </c>
      <c r="G83" s="64">
        <v>67.3</v>
      </c>
      <c r="H83" s="64">
        <v>26.35</v>
      </c>
      <c r="I83" s="64">
        <v>3.75</v>
      </c>
      <c r="J83" s="64">
        <v>0.27</v>
      </c>
      <c r="K83" s="64">
        <v>346.09</v>
      </c>
      <c r="L83" s="64">
        <v>18.75</v>
      </c>
      <c r="M83" s="64">
        <v>59.39</v>
      </c>
      <c r="N83" s="64">
        <v>31.9</v>
      </c>
      <c r="O83" s="64">
        <v>0</v>
      </c>
      <c r="P83" s="64">
        <v>1.43</v>
      </c>
      <c r="Q83" s="64">
        <v>9.64</v>
      </c>
      <c r="R83" s="198"/>
      <c r="S83" s="198"/>
      <c r="T83" s="198"/>
      <c r="U83" s="198"/>
    </row>
    <row r="84" spans="1:26" s="12" customFormat="1" x14ac:dyDescent="0.25">
      <c r="A84" s="214" t="s">
        <v>706</v>
      </c>
      <c r="B84" s="64">
        <v>19.68</v>
      </c>
      <c r="C84" s="64">
        <v>27.73</v>
      </c>
      <c r="D84" s="64">
        <v>29.81</v>
      </c>
      <c r="E84" s="64">
        <v>6.89</v>
      </c>
      <c r="F84" s="64">
        <v>3.22</v>
      </c>
      <c r="G84" s="64">
        <v>67.3</v>
      </c>
      <c r="H84" s="64">
        <v>26.35</v>
      </c>
      <c r="I84" s="64">
        <v>4.0999999999999996</v>
      </c>
      <c r="J84" s="64">
        <v>0.4</v>
      </c>
      <c r="K84" s="64">
        <v>97.21</v>
      </c>
      <c r="L84" s="64">
        <v>18.72</v>
      </c>
      <c r="M84" s="64">
        <v>55.95</v>
      </c>
      <c r="N84" s="64">
        <v>31.8</v>
      </c>
      <c r="O84" s="64">
        <v>0</v>
      </c>
      <c r="P84" s="64">
        <v>1.57</v>
      </c>
      <c r="Q84" s="64">
        <v>9.65</v>
      </c>
      <c r="R84" s="198"/>
      <c r="S84" s="198"/>
      <c r="T84" s="198"/>
      <c r="U84" s="198"/>
    </row>
    <row r="85" spans="1:26" s="12" customFormat="1" x14ac:dyDescent="0.25">
      <c r="A85" s="214" t="s">
        <v>707</v>
      </c>
      <c r="B85" s="64">
        <v>20.53</v>
      </c>
      <c r="C85" s="64">
        <v>26.1</v>
      </c>
      <c r="D85" s="64">
        <v>29.64</v>
      </c>
      <c r="E85" s="64">
        <v>7.18</v>
      </c>
      <c r="F85" s="64">
        <v>3.41</v>
      </c>
      <c r="G85" s="64">
        <v>75.27</v>
      </c>
      <c r="H85" s="64">
        <v>30.83</v>
      </c>
      <c r="I85" s="64">
        <v>4.32</v>
      </c>
      <c r="J85" s="64">
        <v>0.27</v>
      </c>
      <c r="K85" s="64">
        <v>61.62</v>
      </c>
      <c r="L85" s="64">
        <v>18.73</v>
      </c>
      <c r="M85" s="64">
        <v>54.45</v>
      </c>
      <c r="N85" s="64">
        <v>31.7</v>
      </c>
      <c r="O85" s="64">
        <v>0</v>
      </c>
      <c r="P85" s="64">
        <v>1.48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4" t="s">
        <v>708</v>
      </c>
      <c r="B86" s="64">
        <v>17.32</v>
      </c>
      <c r="C86" s="64">
        <v>27.17</v>
      </c>
      <c r="D86" s="64">
        <v>27.63</v>
      </c>
      <c r="E86" s="64">
        <v>6.97</v>
      </c>
      <c r="F86" s="64">
        <v>4.28</v>
      </c>
      <c r="G86" s="64">
        <v>81.95</v>
      </c>
      <c r="H86" s="64">
        <v>32.479999999999997</v>
      </c>
      <c r="I86" s="64">
        <v>4.8099999999999996</v>
      </c>
      <c r="J86" s="64">
        <v>0.22</v>
      </c>
      <c r="K86" s="64">
        <v>81.89</v>
      </c>
      <c r="L86" s="64">
        <v>18.66</v>
      </c>
      <c r="M86" s="64">
        <v>52.3</v>
      </c>
      <c r="N86" s="64">
        <v>31.7</v>
      </c>
      <c r="O86" s="64">
        <v>0</v>
      </c>
      <c r="P86" s="64">
        <v>1.42</v>
      </c>
      <c r="Q86" s="64">
        <v>9.65</v>
      </c>
      <c r="R86" s="198"/>
      <c r="S86" s="198"/>
      <c r="T86" s="198"/>
      <c r="U86" s="198"/>
    </row>
    <row r="87" spans="1:26" s="12" customFormat="1" x14ac:dyDescent="0.25">
      <c r="A87" s="214" t="s">
        <v>709</v>
      </c>
      <c r="B87" s="64">
        <v>16.63</v>
      </c>
      <c r="C87" s="64">
        <v>26.78</v>
      </c>
      <c r="D87" s="64">
        <v>26.87</v>
      </c>
      <c r="E87" s="64">
        <v>6.58</v>
      </c>
      <c r="F87" s="64">
        <v>4.79</v>
      </c>
      <c r="G87" s="64">
        <v>81.95</v>
      </c>
      <c r="H87" s="64">
        <v>32.479999999999997</v>
      </c>
      <c r="I87" s="64">
        <v>4.67</v>
      </c>
      <c r="J87" s="64">
        <v>0.1</v>
      </c>
      <c r="K87" s="64">
        <v>27.5</v>
      </c>
      <c r="L87" s="64">
        <v>18.510000000000002</v>
      </c>
      <c r="M87" s="64">
        <v>51</v>
      </c>
      <c r="N87" s="64">
        <v>31.6</v>
      </c>
      <c r="O87" s="64">
        <v>0</v>
      </c>
      <c r="P87" s="64">
        <v>1.42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14" t="s">
        <v>710</v>
      </c>
      <c r="B88" s="64">
        <v>15.29</v>
      </c>
      <c r="C88" s="64">
        <v>27.49</v>
      </c>
      <c r="D88" s="64">
        <v>26.16</v>
      </c>
      <c r="E88" s="64">
        <v>6.82</v>
      </c>
      <c r="F88" s="64">
        <v>5.04</v>
      </c>
      <c r="G88" s="64">
        <v>81.95</v>
      </c>
      <c r="H88" s="64">
        <v>32.479999999999997</v>
      </c>
      <c r="I88" s="64">
        <v>4.5999999999999996</v>
      </c>
      <c r="J88" s="64">
        <v>0.24</v>
      </c>
      <c r="K88" s="64">
        <v>93.79</v>
      </c>
      <c r="L88" s="64">
        <v>18.399999999999999</v>
      </c>
      <c r="M88" s="64">
        <v>50.55</v>
      </c>
      <c r="N88" s="64">
        <v>31.8</v>
      </c>
      <c r="O88" s="64">
        <v>0</v>
      </c>
      <c r="P88" s="64">
        <v>1.41</v>
      </c>
      <c r="Q88" s="64">
        <v>9.67</v>
      </c>
      <c r="R88" s="198"/>
      <c r="S88" s="198"/>
      <c r="T88" s="198"/>
      <c r="U88" s="198"/>
    </row>
    <row r="89" spans="1:26" s="12" customFormat="1" x14ac:dyDescent="0.25">
      <c r="A89" s="214" t="s">
        <v>711</v>
      </c>
      <c r="B89" s="64">
        <v>16.75</v>
      </c>
      <c r="C89" s="64">
        <v>25.77</v>
      </c>
      <c r="D89" s="64">
        <v>26.44</v>
      </c>
      <c r="E89" s="64">
        <v>6.54</v>
      </c>
      <c r="F89" s="64">
        <v>4.91</v>
      </c>
      <c r="G89" s="64">
        <v>77.34</v>
      </c>
      <c r="H89" s="64">
        <v>31.5</v>
      </c>
      <c r="I89" s="64">
        <v>4.63</v>
      </c>
      <c r="J89" s="64">
        <v>0.17</v>
      </c>
      <c r="K89" s="64">
        <v>16.920000000000002</v>
      </c>
      <c r="L89" s="64">
        <v>18.329999999999998</v>
      </c>
      <c r="M89" s="64">
        <v>50.79</v>
      </c>
      <c r="N89" s="64">
        <v>31.8</v>
      </c>
      <c r="O89" s="64">
        <v>0</v>
      </c>
      <c r="P89" s="64">
        <v>1.43</v>
      </c>
      <c r="Q89" s="64">
        <v>9.67</v>
      </c>
      <c r="R89" s="198"/>
      <c r="S89" s="198"/>
      <c r="T89" s="198"/>
      <c r="U89" s="198"/>
    </row>
    <row r="90" spans="1:26" s="12" customFormat="1" x14ac:dyDescent="0.25">
      <c r="A90" s="214" t="s">
        <v>712</v>
      </c>
      <c r="B90" s="64">
        <v>21.83</v>
      </c>
      <c r="C90" s="64">
        <v>21.84</v>
      </c>
      <c r="D90" s="64">
        <v>28.46</v>
      </c>
      <c r="E90" s="64">
        <v>6.19</v>
      </c>
      <c r="F90" s="64">
        <v>3.75</v>
      </c>
      <c r="G90" s="64">
        <v>73.48</v>
      </c>
      <c r="H90" s="64">
        <v>31.14</v>
      </c>
      <c r="I90" s="64">
        <v>4.62</v>
      </c>
      <c r="J90" s="64">
        <v>0.21</v>
      </c>
      <c r="K90" s="64">
        <v>64.28</v>
      </c>
      <c r="L90" s="64">
        <v>17.98</v>
      </c>
      <c r="M90" s="64">
        <v>52.26</v>
      </c>
      <c r="N90" s="64">
        <v>32</v>
      </c>
      <c r="O90" s="64">
        <v>0</v>
      </c>
      <c r="P90" s="64">
        <v>1.48</v>
      </c>
      <c r="Q90" s="64">
        <v>9.67</v>
      </c>
      <c r="R90" s="198"/>
      <c r="S90" s="198"/>
      <c r="T90" s="198"/>
      <c r="U90" s="198"/>
    </row>
    <row r="91" spans="1:26" s="12" customFormat="1" x14ac:dyDescent="0.25">
      <c r="A91" s="214" t="s">
        <v>713</v>
      </c>
      <c r="B91" s="64">
        <v>20.55</v>
      </c>
      <c r="C91" s="64">
        <v>19.62</v>
      </c>
      <c r="D91" s="64">
        <v>26.27</v>
      </c>
      <c r="E91" s="64">
        <v>5.95</v>
      </c>
      <c r="F91" s="64">
        <v>2.96</v>
      </c>
      <c r="G91" s="64">
        <v>73.48</v>
      </c>
      <c r="H91" s="64">
        <v>31.14</v>
      </c>
      <c r="I91" s="64">
        <v>4.63</v>
      </c>
      <c r="J91" s="64">
        <v>0.08</v>
      </c>
      <c r="K91" s="64">
        <v>142.09</v>
      </c>
      <c r="L91" s="64">
        <v>17.739999999999998</v>
      </c>
      <c r="M91" s="64">
        <v>53.03</v>
      </c>
      <c r="N91" s="64">
        <v>32</v>
      </c>
      <c r="O91" s="64">
        <v>0</v>
      </c>
      <c r="P91" s="64">
        <v>1.44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4" t="s">
        <v>714</v>
      </c>
      <c r="B92" s="64">
        <v>21.34</v>
      </c>
      <c r="C92" s="64">
        <v>19.29</v>
      </c>
      <c r="D92" s="64">
        <v>26.72</v>
      </c>
      <c r="E92" s="64">
        <v>6.1</v>
      </c>
      <c r="F92" s="64">
        <v>2.94</v>
      </c>
      <c r="G92" s="64">
        <v>73.48</v>
      </c>
      <c r="H92" s="64">
        <v>31.14</v>
      </c>
      <c r="I92" s="64">
        <v>4.67</v>
      </c>
      <c r="J92" s="64">
        <v>7.0000000000000007E-2</v>
      </c>
      <c r="K92" s="64">
        <v>69.52</v>
      </c>
      <c r="L92" s="64">
        <v>17.46</v>
      </c>
      <c r="M92" s="64">
        <v>56.14</v>
      </c>
      <c r="N92" s="64">
        <v>32.1</v>
      </c>
      <c r="O92" s="64">
        <v>0</v>
      </c>
      <c r="P92" s="64">
        <v>1.43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4" t="s">
        <v>715</v>
      </c>
      <c r="B93" s="64">
        <v>22.15</v>
      </c>
      <c r="C93" s="64">
        <v>18.63</v>
      </c>
      <c r="D93" s="64">
        <v>27.04</v>
      </c>
      <c r="E93" s="64">
        <v>5.71</v>
      </c>
      <c r="F93" s="64">
        <v>3.01</v>
      </c>
      <c r="G93" s="64">
        <v>73.8</v>
      </c>
      <c r="H93" s="64">
        <v>31.6</v>
      </c>
      <c r="I93" s="64">
        <v>4.6900000000000004</v>
      </c>
      <c r="J93" s="64">
        <v>0.25</v>
      </c>
      <c r="K93" s="64">
        <v>15</v>
      </c>
      <c r="L93" s="64">
        <v>17.11</v>
      </c>
      <c r="M93" s="64">
        <v>58.94</v>
      </c>
      <c r="N93" s="64">
        <v>32.1</v>
      </c>
      <c r="O93" s="64">
        <v>0</v>
      </c>
      <c r="P93" s="64">
        <v>1.44</v>
      </c>
      <c r="Q93" s="64">
        <v>9.66</v>
      </c>
      <c r="R93" s="198"/>
      <c r="S93" s="198"/>
      <c r="T93" s="198"/>
      <c r="U93" s="198"/>
    </row>
    <row r="94" spans="1:26" s="12" customFormat="1" x14ac:dyDescent="0.25">
      <c r="A94" s="214" t="s">
        <v>716</v>
      </c>
      <c r="B94" s="64">
        <v>23.42</v>
      </c>
      <c r="C94" s="64">
        <v>17.829999999999998</v>
      </c>
      <c r="D94" s="64">
        <v>27.63</v>
      </c>
      <c r="E94" s="64">
        <v>5.54</v>
      </c>
      <c r="F94" s="64">
        <v>2.86</v>
      </c>
      <c r="G94" s="64">
        <v>74.06</v>
      </c>
      <c r="H94" s="64">
        <v>31.92</v>
      </c>
      <c r="I94" s="64">
        <v>4.75</v>
      </c>
      <c r="J94" s="64">
        <v>0.37</v>
      </c>
      <c r="K94" s="64">
        <v>298.45</v>
      </c>
      <c r="L94" s="64">
        <v>16.899999999999999</v>
      </c>
      <c r="M94" s="64">
        <v>61.95</v>
      </c>
      <c r="N94" s="64">
        <v>31.8</v>
      </c>
      <c r="O94" s="64">
        <v>0</v>
      </c>
      <c r="P94" s="64">
        <v>1.47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4" t="s">
        <v>717</v>
      </c>
      <c r="B95" s="64">
        <v>24.31</v>
      </c>
      <c r="C95" s="64">
        <v>17.350000000000001</v>
      </c>
      <c r="D95" s="64">
        <v>28.1</v>
      </c>
      <c r="E95" s="64">
        <v>5.48</v>
      </c>
      <c r="F95" s="64">
        <v>2.66</v>
      </c>
      <c r="G95" s="64">
        <v>74.06</v>
      </c>
      <c r="H95" s="64">
        <v>31.92</v>
      </c>
      <c r="I95" s="64">
        <v>4.83</v>
      </c>
      <c r="J95" s="64">
        <v>0.37</v>
      </c>
      <c r="K95" s="64">
        <v>338.92</v>
      </c>
      <c r="L95" s="64">
        <v>16.670000000000002</v>
      </c>
      <c r="M95" s="64">
        <v>62.19</v>
      </c>
      <c r="N95" s="64">
        <v>31.9</v>
      </c>
      <c r="O95" s="64">
        <v>0</v>
      </c>
      <c r="P95" s="64">
        <v>1.48</v>
      </c>
      <c r="Q95" s="64">
        <v>9.65</v>
      </c>
      <c r="R95" s="198"/>
      <c r="S95" s="198"/>
      <c r="T95" s="198"/>
      <c r="U95" s="198"/>
    </row>
    <row r="96" spans="1:26" s="12" customFormat="1" x14ac:dyDescent="0.25">
      <c r="A96" s="214" t="s">
        <v>718</v>
      </c>
      <c r="B96" s="64">
        <v>25.57</v>
      </c>
      <c r="C96" s="64">
        <v>16.79</v>
      </c>
      <c r="D96" s="64">
        <v>28.82</v>
      </c>
      <c r="E96" s="64">
        <v>5.47</v>
      </c>
      <c r="F96" s="64">
        <v>3</v>
      </c>
      <c r="G96" s="64">
        <v>74.06</v>
      </c>
      <c r="H96" s="64">
        <v>31.92</v>
      </c>
      <c r="I96" s="64">
        <v>4.87</v>
      </c>
      <c r="J96" s="64">
        <v>0.26</v>
      </c>
      <c r="K96" s="64">
        <v>333.56</v>
      </c>
      <c r="L96" s="64">
        <v>16.66</v>
      </c>
      <c r="M96" s="64">
        <v>57.82</v>
      </c>
      <c r="N96" s="64">
        <v>31.9</v>
      </c>
      <c r="O96" s="64">
        <v>0</v>
      </c>
      <c r="P96" s="64">
        <v>1.5</v>
      </c>
      <c r="Q96" s="64">
        <v>9.66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719</v>
      </c>
      <c r="B97" s="64">
        <v>26.88</v>
      </c>
      <c r="C97" s="64">
        <v>16.25</v>
      </c>
      <c r="D97" s="64">
        <v>29.59</v>
      </c>
      <c r="E97" s="64">
        <v>5.75</v>
      </c>
      <c r="F97" s="64">
        <v>2.87</v>
      </c>
      <c r="G97" s="64">
        <v>71.680000000000007</v>
      </c>
      <c r="H97" s="64">
        <v>31.2</v>
      </c>
      <c r="I97" s="64">
        <v>4.91</v>
      </c>
      <c r="J97" s="64">
        <v>0.28999999999999998</v>
      </c>
      <c r="K97" s="64">
        <v>313.64</v>
      </c>
      <c r="L97" s="64">
        <v>16.75</v>
      </c>
      <c r="M97" s="64">
        <v>55.48</v>
      </c>
      <c r="N97" s="64">
        <v>31.7</v>
      </c>
      <c r="O97" s="64">
        <v>0</v>
      </c>
      <c r="P97" s="64">
        <v>1.52</v>
      </c>
      <c r="Q97" s="64">
        <v>9.67</v>
      </c>
      <c r="R97" s="198"/>
      <c r="S97" s="198"/>
      <c r="T97" s="198"/>
      <c r="U97" s="198"/>
    </row>
    <row r="98" spans="1:33" s="12" customFormat="1" x14ac:dyDescent="0.25">
      <c r="A98" s="214" t="s">
        <v>720</v>
      </c>
      <c r="B98" s="64">
        <v>27.66</v>
      </c>
      <c r="C98" s="64">
        <v>15.8</v>
      </c>
      <c r="D98" s="64">
        <v>29.98</v>
      </c>
      <c r="E98" s="64">
        <v>5.64</v>
      </c>
      <c r="F98" s="64">
        <v>2.95</v>
      </c>
      <c r="G98" s="64">
        <v>69.680000000000007</v>
      </c>
      <c r="H98" s="64">
        <v>30.94</v>
      </c>
      <c r="I98" s="64">
        <v>4.95</v>
      </c>
      <c r="J98" s="64">
        <v>0.37</v>
      </c>
      <c r="K98" s="64">
        <v>333.16</v>
      </c>
      <c r="L98" s="64">
        <v>16.64</v>
      </c>
      <c r="M98" s="64">
        <v>56.14</v>
      </c>
      <c r="N98" s="64">
        <v>31.8</v>
      </c>
      <c r="O98" s="64">
        <v>0</v>
      </c>
      <c r="P98" s="64">
        <v>1.52</v>
      </c>
      <c r="Q98" s="64">
        <v>9.67</v>
      </c>
      <c r="R98" s="198"/>
      <c r="S98" s="198"/>
      <c r="T98" s="198"/>
      <c r="U98" s="198"/>
    </row>
    <row r="99" spans="1:33" s="12" customFormat="1" x14ac:dyDescent="0.25">
      <c r="A99" s="214" t="s">
        <v>721</v>
      </c>
      <c r="B99" s="64">
        <v>28.46</v>
      </c>
      <c r="C99" s="64">
        <v>15.46</v>
      </c>
      <c r="D99" s="64">
        <v>30.44</v>
      </c>
      <c r="E99" s="64">
        <v>5.82</v>
      </c>
      <c r="F99" s="64">
        <v>2.92</v>
      </c>
      <c r="G99" s="64">
        <v>69.680000000000007</v>
      </c>
      <c r="H99" s="64">
        <v>30.94</v>
      </c>
      <c r="I99" s="64">
        <v>4.9400000000000004</v>
      </c>
      <c r="J99" s="64">
        <v>0.18</v>
      </c>
      <c r="K99" s="64">
        <v>20.6</v>
      </c>
      <c r="L99" s="64">
        <v>16.43</v>
      </c>
      <c r="M99" s="64">
        <v>56.78</v>
      </c>
      <c r="N99" s="64">
        <v>31.9</v>
      </c>
      <c r="O99" s="64">
        <v>0</v>
      </c>
      <c r="P99" s="64">
        <v>1.52</v>
      </c>
      <c r="Q99" s="64">
        <v>9.66</v>
      </c>
      <c r="R99" s="198"/>
      <c r="S99" s="198"/>
      <c r="T99" s="198"/>
      <c r="U99" s="198"/>
    </row>
    <row r="100" spans="1:33" s="12" customFormat="1" x14ac:dyDescent="0.25">
      <c r="A100" s="214" t="s">
        <v>722</v>
      </c>
      <c r="B100" s="64">
        <v>29.61</v>
      </c>
      <c r="C100" s="64">
        <v>14.88</v>
      </c>
      <c r="D100" s="64">
        <v>31.06</v>
      </c>
      <c r="E100" s="64">
        <v>5.52</v>
      </c>
      <c r="F100" s="64">
        <v>2.5</v>
      </c>
      <c r="G100" s="64">
        <v>69.680000000000007</v>
      </c>
      <c r="H100" s="64">
        <v>30.94</v>
      </c>
      <c r="I100" s="64">
        <v>4.91</v>
      </c>
      <c r="J100" s="64">
        <v>0.19</v>
      </c>
      <c r="K100" s="64">
        <v>110.96</v>
      </c>
      <c r="L100" s="64">
        <v>16.34</v>
      </c>
      <c r="M100" s="64">
        <v>56.31</v>
      </c>
      <c r="N100" s="64">
        <v>31.8</v>
      </c>
      <c r="O100" s="64">
        <v>0</v>
      </c>
      <c r="P100" s="64">
        <v>1.5</v>
      </c>
      <c r="Q100" s="64">
        <v>9.66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723</v>
      </c>
      <c r="B101" s="64">
        <v>29.61</v>
      </c>
      <c r="C101" s="64">
        <v>14.16</v>
      </c>
      <c r="D101" s="64">
        <v>30.68</v>
      </c>
      <c r="E101" s="64">
        <v>5.46</v>
      </c>
      <c r="F101" s="64">
        <v>2.54</v>
      </c>
      <c r="G101" s="64">
        <v>71.48</v>
      </c>
      <c r="H101" s="64">
        <v>31.94</v>
      </c>
      <c r="I101" s="64">
        <v>4.8899999999999997</v>
      </c>
      <c r="J101" s="64">
        <v>0.27</v>
      </c>
      <c r="K101" s="64">
        <v>337.21</v>
      </c>
      <c r="L101" s="64">
        <v>16.239999999999998</v>
      </c>
      <c r="M101" s="64">
        <v>57.48</v>
      </c>
      <c r="N101" s="64">
        <v>32</v>
      </c>
      <c r="O101" s="64">
        <v>0</v>
      </c>
      <c r="P101" s="64">
        <v>1.48</v>
      </c>
      <c r="Q101" s="64">
        <v>9.67</v>
      </c>
      <c r="R101" s="198"/>
      <c r="S101" s="198"/>
      <c r="T101" s="198"/>
      <c r="U101" s="198"/>
    </row>
    <row r="102" spans="1:33" s="12" customFormat="1" x14ac:dyDescent="0.25">
      <c r="A102" s="214" t="s">
        <v>724</v>
      </c>
      <c r="B102" s="64">
        <v>28.96</v>
      </c>
      <c r="C102" s="64">
        <v>14.46</v>
      </c>
      <c r="D102" s="64">
        <v>30.32</v>
      </c>
      <c r="E102" s="64">
        <v>5.52</v>
      </c>
      <c r="F102" s="64">
        <v>2.4700000000000002</v>
      </c>
      <c r="G102" s="64">
        <v>72.98</v>
      </c>
      <c r="H102" s="64">
        <v>32.31</v>
      </c>
      <c r="I102" s="64">
        <v>5.21</v>
      </c>
      <c r="J102" s="64">
        <v>0.26</v>
      </c>
      <c r="K102" s="64">
        <v>345.24</v>
      </c>
      <c r="L102" s="64">
        <v>15.98</v>
      </c>
      <c r="M102" s="64">
        <v>58.56</v>
      </c>
      <c r="N102" s="64">
        <v>32.1</v>
      </c>
      <c r="O102" s="64">
        <v>0</v>
      </c>
      <c r="P102" s="64">
        <v>1.46</v>
      </c>
      <c r="Q102" s="64">
        <v>9.69</v>
      </c>
      <c r="R102" s="198"/>
      <c r="S102" s="198"/>
      <c r="T102" s="198"/>
      <c r="U102" s="198"/>
    </row>
    <row r="103" spans="1:33" s="12" customFormat="1" x14ac:dyDescent="0.25">
      <c r="A103" s="214" t="s">
        <v>725</v>
      </c>
      <c r="B103" s="64">
        <v>28.3</v>
      </c>
      <c r="C103" s="64">
        <v>14.79</v>
      </c>
      <c r="D103" s="64">
        <v>29.96</v>
      </c>
      <c r="E103" s="64">
        <v>5.28</v>
      </c>
      <c r="F103" s="64">
        <v>2.2999999999999998</v>
      </c>
      <c r="G103" s="64">
        <v>72.98</v>
      </c>
      <c r="H103" s="64">
        <v>32.31</v>
      </c>
      <c r="I103" s="64">
        <v>5.35</v>
      </c>
      <c r="J103" s="64">
        <v>0.15</v>
      </c>
      <c r="K103" s="64">
        <v>227.31</v>
      </c>
      <c r="L103" s="64">
        <v>15.73</v>
      </c>
      <c r="M103" s="64">
        <v>63.65</v>
      </c>
      <c r="N103" s="64">
        <v>32</v>
      </c>
      <c r="O103" s="64">
        <v>0</v>
      </c>
      <c r="P103" s="64">
        <v>1.46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4" t="s">
        <v>726</v>
      </c>
      <c r="B104" s="64">
        <v>27.57</v>
      </c>
      <c r="C104" s="64">
        <v>15.08</v>
      </c>
      <c r="D104" s="64">
        <v>29.52</v>
      </c>
      <c r="E104" s="64">
        <v>3.71</v>
      </c>
      <c r="F104" s="64">
        <v>2.5299999999999998</v>
      </c>
      <c r="G104" s="64">
        <v>72.98</v>
      </c>
      <c r="H104" s="64">
        <v>32.31</v>
      </c>
      <c r="I104" s="64">
        <v>4.93</v>
      </c>
      <c r="J104" s="64">
        <v>0.19</v>
      </c>
      <c r="K104" s="64">
        <v>298.64999999999998</v>
      </c>
      <c r="L104" s="64">
        <v>15.71</v>
      </c>
      <c r="M104" s="64">
        <v>61.26</v>
      </c>
      <c r="N104" s="64">
        <v>31.6</v>
      </c>
      <c r="O104" s="64">
        <v>0</v>
      </c>
      <c r="P104" s="64">
        <v>1.46</v>
      </c>
      <c r="Q104" s="64">
        <v>9.67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8.6999999999999993</v>
      </c>
      <c r="C106" s="67">
        <f>MIN(C9:C104)</f>
        <v>11.39</v>
      </c>
      <c r="D106" s="67">
        <f t="shared" ref="D106:Q106" si="0">MIN(D9:D104)</f>
        <v>18.66</v>
      </c>
      <c r="E106" s="67">
        <f t="shared" si="0"/>
        <v>3.71</v>
      </c>
      <c r="F106" s="67">
        <f t="shared" si="0"/>
        <v>2.2400000000000002</v>
      </c>
      <c r="G106" s="67">
        <f t="shared" si="0"/>
        <v>50.05</v>
      </c>
      <c r="H106" s="67">
        <f t="shared" si="0"/>
        <v>20.89</v>
      </c>
      <c r="I106" s="67">
        <f t="shared" si="0"/>
        <v>2.77</v>
      </c>
      <c r="J106" s="67">
        <f t="shared" si="0"/>
        <v>7.0000000000000007E-2</v>
      </c>
      <c r="K106" s="67">
        <f t="shared" si="0"/>
        <v>3.37</v>
      </c>
      <c r="L106" s="67">
        <f t="shared" si="0"/>
        <v>13.33</v>
      </c>
      <c r="M106" s="67">
        <f t="shared" si="0"/>
        <v>29.12</v>
      </c>
      <c r="N106" s="67">
        <f t="shared" si="0"/>
        <v>31.5</v>
      </c>
      <c r="O106" s="67">
        <f t="shared" si="0"/>
        <v>0</v>
      </c>
      <c r="P106" s="67">
        <f t="shared" si="0"/>
        <v>0.76</v>
      </c>
      <c r="Q106" s="67">
        <f t="shared" si="0"/>
        <v>9.6300000000000008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33.35</v>
      </c>
      <c r="C107" s="66">
        <f t="shared" ref="C107:Q107" si="1">MAX(C9:C104)</f>
        <v>31.02</v>
      </c>
      <c r="D107" s="66">
        <f t="shared" si="1"/>
        <v>32.229999999999997</v>
      </c>
      <c r="E107" s="66">
        <f t="shared" si="1"/>
        <v>18.059999999999999</v>
      </c>
      <c r="F107" s="66">
        <f t="shared" si="1"/>
        <v>14.42</v>
      </c>
      <c r="G107" s="66">
        <f t="shared" si="1"/>
        <v>81.95</v>
      </c>
      <c r="H107" s="66">
        <f t="shared" si="1"/>
        <v>33.31</v>
      </c>
      <c r="I107" s="66">
        <f t="shared" si="1"/>
        <v>5.53</v>
      </c>
      <c r="J107" s="66">
        <f t="shared" si="1"/>
        <v>1.52</v>
      </c>
      <c r="K107" s="66">
        <f t="shared" si="1"/>
        <v>351.2</v>
      </c>
      <c r="L107" s="66">
        <f t="shared" si="1"/>
        <v>27.44</v>
      </c>
      <c r="M107" s="66">
        <f t="shared" si="1"/>
        <v>92.21</v>
      </c>
      <c r="N107" s="66">
        <f t="shared" si="1"/>
        <v>529.6</v>
      </c>
      <c r="O107" s="66">
        <f t="shared" si="1"/>
        <v>0</v>
      </c>
      <c r="P107" s="66">
        <f t="shared" si="1"/>
        <v>1.57</v>
      </c>
      <c r="Q107" s="66">
        <f t="shared" si="1"/>
        <v>9.69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19.175208333333334</v>
      </c>
      <c r="C108" s="67">
        <f t="shared" ref="C108:Q108" si="2">AVERAGE(C9:C104)</f>
        <v>20.122291666666666</v>
      </c>
      <c r="D108" s="67">
        <f t="shared" si="2"/>
        <v>25.421770833333341</v>
      </c>
      <c r="E108" s="67">
        <f t="shared" si="2"/>
        <v>6.4676041666666686</v>
      </c>
      <c r="F108" s="67">
        <f t="shared" si="2"/>
        <v>3.8214583333333341</v>
      </c>
      <c r="G108" s="67">
        <f t="shared" si="2"/>
        <v>65.334375000000009</v>
      </c>
      <c r="H108" s="67">
        <f t="shared" si="2"/>
        <v>28.482187499999998</v>
      </c>
      <c r="I108" s="67">
        <f t="shared" si="2"/>
        <v>3.8620833333333331</v>
      </c>
      <c r="J108" s="67">
        <f t="shared" si="2"/>
        <v>0.44468749999999996</v>
      </c>
      <c r="K108" s="67">
        <f t="shared" si="2"/>
        <v>217.92541666666662</v>
      </c>
      <c r="L108" s="67">
        <f t="shared" si="2"/>
        <v>19.205625000000008</v>
      </c>
      <c r="M108" s="67">
        <f t="shared" si="2"/>
        <v>56.12739583333331</v>
      </c>
      <c r="N108" s="67">
        <f t="shared" si="2"/>
        <v>147.11354166666669</v>
      </c>
      <c r="O108" s="67">
        <f t="shared" si="2"/>
        <v>0</v>
      </c>
      <c r="P108" s="67">
        <f t="shared" si="2"/>
        <v>1.1182291666666668</v>
      </c>
      <c r="Q108" s="67">
        <f t="shared" si="2"/>
        <v>9.6505208333333243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5.9664004804389741</v>
      </c>
      <c r="C109" s="67">
        <f t="shared" ref="C109:Q109" si="3">STDEV(C9:C104)</f>
        <v>5.1924656913782723</v>
      </c>
      <c r="D109" s="67">
        <f t="shared" si="3"/>
        <v>3.0775133484823942</v>
      </c>
      <c r="E109" s="67">
        <f t="shared" si="3"/>
        <v>2.6684427726935263</v>
      </c>
      <c r="F109" s="67">
        <f t="shared" si="3"/>
        <v>2.2321332629367729</v>
      </c>
      <c r="G109" s="67">
        <f t="shared" si="3"/>
        <v>8.611955925828946</v>
      </c>
      <c r="H109" s="67">
        <f t="shared" si="3"/>
        <v>3.8199350237310146</v>
      </c>
      <c r="I109" s="67">
        <f t="shared" si="3"/>
        <v>0.75525236864963197</v>
      </c>
      <c r="J109" s="67">
        <f t="shared" si="3"/>
        <v>0.29834968224339842</v>
      </c>
      <c r="K109" s="67">
        <f t="shared" si="3"/>
        <v>135.6161602070278</v>
      </c>
      <c r="L109" s="67">
        <f t="shared" si="3"/>
        <v>4.4568881786333661</v>
      </c>
      <c r="M109" s="67">
        <f t="shared" si="3"/>
        <v>18.69084032606084</v>
      </c>
      <c r="N109" s="67">
        <f t="shared" si="3"/>
        <v>180.755897986202</v>
      </c>
      <c r="O109" s="67">
        <f t="shared" si="3"/>
        <v>0</v>
      </c>
      <c r="P109" s="67">
        <f t="shared" si="3"/>
        <v>0.26172301466151032</v>
      </c>
      <c r="Q109" s="67">
        <f t="shared" si="3"/>
        <v>1.4823153415956173E-2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7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3" sqref="F11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727</v>
      </c>
      <c r="B9" s="64">
        <v>27.06</v>
      </c>
      <c r="C9" s="64">
        <v>15.16</v>
      </c>
      <c r="D9" s="64">
        <v>29.16</v>
      </c>
      <c r="E9" s="64">
        <v>4.6500000000000004</v>
      </c>
      <c r="F9" s="64">
        <v>2.78</v>
      </c>
      <c r="G9" s="64">
        <v>74.510000000000005</v>
      </c>
      <c r="H9" s="64">
        <v>33.659999999999997</v>
      </c>
      <c r="I9" s="64">
        <v>4.75</v>
      </c>
      <c r="J9" s="64">
        <v>0.64</v>
      </c>
      <c r="K9" s="64">
        <v>334.43</v>
      </c>
      <c r="L9" s="64">
        <v>15.53</v>
      </c>
      <c r="M9" s="64">
        <v>65.45</v>
      </c>
      <c r="N9" s="64">
        <v>32.1</v>
      </c>
      <c r="O9" s="64">
        <v>0</v>
      </c>
      <c r="P9" s="64">
        <v>1.44</v>
      </c>
      <c r="Q9" s="64">
        <v>9.67</v>
      </c>
      <c r="R9" s="198"/>
      <c r="S9" s="198"/>
      <c r="T9" s="198"/>
      <c r="U9" s="198"/>
    </row>
    <row r="10" spans="1:21" s="12" customFormat="1" x14ac:dyDescent="0.25">
      <c r="A10" s="214" t="s">
        <v>728</v>
      </c>
      <c r="B10" s="64">
        <v>26.8</v>
      </c>
      <c r="C10" s="64">
        <v>14.88</v>
      </c>
      <c r="D10" s="64">
        <v>28.81</v>
      </c>
      <c r="E10" s="64">
        <v>4.46</v>
      </c>
      <c r="F10" s="64">
        <v>2.95</v>
      </c>
      <c r="G10" s="64">
        <v>75.78</v>
      </c>
      <c r="H10" s="64">
        <v>34.15</v>
      </c>
      <c r="I10" s="64">
        <v>4.68</v>
      </c>
      <c r="J10" s="64">
        <v>0.37</v>
      </c>
      <c r="K10" s="64">
        <v>343.69</v>
      </c>
      <c r="L10" s="64">
        <v>15.03</v>
      </c>
      <c r="M10" s="64">
        <v>67.59</v>
      </c>
      <c r="N10" s="64">
        <v>31.9</v>
      </c>
      <c r="O10" s="64">
        <v>0</v>
      </c>
      <c r="P10" s="64">
        <v>1.44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4" t="s">
        <v>729</v>
      </c>
      <c r="B11" s="64">
        <v>26.16</v>
      </c>
      <c r="C11" s="64">
        <v>14.89</v>
      </c>
      <c r="D11" s="64">
        <v>28.3</v>
      </c>
      <c r="E11" s="64">
        <v>4.88</v>
      </c>
      <c r="F11" s="64">
        <v>2.78</v>
      </c>
      <c r="G11" s="64">
        <v>75.78</v>
      </c>
      <c r="H11" s="64">
        <v>34.15</v>
      </c>
      <c r="I11" s="64">
        <v>4.6399999999999997</v>
      </c>
      <c r="J11" s="64">
        <v>0.2</v>
      </c>
      <c r="K11" s="64">
        <v>91.74</v>
      </c>
      <c r="L11" s="64">
        <v>15.22</v>
      </c>
      <c r="M11" s="64">
        <v>63.21</v>
      </c>
      <c r="N11" s="64">
        <v>31.7</v>
      </c>
      <c r="O11" s="64">
        <v>0</v>
      </c>
      <c r="P11" s="64">
        <v>1.41</v>
      </c>
      <c r="Q11" s="64">
        <v>9.67</v>
      </c>
      <c r="R11" s="198"/>
      <c r="S11" s="198"/>
      <c r="T11" s="198"/>
      <c r="U11" s="198"/>
    </row>
    <row r="12" spans="1:21" s="12" customFormat="1" x14ac:dyDescent="0.25">
      <c r="A12" s="214" t="s">
        <v>730</v>
      </c>
      <c r="B12" s="64">
        <v>25.27</v>
      </c>
      <c r="C12" s="64">
        <v>15.16</v>
      </c>
      <c r="D12" s="64">
        <v>27.72</v>
      </c>
      <c r="E12" s="64">
        <v>4.5599999999999996</v>
      </c>
      <c r="F12" s="64">
        <v>2.67</v>
      </c>
      <c r="G12" s="64">
        <v>75.78</v>
      </c>
      <c r="H12" s="64">
        <v>34.15</v>
      </c>
      <c r="I12" s="64">
        <v>4.93</v>
      </c>
      <c r="J12" s="64">
        <v>0.27</v>
      </c>
      <c r="K12" s="64">
        <v>97.43</v>
      </c>
      <c r="L12" s="64">
        <v>14.74</v>
      </c>
      <c r="M12" s="64">
        <v>65.17</v>
      </c>
      <c r="N12" s="64">
        <v>31.7</v>
      </c>
      <c r="O12" s="64">
        <v>0</v>
      </c>
      <c r="P12" s="64">
        <v>1.39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4" t="s">
        <v>731</v>
      </c>
      <c r="B13" s="64">
        <v>24.3</v>
      </c>
      <c r="C13" s="64">
        <v>15.36</v>
      </c>
      <c r="D13" s="64">
        <v>27.05</v>
      </c>
      <c r="E13" s="64">
        <v>4.79</v>
      </c>
      <c r="F13" s="64">
        <v>2.83</v>
      </c>
      <c r="G13" s="64">
        <v>73.39</v>
      </c>
      <c r="H13" s="64">
        <v>32.68</v>
      </c>
      <c r="I13" s="64">
        <v>4.6500000000000004</v>
      </c>
      <c r="J13" s="64">
        <v>0.19</v>
      </c>
      <c r="K13" s="64">
        <v>118.85</v>
      </c>
      <c r="L13" s="64">
        <v>14.81</v>
      </c>
      <c r="M13" s="64">
        <v>63.83</v>
      </c>
      <c r="N13" s="64">
        <v>31.7</v>
      </c>
      <c r="O13" s="64">
        <v>0</v>
      </c>
      <c r="P13" s="64">
        <v>1.28</v>
      </c>
      <c r="Q13" s="64">
        <v>9.67</v>
      </c>
      <c r="R13" s="198"/>
      <c r="S13" s="198"/>
      <c r="T13" s="198"/>
      <c r="U13" s="198"/>
    </row>
    <row r="14" spans="1:21" s="12" customFormat="1" x14ac:dyDescent="0.25">
      <c r="A14" s="214" t="s">
        <v>732</v>
      </c>
      <c r="B14" s="64">
        <v>23.29</v>
      </c>
      <c r="C14" s="64">
        <v>15.39</v>
      </c>
      <c r="D14" s="64">
        <v>26.25</v>
      </c>
      <c r="E14" s="64">
        <v>4.67</v>
      </c>
      <c r="F14" s="64">
        <v>3.02</v>
      </c>
      <c r="G14" s="64">
        <v>71.38</v>
      </c>
      <c r="H14" s="64">
        <v>31.57</v>
      </c>
      <c r="I14" s="64">
        <v>4.4800000000000004</v>
      </c>
      <c r="J14" s="64">
        <v>0.13</v>
      </c>
      <c r="K14" s="64">
        <v>310.43</v>
      </c>
      <c r="L14" s="64">
        <v>14.79</v>
      </c>
      <c r="M14" s="64">
        <v>61.7</v>
      </c>
      <c r="N14" s="64">
        <v>31.8</v>
      </c>
      <c r="O14" s="64">
        <v>0</v>
      </c>
      <c r="P14" s="64">
        <v>1.27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4" t="s">
        <v>733</v>
      </c>
      <c r="B15" s="64">
        <v>22.15</v>
      </c>
      <c r="C15" s="64">
        <v>15.66</v>
      </c>
      <c r="D15" s="64">
        <v>25.49</v>
      </c>
      <c r="E15" s="64">
        <v>4.79</v>
      </c>
      <c r="F15" s="64">
        <v>2.98</v>
      </c>
      <c r="G15" s="64">
        <v>71.38</v>
      </c>
      <c r="H15" s="64">
        <v>31.57</v>
      </c>
      <c r="I15" s="64">
        <v>4.38</v>
      </c>
      <c r="J15" s="64">
        <v>0.14000000000000001</v>
      </c>
      <c r="K15" s="64">
        <v>26.88</v>
      </c>
      <c r="L15" s="64">
        <v>14.71</v>
      </c>
      <c r="M15" s="64">
        <v>59.77</v>
      </c>
      <c r="N15" s="64">
        <v>31.7</v>
      </c>
      <c r="O15" s="64">
        <v>0</v>
      </c>
      <c r="P15" s="64">
        <v>1.22</v>
      </c>
      <c r="Q15" s="64">
        <v>9.66</v>
      </c>
      <c r="R15" s="198"/>
      <c r="S15" s="198"/>
      <c r="T15" s="198"/>
      <c r="U15" s="198"/>
    </row>
    <row r="16" spans="1:21" s="12" customFormat="1" x14ac:dyDescent="0.25">
      <c r="A16" s="214" t="s">
        <v>734</v>
      </c>
      <c r="B16" s="64">
        <v>21.02</v>
      </c>
      <c r="C16" s="64">
        <v>16.059999999999999</v>
      </c>
      <c r="D16" s="64">
        <v>24.79</v>
      </c>
      <c r="E16" s="64">
        <v>4.4000000000000004</v>
      </c>
      <c r="F16" s="64">
        <v>2.94</v>
      </c>
      <c r="G16" s="64">
        <v>71.38</v>
      </c>
      <c r="H16" s="64">
        <v>31.57</v>
      </c>
      <c r="I16" s="64">
        <v>4.28</v>
      </c>
      <c r="J16" s="64">
        <v>0.35</v>
      </c>
      <c r="K16" s="64">
        <v>350.32</v>
      </c>
      <c r="L16" s="64">
        <v>14.56</v>
      </c>
      <c r="M16" s="64">
        <v>61.47</v>
      </c>
      <c r="N16" s="64">
        <v>31.7</v>
      </c>
      <c r="O16" s="64">
        <v>0</v>
      </c>
      <c r="P16" s="64">
        <v>1.17</v>
      </c>
      <c r="Q16" s="64">
        <v>9.66</v>
      </c>
      <c r="R16" s="198"/>
      <c r="S16" s="198"/>
      <c r="T16" s="198"/>
      <c r="U16" s="198"/>
    </row>
    <row r="17" spans="1:21" s="12" customFormat="1" x14ac:dyDescent="0.25">
      <c r="A17" s="214" t="s">
        <v>735</v>
      </c>
      <c r="B17" s="64">
        <v>19.96</v>
      </c>
      <c r="C17" s="64">
        <v>16.29</v>
      </c>
      <c r="D17" s="64">
        <v>24.06</v>
      </c>
      <c r="E17" s="64">
        <v>4.1399999999999997</v>
      </c>
      <c r="F17" s="64">
        <v>2.88</v>
      </c>
      <c r="G17" s="64">
        <v>67.77</v>
      </c>
      <c r="H17" s="64">
        <v>29.52</v>
      </c>
      <c r="I17" s="64">
        <v>4.17</v>
      </c>
      <c r="J17" s="64">
        <v>0.5</v>
      </c>
      <c r="K17" s="64">
        <v>340.8</v>
      </c>
      <c r="L17" s="64">
        <v>14.5</v>
      </c>
      <c r="M17" s="64">
        <v>60.71</v>
      </c>
      <c r="N17" s="64">
        <v>31.5</v>
      </c>
      <c r="O17" s="64">
        <v>0</v>
      </c>
      <c r="P17" s="64">
        <v>1.1299999999999999</v>
      </c>
      <c r="Q17" s="64">
        <v>9.66</v>
      </c>
      <c r="R17" s="198"/>
      <c r="S17" s="198"/>
      <c r="T17" s="198"/>
      <c r="U17" s="198"/>
    </row>
    <row r="18" spans="1:21" s="12" customFormat="1" x14ac:dyDescent="0.25">
      <c r="A18" s="214" t="s">
        <v>736</v>
      </c>
      <c r="B18" s="64">
        <v>19.010000000000002</v>
      </c>
      <c r="C18" s="64">
        <v>16.55</v>
      </c>
      <c r="D18" s="64">
        <v>23.44</v>
      </c>
      <c r="E18" s="64">
        <v>4.2</v>
      </c>
      <c r="F18" s="64">
        <v>2.7</v>
      </c>
      <c r="G18" s="64">
        <v>64.75</v>
      </c>
      <c r="H18" s="64">
        <v>28.73</v>
      </c>
      <c r="I18" s="64">
        <v>4.07</v>
      </c>
      <c r="J18" s="64">
        <v>0.5</v>
      </c>
      <c r="K18" s="64">
        <v>342.29</v>
      </c>
      <c r="L18" s="64">
        <v>14.4</v>
      </c>
      <c r="M18" s="64">
        <v>59.56</v>
      </c>
      <c r="N18" s="64">
        <v>31.7</v>
      </c>
      <c r="O18" s="64">
        <v>0</v>
      </c>
      <c r="P18" s="64">
        <v>1.1000000000000001</v>
      </c>
      <c r="Q18" s="64">
        <v>9.65</v>
      </c>
      <c r="R18" s="198"/>
      <c r="S18" s="198"/>
      <c r="T18" s="198"/>
      <c r="U18" s="198"/>
    </row>
    <row r="19" spans="1:21" s="12" customFormat="1" x14ac:dyDescent="0.25">
      <c r="A19" s="214" t="s">
        <v>737</v>
      </c>
      <c r="B19" s="64">
        <v>18.260000000000002</v>
      </c>
      <c r="C19" s="64">
        <v>16.920000000000002</v>
      </c>
      <c r="D19" s="64">
        <v>23.02</v>
      </c>
      <c r="E19" s="64">
        <v>4.43</v>
      </c>
      <c r="F19" s="64">
        <v>2.76</v>
      </c>
      <c r="G19" s="64">
        <v>64.75</v>
      </c>
      <c r="H19" s="64">
        <v>28.73</v>
      </c>
      <c r="I19" s="64">
        <v>4</v>
      </c>
      <c r="J19" s="64">
        <v>0.57999999999999996</v>
      </c>
      <c r="K19" s="64">
        <v>350.96</v>
      </c>
      <c r="L19" s="64">
        <v>14.44</v>
      </c>
      <c r="M19" s="64">
        <v>58.61</v>
      </c>
      <c r="N19" s="64">
        <v>31.7</v>
      </c>
      <c r="O19" s="64">
        <v>0</v>
      </c>
      <c r="P19" s="64">
        <v>1.07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4" t="s">
        <v>738</v>
      </c>
      <c r="B20" s="64">
        <v>17.38</v>
      </c>
      <c r="C20" s="64">
        <v>17.350000000000001</v>
      </c>
      <c r="D20" s="64">
        <v>22.54</v>
      </c>
      <c r="E20" s="64">
        <v>4.41</v>
      </c>
      <c r="F20" s="64">
        <v>2.76</v>
      </c>
      <c r="G20" s="64">
        <v>64.75</v>
      </c>
      <c r="H20" s="64">
        <v>28.73</v>
      </c>
      <c r="I20" s="64">
        <v>3.94</v>
      </c>
      <c r="J20" s="64">
        <v>0.73</v>
      </c>
      <c r="K20" s="64">
        <v>348.78</v>
      </c>
      <c r="L20" s="64">
        <v>14.39</v>
      </c>
      <c r="M20" s="64">
        <v>60.21</v>
      </c>
      <c r="N20" s="64">
        <v>31.6</v>
      </c>
      <c r="O20" s="64">
        <v>0</v>
      </c>
      <c r="P20" s="64">
        <v>1.03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739</v>
      </c>
      <c r="B21" s="64">
        <v>16.59</v>
      </c>
      <c r="C21" s="64">
        <v>17.7</v>
      </c>
      <c r="D21" s="64">
        <v>22.09</v>
      </c>
      <c r="E21" s="64">
        <v>4.6500000000000004</v>
      </c>
      <c r="F21" s="64">
        <v>2.68</v>
      </c>
      <c r="G21" s="64">
        <v>63.27</v>
      </c>
      <c r="H21" s="64">
        <v>29.37</v>
      </c>
      <c r="I21" s="64">
        <v>3.89</v>
      </c>
      <c r="J21" s="64">
        <v>0.44</v>
      </c>
      <c r="K21" s="64">
        <v>340.85</v>
      </c>
      <c r="L21" s="64">
        <v>14.24</v>
      </c>
      <c r="M21" s="64">
        <v>62.16</v>
      </c>
      <c r="N21" s="64">
        <v>31.9</v>
      </c>
      <c r="O21" s="64">
        <v>0</v>
      </c>
      <c r="P21" s="64">
        <v>1.01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4" t="s">
        <v>740</v>
      </c>
      <c r="B22" s="64">
        <v>16.09</v>
      </c>
      <c r="C22" s="64">
        <v>17.809999999999999</v>
      </c>
      <c r="D22" s="64">
        <v>21.74</v>
      </c>
      <c r="E22" s="64">
        <v>4.33</v>
      </c>
      <c r="F22" s="64">
        <v>2.71</v>
      </c>
      <c r="G22" s="64">
        <v>62.04</v>
      </c>
      <c r="H22" s="64">
        <v>29.62</v>
      </c>
      <c r="I22" s="64">
        <v>3.88</v>
      </c>
      <c r="J22" s="64">
        <v>0.31</v>
      </c>
      <c r="K22" s="64">
        <v>351.06</v>
      </c>
      <c r="L22" s="64">
        <v>13.99</v>
      </c>
      <c r="M22" s="64">
        <v>62.74</v>
      </c>
      <c r="N22" s="64">
        <v>32.1</v>
      </c>
      <c r="O22" s="64">
        <v>0</v>
      </c>
      <c r="P22" s="64">
        <v>0.99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4" t="s">
        <v>741</v>
      </c>
      <c r="B23" s="64">
        <v>15.67</v>
      </c>
      <c r="C23" s="64">
        <v>17.7</v>
      </c>
      <c r="D23" s="64">
        <v>21.35</v>
      </c>
      <c r="E23" s="64">
        <v>4.47</v>
      </c>
      <c r="F23" s="64">
        <v>2.4300000000000002</v>
      </c>
      <c r="G23" s="64">
        <v>62.04</v>
      </c>
      <c r="H23" s="64">
        <v>29.62</v>
      </c>
      <c r="I23" s="64">
        <v>3.87</v>
      </c>
      <c r="J23" s="64">
        <v>0.17</v>
      </c>
      <c r="K23" s="64">
        <v>10.67</v>
      </c>
      <c r="L23" s="64">
        <v>13.7</v>
      </c>
      <c r="M23" s="64">
        <v>63.57</v>
      </c>
      <c r="N23" s="64">
        <v>32.1</v>
      </c>
      <c r="O23" s="64">
        <v>0</v>
      </c>
      <c r="P23" s="64">
        <v>0.98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4" t="s">
        <v>742</v>
      </c>
      <c r="B24" s="64">
        <v>15.47</v>
      </c>
      <c r="C24" s="64">
        <v>18.079999999999998</v>
      </c>
      <c r="D24" s="64">
        <v>21.39</v>
      </c>
      <c r="E24" s="64">
        <v>3.96</v>
      </c>
      <c r="F24" s="64">
        <v>2.46</v>
      </c>
      <c r="G24" s="64">
        <v>62.04</v>
      </c>
      <c r="H24" s="64">
        <v>29.62</v>
      </c>
      <c r="I24" s="64">
        <v>3.85</v>
      </c>
      <c r="J24" s="64">
        <v>0.34</v>
      </c>
      <c r="K24" s="64">
        <v>346.8</v>
      </c>
      <c r="L24" s="64">
        <v>13.52</v>
      </c>
      <c r="M24" s="64">
        <v>64.290000000000006</v>
      </c>
      <c r="N24" s="64">
        <v>31.9</v>
      </c>
      <c r="O24" s="64">
        <v>0</v>
      </c>
      <c r="P24" s="64">
        <v>0.99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4" t="s">
        <v>743</v>
      </c>
      <c r="B25" s="64">
        <v>15.32</v>
      </c>
      <c r="C25" s="64">
        <v>18.149999999999999</v>
      </c>
      <c r="D25" s="64">
        <v>21.31</v>
      </c>
      <c r="E25" s="64">
        <v>4.08</v>
      </c>
      <c r="F25" s="64">
        <v>2.35</v>
      </c>
      <c r="G25" s="64">
        <v>64.349999999999994</v>
      </c>
      <c r="H25" s="64">
        <v>28.48</v>
      </c>
      <c r="I25" s="64">
        <v>3.8</v>
      </c>
      <c r="J25" s="64">
        <v>0.44</v>
      </c>
      <c r="K25" s="64">
        <v>351.3</v>
      </c>
      <c r="L25" s="64">
        <v>13.43</v>
      </c>
      <c r="M25" s="64">
        <v>67.17</v>
      </c>
      <c r="N25" s="64">
        <v>31.7</v>
      </c>
      <c r="O25" s="64">
        <v>0</v>
      </c>
      <c r="P25" s="64">
        <v>1</v>
      </c>
      <c r="Q25" s="64">
        <v>9.6300000000000008</v>
      </c>
      <c r="R25" s="198"/>
      <c r="S25" s="198"/>
      <c r="T25" s="198"/>
      <c r="U25" s="198"/>
    </row>
    <row r="26" spans="1:21" s="12" customFormat="1" x14ac:dyDescent="0.25">
      <c r="A26" s="214" t="s">
        <v>744</v>
      </c>
      <c r="B26" s="64">
        <v>15.33</v>
      </c>
      <c r="C26" s="64">
        <v>18.12</v>
      </c>
      <c r="D26" s="64">
        <v>21.31</v>
      </c>
      <c r="E26" s="64">
        <v>4.16</v>
      </c>
      <c r="F26" s="64">
        <v>2.76</v>
      </c>
      <c r="G26" s="64">
        <v>66.28</v>
      </c>
      <c r="H26" s="64">
        <v>28.04</v>
      </c>
      <c r="I26" s="64">
        <v>3.74</v>
      </c>
      <c r="J26" s="64">
        <v>0.09</v>
      </c>
      <c r="K26" s="64">
        <v>59.62</v>
      </c>
      <c r="L26" s="64">
        <v>13.37</v>
      </c>
      <c r="M26" s="64">
        <v>66.849999999999994</v>
      </c>
      <c r="N26" s="64">
        <v>31.8</v>
      </c>
      <c r="O26" s="64">
        <v>0</v>
      </c>
      <c r="P26" s="64">
        <v>1.02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4" t="s">
        <v>745</v>
      </c>
      <c r="B27" s="64">
        <v>15.26</v>
      </c>
      <c r="C27" s="64">
        <v>18.13</v>
      </c>
      <c r="D27" s="64">
        <v>21.24</v>
      </c>
      <c r="E27" s="64">
        <v>4.25</v>
      </c>
      <c r="F27" s="64">
        <v>2.85</v>
      </c>
      <c r="G27" s="64">
        <v>66.28</v>
      </c>
      <c r="H27" s="64">
        <v>28.04</v>
      </c>
      <c r="I27" s="64">
        <v>3.73</v>
      </c>
      <c r="J27" s="64">
        <v>0.76</v>
      </c>
      <c r="K27" s="64">
        <v>350.98</v>
      </c>
      <c r="L27" s="64">
        <v>13.44</v>
      </c>
      <c r="M27" s="64">
        <v>66.81</v>
      </c>
      <c r="N27" s="64">
        <v>31.4</v>
      </c>
      <c r="O27" s="64">
        <v>0</v>
      </c>
      <c r="P27" s="64">
        <v>1.05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14" t="s">
        <v>746</v>
      </c>
      <c r="B28" s="64">
        <v>15.17</v>
      </c>
      <c r="C28" s="64">
        <v>18.149999999999999</v>
      </c>
      <c r="D28" s="64">
        <v>21.19</v>
      </c>
      <c r="E28" s="64">
        <v>4.37</v>
      </c>
      <c r="F28" s="64">
        <v>3.07</v>
      </c>
      <c r="G28" s="64">
        <v>66.28</v>
      </c>
      <c r="H28" s="64">
        <v>28.04</v>
      </c>
      <c r="I28" s="64">
        <v>4.08</v>
      </c>
      <c r="J28" s="64">
        <v>0.49</v>
      </c>
      <c r="K28" s="64">
        <v>350.05</v>
      </c>
      <c r="L28" s="64">
        <v>13.41</v>
      </c>
      <c r="M28" s="64">
        <v>68.56</v>
      </c>
      <c r="N28" s="64">
        <v>31.8</v>
      </c>
      <c r="O28" s="64">
        <v>0</v>
      </c>
      <c r="P28" s="64">
        <v>1.0900000000000001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4" t="s">
        <v>747</v>
      </c>
      <c r="B29" s="64">
        <v>15</v>
      </c>
      <c r="C29" s="64">
        <v>18.22</v>
      </c>
      <c r="D29" s="64">
        <v>21.09</v>
      </c>
      <c r="E29" s="64">
        <v>4.18</v>
      </c>
      <c r="F29" s="64">
        <v>2.86</v>
      </c>
      <c r="G29" s="64">
        <v>68.040000000000006</v>
      </c>
      <c r="H29" s="64">
        <v>29.29</v>
      </c>
      <c r="I29" s="64">
        <v>4.17</v>
      </c>
      <c r="J29" s="64">
        <v>0.25</v>
      </c>
      <c r="K29" s="64">
        <v>68.61</v>
      </c>
      <c r="L29" s="64">
        <v>13.21</v>
      </c>
      <c r="M29" s="64">
        <v>66.91</v>
      </c>
      <c r="N29" s="64">
        <v>31.9</v>
      </c>
      <c r="O29" s="64">
        <v>0</v>
      </c>
      <c r="P29" s="64">
        <v>1.1299999999999999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4" t="s">
        <v>748</v>
      </c>
      <c r="B30" s="64">
        <v>14.77</v>
      </c>
      <c r="C30" s="64">
        <v>18.239999999999998</v>
      </c>
      <c r="D30" s="64">
        <v>20.92</v>
      </c>
      <c r="E30" s="64">
        <v>4.8099999999999996</v>
      </c>
      <c r="F30" s="64">
        <v>3.02</v>
      </c>
      <c r="G30" s="64">
        <v>69.52</v>
      </c>
      <c r="H30" s="64">
        <v>30.25</v>
      </c>
      <c r="I30" s="64">
        <v>4.13</v>
      </c>
      <c r="J30" s="64">
        <v>0.21</v>
      </c>
      <c r="K30" s="64">
        <v>58.36</v>
      </c>
      <c r="L30" s="64">
        <v>12.99</v>
      </c>
      <c r="M30" s="64">
        <v>66.739999999999995</v>
      </c>
      <c r="N30" s="64">
        <v>31.9</v>
      </c>
      <c r="O30" s="64">
        <v>0</v>
      </c>
      <c r="P30" s="64">
        <v>1.1499999999999999</v>
      </c>
      <c r="Q30" s="64">
        <v>9.65</v>
      </c>
      <c r="R30" s="198"/>
      <c r="S30" s="198"/>
      <c r="T30" s="198"/>
      <c r="U30" s="198"/>
    </row>
    <row r="31" spans="1:21" s="12" customFormat="1" x14ac:dyDescent="0.25">
      <c r="A31" s="214" t="s">
        <v>749</v>
      </c>
      <c r="B31" s="64">
        <v>14.68</v>
      </c>
      <c r="C31" s="64">
        <v>17.97</v>
      </c>
      <c r="D31" s="64">
        <v>20.7</v>
      </c>
      <c r="E31" s="64">
        <v>4.37</v>
      </c>
      <c r="F31" s="64">
        <v>3.16</v>
      </c>
      <c r="G31" s="64">
        <v>69.52</v>
      </c>
      <c r="H31" s="64">
        <v>30.25</v>
      </c>
      <c r="I31" s="64">
        <v>4.1399999999999997</v>
      </c>
      <c r="J31" s="64">
        <v>0.26</v>
      </c>
      <c r="K31" s="64">
        <v>8.73</v>
      </c>
      <c r="L31" s="64">
        <v>12.82</v>
      </c>
      <c r="M31" s="64">
        <v>67.87</v>
      </c>
      <c r="N31" s="64">
        <v>31.9</v>
      </c>
      <c r="O31" s="64">
        <v>0</v>
      </c>
      <c r="P31" s="64">
        <v>1.1399999999999999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4" t="s">
        <v>750</v>
      </c>
      <c r="B32" s="64">
        <v>14.77</v>
      </c>
      <c r="C32" s="64">
        <v>17.739999999999998</v>
      </c>
      <c r="D32" s="64">
        <v>20.66</v>
      </c>
      <c r="E32" s="64">
        <v>4.3099999999999996</v>
      </c>
      <c r="F32" s="64">
        <v>3.09</v>
      </c>
      <c r="G32" s="64">
        <v>69.52</v>
      </c>
      <c r="H32" s="64">
        <v>30.25</v>
      </c>
      <c r="I32" s="64">
        <v>4.1500000000000004</v>
      </c>
      <c r="J32" s="64">
        <v>0.03</v>
      </c>
      <c r="K32" s="64">
        <v>354.93</v>
      </c>
      <c r="L32" s="64">
        <v>12.78</v>
      </c>
      <c r="M32" s="64">
        <v>64.52</v>
      </c>
      <c r="N32" s="64">
        <v>31.6</v>
      </c>
      <c r="O32" s="64">
        <v>0</v>
      </c>
      <c r="P32" s="64">
        <v>1.1100000000000001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4" t="s">
        <v>751</v>
      </c>
      <c r="B33" s="64">
        <v>14.57</v>
      </c>
      <c r="C33" s="64">
        <v>17.809999999999999</v>
      </c>
      <c r="D33" s="64">
        <v>20.53</v>
      </c>
      <c r="E33" s="64">
        <v>4.21</v>
      </c>
      <c r="F33" s="64">
        <v>3</v>
      </c>
      <c r="G33" s="64">
        <v>69.260000000000005</v>
      </c>
      <c r="H33" s="64">
        <v>28.12</v>
      </c>
      <c r="I33" s="64">
        <v>4.1399999999999997</v>
      </c>
      <c r="J33" s="64">
        <v>0.25</v>
      </c>
      <c r="K33" s="64">
        <v>319.74</v>
      </c>
      <c r="L33" s="64">
        <v>12.74</v>
      </c>
      <c r="M33" s="64">
        <v>63.28</v>
      </c>
      <c r="N33" s="64">
        <v>32.5</v>
      </c>
      <c r="O33" s="64">
        <v>0</v>
      </c>
      <c r="P33" s="64">
        <v>1.08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4" t="s">
        <v>752</v>
      </c>
      <c r="B34" s="64">
        <v>14.43</v>
      </c>
      <c r="C34" s="64">
        <v>17.79</v>
      </c>
      <c r="D34" s="64">
        <v>20.399999999999999</v>
      </c>
      <c r="E34" s="64">
        <v>4.3899999999999997</v>
      </c>
      <c r="F34" s="64">
        <v>2.86</v>
      </c>
      <c r="G34" s="64">
        <v>69.03</v>
      </c>
      <c r="H34" s="64">
        <v>27.3</v>
      </c>
      <c r="I34" s="64">
        <v>4.1500000000000004</v>
      </c>
      <c r="J34" s="64">
        <v>0.06</v>
      </c>
      <c r="K34" s="64">
        <v>39.729999999999997</v>
      </c>
      <c r="L34" s="64">
        <v>12.67</v>
      </c>
      <c r="M34" s="64">
        <v>61.72</v>
      </c>
      <c r="N34" s="64">
        <v>35</v>
      </c>
      <c r="O34" s="64">
        <v>0</v>
      </c>
      <c r="P34" s="64">
        <v>1.06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4" t="s">
        <v>753</v>
      </c>
      <c r="B35" s="64">
        <v>14.15</v>
      </c>
      <c r="C35" s="64">
        <v>17.97</v>
      </c>
      <c r="D35" s="64">
        <v>20.27</v>
      </c>
      <c r="E35" s="64">
        <v>4.26</v>
      </c>
      <c r="F35" s="64">
        <v>2.8</v>
      </c>
      <c r="G35" s="64">
        <v>69.03</v>
      </c>
      <c r="H35" s="64">
        <v>27.3</v>
      </c>
      <c r="I35" s="64">
        <v>4.17</v>
      </c>
      <c r="J35" s="64">
        <v>0.17</v>
      </c>
      <c r="K35" s="64">
        <v>312.99</v>
      </c>
      <c r="L35" s="64">
        <v>12.61</v>
      </c>
      <c r="M35" s="64">
        <v>61.9</v>
      </c>
      <c r="N35" s="64">
        <v>43.1</v>
      </c>
      <c r="O35" s="64">
        <v>0</v>
      </c>
      <c r="P35" s="64">
        <v>1.02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4" t="s">
        <v>754</v>
      </c>
      <c r="B36" s="64">
        <v>14.39</v>
      </c>
      <c r="C36" s="64">
        <v>17.989999999999998</v>
      </c>
      <c r="D36" s="64">
        <v>20.48</v>
      </c>
      <c r="E36" s="64">
        <v>3.99</v>
      </c>
      <c r="F36" s="64">
        <v>2.89</v>
      </c>
      <c r="G36" s="64">
        <v>69.03</v>
      </c>
      <c r="H36" s="64">
        <v>27.3</v>
      </c>
      <c r="I36" s="64">
        <v>4.1399999999999997</v>
      </c>
      <c r="J36" s="64">
        <v>0.51</v>
      </c>
      <c r="K36" s="64">
        <v>333.44</v>
      </c>
      <c r="L36" s="64">
        <v>12.92</v>
      </c>
      <c r="M36" s="64">
        <v>61.04</v>
      </c>
      <c r="N36" s="64">
        <v>53.7</v>
      </c>
      <c r="O36" s="64">
        <v>0</v>
      </c>
      <c r="P36" s="64">
        <v>0.99</v>
      </c>
      <c r="Q36" s="64">
        <v>9.6300000000000008</v>
      </c>
      <c r="R36" s="198"/>
      <c r="S36" s="198"/>
      <c r="T36" s="198"/>
      <c r="U36" s="198"/>
    </row>
    <row r="37" spans="1:21" s="12" customFormat="1" x14ac:dyDescent="0.25">
      <c r="A37" s="214" t="s">
        <v>755</v>
      </c>
      <c r="B37" s="64">
        <v>15.45</v>
      </c>
      <c r="C37" s="64">
        <v>17.68</v>
      </c>
      <c r="D37" s="64">
        <v>21.17</v>
      </c>
      <c r="E37" s="64">
        <v>4.0599999999999996</v>
      </c>
      <c r="F37" s="64">
        <v>2.96</v>
      </c>
      <c r="G37" s="64">
        <v>66.790000000000006</v>
      </c>
      <c r="H37" s="64">
        <v>28</v>
      </c>
      <c r="I37" s="64">
        <v>4.1100000000000003</v>
      </c>
      <c r="J37" s="64">
        <v>0.42</v>
      </c>
      <c r="K37" s="64">
        <v>330.63</v>
      </c>
      <c r="L37" s="64">
        <v>13.3</v>
      </c>
      <c r="M37" s="64">
        <v>61.45</v>
      </c>
      <c r="N37" s="64">
        <v>67.5</v>
      </c>
      <c r="O37" s="64">
        <v>0</v>
      </c>
      <c r="P37" s="64">
        <v>1.01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4" t="s">
        <v>756</v>
      </c>
      <c r="B38" s="64">
        <v>17.12</v>
      </c>
      <c r="C38" s="64">
        <v>17.12</v>
      </c>
      <c r="D38" s="64">
        <v>22.21</v>
      </c>
      <c r="E38" s="64">
        <v>4.2699999999999996</v>
      </c>
      <c r="F38" s="64">
        <v>2.76</v>
      </c>
      <c r="G38" s="64">
        <v>64.91</v>
      </c>
      <c r="H38" s="64">
        <v>28.28</v>
      </c>
      <c r="I38" s="64">
        <v>4.05</v>
      </c>
      <c r="J38" s="64">
        <v>0.77</v>
      </c>
      <c r="K38" s="64">
        <v>339.96</v>
      </c>
      <c r="L38" s="64">
        <v>13.9</v>
      </c>
      <c r="M38" s="64">
        <v>56.89</v>
      </c>
      <c r="N38" s="64">
        <v>106.8</v>
      </c>
      <c r="O38" s="64">
        <v>0</v>
      </c>
      <c r="P38" s="64">
        <v>1.06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757</v>
      </c>
      <c r="B39" s="64">
        <v>18.71</v>
      </c>
      <c r="C39" s="64">
        <v>16.71</v>
      </c>
      <c r="D39" s="64">
        <v>23.27</v>
      </c>
      <c r="E39" s="64">
        <v>4.41</v>
      </c>
      <c r="F39" s="64">
        <v>2.36</v>
      </c>
      <c r="G39" s="64">
        <v>64.91</v>
      </c>
      <c r="H39" s="64">
        <v>28.28</v>
      </c>
      <c r="I39" s="64">
        <v>4.01</v>
      </c>
      <c r="J39" s="64">
        <v>0.72</v>
      </c>
      <c r="K39" s="64">
        <v>341.12</v>
      </c>
      <c r="L39" s="64">
        <v>15.87</v>
      </c>
      <c r="M39" s="64">
        <v>48.7</v>
      </c>
      <c r="N39" s="64">
        <v>216.8</v>
      </c>
      <c r="O39" s="64">
        <v>0</v>
      </c>
      <c r="P39" s="64">
        <v>1.06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4" t="s">
        <v>758</v>
      </c>
      <c r="B40" s="64">
        <v>19.54</v>
      </c>
      <c r="C40" s="64">
        <v>16.28</v>
      </c>
      <c r="D40" s="64">
        <v>23.71</v>
      </c>
      <c r="E40" s="64">
        <v>6.19</v>
      </c>
      <c r="F40" s="64">
        <v>2.38</v>
      </c>
      <c r="G40" s="64">
        <v>64.91</v>
      </c>
      <c r="H40" s="64">
        <v>28.28</v>
      </c>
      <c r="I40" s="64">
        <v>3.96</v>
      </c>
      <c r="J40" s="64">
        <v>0.49</v>
      </c>
      <c r="K40" s="64">
        <v>344.78</v>
      </c>
      <c r="L40" s="64">
        <v>18.61</v>
      </c>
      <c r="M40" s="64">
        <v>37.96</v>
      </c>
      <c r="N40" s="64">
        <v>275.2</v>
      </c>
      <c r="O40" s="64">
        <v>0</v>
      </c>
      <c r="P40" s="64">
        <v>1.05</v>
      </c>
      <c r="Q40" s="64">
        <v>9.65</v>
      </c>
      <c r="R40" s="198"/>
      <c r="S40" s="198"/>
      <c r="T40" s="198"/>
      <c r="U40" s="198"/>
    </row>
    <row r="41" spans="1:21" s="12" customFormat="1" x14ac:dyDescent="0.25">
      <c r="A41" s="214" t="s">
        <v>759</v>
      </c>
      <c r="B41" s="64">
        <v>19.89</v>
      </c>
      <c r="C41" s="64">
        <v>16.37</v>
      </c>
      <c r="D41" s="64">
        <v>24.04</v>
      </c>
      <c r="E41" s="64">
        <v>5.57</v>
      </c>
      <c r="F41" s="64">
        <v>2.17</v>
      </c>
      <c r="G41" s="64">
        <v>64.400000000000006</v>
      </c>
      <c r="H41" s="64">
        <v>27.25</v>
      </c>
      <c r="I41" s="64">
        <v>3.91</v>
      </c>
      <c r="J41" s="64">
        <v>0.8</v>
      </c>
      <c r="K41" s="64">
        <v>336.64</v>
      </c>
      <c r="L41" s="64">
        <v>19.89</v>
      </c>
      <c r="M41" s="64">
        <v>34.08</v>
      </c>
      <c r="N41" s="64">
        <v>322.60000000000002</v>
      </c>
      <c r="O41" s="64">
        <v>0</v>
      </c>
      <c r="P41" s="64">
        <v>1.05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4" t="s">
        <v>760</v>
      </c>
      <c r="B42" s="64">
        <v>20.03</v>
      </c>
      <c r="C42" s="64">
        <v>16.77</v>
      </c>
      <c r="D42" s="64">
        <v>24.36</v>
      </c>
      <c r="E42" s="64">
        <v>5.73</v>
      </c>
      <c r="F42" s="64">
        <v>2.6</v>
      </c>
      <c r="G42" s="64">
        <v>63.97</v>
      </c>
      <c r="H42" s="64">
        <v>26.85</v>
      </c>
      <c r="I42" s="64">
        <v>3.88</v>
      </c>
      <c r="J42" s="64">
        <v>0.59</v>
      </c>
      <c r="K42" s="64">
        <v>337.31</v>
      </c>
      <c r="L42" s="64">
        <v>20.75</v>
      </c>
      <c r="M42" s="64">
        <v>30.77</v>
      </c>
      <c r="N42" s="64">
        <v>365.1</v>
      </c>
      <c r="O42" s="64">
        <v>0</v>
      </c>
      <c r="P42" s="64">
        <v>1.06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4" t="s">
        <v>761</v>
      </c>
      <c r="B43" s="64">
        <v>19.78</v>
      </c>
      <c r="C43" s="64">
        <v>17.170000000000002</v>
      </c>
      <c r="D43" s="64">
        <v>24.37</v>
      </c>
      <c r="E43" s="64">
        <v>5.91</v>
      </c>
      <c r="F43" s="64">
        <v>2.6</v>
      </c>
      <c r="G43" s="64">
        <v>63.97</v>
      </c>
      <c r="H43" s="64">
        <v>26.85</v>
      </c>
      <c r="I43" s="64">
        <v>3.86</v>
      </c>
      <c r="J43" s="64">
        <v>0.41</v>
      </c>
      <c r="K43" s="64">
        <v>337.4</v>
      </c>
      <c r="L43" s="64">
        <v>20.85</v>
      </c>
      <c r="M43" s="64">
        <v>31.66</v>
      </c>
      <c r="N43" s="64">
        <v>397</v>
      </c>
      <c r="O43" s="64">
        <v>0</v>
      </c>
      <c r="P43" s="64">
        <v>1.06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4" t="s">
        <v>762</v>
      </c>
      <c r="B44" s="64">
        <v>19.41</v>
      </c>
      <c r="C44" s="64">
        <v>17.47</v>
      </c>
      <c r="D44" s="64">
        <v>24.23</v>
      </c>
      <c r="E44" s="64">
        <v>5.67</v>
      </c>
      <c r="F44" s="64">
        <v>2.81</v>
      </c>
      <c r="G44" s="64">
        <v>63.97</v>
      </c>
      <c r="H44" s="64">
        <v>26.85</v>
      </c>
      <c r="I44" s="64">
        <v>3.81</v>
      </c>
      <c r="J44" s="64">
        <v>0.37</v>
      </c>
      <c r="K44" s="64">
        <v>342.6</v>
      </c>
      <c r="L44" s="64">
        <v>21.37</v>
      </c>
      <c r="M44" s="64">
        <v>30.54</v>
      </c>
      <c r="N44" s="64">
        <v>426.4</v>
      </c>
      <c r="O44" s="64">
        <v>0</v>
      </c>
      <c r="P44" s="64">
        <v>1.05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4" t="s">
        <v>763</v>
      </c>
      <c r="B45" s="64">
        <v>19.23</v>
      </c>
      <c r="C45" s="64">
        <v>17.7</v>
      </c>
      <c r="D45" s="64">
        <v>24.21</v>
      </c>
      <c r="E45" s="64">
        <v>5.75</v>
      </c>
      <c r="F45" s="64">
        <v>2.71</v>
      </c>
      <c r="G45" s="64">
        <v>58.89</v>
      </c>
      <c r="H45" s="64">
        <v>25.27</v>
      </c>
      <c r="I45" s="64">
        <v>3.75</v>
      </c>
      <c r="J45" s="64">
        <v>0.49</v>
      </c>
      <c r="K45" s="64">
        <v>332.89</v>
      </c>
      <c r="L45" s="64">
        <v>23.7</v>
      </c>
      <c r="M45" s="64">
        <v>27.88</v>
      </c>
      <c r="N45" s="64">
        <v>458.2</v>
      </c>
      <c r="O45" s="64">
        <v>0</v>
      </c>
      <c r="P45" s="64">
        <v>1.04</v>
      </c>
      <c r="Q45" s="64">
        <v>9.67</v>
      </c>
      <c r="R45" s="198"/>
      <c r="S45" s="198"/>
      <c r="T45" s="198"/>
      <c r="U45" s="198"/>
    </row>
    <row r="46" spans="1:21" s="12" customFormat="1" x14ac:dyDescent="0.25">
      <c r="A46" s="214" t="s">
        <v>764</v>
      </c>
      <c r="B46" s="64">
        <v>19.16</v>
      </c>
      <c r="C46" s="64">
        <v>17.79</v>
      </c>
      <c r="D46" s="64">
        <v>24.2</v>
      </c>
      <c r="E46" s="64">
        <v>5.78</v>
      </c>
      <c r="F46" s="64">
        <v>2.82</v>
      </c>
      <c r="G46" s="64">
        <v>54.63</v>
      </c>
      <c r="H46" s="64">
        <v>24.11</v>
      </c>
      <c r="I46" s="64">
        <v>3.67</v>
      </c>
      <c r="J46" s="64">
        <v>0.88</v>
      </c>
      <c r="K46" s="64">
        <v>115.73</v>
      </c>
      <c r="L46" s="64">
        <v>21.98</v>
      </c>
      <c r="M46" s="64">
        <v>31.17</v>
      </c>
      <c r="N46" s="64">
        <v>490</v>
      </c>
      <c r="O46" s="64">
        <v>0</v>
      </c>
      <c r="P46" s="64">
        <v>1.03</v>
      </c>
      <c r="Q46" s="64">
        <v>9.67</v>
      </c>
      <c r="R46" s="198"/>
      <c r="S46" s="198"/>
      <c r="T46" s="198"/>
      <c r="U46" s="198"/>
    </row>
    <row r="47" spans="1:21" s="12" customFormat="1" x14ac:dyDescent="0.25">
      <c r="A47" s="214" t="s">
        <v>765</v>
      </c>
      <c r="B47" s="64">
        <v>19.09</v>
      </c>
      <c r="C47" s="64">
        <v>17.86</v>
      </c>
      <c r="D47" s="64">
        <v>24.18</v>
      </c>
      <c r="E47" s="64">
        <v>6.33</v>
      </c>
      <c r="F47" s="64">
        <v>3.24</v>
      </c>
      <c r="G47" s="64">
        <v>54.63</v>
      </c>
      <c r="H47" s="64">
        <v>24.11</v>
      </c>
      <c r="I47" s="64">
        <v>3.63</v>
      </c>
      <c r="J47" s="64">
        <v>1.02</v>
      </c>
      <c r="K47" s="64">
        <v>340.24</v>
      </c>
      <c r="L47" s="64">
        <v>23.42</v>
      </c>
      <c r="M47" s="64">
        <v>27.09</v>
      </c>
      <c r="N47" s="64">
        <v>506.9</v>
      </c>
      <c r="O47" s="64">
        <v>0</v>
      </c>
      <c r="P47" s="64">
        <v>1.01</v>
      </c>
      <c r="Q47" s="64">
        <v>9.67</v>
      </c>
      <c r="R47" s="198"/>
      <c r="S47" s="198"/>
      <c r="T47" s="198"/>
      <c r="U47" s="198"/>
    </row>
    <row r="48" spans="1:21" s="12" customFormat="1" x14ac:dyDescent="0.25">
      <c r="A48" s="214" t="s">
        <v>766</v>
      </c>
      <c r="B48" s="64">
        <v>18.97</v>
      </c>
      <c r="C48" s="64">
        <v>18.25</v>
      </c>
      <c r="D48" s="64">
        <v>24.29</v>
      </c>
      <c r="E48" s="64">
        <v>5.84</v>
      </c>
      <c r="F48" s="64">
        <v>3.11</v>
      </c>
      <c r="G48" s="64">
        <v>54.63</v>
      </c>
      <c r="H48" s="64">
        <v>24.11</v>
      </c>
      <c r="I48" s="64">
        <v>3.57</v>
      </c>
      <c r="J48" s="64">
        <v>0.28999999999999998</v>
      </c>
      <c r="K48" s="64">
        <v>15.32</v>
      </c>
      <c r="L48" s="64">
        <v>24.91</v>
      </c>
      <c r="M48" s="64">
        <v>25.9</v>
      </c>
      <c r="N48" s="64">
        <v>528.1</v>
      </c>
      <c r="O48" s="64">
        <v>0</v>
      </c>
      <c r="P48" s="64">
        <v>0.98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4" t="s">
        <v>767</v>
      </c>
      <c r="B49" s="64">
        <v>18.809999999999999</v>
      </c>
      <c r="C49" s="64">
        <v>18.87</v>
      </c>
      <c r="D49" s="64">
        <v>24.48</v>
      </c>
      <c r="E49" s="64">
        <v>5.93</v>
      </c>
      <c r="F49" s="64">
        <v>3.06</v>
      </c>
      <c r="G49" s="64">
        <v>53.23</v>
      </c>
      <c r="H49" s="64">
        <v>21.51</v>
      </c>
      <c r="I49" s="64">
        <v>3.49</v>
      </c>
      <c r="J49" s="64">
        <v>0.34</v>
      </c>
      <c r="K49" s="64">
        <v>88.25</v>
      </c>
      <c r="L49" s="64">
        <v>23.78</v>
      </c>
      <c r="M49" s="64">
        <v>28.35</v>
      </c>
      <c r="N49" s="64">
        <v>544.29999999999995</v>
      </c>
      <c r="O49" s="64">
        <v>0</v>
      </c>
      <c r="P49" s="64">
        <v>0.94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4" t="s">
        <v>768</v>
      </c>
      <c r="B50" s="64">
        <v>17.97</v>
      </c>
      <c r="C50" s="64">
        <v>19.190000000000001</v>
      </c>
      <c r="D50" s="64">
        <v>23.98</v>
      </c>
      <c r="E50" s="64">
        <v>5.79</v>
      </c>
      <c r="F50" s="64">
        <v>3.39</v>
      </c>
      <c r="G50" s="64">
        <v>52.07</v>
      </c>
      <c r="H50" s="64">
        <v>20.56</v>
      </c>
      <c r="I50" s="64">
        <v>3.4</v>
      </c>
      <c r="J50" s="64">
        <v>1.31</v>
      </c>
      <c r="K50" s="64">
        <v>122.36</v>
      </c>
      <c r="L50" s="64">
        <v>22.49</v>
      </c>
      <c r="M50" s="64">
        <v>31.29</v>
      </c>
      <c r="N50" s="64">
        <v>558.9</v>
      </c>
      <c r="O50" s="64">
        <v>0</v>
      </c>
      <c r="P50" s="64">
        <v>0.91</v>
      </c>
      <c r="Q50" s="64">
        <v>9.67</v>
      </c>
      <c r="R50" s="198"/>
      <c r="S50" s="198"/>
      <c r="T50" s="198"/>
      <c r="U50" s="198"/>
    </row>
    <row r="51" spans="1:21" s="12" customFormat="1" x14ac:dyDescent="0.25">
      <c r="A51" s="214" t="s">
        <v>769</v>
      </c>
      <c r="B51" s="64">
        <v>17.66</v>
      </c>
      <c r="C51" s="64">
        <v>19.100000000000001</v>
      </c>
      <c r="D51" s="64">
        <v>23.68</v>
      </c>
      <c r="E51" s="64">
        <v>5.79</v>
      </c>
      <c r="F51" s="64">
        <v>3.14</v>
      </c>
      <c r="G51" s="64">
        <v>52.07</v>
      </c>
      <c r="H51" s="64">
        <v>20.56</v>
      </c>
      <c r="I51" s="64">
        <v>3.36</v>
      </c>
      <c r="J51" s="64">
        <v>0.34</v>
      </c>
      <c r="K51" s="64">
        <v>343.98</v>
      </c>
      <c r="L51" s="64">
        <v>23.87</v>
      </c>
      <c r="M51" s="64">
        <v>28.25</v>
      </c>
      <c r="N51" s="64">
        <v>559.70000000000005</v>
      </c>
      <c r="O51" s="64">
        <v>0</v>
      </c>
      <c r="P51" s="64">
        <v>0.89</v>
      </c>
      <c r="Q51" s="64">
        <v>9.69</v>
      </c>
      <c r="R51" s="198"/>
      <c r="S51" s="198"/>
      <c r="T51" s="198"/>
      <c r="U51" s="198"/>
    </row>
    <row r="52" spans="1:21" s="12" customFormat="1" x14ac:dyDescent="0.25">
      <c r="A52" s="214" t="s">
        <v>770</v>
      </c>
      <c r="B52" s="64">
        <v>17.18</v>
      </c>
      <c r="C52" s="64">
        <v>19.760000000000002</v>
      </c>
      <c r="D52" s="64">
        <v>23.64</v>
      </c>
      <c r="E52" s="64">
        <v>5.79</v>
      </c>
      <c r="F52" s="64">
        <v>2.88</v>
      </c>
      <c r="G52" s="64">
        <v>52.07</v>
      </c>
      <c r="H52" s="64">
        <v>20.56</v>
      </c>
      <c r="I52" s="64">
        <v>3.31</v>
      </c>
      <c r="J52" s="64">
        <v>0.72</v>
      </c>
      <c r="K52" s="64">
        <v>338.9</v>
      </c>
      <c r="L52" s="64">
        <v>26.49</v>
      </c>
      <c r="M52" s="64">
        <v>23.21</v>
      </c>
      <c r="N52" s="64">
        <v>562</v>
      </c>
      <c r="O52" s="64">
        <v>0</v>
      </c>
      <c r="P52" s="64">
        <v>0.88</v>
      </c>
      <c r="Q52" s="64">
        <v>9.68</v>
      </c>
      <c r="R52" s="198"/>
      <c r="S52" s="198"/>
      <c r="T52" s="198"/>
      <c r="U52" s="198"/>
    </row>
    <row r="53" spans="1:21" s="12" customFormat="1" x14ac:dyDescent="0.25">
      <c r="A53" s="214" t="s">
        <v>771</v>
      </c>
      <c r="B53" s="64">
        <v>16.760000000000002</v>
      </c>
      <c r="C53" s="64">
        <v>20.39</v>
      </c>
      <c r="D53" s="64">
        <v>23.63</v>
      </c>
      <c r="E53" s="64">
        <v>5.77</v>
      </c>
      <c r="F53" s="64">
        <v>2.5099999999999998</v>
      </c>
      <c r="G53" s="64">
        <v>52.25</v>
      </c>
      <c r="H53" s="64">
        <v>21.22</v>
      </c>
      <c r="I53" s="64">
        <v>3.25</v>
      </c>
      <c r="J53" s="64">
        <v>0.27</v>
      </c>
      <c r="K53" s="64">
        <v>45.71</v>
      </c>
      <c r="L53" s="64">
        <v>25.48</v>
      </c>
      <c r="M53" s="64">
        <v>23.27</v>
      </c>
      <c r="N53" s="64">
        <v>561.79999999999995</v>
      </c>
      <c r="O53" s="64">
        <v>0</v>
      </c>
      <c r="P53" s="64">
        <v>0.88</v>
      </c>
      <c r="Q53" s="64">
        <v>9.68</v>
      </c>
      <c r="R53" s="198"/>
      <c r="S53" s="198"/>
      <c r="T53" s="198"/>
      <c r="U53" s="198"/>
    </row>
    <row r="54" spans="1:21" s="12" customFormat="1" x14ac:dyDescent="0.25">
      <c r="A54" s="214" t="s">
        <v>772</v>
      </c>
      <c r="B54" s="64">
        <v>16.440000000000001</v>
      </c>
      <c r="C54" s="64">
        <v>20.96</v>
      </c>
      <c r="D54" s="64">
        <v>23.67</v>
      </c>
      <c r="E54" s="64">
        <v>5.73</v>
      </c>
      <c r="F54" s="64">
        <v>2.57</v>
      </c>
      <c r="G54" s="64">
        <v>52.4</v>
      </c>
      <c r="H54" s="64">
        <v>21.46</v>
      </c>
      <c r="I54" s="64">
        <v>3.21</v>
      </c>
      <c r="J54" s="64">
        <v>0.24</v>
      </c>
      <c r="K54" s="64">
        <v>80.430000000000007</v>
      </c>
      <c r="L54" s="64">
        <v>26.21</v>
      </c>
      <c r="M54" s="64">
        <v>21.77</v>
      </c>
      <c r="N54" s="64">
        <v>572.9</v>
      </c>
      <c r="O54" s="64">
        <v>0</v>
      </c>
      <c r="P54" s="64">
        <v>0.88</v>
      </c>
      <c r="Q54" s="64">
        <v>9.67</v>
      </c>
      <c r="R54" s="198"/>
      <c r="S54" s="198"/>
      <c r="T54" s="198"/>
      <c r="U54" s="198"/>
    </row>
    <row r="55" spans="1:21" s="12" customFormat="1" x14ac:dyDescent="0.25">
      <c r="A55" s="214" t="s">
        <v>773</v>
      </c>
      <c r="B55" s="64">
        <v>15.91</v>
      </c>
      <c r="C55" s="64">
        <v>21.47</v>
      </c>
      <c r="D55" s="64">
        <v>23.51</v>
      </c>
      <c r="E55" s="64">
        <v>5.25</v>
      </c>
      <c r="F55" s="64">
        <v>2.5</v>
      </c>
      <c r="G55" s="64">
        <v>52.4</v>
      </c>
      <c r="H55" s="64">
        <v>21.46</v>
      </c>
      <c r="I55" s="64">
        <v>3.17</v>
      </c>
      <c r="J55" s="64">
        <v>1.54</v>
      </c>
      <c r="K55" s="64">
        <v>123.93</v>
      </c>
      <c r="L55" s="64">
        <v>23.68</v>
      </c>
      <c r="M55" s="64">
        <v>25.73</v>
      </c>
      <c r="N55" s="64">
        <v>550.79999999999995</v>
      </c>
      <c r="O55" s="64">
        <v>0</v>
      </c>
      <c r="P55" s="64">
        <v>0.85</v>
      </c>
      <c r="Q55" s="64">
        <v>9.68</v>
      </c>
      <c r="R55" s="198"/>
      <c r="S55" s="198"/>
      <c r="T55" s="198"/>
      <c r="U55" s="198"/>
    </row>
    <row r="56" spans="1:21" s="12" customFormat="1" x14ac:dyDescent="0.25">
      <c r="A56" s="214" t="s">
        <v>774</v>
      </c>
      <c r="B56" s="64">
        <v>15.18</v>
      </c>
      <c r="C56" s="64">
        <v>21.83</v>
      </c>
      <c r="D56" s="64">
        <v>23.11</v>
      </c>
      <c r="E56" s="64">
        <v>5.46</v>
      </c>
      <c r="F56" s="64">
        <v>2.93</v>
      </c>
      <c r="G56" s="64">
        <v>52.4</v>
      </c>
      <c r="H56" s="64">
        <v>21.46</v>
      </c>
      <c r="I56" s="64">
        <v>3.13</v>
      </c>
      <c r="J56" s="64">
        <v>0.23</v>
      </c>
      <c r="K56" s="64">
        <v>104.37</v>
      </c>
      <c r="L56" s="64">
        <v>24.74</v>
      </c>
      <c r="M56" s="64">
        <v>24.25</v>
      </c>
      <c r="N56" s="64">
        <v>543.6</v>
      </c>
      <c r="O56" s="64">
        <v>0</v>
      </c>
      <c r="P56" s="64">
        <v>0.83</v>
      </c>
      <c r="Q56" s="64">
        <v>9.67</v>
      </c>
      <c r="R56" s="198"/>
      <c r="S56" s="198"/>
      <c r="T56" s="198"/>
      <c r="U56" s="198"/>
    </row>
    <row r="57" spans="1:21" s="12" customFormat="1" x14ac:dyDescent="0.25">
      <c r="A57" s="214" t="s">
        <v>775</v>
      </c>
      <c r="B57" s="64">
        <v>14.5</v>
      </c>
      <c r="C57" s="64">
        <v>22.37</v>
      </c>
      <c r="D57" s="64">
        <v>22.86</v>
      </c>
      <c r="E57" s="64">
        <v>5.43</v>
      </c>
      <c r="F57" s="64">
        <v>2.71</v>
      </c>
      <c r="G57" s="64">
        <v>51.44</v>
      </c>
      <c r="H57" s="64">
        <v>20.55</v>
      </c>
      <c r="I57" s="64">
        <v>3.07</v>
      </c>
      <c r="J57" s="64">
        <v>0.71</v>
      </c>
      <c r="K57" s="64">
        <v>337.66</v>
      </c>
      <c r="L57" s="64">
        <v>25.86</v>
      </c>
      <c r="M57" s="64">
        <v>22.71</v>
      </c>
      <c r="N57" s="64">
        <v>542.70000000000005</v>
      </c>
      <c r="O57" s="64">
        <v>0</v>
      </c>
      <c r="P57" s="64">
        <v>0.82</v>
      </c>
      <c r="Q57" s="64">
        <v>9.68</v>
      </c>
      <c r="R57" s="198"/>
      <c r="S57" s="198"/>
      <c r="T57" s="198"/>
      <c r="U57" s="198"/>
    </row>
    <row r="58" spans="1:21" s="12" customFormat="1" x14ac:dyDescent="0.25">
      <c r="A58" s="214" t="s">
        <v>776</v>
      </c>
      <c r="B58" s="64">
        <v>13.75</v>
      </c>
      <c r="C58" s="64">
        <v>24.19</v>
      </c>
      <c r="D58" s="64">
        <v>23.2</v>
      </c>
      <c r="E58" s="64">
        <v>7.33</v>
      </c>
      <c r="F58" s="64">
        <v>4.2</v>
      </c>
      <c r="G58" s="64">
        <v>50.64</v>
      </c>
      <c r="H58" s="64">
        <v>20.21</v>
      </c>
      <c r="I58" s="64">
        <v>3.02</v>
      </c>
      <c r="J58" s="64">
        <v>0.47</v>
      </c>
      <c r="K58" s="64">
        <v>347.37</v>
      </c>
      <c r="L58" s="64">
        <v>26.91</v>
      </c>
      <c r="M58" s="64">
        <v>20.8</v>
      </c>
      <c r="N58" s="64">
        <v>549.79999999999995</v>
      </c>
      <c r="O58" s="64">
        <v>0</v>
      </c>
      <c r="P58" s="64">
        <v>0.82</v>
      </c>
      <c r="Q58" s="64">
        <v>9.68</v>
      </c>
      <c r="R58" s="198"/>
      <c r="S58" s="198"/>
      <c r="T58" s="198"/>
      <c r="U58" s="198"/>
    </row>
    <row r="59" spans="1:21" s="12" customFormat="1" x14ac:dyDescent="0.25">
      <c r="A59" s="214" t="s">
        <v>777</v>
      </c>
      <c r="B59" s="64">
        <v>12.95</v>
      </c>
      <c r="C59" s="64">
        <v>24.45</v>
      </c>
      <c r="D59" s="64">
        <v>22.7</v>
      </c>
      <c r="E59" s="64">
        <v>6.98</v>
      </c>
      <c r="F59" s="64">
        <v>3.84</v>
      </c>
      <c r="G59" s="64">
        <v>50.64</v>
      </c>
      <c r="H59" s="64">
        <v>20.21</v>
      </c>
      <c r="I59" s="64">
        <v>2.97</v>
      </c>
      <c r="J59" s="64">
        <v>0.43</v>
      </c>
      <c r="K59" s="64">
        <v>5.31</v>
      </c>
      <c r="L59" s="64">
        <v>25.86</v>
      </c>
      <c r="M59" s="64">
        <v>22</v>
      </c>
      <c r="N59" s="64">
        <v>531.20000000000005</v>
      </c>
      <c r="O59" s="64">
        <v>0</v>
      </c>
      <c r="P59" s="64">
        <v>0.82</v>
      </c>
      <c r="Q59" s="64">
        <v>9.68</v>
      </c>
      <c r="R59" s="198"/>
      <c r="S59" s="198"/>
      <c r="T59" s="198"/>
      <c r="U59" s="198"/>
    </row>
    <row r="60" spans="1:21" s="12" customFormat="1" x14ac:dyDescent="0.25">
      <c r="A60" s="214" t="s">
        <v>778</v>
      </c>
      <c r="B60" s="64">
        <v>12.37</v>
      </c>
      <c r="C60" s="64">
        <v>24.46</v>
      </c>
      <c r="D60" s="64">
        <v>22.24</v>
      </c>
      <c r="E60" s="64">
        <v>7.67</v>
      </c>
      <c r="F60" s="64">
        <v>3.49</v>
      </c>
      <c r="G60" s="64">
        <v>50.64</v>
      </c>
      <c r="H60" s="64">
        <v>20.21</v>
      </c>
      <c r="I60" s="64">
        <v>2.95</v>
      </c>
      <c r="J60" s="64">
        <v>1.32</v>
      </c>
      <c r="K60" s="64">
        <v>335.01</v>
      </c>
      <c r="L60" s="64">
        <v>27.7</v>
      </c>
      <c r="M60" s="64">
        <v>19.03</v>
      </c>
      <c r="N60" s="64">
        <v>480.7</v>
      </c>
      <c r="O60" s="64">
        <v>0</v>
      </c>
      <c r="P60" s="64">
        <v>0.82</v>
      </c>
      <c r="Q60" s="64">
        <v>9.68</v>
      </c>
      <c r="R60" s="198"/>
      <c r="S60" s="198"/>
      <c r="T60" s="198"/>
      <c r="U60" s="198"/>
    </row>
    <row r="61" spans="1:21" s="12" customFormat="1" x14ac:dyDescent="0.25">
      <c r="A61" s="214" t="s">
        <v>779</v>
      </c>
      <c r="B61" s="64">
        <v>12.39</v>
      </c>
      <c r="C61" s="64">
        <v>27.59</v>
      </c>
      <c r="D61" s="64">
        <v>23.89</v>
      </c>
      <c r="E61" s="64">
        <v>19.36</v>
      </c>
      <c r="F61" s="64">
        <v>6.68</v>
      </c>
      <c r="G61" s="64">
        <v>48.96</v>
      </c>
      <c r="H61" s="64">
        <v>19.309999999999999</v>
      </c>
      <c r="I61" s="64">
        <v>2.92</v>
      </c>
      <c r="J61" s="64">
        <v>0.9</v>
      </c>
      <c r="K61" s="64">
        <v>339.66</v>
      </c>
      <c r="L61" s="64">
        <v>27.69</v>
      </c>
      <c r="M61" s="64">
        <v>18.920000000000002</v>
      </c>
      <c r="N61" s="64">
        <v>480.1</v>
      </c>
      <c r="O61" s="64">
        <v>0</v>
      </c>
      <c r="P61" s="64">
        <v>0.8</v>
      </c>
      <c r="Q61" s="64">
        <v>9.68</v>
      </c>
      <c r="R61" s="198"/>
      <c r="S61" s="198"/>
      <c r="T61" s="198"/>
      <c r="U61" s="198"/>
    </row>
    <row r="62" spans="1:21" s="12" customFormat="1" x14ac:dyDescent="0.25">
      <c r="A62" s="214" t="s">
        <v>780</v>
      </c>
      <c r="B62" s="64">
        <v>11.48</v>
      </c>
      <c r="C62" s="64">
        <v>26.75</v>
      </c>
      <c r="D62" s="64">
        <v>22.72</v>
      </c>
      <c r="E62" s="64">
        <v>14.49</v>
      </c>
      <c r="F62" s="64">
        <v>6.99</v>
      </c>
      <c r="G62" s="64">
        <v>47.56</v>
      </c>
      <c r="H62" s="64">
        <v>18.68</v>
      </c>
      <c r="I62" s="64">
        <v>2.88</v>
      </c>
      <c r="J62" s="64">
        <v>0.08</v>
      </c>
      <c r="K62" s="64">
        <v>22.94</v>
      </c>
      <c r="L62" s="64">
        <v>26.39</v>
      </c>
      <c r="M62" s="64">
        <v>21.53</v>
      </c>
      <c r="N62" s="64">
        <v>417.8</v>
      </c>
      <c r="O62" s="64">
        <v>0</v>
      </c>
      <c r="P62" s="64">
        <v>0.83</v>
      </c>
      <c r="Q62" s="64">
        <v>9.67</v>
      </c>
      <c r="R62" s="198"/>
      <c r="S62" s="198"/>
      <c r="T62" s="198"/>
      <c r="U62" s="198"/>
    </row>
    <row r="63" spans="1:21" s="12" customFormat="1" x14ac:dyDescent="0.25">
      <c r="A63" s="214" t="s">
        <v>781</v>
      </c>
      <c r="B63" s="64">
        <v>10.16</v>
      </c>
      <c r="C63" s="64">
        <v>26.75</v>
      </c>
      <c r="D63" s="64">
        <v>21.66</v>
      </c>
      <c r="E63" s="64">
        <v>13.85</v>
      </c>
      <c r="F63" s="64">
        <v>8.9600000000000009</v>
      </c>
      <c r="G63" s="64">
        <v>47.56</v>
      </c>
      <c r="H63" s="64">
        <v>18.68</v>
      </c>
      <c r="I63" s="64">
        <v>2.84</v>
      </c>
      <c r="J63" s="64">
        <v>0.65</v>
      </c>
      <c r="K63" s="64">
        <v>333.53</v>
      </c>
      <c r="L63" s="64">
        <v>26.7</v>
      </c>
      <c r="M63" s="64">
        <v>21.17</v>
      </c>
      <c r="N63" s="64">
        <v>403.5</v>
      </c>
      <c r="O63" s="64">
        <v>0</v>
      </c>
      <c r="P63" s="64">
        <v>0.83</v>
      </c>
      <c r="Q63" s="64">
        <v>9.67</v>
      </c>
      <c r="R63" s="198"/>
      <c r="S63" s="198"/>
      <c r="T63" s="198"/>
      <c r="U63" s="198"/>
    </row>
    <row r="64" spans="1:21" s="12" customFormat="1" x14ac:dyDescent="0.25">
      <c r="A64" s="214" t="s">
        <v>782</v>
      </c>
      <c r="B64" s="64">
        <v>11.07</v>
      </c>
      <c r="C64" s="64">
        <v>25.79</v>
      </c>
      <c r="D64" s="64">
        <v>21.89</v>
      </c>
      <c r="E64" s="64">
        <v>10.1</v>
      </c>
      <c r="F64" s="64">
        <v>5.31</v>
      </c>
      <c r="G64" s="64">
        <v>47.56</v>
      </c>
      <c r="H64" s="64">
        <v>18.68</v>
      </c>
      <c r="I64" s="64">
        <v>2.81</v>
      </c>
      <c r="J64" s="64">
        <v>1.4</v>
      </c>
      <c r="K64" s="64">
        <v>338.96</v>
      </c>
      <c r="L64" s="64">
        <v>26.47</v>
      </c>
      <c r="M64" s="64">
        <v>21.88</v>
      </c>
      <c r="N64" s="64">
        <v>280.5</v>
      </c>
      <c r="O64" s="64">
        <v>0</v>
      </c>
      <c r="P64" s="64">
        <v>0.85</v>
      </c>
      <c r="Q64" s="64">
        <v>9.69</v>
      </c>
      <c r="R64" s="198"/>
      <c r="S64" s="198"/>
      <c r="T64" s="198"/>
      <c r="U64" s="198"/>
    </row>
    <row r="65" spans="1:21" s="12" customFormat="1" x14ac:dyDescent="0.25">
      <c r="A65" s="214" t="s">
        <v>783</v>
      </c>
      <c r="B65" s="64">
        <v>10.9</v>
      </c>
      <c r="C65" s="64">
        <v>27.74</v>
      </c>
      <c r="D65" s="64">
        <v>22.77</v>
      </c>
      <c r="E65" s="64">
        <v>19.100000000000001</v>
      </c>
      <c r="F65" s="64">
        <v>7.86</v>
      </c>
      <c r="G65" s="64">
        <v>49.19</v>
      </c>
      <c r="H65" s="64">
        <v>17.72</v>
      </c>
      <c r="I65" s="64">
        <v>2.81</v>
      </c>
      <c r="J65" s="64">
        <v>1.17</v>
      </c>
      <c r="K65" s="64">
        <v>340.07</v>
      </c>
      <c r="L65" s="64">
        <v>25.98</v>
      </c>
      <c r="M65" s="64">
        <v>21.94</v>
      </c>
      <c r="N65" s="64">
        <v>139.19999999999999</v>
      </c>
      <c r="O65" s="64">
        <v>0</v>
      </c>
      <c r="P65" s="64">
        <v>0.84</v>
      </c>
      <c r="Q65" s="64">
        <v>9.68</v>
      </c>
      <c r="R65" s="198"/>
      <c r="S65" s="198"/>
      <c r="T65" s="198"/>
      <c r="U65" s="198"/>
    </row>
    <row r="66" spans="1:21" s="12" customFormat="1" x14ac:dyDescent="0.25">
      <c r="A66" s="214" t="s">
        <v>784</v>
      </c>
      <c r="B66" s="64">
        <v>10.119999999999999</v>
      </c>
      <c r="C66" s="64">
        <v>27.61</v>
      </c>
      <c r="D66" s="64">
        <v>22.09</v>
      </c>
      <c r="E66" s="64">
        <v>8.44</v>
      </c>
      <c r="F66" s="64">
        <v>4.79</v>
      </c>
      <c r="G66" s="64">
        <v>50.56</v>
      </c>
      <c r="H66" s="64">
        <v>17.36</v>
      </c>
      <c r="I66" s="64">
        <v>2.8</v>
      </c>
      <c r="J66" s="64">
        <v>0.69</v>
      </c>
      <c r="K66" s="64">
        <v>327.49</v>
      </c>
      <c r="L66" s="64">
        <v>25.57</v>
      </c>
      <c r="M66" s="64">
        <v>21.76</v>
      </c>
      <c r="N66" s="64">
        <v>140.1</v>
      </c>
      <c r="O66" s="64">
        <v>0</v>
      </c>
      <c r="P66" s="64">
        <v>0.85</v>
      </c>
      <c r="Q66" s="64">
        <v>9.67</v>
      </c>
      <c r="R66" s="198"/>
      <c r="S66" s="198"/>
      <c r="T66" s="198"/>
      <c r="U66" s="198"/>
    </row>
    <row r="67" spans="1:21" s="12" customFormat="1" x14ac:dyDescent="0.25">
      <c r="A67" s="214" t="s">
        <v>785</v>
      </c>
      <c r="B67" s="64">
        <v>9.48</v>
      </c>
      <c r="C67" s="64">
        <v>29.61</v>
      </c>
      <c r="D67" s="64">
        <v>23.18</v>
      </c>
      <c r="E67" s="64">
        <v>11.3</v>
      </c>
      <c r="F67" s="64">
        <v>6.3</v>
      </c>
      <c r="G67" s="64">
        <v>50.56</v>
      </c>
      <c r="H67" s="64">
        <v>17.36</v>
      </c>
      <c r="I67" s="64">
        <v>2.82</v>
      </c>
      <c r="J67" s="64">
        <v>1.07</v>
      </c>
      <c r="K67" s="64">
        <v>337.96</v>
      </c>
      <c r="L67" s="64">
        <v>25.17</v>
      </c>
      <c r="M67" s="64">
        <v>22.45</v>
      </c>
      <c r="N67" s="64">
        <v>110.1</v>
      </c>
      <c r="O67" s="64">
        <v>0</v>
      </c>
      <c r="P67" s="64">
        <v>0.81</v>
      </c>
      <c r="Q67" s="64">
        <v>9.68</v>
      </c>
      <c r="R67" s="198"/>
      <c r="S67" s="198"/>
      <c r="T67" s="198"/>
      <c r="U67" s="198"/>
    </row>
    <row r="68" spans="1:21" s="12" customFormat="1" x14ac:dyDescent="0.25">
      <c r="A68" s="214" t="s">
        <v>786</v>
      </c>
      <c r="B68" s="64">
        <v>9.4600000000000009</v>
      </c>
      <c r="C68" s="64">
        <v>29.59</v>
      </c>
      <c r="D68" s="64">
        <v>22.59</v>
      </c>
      <c r="E68" s="64">
        <v>9.9700000000000006</v>
      </c>
      <c r="F68" s="64">
        <v>5.62</v>
      </c>
      <c r="G68" s="64">
        <v>50.56</v>
      </c>
      <c r="H68" s="64">
        <v>17.36</v>
      </c>
      <c r="I68" s="64">
        <v>2.8</v>
      </c>
      <c r="J68" s="64">
        <v>0.97</v>
      </c>
      <c r="K68" s="64">
        <v>334.02</v>
      </c>
      <c r="L68" s="64">
        <v>25.18</v>
      </c>
      <c r="M68" s="64">
        <v>22.86</v>
      </c>
      <c r="N68" s="64">
        <v>92.3</v>
      </c>
      <c r="O68" s="64">
        <v>0</v>
      </c>
      <c r="P68" s="64">
        <v>0.83</v>
      </c>
      <c r="Q68" s="64">
        <v>9.69</v>
      </c>
      <c r="R68" s="198"/>
      <c r="S68" s="198"/>
      <c r="T68" s="198"/>
      <c r="U68" s="198"/>
    </row>
    <row r="69" spans="1:21" s="12" customFormat="1" x14ac:dyDescent="0.25">
      <c r="A69" s="214" t="s">
        <v>787</v>
      </c>
      <c r="B69" s="64">
        <v>8.76</v>
      </c>
      <c r="C69" s="64">
        <v>28.95</v>
      </c>
      <c r="D69" s="64">
        <v>21.68</v>
      </c>
      <c r="E69" s="64">
        <v>7.43</v>
      </c>
      <c r="F69" s="64">
        <v>3.46</v>
      </c>
      <c r="G69" s="64">
        <v>56.21</v>
      </c>
      <c r="H69" s="64">
        <v>19.96</v>
      </c>
      <c r="I69" s="64">
        <v>2.8</v>
      </c>
      <c r="J69" s="64">
        <v>1.31</v>
      </c>
      <c r="K69" s="64">
        <v>331.31</v>
      </c>
      <c r="L69" s="64">
        <v>24.75</v>
      </c>
      <c r="M69" s="64">
        <v>23.02</v>
      </c>
      <c r="N69" s="64">
        <v>85.5</v>
      </c>
      <c r="O69" s="64">
        <v>0</v>
      </c>
      <c r="P69" s="64">
        <v>0.82</v>
      </c>
      <c r="Q69" s="64">
        <v>9.69</v>
      </c>
      <c r="R69" s="198"/>
      <c r="S69" s="198"/>
      <c r="T69" s="198"/>
      <c r="U69" s="198"/>
    </row>
    <row r="70" spans="1:21" s="12" customFormat="1" x14ac:dyDescent="0.25">
      <c r="A70" s="214" t="s">
        <v>788</v>
      </c>
      <c r="B70" s="64">
        <v>7.71</v>
      </c>
      <c r="C70" s="64">
        <v>29.78</v>
      </c>
      <c r="D70" s="64">
        <v>21.28</v>
      </c>
      <c r="E70" s="64">
        <v>6.67</v>
      </c>
      <c r="F70" s="64">
        <v>3.76</v>
      </c>
      <c r="G70" s="64">
        <v>60.93</v>
      </c>
      <c r="H70" s="64">
        <v>20.98</v>
      </c>
      <c r="I70" s="64">
        <v>2.78</v>
      </c>
      <c r="J70" s="64">
        <v>1.21</v>
      </c>
      <c r="K70" s="64">
        <v>334.48</v>
      </c>
      <c r="L70" s="64">
        <v>24.32</v>
      </c>
      <c r="M70" s="64">
        <v>23.89</v>
      </c>
      <c r="N70" s="64">
        <v>79.099999999999994</v>
      </c>
      <c r="O70" s="64">
        <v>0</v>
      </c>
      <c r="P70" s="64">
        <v>0.83</v>
      </c>
      <c r="Q70" s="64">
        <v>9.67</v>
      </c>
      <c r="R70" s="198"/>
      <c r="S70" s="198"/>
      <c r="T70" s="198"/>
      <c r="U70" s="198"/>
    </row>
    <row r="71" spans="1:21" s="12" customFormat="1" x14ac:dyDescent="0.25">
      <c r="A71" s="214" t="s">
        <v>789</v>
      </c>
      <c r="B71" s="64">
        <v>6.69</v>
      </c>
      <c r="C71" s="64">
        <v>30.56</v>
      </c>
      <c r="D71" s="64">
        <v>20.87</v>
      </c>
      <c r="E71" s="64">
        <v>6.66</v>
      </c>
      <c r="F71" s="64">
        <v>3.47</v>
      </c>
      <c r="G71" s="64">
        <v>60.93</v>
      </c>
      <c r="H71" s="64">
        <v>20.98</v>
      </c>
      <c r="I71" s="64">
        <v>2.78</v>
      </c>
      <c r="J71" s="64">
        <v>1.1599999999999999</v>
      </c>
      <c r="K71" s="64">
        <v>337.62</v>
      </c>
      <c r="L71" s="64">
        <v>24.05</v>
      </c>
      <c r="M71" s="64">
        <v>24.55</v>
      </c>
      <c r="N71" s="64">
        <v>80</v>
      </c>
      <c r="O71" s="64">
        <v>0</v>
      </c>
      <c r="P71" s="64">
        <v>0.83</v>
      </c>
      <c r="Q71" s="64">
        <v>9.67</v>
      </c>
      <c r="R71" s="198"/>
      <c r="S71" s="198"/>
      <c r="T71" s="198"/>
      <c r="U71" s="198"/>
    </row>
    <row r="72" spans="1:21" s="12" customFormat="1" x14ac:dyDescent="0.25">
      <c r="A72" s="214" t="s">
        <v>790</v>
      </c>
      <c r="B72" s="64">
        <v>6.07</v>
      </c>
      <c r="C72" s="64">
        <v>31</v>
      </c>
      <c r="D72" s="64">
        <v>20.61</v>
      </c>
      <c r="E72" s="64">
        <v>5.07</v>
      </c>
      <c r="F72" s="64">
        <v>3.8</v>
      </c>
      <c r="G72" s="64">
        <v>60.93</v>
      </c>
      <c r="H72" s="64">
        <v>20.98</v>
      </c>
      <c r="I72" s="64">
        <v>2.78</v>
      </c>
      <c r="J72" s="64">
        <v>1.25</v>
      </c>
      <c r="K72" s="64">
        <v>336.69</v>
      </c>
      <c r="L72" s="64">
        <v>23.89</v>
      </c>
      <c r="M72" s="64">
        <v>24.72</v>
      </c>
      <c r="N72" s="64">
        <v>71.900000000000006</v>
      </c>
      <c r="O72" s="64">
        <v>0</v>
      </c>
      <c r="P72" s="64">
        <v>0.85</v>
      </c>
      <c r="Q72" s="64">
        <v>9.66</v>
      </c>
      <c r="R72" s="198"/>
      <c r="S72" s="198"/>
      <c r="T72" s="198"/>
      <c r="U72" s="198"/>
    </row>
    <row r="73" spans="1:21" s="12" customFormat="1" x14ac:dyDescent="0.25">
      <c r="A73" s="214" t="s">
        <v>791</v>
      </c>
      <c r="B73" s="64">
        <v>6.66</v>
      </c>
      <c r="C73" s="64">
        <v>30.51</v>
      </c>
      <c r="D73" s="64">
        <v>20.82</v>
      </c>
      <c r="E73" s="64">
        <v>5.63</v>
      </c>
      <c r="F73" s="64">
        <v>3.78</v>
      </c>
      <c r="G73" s="64">
        <v>62.71</v>
      </c>
      <c r="H73" s="64">
        <v>21.7</v>
      </c>
      <c r="I73" s="64">
        <v>2.76</v>
      </c>
      <c r="J73" s="64">
        <v>1.19</v>
      </c>
      <c r="K73" s="64">
        <v>335.23</v>
      </c>
      <c r="L73" s="64">
        <v>23.56</v>
      </c>
      <c r="M73" s="64">
        <v>25.16</v>
      </c>
      <c r="N73" s="64">
        <v>67.400000000000006</v>
      </c>
      <c r="O73" s="64">
        <v>0</v>
      </c>
      <c r="P73" s="64">
        <v>0.86</v>
      </c>
      <c r="Q73" s="64">
        <v>9.67</v>
      </c>
      <c r="R73" s="198"/>
      <c r="S73" s="198"/>
      <c r="T73" s="198"/>
      <c r="U73" s="198"/>
    </row>
    <row r="74" spans="1:21" s="12" customFormat="1" x14ac:dyDescent="0.25">
      <c r="A74" s="214" t="s">
        <v>792</v>
      </c>
      <c r="B74" s="64">
        <v>5.73</v>
      </c>
      <c r="C74" s="64">
        <v>32.11</v>
      </c>
      <c r="D74" s="64">
        <v>20.91</v>
      </c>
      <c r="E74" s="64">
        <v>5.7</v>
      </c>
      <c r="F74" s="64">
        <v>3.26</v>
      </c>
      <c r="G74" s="64">
        <v>64.2</v>
      </c>
      <c r="H74" s="64">
        <v>21.98</v>
      </c>
      <c r="I74" s="64">
        <v>2.76</v>
      </c>
      <c r="J74" s="64">
        <v>1.1399999999999999</v>
      </c>
      <c r="K74" s="64">
        <v>338.88</v>
      </c>
      <c r="L74" s="64">
        <v>23.11</v>
      </c>
      <c r="M74" s="64">
        <v>25.95</v>
      </c>
      <c r="N74" s="64">
        <v>50.9</v>
      </c>
      <c r="O74" s="64">
        <v>0</v>
      </c>
      <c r="P74" s="64">
        <v>0.88</v>
      </c>
      <c r="Q74" s="64">
        <v>9.67</v>
      </c>
      <c r="R74" s="198"/>
      <c r="S74" s="198"/>
      <c r="T74" s="198"/>
      <c r="U74" s="198"/>
    </row>
    <row r="75" spans="1:21" s="12" customFormat="1" x14ac:dyDescent="0.25">
      <c r="A75" s="214" t="s">
        <v>793</v>
      </c>
      <c r="B75" s="64">
        <v>6.11</v>
      </c>
      <c r="C75" s="64">
        <v>32.57</v>
      </c>
      <c r="D75" s="64">
        <v>21.46</v>
      </c>
      <c r="E75" s="64">
        <v>5.76</v>
      </c>
      <c r="F75" s="64">
        <v>4.1399999999999997</v>
      </c>
      <c r="G75" s="64">
        <v>64.2</v>
      </c>
      <c r="H75" s="64">
        <v>21.98</v>
      </c>
      <c r="I75" s="64">
        <v>2.77</v>
      </c>
      <c r="J75" s="64">
        <v>1.03</v>
      </c>
      <c r="K75" s="64">
        <v>340.98</v>
      </c>
      <c r="L75" s="64">
        <v>22.45</v>
      </c>
      <c r="M75" s="64">
        <v>27.76</v>
      </c>
      <c r="N75" s="64">
        <v>48.1</v>
      </c>
      <c r="O75" s="64">
        <v>0</v>
      </c>
      <c r="P75" s="64">
        <v>0.88</v>
      </c>
      <c r="Q75" s="64">
        <v>9.68</v>
      </c>
      <c r="R75" s="198"/>
      <c r="S75" s="198"/>
      <c r="T75" s="198"/>
      <c r="U75" s="198"/>
    </row>
    <row r="76" spans="1:21" s="12" customFormat="1" x14ac:dyDescent="0.25">
      <c r="A76" s="214" t="s">
        <v>794</v>
      </c>
      <c r="B76" s="64">
        <v>6.63</v>
      </c>
      <c r="C76" s="64">
        <v>32.65</v>
      </c>
      <c r="D76" s="64">
        <v>21.91</v>
      </c>
      <c r="E76" s="64">
        <v>5.35</v>
      </c>
      <c r="F76" s="64">
        <v>4.4400000000000004</v>
      </c>
      <c r="G76" s="64">
        <v>64.2</v>
      </c>
      <c r="H76" s="64">
        <v>21.98</v>
      </c>
      <c r="I76" s="64">
        <v>2.79</v>
      </c>
      <c r="J76" s="64">
        <v>1.0900000000000001</v>
      </c>
      <c r="K76" s="64">
        <v>338.44</v>
      </c>
      <c r="L76" s="64">
        <v>21.9</v>
      </c>
      <c r="M76" s="64">
        <v>28.22</v>
      </c>
      <c r="N76" s="64">
        <v>43.8</v>
      </c>
      <c r="O76" s="64">
        <v>0</v>
      </c>
      <c r="P76" s="64">
        <v>0.91</v>
      </c>
      <c r="Q76" s="64">
        <v>9.66</v>
      </c>
      <c r="R76" s="198"/>
      <c r="S76" s="198"/>
      <c r="T76" s="198"/>
      <c r="U76" s="198"/>
    </row>
    <row r="77" spans="1:21" s="12" customFormat="1" x14ac:dyDescent="0.25">
      <c r="A77" s="214" t="s">
        <v>795</v>
      </c>
      <c r="B77" s="64">
        <v>13.41</v>
      </c>
      <c r="C77" s="64">
        <v>34.9</v>
      </c>
      <c r="D77" s="64">
        <v>28.53</v>
      </c>
      <c r="E77" s="64">
        <v>8.06</v>
      </c>
      <c r="F77" s="64">
        <v>6.04</v>
      </c>
      <c r="G77" s="64">
        <v>64.319999999999993</v>
      </c>
      <c r="H77" s="64">
        <v>24.28</v>
      </c>
      <c r="I77" s="64">
        <v>2.82</v>
      </c>
      <c r="J77" s="64">
        <v>0.77</v>
      </c>
      <c r="K77" s="64">
        <v>344.95</v>
      </c>
      <c r="L77" s="64">
        <v>21.38</v>
      </c>
      <c r="M77" s="64">
        <v>29.5</v>
      </c>
      <c r="N77" s="64">
        <v>36.4</v>
      </c>
      <c r="O77" s="64">
        <v>0</v>
      </c>
      <c r="P77" s="64">
        <v>1.07</v>
      </c>
      <c r="Q77" s="64">
        <v>9.66</v>
      </c>
      <c r="R77" s="198"/>
      <c r="S77" s="198"/>
      <c r="T77" s="198"/>
      <c r="U77" s="198"/>
    </row>
    <row r="78" spans="1:21" s="12" customFormat="1" x14ac:dyDescent="0.25">
      <c r="A78" s="214" t="s">
        <v>796</v>
      </c>
      <c r="B78" s="64">
        <v>13.06</v>
      </c>
      <c r="C78" s="64">
        <v>39.25</v>
      </c>
      <c r="D78" s="64">
        <v>30.52</v>
      </c>
      <c r="E78" s="64">
        <v>8.36</v>
      </c>
      <c r="F78" s="64">
        <v>4.16</v>
      </c>
      <c r="G78" s="64">
        <v>64.42</v>
      </c>
      <c r="H78" s="64">
        <v>26.04</v>
      </c>
      <c r="I78" s="64">
        <v>2.88</v>
      </c>
      <c r="J78" s="64">
        <v>0.34</v>
      </c>
      <c r="K78" s="64">
        <v>324.89</v>
      </c>
      <c r="L78" s="64">
        <v>20.45</v>
      </c>
      <c r="M78" s="64">
        <v>32.68</v>
      </c>
      <c r="N78" s="64">
        <v>33.200000000000003</v>
      </c>
      <c r="O78" s="64">
        <v>0</v>
      </c>
      <c r="P78" s="64">
        <v>1.27</v>
      </c>
      <c r="Q78" s="64">
        <v>9.67</v>
      </c>
      <c r="R78" s="198"/>
      <c r="S78" s="198"/>
      <c r="T78" s="198"/>
      <c r="U78" s="198"/>
    </row>
    <row r="79" spans="1:21" s="12" customFormat="1" x14ac:dyDescent="0.25">
      <c r="A79" s="214" t="s">
        <v>797</v>
      </c>
      <c r="B79" s="64">
        <v>23.77</v>
      </c>
      <c r="C79" s="64">
        <v>32.590000000000003</v>
      </c>
      <c r="D79" s="64">
        <v>35.630000000000003</v>
      </c>
      <c r="E79" s="64">
        <v>7.11</v>
      </c>
      <c r="F79" s="64">
        <v>4.13</v>
      </c>
      <c r="G79" s="64">
        <v>64.42</v>
      </c>
      <c r="H79" s="64">
        <v>26.04</v>
      </c>
      <c r="I79" s="64">
        <v>2.96</v>
      </c>
      <c r="J79" s="64">
        <v>0.37</v>
      </c>
      <c r="K79" s="64">
        <v>334.89</v>
      </c>
      <c r="L79" s="64">
        <v>19.579999999999998</v>
      </c>
      <c r="M79" s="64">
        <v>37.369999999999997</v>
      </c>
      <c r="N79" s="64">
        <v>32.5</v>
      </c>
      <c r="O79" s="64">
        <v>0</v>
      </c>
      <c r="P79" s="64">
        <v>1.42</v>
      </c>
      <c r="Q79" s="64">
        <v>9.66</v>
      </c>
      <c r="R79" s="198"/>
      <c r="S79" s="198"/>
      <c r="T79" s="198"/>
      <c r="U79" s="198"/>
    </row>
    <row r="80" spans="1:21" s="12" customFormat="1" x14ac:dyDescent="0.25">
      <c r="A80" s="214" t="s">
        <v>798</v>
      </c>
      <c r="B80" s="64">
        <v>14.43</v>
      </c>
      <c r="C80" s="64">
        <v>33.950000000000003</v>
      </c>
      <c r="D80" s="64">
        <v>28.85</v>
      </c>
      <c r="E80" s="64">
        <v>7.11</v>
      </c>
      <c r="F80" s="64">
        <v>3.84</v>
      </c>
      <c r="G80" s="64">
        <v>64.42</v>
      </c>
      <c r="H80" s="64">
        <v>26.04</v>
      </c>
      <c r="I80" s="64">
        <v>2.77</v>
      </c>
      <c r="J80" s="64">
        <v>0.35</v>
      </c>
      <c r="K80" s="64">
        <v>339.95</v>
      </c>
      <c r="L80" s="64">
        <v>18.86</v>
      </c>
      <c r="M80" s="64">
        <v>37.79</v>
      </c>
      <c r="N80" s="64">
        <v>32.4</v>
      </c>
      <c r="O80" s="64">
        <v>0</v>
      </c>
      <c r="P80" s="64">
        <v>1.34</v>
      </c>
      <c r="Q80" s="64">
        <v>9.67</v>
      </c>
      <c r="R80" s="198"/>
      <c r="S80" s="198"/>
      <c r="T80" s="198"/>
      <c r="U80" s="198"/>
    </row>
    <row r="81" spans="1:26" s="12" customFormat="1" x14ac:dyDescent="0.25">
      <c r="A81" s="214" t="s">
        <v>799</v>
      </c>
      <c r="B81" s="64">
        <v>16.25</v>
      </c>
      <c r="C81" s="64">
        <v>33.42</v>
      </c>
      <c r="D81" s="64">
        <v>30.03</v>
      </c>
      <c r="E81" s="64">
        <v>6.95</v>
      </c>
      <c r="F81" s="64">
        <v>3.38</v>
      </c>
      <c r="G81" s="64">
        <v>70.819999999999993</v>
      </c>
      <c r="H81" s="64">
        <v>29.33</v>
      </c>
      <c r="I81" s="64">
        <v>0.79</v>
      </c>
      <c r="J81" s="64">
        <v>0.35</v>
      </c>
      <c r="K81" s="64">
        <v>284.08</v>
      </c>
      <c r="L81" s="64">
        <v>18.38</v>
      </c>
      <c r="M81" s="64">
        <v>39.64</v>
      </c>
      <c r="N81" s="64">
        <v>32.299999999999997</v>
      </c>
      <c r="O81" s="64">
        <v>0</v>
      </c>
      <c r="P81" s="64">
        <v>1.45</v>
      </c>
      <c r="Q81" s="64">
        <v>9.66</v>
      </c>
      <c r="R81" s="198"/>
      <c r="S81" s="198"/>
      <c r="T81" s="198"/>
      <c r="U81" s="198"/>
    </row>
    <row r="82" spans="1:26" s="12" customFormat="1" x14ac:dyDescent="0.25">
      <c r="A82" s="214" t="s">
        <v>800</v>
      </c>
      <c r="B82" s="64">
        <v>16.02</v>
      </c>
      <c r="C82" s="64">
        <v>30.01</v>
      </c>
      <c r="D82" s="64">
        <v>28.06</v>
      </c>
      <c r="E82" s="64">
        <v>6.6</v>
      </c>
      <c r="F82" s="64">
        <v>3.01</v>
      </c>
      <c r="G82" s="64">
        <v>76.17</v>
      </c>
      <c r="H82" s="64">
        <v>30.61</v>
      </c>
      <c r="I82" s="64">
        <v>2.2200000000000002</v>
      </c>
      <c r="J82" s="64">
        <v>0.28999999999999998</v>
      </c>
      <c r="K82" s="64">
        <v>281.05</v>
      </c>
      <c r="L82" s="64">
        <v>17.809999999999999</v>
      </c>
      <c r="M82" s="64">
        <v>42.58</v>
      </c>
      <c r="N82" s="64">
        <v>32.200000000000003</v>
      </c>
      <c r="O82" s="64">
        <v>0</v>
      </c>
      <c r="P82" s="64">
        <v>1.4</v>
      </c>
      <c r="Q82" s="64">
        <v>9.68</v>
      </c>
      <c r="R82" s="198"/>
      <c r="S82" s="198"/>
      <c r="T82" s="198"/>
      <c r="U82" s="198"/>
    </row>
    <row r="83" spans="1:26" s="12" customFormat="1" x14ac:dyDescent="0.25">
      <c r="A83" s="214" t="s">
        <v>801</v>
      </c>
      <c r="B83" s="64">
        <v>13.08</v>
      </c>
      <c r="C83" s="64">
        <v>27.1</v>
      </c>
      <c r="D83" s="64">
        <v>24.19</v>
      </c>
      <c r="E83" s="64">
        <v>5.32</v>
      </c>
      <c r="F83" s="64">
        <v>2.88</v>
      </c>
      <c r="G83" s="64">
        <v>76.17</v>
      </c>
      <c r="H83" s="64">
        <v>30.61</v>
      </c>
      <c r="I83" s="64">
        <v>3.12</v>
      </c>
      <c r="J83" s="64">
        <v>0.35</v>
      </c>
      <c r="K83" s="64">
        <v>135.78</v>
      </c>
      <c r="L83" s="64">
        <v>17.309999999999999</v>
      </c>
      <c r="M83" s="64">
        <v>46.24</v>
      </c>
      <c r="N83" s="64">
        <v>32.1</v>
      </c>
      <c r="O83" s="64">
        <v>0</v>
      </c>
      <c r="P83" s="64">
        <v>1.27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4" t="s">
        <v>802</v>
      </c>
      <c r="B84" s="64">
        <v>18.37</v>
      </c>
      <c r="C84" s="64">
        <v>24.98</v>
      </c>
      <c r="D84" s="64">
        <v>27.32</v>
      </c>
      <c r="E84" s="64">
        <v>5.16</v>
      </c>
      <c r="F84" s="64">
        <v>2.92</v>
      </c>
      <c r="G84" s="64">
        <v>76.17</v>
      </c>
      <c r="H84" s="64">
        <v>30.61</v>
      </c>
      <c r="I84" s="64">
        <v>3.31</v>
      </c>
      <c r="J84" s="64">
        <v>0.3</v>
      </c>
      <c r="K84" s="64">
        <v>203.6</v>
      </c>
      <c r="L84" s="64">
        <v>16.93</v>
      </c>
      <c r="M84" s="64">
        <v>52.67</v>
      </c>
      <c r="N84" s="64">
        <v>32</v>
      </c>
      <c r="O84" s="64">
        <v>0</v>
      </c>
      <c r="P84" s="64">
        <v>1.32</v>
      </c>
      <c r="Q84" s="64">
        <v>9.67</v>
      </c>
      <c r="R84" s="198"/>
      <c r="S84" s="198"/>
      <c r="T84" s="198"/>
      <c r="U84" s="198"/>
    </row>
    <row r="85" spans="1:26" s="12" customFormat="1" x14ac:dyDescent="0.25">
      <c r="A85" s="214" t="s">
        <v>803</v>
      </c>
      <c r="B85" s="64">
        <v>24.79</v>
      </c>
      <c r="C85" s="64">
        <v>21.87</v>
      </c>
      <c r="D85" s="64">
        <v>30.85</v>
      </c>
      <c r="E85" s="64">
        <v>5.16</v>
      </c>
      <c r="F85" s="64">
        <v>2.96</v>
      </c>
      <c r="G85" s="64">
        <v>123.5</v>
      </c>
      <c r="H85" s="64">
        <v>40.200000000000003</v>
      </c>
      <c r="I85" s="64">
        <v>3.9</v>
      </c>
      <c r="J85" s="64">
        <v>0.16</v>
      </c>
      <c r="K85" s="64">
        <v>122.39</v>
      </c>
      <c r="L85" s="64">
        <v>16.63</v>
      </c>
      <c r="M85" s="64">
        <v>55.64</v>
      </c>
      <c r="N85" s="64">
        <v>31.8</v>
      </c>
      <c r="O85" s="64">
        <v>0</v>
      </c>
      <c r="P85" s="64">
        <v>1.31</v>
      </c>
      <c r="Q85" s="64">
        <v>9.69</v>
      </c>
      <c r="R85" s="198"/>
      <c r="S85" s="198"/>
      <c r="T85" s="198"/>
      <c r="U85" s="198"/>
    </row>
    <row r="86" spans="1:26" s="12" customFormat="1" x14ac:dyDescent="0.25">
      <c r="A86" s="214" t="s">
        <v>804</v>
      </c>
      <c r="B86" s="64">
        <v>33.43</v>
      </c>
      <c r="C86" s="64">
        <v>17.940000000000001</v>
      </c>
      <c r="D86" s="64">
        <v>35.729999999999997</v>
      </c>
      <c r="E86" s="64">
        <v>5.54</v>
      </c>
      <c r="F86" s="64">
        <v>3.24</v>
      </c>
      <c r="G86" s="64">
        <v>163.11000000000001</v>
      </c>
      <c r="H86" s="64">
        <v>43.79</v>
      </c>
      <c r="I86" s="64">
        <v>4.41</v>
      </c>
      <c r="J86" s="64">
        <v>0.14000000000000001</v>
      </c>
      <c r="K86" s="64">
        <v>20.94</v>
      </c>
      <c r="L86" s="64">
        <v>16.41</v>
      </c>
      <c r="M86" s="64">
        <v>64.66</v>
      </c>
      <c r="N86" s="64">
        <v>32</v>
      </c>
      <c r="O86" s="64">
        <v>0</v>
      </c>
      <c r="P86" s="64">
        <v>1.51</v>
      </c>
      <c r="Q86" s="64">
        <v>9.7100000000000009</v>
      </c>
      <c r="R86" s="198"/>
      <c r="S86" s="198"/>
      <c r="T86" s="198"/>
      <c r="U86" s="198"/>
    </row>
    <row r="87" spans="1:26" s="12" customFormat="1" x14ac:dyDescent="0.25">
      <c r="A87" s="214" t="s">
        <v>805</v>
      </c>
      <c r="B87" s="64">
        <v>40.909999999999997</v>
      </c>
      <c r="C87" s="64">
        <v>14.49</v>
      </c>
      <c r="D87" s="64">
        <v>39.92</v>
      </c>
      <c r="E87" s="64">
        <v>5.35</v>
      </c>
      <c r="F87" s="64">
        <v>3.05</v>
      </c>
      <c r="G87" s="64">
        <v>163.11000000000001</v>
      </c>
      <c r="H87" s="64">
        <v>43.79</v>
      </c>
      <c r="I87" s="64">
        <v>4.49</v>
      </c>
      <c r="J87" s="64">
        <v>0.18</v>
      </c>
      <c r="K87" s="64">
        <v>235.73</v>
      </c>
      <c r="L87" s="64">
        <v>16.2</v>
      </c>
      <c r="M87" s="64">
        <v>62.12</v>
      </c>
      <c r="N87" s="64">
        <v>31.8</v>
      </c>
      <c r="O87" s="64">
        <v>0</v>
      </c>
      <c r="P87" s="64">
        <v>1.68</v>
      </c>
      <c r="Q87" s="64">
        <v>9.73</v>
      </c>
      <c r="R87" s="198"/>
      <c r="S87" s="198"/>
      <c r="T87" s="198"/>
      <c r="U87" s="198"/>
    </row>
    <row r="88" spans="1:26" s="12" customFormat="1" x14ac:dyDescent="0.25">
      <c r="A88" s="214" t="s">
        <v>806</v>
      </c>
      <c r="B88" s="64">
        <v>48</v>
      </c>
      <c r="C88" s="64">
        <v>11.19</v>
      </c>
      <c r="D88" s="64">
        <v>43.87</v>
      </c>
      <c r="E88" s="64">
        <v>5.12</v>
      </c>
      <c r="F88" s="64">
        <v>3.04</v>
      </c>
      <c r="G88" s="64">
        <v>163.11000000000001</v>
      </c>
      <c r="H88" s="64">
        <v>43.79</v>
      </c>
      <c r="I88" s="64">
        <v>5.05</v>
      </c>
      <c r="J88" s="64">
        <v>0.01</v>
      </c>
      <c r="K88" s="64">
        <v>210.66</v>
      </c>
      <c r="L88" s="64">
        <v>15.9</v>
      </c>
      <c r="M88" s="64">
        <v>65.52</v>
      </c>
      <c r="N88" s="64">
        <v>32.1</v>
      </c>
      <c r="O88" s="64">
        <v>0</v>
      </c>
      <c r="P88" s="64">
        <v>1.83</v>
      </c>
      <c r="Q88" s="64">
        <v>9.74</v>
      </c>
      <c r="R88" s="198"/>
      <c r="S88" s="198"/>
      <c r="T88" s="198"/>
      <c r="U88" s="198"/>
    </row>
    <row r="89" spans="1:26" s="12" customFormat="1" x14ac:dyDescent="0.25">
      <c r="A89" s="214" t="s">
        <v>807</v>
      </c>
      <c r="B89" s="64">
        <v>56.81</v>
      </c>
      <c r="C89" s="64">
        <v>6.88</v>
      </c>
      <c r="D89" s="64">
        <v>48.69</v>
      </c>
      <c r="E89" s="64">
        <v>5.3</v>
      </c>
      <c r="F89" s="64">
        <v>3.12</v>
      </c>
      <c r="G89" s="64">
        <v>180.89</v>
      </c>
      <c r="H89" s="64">
        <v>55.9</v>
      </c>
      <c r="I89" s="64">
        <v>5.57</v>
      </c>
      <c r="J89" s="64">
        <v>0.34</v>
      </c>
      <c r="K89" s="64">
        <v>359.49</v>
      </c>
      <c r="L89" s="64">
        <v>15.44</v>
      </c>
      <c r="M89" s="64">
        <v>68.53</v>
      </c>
      <c r="N89" s="64">
        <v>32</v>
      </c>
      <c r="O89" s="64">
        <v>0</v>
      </c>
      <c r="P89" s="64">
        <v>2</v>
      </c>
      <c r="Q89" s="64">
        <v>9.74</v>
      </c>
      <c r="R89" s="198"/>
      <c r="S89" s="198"/>
      <c r="T89" s="198"/>
      <c r="U89" s="198"/>
    </row>
    <row r="90" spans="1:26" s="12" customFormat="1" x14ac:dyDescent="0.25">
      <c r="A90" s="214" t="s">
        <v>808</v>
      </c>
      <c r="B90" s="64">
        <v>65.790000000000006</v>
      </c>
      <c r="C90" s="64">
        <v>2.7</v>
      </c>
      <c r="D90" s="64">
        <v>53.71</v>
      </c>
      <c r="E90" s="64">
        <v>5.66</v>
      </c>
      <c r="F90" s="64">
        <v>3.17</v>
      </c>
      <c r="G90" s="64">
        <v>195.77</v>
      </c>
      <c r="H90" s="64">
        <v>60.69</v>
      </c>
      <c r="I90" s="64">
        <v>5.97</v>
      </c>
      <c r="J90" s="64">
        <v>0.39</v>
      </c>
      <c r="K90" s="64">
        <v>326.41000000000003</v>
      </c>
      <c r="L90" s="64">
        <v>15.45</v>
      </c>
      <c r="M90" s="64">
        <v>73.2</v>
      </c>
      <c r="N90" s="64">
        <v>31.9</v>
      </c>
      <c r="O90" s="64">
        <v>0</v>
      </c>
      <c r="P90" s="64">
        <v>2.19</v>
      </c>
      <c r="Q90" s="64">
        <v>9.76</v>
      </c>
      <c r="R90" s="198"/>
      <c r="S90" s="198"/>
      <c r="T90" s="198"/>
      <c r="U90" s="198"/>
    </row>
    <row r="91" spans="1:26" s="12" customFormat="1" x14ac:dyDescent="0.25">
      <c r="A91" s="214" t="s">
        <v>809</v>
      </c>
      <c r="B91" s="64">
        <v>71.739999999999995</v>
      </c>
      <c r="C91" s="64">
        <v>0.25</v>
      </c>
      <c r="D91" s="64">
        <v>57.05</v>
      </c>
      <c r="E91" s="64">
        <v>6.05</v>
      </c>
      <c r="F91" s="64">
        <v>2.96</v>
      </c>
      <c r="G91" s="64">
        <v>195.77</v>
      </c>
      <c r="H91" s="64">
        <v>60.69</v>
      </c>
      <c r="I91" s="64">
        <v>6.38</v>
      </c>
      <c r="J91" s="64">
        <v>0.35</v>
      </c>
      <c r="K91" s="64">
        <v>254.25</v>
      </c>
      <c r="L91" s="64">
        <v>15.38</v>
      </c>
      <c r="M91" s="64">
        <v>72.349999999999994</v>
      </c>
      <c r="N91" s="64">
        <v>31.8</v>
      </c>
      <c r="O91" s="64">
        <v>0</v>
      </c>
      <c r="P91" s="64">
        <v>2.38</v>
      </c>
      <c r="Q91" s="64">
        <v>9.7799999999999994</v>
      </c>
      <c r="R91" s="198"/>
      <c r="S91" s="198"/>
      <c r="T91" s="198"/>
      <c r="U91" s="198"/>
    </row>
    <row r="92" spans="1:26" s="12" customFormat="1" x14ac:dyDescent="0.25">
      <c r="A92" s="214" t="s">
        <v>810</v>
      </c>
      <c r="B92" s="64">
        <v>76.87</v>
      </c>
      <c r="C92" s="6" t="s">
        <v>42</v>
      </c>
      <c r="D92" s="64">
        <v>59.82</v>
      </c>
      <c r="E92" s="64">
        <v>5.87</v>
      </c>
      <c r="F92" s="64">
        <v>3.08</v>
      </c>
      <c r="G92" s="64">
        <v>195.77</v>
      </c>
      <c r="H92" s="64">
        <v>60.69</v>
      </c>
      <c r="I92" s="64">
        <v>6.82</v>
      </c>
      <c r="J92" s="64">
        <v>0.23</v>
      </c>
      <c r="K92" s="64">
        <v>292.19</v>
      </c>
      <c r="L92" s="64">
        <v>15.27</v>
      </c>
      <c r="M92" s="64">
        <v>73.23</v>
      </c>
      <c r="N92" s="64">
        <v>32.1</v>
      </c>
      <c r="O92" s="64">
        <v>0</v>
      </c>
      <c r="P92" s="64">
        <v>2.54</v>
      </c>
      <c r="Q92" s="64">
        <v>9.7899999999999991</v>
      </c>
      <c r="R92" s="198"/>
      <c r="S92" s="198"/>
      <c r="T92" s="198"/>
      <c r="U92" s="198"/>
    </row>
    <row r="93" spans="1:26" s="12" customFormat="1" x14ac:dyDescent="0.25">
      <c r="A93" s="214" t="s">
        <v>811</v>
      </c>
      <c r="B93" s="64">
        <v>85.85</v>
      </c>
      <c r="C93" s="6" t="s">
        <v>42</v>
      </c>
      <c r="D93" s="64">
        <v>64.349999999999994</v>
      </c>
      <c r="E93" s="64">
        <v>5.79</v>
      </c>
      <c r="F93" s="64">
        <v>3.25</v>
      </c>
      <c r="G93" s="64">
        <v>200.15</v>
      </c>
      <c r="H93" s="64">
        <v>68.23</v>
      </c>
      <c r="I93" s="64">
        <v>7.21</v>
      </c>
      <c r="J93" s="64">
        <v>0.28999999999999998</v>
      </c>
      <c r="K93" s="64">
        <v>348.89</v>
      </c>
      <c r="L93" s="64">
        <v>14.98</v>
      </c>
      <c r="M93" s="64">
        <v>74.180000000000007</v>
      </c>
      <c r="N93" s="64">
        <v>32</v>
      </c>
      <c r="O93" s="64">
        <v>0</v>
      </c>
      <c r="P93" s="64">
        <v>2.71</v>
      </c>
      <c r="Q93" s="64">
        <v>9.7799999999999994</v>
      </c>
      <c r="R93" s="198"/>
      <c r="S93" s="198"/>
      <c r="T93" s="198"/>
      <c r="U93" s="198"/>
    </row>
    <row r="94" spans="1:26" s="12" customFormat="1" x14ac:dyDescent="0.25">
      <c r="A94" s="214" t="s">
        <v>812</v>
      </c>
      <c r="B94" s="64">
        <v>92.28</v>
      </c>
      <c r="C94" s="6" t="s">
        <v>42</v>
      </c>
      <c r="D94" s="64">
        <v>67.819999999999993</v>
      </c>
      <c r="E94" s="64">
        <v>6.1</v>
      </c>
      <c r="F94" s="64">
        <v>3.28</v>
      </c>
      <c r="G94" s="64">
        <v>204.06</v>
      </c>
      <c r="H94" s="64">
        <v>73.739999999999995</v>
      </c>
      <c r="I94" s="64">
        <v>7.53</v>
      </c>
      <c r="J94" s="64">
        <v>0.37</v>
      </c>
      <c r="K94" s="64">
        <v>299.18</v>
      </c>
      <c r="L94" s="64">
        <v>14.86</v>
      </c>
      <c r="M94" s="64">
        <v>75.05</v>
      </c>
      <c r="N94" s="64">
        <v>32</v>
      </c>
      <c r="O94" s="64">
        <v>0</v>
      </c>
      <c r="P94" s="64">
        <v>2.86</v>
      </c>
      <c r="Q94" s="64">
        <v>9.81</v>
      </c>
      <c r="R94" s="198"/>
      <c r="S94" s="198"/>
      <c r="T94" s="198"/>
      <c r="U94" s="198"/>
    </row>
    <row r="95" spans="1:26" s="12" customFormat="1" x14ac:dyDescent="0.25">
      <c r="A95" s="214" t="s">
        <v>813</v>
      </c>
      <c r="B95" s="64">
        <v>97.96</v>
      </c>
      <c r="C95" s="6" t="s">
        <v>42</v>
      </c>
      <c r="D95" s="64">
        <v>70.989999999999995</v>
      </c>
      <c r="E95" s="64">
        <v>5.94</v>
      </c>
      <c r="F95" s="64">
        <v>3.19</v>
      </c>
      <c r="G95" s="64">
        <v>204.06</v>
      </c>
      <c r="H95" s="64">
        <v>73.739999999999995</v>
      </c>
      <c r="I95" s="64">
        <v>7.8</v>
      </c>
      <c r="J95" s="64">
        <v>0.37</v>
      </c>
      <c r="K95" s="64">
        <v>298.99</v>
      </c>
      <c r="L95" s="64">
        <v>14.7</v>
      </c>
      <c r="M95" s="64">
        <v>76.040000000000006</v>
      </c>
      <c r="N95" s="64">
        <v>31.8</v>
      </c>
      <c r="O95" s="64">
        <v>0</v>
      </c>
      <c r="P95" s="64">
        <v>3.03</v>
      </c>
      <c r="Q95" s="64">
        <v>9.84</v>
      </c>
      <c r="R95" s="198"/>
      <c r="S95" s="198"/>
      <c r="T95" s="198"/>
      <c r="U95" s="198"/>
    </row>
    <row r="96" spans="1:26" s="12" customFormat="1" x14ac:dyDescent="0.25">
      <c r="A96" s="214" t="s">
        <v>814</v>
      </c>
      <c r="B96" s="64">
        <v>105.19</v>
      </c>
      <c r="C96" s="6" t="s">
        <v>42</v>
      </c>
      <c r="D96" s="64">
        <v>74.7</v>
      </c>
      <c r="E96" s="64">
        <v>5.94</v>
      </c>
      <c r="F96" s="64">
        <v>3.29</v>
      </c>
      <c r="G96" s="64">
        <v>204.06</v>
      </c>
      <c r="H96" s="64">
        <v>73.739999999999995</v>
      </c>
      <c r="I96" s="64">
        <v>8.1300000000000008</v>
      </c>
      <c r="J96" s="64">
        <v>0.38</v>
      </c>
      <c r="K96" s="64">
        <v>285.82</v>
      </c>
      <c r="L96" s="64">
        <v>14.57</v>
      </c>
      <c r="M96" s="64">
        <v>77.81</v>
      </c>
      <c r="N96" s="64">
        <v>31.8</v>
      </c>
      <c r="O96" s="64">
        <v>0</v>
      </c>
      <c r="P96" s="64">
        <v>3.21</v>
      </c>
      <c r="Q96" s="64">
        <v>9.84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815</v>
      </c>
      <c r="B97" s="64">
        <v>109.71</v>
      </c>
      <c r="C97" s="6" t="s">
        <v>42</v>
      </c>
      <c r="D97" s="64">
        <v>77</v>
      </c>
      <c r="E97" s="64">
        <v>6.26</v>
      </c>
      <c r="F97" s="64">
        <v>3.55</v>
      </c>
      <c r="G97" s="64">
        <v>186.51</v>
      </c>
      <c r="H97" s="64">
        <v>82.18</v>
      </c>
      <c r="I97" s="64">
        <v>8.4499999999999993</v>
      </c>
      <c r="J97" s="64">
        <v>0.4</v>
      </c>
      <c r="K97" s="64">
        <v>282</v>
      </c>
      <c r="L97" s="64">
        <v>14.47</v>
      </c>
      <c r="M97" s="64">
        <v>74.42</v>
      </c>
      <c r="N97" s="64">
        <v>31.8</v>
      </c>
      <c r="O97" s="64">
        <v>0</v>
      </c>
      <c r="P97" s="64">
        <v>3.34</v>
      </c>
      <c r="Q97" s="64">
        <v>9.8699999999999992</v>
      </c>
      <c r="R97" s="198"/>
      <c r="S97" s="198"/>
      <c r="T97" s="198"/>
      <c r="U97" s="198"/>
    </row>
    <row r="98" spans="1:33" s="12" customFormat="1" x14ac:dyDescent="0.25">
      <c r="A98" s="214" t="s">
        <v>816</v>
      </c>
      <c r="B98" s="64">
        <v>112.37</v>
      </c>
      <c r="C98" s="6" t="s">
        <v>42</v>
      </c>
      <c r="D98" s="64">
        <v>78.25</v>
      </c>
      <c r="E98" s="64">
        <v>6.15</v>
      </c>
      <c r="F98" s="64">
        <v>3.3</v>
      </c>
      <c r="G98" s="64">
        <v>171.82</v>
      </c>
      <c r="H98" s="64">
        <v>85.45</v>
      </c>
      <c r="I98" s="64">
        <v>8.76</v>
      </c>
      <c r="J98" s="64">
        <v>0.28000000000000003</v>
      </c>
      <c r="K98" s="64">
        <v>354.69</v>
      </c>
      <c r="L98" s="64">
        <v>14.28</v>
      </c>
      <c r="M98" s="64">
        <v>77.27</v>
      </c>
      <c r="N98" s="64">
        <v>32.1</v>
      </c>
      <c r="O98" s="64">
        <v>0</v>
      </c>
      <c r="P98" s="64">
        <v>3.44</v>
      </c>
      <c r="Q98" s="64">
        <v>9.8800000000000008</v>
      </c>
      <c r="R98" s="198"/>
      <c r="S98" s="198"/>
      <c r="T98" s="198"/>
      <c r="U98" s="198"/>
    </row>
    <row r="99" spans="1:33" s="12" customFormat="1" x14ac:dyDescent="0.25">
      <c r="A99" s="214" t="s">
        <v>817</v>
      </c>
      <c r="B99" s="64">
        <v>113.45</v>
      </c>
      <c r="C99" s="6" t="s">
        <v>42</v>
      </c>
      <c r="D99" s="64">
        <v>78.510000000000005</v>
      </c>
      <c r="E99" s="64">
        <v>6.55</v>
      </c>
      <c r="F99" s="64">
        <v>3.64</v>
      </c>
      <c r="G99" s="64">
        <v>171.82</v>
      </c>
      <c r="H99" s="64">
        <v>85.45</v>
      </c>
      <c r="I99" s="64">
        <v>8.94</v>
      </c>
      <c r="J99" s="64">
        <v>0.16</v>
      </c>
      <c r="K99" s="64">
        <v>67.900000000000006</v>
      </c>
      <c r="L99" s="64">
        <v>14.04</v>
      </c>
      <c r="M99" s="64">
        <v>80.34</v>
      </c>
      <c r="N99" s="64">
        <v>31.9</v>
      </c>
      <c r="O99" s="64">
        <v>0</v>
      </c>
      <c r="P99" s="64">
        <v>3.49</v>
      </c>
      <c r="Q99" s="64">
        <v>9.8800000000000008</v>
      </c>
      <c r="R99" s="198"/>
      <c r="S99" s="198"/>
      <c r="T99" s="198"/>
      <c r="U99" s="198"/>
    </row>
    <row r="100" spans="1:33" s="12" customFormat="1" x14ac:dyDescent="0.25">
      <c r="A100" s="214" t="s">
        <v>818</v>
      </c>
      <c r="B100" s="64">
        <v>114.54</v>
      </c>
      <c r="C100" s="6" t="s">
        <v>42</v>
      </c>
      <c r="D100" s="64">
        <v>78.77</v>
      </c>
      <c r="E100" s="64">
        <v>6.75</v>
      </c>
      <c r="F100" s="64">
        <v>3.65</v>
      </c>
      <c r="G100" s="64">
        <v>171.82</v>
      </c>
      <c r="H100" s="64">
        <v>85.45</v>
      </c>
      <c r="I100" s="64">
        <v>9.09</v>
      </c>
      <c r="J100" s="64">
        <v>0.34</v>
      </c>
      <c r="K100" s="64">
        <v>12.52</v>
      </c>
      <c r="L100" s="64">
        <v>13.89</v>
      </c>
      <c r="M100" s="64">
        <v>88.66</v>
      </c>
      <c r="N100" s="64">
        <v>32</v>
      </c>
      <c r="O100" s="64">
        <v>0</v>
      </c>
      <c r="P100" s="64">
        <v>3.58</v>
      </c>
      <c r="Q100" s="64">
        <v>9.85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819</v>
      </c>
      <c r="B101" s="64">
        <v>115.92</v>
      </c>
      <c r="C101" s="6" t="s">
        <v>42</v>
      </c>
      <c r="D101" s="64">
        <v>79.16</v>
      </c>
      <c r="E101" s="64">
        <v>6.6</v>
      </c>
      <c r="F101" s="64">
        <v>3.48</v>
      </c>
      <c r="G101" s="64">
        <v>210.06</v>
      </c>
      <c r="H101" s="64">
        <v>87.24</v>
      </c>
      <c r="I101" s="64">
        <v>9.24</v>
      </c>
      <c r="J101" s="64">
        <v>0.31</v>
      </c>
      <c r="K101" s="64">
        <v>250.35</v>
      </c>
      <c r="L101" s="64">
        <v>13.89</v>
      </c>
      <c r="M101" s="64">
        <v>94.28</v>
      </c>
      <c r="N101" s="64">
        <v>31.7</v>
      </c>
      <c r="O101" s="64">
        <v>0</v>
      </c>
      <c r="P101" s="64">
        <v>3.64</v>
      </c>
      <c r="Q101" s="64">
        <v>9.86</v>
      </c>
      <c r="R101" s="198"/>
      <c r="S101" s="198"/>
      <c r="T101" s="198"/>
      <c r="U101" s="198"/>
    </row>
    <row r="102" spans="1:33" s="12" customFormat="1" x14ac:dyDescent="0.25">
      <c r="A102" s="214" t="s">
        <v>820</v>
      </c>
      <c r="B102" s="64">
        <v>116.79</v>
      </c>
      <c r="C102" s="6" t="s">
        <v>42</v>
      </c>
      <c r="D102" s="64">
        <v>79.150000000000006</v>
      </c>
      <c r="E102" s="64">
        <v>6.59</v>
      </c>
      <c r="F102" s="64">
        <v>3.59</v>
      </c>
      <c r="G102" s="64">
        <v>242.06</v>
      </c>
      <c r="H102" s="64">
        <v>87.93</v>
      </c>
      <c r="I102" s="64">
        <v>9.4600000000000009</v>
      </c>
      <c r="J102" s="64">
        <v>0.36</v>
      </c>
      <c r="K102" s="64">
        <v>315.67</v>
      </c>
      <c r="L102" s="64">
        <v>13.9</v>
      </c>
      <c r="M102" s="64">
        <v>95.49</v>
      </c>
      <c r="N102" s="64">
        <v>32</v>
      </c>
      <c r="O102" s="64">
        <v>0</v>
      </c>
      <c r="P102" s="64">
        <v>3.71</v>
      </c>
      <c r="Q102" s="64">
        <v>9.8699999999999992</v>
      </c>
      <c r="R102" s="198"/>
      <c r="S102" s="198"/>
      <c r="T102" s="198"/>
      <c r="U102" s="198"/>
    </row>
    <row r="103" spans="1:33" s="12" customFormat="1" x14ac:dyDescent="0.25">
      <c r="A103" s="214" t="s">
        <v>821</v>
      </c>
      <c r="B103" s="64">
        <v>116.98</v>
      </c>
      <c r="C103" s="6" t="s">
        <v>42</v>
      </c>
      <c r="D103" s="64">
        <v>78.790000000000006</v>
      </c>
      <c r="E103" s="64">
        <v>6.39</v>
      </c>
      <c r="F103" s="64">
        <v>3.61</v>
      </c>
      <c r="G103" s="64">
        <v>242.06</v>
      </c>
      <c r="H103" s="64">
        <v>87.93</v>
      </c>
      <c r="I103" s="64">
        <v>9.66</v>
      </c>
      <c r="J103" s="64">
        <v>0.4</v>
      </c>
      <c r="K103" s="64">
        <v>231.99</v>
      </c>
      <c r="L103" s="64">
        <v>13.76</v>
      </c>
      <c r="M103" s="64">
        <v>89.35</v>
      </c>
      <c r="N103" s="64">
        <v>31.9</v>
      </c>
      <c r="O103" s="64">
        <v>0</v>
      </c>
      <c r="P103" s="64">
        <v>3.74</v>
      </c>
      <c r="Q103" s="64">
        <v>9.86</v>
      </c>
      <c r="R103" s="198"/>
      <c r="S103" s="198"/>
      <c r="T103" s="198"/>
      <c r="U103" s="198"/>
    </row>
    <row r="104" spans="1:33" s="12" customFormat="1" x14ac:dyDescent="0.25">
      <c r="A104" s="214" t="s">
        <v>822</v>
      </c>
      <c r="B104" s="64">
        <v>115.66</v>
      </c>
      <c r="C104" s="6" t="s">
        <v>42</v>
      </c>
      <c r="D104" s="64">
        <v>77.760000000000005</v>
      </c>
      <c r="E104" s="64">
        <v>5.66</v>
      </c>
      <c r="F104" s="64">
        <v>3.66</v>
      </c>
      <c r="G104" s="64">
        <v>242.06</v>
      </c>
      <c r="H104" s="64">
        <v>87.93</v>
      </c>
      <c r="I104" s="64">
        <v>9.84</v>
      </c>
      <c r="J104" s="64">
        <v>0.28000000000000003</v>
      </c>
      <c r="K104" s="64">
        <v>300.66000000000003</v>
      </c>
      <c r="L104" s="64">
        <v>13.57</v>
      </c>
      <c r="M104" s="64">
        <v>90.46</v>
      </c>
      <c r="N104" s="64">
        <v>32</v>
      </c>
      <c r="O104" s="64">
        <v>0</v>
      </c>
      <c r="P104" s="64">
        <v>3.73</v>
      </c>
      <c r="Q104" s="64">
        <v>9.86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5.73</v>
      </c>
      <c r="C106" s="67">
        <f>MIN(C9:C104)</f>
        <v>0.25</v>
      </c>
      <c r="D106" s="67">
        <f t="shared" ref="D106:Q106" si="0">MIN(D9:D104)</f>
        <v>20.27</v>
      </c>
      <c r="E106" s="67">
        <f t="shared" si="0"/>
        <v>3.96</v>
      </c>
      <c r="F106" s="67">
        <f t="shared" si="0"/>
        <v>2.17</v>
      </c>
      <c r="G106" s="67">
        <f t="shared" si="0"/>
        <v>47.56</v>
      </c>
      <c r="H106" s="67">
        <f t="shared" si="0"/>
        <v>17.36</v>
      </c>
      <c r="I106" s="67">
        <f t="shared" si="0"/>
        <v>0.79</v>
      </c>
      <c r="J106" s="67">
        <f t="shared" si="0"/>
        <v>0.01</v>
      </c>
      <c r="K106" s="67">
        <f t="shared" si="0"/>
        <v>5.31</v>
      </c>
      <c r="L106" s="67">
        <f t="shared" si="0"/>
        <v>12.61</v>
      </c>
      <c r="M106" s="67">
        <f t="shared" si="0"/>
        <v>18.920000000000002</v>
      </c>
      <c r="N106" s="67">
        <f t="shared" si="0"/>
        <v>31.4</v>
      </c>
      <c r="O106" s="67">
        <f t="shared" si="0"/>
        <v>0</v>
      </c>
      <c r="P106" s="67">
        <f t="shared" si="0"/>
        <v>0.8</v>
      </c>
      <c r="Q106" s="67">
        <f t="shared" si="0"/>
        <v>9.6300000000000008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116.98</v>
      </c>
      <c r="C107" s="66">
        <f t="shared" ref="C107:Q107" si="1">MAX(C9:C104)</f>
        <v>39.25</v>
      </c>
      <c r="D107" s="66">
        <f t="shared" si="1"/>
        <v>79.16</v>
      </c>
      <c r="E107" s="66">
        <f t="shared" si="1"/>
        <v>19.36</v>
      </c>
      <c r="F107" s="66">
        <f t="shared" si="1"/>
        <v>8.9600000000000009</v>
      </c>
      <c r="G107" s="66">
        <f t="shared" si="1"/>
        <v>242.06</v>
      </c>
      <c r="H107" s="66">
        <f t="shared" si="1"/>
        <v>87.93</v>
      </c>
      <c r="I107" s="66">
        <f t="shared" si="1"/>
        <v>9.84</v>
      </c>
      <c r="J107" s="66">
        <f t="shared" si="1"/>
        <v>1.54</v>
      </c>
      <c r="K107" s="66">
        <f t="shared" si="1"/>
        <v>359.49</v>
      </c>
      <c r="L107" s="66">
        <f t="shared" si="1"/>
        <v>27.7</v>
      </c>
      <c r="M107" s="66">
        <f t="shared" si="1"/>
        <v>95.49</v>
      </c>
      <c r="N107" s="66">
        <f t="shared" si="1"/>
        <v>572.9</v>
      </c>
      <c r="O107" s="66">
        <f t="shared" si="1"/>
        <v>0</v>
      </c>
      <c r="P107" s="66">
        <f t="shared" si="1"/>
        <v>3.74</v>
      </c>
      <c r="Q107" s="66">
        <f t="shared" si="1"/>
        <v>9.8800000000000008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30.32322916666666</v>
      </c>
      <c r="C108" s="67">
        <f t="shared" ref="C108:Q108" si="2">AVERAGE(C9:C104)</f>
        <v>20.994337349397593</v>
      </c>
      <c r="D108" s="67">
        <f t="shared" si="2"/>
        <v>31.985312500000003</v>
      </c>
      <c r="E108" s="67">
        <f t="shared" si="2"/>
        <v>6.1450000000000031</v>
      </c>
      <c r="F108" s="67">
        <f t="shared" si="2"/>
        <v>3.4153125000000006</v>
      </c>
      <c r="G108" s="67">
        <f t="shared" si="2"/>
        <v>89.115520833333335</v>
      </c>
      <c r="H108" s="67">
        <f t="shared" si="2"/>
        <v>34.751145833333304</v>
      </c>
      <c r="I108" s="67">
        <f t="shared" si="2"/>
        <v>4.3126041666666666</v>
      </c>
      <c r="J108" s="67">
        <f t="shared" si="2"/>
        <v>0.51791666666666647</v>
      </c>
      <c r="K108" s="67">
        <f t="shared" si="2"/>
        <v>257.19302083333326</v>
      </c>
      <c r="L108" s="67">
        <f t="shared" si="2"/>
        <v>18.500520833333344</v>
      </c>
      <c r="M108" s="67">
        <f t="shared" si="2"/>
        <v>49.385520833333338</v>
      </c>
      <c r="N108" s="67">
        <f t="shared" si="2"/>
        <v>157.68749999999997</v>
      </c>
      <c r="O108" s="67">
        <f t="shared" si="2"/>
        <v>0</v>
      </c>
      <c r="P108" s="67">
        <f t="shared" si="2"/>
        <v>1.4012499999999994</v>
      </c>
      <c r="Q108" s="67">
        <f t="shared" si="2"/>
        <v>9.6918749999999942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32.126071540426707</v>
      </c>
      <c r="C109" s="67">
        <f t="shared" ref="C109:Q109" si="3">STDEV(C9:C104)</f>
        <v>7.084272376491433</v>
      </c>
      <c r="D109" s="67">
        <f t="shared" si="3"/>
        <v>18.134670310478118</v>
      </c>
      <c r="E109" s="67">
        <f t="shared" si="3"/>
        <v>2.6412166255644145</v>
      </c>
      <c r="F109" s="67">
        <f t="shared" si="3"/>
        <v>1.1565893172099619</v>
      </c>
      <c r="G109" s="67">
        <f t="shared" si="3"/>
        <v>55.004188335641494</v>
      </c>
      <c r="H109" s="67">
        <f t="shared" si="3"/>
        <v>19.901623888770729</v>
      </c>
      <c r="I109" s="67">
        <f t="shared" si="3"/>
        <v>1.885393296840723</v>
      </c>
      <c r="J109" s="67">
        <f t="shared" si="3"/>
        <v>0.36311783404772185</v>
      </c>
      <c r="K109" s="67">
        <f t="shared" si="3"/>
        <v>119.4438855355567</v>
      </c>
      <c r="L109" s="67">
        <f t="shared" si="3"/>
        <v>4.9689317648536395</v>
      </c>
      <c r="M109" s="67">
        <f t="shared" si="3"/>
        <v>21.981410704683682</v>
      </c>
      <c r="N109" s="67">
        <f t="shared" si="3"/>
        <v>197.55940412416408</v>
      </c>
      <c r="O109" s="67">
        <f t="shared" si="3"/>
        <v>0</v>
      </c>
      <c r="P109" s="67">
        <f t="shared" si="3"/>
        <v>0.82294241021247483</v>
      </c>
      <c r="Q109" s="67">
        <f t="shared" si="3"/>
        <v>6.7110474513846635E-2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COUNT(C9:C104)+13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1" sqref="C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823</v>
      </c>
      <c r="B9" s="64">
        <v>116.22</v>
      </c>
      <c r="C9" s="6" t="s">
        <v>42</v>
      </c>
      <c r="D9" s="64">
        <v>77.87</v>
      </c>
      <c r="E9" s="64">
        <v>6.05</v>
      </c>
      <c r="F9" s="64">
        <v>3.43</v>
      </c>
      <c r="G9" s="64">
        <v>213.13</v>
      </c>
      <c r="H9" s="64">
        <v>85.59</v>
      </c>
      <c r="I9" s="64">
        <v>9.8699999999999992</v>
      </c>
      <c r="J9" s="64">
        <v>0.19</v>
      </c>
      <c r="K9" s="64">
        <v>316.38</v>
      </c>
      <c r="L9" s="64">
        <v>13.53</v>
      </c>
      <c r="M9" s="64">
        <v>92.06</v>
      </c>
      <c r="N9" s="64">
        <v>31.6</v>
      </c>
      <c r="O9" s="64">
        <v>0</v>
      </c>
      <c r="P9" s="64">
        <v>3.75</v>
      </c>
      <c r="Q9" s="64">
        <v>9.85</v>
      </c>
      <c r="R9" s="198"/>
      <c r="S9" s="198"/>
      <c r="T9" s="198"/>
      <c r="U9" s="198"/>
    </row>
    <row r="10" spans="1:21" s="12" customFormat="1" x14ac:dyDescent="0.25">
      <c r="A10" s="214" t="s">
        <v>824</v>
      </c>
      <c r="B10" s="64">
        <v>116.71</v>
      </c>
      <c r="C10" s="6" t="s">
        <v>42</v>
      </c>
      <c r="D10" s="64">
        <v>77.87</v>
      </c>
      <c r="E10" s="64">
        <v>6.05</v>
      </c>
      <c r="F10" s="64">
        <v>3.56</v>
      </c>
      <c r="G10" s="64">
        <v>188.93</v>
      </c>
      <c r="H10" s="64">
        <v>84.66</v>
      </c>
      <c r="I10" s="64">
        <v>9.93</v>
      </c>
      <c r="J10" s="64">
        <v>0.2</v>
      </c>
      <c r="K10" s="64">
        <v>347.99</v>
      </c>
      <c r="L10" s="64">
        <v>13.76</v>
      </c>
      <c r="M10" s="64">
        <v>84.16</v>
      </c>
      <c r="N10" s="64">
        <v>31.9</v>
      </c>
      <c r="O10" s="64">
        <v>0</v>
      </c>
      <c r="P10" s="64">
        <v>3.78</v>
      </c>
      <c r="Q10" s="64">
        <v>9.85</v>
      </c>
      <c r="R10" s="198"/>
      <c r="S10" s="198"/>
      <c r="T10" s="198"/>
      <c r="U10" s="198"/>
    </row>
    <row r="11" spans="1:21" s="12" customFormat="1" x14ac:dyDescent="0.25">
      <c r="A11" s="214" t="s">
        <v>825</v>
      </c>
      <c r="B11" s="64">
        <v>114.46</v>
      </c>
      <c r="C11" s="6" t="s">
        <v>42</v>
      </c>
      <c r="D11" s="64">
        <v>76.510000000000005</v>
      </c>
      <c r="E11" s="64">
        <v>6.13</v>
      </c>
      <c r="F11" s="64">
        <v>3.53</v>
      </c>
      <c r="G11" s="64">
        <v>188.93</v>
      </c>
      <c r="H11" s="64">
        <v>84.66</v>
      </c>
      <c r="I11" s="64">
        <v>10.08</v>
      </c>
      <c r="J11" s="64">
        <v>0.16</v>
      </c>
      <c r="K11" s="64">
        <v>209.16</v>
      </c>
      <c r="L11" s="64">
        <v>13.73</v>
      </c>
      <c r="M11" s="64">
        <v>80.989999999999995</v>
      </c>
      <c r="N11" s="64">
        <v>32</v>
      </c>
      <c r="O11" s="64">
        <v>0</v>
      </c>
      <c r="P11" s="64">
        <v>3.78</v>
      </c>
      <c r="Q11" s="64">
        <v>9.86</v>
      </c>
      <c r="R11" s="198"/>
      <c r="S11" s="198"/>
      <c r="T11" s="198"/>
      <c r="U11" s="198"/>
    </row>
    <row r="12" spans="1:21" s="12" customFormat="1" x14ac:dyDescent="0.25">
      <c r="A12" s="214" t="s">
        <v>826</v>
      </c>
      <c r="B12" s="64">
        <v>110.82</v>
      </c>
      <c r="C12" s="6" t="s">
        <v>42</v>
      </c>
      <c r="D12" s="64">
        <v>74.510000000000005</v>
      </c>
      <c r="E12" s="64">
        <v>6.04</v>
      </c>
      <c r="F12" s="64">
        <v>3.68</v>
      </c>
      <c r="G12" s="64">
        <v>188.93</v>
      </c>
      <c r="H12" s="64">
        <v>84.66</v>
      </c>
      <c r="I12" s="64">
        <v>10.16</v>
      </c>
      <c r="J12" s="64">
        <v>0.36</v>
      </c>
      <c r="K12" s="64">
        <v>274.3</v>
      </c>
      <c r="L12" s="64">
        <v>13.65</v>
      </c>
      <c r="M12" s="64">
        <v>77.569999999999993</v>
      </c>
      <c r="N12" s="64">
        <v>32</v>
      </c>
      <c r="O12" s="64">
        <v>0</v>
      </c>
      <c r="P12" s="64">
        <v>3.79</v>
      </c>
      <c r="Q12" s="64">
        <v>9.84</v>
      </c>
      <c r="R12" s="198"/>
      <c r="S12" s="198"/>
      <c r="T12" s="198"/>
      <c r="U12" s="198"/>
    </row>
    <row r="13" spans="1:21" s="12" customFormat="1" x14ac:dyDescent="0.25">
      <c r="A13" s="214" t="s">
        <v>827</v>
      </c>
      <c r="B13" s="64">
        <v>106.29</v>
      </c>
      <c r="C13" s="6" t="s">
        <v>42</v>
      </c>
      <c r="D13" s="64">
        <v>72.180000000000007</v>
      </c>
      <c r="E13" s="64">
        <v>5.95</v>
      </c>
      <c r="F13" s="64">
        <v>3.54</v>
      </c>
      <c r="G13" s="64">
        <v>202.31</v>
      </c>
      <c r="H13" s="64">
        <v>86.52</v>
      </c>
      <c r="I13" s="64">
        <v>10.220000000000001</v>
      </c>
      <c r="J13" s="64">
        <v>0.32</v>
      </c>
      <c r="K13" s="64">
        <v>240.61</v>
      </c>
      <c r="L13" s="64">
        <v>13.39</v>
      </c>
      <c r="M13" s="64">
        <v>75.569999999999993</v>
      </c>
      <c r="N13" s="64">
        <v>32.1</v>
      </c>
      <c r="O13" s="64">
        <v>0</v>
      </c>
      <c r="P13" s="64">
        <v>3.1</v>
      </c>
      <c r="Q13" s="64">
        <v>9.83</v>
      </c>
      <c r="R13" s="198"/>
      <c r="S13" s="198"/>
      <c r="T13" s="198"/>
      <c r="U13" s="198"/>
    </row>
    <row r="14" spans="1:21" s="12" customFormat="1" x14ac:dyDescent="0.25">
      <c r="A14" s="214" t="s">
        <v>828</v>
      </c>
      <c r="B14" s="64">
        <v>101.29</v>
      </c>
      <c r="C14" s="6" t="s">
        <v>42</v>
      </c>
      <c r="D14" s="64">
        <v>69.53</v>
      </c>
      <c r="E14" s="64">
        <v>5.9</v>
      </c>
      <c r="F14" s="64">
        <v>3.72</v>
      </c>
      <c r="G14" s="64">
        <v>214.78</v>
      </c>
      <c r="H14" s="64">
        <v>87.87</v>
      </c>
      <c r="I14" s="64">
        <v>10.28</v>
      </c>
      <c r="J14" s="64">
        <v>0.32</v>
      </c>
      <c r="K14" s="64">
        <v>264.47000000000003</v>
      </c>
      <c r="L14" s="64">
        <v>12.94</v>
      </c>
      <c r="M14" s="64">
        <v>80.92</v>
      </c>
      <c r="N14" s="64">
        <v>32.200000000000003</v>
      </c>
      <c r="O14" s="64">
        <v>0</v>
      </c>
      <c r="P14" s="64">
        <v>3.24</v>
      </c>
      <c r="Q14" s="64">
        <v>9.81</v>
      </c>
      <c r="R14" s="198"/>
      <c r="S14" s="198"/>
      <c r="T14" s="198"/>
      <c r="U14" s="198"/>
    </row>
    <row r="15" spans="1:21" s="12" customFormat="1" x14ac:dyDescent="0.25">
      <c r="A15" s="214" t="s">
        <v>829</v>
      </c>
      <c r="B15" s="64">
        <v>96.29</v>
      </c>
      <c r="C15" s="6" t="s">
        <v>42</v>
      </c>
      <c r="D15" s="64">
        <v>66.7</v>
      </c>
      <c r="E15" s="64">
        <v>5.42</v>
      </c>
      <c r="F15" s="64">
        <v>3.73</v>
      </c>
      <c r="G15" s="64">
        <v>214.78</v>
      </c>
      <c r="H15" s="64">
        <v>87.87</v>
      </c>
      <c r="I15" s="64">
        <v>10.24</v>
      </c>
      <c r="J15" s="64">
        <v>0.14000000000000001</v>
      </c>
      <c r="K15" s="64">
        <v>268.64</v>
      </c>
      <c r="L15" s="64">
        <v>12.63</v>
      </c>
      <c r="M15" s="64">
        <v>86.84</v>
      </c>
      <c r="N15" s="64">
        <v>31.9</v>
      </c>
      <c r="O15" s="64">
        <v>0</v>
      </c>
      <c r="P15" s="64">
        <v>3.22</v>
      </c>
      <c r="Q15" s="64">
        <v>9.82</v>
      </c>
      <c r="R15" s="198"/>
      <c r="S15" s="198"/>
      <c r="T15" s="198"/>
      <c r="U15" s="198"/>
    </row>
    <row r="16" spans="1:21" s="12" customFormat="1" x14ac:dyDescent="0.25">
      <c r="A16" s="214" t="s">
        <v>830</v>
      </c>
      <c r="B16" s="64">
        <v>92.05</v>
      </c>
      <c r="C16" s="6" t="s">
        <v>42</v>
      </c>
      <c r="D16" s="64">
        <v>64.680000000000007</v>
      </c>
      <c r="E16" s="64">
        <v>5.46</v>
      </c>
      <c r="F16" s="64">
        <v>3.31</v>
      </c>
      <c r="G16" s="64">
        <v>214.78</v>
      </c>
      <c r="H16" s="64">
        <v>87.87</v>
      </c>
      <c r="I16" s="64">
        <v>11.01</v>
      </c>
      <c r="J16" s="64">
        <v>0.08</v>
      </c>
      <c r="K16" s="64">
        <v>26.3</v>
      </c>
      <c r="L16" s="64">
        <v>12.64</v>
      </c>
      <c r="M16" s="64">
        <v>86.04</v>
      </c>
      <c r="N16" s="64">
        <v>31.8</v>
      </c>
      <c r="O16" s="64">
        <v>0</v>
      </c>
      <c r="P16" s="64">
        <v>3.24</v>
      </c>
      <c r="Q16" s="64">
        <v>9.81</v>
      </c>
      <c r="R16" s="198"/>
      <c r="S16" s="198"/>
      <c r="T16" s="198"/>
      <c r="U16" s="198"/>
    </row>
    <row r="17" spans="1:21" s="12" customFormat="1" x14ac:dyDescent="0.25">
      <c r="A17" s="214" t="s">
        <v>831</v>
      </c>
      <c r="B17" s="64">
        <v>88.26</v>
      </c>
      <c r="C17" s="6" t="s">
        <v>42</v>
      </c>
      <c r="D17" s="64">
        <v>62.85</v>
      </c>
      <c r="E17" s="64">
        <v>5.86</v>
      </c>
      <c r="F17" s="64">
        <v>3.18</v>
      </c>
      <c r="G17" s="64">
        <v>198.67</v>
      </c>
      <c r="H17" s="64">
        <v>87.45</v>
      </c>
      <c r="I17" s="64">
        <v>10.53</v>
      </c>
      <c r="J17" s="64">
        <v>0.21</v>
      </c>
      <c r="K17" s="64">
        <v>218.48</v>
      </c>
      <c r="L17" s="64">
        <v>13.23</v>
      </c>
      <c r="M17" s="64">
        <v>75.42</v>
      </c>
      <c r="N17" s="64">
        <v>31.5</v>
      </c>
      <c r="O17" s="64">
        <v>0</v>
      </c>
      <c r="P17" s="64">
        <v>3.24</v>
      </c>
      <c r="Q17" s="64">
        <v>9.7899999999999991</v>
      </c>
      <c r="R17" s="198"/>
      <c r="S17" s="198"/>
      <c r="T17" s="198"/>
      <c r="U17" s="198"/>
    </row>
    <row r="18" spans="1:21" s="12" customFormat="1" x14ac:dyDescent="0.25">
      <c r="A18" s="214" t="s">
        <v>832</v>
      </c>
      <c r="B18" s="64">
        <v>84.32</v>
      </c>
      <c r="C18" s="6" t="s">
        <v>42</v>
      </c>
      <c r="D18" s="64">
        <v>60.66</v>
      </c>
      <c r="E18" s="64">
        <v>5.63</v>
      </c>
      <c r="F18" s="64">
        <v>3.23</v>
      </c>
      <c r="G18" s="64">
        <v>185.2</v>
      </c>
      <c r="H18" s="64">
        <v>87.29</v>
      </c>
      <c r="I18" s="64">
        <v>10.28</v>
      </c>
      <c r="J18" s="64">
        <v>0.33</v>
      </c>
      <c r="K18" s="64">
        <v>273.60000000000002</v>
      </c>
      <c r="L18" s="64">
        <v>13.32</v>
      </c>
      <c r="M18" s="64">
        <v>73.260000000000005</v>
      </c>
      <c r="N18" s="64">
        <v>31.8</v>
      </c>
      <c r="O18" s="64">
        <v>0</v>
      </c>
      <c r="P18" s="64">
        <v>3.2</v>
      </c>
      <c r="Q18" s="64">
        <v>9.8000000000000007</v>
      </c>
      <c r="R18" s="198"/>
      <c r="S18" s="198"/>
      <c r="T18" s="198"/>
      <c r="U18" s="198"/>
    </row>
    <row r="19" spans="1:21" s="12" customFormat="1" x14ac:dyDescent="0.25">
      <c r="A19" s="214" t="s">
        <v>833</v>
      </c>
      <c r="B19" s="64">
        <v>80.349999999999994</v>
      </c>
      <c r="C19" s="6" t="s">
        <v>42</v>
      </c>
      <c r="D19" s="64">
        <v>58.39</v>
      </c>
      <c r="E19" s="64">
        <v>5.57</v>
      </c>
      <c r="F19" s="64">
        <v>3.33</v>
      </c>
      <c r="G19" s="64">
        <v>185.2</v>
      </c>
      <c r="H19" s="64">
        <v>87.29</v>
      </c>
      <c r="I19" s="64">
        <v>10.220000000000001</v>
      </c>
      <c r="J19" s="64">
        <v>0.3</v>
      </c>
      <c r="K19" s="64">
        <v>249.76</v>
      </c>
      <c r="L19" s="64">
        <v>13.02</v>
      </c>
      <c r="M19" s="64">
        <v>74.86</v>
      </c>
      <c r="N19" s="64">
        <v>31.9</v>
      </c>
      <c r="O19" s="64">
        <v>0</v>
      </c>
      <c r="P19" s="64">
        <v>3.13</v>
      </c>
      <c r="Q19" s="64">
        <v>9.7799999999999994</v>
      </c>
      <c r="R19" s="198"/>
      <c r="S19" s="198"/>
      <c r="T19" s="198"/>
      <c r="U19" s="198"/>
    </row>
    <row r="20" spans="1:21" s="12" customFormat="1" x14ac:dyDescent="0.25">
      <c r="A20" s="214" t="s">
        <v>834</v>
      </c>
      <c r="B20" s="64">
        <v>76.5</v>
      </c>
      <c r="C20" s="6" t="s">
        <v>42</v>
      </c>
      <c r="D20" s="64">
        <v>56.22</v>
      </c>
      <c r="E20" s="64">
        <v>5.39</v>
      </c>
      <c r="F20" s="64">
        <v>3.65</v>
      </c>
      <c r="G20" s="64">
        <v>185.2</v>
      </c>
      <c r="H20" s="64">
        <v>87.29</v>
      </c>
      <c r="I20" s="64">
        <v>10.11</v>
      </c>
      <c r="J20" s="64">
        <v>0.22</v>
      </c>
      <c r="K20" s="64">
        <v>286.08</v>
      </c>
      <c r="L20" s="64">
        <v>12.66</v>
      </c>
      <c r="M20" s="64">
        <v>78.11</v>
      </c>
      <c r="N20" s="64">
        <v>32</v>
      </c>
      <c r="O20" s="64">
        <v>0</v>
      </c>
      <c r="P20" s="64">
        <v>3.05</v>
      </c>
      <c r="Q20" s="64">
        <v>9.77</v>
      </c>
      <c r="R20" s="198"/>
      <c r="S20" s="198"/>
      <c r="T20" s="198"/>
      <c r="U20" s="198"/>
    </row>
    <row r="21" spans="1:21" s="12" customFormat="1" x14ac:dyDescent="0.25">
      <c r="A21" s="214" t="s">
        <v>835</v>
      </c>
      <c r="B21" s="64">
        <v>72.78</v>
      </c>
      <c r="C21" s="6" t="s">
        <v>42</v>
      </c>
      <c r="D21" s="64">
        <v>54.07</v>
      </c>
      <c r="E21" s="64">
        <v>5.36</v>
      </c>
      <c r="F21" s="64">
        <v>3.48</v>
      </c>
      <c r="G21" s="64">
        <v>167.56</v>
      </c>
      <c r="H21" s="64">
        <v>80.62</v>
      </c>
      <c r="I21" s="64">
        <v>9.9499999999999993</v>
      </c>
      <c r="J21" s="64">
        <v>0.28000000000000003</v>
      </c>
      <c r="K21" s="64">
        <v>304.72000000000003</v>
      </c>
      <c r="L21" s="64">
        <v>12.52</v>
      </c>
      <c r="M21" s="64">
        <v>77.790000000000006</v>
      </c>
      <c r="N21" s="64">
        <v>32</v>
      </c>
      <c r="O21" s="64">
        <v>0</v>
      </c>
      <c r="P21" s="64">
        <v>2.95</v>
      </c>
      <c r="Q21" s="64">
        <v>9.7899999999999991</v>
      </c>
      <c r="R21" s="198"/>
      <c r="S21" s="198"/>
      <c r="T21" s="198"/>
      <c r="U21" s="198"/>
    </row>
    <row r="22" spans="1:21" s="12" customFormat="1" x14ac:dyDescent="0.25">
      <c r="A22" s="214" t="s">
        <v>836</v>
      </c>
      <c r="B22" s="64">
        <v>69.099999999999994</v>
      </c>
      <c r="C22" s="6" t="s">
        <v>42</v>
      </c>
      <c r="D22" s="64">
        <v>51.92</v>
      </c>
      <c r="E22" s="64">
        <v>5.37</v>
      </c>
      <c r="F22" s="64">
        <v>3.36</v>
      </c>
      <c r="G22" s="64">
        <v>152.80000000000001</v>
      </c>
      <c r="H22" s="64">
        <v>78.040000000000006</v>
      </c>
      <c r="I22" s="64">
        <v>2.61</v>
      </c>
      <c r="J22" s="64">
        <v>0.23</v>
      </c>
      <c r="K22" s="64">
        <v>323.07</v>
      </c>
      <c r="L22" s="64">
        <v>12.03</v>
      </c>
      <c r="M22" s="64">
        <v>80.290000000000006</v>
      </c>
      <c r="N22" s="64">
        <v>31.9</v>
      </c>
      <c r="O22" s="64">
        <v>0</v>
      </c>
      <c r="P22" s="64">
        <v>2.85</v>
      </c>
      <c r="Q22" s="64">
        <v>9.7799999999999994</v>
      </c>
      <c r="R22" s="198"/>
      <c r="S22" s="198"/>
      <c r="T22" s="198"/>
      <c r="U22" s="198"/>
    </row>
    <row r="23" spans="1:21" s="12" customFormat="1" x14ac:dyDescent="0.25">
      <c r="A23" s="214" t="s">
        <v>837</v>
      </c>
      <c r="B23" s="64">
        <v>65.94</v>
      </c>
      <c r="C23" s="6" t="s">
        <v>42</v>
      </c>
      <c r="D23" s="64">
        <v>49.92</v>
      </c>
      <c r="E23" s="64">
        <v>5.41</v>
      </c>
      <c r="F23" s="64">
        <v>3.43</v>
      </c>
      <c r="G23" s="64">
        <v>152.80000000000001</v>
      </c>
      <c r="H23" s="64">
        <v>78.040000000000006</v>
      </c>
      <c r="I23" s="64">
        <v>0.1</v>
      </c>
      <c r="J23" s="64">
        <v>0.37</v>
      </c>
      <c r="K23" s="64">
        <v>261.2</v>
      </c>
      <c r="L23" s="64">
        <v>12.05</v>
      </c>
      <c r="M23" s="64">
        <v>81.849999999999994</v>
      </c>
      <c r="N23" s="64">
        <v>31.8</v>
      </c>
      <c r="O23" s="64">
        <v>0</v>
      </c>
      <c r="P23" s="64">
        <v>2.72</v>
      </c>
      <c r="Q23" s="64">
        <v>9.76</v>
      </c>
      <c r="R23" s="198"/>
      <c r="S23" s="198"/>
      <c r="T23" s="198"/>
      <c r="U23" s="198"/>
    </row>
    <row r="24" spans="1:21" s="12" customFormat="1" x14ac:dyDescent="0.25">
      <c r="A24" s="214" t="s">
        <v>838</v>
      </c>
      <c r="B24" s="64">
        <v>62.52</v>
      </c>
      <c r="C24" s="6" t="s">
        <v>42</v>
      </c>
      <c r="D24" s="64">
        <v>47.83</v>
      </c>
      <c r="E24" s="64">
        <v>5.34</v>
      </c>
      <c r="F24" s="64">
        <v>3.48</v>
      </c>
      <c r="G24" s="64">
        <v>152.80000000000001</v>
      </c>
      <c r="H24" s="64">
        <v>78.040000000000006</v>
      </c>
      <c r="I24" s="64">
        <v>0.1</v>
      </c>
      <c r="J24" s="64">
        <v>0.26</v>
      </c>
      <c r="K24" s="64">
        <v>281.39999999999998</v>
      </c>
      <c r="L24" s="64">
        <v>12.12</v>
      </c>
      <c r="M24" s="64">
        <v>79.48</v>
      </c>
      <c r="N24" s="64">
        <v>32</v>
      </c>
      <c r="O24" s="64">
        <v>0</v>
      </c>
      <c r="P24" s="64">
        <v>2.57</v>
      </c>
      <c r="Q24" s="64">
        <v>9.75</v>
      </c>
      <c r="R24" s="198"/>
      <c r="S24" s="198"/>
      <c r="T24" s="198"/>
      <c r="U24" s="198"/>
    </row>
    <row r="25" spans="1:21" s="12" customFormat="1" x14ac:dyDescent="0.25">
      <c r="A25" s="214" t="s">
        <v>839</v>
      </c>
      <c r="B25" s="64">
        <v>59.49</v>
      </c>
      <c r="C25" s="6" t="s">
        <v>42</v>
      </c>
      <c r="D25" s="64">
        <v>46.06</v>
      </c>
      <c r="E25" s="64">
        <v>5.18</v>
      </c>
      <c r="F25" s="64">
        <v>3.09</v>
      </c>
      <c r="G25" s="64">
        <v>127.24</v>
      </c>
      <c r="H25" s="64">
        <v>69.73</v>
      </c>
      <c r="I25" s="64">
        <v>0.1</v>
      </c>
      <c r="J25" s="64">
        <v>0.01</v>
      </c>
      <c r="K25" s="64">
        <v>222.29</v>
      </c>
      <c r="L25" s="64">
        <v>11.78</v>
      </c>
      <c r="M25" s="64">
        <v>81.459999999999994</v>
      </c>
      <c r="N25" s="64">
        <v>32.1</v>
      </c>
      <c r="O25" s="64">
        <v>0</v>
      </c>
      <c r="P25" s="64">
        <v>2.44</v>
      </c>
      <c r="Q25" s="64">
        <v>9.74</v>
      </c>
      <c r="R25" s="198"/>
      <c r="S25" s="198"/>
      <c r="T25" s="198"/>
      <c r="U25" s="198"/>
    </row>
    <row r="26" spans="1:21" s="12" customFormat="1" x14ac:dyDescent="0.25">
      <c r="A26" s="214" t="s">
        <v>840</v>
      </c>
      <c r="B26" s="64">
        <v>57.2</v>
      </c>
      <c r="C26" s="6" t="s">
        <v>42</v>
      </c>
      <c r="D26" s="64">
        <v>44.77</v>
      </c>
      <c r="E26" s="64">
        <v>4.9000000000000004</v>
      </c>
      <c r="F26" s="64">
        <v>2.99</v>
      </c>
      <c r="G26" s="64">
        <v>105.86</v>
      </c>
      <c r="H26" s="64">
        <v>66.61</v>
      </c>
      <c r="I26" s="64">
        <v>0.1</v>
      </c>
      <c r="J26" s="64">
        <v>0.31</v>
      </c>
      <c r="K26" s="64">
        <v>325.47000000000003</v>
      </c>
      <c r="L26" s="64">
        <v>11.61</v>
      </c>
      <c r="M26" s="64">
        <v>85.11</v>
      </c>
      <c r="N26" s="64">
        <v>32.1</v>
      </c>
      <c r="O26" s="64">
        <v>0</v>
      </c>
      <c r="P26" s="64">
        <v>2.3199999999999998</v>
      </c>
      <c r="Q26" s="64">
        <v>9.7200000000000006</v>
      </c>
      <c r="R26" s="198"/>
      <c r="S26" s="198"/>
      <c r="T26" s="198"/>
      <c r="U26" s="198"/>
    </row>
    <row r="27" spans="1:21" s="12" customFormat="1" x14ac:dyDescent="0.25">
      <c r="A27" s="214" t="s">
        <v>841</v>
      </c>
      <c r="B27" s="64">
        <v>55.76</v>
      </c>
      <c r="C27" s="6" t="s">
        <v>42</v>
      </c>
      <c r="D27" s="64">
        <v>44</v>
      </c>
      <c r="E27" s="64">
        <v>4.9800000000000004</v>
      </c>
      <c r="F27" s="64">
        <v>2.99</v>
      </c>
      <c r="G27" s="64">
        <v>105.86</v>
      </c>
      <c r="H27" s="64">
        <v>66.61</v>
      </c>
      <c r="I27" s="64">
        <v>0.1</v>
      </c>
      <c r="J27" s="64">
        <v>0.25</v>
      </c>
      <c r="K27" s="64">
        <v>273.27999999999997</v>
      </c>
      <c r="L27" s="64">
        <v>11.66</v>
      </c>
      <c r="M27" s="64">
        <v>85.28</v>
      </c>
      <c r="N27" s="64">
        <v>31.9</v>
      </c>
      <c r="O27" s="64">
        <v>0</v>
      </c>
      <c r="P27" s="64">
        <v>2.2200000000000002</v>
      </c>
      <c r="Q27" s="64">
        <v>9.7200000000000006</v>
      </c>
      <c r="R27" s="198"/>
      <c r="S27" s="198"/>
      <c r="T27" s="198"/>
      <c r="U27" s="198"/>
    </row>
    <row r="28" spans="1:21" s="12" customFormat="1" x14ac:dyDescent="0.25">
      <c r="A28" s="214" t="s">
        <v>842</v>
      </c>
      <c r="B28" s="64">
        <v>54.95</v>
      </c>
      <c r="C28" s="64">
        <v>0.04</v>
      </c>
      <c r="D28" s="64">
        <v>43.62</v>
      </c>
      <c r="E28" s="64">
        <v>4.87</v>
      </c>
      <c r="F28" s="64">
        <v>2.83</v>
      </c>
      <c r="G28" s="64">
        <v>105.86</v>
      </c>
      <c r="H28" s="64">
        <v>66.61</v>
      </c>
      <c r="I28" s="64">
        <v>0.1</v>
      </c>
      <c r="J28" s="64">
        <v>0.25</v>
      </c>
      <c r="K28" s="64">
        <v>325.95999999999998</v>
      </c>
      <c r="L28" s="64">
        <v>11.39</v>
      </c>
      <c r="M28" s="64">
        <v>87</v>
      </c>
      <c r="N28" s="64">
        <v>32.1</v>
      </c>
      <c r="O28" s="64">
        <v>0</v>
      </c>
      <c r="P28" s="64">
        <v>2.13</v>
      </c>
      <c r="Q28" s="64">
        <v>9.7100000000000009</v>
      </c>
      <c r="R28" s="198"/>
      <c r="S28" s="198"/>
      <c r="T28" s="198"/>
      <c r="U28" s="198"/>
    </row>
    <row r="29" spans="1:21" s="12" customFormat="1" x14ac:dyDescent="0.25">
      <c r="A29" s="214" t="s">
        <v>843</v>
      </c>
      <c r="B29" s="64">
        <v>55.01</v>
      </c>
      <c r="C29" s="64">
        <v>0.01</v>
      </c>
      <c r="D29" s="64">
        <v>43.63</v>
      </c>
      <c r="E29" s="64">
        <v>4.93</v>
      </c>
      <c r="F29" s="64">
        <v>2.6</v>
      </c>
      <c r="G29" s="64">
        <v>123.99</v>
      </c>
      <c r="H29" s="64">
        <v>64.34</v>
      </c>
      <c r="I29" s="64">
        <v>0.1</v>
      </c>
      <c r="J29" s="64">
        <v>0.34</v>
      </c>
      <c r="K29" s="64">
        <v>229.98</v>
      </c>
      <c r="L29" s="64">
        <v>11.45</v>
      </c>
      <c r="M29" s="64">
        <v>86.38</v>
      </c>
      <c r="N29" s="64">
        <v>31.7</v>
      </c>
      <c r="O29" s="64">
        <v>0</v>
      </c>
      <c r="P29" s="64">
        <v>2.04</v>
      </c>
      <c r="Q29" s="64">
        <v>9.7100000000000009</v>
      </c>
      <c r="R29" s="198"/>
      <c r="S29" s="198"/>
      <c r="T29" s="198"/>
      <c r="U29" s="198"/>
    </row>
    <row r="30" spans="1:21" s="12" customFormat="1" x14ac:dyDescent="0.25">
      <c r="A30" s="214" t="s">
        <v>844</v>
      </c>
      <c r="B30" s="64">
        <v>54.59</v>
      </c>
      <c r="C30" s="64">
        <v>0.13</v>
      </c>
      <c r="D30" s="64">
        <v>43.38</v>
      </c>
      <c r="E30" s="64">
        <v>4.8600000000000003</v>
      </c>
      <c r="F30" s="64">
        <v>2.84</v>
      </c>
      <c r="G30" s="64">
        <v>139.16</v>
      </c>
      <c r="H30" s="64">
        <v>62.69</v>
      </c>
      <c r="I30" s="64">
        <v>0.1</v>
      </c>
      <c r="J30" s="64">
        <v>0.32</v>
      </c>
      <c r="K30" s="64">
        <v>277.95</v>
      </c>
      <c r="L30" s="64">
        <v>11.41</v>
      </c>
      <c r="M30" s="64">
        <v>86</v>
      </c>
      <c r="N30" s="64">
        <v>31.9</v>
      </c>
      <c r="O30" s="64">
        <v>0</v>
      </c>
      <c r="P30" s="64">
        <v>1.97</v>
      </c>
      <c r="Q30" s="64">
        <v>9.7100000000000009</v>
      </c>
      <c r="R30" s="198"/>
      <c r="S30" s="198"/>
      <c r="T30" s="198"/>
      <c r="U30" s="198"/>
    </row>
    <row r="31" spans="1:21" s="12" customFormat="1" x14ac:dyDescent="0.25">
      <c r="A31" s="214" t="s">
        <v>845</v>
      </c>
      <c r="B31" s="64">
        <v>55.13</v>
      </c>
      <c r="C31" s="64">
        <v>0.01</v>
      </c>
      <c r="D31" s="64">
        <v>43.69</v>
      </c>
      <c r="E31" s="64">
        <v>4.8499999999999996</v>
      </c>
      <c r="F31" s="64">
        <v>2.99</v>
      </c>
      <c r="G31" s="64">
        <v>139.16</v>
      </c>
      <c r="H31" s="64">
        <v>62.69</v>
      </c>
      <c r="I31" s="64">
        <v>0.1</v>
      </c>
      <c r="J31" s="64">
        <v>0.44</v>
      </c>
      <c r="K31" s="64">
        <v>228.68</v>
      </c>
      <c r="L31" s="64">
        <v>11.44</v>
      </c>
      <c r="M31" s="64">
        <v>95.19</v>
      </c>
      <c r="N31" s="64">
        <v>31.6</v>
      </c>
      <c r="O31" s="64">
        <v>0</v>
      </c>
      <c r="P31" s="64">
        <v>1.89</v>
      </c>
      <c r="Q31" s="64">
        <v>9.7100000000000009</v>
      </c>
      <c r="R31" s="198"/>
      <c r="S31" s="198"/>
      <c r="T31" s="198"/>
      <c r="U31" s="198"/>
    </row>
    <row r="32" spans="1:21" s="12" customFormat="1" x14ac:dyDescent="0.25">
      <c r="A32" s="214" t="s">
        <v>846</v>
      </c>
      <c r="B32" s="64">
        <v>55.4</v>
      </c>
      <c r="C32" s="64">
        <v>0.01</v>
      </c>
      <c r="D32" s="64">
        <v>43.58</v>
      </c>
      <c r="E32" s="64">
        <v>4.82</v>
      </c>
      <c r="F32" s="64">
        <v>2.72</v>
      </c>
      <c r="G32" s="64">
        <v>139.16</v>
      </c>
      <c r="H32" s="64">
        <v>62.69</v>
      </c>
      <c r="I32" s="64">
        <v>0.1</v>
      </c>
      <c r="J32" s="64">
        <v>0.33</v>
      </c>
      <c r="K32" s="64">
        <v>318.19</v>
      </c>
      <c r="L32" s="64">
        <v>11.26</v>
      </c>
      <c r="M32" s="64">
        <v>98.12</v>
      </c>
      <c r="N32" s="64">
        <v>32.200000000000003</v>
      </c>
      <c r="O32" s="64">
        <v>0</v>
      </c>
      <c r="P32" s="64">
        <v>1.81</v>
      </c>
      <c r="Q32" s="64">
        <v>9.7200000000000006</v>
      </c>
      <c r="R32" s="198"/>
      <c r="S32" s="198"/>
      <c r="T32" s="198"/>
      <c r="U32" s="198"/>
    </row>
    <row r="33" spans="1:21" s="12" customFormat="1" x14ac:dyDescent="0.25">
      <c r="A33" s="214" t="s">
        <v>847</v>
      </c>
      <c r="B33" s="64">
        <v>56.09</v>
      </c>
      <c r="C33" s="64">
        <v>0.01</v>
      </c>
      <c r="D33" s="64">
        <v>43.73</v>
      </c>
      <c r="E33" s="64">
        <v>5</v>
      </c>
      <c r="F33" s="64">
        <v>2.89</v>
      </c>
      <c r="G33" s="64">
        <v>131</v>
      </c>
      <c r="H33" s="64">
        <v>56.23</v>
      </c>
      <c r="I33" s="64">
        <v>0.1</v>
      </c>
      <c r="J33" s="64">
        <v>0.31</v>
      </c>
      <c r="K33" s="64">
        <v>281.12</v>
      </c>
      <c r="L33" s="64">
        <v>10.99</v>
      </c>
      <c r="M33" s="64">
        <v>98.15</v>
      </c>
      <c r="N33" s="64">
        <v>33.1</v>
      </c>
      <c r="O33" s="64">
        <v>0</v>
      </c>
      <c r="P33" s="64">
        <v>1.79</v>
      </c>
      <c r="Q33" s="64">
        <v>9.7100000000000009</v>
      </c>
      <c r="R33" s="198"/>
      <c r="S33" s="198"/>
      <c r="T33" s="198"/>
      <c r="U33" s="198"/>
    </row>
    <row r="34" spans="1:21" s="12" customFormat="1" x14ac:dyDescent="0.25">
      <c r="A34" s="214" t="s">
        <v>848</v>
      </c>
      <c r="B34" s="64">
        <v>57.85</v>
      </c>
      <c r="C34" s="64">
        <v>0.01</v>
      </c>
      <c r="D34" s="64">
        <v>44.74</v>
      </c>
      <c r="E34" s="64">
        <v>4.7</v>
      </c>
      <c r="F34" s="64">
        <v>3.09</v>
      </c>
      <c r="G34" s="64">
        <v>124.16</v>
      </c>
      <c r="H34" s="64">
        <v>53.86</v>
      </c>
      <c r="I34" s="64">
        <v>0.61</v>
      </c>
      <c r="J34" s="64">
        <v>0.28999999999999998</v>
      </c>
      <c r="K34" s="64">
        <v>256.49</v>
      </c>
      <c r="L34" s="64">
        <v>11.04</v>
      </c>
      <c r="M34" s="64">
        <v>98.15</v>
      </c>
      <c r="N34" s="64">
        <v>36.700000000000003</v>
      </c>
      <c r="O34" s="64">
        <v>0</v>
      </c>
      <c r="P34" s="64">
        <v>1.78</v>
      </c>
      <c r="Q34" s="64">
        <v>9.73</v>
      </c>
      <c r="R34" s="198"/>
      <c r="S34" s="198"/>
      <c r="T34" s="198"/>
      <c r="U34" s="198"/>
    </row>
    <row r="35" spans="1:21" s="12" customFormat="1" x14ac:dyDescent="0.25">
      <c r="A35" s="214" t="s">
        <v>849</v>
      </c>
      <c r="B35" s="64">
        <v>59.78</v>
      </c>
      <c r="C35" s="64">
        <v>0.01</v>
      </c>
      <c r="D35" s="64">
        <v>45.72</v>
      </c>
      <c r="E35" s="64">
        <v>4.7699999999999996</v>
      </c>
      <c r="F35" s="64">
        <v>3.02</v>
      </c>
      <c r="G35" s="64">
        <v>124.16</v>
      </c>
      <c r="H35" s="64">
        <v>53.86</v>
      </c>
      <c r="I35" s="64">
        <v>0.27</v>
      </c>
      <c r="J35" s="64">
        <v>0.47</v>
      </c>
      <c r="K35" s="64">
        <v>200.82</v>
      </c>
      <c r="L35" s="64">
        <v>11.35</v>
      </c>
      <c r="M35" s="64">
        <v>98.13</v>
      </c>
      <c r="N35" s="64">
        <v>47.1</v>
      </c>
      <c r="O35" s="64">
        <v>0</v>
      </c>
      <c r="P35" s="64">
        <v>1.77</v>
      </c>
      <c r="Q35" s="64">
        <v>9.73</v>
      </c>
      <c r="R35" s="198"/>
      <c r="S35" s="198"/>
      <c r="T35" s="198"/>
      <c r="U35" s="198"/>
    </row>
    <row r="36" spans="1:21" s="12" customFormat="1" x14ac:dyDescent="0.25">
      <c r="A36" s="214" t="s">
        <v>850</v>
      </c>
      <c r="B36" s="64">
        <v>60.13</v>
      </c>
      <c r="C36" s="64">
        <v>0.01</v>
      </c>
      <c r="D36" s="64">
        <v>45.8</v>
      </c>
      <c r="E36" s="64">
        <v>5.27</v>
      </c>
      <c r="F36" s="64">
        <v>3.11</v>
      </c>
      <c r="G36" s="64">
        <v>124.16</v>
      </c>
      <c r="H36" s="64">
        <v>53.86</v>
      </c>
      <c r="I36" s="64">
        <v>0.1</v>
      </c>
      <c r="J36" s="64">
        <v>0.27</v>
      </c>
      <c r="K36" s="64">
        <v>245.01</v>
      </c>
      <c r="L36" s="64">
        <v>11.52</v>
      </c>
      <c r="M36" s="64">
        <v>98.13</v>
      </c>
      <c r="N36" s="64">
        <v>61.4</v>
      </c>
      <c r="O36" s="64">
        <v>0</v>
      </c>
      <c r="P36" s="64">
        <v>1.75</v>
      </c>
      <c r="Q36" s="64">
        <v>9.73</v>
      </c>
      <c r="R36" s="198"/>
      <c r="S36" s="198"/>
      <c r="T36" s="198"/>
      <c r="U36" s="198"/>
    </row>
    <row r="37" spans="1:21" s="12" customFormat="1" x14ac:dyDescent="0.25">
      <c r="A37" s="214" t="s">
        <v>851</v>
      </c>
      <c r="B37" s="64">
        <v>60.08</v>
      </c>
      <c r="C37" s="64">
        <v>0.01</v>
      </c>
      <c r="D37" s="64">
        <v>45.64</v>
      </c>
      <c r="E37" s="64">
        <v>5.1100000000000003</v>
      </c>
      <c r="F37" s="64">
        <v>3</v>
      </c>
      <c r="G37" s="64">
        <v>123.55</v>
      </c>
      <c r="H37" s="64">
        <v>53.31</v>
      </c>
      <c r="I37" s="64">
        <v>5.43</v>
      </c>
      <c r="J37" s="64">
        <v>0.21</v>
      </c>
      <c r="K37" s="64">
        <v>316.8</v>
      </c>
      <c r="L37" s="64">
        <v>12</v>
      </c>
      <c r="M37" s="64">
        <v>98.13</v>
      </c>
      <c r="N37" s="64">
        <v>76.900000000000006</v>
      </c>
      <c r="O37" s="64">
        <v>0</v>
      </c>
      <c r="P37" s="64">
        <v>1.83</v>
      </c>
      <c r="Q37" s="64">
        <v>9.73</v>
      </c>
      <c r="R37" s="198"/>
      <c r="S37" s="198"/>
      <c r="T37" s="198"/>
      <c r="U37" s="198"/>
    </row>
    <row r="38" spans="1:21" s="12" customFormat="1" x14ac:dyDescent="0.25">
      <c r="A38" s="214" t="s">
        <v>852</v>
      </c>
      <c r="B38" s="64">
        <v>60.69</v>
      </c>
      <c r="C38" s="64">
        <v>0.01</v>
      </c>
      <c r="D38" s="64">
        <v>45.9</v>
      </c>
      <c r="E38" s="64">
        <v>5.12</v>
      </c>
      <c r="F38" s="64">
        <v>3.17</v>
      </c>
      <c r="G38" s="64">
        <v>123.03</v>
      </c>
      <c r="H38" s="64">
        <v>53.11</v>
      </c>
      <c r="I38" s="64">
        <v>7.2</v>
      </c>
      <c r="J38" s="64">
        <v>0.1</v>
      </c>
      <c r="K38" s="64">
        <v>264.29000000000002</v>
      </c>
      <c r="L38" s="64">
        <v>12.87</v>
      </c>
      <c r="M38" s="64">
        <v>97.51</v>
      </c>
      <c r="N38" s="64">
        <v>103.8</v>
      </c>
      <c r="O38" s="64">
        <v>0</v>
      </c>
      <c r="P38" s="64">
        <v>1.94</v>
      </c>
      <c r="Q38" s="64">
        <v>9.73</v>
      </c>
      <c r="R38" s="198"/>
      <c r="S38" s="198"/>
      <c r="T38" s="198"/>
      <c r="U38" s="198"/>
    </row>
    <row r="39" spans="1:21" s="12" customFormat="1" x14ac:dyDescent="0.25">
      <c r="A39" s="214" t="s">
        <v>853</v>
      </c>
      <c r="B39" s="64">
        <v>62.11</v>
      </c>
      <c r="C39" s="64">
        <v>0.01</v>
      </c>
      <c r="D39" s="64">
        <v>46.71</v>
      </c>
      <c r="E39" s="64">
        <v>4.93</v>
      </c>
      <c r="F39" s="64">
        <v>3.24</v>
      </c>
      <c r="G39" s="64">
        <v>123.03</v>
      </c>
      <c r="H39" s="64">
        <v>53.11</v>
      </c>
      <c r="I39" s="64">
        <v>7.13</v>
      </c>
      <c r="J39" s="64">
        <v>0.43</v>
      </c>
      <c r="K39" s="64">
        <v>354.26</v>
      </c>
      <c r="L39" s="64">
        <v>15.04</v>
      </c>
      <c r="M39" s="64">
        <v>85.31</v>
      </c>
      <c r="N39" s="64">
        <v>209.7</v>
      </c>
      <c r="O39" s="64">
        <v>0</v>
      </c>
      <c r="P39" s="64">
        <v>1.95</v>
      </c>
      <c r="Q39" s="64">
        <v>9.74</v>
      </c>
      <c r="R39" s="198"/>
      <c r="S39" s="198"/>
      <c r="T39" s="198"/>
      <c r="U39" s="198"/>
    </row>
    <row r="40" spans="1:21" s="12" customFormat="1" x14ac:dyDescent="0.25">
      <c r="A40" s="214" t="s">
        <v>854</v>
      </c>
      <c r="B40" s="64">
        <v>63.8</v>
      </c>
      <c r="C40" s="64">
        <v>0.01</v>
      </c>
      <c r="D40" s="64">
        <v>47.81</v>
      </c>
      <c r="E40" s="64">
        <v>5.69</v>
      </c>
      <c r="F40" s="64">
        <v>3.36</v>
      </c>
      <c r="G40" s="64">
        <v>123.03</v>
      </c>
      <c r="H40" s="64">
        <v>53.11</v>
      </c>
      <c r="I40" s="64">
        <v>7.11</v>
      </c>
      <c r="J40" s="64">
        <v>0.56000000000000005</v>
      </c>
      <c r="K40" s="64">
        <v>356.29</v>
      </c>
      <c r="L40" s="64">
        <v>18.75</v>
      </c>
      <c r="M40" s="64">
        <v>59.96</v>
      </c>
      <c r="N40" s="64">
        <v>261.5</v>
      </c>
      <c r="O40" s="64">
        <v>0</v>
      </c>
      <c r="P40" s="64">
        <v>1.94</v>
      </c>
      <c r="Q40" s="64">
        <v>9.73</v>
      </c>
      <c r="R40" s="198"/>
      <c r="S40" s="198"/>
      <c r="T40" s="198"/>
      <c r="U40" s="198"/>
    </row>
    <row r="41" spans="1:21" s="12" customFormat="1" x14ac:dyDescent="0.25">
      <c r="A41" s="214" t="s">
        <v>855</v>
      </c>
      <c r="B41" s="64">
        <v>64.48</v>
      </c>
      <c r="C41" s="64">
        <v>0.01</v>
      </c>
      <c r="D41" s="64">
        <v>48.3</v>
      </c>
      <c r="E41" s="64">
        <v>5.96</v>
      </c>
      <c r="F41" s="64">
        <v>3.04</v>
      </c>
      <c r="G41" s="64">
        <v>126.54</v>
      </c>
      <c r="H41" s="64">
        <v>54.02</v>
      </c>
      <c r="I41" s="64">
        <v>7.11</v>
      </c>
      <c r="J41" s="64">
        <v>0.21</v>
      </c>
      <c r="K41" s="64">
        <v>16.27</v>
      </c>
      <c r="L41" s="64">
        <v>21.15</v>
      </c>
      <c r="M41" s="64">
        <v>39.53</v>
      </c>
      <c r="N41" s="64">
        <v>313.3</v>
      </c>
      <c r="O41" s="64">
        <v>0</v>
      </c>
      <c r="P41" s="64">
        <v>1.89</v>
      </c>
      <c r="Q41" s="64">
        <v>9.7200000000000006</v>
      </c>
      <c r="R41" s="198"/>
      <c r="S41" s="198"/>
      <c r="T41" s="198"/>
      <c r="U41" s="198"/>
    </row>
    <row r="42" spans="1:21" s="12" customFormat="1" x14ac:dyDescent="0.25">
      <c r="A42" s="214" t="s">
        <v>856</v>
      </c>
      <c r="B42" s="64">
        <v>63.65</v>
      </c>
      <c r="C42" s="64">
        <v>0.01</v>
      </c>
      <c r="D42" s="64">
        <v>47.97</v>
      </c>
      <c r="E42" s="64">
        <v>5.94</v>
      </c>
      <c r="F42" s="64">
        <v>3.05</v>
      </c>
      <c r="G42" s="64">
        <v>129.47</v>
      </c>
      <c r="H42" s="64">
        <v>54.37</v>
      </c>
      <c r="I42" s="64">
        <v>7.04</v>
      </c>
      <c r="J42" s="64">
        <v>0.68</v>
      </c>
      <c r="K42" s="64">
        <v>347.33</v>
      </c>
      <c r="L42" s="64">
        <v>22.31</v>
      </c>
      <c r="M42" s="64">
        <v>35.11</v>
      </c>
      <c r="N42" s="64">
        <v>352.5</v>
      </c>
      <c r="O42" s="64">
        <v>0</v>
      </c>
      <c r="P42" s="64">
        <v>1.81</v>
      </c>
      <c r="Q42" s="64">
        <v>9.73</v>
      </c>
      <c r="R42" s="198"/>
      <c r="S42" s="198"/>
      <c r="T42" s="198"/>
      <c r="U42" s="198"/>
    </row>
    <row r="43" spans="1:21" s="12" customFormat="1" x14ac:dyDescent="0.25">
      <c r="A43" s="214" t="s">
        <v>857</v>
      </c>
      <c r="B43" s="64">
        <v>61.82</v>
      </c>
      <c r="C43" s="64">
        <v>0.01</v>
      </c>
      <c r="D43" s="64">
        <v>47.34</v>
      </c>
      <c r="E43" s="64">
        <v>5.81</v>
      </c>
      <c r="F43" s="64">
        <v>2.94</v>
      </c>
      <c r="G43" s="64">
        <v>129.47</v>
      </c>
      <c r="H43" s="64">
        <v>54.37</v>
      </c>
      <c r="I43" s="64">
        <v>6.89</v>
      </c>
      <c r="J43" s="64">
        <v>0.54</v>
      </c>
      <c r="K43" s="64">
        <v>339.31</v>
      </c>
      <c r="L43" s="64">
        <v>23.62</v>
      </c>
      <c r="M43" s="64">
        <v>30.68</v>
      </c>
      <c r="N43" s="64">
        <v>393</v>
      </c>
      <c r="O43" s="64">
        <v>0</v>
      </c>
      <c r="P43" s="64">
        <v>1.74</v>
      </c>
      <c r="Q43" s="64">
        <v>9.73</v>
      </c>
      <c r="R43" s="198"/>
      <c r="S43" s="198"/>
      <c r="T43" s="198"/>
      <c r="U43" s="198"/>
    </row>
    <row r="44" spans="1:21" s="12" customFormat="1" x14ac:dyDescent="0.25">
      <c r="A44" s="214" t="s">
        <v>858</v>
      </c>
      <c r="B44" s="64">
        <v>59.58</v>
      </c>
      <c r="C44" s="64">
        <v>0.01</v>
      </c>
      <c r="D44" s="64">
        <v>46.48</v>
      </c>
      <c r="E44" s="64">
        <v>5.76</v>
      </c>
      <c r="F44" s="64">
        <v>2.5499999999999998</v>
      </c>
      <c r="G44" s="64">
        <v>129.47</v>
      </c>
      <c r="H44" s="64">
        <v>54.37</v>
      </c>
      <c r="I44" s="64">
        <v>6.7</v>
      </c>
      <c r="J44" s="64">
        <v>0.28000000000000003</v>
      </c>
      <c r="K44" s="64">
        <v>116.42</v>
      </c>
      <c r="L44" s="64">
        <v>22.76</v>
      </c>
      <c r="M44" s="64">
        <v>33.83</v>
      </c>
      <c r="N44" s="64">
        <v>430.2</v>
      </c>
      <c r="O44" s="64">
        <v>0</v>
      </c>
      <c r="P44" s="64">
        <v>1.68</v>
      </c>
      <c r="Q44" s="64">
        <v>9.7200000000000006</v>
      </c>
      <c r="R44" s="198"/>
      <c r="S44" s="198"/>
      <c r="T44" s="198"/>
      <c r="U44" s="198"/>
    </row>
    <row r="45" spans="1:21" s="12" customFormat="1" x14ac:dyDescent="0.25">
      <c r="A45" s="214" t="s">
        <v>859</v>
      </c>
      <c r="B45" s="64">
        <v>57.17</v>
      </c>
      <c r="C45" s="64">
        <v>0.28999999999999998</v>
      </c>
      <c r="D45" s="64">
        <v>45.44</v>
      </c>
      <c r="E45" s="64">
        <v>5.34</v>
      </c>
      <c r="F45" s="64">
        <v>2.5</v>
      </c>
      <c r="G45" s="64">
        <v>102.31</v>
      </c>
      <c r="H45" s="64">
        <v>47.26</v>
      </c>
      <c r="I45" s="64">
        <v>6.51</v>
      </c>
      <c r="J45" s="64">
        <v>0.84</v>
      </c>
      <c r="K45" s="64">
        <v>345.64</v>
      </c>
      <c r="L45" s="64">
        <v>24.52</v>
      </c>
      <c r="M45" s="64">
        <v>29.26</v>
      </c>
      <c r="N45" s="64">
        <v>448.9</v>
      </c>
      <c r="O45" s="64">
        <v>0</v>
      </c>
      <c r="P45" s="64">
        <v>1.62</v>
      </c>
      <c r="Q45" s="64">
        <v>9.73</v>
      </c>
      <c r="R45" s="198"/>
      <c r="S45" s="198"/>
      <c r="T45" s="198"/>
      <c r="U45" s="198"/>
    </row>
    <row r="46" spans="1:21" s="12" customFormat="1" x14ac:dyDescent="0.25">
      <c r="A46" s="214" t="s">
        <v>860</v>
      </c>
      <c r="B46" s="64">
        <v>54.2</v>
      </c>
      <c r="C46" s="64">
        <v>2.4500000000000002</v>
      </c>
      <c r="D46" s="64">
        <v>44.28</v>
      </c>
      <c r="E46" s="64">
        <v>6</v>
      </c>
      <c r="F46" s="64">
        <v>2.84</v>
      </c>
      <c r="G46" s="64">
        <v>79.59</v>
      </c>
      <c r="H46" s="64">
        <v>42.33</v>
      </c>
      <c r="I46" s="64">
        <v>6.32</v>
      </c>
      <c r="J46" s="64">
        <v>0.76</v>
      </c>
      <c r="K46" s="64">
        <v>340.54</v>
      </c>
      <c r="L46" s="64">
        <v>25.65</v>
      </c>
      <c r="M46" s="64">
        <v>26.84</v>
      </c>
      <c r="N46" s="64">
        <v>478.6</v>
      </c>
      <c r="O46" s="64">
        <v>0</v>
      </c>
      <c r="P46" s="64">
        <v>1.57</v>
      </c>
      <c r="Q46" s="64">
        <v>9.7200000000000006</v>
      </c>
      <c r="R46" s="198"/>
      <c r="S46" s="198"/>
      <c r="T46" s="198"/>
      <c r="U46" s="198"/>
    </row>
    <row r="47" spans="1:21" s="12" customFormat="1" x14ac:dyDescent="0.25">
      <c r="A47" s="214" t="s">
        <v>861</v>
      </c>
      <c r="B47" s="64">
        <v>50.49</v>
      </c>
      <c r="C47" s="64">
        <v>5.78</v>
      </c>
      <c r="D47" s="64">
        <v>43.05</v>
      </c>
      <c r="E47" s="64">
        <v>5.99</v>
      </c>
      <c r="F47" s="64">
        <v>2.77</v>
      </c>
      <c r="G47" s="64">
        <v>79.59</v>
      </c>
      <c r="H47" s="64">
        <v>42.33</v>
      </c>
      <c r="I47" s="64">
        <v>6.18</v>
      </c>
      <c r="J47" s="64">
        <v>1.0900000000000001</v>
      </c>
      <c r="K47" s="64">
        <v>339.55</v>
      </c>
      <c r="L47" s="64">
        <v>26.7</v>
      </c>
      <c r="M47" s="64">
        <v>25.06</v>
      </c>
      <c r="N47" s="64">
        <v>502.1</v>
      </c>
      <c r="O47" s="64">
        <v>0</v>
      </c>
      <c r="P47" s="64">
        <v>1.51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4" t="s">
        <v>862</v>
      </c>
      <c r="B48" s="64">
        <v>48.34</v>
      </c>
      <c r="C48" s="64">
        <v>7.23</v>
      </c>
      <c r="D48" s="64">
        <v>42.08</v>
      </c>
      <c r="E48" s="64">
        <v>5.38</v>
      </c>
      <c r="F48" s="64">
        <v>2.81</v>
      </c>
      <c r="G48" s="64">
        <v>79.59</v>
      </c>
      <c r="H48" s="64">
        <v>42.33</v>
      </c>
      <c r="I48" s="64">
        <v>5.99</v>
      </c>
      <c r="J48" s="64">
        <v>1.0900000000000001</v>
      </c>
      <c r="K48" s="64">
        <v>342.47</v>
      </c>
      <c r="L48" s="64">
        <v>27.07</v>
      </c>
      <c r="M48" s="64">
        <v>24.54</v>
      </c>
      <c r="N48" s="64">
        <v>517.9</v>
      </c>
      <c r="O48" s="64">
        <v>0</v>
      </c>
      <c r="P48" s="64">
        <v>1.45</v>
      </c>
      <c r="Q48" s="64">
        <v>9.6999999999999993</v>
      </c>
      <c r="R48" s="198"/>
      <c r="S48" s="198"/>
      <c r="T48" s="198"/>
      <c r="U48" s="198"/>
    </row>
    <row r="49" spans="1:21" s="12" customFormat="1" x14ac:dyDescent="0.25">
      <c r="A49" s="214" t="s">
        <v>863</v>
      </c>
      <c r="B49" s="64">
        <v>45.4</v>
      </c>
      <c r="C49" s="64">
        <v>10.54</v>
      </c>
      <c r="D49" s="64">
        <v>41.45</v>
      </c>
      <c r="E49" s="64">
        <v>5.74</v>
      </c>
      <c r="F49" s="64">
        <v>2.86</v>
      </c>
      <c r="G49" s="64">
        <v>70.33</v>
      </c>
      <c r="H49" s="64">
        <v>39.020000000000003</v>
      </c>
      <c r="I49" s="64">
        <v>5.79</v>
      </c>
      <c r="J49" s="64">
        <v>0.98</v>
      </c>
      <c r="K49" s="64">
        <v>337.53</v>
      </c>
      <c r="L49" s="64">
        <v>27.48</v>
      </c>
      <c r="M49" s="64">
        <v>23.04</v>
      </c>
      <c r="N49" s="64">
        <v>532.70000000000005</v>
      </c>
      <c r="O49" s="64">
        <v>0</v>
      </c>
      <c r="P49" s="64">
        <v>1.4</v>
      </c>
      <c r="Q49" s="64">
        <v>9.6999999999999993</v>
      </c>
      <c r="R49" s="198"/>
      <c r="S49" s="198"/>
      <c r="T49" s="198"/>
      <c r="U49" s="198"/>
    </row>
    <row r="50" spans="1:21" s="12" customFormat="1" x14ac:dyDescent="0.25">
      <c r="A50" s="214" t="s">
        <v>864</v>
      </c>
      <c r="B50" s="64">
        <v>43.59</v>
      </c>
      <c r="C50" s="64">
        <v>10.88</v>
      </c>
      <c r="D50" s="64">
        <v>40.19</v>
      </c>
      <c r="E50" s="64">
        <v>5.72</v>
      </c>
      <c r="F50" s="64">
        <v>3.12</v>
      </c>
      <c r="G50" s="64">
        <v>62.59</v>
      </c>
      <c r="H50" s="64">
        <v>37.81</v>
      </c>
      <c r="I50" s="64">
        <v>5.6</v>
      </c>
      <c r="J50" s="64">
        <v>1.1599999999999999</v>
      </c>
      <c r="K50" s="64">
        <v>343.15</v>
      </c>
      <c r="L50" s="64">
        <v>27.73</v>
      </c>
      <c r="M50" s="64">
        <v>20.14</v>
      </c>
      <c r="N50" s="64">
        <v>555.70000000000005</v>
      </c>
      <c r="O50" s="64">
        <v>0</v>
      </c>
      <c r="P50" s="64">
        <v>1.35</v>
      </c>
      <c r="Q50" s="64">
        <v>9.69</v>
      </c>
      <c r="R50" s="198"/>
      <c r="S50" s="198"/>
      <c r="T50" s="198"/>
      <c r="U50" s="198"/>
    </row>
    <row r="51" spans="1:21" s="12" customFormat="1" x14ac:dyDescent="0.25">
      <c r="A51" s="214" t="s">
        <v>865</v>
      </c>
      <c r="B51" s="64">
        <v>41.56</v>
      </c>
      <c r="C51" s="64">
        <v>13.26</v>
      </c>
      <c r="D51" s="64">
        <v>39.79</v>
      </c>
      <c r="E51" s="64">
        <v>5.29</v>
      </c>
      <c r="F51" s="64">
        <v>3.01</v>
      </c>
      <c r="G51" s="64">
        <v>62.59</v>
      </c>
      <c r="H51" s="64">
        <v>37.81</v>
      </c>
      <c r="I51" s="64">
        <v>5.46</v>
      </c>
      <c r="J51" s="64">
        <v>0.51</v>
      </c>
      <c r="K51" s="64">
        <v>347.15</v>
      </c>
      <c r="L51" s="64">
        <v>27.25</v>
      </c>
      <c r="M51" s="64">
        <v>21.56</v>
      </c>
      <c r="N51" s="64">
        <v>568.70000000000005</v>
      </c>
      <c r="O51" s="64">
        <v>0</v>
      </c>
      <c r="P51" s="64">
        <v>1.31</v>
      </c>
      <c r="Q51" s="64">
        <v>9.69</v>
      </c>
      <c r="R51" s="198"/>
      <c r="S51" s="198"/>
      <c r="T51" s="198"/>
      <c r="U51" s="198"/>
    </row>
    <row r="52" spans="1:21" s="12" customFormat="1" x14ac:dyDescent="0.25">
      <c r="A52" s="214" t="s">
        <v>866</v>
      </c>
      <c r="B52" s="64">
        <v>39.67</v>
      </c>
      <c r="C52" s="64">
        <v>14.78</v>
      </c>
      <c r="D52" s="64">
        <v>39.07</v>
      </c>
      <c r="E52" s="64">
        <v>5.75</v>
      </c>
      <c r="F52" s="64">
        <v>2.95</v>
      </c>
      <c r="G52" s="64">
        <v>62.59</v>
      </c>
      <c r="H52" s="64">
        <v>37.81</v>
      </c>
      <c r="I52" s="64">
        <v>5.32</v>
      </c>
      <c r="J52" s="64">
        <v>1.34</v>
      </c>
      <c r="K52" s="64">
        <v>336</v>
      </c>
      <c r="L52" s="64">
        <v>28.5</v>
      </c>
      <c r="M52" s="64">
        <v>20.63</v>
      </c>
      <c r="N52" s="64">
        <v>565.20000000000005</v>
      </c>
      <c r="O52" s="64">
        <v>0</v>
      </c>
      <c r="P52" s="64">
        <v>1.28</v>
      </c>
      <c r="Q52" s="64">
        <v>9.6999999999999993</v>
      </c>
      <c r="R52" s="198"/>
      <c r="S52" s="198"/>
      <c r="T52" s="198"/>
      <c r="U52" s="198"/>
    </row>
    <row r="53" spans="1:21" s="12" customFormat="1" x14ac:dyDescent="0.25">
      <c r="A53" s="214" t="s">
        <v>867</v>
      </c>
      <c r="B53" s="64">
        <v>37.380000000000003</v>
      </c>
      <c r="C53" s="64">
        <v>15.68</v>
      </c>
      <c r="D53" s="64">
        <v>37.71</v>
      </c>
      <c r="E53" s="64">
        <v>6.28</v>
      </c>
      <c r="F53" s="64">
        <v>3.38</v>
      </c>
      <c r="G53" s="64">
        <v>60.18</v>
      </c>
      <c r="H53" s="64">
        <v>34.549999999999997</v>
      </c>
      <c r="I53" s="64">
        <v>5.2</v>
      </c>
      <c r="J53" s="64">
        <v>1.43</v>
      </c>
      <c r="K53" s="64">
        <v>340.13</v>
      </c>
      <c r="L53" s="64">
        <v>28.84</v>
      </c>
      <c r="M53" s="64">
        <v>20.3</v>
      </c>
      <c r="N53" s="64">
        <v>547.5</v>
      </c>
      <c r="O53" s="64">
        <v>0</v>
      </c>
      <c r="P53" s="64">
        <v>1.26</v>
      </c>
      <c r="Q53" s="64">
        <v>9.6999999999999993</v>
      </c>
      <c r="R53" s="198"/>
      <c r="S53" s="198"/>
      <c r="T53" s="198"/>
      <c r="U53" s="198"/>
    </row>
    <row r="54" spans="1:21" s="12" customFormat="1" x14ac:dyDescent="0.25">
      <c r="A54" s="214" t="s">
        <v>868</v>
      </c>
      <c r="B54" s="64">
        <v>35.35</v>
      </c>
      <c r="C54" s="64">
        <v>17.75</v>
      </c>
      <c r="D54" s="64">
        <v>37.159999999999997</v>
      </c>
      <c r="E54" s="64">
        <v>6.82</v>
      </c>
      <c r="F54" s="64">
        <v>3.69</v>
      </c>
      <c r="G54" s="64">
        <v>58.17</v>
      </c>
      <c r="H54" s="64">
        <v>33.36</v>
      </c>
      <c r="I54" s="64">
        <v>5.0599999999999996</v>
      </c>
      <c r="J54" s="64">
        <v>1.22</v>
      </c>
      <c r="K54" s="64">
        <v>332.3</v>
      </c>
      <c r="L54" s="64">
        <v>29.35</v>
      </c>
      <c r="M54" s="64">
        <v>19.989999999999998</v>
      </c>
      <c r="N54" s="64">
        <v>526.6</v>
      </c>
      <c r="O54" s="64">
        <v>0</v>
      </c>
      <c r="P54" s="64">
        <v>1.25</v>
      </c>
      <c r="Q54" s="64">
        <v>9.69</v>
      </c>
      <c r="R54" s="198"/>
      <c r="S54" s="198"/>
      <c r="T54" s="198"/>
      <c r="U54" s="198"/>
    </row>
    <row r="55" spans="1:21" s="12" customFormat="1" x14ac:dyDescent="0.25">
      <c r="A55" s="214" t="s">
        <v>869</v>
      </c>
      <c r="B55" s="64">
        <v>34.71</v>
      </c>
      <c r="C55" s="64">
        <v>18.04</v>
      </c>
      <c r="D55" s="64">
        <v>36.799999999999997</v>
      </c>
      <c r="E55" s="64">
        <v>6.5</v>
      </c>
      <c r="F55" s="64">
        <v>3.61</v>
      </c>
      <c r="G55" s="64">
        <v>58.17</v>
      </c>
      <c r="H55" s="64">
        <v>33.36</v>
      </c>
      <c r="I55" s="64">
        <v>4.9400000000000004</v>
      </c>
      <c r="J55" s="64">
        <v>1.44</v>
      </c>
      <c r="K55" s="64">
        <v>341.95</v>
      </c>
      <c r="L55" s="64">
        <v>29.2</v>
      </c>
      <c r="M55" s="64">
        <v>19.98</v>
      </c>
      <c r="N55" s="64">
        <v>524.5</v>
      </c>
      <c r="O55" s="64">
        <v>0</v>
      </c>
      <c r="P55" s="64">
        <v>1.24</v>
      </c>
      <c r="Q55" s="64">
        <v>9.6999999999999993</v>
      </c>
      <c r="R55" s="198"/>
      <c r="S55" s="198"/>
      <c r="T55" s="198"/>
      <c r="U55" s="198"/>
    </row>
    <row r="56" spans="1:21" s="12" customFormat="1" x14ac:dyDescent="0.25">
      <c r="A56" s="214" t="s">
        <v>870</v>
      </c>
      <c r="B56" s="64">
        <v>30.89</v>
      </c>
      <c r="C56" s="64">
        <v>21.93</v>
      </c>
      <c r="D56" s="64">
        <v>35.770000000000003</v>
      </c>
      <c r="E56" s="64">
        <v>9.25</v>
      </c>
      <c r="F56" s="64">
        <v>4.58</v>
      </c>
      <c r="G56" s="64">
        <v>58.17</v>
      </c>
      <c r="H56" s="64">
        <v>33.36</v>
      </c>
      <c r="I56" s="64">
        <v>4.84</v>
      </c>
      <c r="J56" s="64">
        <v>1.35</v>
      </c>
      <c r="K56" s="64">
        <v>335.33</v>
      </c>
      <c r="L56" s="64">
        <v>29.17</v>
      </c>
      <c r="M56" s="64">
        <v>18.97</v>
      </c>
      <c r="N56" s="64">
        <v>519.1</v>
      </c>
      <c r="O56" s="64">
        <v>0</v>
      </c>
      <c r="P56" s="64">
        <v>1.21</v>
      </c>
      <c r="Q56" s="64">
        <v>9.6999999999999993</v>
      </c>
      <c r="R56" s="198"/>
      <c r="S56" s="198"/>
      <c r="T56" s="198"/>
      <c r="U56" s="198"/>
    </row>
    <row r="57" spans="1:21" s="12" customFormat="1" x14ac:dyDescent="0.25">
      <c r="A57" s="214" t="s">
        <v>871</v>
      </c>
      <c r="B57" s="64">
        <v>28.22</v>
      </c>
      <c r="C57" s="64">
        <v>22.5</v>
      </c>
      <c r="D57" s="64">
        <v>33.92</v>
      </c>
      <c r="E57" s="64">
        <v>14.33</v>
      </c>
      <c r="F57" s="64">
        <v>5.31</v>
      </c>
      <c r="G57" s="64">
        <v>71.48</v>
      </c>
      <c r="H57" s="64">
        <v>32.47</v>
      </c>
      <c r="I57" s="64">
        <v>4.74</v>
      </c>
      <c r="J57" s="64">
        <v>1.03</v>
      </c>
      <c r="K57" s="64">
        <v>337.52</v>
      </c>
      <c r="L57" s="64">
        <v>29.26</v>
      </c>
      <c r="M57" s="64">
        <v>18.63</v>
      </c>
      <c r="N57" s="64">
        <v>514.29999999999995</v>
      </c>
      <c r="O57" s="64">
        <v>0</v>
      </c>
      <c r="P57" s="64">
        <v>1.19</v>
      </c>
      <c r="Q57" s="64">
        <v>9.68</v>
      </c>
      <c r="R57" s="198"/>
      <c r="S57" s="198"/>
      <c r="T57" s="198"/>
      <c r="U57" s="198"/>
    </row>
    <row r="58" spans="1:21" s="12" customFormat="1" x14ac:dyDescent="0.25">
      <c r="A58" s="214" t="s">
        <v>872</v>
      </c>
      <c r="B58" s="64">
        <v>27.42</v>
      </c>
      <c r="C58" s="64">
        <v>22.85</v>
      </c>
      <c r="D58" s="64">
        <v>33.47</v>
      </c>
      <c r="E58" s="64">
        <v>9.4700000000000006</v>
      </c>
      <c r="F58" s="64">
        <v>4.05</v>
      </c>
      <c r="G58" s="64">
        <v>82.61</v>
      </c>
      <c r="H58" s="64">
        <v>32.14</v>
      </c>
      <c r="I58" s="64">
        <v>4.6500000000000004</v>
      </c>
      <c r="J58" s="64">
        <v>1.45</v>
      </c>
      <c r="K58" s="64">
        <v>339.36</v>
      </c>
      <c r="L58" s="64">
        <v>29.07</v>
      </c>
      <c r="M58" s="64">
        <v>19.420000000000002</v>
      </c>
      <c r="N58" s="64">
        <v>506</v>
      </c>
      <c r="O58" s="64">
        <v>0</v>
      </c>
      <c r="P58" s="64">
        <v>1.1599999999999999</v>
      </c>
      <c r="Q58" s="64">
        <v>9.68</v>
      </c>
      <c r="R58" s="198"/>
      <c r="S58" s="198"/>
      <c r="T58" s="198"/>
      <c r="U58" s="198"/>
    </row>
    <row r="59" spans="1:21" s="12" customFormat="1" x14ac:dyDescent="0.25">
      <c r="A59" s="214" t="s">
        <v>873</v>
      </c>
      <c r="B59" s="64">
        <v>24.37</v>
      </c>
      <c r="C59" s="64">
        <v>25.45</v>
      </c>
      <c r="D59" s="64">
        <v>32.380000000000003</v>
      </c>
      <c r="E59" s="64">
        <v>9.75</v>
      </c>
      <c r="F59" s="64">
        <v>4.1500000000000004</v>
      </c>
      <c r="G59" s="64">
        <v>82.61</v>
      </c>
      <c r="H59" s="64">
        <v>32.14</v>
      </c>
      <c r="I59" s="64">
        <v>4.54</v>
      </c>
      <c r="J59" s="64">
        <v>1.1399999999999999</v>
      </c>
      <c r="K59" s="64">
        <v>343.2</v>
      </c>
      <c r="L59" s="64">
        <v>29.14</v>
      </c>
      <c r="M59" s="64">
        <v>18.489999999999998</v>
      </c>
      <c r="N59" s="64">
        <v>494.2</v>
      </c>
      <c r="O59" s="64">
        <v>0</v>
      </c>
      <c r="P59" s="64">
        <v>1.1200000000000001</v>
      </c>
      <c r="Q59" s="64">
        <v>9.67</v>
      </c>
      <c r="R59" s="198"/>
      <c r="S59" s="198"/>
      <c r="T59" s="198"/>
      <c r="U59" s="198"/>
    </row>
    <row r="60" spans="1:21" s="12" customFormat="1" x14ac:dyDescent="0.25">
      <c r="A60" s="214" t="s">
        <v>874</v>
      </c>
      <c r="B60" s="64">
        <v>21.14</v>
      </c>
      <c r="C60" s="64">
        <v>27.07</v>
      </c>
      <c r="D60" s="64">
        <v>30.63</v>
      </c>
      <c r="E60" s="64">
        <v>9.81</v>
      </c>
      <c r="F60" s="64">
        <v>5.33</v>
      </c>
      <c r="G60" s="64">
        <v>82.61</v>
      </c>
      <c r="H60" s="64">
        <v>32.14</v>
      </c>
      <c r="I60" s="64">
        <v>4.4000000000000004</v>
      </c>
      <c r="J60" s="64">
        <v>0.42</v>
      </c>
      <c r="K60" s="64">
        <v>347.86</v>
      </c>
      <c r="L60" s="64">
        <v>27.89</v>
      </c>
      <c r="M60" s="64">
        <v>17.05</v>
      </c>
      <c r="N60" s="64">
        <v>491.3</v>
      </c>
      <c r="O60" s="64">
        <v>0</v>
      </c>
      <c r="P60" s="64">
        <v>1.06</v>
      </c>
      <c r="Q60" s="64">
        <v>9.66</v>
      </c>
      <c r="R60" s="198"/>
      <c r="S60" s="198"/>
      <c r="T60" s="198"/>
      <c r="U60" s="198"/>
    </row>
    <row r="61" spans="1:21" s="12" customFormat="1" x14ac:dyDescent="0.25">
      <c r="A61" s="214" t="s">
        <v>875</v>
      </c>
      <c r="B61" s="64">
        <v>18.489999999999998</v>
      </c>
      <c r="C61" s="64">
        <v>29.5</v>
      </c>
      <c r="D61" s="64">
        <v>29.78</v>
      </c>
      <c r="E61" s="64">
        <v>19.64</v>
      </c>
      <c r="F61" s="64">
        <v>7.95</v>
      </c>
      <c r="G61" s="64">
        <v>79.92</v>
      </c>
      <c r="H61" s="64">
        <v>31.87</v>
      </c>
      <c r="I61" s="64">
        <v>4.3</v>
      </c>
      <c r="J61" s="64">
        <v>0.09</v>
      </c>
      <c r="K61" s="64">
        <v>68.44</v>
      </c>
      <c r="L61" s="64">
        <v>27.83</v>
      </c>
      <c r="M61" s="64">
        <v>17.18</v>
      </c>
      <c r="N61" s="64">
        <v>509</v>
      </c>
      <c r="O61" s="64">
        <v>0</v>
      </c>
      <c r="P61" s="64">
        <v>1.1299999999999999</v>
      </c>
      <c r="Q61" s="64">
        <v>9.65</v>
      </c>
      <c r="R61" s="198"/>
      <c r="S61" s="198"/>
      <c r="T61" s="198"/>
      <c r="U61" s="198"/>
    </row>
    <row r="62" spans="1:21" s="12" customFormat="1" x14ac:dyDescent="0.25">
      <c r="A62" s="214" t="s">
        <v>876</v>
      </c>
      <c r="B62" s="64">
        <v>19.14</v>
      </c>
      <c r="C62" s="64">
        <v>25.74</v>
      </c>
      <c r="D62" s="64">
        <v>28.33</v>
      </c>
      <c r="E62" s="64">
        <v>8.1999999999999993</v>
      </c>
      <c r="F62" s="64">
        <v>4.71</v>
      </c>
      <c r="G62" s="64">
        <v>77.67</v>
      </c>
      <c r="H62" s="64">
        <v>31.69</v>
      </c>
      <c r="I62" s="64">
        <v>4.2300000000000004</v>
      </c>
      <c r="J62" s="64">
        <v>0.54</v>
      </c>
      <c r="K62" s="64">
        <v>341.06</v>
      </c>
      <c r="L62" s="64">
        <v>27.9</v>
      </c>
      <c r="M62" s="64">
        <v>15.44</v>
      </c>
      <c r="N62" s="64">
        <v>492.6</v>
      </c>
      <c r="O62" s="64">
        <v>0</v>
      </c>
      <c r="P62" s="64">
        <v>1.25</v>
      </c>
      <c r="Q62" s="64">
        <v>9.65</v>
      </c>
      <c r="R62" s="198"/>
      <c r="S62" s="198"/>
      <c r="T62" s="198"/>
      <c r="U62" s="198"/>
    </row>
    <row r="63" spans="1:21" s="12" customFormat="1" x14ac:dyDescent="0.25">
      <c r="A63" s="214" t="s">
        <v>877</v>
      </c>
      <c r="B63" s="64">
        <v>16.91</v>
      </c>
      <c r="C63" s="64">
        <v>26.98</v>
      </c>
      <c r="D63" s="64">
        <v>27.19</v>
      </c>
      <c r="E63" s="64">
        <v>7.35</v>
      </c>
      <c r="F63" s="64">
        <v>9.18</v>
      </c>
      <c r="G63" s="64">
        <v>77.67</v>
      </c>
      <c r="H63" s="64">
        <v>31.69</v>
      </c>
      <c r="I63" s="64">
        <v>4.1500000000000004</v>
      </c>
      <c r="J63" s="64">
        <v>0.08</v>
      </c>
      <c r="K63" s="64">
        <v>89.5</v>
      </c>
      <c r="L63" s="64">
        <v>27.42</v>
      </c>
      <c r="M63" s="64">
        <v>15.9</v>
      </c>
      <c r="N63" s="64">
        <v>480</v>
      </c>
      <c r="O63" s="64">
        <v>0</v>
      </c>
      <c r="P63" s="64">
        <v>1.1100000000000001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14" t="s">
        <v>878</v>
      </c>
      <c r="B64" s="64">
        <v>14.98</v>
      </c>
      <c r="C64" s="64">
        <v>26.73</v>
      </c>
      <c r="D64" s="64">
        <v>25.52</v>
      </c>
      <c r="E64" s="64">
        <v>8.07</v>
      </c>
      <c r="F64" s="64">
        <v>6.85</v>
      </c>
      <c r="G64" s="64">
        <v>77.67</v>
      </c>
      <c r="H64" s="64">
        <v>31.69</v>
      </c>
      <c r="I64" s="64">
        <v>4.05</v>
      </c>
      <c r="J64" s="64">
        <v>0.34</v>
      </c>
      <c r="K64" s="64">
        <v>11.37</v>
      </c>
      <c r="L64" s="64">
        <v>26.72</v>
      </c>
      <c r="M64" s="64">
        <v>16.350000000000001</v>
      </c>
      <c r="N64" s="64">
        <v>368.4</v>
      </c>
      <c r="O64" s="64">
        <v>0</v>
      </c>
      <c r="P64" s="64">
        <v>1.1399999999999999</v>
      </c>
      <c r="Q64" s="64">
        <v>9.66</v>
      </c>
      <c r="R64" s="198"/>
      <c r="S64" s="198"/>
      <c r="T64" s="198"/>
      <c r="U64" s="198"/>
    </row>
    <row r="65" spans="1:21" s="12" customFormat="1" x14ac:dyDescent="0.25">
      <c r="A65" s="214" t="s">
        <v>879</v>
      </c>
      <c r="B65" s="64">
        <v>13.82</v>
      </c>
      <c r="C65" s="64">
        <v>26.2</v>
      </c>
      <c r="D65" s="64">
        <v>24.31</v>
      </c>
      <c r="E65" s="64">
        <v>7.96</v>
      </c>
      <c r="F65" s="64">
        <v>8.1199999999999992</v>
      </c>
      <c r="G65" s="64">
        <v>60.56</v>
      </c>
      <c r="H65" s="64">
        <v>26.41</v>
      </c>
      <c r="I65" s="64">
        <v>3.95</v>
      </c>
      <c r="J65" s="64">
        <v>0.28999999999999998</v>
      </c>
      <c r="K65" s="64">
        <v>9.76</v>
      </c>
      <c r="L65" s="64">
        <v>26.1</v>
      </c>
      <c r="M65" s="64">
        <v>16.64</v>
      </c>
      <c r="N65" s="64">
        <v>131.69999999999999</v>
      </c>
      <c r="O65" s="64">
        <v>0</v>
      </c>
      <c r="P65" s="64">
        <v>1.0900000000000001</v>
      </c>
      <c r="Q65" s="64">
        <v>9.65</v>
      </c>
      <c r="R65" s="198"/>
      <c r="S65" s="198"/>
      <c r="T65" s="198"/>
      <c r="U65" s="198"/>
    </row>
    <row r="66" spans="1:21" s="12" customFormat="1" x14ac:dyDescent="0.25">
      <c r="A66" s="214" t="s">
        <v>880</v>
      </c>
      <c r="B66" s="64">
        <v>13.59</v>
      </c>
      <c r="C66" s="64">
        <v>27.11</v>
      </c>
      <c r="D66" s="64">
        <v>24.6</v>
      </c>
      <c r="E66" s="64">
        <v>7.44</v>
      </c>
      <c r="F66" s="64">
        <v>6.95</v>
      </c>
      <c r="G66" s="64">
        <v>46.25</v>
      </c>
      <c r="H66" s="64">
        <v>24.47</v>
      </c>
      <c r="I66" s="64">
        <v>3.85</v>
      </c>
      <c r="J66" s="64">
        <v>0.82</v>
      </c>
      <c r="K66" s="64">
        <v>339.26</v>
      </c>
      <c r="L66" s="64">
        <v>26.19</v>
      </c>
      <c r="M66" s="64">
        <v>15.71</v>
      </c>
      <c r="N66" s="64">
        <v>124.4</v>
      </c>
      <c r="O66" s="64">
        <v>0</v>
      </c>
      <c r="P66" s="64">
        <v>1.07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4" t="s">
        <v>881</v>
      </c>
      <c r="B67" s="64">
        <v>12.94</v>
      </c>
      <c r="C67" s="64">
        <v>27.41</v>
      </c>
      <c r="D67" s="64">
        <v>24.24</v>
      </c>
      <c r="E67" s="64">
        <v>7.07</v>
      </c>
      <c r="F67" s="64">
        <v>7.52</v>
      </c>
      <c r="G67" s="64">
        <v>46.25</v>
      </c>
      <c r="H67" s="64">
        <v>24.47</v>
      </c>
      <c r="I67" s="64">
        <v>3.76</v>
      </c>
      <c r="J67" s="64">
        <v>0.55000000000000004</v>
      </c>
      <c r="K67" s="64">
        <v>91.49</v>
      </c>
      <c r="L67" s="64">
        <v>25.75</v>
      </c>
      <c r="M67" s="64">
        <v>16.03</v>
      </c>
      <c r="N67" s="64">
        <v>91.1</v>
      </c>
      <c r="O67" s="64">
        <v>0</v>
      </c>
      <c r="P67" s="64">
        <v>1.04</v>
      </c>
      <c r="Q67" s="64">
        <v>9.64</v>
      </c>
      <c r="R67" s="198"/>
      <c r="S67" s="198"/>
      <c r="T67" s="198"/>
      <c r="U67" s="198"/>
    </row>
    <row r="68" spans="1:21" s="12" customFormat="1" x14ac:dyDescent="0.25">
      <c r="A68" s="214" t="s">
        <v>882</v>
      </c>
      <c r="B68" s="64">
        <v>15.41</v>
      </c>
      <c r="C68" s="64">
        <v>28.23</v>
      </c>
      <c r="D68" s="64">
        <v>26.65</v>
      </c>
      <c r="E68" s="64">
        <v>10.53</v>
      </c>
      <c r="F68" s="64">
        <v>12.05</v>
      </c>
      <c r="G68" s="64">
        <v>46.25</v>
      </c>
      <c r="H68" s="64">
        <v>24.47</v>
      </c>
      <c r="I68" s="64">
        <v>3.66</v>
      </c>
      <c r="J68" s="64">
        <v>0.17</v>
      </c>
      <c r="K68" s="64">
        <v>81.02</v>
      </c>
      <c r="L68" s="64">
        <v>25.39</v>
      </c>
      <c r="M68" s="64">
        <v>16.63</v>
      </c>
      <c r="N68" s="64">
        <v>84</v>
      </c>
      <c r="O68" s="64">
        <v>0</v>
      </c>
      <c r="P68" s="64">
        <v>0.92</v>
      </c>
      <c r="Q68" s="64">
        <v>9.65</v>
      </c>
      <c r="R68" s="198"/>
      <c r="S68" s="198"/>
      <c r="T68" s="198"/>
      <c r="U68" s="198"/>
    </row>
    <row r="69" spans="1:21" s="12" customFormat="1" x14ac:dyDescent="0.25">
      <c r="A69" s="214" t="s">
        <v>883</v>
      </c>
      <c r="B69" s="64">
        <v>10.66</v>
      </c>
      <c r="C69" s="64">
        <v>25.42</v>
      </c>
      <c r="D69" s="64">
        <v>21.37</v>
      </c>
      <c r="E69" s="64">
        <v>12.6</v>
      </c>
      <c r="F69" s="64">
        <v>15.67</v>
      </c>
      <c r="G69" s="64">
        <v>42.63</v>
      </c>
      <c r="H69" s="64">
        <v>22.84</v>
      </c>
      <c r="I69" s="64">
        <v>3.6</v>
      </c>
      <c r="J69" s="64">
        <v>0.27</v>
      </c>
      <c r="K69" s="64">
        <v>358.32</v>
      </c>
      <c r="L69" s="64">
        <v>25.31</v>
      </c>
      <c r="M69" s="64">
        <v>15.56</v>
      </c>
      <c r="N69" s="64">
        <v>80.099999999999994</v>
      </c>
      <c r="O69" s="64">
        <v>0</v>
      </c>
      <c r="P69" s="64">
        <v>0.82</v>
      </c>
      <c r="Q69" s="64">
        <v>9.65</v>
      </c>
      <c r="R69" s="198"/>
      <c r="S69" s="198"/>
      <c r="T69" s="198"/>
      <c r="U69" s="198"/>
    </row>
    <row r="70" spans="1:21" s="12" customFormat="1" x14ac:dyDescent="0.25">
      <c r="A70" s="214" t="s">
        <v>884</v>
      </c>
      <c r="B70" s="64">
        <v>16.829999999999998</v>
      </c>
      <c r="C70" s="64">
        <v>31.95</v>
      </c>
      <c r="D70" s="64">
        <v>29.72</v>
      </c>
      <c r="E70" s="64">
        <v>12.91</v>
      </c>
      <c r="F70" s="64">
        <v>11.08</v>
      </c>
      <c r="G70" s="64">
        <v>39.590000000000003</v>
      </c>
      <c r="H70" s="64">
        <v>22.24</v>
      </c>
      <c r="I70" s="64">
        <v>3.53</v>
      </c>
      <c r="J70" s="64">
        <v>0.6</v>
      </c>
      <c r="K70" s="64">
        <v>335.25</v>
      </c>
      <c r="L70" s="64">
        <v>25.17</v>
      </c>
      <c r="M70" s="64">
        <v>16.14</v>
      </c>
      <c r="N70" s="64">
        <v>83.6</v>
      </c>
      <c r="O70" s="64">
        <v>0</v>
      </c>
      <c r="P70" s="64">
        <v>0.97</v>
      </c>
      <c r="Q70" s="64">
        <v>9.65</v>
      </c>
      <c r="R70" s="198"/>
      <c r="S70" s="198"/>
      <c r="T70" s="198"/>
      <c r="U70" s="198"/>
    </row>
    <row r="71" spans="1:21" s="12" customFormat="1" x14ac:dyDescent="0.25">
      <c r="A71" s="214" t="s">
        <v>885</v>
      </c>
      <c r="B71" s="64">
        <v>12.42</v>
      </c>
      <c r="C71" s="64">
        <v>27.26</v>
      </c>
      <c r="D71" s="64">
        <v>23.74</v>
      </c>
      <c r="E71" s="64">
        <v>11.03</v>
      </c>
      <c r="F71" s="64">
        <v>13.28</v>
      </c>
      <c r="G71" s="64">
        <v>39.590000000000003</v>
      </c>
      <c r="H71" s="64">
        <v>22.24</v>
      </c>
      <c r="I71" s="64">
        <v>3.47</v>
      </c>
      <c r="J71" s="64">
        <v>0.67</v>
      </c>
      <c r="K71" s="64">
        <v>357.64</v>
      </c>
      <c r="L71" s="64">
        <v>25.23</v>
      </c>
      <c r="M71" s="64">
        <v>15.92</v>
      </c>
      <c r="N71" s="64">
        <v>78.599999999999994</v>
      </c>
      <c r="O71" s="64">
        <v>0</v>
      </c>
      <c r="P71" s="64">
        <v>0.93</v>
      </c>
      <c r="Q71" s="64">
        <v>9.65</v>
      </c>
      <c r="R71" s="198"/>
      <c r="S71" s="198"/>
      <c r="T71" s="198"/>
      <c r="U71" s="198"/>
    </row>
    <row r="72" spans="1:21" s="12" customFormat="1" x14ac:dyDescent="0.25">
      <c r="A72" s="214" t="s">
        <v>886</v>
      </c>
      <c r="B72" s="64">
        <v>8.98</v>
      </c>
      <c r="C72" s="64">
        <v>26.37</v>
      </c>
      <c r="D72" s="64">
        <v>20.51</v>
      </c>
      <c r="E72" s="64">
        <v>14.43</v>
      </c>
      <c r="F72" s="64">
        <v>19.46</v>
      </c>
      <c r="G72" s="64">
        <v>39.590000000000003</v>
      </c>
      <c r="H72" s="64">
        <v>22.24</v>
      </c>
      <c r="I72" s="64">
        <v>3.41</v>
      </c>
      <c r="J72" s="64">
        <v>0.35</v>
      </c>
      <c r="K72" s="64">
        <v>115.74</v>
      </c>
      <c r="L72" s="64">
        <v>24.91</v>
      </c>
      <c r="M72" s="64">
        <v>18.100000000000001</v>
      </c>
      <c r="N72" s="64">
        <v>69.099999999999994</v>
      </c>
      <c r="O72" s="64">
        <v>0</v>
      </c>
      <c r="P72" s="64">
        <v>0.87</v>
      </c>
      <c r="Q72" s="64">
        <v>9.66</v>
      </c>
      <c r="R72" s="198"/>
      <c r="S72" s="198"/>
      <c r="T72" s="198"/>
      <c r="U72" s="198"/>
    </row>
    <row r="73" spans="1:21" s="12" customFormat="1" x14ac:dyDescent="0.25">
      <c r="A73" s="214" t="s">
        <v>887</v>
      </c>
      <c r="B73" s="64">
        <v>7.68</v>
      </c>
      <c r="C73" s="64">
        <v>25.26</v>
      </c>
      <c r="D73" s="64">
        <v>18.89</v>
      </c>
      <c r="E73" s="64">
        <v>18.93</v>
      </c>
      <c r="F73" s="64">
        <v>23.59</v>
      </c>
      <c r="G73" s="64">
        <v>37.85</v>
      </c>
      <c r="H73" s="64">
        <v>17.510000000000002</v>
      </c>
      <c r="I73" s="64">
        <v>3.34</v>
      </c>
      <c r="J73" s="64">
        <v>0.36</v>
      </c>
      <c r="K73" s="64">
        <v>114.17</v>
      </c>
      <c r="L73" s="64">
        <v>24.46</v>
      </c>
      <c r="M73" s="64">
        <v>18.86</v>
      </c>
      <c r="N73" s="64">
        <v>58.3</v>
      </c>
      <c r="O73" s="64">
        <v>0</v>
      </c>
      <c r="P73" s="64">
        <v>0.78</v>
      </c>
      <c r="Q73" s="64">
        <v>9.65</v>
      </c>
      <c r="R73" s="198"/>
      <c r="S73" s="198"/>
      <c r="T73" s="198"/>
      <c r="U73" s="198"/>
    </row>
    <row r="74" spans="1:21" s="12" customFormat="1" x14ac:dyDescent="0.25">
      <c r="A74" s="214" t="s">
        <v>888</v>
      </c>
      <c r="B74" s="64">
        <v>10.210000000000001</v>
      </c>
      <c r="C74" s="64">
        <v>35.76</v>
      </c>
      <c r="D74" s="64">
        <v>26.41</v>
      </c>
      <c r="E74" s="64">
        <v>19.37</v>
      </c>
      <c r="F74" s="64">
        <v>16.04</v>
      </c>
      <c r="G74" s="64">
        <v>36.39</v>
      </c>
      <c r="H74" s="64">
        <v>15.77</v>
      </c>
      <c r="I74" s="64">
        <v>3.27</v>
      </c>
      <c r="J74" s="64">
        <v>0.26</v>
      </c>
      <c r="K74" s="64">
        <v>88.39</v>
      </c>
      <c r="L74" s="64">
        <v>23.97</v>
      </c>
      <c r="M74" s="64">
        <v>19.91</v>
      </c>
      <c r="N74" s="64">
        <v>52.7</v>
      </c>
      <c r="O74" s="64">
        <v>0</v>
      </c>
      <c r="P74" s="64">
        <v>0.9</v>
      </c>
      <c r="Q74" s="64">
        <v>9.66</v>
      </c>
      <c r="R74" s="198"/>
      <c r="S74" s="198"/>
      <c r="T74" s="198"/>
      <c r="U74" s="198"/>
    </row>
    <row r="75" spans="1:21" s="12" customFormat="1" x14ac:dyDescent="0.25">
      <c r="A75" s="214" t="s">
        <v>889</v>
      </c>
      <c r="B75" s="64">
        <v>8.94</v>
      </c>
      <c r="C75" s="64">
        <v>30.31</v>
      </c>
      <c r="D75" s="64">
        <v>22.55</v>
      </c>
      <c r="E75" s="64">
        <v>10.98</v>
      </c>
      <c r="F75" s="64">
        <v>7.21</v>
      </c>
      <c r="G75" s="64">
        <v>36.39</v>
      </c>
      <c r="H75" s="64">
        <v>15.77</v>
      </c>
      <c r="I75" s="64">
        <v>3.23</v>
      </c>
      <c r="J75" s="64">
        <v>0.19</v>
      </c>
      <c r="K75" s="64">
        <v>68.16</v>
      </c>
      <c r="L75" s="64">
        <v>23.39</v>
      </c>
      <c r="M75" s="64">
        <v>21.6</v>
      </c>
      <c r="N75" s="64">
        <v>49.5</v>
      </c>
      <c r="O75" s="64">
        <v>0</v>
      </c>
      <c r="P75" s="64">
        <v>1.04</v>
      </c>
      <c r="Q75" s="64">
        <v>9.65</v>
      </c>
      <c r="R75" s="198"/>
      <c r="S75" s="198"/>
      <c r="T75" s="198"/>
      <c r="U75" s="198"/>
    </row>
    <row r="76" spans="1:21" s="12" customFormat="1" x14ac:dyDescent="0.25">
      <c r="A76" s="214" t="s">
        <v>890</v>
      </c>
      <c r="B76" s="64">
        <v>9.69</v>
      </c>
      <c r="C76" s="64">
        <v>34.03</v>
      </c>
      <c r="D76" s="64">
        <v>25.09</v>
      </c>
      <c r="E76" s="64">
        <v>9.09</v>
      </c>
      <c r="F76" s="64">
        <v>4.83</v>
      </c>
      <c r="G76" s="64">
        <v>36.39</v>
      </c>
      <c r="H76" s="64">
        <v>15.77</v>
      </c>
      <c r="I76" s="64">
        <v>3.2</v>
      </c>
      <c r="J76" s="64">
        <v>0.34</v>
      </c>
      <c r="K76" s="64">
        <v>103.2</v>
      </c>
      <c r="L76" s="64">
        <v>22.82</v>
      </c>
      <c r="M76" s="64">
        <v>23.22</v>
      </c>
      <c r="N76" s="64">
        <v>42.8</v>
      </c>
      <c r="O76" s="64">
        <v>0</v>
      </c>
      <c r="P76" s="64">
        <v>1.05</v>
      </c>
      <c r="Q76" s="64">
        <v>9.65</v>
      </c>
      <c r="R76" s="198"/>
      <c r="S76" s="198"/>
      <c r="T76" s="198"/>
      <c r="U76" s="198"/>
    </row>
    <row r="77" spans="1:21" s="12" customFormat="1" x14ac:dyDescent="0.25">
      <c r="A77" s="214" t="s">
        <v>891</v>
      </c>
      <c r="B77" s="64">
        <v>10.87</v>
      </c>
      <c r="C77" s="64">
        <v>33.200000000000003</v>
      </c>
      <c r="D77" s="64">
        <v>25.6</v>
      </c>
      <c r="E77" s="64">
        <v>11.3</v>
      </c>
      <c r="F77" s="64">
        <v>6.97</v>
      </c>
      <c r="G77" s="64">
        <v>41.66</v>
      </c>
      <c r="H77" s="64">
        <v>18.16</v>
      </c>
      <c r="I77" s="64">
        <v>3.17</v>
      </c>
      <c r="J77" s="64">
        <v>0.17</v>
      </c>
      <c r="K77" s="64">
        <v>30.6</v>
      </c>
      <c r="L77" s="64">
        <v>22</v>
      </c>
      <c r="M77" s="64">
        <v>27.11</v>
      </c>
      <c r="N77" s="64">
        <v>36.700000000000003</v>
      </c>
      <c r="O77" s="64">
        <v>0</v>
      </c>
      <c r="P77" s="64">
        <v>1.03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4" t="s">
        <v>892</v>
      </c>
      <c r="B78" s="64">
        <v>18.350000000000001</v>
      </c>
      <c r="C78" s="64">
        <v>26.03</v>
      </c>
      <c r="D78" s="64">
        <v>27.85</v>
      </c>
      <c r="E78" s="64">
        <v>5.31</v>
      </c>
      <c r="F78" s="64">
        <v>3.14</v>
      </c>
      <c r="G78" s="64">
        <v>46.06</v>
      </c>
      <c r="H78" s="64">
        <v>19.87</v>
      </c>
      <c r="I78" s="64">
        <v>3.17</v>
      </c>
      <c r="J78" s="64">
        <v>0.39</v>
      </c>
      <c r="K78" s="64">
        <v>343.98</v>
      </c>
      <c r="L78" s="64">
        <v>20.88</v>
      </c>
      <c r="M78" s="64">
        <v>35.51</v>
      </c>
      <c r="N78" s="64">
        <v>33.299999999999997</v>
      </c>
      <c r="O78" s="64">
        <v>0</v>
      </c>
      <c r="P78" s="64">
        <v>1.1200000000000001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893</v>
      </c>
      <c r="B79" s="64">
        <v>15.32</v>
      </c>
      <c r="C79" s="64">
        <v>25.97</v>
      </c>
      <c r="D79" s="64">
        <v>25.39</v>
      </c>
      <c r="E79" s="64">
        <v>5.12</v>
      </c>
      <c r="F79" s="64">
        <v>2.73</v>
      </c>
      <c r="G79" s="64">
        <v>46.06</v>
      </c>
      <c r="H79" s="64">
        <v>19.87</v>
      </c>
      <c r="I79" s="64">
        <v>3.21</v>
      </c>
      <c r="J79" s="64">
        <v>0.16</v>
      </c>
      <c r="K79" s="64">
        <v>160.85</v>
      </c>
      <c r="L79" s="64">
        <v>19.940000000000001</v>
      </c>
      <c r="M79" s="64">
        <v>36.17</v>
      </c>
      <c r="N79" s="64">
        <v>32.700000000000003</v>
      </c>
      <c r="O79" s="64">
        <v>0</v>
      </c>
      <c r="P79" s="64">
        <v>1.1000000000000001</v>
      </c>
      <c r="Q79" s="64">
        <v>9.64</v>
      </c>
      <c r="R79" s="198"/>
      <c r="S79" s="198"/>
      <c r="T79" s="198"/>
      <c r="U79" s="198"/>
    </row>
    <row r="80" spans="1:21" s="12" customFormat="1" x14ac:dyDescent="0.25">
      <c r="A80" s="214" t="s">
        <v>894</v>
      </c>
      <c r="B80" s="64">
        <v>16.86</v>
      </c>
      <c r="C80" s="64">
        <v>27.22</v>
      </c>
      <c r="D80" s="64">
        <v>27.28</v>
      </c>
      <c r="E80" s="64">
        <v>4.8899999999999997</v>
      </c>
      <c r="F80" s="64">
        <v>2.8</v>
      </c>
      <c r="G80" s="64">
        <v>46.06</v>
      </c>
      <c r="H80" s="64">
        <v>19.87</v>
      </c>
      <c r="I80" s="64">
        <v>3.3</v>
      </c>
      <c r="J80" s="64">
        <v>0.26</v>
      </c>
      <c r="K80" s="64">
        <v>79.2</v>
      </c>
      <c r="L80" s="64">
        <v>19.62</v>
      </c>
      <c r="M80" s="64">
        <v>35.06</v>
      </c>
      <c r="N80" s="64">
        <v>32.4</v>
      </c>
      <c r="O80" s="64">
        <v>0</v>
      </c>
      <c r="P80" s="64">
        <v>1.19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4" t="s">
        <v>895</v>
      </c>
      <c r="B81" s="64">
        <v>16.45</v>
      </c>
      <c r="C81" s="64">
        <v>29.08</v>
      </c>
      <c r="D81" s="64">
        <v>27.59</v>
      </c>
      <c r="E81" s="64">
        <v>5.18</v>
      </c>
      <c r="F81" s="64">
        <v>2.9</v>
      </c>
      <c r="G81" s="64">
        <v>64.62</v>
      </c>
      <c r="H81" s="64">
        <v>26.57</v>
      </c>
      <c r="I81" s="64">
        <v>3.46</v>
      </c>
      <c r="J81" s="64">
        <v>0.33</v>
      </c>
      <c r="K81" s="64">
        <v>74.48</v>
      </c>
      <c r="L81" s="64">
        <v>19.36</v>
      </c>
      <c r="M81" s="64">
        <v>37.21</v>
      </c>
      <c r="N81" s="64">
        <v>32.5</v>
      </c>
      <c r="O81" s="64">
        <v>0</v>
      </c>
      <c r="P81" s="64">
        <v>1.2</v>
      </c>
      <c r="Q81" s="64">
        <v>9.64</v>
      </c>
      <c r="R81" s="198"/>
      <c r="S81" s="198"/>
      <c r="T81" s="198"/>
      <c r="U81" s="198"/>
    </row>
    <row r="82" spans="1:26" s="12" customFormat="1" x14ac:dyDescent="0.25">
      <c r="A82" s="214" t="s">
        <v>896</v>
      </c>
      <c r="B82" s="64">
        <v>19.16</v>
      </c>
      <c r="C82" s="64">
        <v>25.43</v>
      </c>
      <c r="D82" s="64">
        <v>28.19</v>
      </c>
      <c r="E82" s="64">
        <v>4.72</v>
      </c>
      <c r="F82" s="64">
        <v>2.75</v>
      </c>
      <c r="G82" s="64">
        <v>67.22</v>
      </c>
      <c r="H82" s="64">
        <v>26.57</v>
      </c>
      <c r="I82" s="64">
        <v>3.94</v>
      </c>
      <c r="J82" s="64">
        <v>0.28000000000000003</v>
      </c>
      <c r="K82" s="64">
        <v>39.729999999999997</v>
      </c>
      <c r="L82" s="64">
        <v>19</v>
      </c>
      <c r="M82" s="64">
        <v>39.35</v>
      </c>
      <c r="N82" s="64">
        <v>32.299999999999997</v>
      </c>
      <c r="O82" s="64">
        <v>0</v>
      </c>
      <c r="P82" s="64">
        <v>1.29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4" t="s">
        <v>897</v>
      </c>
      <c r="B83" s="64">
        <v>19.55</v>
      </c>
      <c r="C83" s="64">
        <v>25.65</v>
      </c>
      <c r="D83" s="64">
        <v>28.62</v>
      </c>
      <c r="E83" s="64">
        <v>4.62</v>
      </c>
      <c r="F83" s="64">
        <v>3.15</v>
      </c>
      <c r="G83" s="64">
        <v>67.22</v>
      </c>
      <c r="H83" s="64">
        <v>26.57</v>
      </c>
      <c r="I83" s="64">
        <v>4.3499999999999996</v>
      </c>
      <c r="J83" s="64">
        <v>0.32</v>
      </c>
      <c r="K83" s="64">
        <v>81.97</v>
      </c>
      <c r="L83" s="64">
        <v>18.7</v>
      </c>
      <c r="M83" s="64">
        <v>37.44</v>
      </c>
      <c r="N83" s="64">
        <v>32.5</v>
      </c>
      <c r="O83" s="64">
        <v>0</v>
      </c>
      <c r="P83" s="64">
        <v>1.32</v>
      </c>
      <c r="Q83" s="64">
        <v>9.64</v>
      </c>
      <c r="R83" s="198"/>
      <c r="S83" s="198"/>
      <c r="T83" s="198"/>
      <c r="U83" s="198"/>
    </row>
    <row r="84" spans="1:26" s="12" customFormat="1" x14ac:dyDescent="0.25">
      <c r="A84" s="214" t="s">
        <v>898</v>
      </c>
      <c r="B84" s="64">
        <v>19.77</v>
      </c>
      <c r="C84" s="64">
        <v>24.03</v>
      </c>
      <c r="D84" s="64">
        <v>27.95</v>
      </c>
      <c r="E84" s="64">
        <v>4.5999999999999996</v>
      </c>
      <c r="F84" s="64">
        <v>2.81</v>
      </c>
      <c r="G84" s="64">
        <v>67.22</v>
      </c>
      <c r="H84" s="64">
        <v>26.57</v>
      </c>
      <c r="I84" s="64">
        <v>4.24</v>
      </c>
      <c r="J84" s="64">
        <v>0.16</v>
      </c>
      <c r="K84" s="64">
        <v>169.61</v>
      </c>
      <c r="L84" s="64">
        <v>18.239999999999998</v>
      </c>
      <c r="M84" s="64">
        <v>42.37</v>
      </c>
      <c r="N84" s="64">
        <v>32.4</v>
      </c>
      <c r="O84" s="64">
        <v>0</v>
      </c>
      <c r="P84" s="64">
        <v>1.34</v>
      </c>
      <c r="Q84" s="64">
        <v>9.64</v>
      </c>
      <c r="R84" s="198"/>
      <c r="S84" s="198"/>
      <c r="T84" s="198"/>
      <c r="U84" s="198"/>
    </row>
    <row r="85" spans="1:26" s="12" customFormat="1" x14ac:dyDescent="0.25">
      <c r="A85" s="214" t="s">
        <v>899</v>
      </c>
      <c r="B85" s="64">
        <v>25.25</v>
      </c>
      <c r="C85" s="64">
        <v>22.19</v>
      </c>
      <c r="D85" s="64">
        <v>31.38</v>
      </c>
      <c r="E85" s="64">
        <v>4.83</v>
      </c>
      <c r="F85" s="64">
        <v>2.9</v>
      </c>
      <c r="G85" s="64">
        <v>69.95</v>
      </c>
      <c r="H85" s="64">
        <v>29.34</v>
      </c>
      <c r="I85" s="64">
        <v>4.26</v>
      </c>
      <c r="J85" s="64">
        <v>0.35</v>
      </c>
      <c r="K85" s="64">
        <v>315.32</v>
      </c>
      <c r="L85" s="64">
        <v>17.79</v>
      </c>
      <c r="M85" s="64">
        <v>47.94</v>
      </c>
      <c r="N85" s="64">
        <v>32.4</v>
      </c>
      <c r="O85" s="64">
        <v>0</v>
      </c>
      <c r="P85" s="64">
        <v>1.44</v>
      </c>
      <c r="Q85" s="64">
        <v>9.65</v>
      </c>
      <c r="R85" s="198"/>
      <c r="S85" s="198"/>
      <c r="T85" s="198"/>
      <c r="U85" s="198"/>
    </row>
    <row r="86" spans="1:26" s="12" customFormat="1" x14ac:dyDescent="0.25">
      <c r="A86" s="214" t="s">
        <v>900</v>
      </c>
      <c r="B86" s="64">
        <v>27.6</v>
      </c>
      <c r="C86" s="64">
        <v>21.04</v>
      </c>
      <c r="D86" s="64">
        <v>32.659999999999997</v>
      </c>
      <c r="E86" s="64">
        <v>4.6500000000000004</v>
      </c>
      <c r="F86" s="64">
        <v>2.76</v>
      </c>
      <c r="G86" s="64">
        <v>72.23</v>
      </c>
      <c r="H86" s="64">
        <v>30.42</v>
      </c>
      <c r="I86" s="64">
        <v>4.33</v>
      </c>
      <c r="J86" s="64">
        <v>0.19</v>
      </c>
      <c r="K86" s="64">
        <v>120.29</v>
      </c>
      <c r="L86" s="64">
        <v>17.239999999999998</v>
      </c>
      <c r="M86" s="64">
        <v>51.18</v>
      </c>
      <c r="N86" s="64">
        <v>32.200000000000003</v>
      </c>
      <c r="O86" s="64">
        <v>0</v>
      </c>
      <c r="P86" s="64">
        <v>1.48</v>
      </c>
      <c r="Q86" s="64">
        <v>9.66</v>
      </c>
      <c r="R86" s="198"/>
      <c r="S86" s="198"/>
      <c r="T86" s="198"/>
      <c r="U86" s="198"/>
    </row>
    <row r="87" spans="1:26" s="12" customFormat="1" x14ac:dyDescent="0.25">
      <c r="A87" s="214" t="s">
        <v>901</v>
      </c>
      <c r="B87" s="64">
        <v>32.130000000000003</v>
      </c>
      <c r="C87" s="64">
        <v>18.420000000000002</v>
      </c>
      <c r="D87" s="64">
        <v>34.93</v>
      </c>
      <c r="E87" s="64">
        <v>4.3499999999999996</v>
      </c>
      <c r="F87" s="64">
        <v>2.72</v>
      </c>
      <c r="G87" s="64">
        <v>72.23</v>
      </c>
      <c r="H87" s="64">
        <v>30.42</v>
      </c>
      <c r="I87" s="64">
        <v>4.47</v>
      </c>
      <c r="J87" s="64">
        <v>0.31</v>
      </c>
      <c r="K87" s="64">
        <v>358.99</v>
      </c>
      <c r="L87" s="64">
        <v>16.91</v>
      </c>
      <c r="M87" s="64">
        <v>55.11</v>
      </c>
      <c r="N87" s="64">
        <v>32.299999999999997</v>
      </c>
      <c r="O87" s="64">
        <v>0</v>
      </c>
      <c r="P87" s="64">
        <v>1.58</v>
      </c>
      <c r="Q87" s="64">
        <v>9.67</v>
      </c>
      <c r="R87" s="198"/>
      <c r="S87" s="198"/>
      <c r="T87" s="198"/>
      <c r="U87" s="198"/>
    </row>
    <row r="88" spans="1:26" s="12" customFormat="1" x14ac:dyDescent="0.25">
      <c r="A88" s="214" t="s">
        <v>902</v>
      </c>
      <c r="B88" s="64">
        <v>35.630000000000003</v>
      </c>
      <c r="C88" s="64">
        <v>16.350000000000001</v>
      </c>
      <c r="D88" s="64">
        <v>36.65</v>
      </c>
      <c r="E88" s="64">
        <v>4.4400000000000004</v>
      </c>
      <c r="F88" s="64">
        <v>2.58</v>
      </c>
      <c r="G88" s="64">
        <v>72.23</v>
      </c>
      <c r="H88" s="64">
        <v>30.42</v>
      </c>
      <c r="I88" s="64">
        <v>4.5999999999999996</v>
      </c>
      <c r="J88" s="64">
        <v>0.34</v>
      </c>
      <c r="K88" s="64">
        <v>322.68</v>
      </c>
      <c r="L88" s="64">
        <v>16.36</v>
      </c>
      <c r="M88" s="64">
        <v>56.88</v>
      </c>
      <c r="N88" s="64">
        <v>32.1</v>
      </c>
      <c r="O88" s="64">
        <v>0</v>
      </c>
      <c r="P88" s="64">
        <v>1.7</v>
      </c>
      <c r="Q88" s="64">
        <v>9.68</v>
      </c>
      <c r="R88" s="198"/>
      <c r="S88" s="198"/>
      <c r="T88" s="198"/>
      <c r="U88" s="198"/>
    </row>
    <row r="89" spans="1:26" s="12" customFormat="1" x14ac:dyDescent="0.25">
      <c r="A89" s="214" t="s">
        <v>903</v>
      </c>
      <c r="B89" s="64">
        <v>39.770000000000003</v>
      </c>
      <c r="C89" s="64">
        <v>13.76</v>
      </c>
      <c r="D89" s="64">
        <v>38.619999999999997</v>
      </c>
      <c r="E89" s="64">
        <v>4.75</v>
      </c>
      <c r="F89" s="64">
        <v>2.72</v>
      </c>
      <c r="G89" s="64">
        <v>112.86</v>
      </c>
      <c r="H89" s="64">
        <v>37.64</v>
      </c>
      <c r="I89" s="64">
        <v>4.87</v>
      </c>
      <c r="J89" s="64">
        <v>0.33</v>
      </c>
      <c r="K89" s="64">
        <v>6.38</v>
      </c>
      <c r="L89" s="64">
        <v>16.25</v>
      </c>
      <c r="M89" s="64">
        <v>59.3</v>
      </c>
      <c r="N89" s="64">
        <v>32.200000000000003</v>
      </c>
      <c r="O89" s="64">
        <v>0</v>
      </c>
      <c r="P89" s="64">
        <v>1.77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14" t="s">
        <v>904</v>
      </c>
      <c r="B90" s="64">
        <v>43.22</v>
      </c>
      <c r="C90" s="64">
        <v>11.75</v>
      </c>
      <c r="D90" s="64">
        <v>40.340000000000003</v>
      </c>
      <c r="E90" s="64">
        <v>4.92</v>
      </c>
      <c r="F90" s="64">
        <v>2.99</v>
      </c>
      <c r="G90" s="64">
        <v>146.86000000000001</v>
      </c>
      <c r="H90" s="64">
        <v>40.44</v>
      </c>
      <c r="I90" s="64">
        <v>5.05</v>
      </c>
      <c r="J90" s="64">
        <v>0.38</v>
      </c>
      <c r="K90" s="64">
        <v>293.08999999999997</v>
      </c>
      <c r="L90" s="64">
        <v>16.09</v>
      </c>
      <c r="M90" s="64">
        <v>62.05</v>
      </c>
      <c r="N90" s="64">
        <v>32</v>
      </c>
      <c r="O90" s="64">
        <v>0</v>
      </c>
      <c r="P90" s="64">
        <v>1.87</v>
      </c>
      <c r="Q90" s="64">
        <v>9.7100000000000009</v>
      </c>
      <c r="R90" s="198"/>
      <c r="S90" s="198"/>
      <c r="T90" s="198"/>
      <c r="U90" s="198"/>
    </row>
    <row r="91" spans="1:26" s="12" customFormat="1" x14ac:dyDescent="0.25">
      <c r="A91" s="214" t="s">
        <v>905</v>
      </c>
      <c r="B91" s="64">
        <v>49.64</v>
      </c>
      <c r="C91" s="64">
        <v>8.35</v>
      </c>
      <c r="D91" s="64">
        <v>43.71</v>
      </c>
      <c r="E91" s="64">
        <v>5.0199999999999996</v>
      </c>
      <c r="F91" s="64">
        <v>2.79</v>
      </c>
      <c r="G91" s="64">
        <v>146.86000000000001</v>
      </c>
      <c r="H91" s="64">
        <v>40.44</v>
      </c>
      <c r="I91" s="64">
        <v>5.2</v>
      </c>
      <c r="J91" s="64">
        <v>0.35</v>
      </c>
      <c r="K91" s="64">
        <v>333.53</v>
      </c>
      <c r="L91" s="64">
        <v>15.8</v>
      </c>
      <c r="M91" s="64">
        <v>61.51</v>
      </c>
      <c r="N91" s="64">
        <v>32.200000000000003</v>
      </c>
      <c r="O91" s="64">
        <v>0</v>
      </c>
      <c r="P91" s="64">
        <v>1.98</v>
      </c>
      <c r="Q91" s="64">
        <v>9.7200000000000006</v>
      </c>
      <c r="R91" s="198"/>
      <c r="S91" s="198"/>
      <c r="T91" s="198"/>
      <c r="U91" s="198"/>
    </row>
    <row r="92" spans="1:26" s="12" customFormat="1" x14ac:dyDescent="0.25">
      <c r="A92" s="214" t="s">
        <v>906</v>
      </c>
      <c r="B92" s="64">
        <v>55.4</v>
      </c>
      <c r="C92" s="64">
        <v>5.47</v>
      </c>
      <c r="D92" s="64">
        <v>46.82</v>
      </c>
      <c r="E92" s="64">
        <v>4.99</v>
      </c>
      <c r="F92" s="64">
        <v>2.86</v>
      </c>
      <c r="G92" s="64">
        <v>146.86000000000001</v>
      </c>
      <c r="H92" s="64">
        <v>40.44</v>
      </c>
      <c r="I92" s="64">
        <v>5.42</v>
      </c>
      <c r="J92" s="64">
        <v>0.35</v>
      </c>
      <c r="K92" s="64">
        <v>356.58</v>
      </c>
      <c r="L92" s="64">
        <v>15.51</v>
      </c>
      <c r="M92" s="64">
        <v>65.23</v>
      </c>
      <c r="N92" s="64">
        <v>32.200000000000003</v>
      </c>
      <c r="O92" s="64">
        <v>0</v>
      </c>
      <c r="P92" s="64">
        <v>2.0699999999999998</v>
      </c>
      <c r="Q92" s="64">
        <v>9.7100000000000009</v>
      </c>
      <c r="R92" s="198"/>
      <c r="S92" s="198"/>
      <c r="T92" s="198"/>
      <c r="U92" s="198"/>
    </row>
    <row r="93" spans="1:26" s="12" customFormat="1" x14ac:dyDescent="0.25">
      <c r="A93" s="214" t="s">
        <v>907</v>
      </c>
      <c r="B93" s="64">
        <v>61.55</v>
      </c>
      <c r="C93" s="64">
        <v>1.98</v>
      </c>
      <c r="D93" s="64">
        <v>49.93</v>
      </c>
      <c r="E93" s="64">
        <v>5.09</v>
      </c>
      <c r="F93" s="64">
        <v>3.03</v>
      </c>
      <c r="G93" s="64">
        <v>159.96</v>
      </c>
      <c r="H93" s="64">
        <v>47.1</v>
      </c>
      <c r="I93" s="64">
        <v>5.59</v>
      </c>
      <c r="J93" s="64">
        <v>0.34</v>
      </c>
      <c r="K93" s="64">
        <v>128.86000000000001</v>
      </c>
      <c r="L93" s="64">
        <v>15.2</v>
      </c>
      <c r="M93" s="64">
        <v>67.239999999999995</v>
      </c>
      <c r="N93" s="64">
        <v>32</v>
      </c>
      <c r="O93" s="64">
        <v>0</v>
      </c>
      <c r="P93" s="64">
        <v>2.15</v>
      </c>
      <c r="Q93" s="64">
        <v>9.7200000000000006</v>
      </c>
      <c r="R93" s="198"/>
      <c r="S93" s="198"/>
      <c r="T93" s="198"/>
      <c r="U93" s="198"/>
    </row>
    <row r="94" spans="1:26" s="12" customFormat="1" x14ac:dyDescent="0.25">
      <c r="A94" s="214" t="s">
        <v>908</v>
      </c>
      <c r="B94" s="64">
        <v>71.11</v>
      </c>
      <c r="C94" s="64">
        <v>1.98</v>
      </c>
      <c r="D94" s="64">
        <v>54.89</v>
      </c>
      <c r="E94" s="64">
        <v>5.17</v>
      </c>
      <c r="F94" s="64">
        <v>2.97</v>
      </c>
      <c r="G94" s="64">
        <v>170.93</v>
      </c>
      <c r="H94" s="64">
        <v>51.72</v>
      </c>
      <c r="I94" s="64">
        <v>5.79</v>
      </c>
      <c r="J94" s="64">
        <v>0.31</v>
      </c>
      <c r="K94" s="64">
        <v>352.7</v>
      </c>
      <c r="L94" s="64">
        <v>15.04</v>
      </c>
      <c r="M94" s="64">
        <v>71.62</v>
      </c>
      <c r="N94" s="64">
        <v>32.1</v>
      </c>
      <c r="O94" s="64">
        <v>0</v>
      </c>
      <c r="P94" s="64">
        <v>2.23</v>
      </c>
      <c r="Q94" s="64">
        <v>9.74</v>
      </c>
      <c r="R94" s="198"/>
      <c r="S94" s="198"/>
      <c r="T94" s="198"/>
      <c r="U94" s="198"/>
    </row>
    <row r="95" spans="1:26" s="12" customFormat="1" x14ac:dyDescent="0.25">
      <c r="A95" s="214" t="s">
        <v>909</v>
      </c>
      <c r="B95" s="64">
        <v>85.49</v>
      </c>
      <c r="C95" s="64">
        <v>1.98</v>
      </c>
      <c r="D95" s="64">
        <v>62.6</v>
      </c>
      <c r="E95" s="64">
        <v>5.34</v>
      </c>
      <c r="F95" s="64">
        <v>2.93</v>
      </c>
      <c r="G95" s="64">
        <v>170.93</v>
      </c>
      <c r="H95" s="64">
        <v>51.72</v>
      </c>
      <c r="I95" s="64">
        <v>5.98</v>
      </c>
      <c r="J95" s="64">
        <v>0.37</v>
      </c>
      <c r="K95" s="64">
        <v>357.94</v>
      </c>
      <c r="L95" s="64">
        <v>14.95</v>
      </c>
      <c r="M95" s="64">
        <v>71.84</v>
      </c>
      <c r="N95" s="64">
        <v>32.1</v>
      </c>
      <c r="O95" s="64">
        <v>0</v>
      </c>
      <c r="P95" s="64">
        <v>2.36</v>
      </c>
      <c r="Q95" s="64">
        <v>9.75</v>
      </c>
      <c r="R95" s="198"/>
      <c r="S95" s="198"/>
      <c r="T95" s="198"/>
      <c r="U95" s="198"/>
    </row>
    <row r="96" spans="1:26" s="12" customFormat="1" x14ac:dyDescent="0.25">
      <c r="A96" s="214" t="s">
        <v>910</v>
      </c>
      <c r="B96" s="64">
        <v>97.3</v>
      </c>
      <c r="C96" s="64">
        <v>1.98</v>
      </c>
      <c r="D96" s="64">
        <v>69.03</v>
      </c>
      <c r="E96" s="64">
        <v>5.3</v>
      </c>
      <c r="F96" s="64">
        <v>3.01</v>
      </c>
      <c r="G96" s="64">
        <v>170.93</v>
      </c>
      <c r="H96" s="64">
        <v>51.72</v>
      </c>
      <c r="I96" s="64">
        <v>6.24</v>
      </c>
      <c r="J96" s="64">
        <v>0.14000000000000001</v>
      </c>
      <c r="K96" s="64">
        <v>68.89</v>
      </c>
      <c r="L96" s="64">
        <v>14.94</v>
      </c>
      <c r="M96" s="64">
        <v>71.45</v>
      </c>
      <c r="N96" s="64">
        <v>31.9</v>
      </c>
      <c r="O96" s="64">
        <v>0</v>
      </c>
      <c r="P96" s="64">
        <v>2.4900000000000002</v>
      </c>
      <c r="Q96" s="64">
        <v>9.7799999999999994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911</v>
      </c>
      <c r="B97" s="64">
        <v>110.17</v>
      </c>
      <c r="C97" s="64">
        <v>1.98</v>
      </c>
      <c r="D97" s="64">
        <v>75.91</v>
      </c>
      <c r="E97" s="64">
        <v>5.64</v>
      </c>
      <c r="F97" s="64">
        <v>3.04</v>
      </c>
      <c r="G97" s="64">
        <v>168.7</v>
      </c>
      <c r="H97" s="64">
        <v>58.85</v>
      </c>
      <c r="I97" s="64">
        <v>6.48</v>
      </c>
      <c r="J97" s="64">
        <v>0.31</v>
      </c>
      <c r="K97" s="64">
        <v>309.60000000000002</v>
      </c>
      <c r="L97" s="64">
        <v>14.83</v>
      </c>
      <c r="M97" s="64">
        <v>71.650000000000006</v>
      </c>
      <c r="N97" s="64">
        <v>32.1</v>
      </c>
      <c r="O97" s="64">
        <v>0</v>
      </c>
      <c r="P97" s="64">
        <v>2.62</v>
      </c>
      <c r="Q97" s="64">
        <v>9.82</v>
      </c>
      <c r="R97" s="198"/>
      <c r="S97" s="198"/>
      <c r="T97" s="198"/>
      <c r="U97" s="198"/>
    </row>
    <row r="98" spans="1:33" s="12" customFormat="1" x14ac:dyDescent="0.25">
      <c r="A98" s="214" t="s">
        <v>912</v>
      </c>
      <c r="B98" s="64">
        <v>121.65</v>
      </c>
      <c r="C98" s="64">
        <v>1.98</v>
      </c>
      <c r="D98" s="64">
        <v>82.19</v>
      </c>
      <c r="E98" s="64">
        <v>6.04</v>
      </c>
      <c r="F98" s="64">
        <v>3.01</v>
      </c>
      <c r="G98" s="64">
        <v>166.84</v>
      </c>
      <c r="H98" s="64">
        <v>61.47</v>
      </c>
      <c r="I98" s="64">
        <v>6.7</v>
      </c>
      <c r="J98" s="64">
        <v>0.36</v>
      </c>
      <c r="K98" s="64">
        <v>332.38</v>
      </c>
      <c r="L98" s="64">
        <v>14.83</v>
      </c>
      <c r="M98" s="64">
        <v>76.06</v>
      </c>
      <c r="N98" s="64">
        <v>32.1</v>
      </c>
      <c r="O98" s="64">
        <v>0</v>
      </c>
      <c r="P98" s="64">
        <v>2.74</v>
      </c>
      <c r="Q98" s="64">
        <v>9.86</v>
      </c>
      <c r="R98" s="198"/>
      <c r="S98" s="198"/>
      <c r="T98" s="198"/>
      <c r="U98" s="198"/>
    </row>
    <row r="99" spans="1:33" s="12" customFormat="1" x14ac:dyDescent="0.25">
      <c r="A99" s="214" t="s">
        <v>913</v>
      </c>
      <c r="B99" s="64">
        <v>130.54</v>
      </c>
      <c r="C99" s="64">
        <v>1.98</v>
      </c>
      <c r="D99" s="64">
        <v>86.98</v>
      </c>
      <c r="E99" s="64">
        <v>5.86</v>
      </c>
      <c r="F99" s="64">
        <v>2.98</v>
      </c>
      <c r="G99" s="64">
        <v>166.84</v>
      </c>
      <c r="H99" s="64">
        <v>61.47</v>
      </c>
      <c r="I99" s="64">
        <v>6.91</v>
      </c>
      <c r="J99" s="64">
        <v>0.13</v>
      </c>
      <c r="K99" s="64">
        <v>256.72000000000003</v>
      </c>
      <c r="L99" s="64">
        <v>14.7</v>
      </c>
      <c r="M99" s="64">
        <v>74.930000000000007</v>
      </c>
      <c r="N99" s="64">
        <v>32</v>
      </c>
      <c r="O99" s="64">
        <v>0</v>
      </c>
      <c r="P99" s="64">
        <v>2.86</v>
      </c>
      <c r="Q99" s="64">
        <v>9.86</v>
      </c>
      <c r="R99" s="198"/>
      <c r="S99" s="198"/>
      <c r="T99" s="198"/>
      <c r="U99" s="198"/>
    </row>
    <row r="100" spans="1:33" s="12" customFormat="1" x14ac:dyDescent="0.25">
      <c r="A100" s="214" t="s">
        <v>914</v>
      </c>
      <c r="B100" s="64">
        <v>139.63999999999999</v>
      </c>
      <c r="C100" s="64">
        <v>1.98</v>
      </c>
      <c r="D100" s="64">
        <v>91.5</v>
      </c>
      <c r="E100" s="64">
        <v>6.19</v>
      </c>
      <c r="F100" s="64">
        <v>3.07</v>
      </c>
      <c r="G100" s="64">
        <v>166.84</v>
      </c>
      <c r="H100" s="64">
        <v>61.47</v>
      </c>
      <c r="I100" s="64">
        <v>7.7</v>
      </c>
      <c r="J100" s="64">
        <v>0.38</v>
      </c>
      <c r="K100" s="64">
        <v>341.14</v>
      </c>
      <c r="L100" s="64">
        <v>14.56</v>
      </c>
      <c r="M100" s="64">
        <v>76.09</v>
      </c>
      <c r="N100" s="64">
        <v>32.200000000000003</v>
      </c>
      <c r="O100" s="64">
        <v>0</v>
      </c>
      <c r="P100" s="64">
        <v>2.96</v>
      </c>
      <c r="Q100" s="64">
        <v>9.85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915</v>
      </c>
      <c r="B101" s="64">
        <v>148.13</v>
      </c>
      <c r="C101" s="64">
        <v>1.98</v>
      </c>
      <c r="D101" s="64">
        <v>95.95</v>
      </c>
      <c r="E101" s="64">
        <v>6</v>
      </c>
      <c r="F101" s="64">
        <v>3.16</v>
      </c>
      <c r="G101" s="64">
        <v>157</v>
      </c>
      <c r="H101" s="64">
        <v>62.48</v>
      </c>
      <c r="I101" s="64">
        <v>7.49</v>
      </c>
      <c r="J101" s="64">
        <v>0.34</v>
      </c>
      <c r="K101" s="64">
        <v>257.25</v>
      </c>
      <c r="L101" s="64">
        <v>14.4</v>
      </c>
      <c r="M101" s="64">
        <v>71.459999999999994</v>
      </c>
      <c r="N101" s="64">
        <v>32.1</v>
      </c>
      <c r="O101" s="64">
        <v>0</v>
      </c>
      <c r="P101" s="64">
        <v>3.04</v>
      </c>
      <c r="Q101" s="64">
        <v>9.8699999999999992</v>
      </c>
      <c r="R101" s="198"/>
      <c r="S101" s="198"/>
      <c r="T101" s="198"/>
      <c r="U101" s="198"/>
    </row>
    <row r="102" spans="1:33" s="12" customFormat="1" x14ac:dyDescent="0.25">
      <c r="A102" s="214" t="s">
        <v>916</v>
      </c>
      <c r="B102" s="64">
        <v>151.97999999999999</v>
      </c>
      <c r="C102" s="64">
        <v>2.2999999999999998</v>
      </c>
      <c r="D102" s="64">
        <v>98.01</v>
      </c>
      <c r="E102" s="64">
        <v>5.85</v>
      </c>
      <c r="F102" s="64">
        <v>3.27</v>
      </c>
      <c r="G102" s="64">
        <v>148.77000000000001</v>
      </c>
      <c r="H102" s="64">
        <v>62.87</v>
      </c>
      <c r="I102" s="64">
        <v>7.48</v>
      </c>
      <c r="J102" s="64">
        <v>0.1</v>
      </c>
      <c r="K102" s="64">
        <v>134.81</v>
      </c>
      <c r="L102" s="64">
        <v>14.26</v>
      </c>
      <c r="M102" s="64">
        <v>68.25</v>
      </c>
      <c r="N102" s="64">
        <v>32</v>
      </c>
      <c r="O102" s="64">
        <v>0</v>
      </c>
      <c r="P102" s="64">
        <v>3.08</v>
      </c>
      <c r="Q102" s="64">
        <v>9.89</v>
      </c>
      <c r="R102" s="198"/>
      <c r="S102" s="198"/>
      <c r="T102" s="198"/>
      <c r="U102" s="198"/>
    </row>
    <row r="103" spans="1:33" s="12" customFormat="1" x14ac:dyDescent="0.25">
      <c r="A103" s="214" t="s">
        <v>917</v>
      </c>
      <c r="B103" s="64">
        <v>152.56</v>
      </c>
      <c r="C103" s="64">
        <v>2.2999999999999998</v>
      </c>
      <c r="D103" s="64">
        <v>98.02</v>
      </c>
      <c r="E103" s="64">
        <v>6.13</v>
      </c>
      <c r="F103" s="64">
        <v>3.16</v>
      </c>
      <c r="G103" s="64">
        <v>148.77000000000001</v>
      </c>
      <c r="H103" s="64">
        <v>62.87</v>
      </c>
      <c r="I103" s="64">
        <v>7.57</v>
      </c>
      <c r="J103" s="64">
        <v>0.32</v>
      </c>
      <c r="K103" s="64">
        <v>174.84</v>
      </c>
      <c r="L103" s="64">
        <v>14.5</v>
      </c>
      <c r="M103" s="64">
        <v>64.989999999999995</v>
      </c>
      <c r="N103" s="64">
        <v>31.7</v>
      </c>
      <c r="O103" s="64">
        <v>0</v>
      </c>
      <c r="P103" s="64">
        <v>3.1</v>
      </c>
      <c r="Q103" s="64">
        <v>9.9</v>
      </c>
      <c r="R103" s="198"/>
      <c r="S103" s="198"/>
      <c r="T103" s="198"/>
      <c r="U103" s="198"/>
    </row>
    <row r="104" spans="1:33" s="12" customFormat="1" x14ac:dyDescent="0.25">
      <c r="A104" s="214" t="s">
        <v>918</v>
      </c>
      <c r="B104" s="64">
        <v>149.77000000000001</v>
      </c>
      <c r="C104" s="64">
        <v>2.2999999999999998</v>
      </c>
      <c r="D104" s="64">
        <v>96.5</v>
      </c>
      <c r="E104" s="64">
        <v>6.16</v>
      </c>
      <c r="F104" s="64">
        <v>2.82</v>
      </c>
      <c r="G104" s="64">
        <v>148.77000000000001</v>
      </c>
      <c r="H104" s="64">
        <v>62.87</v>
      </c>
      <c r="I104" s="64">
        <v>7.61</v>
      </c>
      <c r="J104" s="64">
        <v>0.28999999999999998</v>
      </c>
      <c r="K104" s="64">
        <v>280.91000000000003</v>
      </c>
      <c r="L104" s="64">
        <v>15.06</v>
      </c>
      <c r="M104" s="64">
        <v>55.72</v>
      </c>
      <c r="N104" s="64">
        <v>31.6</v>
      </c>
      <c r="O104" s="64">
        <v>0</v>
      </c>
      <c r="P104" s="64">
        <v>3.08</v>
      </c>
      <c r="Q104" s="64">
        <v>9.8800000000000008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7.68</v>
      </c>
      <c r="C106" s="67">
        <f>MIN(C9:C104)</f>
        <v>0.01</v>
      </c>
      <c r="D106" s="67">
        <f t="shared" ref="D106:Q106" si="0">MIN(D9:D104)</f>
        <v>18.89</v>
      </c>
      <c r="E106" s="67">
        <f t="shared" si="0"/>
        <v>4.3499999999999996</v>
      </c>
      <c r="F106" s="67">
        <f t="shared" si="0"/>
        <v>2.5</v>
      </c>
      <c r="G106" s="67">
        <f t="shared" si="0"/>
        <v>36.39</v>
      </c>
      <c r="H106" s="67">
        <f t="shared" si="0"/>
        <v>15.77</v>
      </c>
      <c r="I106" s="67">
        <f t="shared" si="0"/>
        <v>0.1</v>
      </c>
      <c r="J106" s="67">
        <f t="shared" si="0"/>
        <v>0.01</v>
      </c>
      <c r="K106" s="67">
        <f t="shared" si="0"/>
        <v>6.38</v>
      </c>
      <c r="L106" s="67">
        <f t="shared" si="0"/>
        <v>10.99</v>
      </c>
      <c r="M106" s="67">
        <f t="shared" si="0"/>
        <v>15.44</v>
      </c>
      <c r="N106" s="67">
        <f t="shared" si="0"/>
        <v>31.5</v>
      </c>
      <c r="O106" s="67">
        <f t="shared" si="0"/>
        <v>0</v>
      </c>
      <c r="P106" s="67">
        <f t="shared" si="0"/>
        <v>0.78</v>
      </c>
      <c r="Q106" s="67">
        <f t="shared" si="0"/>
        <v>9.6199999999999992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152.56</v>
      </c>
      <c r="C107" s="66">
        <f t="shared" ref="C107:Q107" si="1">MAX(C9:C104)</f>
        <v>35.76</v>
      </c>
      <c r="D107" s="66">
        <f t="shared" si="1"/>
        <v>98.02</v>
      </c>
      <c r="E107" s="66">
        <f t="shared" si="1"/>
        <v>19.64</v>
      </c>
      <c r="F107" s="66">
        <f t="shared" si="1"/>
        <v>23.59</v>
      </c>
      <c r="G107" s="66">
        <f t="shared" si="1"/>
        <v>214.78</v>
      </c>
      <c r="H107" s="66">
        <f t="shared" si="1"/>
        <v>87.87</v>
      </c>
      <c r="I107" s="66">
        <f t="shared" si="1"/>
        <v>11.01</v>
      </c>
      <c r="J107" s="66">
        <f t="shared" si="1"/>
        <v>1.45</v>
      </c>
      <c r="K107" s="66">
        <f t="shared" si="1"/>
        <v>358.99</v>
      </c>
      <c r="L107" s="66">
        <f t="shared" si="1"/>
        <v>29.35</v>
      </c>
      <c r="M107" s="66">
        <f t="shared" si="1"/>
        <v>98.15</v>
      </c>
      <c r="N107" s="66">
        <f t="shared" si="1"/>
        <v>568.70000000000005</v>
      </c>
      <c r="O107" s="66">
        <f t="shared" si="1"/>
        <v>0</v>
      </c>
      <c r="P107" s="66">
        <f t="shared" si="1"/>
        <v>3.79</v>
      </c>
      <c r="Q107" s="66">
        <f t="shared" si="1"/>
        <v>9.9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55.488958333333336</v>
      </c>
      <c r="C108" s="67">
        <f t="shared" ref="C108:Q108" si="2">AVERAGE(C9:C104)</f>
        <v>13.632727272727273</v>
      </c>
      <c r="D108" s="67">
        <f t="shared" si="2"/>
        <v>46.122500000000002</v>
      </c>
      <c r="E108" s="67">
        <f t="shared" si="2"/>
        <v>6.7693750000000001</v>
      </c>
      <c r="F108" s="67">
        <f t="shared" si="2"/>
        <v>4.5064583333333337</v>
      </c>
      <c r="G108" s="67">
        <f t="shared" si="2"/>
        <v>111.55708333333342</v>
      </c>
      <c r="H108" s="67">
        <f t="shared" si="2"/>
        <v>48.488437499999996</v>
      </c>
      <c r="I108" s="67">
        <f t="shared" si="2"/>
        <v>5.0552083333333346</v>
      </c>
      <c r="J108" s="67">
        <f t="shared" si="2"/>
        <v>0.43541666666666695</v>
      </c>
      <c r="K108" s="67">
        <f t="shared" si="2"/>
        <v>245.29312500000003</v>
      </c>
      <c r="L108" s="67">
        <f t="shared" si="2"/>
        <v>18.905833333333337</v>
      </c>
      <c r="M108" s="67">
        <f t="shared" si="2"/>
        <v>52.876875000000005</v>
      </c>
      <c r="N108" s="67">
        <f t="shared" si="2"/>
        <v>157.09062500000005</v>
      </c>
      <c r="O108" s="67">
        <f t="shared" si="2"/>
        <v>0</v>
      </c>
      <c r="P108" s="67">
        <f t="shared" si="2"/>
        <v>1.9122916666666672</v>
      </c>
      <c r="Q108" s="67">
        <f t="shared" si="2"/>
        <v>9.7227083333333315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37.687000787767566</v>
      </c>
      <c r="C109" s="67">
        <f t="shared" ref="C109:Q109" si="3">STDEV(C9:C104)</f>
        <v>12.122067158738105</v>
      </c>
      <c r="D109" s="67">
        <f t="shared" si="3"/>
        <v>19.469036577682985</v>
      </c>
      <c r="E109" s="67">
        <f t="shared" si="3"/>
        <v>3.1309806140030876</v>
      </c>
      <c r="F109" s="67">
        <f t="shared" si="3"/>
        <v>3.6458888106054808</v>
      </c>
      <c r="G109" s="67">
        <f t="shared" si="3"/>
        <v>52.650396428090289</v>
      </c>
      <c r="H109" s="67">
        <f t="shared" si="3"/>
        <v>21.737877508752486</v>
      </c>
      <c r="I109" s="67">
        <f t="shared" si="3"/>
        <v>2.9416722702595566</v>
      </c>
      <c r="J109" s="67">
        <f t="shared" si="3"/>
        <v>0.34046073014656114</v>
      </c>
      <c r="K109" s="67">
        <f t="shared" si="3"/>
        <v>110.93081913671304</v>
      </c>
      <c r="L109" s="67">
        <f t="shared" si="3"/>
        <v>6.2756360410159333</v>
      </c>
      <c r="M109" s="67">
        <f t="shared" si="3"/>
        <v>29.017113582468792</v>
      </c>
      <c r="N109" s="67">
        <f t="shared" si="3"/>
        <v>195.98979408343786</v>
      </c>
      <c r="O109" s="67">
        <f t="shared" si="3"/>
        <v>0</v>
      </c>
      <c r="P109" s="67">
        <f t="shared" si="3"/>
        <v>0.82182272280540791</v>
      </c>
      <c r="Q109" s="67">
        <f t="shared" si="3"/>
        <v>7.1103766524953288E-2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COUNT(C9:C104)+19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1" sqref="C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919</v>
      </c>
      <c r="B9" s="64">
        <v>145.33000000000001</v>
      </c>
      <c r="C9" s="6" t="s">
        <v>42</v>
      </c>
      <c r="D9" s="64">
        <v>94.13</v>
      </c>
      <c r="E9" s="64">
        <v>6.56</v>
      </c>
      <c r="F9" s="64">
        <v>2.95</v>
      </c>
      <c r="G9" s="64">
        <v>130.84</v>
      </c>
      <c r="H9" s="64">
        <v>56.98</v>
      </c>
      <c r="I9" s="64">
        <v>8.26</v>
      </c>
      <c r="J9" s="64">
        <v>0.22</v>
      </c>
      <c r="K9" s="64">
        <v>347.79</v>
      </c>
      <c r="L9" s="64">
        <v>14.69</v>
      </c>
      <c r="M9" s="64">
        <v>59.49</v>
      </c>
      <c r="N9" s="64">
        <v>32.299999999999997</v>
      </c>
      <c r="O9" s="64">
        <v>0</v>
      </c>
      <c r="P9" s="64">
        <v>3.07</v>
      </c>
      <c r="Q9" s="64">
        <v>9.9</v>
      </c>
      <c r="R9" s="198"/>
      <c r="S9" s="198"/>
      <c r="T9" s="198"/>
      <c r="U9" s="198"/>
    </row>
    <row r="10" spans="1:21" s="12" customFormat="1" x14ac:dyDescent="0.25">
      <c r="A10" s="214" t="s">
        <v>920</v>
      </c>
      <c r="B10" s="64">
        <v>140.51</v>
      </c>
      <c r="C10" s="6" t="s">
        <v>42</v>
      </c>
      <c r="D10" s="64">
        <v>91.46</v>
      </c>
      <c r="E10" s="64">
        <v>6.5</v>
      </c>
      <c r="F10" s="64">
        <v>3.05</v>
      </c>
      <c r="G10" s="64">
        <v>115.83</v>
      </c>
      <c r="H10" s="64">
        <v>54.82</v>
      </c>
      <c r="I10" s="64">
        <v>7.81</v>
      </c>
      <c r="J10" s="64">
        <v>0.22</v>
      </c>
      <c r="K10" s="64">
        <v>273.13</v>
      </c>
      <c r="L10" s="64">
        <v>14.44</v>
      </c>
      <c r="M10" s="64">
        <v>62.86</v>
      </c>
      <c r="N10" s="64">
        <v>32.200000000000003</v>
      </c>
      <c r="O10" s="64">
        <v>0</v>
      </c>
      <c r="P10" s="64">
        <v>3.04</v>
      </c>
      <c r="Q10" s="64">
        <v>9.8800000000000008</v>
      </c>
      <c r="R10" s="198"/>
      <c r="S10" s="198"/>
      <c r="T10" s="198"/>
      <c r="U10" s="198"/>
    </row>
    <row r="11" spans="1:21" s="12" customFormat="1" x14ac:dyDescent="0.25">
      <c r="A11" s="214" t="s">
        <v>921</v>
      </c>
      <c r="B11" s="64">
        <v>135.05000000000001</v>
      </c>
      <c r="C11" s="6" t="s">
        <v>42</v>
      </c>
      <c r="D11" s="64">
        <v>88.31</v>
      </c>
      <c r="E11" s="64">
        <v>6.41</v>
      </c>
      <c r="F11" s="64">
        <v>2.76</v>
      </c>
      <c r="G11" s="64">
        <v>115.83</v>
      </c>
      <c r="H11" s="64">
        <v>54.82</v>
      </c>
      <c r="I11" s="64">
        <v>7.54</v>
      </c>
      <c r="J11" s="64">
        <v>0.21</v>
      </c>
      <c r="K11" s="64">
        <v>291.89999999999998</v>
      </c>
      <c r="L11" s="64">
        <v>13.94</v>
      </c>
      <c r="M11" s="64">
        <v>64.44</v>
      </c>
      <c r="N11" s="64">
        <v>32.299999999999997</v>
      </c>
      <c r="O11" s="64">
        <v>0</v>
      </c>
      <c r="P11" s="64">
        <v>2.99</v>
      </c>
      <c r="Q11" s="64">
        <v>9.86</v>
      </c>
      <c r="R11" s="198"/>
      <c r="S11" s="198"/>
      <c r="T11" s="198"/>
      <c r="U11" s="198"/>
    </row>
    <row r="12" spans="1:21" s="12" customFormat="1" x14ac:dyDescent="0.25">
      <c r="A12" s="214" t="s">
        <v>922</v>
      </c>
      <c r="B12" s="64">
        <v>129.72999999999999</v>
      </c>
      <c r="C12" s="6" t="s">
        <v>42</v>
      </c>
      <c r="D12" s="64">
        <v>85.29</v>
      </c>
      <c r="E12" s="64">
        <v>6.39</v>
      </c>
      <c r="F12" s="64">
        <v>3.27</v>
      </c>
      <c r="G12" s="64">
        <v>115.83</v>
      </c>
      <c r="H12" s="64">
        <v>54.82</v>
      </c>
      <c r="I12" s="64">
        <v>7.46</v>
      </c>
      <c r="J12" s="64">
        <v>0.28000000000000003</v>
      </c>
      <c r="K12" s="64">
        <v>167.22</v>
      </c>
      <c r="L12" s="64">
        <v>13.52</v>
      </c>
      <c r="M12" s="64">
        <v>67.52</v>
      </c>
      <c r="N12" s="64">
        <v>32.1</v>
      </c>
      <c r="O12" s="64">
        <v>0</v>
      </c>
      <c r="P12" s="64">
        <v>2.94</v>
      </c>
      <c r="Q12" s="64">
        <v>9.83</v>
      </c>
      <c r="R12" s="198"/>
      <c r="S12" s="198"/>
      <c r="T12" s="198"/>
      <c r="U12" s="198"/>
    </row>
    <row r="13" spans="1:21" s="12" customFormat="1" x14ac:dyDescent="0.25">
      <c r="A13" s="214" t="s">
        <v>923</v>
      </c>
      <c r="B13" s="64">
        <v>124.62</v>
      </c>
      <c r="C13" s="6" t="s">
        <v>42</v>
      </c>
      <c r="D13" s="64">
        <v>82.36</v>
      </c>
      <c r="E13" s="64">
        <v>6.56</v>
      </c>
      <c r="F13" s="64">
        <v>2.84</v>
      </c>
      <c r="G13" s="64">
        <v>102.37</v>
      </c>
      <c r="H13" s="64">
        <v>50.38</v>
      </c>
      <c r="I13" s="64">
        <v>7.37</v>
      </c>
      <c r="J13" s="64">
        <v>0.28000000000000003</v>
      </c>
      <c r="K13" s="64">
        <v>283.85000000000002</v>
      </c>
      <c r="L13" s="64">
        <v>13.6</v>
      </c>
      <c r="M13" s="64">
        <v>74.69</v>
      </c>
      <c r="N13" s="64">
        <v>31.9</v>
      </c>
      <c r="O13" s="64">
        <v>0</v>
      </c>
      <c r="P13" s="64">
        <v>2.37</v>
      </c>
      <c r="Q13" s="64">
        <v>9.83</v>
      </c>
      <c r="R13" s="198"/>
      <c r="S13" s="198"/>
      <c r="T13" s="198"/>
      <c r="U13" s="198"/>
    </row>
    <row r="14" spans="1:21" s="12" customFormat="1" x14ac:dyDescent="0.25">
      <c r="A14" s="214" t="s">
        <v>924</v>
      </c>
      <c r="B14" s="64">
        <v>120.1</v>
      </c>
      <c r="C14" s="6" t="s">
        <v>42</v>
      </c>
      <c r="D14" s="64">
        <v>79.7</v>
      </c>
      <c r="E14" s="64">
        <v>6.41</v>
      </c>
      <c r="F14" s="64">
        <v>2.91</v>
      </c>
      <c r="G14" s="64">
        <v>91.1</v>
      </c>
      <c r="H14" s="64">
        <v>47.3</v>
      </c>
      <c r="I14" s="64">
        <v>7.27</v>
      </c>
      <c r="J14" s="64">
        <v>0.3</v>
      </c>
      <c r="K14" s="64">
        <v>305.91000000000003</v>
      </c>
      <c r="L14" s="64">
        <v>13.19</v>
      </c>
      <c r="M14" s="64">
        <v>81.489999999999995</v>
      </c>
      <c r="N14" s="64">
        <v>32.299999999999997</v>
      </c>
      <c r="O14" s="64">
        <v>0</v>
      </c>
      <c r="P14" s="64">
        <v>2.46</v>
      </c>
      <c r="Q14" s="64">
        <v>9.84</v>
      </c>
      <c r="R14" s="198"/>
      <c r="S14" s="198"/>
      <c r="T14" s="198"/>
      <c r="U14" s="198"/>
    </row>
    <row r="15" spans="1:21" s="12" customFormat="1" x14ac:dyDescent="0.25">
      <c r="A15" s="214" t="s">
        <v>925</v>
      </c>
      <c r="B15" s="64">
        <v>116.13</v>
      </c>
      <c r="C15" s="6" t="s">
        <v>42</v>
      </c>
      <c r="D15" s="64">
        <v>77.14</v>
      </c>
      <c r="E15" s="64">
        <v>6.45</v>
      </c>
      <c r="F15" s="64">
        <v>2.96</v>
      </c>
      <c r="G15" s="64">
        <v>91.1</v>
      </c>
      <c r="H15" s="64">
        <v>47.3</v>
      </c>
      <c r="I15" s="64">
        <v>7.19</v>
      </c>
      <c r="J15" s="64">
        <v>0.03</v>
      </c>
      <c r="K15" s="64">
        <v>222.72</v>
      </c>
      <c r="L15" s="64">
        <v>12.84</v>
      </c>
      <c r="M15" s="64">
        <v>93.53</v>
      </c>
      <c r="N15" s="64">
        <v>32.1</v>
      </c>
      <c r="O15" s="64">
        <v>0</v>
      </c>
      <c r="P15" s="64">
        <v>2.41</v>
      </c>
      <c r="Q15" s="64">
        <v>9.83</v>
      </c>
      <c r="R15" s="198"/>
      <c r="S15" s="198"/>
      <c r="T15" s="198"/>
      <c r="U15" s="198"/>
    </row>
    <row r="16" spans="1:21" s="12" customFormat="1" x14ac:dyDescent="0.25">
      <c r="A16" s="214" t="s">
        <v>926</v>
      </c>
      <c r="B16" s="64">
        <v>111.72</v>
      </c>
      <c r="C16" s="6" t="s">
        <v>42</v>
      </c>
      <c r="D16" s="64">
        <v>74.34</v>
      </c>
      <c r="E16" s="64">
        <v>6.17</v>
      </c>
      <c r="F16" s="64">
        <v>3.2</v>
      </c>
      <c r="G16" s="64">
        <v>91.1</v>
      </c>
      <c r="H16" s="64">
        <v>47.3</v>
      </c>
      <c r="I16" s="64">
        <v>7.09</v>
      </c>
      <c r="J16" s="64">
        <v>0.38</v>
      </c>
      <c r="K16" s="64">
        <v>285.14999999999998</v>
      </c>
      <c r="L16" s="64">
        <v>12.5</v>
      </c>
      <c r="M16" s="64">
        <v>96.86</v>
      </c>
      <c r="N16" s="64">
        <v>32.1</v>
      </c>
      <c r="O16" s="64">
        <v>0</v>
      </c>
      <c r="P16" s="64">
        <v>2.33</v>
      </c>
      <c r="Q16" s="64">
        <v>9.82</v>
      </c>
      <c r="R16" s="198"/>
      <c r="S16" s="198"/>
      <c r="T16" s="198"/>
      <c r="U16" s="198"/>
    </row>
    <row r="17" spans="1:21" s="12" customFormat="1" x14ac:dyDescent="0.25">
      <c r="A17" s="214" t="s">
        <v>927</v>
      </c>
      <c r="B17" s="64">
        <v>107.16</v>
      </c>
      <c r="C17" s="6" t="s">
        <v>42</v>
      </c>
      <c r="D17" s="64">
        <v>71.58</v>
      </c>
      <c r="E17" s="64">
        <v>6.05</v>
      </c>
      <c r="F17" s="64">
        <v>3.18</v>
      </c>
      <c r="G17" s="64">
        <v>99.42</v>
      </c>
      <c r="H17" s="64">
        <v>48.86</v>
      </c>
      <c r="I17" s="64">
        <v>7.06</v>
      </c>
      <c r="J17" s="64">
        <v>0.19</v>
      </c>
      <c r="K17" s="64">
        <v>127.02</v>
      </c>
      <c r="L17" s="64">
        <v>12.34</v>
      </c>
      <c r="M17" s="64">
        <v>98.3</v>
      </c>
      <c r="N17" s="64">
        <v>32.1</v>
      </c>
      <c r="O17" s="64">
        <v>0</v>
      </c>
      <c r="P17" s="64">
        <v>2.27</v>
      </c>
      <c r="Q17" s="64">
        <v>9.81</v>
      </c>
      <c r="R17" s="198"/>
      <c r="S17" s="198"/>
      <c r="T17" s="198"/>
      <c r="U17" s="198"/>
    </row>
    <row r="18" spans="1:21" s="12" customFormat="1" x14ac:dyDescent="0.25">
      <c r="A18" s="214" t="s">
        <v>928</v>
      </c>
      <c r="B18" s="64">
        <v>103.12</v>
      </c>
      <c r="C18" s="6" t="s">
        <v>42</v>
      </c>
      <c r="D18" s="64">
        <v>69.03</v>
      </c>
      <c r="E18" s="64">
        <v>6.07</v>
      </c>
      <c r="F18" s="64">
        <v>3.14</v>
      </c>
      <c r="G18" s="64">
        <v>106.38</v>
      </c>
      <c r="H18" s="64">
        <v>49.43</v>
      </c>
      <c r="I18" s="64">
        <v>7.04</v>
      </c>
      <c r="J18" s="64">
        <v>0.16</v>
      </c>
      <c r="K18" s="64">
        <v>330.72</v>
      </c>
      <c r="L18" s="64">
        <v>12.13</v>
      </c>
      <c r="M18" s="64">
        <v>98.29</v>
      </c>
      <c r="N18" s="64">
        <v>32.1</v>
      </c>
      <c r="O18" s="64">
        <v>0</v>
      </c>
      <c r="P18" s="64">
        <v>2.23</v>
      </c>
      <c r="Q18" s="64">
        <v>9.7899999999999991</v>
      </c>
      <c r="R18" s="198"/>
      <c r="S18" s="198"/>
      <c r="T18" s="198"/>
      <c r="U18" s="198"/>
    </row>
    <row r="19" spans="1:21" s="12" customFormat="1" x14ac:dyDescent="0.25">
      <c r="A19" s="214" t="s">
        <v>929</v>
      </c>
      <c r="B19" s="64">
        <v>99.54</v>
      </c>
      <c r="C19" s="6" t="s">
        <v>42</v>
      </c>
      <c r="D19" s="64">
        <v>66.81</v>
      </c>
      <c r="E19" s="64">
        <v>5.66</v>
      </c>
      <c r="F19" s="64">
        <v>3.18</v>
      </c>
      <c r="G19" s="64">
        <v>106.38</v>
      </c>
      <c r="H19" s="64">
        <v>49.43</v>
      </c>
      <c r="I19" s="64">
        <v>7.04</v>
      </c>
      <c r="J19" s="64">
        <v>0.28999999999999998</v>
      </c>
      <c r="K19" s="64">
        <v>297.49</v>
      </c>
      <c r="L19" s="64">
        <v>12.01</v>
      </c>
      <c r="M19" s="64">
        <v>98.3</v>
      </c>
      <c r="N19" s="64">
        <v>32.1</v>
      </c>
      <c r="O19" s="64">
        <v>0</v>
      </c>
      <c r="P19" s="64">
        <v>2.19</v>
      </c>
      <c r="Q19" s="64">
        <v>9.7799999999999994</v>
      </c>
      <c r="R19" s="198"/>
      <c r="S19" s="198"/>
      <c r="T19" s="198"/>
      <c r="U19" s="198"/>
    </row>
    <row r="20" spans="1:21" s="12" customFormat="1" x14ac:dyDescent="0.25">
      <c r="A20" s="214" t="s">
        <v>930</v>
      </c>
      <c r="B20" s="64">
        <v>96.29</v>
      </c>
      <c r="C20" s="6" t="s">
        <v>42</v>
      </c>
      <c r="D20" s="64">
        <v>64.87</v>
      </c>
      <c r="E20" s="64">
        <v>5.81</v>
      </c>
      <c r="F20" s="64">
        <v>3.09</v>
      </c>
      <c r="G20" s="64">
        <v>106.38</v>
      </c>
      <c r="H20" s="64">
        <v>49.43</v>
      </c>
      <c r="I20" s="64">
        <v>7.05</v>
      </c>
      <c r="J20" s="64">
        <v>0.21</v>
      </c>
      <c r="K20" s="64">
        <v>322.88</v>
      </c>
      <c r="L20" s="64">
        <v>11.84</v>
      </c>
      <c r="M20" s="64">
        <v>98.31</v>
      </c>
      <c r="N20" s="64">
        <v>32.1</v>
      </c>
      <c r="O20" s="64">
        <v>0</v>
      </c>
      <c r="P20" s="64">
        <v>2.16</v>
      </c>
      <c r="Q20" s="64">
        <v>9.8000000000000007</v>
      </c>
      <c r="R20" s="198"/>
      <c r="S20" s="198"/>
      <c r="T20" s="198"/>
      <c r="U20" s="198"/>
    </row>
    <row r="21" spans="1:21" s="12" customFormat="1" x14ac:dyDescent="0.25">
      <c r="A21" s="214" t="s">
        <v>931</v>
      </c>
      <c r="B21" s="64">
        <v>92.86</v>
      </c>
      <c r="C21" s="6" t="s">
        <v>42</v>
      </c>
      <c r="D21" s="64">
        <v>62.76</v>
      </c>
      <c r="E21" s="64">
        <v>5.88</v>
      </c>
      <c r="F21" s="64">
        <v>2.95</v>
      </c>
      <c r="G21" s="64">
        <v>108.19</v>
      </c>
      <c r="H21" s="64">
        <v>49.95</v>
      </c>
      <c r="I21" s="64">
        <v>7.06</v>
      </c>
      <c r="J21" s="64">
        <v>0.36</v>
      </c>
      <c r="K21" s="64">
        <v>346.16</v>
      </c>
      <c r="L21" s="64">
        <v>11.7</v>
      </c>
      <c r="M21" s="64">
        <v>98.31</v>
      </c>
      <c r="N21" s="64">
        <v>32</v>
      </c>
      <c r="O21" s="64">
        <v>0</v>
      </c>
      <c r="P21" s="64">
        <v>2.14</v>
      </c>
      <c r="Q21" s="64">
        <v>9.7799999999999994</v>
      </c>
      <c r="R21" s="198"/>
      <c r="S21" s="198"/>
      <c r="T21" s="198"/>
      <c r="U21" s="198"/>
    </row>
    <row r="22" spans="1:21" s="12" customFormat="1" x14ac:dyDescent="0.25">
      <c r="A22" s="214" t="s">
        <v>932</v>
      </c>
      <c r="B22" s="64">
        <v>89.79</v>
      </c>
      <c r="C22" s="6" t="s">
        <v>42</v>
      </c>
      <c r="D22" s="64">
        <v>60.94</v>
      </c>
      <c r="E22" s="64">
        <v>5.9</v>
      </c>
      <c r="F22" s="64">
        <v>2.99</v>
      </c>
      <c r="G22" s="64">
        <v>109.7</v>
      </c>
      <c r="H22" s="64">
        <v>50.14</v>
      </c>
      <c r="I22" s="64">
        <v>7.08</v>
      </c>
      <c r="J22" s="64">
        <v>0.13</v>
      </c>
      <c r="K22" s="64">
        <v>107.76</v>
      </c>
      <c r="L22" s="64">
        <v>11.62</v>
      </c>
      <c r="M22" s="64">
        <v>98.32</v>
      </c>
      <c r="N22" s="64">
        <v>32</v>
      </c>
      <c r="O22" s="64">
        <v>0</v>
      </c>
      <c r="P22" s="64">
        <v>2.12</v>
      </c>
      <c r="Q22" s="64">
        <v>9.76</v>
      </c>
      <c r="R22" s="198"/>
      <c r="S22" s="198"/>
      <c r="T22" s="198"/>
      <c r="U22" s="198"/>
    </row>
    <row r="23" spans="1:21" s="12" customFormat="1" x14ac:dyDescent="0.25">
      <c r="A23" s="214" t="s">
        <v>933</v>
      </c>
      <c r="B23" s="64">
        <v>86.74</v>
      </c>
      <c r="C23" s="6" t="s">
        <v>42</v>
      </c>
      <c r="D23" s="64">
        <v>59.3</v>
      </c>
      <c r="E23" s="64">
        <v>5.98</v>
      </c>
      <c r="F23" s="64">
        <v>2.85</v>
      </c>
      <c r="G23" s="64">
        <v>109.7</v>
      </c>
      <c r="H23" s="64">
        <v>50.14</v>
      </c>
      <c r="I23" s="64">
        <v>7.12</v>
      </c>
      <c r="J23" s="64">
        <v>0.24</v>
      </c>
      <c r="K23" s="64">
        <v>170.44</v>
      </c>
      <c r="L23" s="64">
        <v>11.65</v>
      </c>
      <c r="M23" s="64">
        <v>97.99</v>
      </c>
      <c r="N23" s="64">
        <v>31.9</v>
      </c>
      <c r="O23" s="64">
        <v>0</v>
      </c>
      <c r="P23" s="64">
        <v>2.11</v>
      </c>
      <c r="Q23" s="64">
        <v>9.74</v>
      </c>
      <c r="R23" s="198"/>
      <c r="S23" s="198"/>
      <c r="T23" s="198"/>
      <c r="U23" s="198"/>
    </row>
    <row r="24" spans="1:21" s="12" customFormat="1" x14ac:dyDescent="0.25">
      <c r="A24" s="214" t="s">
        <v>934</v>
      </c>
      <c r="B24" s="64">
        <v>83.36</v>
      </c>
      <c r="C24" s="6" t="s">
        <v>42</v>
      </c>
      <c r="D24" s="64">
        <v>57.4</v>
      </c>
      <c r="E24" s="64">
        <v>5.61</v>
      </c>
      <c r="F24" s="64">
        <v>2.62</v>
      </c>
      <c r="G24" s="64">
        <v>109.7</v>
      </c>
      <c r="H24" s="64">
        <v>50.14</v>
      </c>
      <c r="I24" s="64">
        <v>7.2</v>
      </c>
      <c r="J24" s="64">
        <v>0.11</v>
      </c>
      <c r="K24" s="64">
        <v>293.26</v>
      </c>
      <c r="L24" s="64">
        <v>11.73</v>
      </c>
      <c r="M24" s="64">
        <v>98.3</v>
      </c>
      <c r="N24" s="64">
        <v>32</v>
      </c>
      <c r="O24" s="64">
        <v>0</v>
      </c>
      <c r="P24" s="64">
        <v>2.1</v>
      </c>
      <c r="Q24" s="64">
        <v>9.76</v>
      </c>
      <c r="R24" s="198"/>
      <c r="S24" s="198"/>
      <c r="T24" s="198"/>
      <c r="U24" s="198"/>
    </row>
    <row r="25" spans="1:21" s="12" customFormat="1" x14ac:dyDescent="0.25">
      <c r="A25" s="214" t="s">
        <v>935</v>
      </c>
      <c r="B25" s="64">
        <v>80.23</v>
      </c>
      <c r="C25" s="6" t="s">
        <v>42</v>
      </c>
      <c r="D25" s="64">
        <v>55.59</v>
      </c>
      <c r="E25" s="64">
        <v>5.59</v>
      </c>
      <c r="F25" s="64">
        <v>2.89</v>
      </c>
      <c r="G25" s="64">
        <v>119.04</v>
      </c>
      <c r="H25" s="64">
        <v>54.21</v>
      </c>
      <c r="I25" s="64">
        <v>7.27</v>
      </c>
      <c r="J25" s="64">
        <v>0.18</v>
      </c>
      <c r="K25" s="64">
        <v>312.3</v>
      </c>
      <c r="L25" s="64">
        <v>11.59</v>
      </c>
      <c r="M25" s="64">
        <v>97.11</v>
      </c>
      <c r="N25" s="64">
        <v>31.9</v>
      </c>
      <c r="O25" s="64">
        <v>0</v>
      </c>
      <c r="P25" s="64">
        <v>2.12</v>
      </c>
      <c r="Q25" s="64">
        <v>9.76</v>
      </c>
      <c r="R25" s="198"/>
      <c r="S25" s="198"/>
      <c r="T25" s="198"/>
      <c r="U25" s="198"/>
    </row>
    <row r="26" spans="1:21" s="12" customFormat="1" x14ac:dyDescent="0.25">
      <c r="A26" s="214" t="s">
        <v>936</v>
      </c>
      <c r="B26" s="64">
        <v>78.290000000000006</v>
      </c>
      <c r="C26" s="6" t="s">
        <v>42</v>
      </c>
      <c r="D26" s="64">
        <v>54.72</v>
      </c>
      <c r="E26" s="64">
        <v>5.65</v>
      </c>
      <c r="F26" s="64">
        <v>3.05</v>
      </c>
      <c r="G26" s="64">
        <v>126.86</v>
      </c>
      <c r="H26" s="64">
        <v>55.71</v>
      </c>
      <c r="I26" s="64">
        <v>7.37</v>
      </c>
      <c r="J26" s="64">
        <v>0.34</v>
      </c>
      <c r="K26" s="64">
        <v>255.13</v>
      </c>
      <c r="L26" s="64">
        <v>11.67</v>
      </c>
      <c r="M26" s="64">
        <v>95.34</v>
      </c>
      <c r="N26" s="64">
        <v>32</v>
      </c>
      <c r="O26" s="64">
        <v>0</v>
      </c>
      <c r="P26" s="64">
        <v>2.16</v>
      </c>
      <c r="Q26" s="64">
        <v>9.74</v>
      </c>
      <c r="R26" s="198"/>
      <c r="S26" s="198"/>
      <c r="T26" s="198"/>
      <c r="U26" s="198"/>
    </row>
    <row r="27" spans="1:21" s="12" customFormat="1" x14ac:dyDescent="0.25">
      <c r="A27" s="214" t="s">
        <v>937</v>
      </c>
      <c r="B27" s="64">
        <v>76.45</v>
      </c>
      <c r="C27" s="6" t="s">
        <v>42</v>
      </c>
      <c r="D27" s="64">
        <v>53.76</v>
      </c>
      <c r="E27" s="64">
        <v>6.09</v>
      </c>
      <c r="F27" s="64">
        <v>3.19</v>
      </c>
      <c r="G27" s="64">
        <v>126.86</v>
      </c>
      <c r="H27" s="64">
        <v>55.71</v>
      </c>
      <c r="I27" s="64">
        <v>8.01</v>
      </c>
      <c r="J27" s="64">
        <v>0.38</v>
      </c>
      <c r="K27" s="64">
        <v>255.6</v>
      </c>
      <c r="L27" s="64">
        <v>11.67</v>
      </c>
      <c r="M27" s="64">
        <v>89.6</v>
      </c>
      <c r="N27" s="64">
        <v>31.8</v>
      </c>
      <c r="O27" s="64">
        <v>0</v>
      </c>
      <c r="P27" s="64">
        <v>2.15</v>
      </c>
      <c r="Q27" s="64">
        <v>9.73</v>
      </c>
      <c r="R27" s="198"/>
      <c r="S27" s="198"/>
      <c r="T27" s="198"/>
      <c r="U27" s="198"/>
    </row>
    <row r="28" spans="1:21" s="12" customFormat="1" x14ac:dyDescent="0.25">
      <c r="A28" s="214" t="s">
        <v>938</v>
      </c>
      <c r="B28" s="64">
        <v>74.89</v>
      </c>
      <c r="C28" s="6" t="s">
        <v>42</v>
      </c>
      <c r="D28" s="64">
        <v>52.87</v>
      </c>
      <c r="E28" s="64">
        <v>6.21</v>
      </c>
      <c r="F28" s="64">
        <v>3.26</v>
      </c>
      <c r="G28" s="64">
        <v>126.86</v>
      </c>
      <c r="H28" s="64">
        <v>55.71</v>
      </c>
      <c r="I28" s="64">
        <v>7.66</v>
      </c>
      <c r="J28" s="64">
        <v>0.33</v>
      </c>
      <c r="K28" s="64">
        <v>324.20999999999998</v>
      </c>
      <c r="L28" s="64">
        <v>11.69</v>
      </c>
      <c r="M28" s="64">
        <v>90</v>
      </c>
      <c r="N28" s="64">
        <v>32.1</v>
      </c>
      <c r="O28" s="64">
        <v>0</v>
      </c>
      <c r="P28" s="64">
        <v>2.14</v>
      </c>
      <c r="Q28" s="64">
        <v>9.74</v>
      </c>
      <c r="R28" s="198"/>
      <c r="S28" s="198"/>
      <c r="T28" s="198"/>
      <c r="U28" s="198"/>
    </row>
    <row r="29" spans="1:21" s="12" customFormat="1" x14ac:dyDescent="0.25">
      <c r="A29" s="214" t="s">
        <v>939</v>
      </c>
      <c r="B29" s="64">
        <v>74.2</v>
      </c>
      <c r="C29" s="6" t="s">
        <v>42</v>
      </c>
      <c r="D29" s="64">
        <v>52.52</v>
      </c>
      <c r="E29" s="64">
        <v>5.93</v>
      </c>
      <c r="F29" s="64">
        <v>3.17</v>
      </c>
      <c r="G29" s="64">
        <v>162.28</v>
      </c>
      <c r="H29" s="64">
        <v>60.32</v>
      </c>
      <c r="I29" s="64">
        <v>7.45</v>
      </c>
      <c r="J29" s="64">
        <v>0.44</v>
      </c>
      <c r="K29" s="64">
        <v>230.05</v>
      </c>
      <c r="L29" s="64">
        <v>11.5</v>
      </c>
      <c r="M29" s="64">
        <v>93.59</v>
      </c>
      <c r="N29" s="64">
        <v>31.5</v>
      </c>
      <c r="O29" s="64">
        <v>0</v>
      </c>
      <c r="P29" s="64">
        <v>2.13</v>
      </c>
      <c r="Q29" s="64">
        <v>9.76</v>
      </c>
      <c r="R29" s="198"/>
      <c r="S29" s="198"/>
      <c r="T29" s="198"/>
      <c r="U29" s="198"/>
    </row>
    <row r="30" spans="1:21" s="12" customFormat="1" x14ac:dyDescent="0.25">
      <c r="A30" s="214" t="s">
        <v>940</v>
      </c>
      <c r="B30" s="64">
        <v>74.739999999999995</v>
      </c>
      <c r="C30" s="6" t="s">
        <v>42</v>
      </c>
      <c r="D30" s="64">
        <v>52.67</v>
      </c>
      <c r="E30" s="64">
        <v>5.96</v>
      </c>
      <c r="F30" s="64">
        <v>3.03</v>
      </c>
      <c r="G30" s="64">
        <v>191.91</v>
      </c>
      <c r="H30" s="64">
        <v>63.82</v>
      </c>
      <c r="I30" s="64">
        <v>7.42</v>
      </c>
      <c r="J30" s="64">
        <v>0.24</v>
      </c>
      <c r="K30" s="64">
        <v>229.85</v>
      </c>
      <c r="L30" s="64">
        <v>11.77</v>
      </c>
      <c r="M30" s="64">
        <v>96.08</v>
      </c>
      <c r="N30" s="64">
        <v>31.6</v>
      </c>
      <c r="O30" s="64">
        <v>0</v>
      </c>
      <c r="P30" s="64">
        <v>2.12</v>
      </c>
      <c r="Q30" s="64">
        <v>9.76</v>
      </c>
      <c r="R30" s="198"/>
      <c r="S30" s="198"/>
      <c r="T30" s="198"/>
      <c r="U30" s="198"/>
    </row>
    <row r="31" spans="1:21" s="12" customFormat="1" x14ac:dyDescent="0.25">
      <c r="A31" s="214" t="s">
        <v>941</v>
      </c>
      <c r="B31" s="64">
        <v>74.19</v>
      </c>
      <c r="C31" s="6" t="s">
        <v>42</v>
      </c>
      <c r="D31" s="64">
        <v>52.24</v>
      </c>
      <c r="E31" s="64">
        <v>5.99</v>
      </c>
      <c r="F31" s="64">
        <v>3.29</v>
      </c>
      <c r="G31" s="64">
        <v>191.91</v>
      </c>
      <c r="H31" s="64">
        <v>63.82</v>
      </c>
      <c r="I31" s="64">
        <v>7.38</v>
      </c>
      <c r="J31" s="64">
        <v>0.28000000000000003</v>
      </c>
      <c r="K31" s="64">
        <v>224.13</v>
      </c>
      <c r="L31" s="64">
        <v>11.44</v>
      </c>
      <c r="M31" s="64">
        <v>98.07</v>
      </c>
      <c r="N31" s="64">
        <v>32</v>
      </c>
      <c r="O31" s="64">
        <v>0</v>
      </c>
      <c r="P31" s="64">
        <v>2.09</v>
      </c>
      <c r="Q31" s="64">
        <v>9.75</v>
      </c>
      <c r="R31" s="198"/>
      <c r="S31" s="198"/>
      <c r="T31" s="198"/>
      <c r="U31" s="198"/>
    </row>
    <row r="32" spans="1:21" s="12" customFormat="1" x14ac:dyDescent="0.25">
      <c r="A32" s="214" t="s">
        <v>942</v>
      </c>
      <c r="B32" s="64">
        <v>72.319999999999993</v>
      </c>
      <c r="C32" s="6" t="s">
        <v>42</v>
      </c>
      <c r="D32" s="64">
        <v>51.14</v>
      </c>
      <c r="E32" s="64">
        <v>6.06</v>
      </c>
      <c r="F32" s="64">
        <v>3.3</v>
      </c>
      <c r="G32" s="64">
        <v>191.91</v>
      </c>
      <c r="H32" s="64">
        <v>63.82</v>
      </c>
      <c r="I32" s="64">
        <v>7.49</v>
      </c>
      <c r="J32" s="64">
        <v>0.22</v>
      </c>
      <c r="K32" s="64">
        <v>242.31</v>
      </c>
      <c r="L32" s="64">
        <v>11.22</v>
      </c>
      <c r="M32" s="64">
        <v>98.3</v>
      </c>
      <c r="N32" s="64">
        <v>32</v>
      </c>
      <c r="O32" s="64">
        <v>0</v>
      </c>
      <c r="P32" s="64">
        <v>2.0299999999999998</v>
      </c>
      <c r="Q32" s="64">
        <v>9.75</v>
      </c>
      <c r="R32" s="198"/>
      <c r="S32" s="198"/>
      <c r="T32" s="198"/>
      <c r="U32" s="198"/>
    </row>
    <row r="33" spans="1:21" s="12" customFormat="1" x14ac:dyDescent="0.25">
      <c r="A33" s="214" t="s">
        <v>943</v>
      </c>
      <c r="B33" s="64">
        <v>71.319999999999993</v>
      </c>
      <c r="C33" s="6" t="s">
        <v>42</v>
      </c>
      <c r="D33" s="64">
        <v>50.34</v>
      </c>
      <c r="E33" s="64">
        <v>6.25</v>
      </c>
      <c r="F33" s="64">
        <v>3.44</v>
      </c>
      <c r="G33" s="64">
        <v>149.96</v>
      </c>
      <c r="H33" s="64">
        <v>59.34</v>
      </c>
      <c r="I33" s="64">
        <v>7.44</v>
      </c>
      <c r="J33" s="64">
        <v>0.41</v>
      </c>
      <c r="K33" s="64">
        <v>351.05</v>
      </c>
      <c r="L33" s="64">
        <v>10.85</v>
      </c>
      <c r="M33" s="64">
        <v>98.32</v>
      </c>
      <c r="N33" s="64">
        <v>32.700000000000003</v>
      </c>
      <c r="O33" s="64">
        <v>0</v>
      </c>
      <c r="P33" s="64">
        <v>1.95</v>
      </c>
      <c r="Q33" s="64">
        <v>9.74</v>
      </c>
      <c r="R33" s="198"/>
      <c r="S33" s="198"/>
      <c r="T33" s="198"/>
      <c r="U33" s="198"/>
    </row>
    <row r="34" spans="1:21" s="12" customFormat="1" x14ac:dyDescent="0.25">
      <c r="A34" s="214" t="s">
        <v>944</v>
      </c>
      <c r="B34" s="64">
        <v>70.3</v>
      </c>
      <c r="C34" s="6" t="s">
        <v>42</v>
      </c>
      <c r="D34" s="64">
        <v>49.6</v>
      </c>
      <c r="E34" s="64">
        <v>6.13</v>
      </c>
      <c r="F34" s="64">
        <v>3.41</v>
      </c>
      <c r="G34" s="64">
        <v>114.86</v>
      </c>
      <c r="H34" s="64">
        <v>57.69</v>
      </c>
      <c r="I34" s="64">
        <v>7.27</v>
      </c>
      <c r="J34" s="64">
        <v>0.31</v>
      </c>
      <c r="K34" s="64">
        <v>218.75</v>
      </c>
      <c r="L34" s="64">
        <v>10.67</v>
      </c>
      <c r="M34" s="64">
        <v>98.33</v>
      </c>
      <c r="N34" s="64">
        <v>35.200000000000003</v>
      </c>
      <c r="O34" s="64">
        <v>0</v>
      </c>
      <c r="P34" s="64">
        <v>1.89</v>
      </c>
      <c r="Q34" s="64">
        <v>9.73</v>
      </c>
      <c r="R34" s="198"/>
      <c r="S34" s="198"/>
      <c r="T34" s="198"/>
      <c r="U34" s="198"/>
    </row>
    <row r="35" spans="1:21" s="12" customFormat="1" x14ac:dyDescent="0.25">
      <c r="A35" s="214" t="s">
        <v>945</v>
      </c>
      <c r="B35" s="64">
        <v>68.900000000000006</v>
      </c>
      <c r="C35" s="6" t="s">
        <v>42</v>
      </c>
      <c r="D35" s="64">
        <v>48.8</v>
      </c>
      <c r="E35" s="64">
        <v>5.97</v>
      </c>
      <c r="F35" s="64">
        <v>3.21</v>
      </c>
      <c r="G35" s="64">
        <v>114.86</v>
      </c>
      <c r="H35" s="64">
        <v>57.69</v>
      </c>
      <c r="I35" s="64">
        <v>7.15</v>
      </c>
      <c r="J35" s="64">
        <v>0.25</v>
      </c>
      <c r="K35" s="64">
        <v>296.44</v>
      </c>
      <c r="L35" s="64">
        <v>10.91</v>
      </c>
      <c r="M35" s="64">
        <v>98.33</v>
      </c>
      <c r="N35" s="64">
        <v>42.8</v>
      </c>
      <c r="O35" s="64">
        <v>0</v>
      </c>
      <c r="P35" s="64">
        <v>1.82</v>
      </c>
      <c r="Q35" s="64">
        <v>9.73</v>
      </c>
      <c r="R35" s="198"/>
      <c r="S35" s="198"/>
      <c r="T35" s="198"/>
      <c r="U35" s="198"/>
    </row>
    <row r="36" spans="1:21" s="12" customFormat="1" x14ac:dyDescent="0.25">
      <c r="A36" s="214" t="s">
        <v>946</v>
      </c>
      <c r="B36" s="64">
        <v>69.040000000000006</v>
      </c>
      <c r="C36" s="6" t="s">
        <v>42</v>
      </c>
      <c r="D36" s="64">
        <v>48.86</v>
      </c>
      <c r="E36" s="64">
        <v>5.76</v>
      </c>
      <c r="F36" s="64">
        <v>3.22</v>
      </c>
      <c r="G36" s="64">
        <v>114.86</v>
      </c>
      <c r="H36" s="64">
        <v>57.69</v>
      </c>
      <c r="I36" s="64">
        <v>7.04</v>
      </c>
      <c r="J36" s="64">
        <v>0.28999999999999998</v>
      </c>
      <c r="K36" s="64">
        <v>349.01</v>
      </c>
      <c r="L36" s="64">
        <v>11.1</v>
      </c>
      <c r="M36" s="64">
        <v>98.33</v>
      </c>
      <c r="N36" s="64">
        <v>53.4</v>
      </c>
      <c r="O36" s="64">
        <v>0</v>
      </c>
      <c r="P36" s="64">
        <v>1.79</v>
      </c>
      <c r="Q36" s="64">
        <v>9.7200000000000006</v>
      </c>
      <c r="R36" s="198"/>
      <c r="S36" s="198"/>
      <c r="T36" s="198"/>
      <c r="U36" s="198"/>
    </row>
    <row r="37" spans="1:21" s="12" customFormat="1" x14ac:dyDescent="0.25">
      <c r="A37" s="214" t="s">
        <v>947</v>
      </c>
      <c r="B37" s="64">
        <v>70.31</v>
      </c>
      <c r="C37" s="6" t="s">
        <v>42</v>
      </c>
      <c r="D37" s="64">
        <v>49.64</v>
      </c>
      <c r="E37" s="64">
        <v>5.95</v>
      </c>
      <c r="F37" s="64">
        <v>2.95</v>
      </c>
      <c r="G37" s="64">
        <v>112.87</v>
      </c>
      <c r="H37" s="64">
        <v>55.91</v>
      </c>
      <c r="I37" s="64">
        <v>6.94</v>
      </c>
      <c r="J37" s="64">
        <v>0.4</v>
      </c>
      <c r="K37" s="64">
        <v>163.66999999999999</v>
      </c>
      <c r="L37" s="64">
        <v>11.64</v>
      </c>
      <c r="M37" s="64">
        <v>97.84</v>
      </c>
      <c r="N37" s="64">
        <v>64.599999999999994</v>
      </c>
      <c r="O37" s="64">
        <v>0</v>
      </c>
      <c r="P37" s="64">
        <v>1.87</v>
      </c>
      <c r="Q37" s="64">
        <v>9.7200000000000006</v>
      </c>
      <c r="R37" s="198"/>
      <c r="S37" s="198"/>
      <c r="T37" s="198"/>
      <c r="U37" s="198"/>
    </row>
    <row r="38" spans="1:21" s="12" customFormat="1" x14ac:dyDescent="0.25">
      <c r="A38" s="214" t="s">
        <v>948</v>
      </c>
      <c r="B38" s="64">
        <v>69.81</v>
      </c>
      <c r="C38" s="6" t="s">
        <v>42</v>
      </c>
      <c r="D38" s="64">
        <v>49.5</v>
      </c>
      <c r="E38" s="64">
        <v>5.78</v>
      </c>
      <c r="F38" s="64">
        <v>3.01</v>
      </c>
      <c r="G38" s="64">
        <v>111.21</v>
      </c>
      <c r="H38" s="64">
        <v>55.26</v>
      </c>
      <c r="I38" s="64">
        <v>6.88</v>
      </c>
      <c r="J38" s="64">
        <v>0.27</v>
      </c>
      <c r="K38" s="64">
        <v>234.04</v>
      </c>
      <c r="L38" s="64">
        <v>12.48</v>
      </c>
      <c r="M38" s="64">
        <v>92.71</v>
      </c>
      <c r="N38" s="64">
        <v>90.4</v>
      </c>
      <c r="O38" s="64">
        <v>0</v>
      </c>
      <c r="P38" s="64">
        <v>1.94</v>
      </c>
      <c r="Q38" s="64">
        <v>9.7200000000000006</v>
      </c>
      <c r="R38" s="198"/>
      <c r="S38" s="198"/>
      <c r="T38" s="198"/>
      <c r="U38" s="198"/>
    </row>
    <row r="39" spans="1:21" s="12" customFormat="1" x14ac:dyDescent="0.25">
      <c r="A39" s="214" t="s">
        <v>949</v>
      </c>
      <c r="B39" s="64">
        <v>68.430000000000007</v>
      </c>
      <c r="C39" s="6" t="s">
        <v>42</v>
      </c>
      <c r="D39" s="64">
        <v>48.99</v>
      </c>
      <c r="E39" s="64">
        <v>5.8</v>
      </c>
      <c r="F39" s="64">
        <v>3.08</v>
      </c>
      <c r="G39" s="64">
        <v>111.21</v>
      </c>
      <c r="H39" s="64">
        <v>55.26</v>
      </c>
      <c r="I39" s="64">
        <v>6.82</v>
      </c>
      <c r="J39" s="64">
        <v>0.26</v>
      </c>
      <c r="K39" s="64">
        <v>274.26</v>
      </c>
      <c r="L39" s="64">
        <v>14</v>
      </c>
      <c r="M39" s="64">
        <v>83.06</v>
      </c>
      <c r="N39" s="64">
        <v>189.2</v>
      </c>
      <c r="O39" s="64">
        <v>0</v>
      </c>
      <c r="P39" s="64">
        <v>1.91</v>
      </c>
      <c r="Q39" s="64">
        <v>9.73</v>
      </c>
      <c r="R39" s="198"/>
      <c r="S39" s="198"/>
      <c r="T39" s="198"/>
      <c r="U39" s="198"/>
    </row>
    <row r="40" spans="1:21" s="12" customFormat="1" x14ac:dyDescent="0.25">
      <c r="A40" s="214" t="s">
        <v>950</v>
      </c>
      <c r="B40" s="64">
        <v>67.209999999999994</v>
      </c>
      <c r="C40" s="6" t="s">
        <v>42</v>
      </c>
      <c r="D40" s="64">
        <v>48.63</v>
      </c>
      <c r="E40" s="64">
        <v>5.51</v>
      </c>
      <c r="F40" s="64">
        <v>3.04</v>
      </c>
      <c r="G40" s="64">
        <v>111.21</v>
      </c>
      <c r="H40" s="64">
        <v>55.26</v>
      </c>
      <c r="I40" s="64">
        <v>6.74</v>
      </c>
      <c r="J40" s="64">
        <v>0.36</v>
      </c>
      <c r="K40" s="64">
        <v>214.45</v>
      </c>
      <c r="L40" s="64">
        <v>15.24</v>
      </c>
      <c r="M40" s="64">
        <v>72.89</v>
      </c>
      <c r="N40" s="64">
        <v>233.6</v>
      </c>
      <c r="O40" s="64">
        <v>0</v>
      </c>
      <c r="P40" s="64">
        <v>1.9</v>
      </c>
      <c r="Q40" s="64">
        <v>9.7200000000000006</v>
      </c>
      <c r="R40" s="198"/>
      <c r="S40" s="198"/>
      <c r="T40" s="198"/>
      <c r="U40" s="198"/>
    </row>
    <row r="41" spans="1:21" s="12" customFormat="1" x14ac:dyDescent="0.25">
      <c r="A41" s="214" t="s">
        <v>951</v>
      </c>
      <c r="B41" s="64">
        <v>64.69</v>
      </c>
      <c r="C41" s="6" t="s">
        <v>42</v>
      </c>
      <c r="D41" s="64">
        <v>47.59</v>
      </c>
      <c r="E41" s="64">
        <v>5.86</v>
      </c>
      <c r="F41" s="64">
        <v>3.02</v>
      </c>
      <c r="G41" s="64">
        <v>127.94</v>
      </c>
      <c r="H41" s="64">
        <v>55.35</v>
      </c>
      <c r="I41" s="64">
        <v>6.7</v>
      </c>
      <c r="J41" s="64">
        <v>0.24</v>
      </c>
      <c r="K41" s="64">
        <v>224.93</v>
      </c>
      <c r="L41" s="64">
        <v>15.91</v>
      </c>
      <c r="M41" s="64">
        <v>71.56</v>
      </c>
      <c r="N41" s="64">
        <v>275.60000000000002</v>
      </c>
      <c r="O41" s="64">
        <v>0</v>
      </c>
      <c r="P41" s="64">
        <v>1.87</v>
      </c>
      <c r="Q41" s="64">
        <v>9.7200000000000006</v>
      </c>
      <c r="R41" s="198"/>
      <c r="S41" s="198"/>
      <c r="T41" s="198"/>
      <c r="U41" s="198"/>
    </row>
    <row r="42" spans="1:21" s="12" customFormat="1" x14ac:dyDescent="0.25">
      <c r="A42" s="214" t="s">
        <v>952</v>
      </c>
      <c r="B42" s="64">
        <v>62.17</v>
      </c>
      <c r="C42" s="6" t="s">
        <v>42</v>
      </c>
      <c r="D42" s="64">
        <v>46.56</v>
      </c>
      <c r="E42" s="64">
        <v>5.93</v>
      </c>
      <c r="F42" s="64">
        <v>3.11</v>
      </c>
      <c r="G42" s="64">
        <v>141.94</v>
      </c>
      <c r="H42" s="64">
        <v>55.39</v>
      </c>
      <c r="I42" s="64">
        <v>6.66</v>
      </c>
      <c r="J42" s="64">
        <v>0.64</v>
      </c>
      <c r="K42" s="64">
        <v>349.57</v>
      </c>
      <c r="L42" s="64">
        <v>19.440000000000001</v>
      </c>
      <c r="M42" s="64">
        <v>54.79</v>
      </c>
      <c r="N42" s="64">
        <v>306.39999999999998</v>
      </c>
      <c r="O42" s="64">
        <v>0</v>
      </c>
      <c r="P42" s="64">
        <v>1.87</v>
      </c>
      <c r="Q42" s="64">
        <v>9.7200000000000006</v>
      </c>
      <c r="R42" s="198"/>
      <c r="S42" s="198"/>
      <c r="T42" s="198"/>
      <c r="U42" s="198"/>
    </row>
    <row r="43" spans="1:21" s="12" customFormat="1" x14ac:dyDescent="0.25">
      <c r="A43" s="214" t="s">
        <v>953</v>
      </c>
      <c r="B43" s="64">
        <v>60</v>
      </c>
      <c r="C43" s="6" t="s">
        <v>42</v>
      </c>
      <c r="D43" s="64">
        <v>45.95</v>
      </c>
      <c r="E43" s="64">
        <v>6</v>
      </c>
      <c r="F43" s="64">
        <v>2.84</v>
      </c>
      <c r="G43" s="64">
        <v>141.94</v>
      </c>
      <c r="H43" s="64">
        <v>55.39</v>
      </c>
      <c r="I43" s="64">
        <v>6.62</v>
      </c>
      <c r="J43" s="64">
        <v>0.33</v>
      </c>
      <c r="K43" s="64">
        <v>129.91999999999999</v>
      </c>
      <c r="L43" s="64">
        <v>21.3</v>
      </c>
      <c r="M43" s="64">
        <v>47.92</v>
      </c>
      <c r="N43" s="64">
        <v>335.9</v>
      </c>
      <c r="O43" s="64">
        <v>0</v>
      </c>
      <c r="P43" s="64">
        <v>1.87</v>
      </c>
      <c r="Q43" s="64">
        <v>9.7200000000000006</v>
      </c>
      <c r="R43" s="198"/>
      <c r="S43" s="198"/>
      <c r="T43" s="198"/>
      <c r="U43" s="198"/>
    </row>
    <row r="44" spans="1:21" s="12" customFormat="1" x14ac:dyDescent="0.25">
      <c r="A44" s="214" t="s">
        <v>954</v>
      </c>
      <c r="B44" s="64">
        <v>58.36</v>
      </c>
      <c r="C44" s="6" t="s">
        <v>42</v>
      </c>
      <c r="D44" s="64">
        <v>45.76</v>
      </c>
      <c r="E44" s="64">
        <v>6.07</v>
      </c>
      <c r="F44" s="64">
        <v>2.81</v>
      </c>
      <c r="G44" s="64">
        <v>141.94</v>
      </c>
      <c r="H44" s="64">
        <v>55.39</v>
      </c>
      <c r="I44" s="64">
        <v>6.63</v>
      </c>
      <c r="J44" s="64">
        <v>0.25</v>
      </c>
      <c r="K44" s="64">
        <v>277.52999999999997</v>
      </c>
      <c r="L44" s="64">
        <v>21.9</v>
      </c>
      <c r="M44" s="64">
        <v>46.16</v>
      </c>
      <c r="N44" s="64">
        <v>392.9</v>
      </c>
      <c r="O44" s="64">
        <v>0</v>
      </c>
      <c r="P44" s="64">
        <v>1.89</v>
      </c>
      <c r="Q44" s="64">
        <v>9.6999999999999993</v>
      </c>
      <c r="R44" s="198"/>
      <c r="S44" s="198"/>
      <c r="T44" s="198"/>
      <c r="U44" s="198"/>
    </row>
    <row r="45" spans="1:21" s="12" customFormat="1" x14ac:dyDescent="0.25">
      <c r="A45" s="214" t="s">
        <v>955</v>
      </c>
      <c r="B45" s="64">
        <v>56.98</v>
      </c>
      <c r="C45" s="64">
        <v>0.68</v>
      </c>
      <c r="D45" s="64">
        <v>45.56</v>
      </c>
      <c r="E45" s="64">
        <v>5.93</v>
      </c>
      <c r="F45" s="64">
        <v>2.9</v>
      </c>
      <c r="G45" s="64">
        <v>142.36000000000001</v>
      </c>
      <c r="H45" s="64">
        <v>56.33</v>
      </c>
      <c r="I45" s="64">
        <v>6.64</v>
      </c>
      <c r="J45" s="64">
        <v>0.73</v>
      </c>
      <c r="K45" s="64">
        <v>337.51</v>
      </c>
      <c r="L45" s="64">
        <v>24.6</v>
      </c>
      <c r="M45" s="64">
        <v>33</v>
      </c>
      <c r="N45" s="64">
        <v>443.2</v>
      </c>
      <c r="O45" s="64">
        <v>0</v>
      </c>
      <c r="P45" s="64">
        <v>1.9</v>
      </c>
      <c r="Q45" s="64">
        <v>9.7100000000000009</v>
      </c>
      <c r="R45" s="198"/>
      <c r="S45" s="198"/>
      <c r="T45" s="198"/>
      <c r="U45" s="198"/>
    </row>
    <row r="46" spans="1:21" s="12" customFormat="1" x14ac:dyDescent="0.25">
      <c r="A46" s="214" t="s">
        <v>956</v>
      </c>
      <c r="B46" s="64">
        <v>54.58</v>
      </c>
      <c r="C46" s="64">
        <v>1.9</v>
      </c>
      <c r="D46" s="64">
        <v>44.3</v>
      </c>
      <c r="E46" s="64">
        <v>6.1</v>
      </c>
      <c r="F46" s="64">
        <v>3.07</v>
      </c>
      <c r="G46" s="64">
        <v>142.71</v>
      </c>
      <c r="H46" s="64">
        <v>57.01</v>
      </c>
      <c r="I46" s="64">
        <v>6.64</v>
      </c>
      <c r="J46" s="64">
        <v>1.06</v>
      </c>
      <c r="K46" s="64">
        <v>340.47</v>
      </c>
      <c r="L46" s="64">
        <v>26.74</v>
      </c>
      <c r="M46" s="64">
        <v>23.9</v>
      </c>
      <c r="N46" s="64">
        <v>478.8</v>
      </c>
      <c r="O46" s="64">
        <v>0</v>
      </c>
      <c r="P46" s="64">
        <v>1.88</v>
      </c>
      <c r="Q46" s="64">
        <v>9.7200000000000006</v>
      </c>
      <c r="R46" s="198"/>
      <c r="S46" s="198"/>
      <c r="T46" s="198"/>
      <c r="U46" s="198"/>
    </row>
    <row r="47" spans="1:21" s="12" customFormat="1" x14ac:dyDescent="0.25">
      <c r="A47" s="214" t="s">
        <v>957</v>
      </c>
      <c r="B47" s="64">
        <v>50.86</v>
      </c>
      <c r="C47" s="64">
        <v>4.5</v>
      </c>
      <c r="D47" s="64">
        <v>42.68</v>
      </c>
      <c r="E47" s="64">
        <v>6.35</v>
      </c>
      <c r="F47" s="64">
        <v>3.09</v>
      </c>
      <c r="G47" s="64">
        <v>142.71</v>
      </c>
      <c r="H47" s="64">
        <v>57.01</v>
      </c>
      <c r="I47" s="64">
        <v>6.59</v>
      </c>
      <c r="J47" s="64">
        <v>0.88</v>
      </c>
      <c r="K47" s="64">
        <v>343.17</v>
      </c>
      <c r="L47" s="64">
        <v>27.13</v>
      </c>
      <c r="M47" s="64">
        <v>22.81</v>
      </c>
      <c r="N47" s="64">
        <v>495.4</v>
      </c>
      <c r="O47" s="64">
        <v>0</v>
      </c>
      <c r="P47" s="64">
        <v>1.81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4" t="s">
        <v>958</v>
      </c>
      <c r="B48" s="64">
        <v>50.26</v>
      </c>
      <c r="C48" s="64">
        <v>5.99</v>
      </c>
      <c r="D48" s="64">
        <v>42.97</v>
      </c>
      <c r="E48" s="64">
        <v>6.1</v>
      </c>
      <c r="F48" s="64">
        <v>3.34</v>
      </c>
      <c r="G48" s="64">
        <v>142.71</v>
      </c>
      <c r="H48" s="64">
        <v>57.01</v>
      </c>
      <c r="I48" s="64">
        <v>6.4</v>
      </c>
      <c r="J48" s="64">
        <v>0.17</v>
      </c>
      <c r="K48" s="64">
        <v>344.01</v>
      </c>
      <c r="L48" s="64">
        <v>26.93</v>
      </c>
      <c r="M48" s="64">
        <v>22.7</v>
      </c>
      <c r="N48" s="64">
        <v>521.6</v>
      </c>
      <c r="O48" s="64">
        <v>0</v>
      </c>
      <c r="P48" s="64">
        <v>1.76</v>
      </c>
      <c r="Q48" s="64">
        <v>9.6999999999999993</v>
      </c>
      <c r="R48" s="198"/>
      <c r="S48" s="198"/>
      <c r="T48" s="198"/>
      <c r="U48" s="198"/>
    </row>
    <row r="49" spans="1:21" s="12" customFormat="1" x14ac:dyDescent="0.25">
      <c r="A49" s="214" t="s">
        <v>959</v>
      </c>
      <c r="B49" s="64">
        <v>46.95</v>
      </c>
      <c r="C49" s="64">
        <v>8</v>
      </c>
      <c r="D49" s="64">
        <v>41.37</v>
      </c>
      <c r="E49" s="64">
        <v>6.53</v>
      </c>
      <c r="F49" s="64">
        <v>2.92</v>
      </c>
      <c r="G49" s="64">
        <v>93.26</v>
      </c>
      <c r="H49" s="64">
        <v>43.45</v>
      </c>
      <c r="I49" s="64">
        <v>6.22</v>
      </c>
      <c r="J49" s="64">
        <v>0.56999999999999995</v>
      </c>
      <c r="K49" s="64">
        <v>348.77</v>
      </c>
      <c r="L49" s="64">
        <v>26.82</v>
      </c>
      <c r="M49" s="64">
        <v>21.86</v>
      </c>
      <c r="N49" s="64">
        <v>537.1</v>
      </c>
      <c r="O49" s="64">
        <v>0</v>
      </c>
      <c r="P49" s="64">
        <v>1.7</v>
      </c>
      <c r="Q49" s="64">
        <v>9.69</v>
      </c>
      <c r="R49" s="198"/>
      <c r="S49" s="198"/>
      <c r="T49" s="198"/>
      <c r="U49" s="198"/>
    </row>
    <row r="50" spans="1:21" s="12" customFormat="1" x14ac:dyDescent="0.25">
      <c r="A50" s="214" t="s">
        <v>960</v>
      </c>
      <c r="B50" s="64">
        <v>46.75</v>
      </c>
      <c r="C50" s="64">
        <v>7.6</v>
      </c>
      <c r="D50" s="64">
        <v>41</v>
      </c>
      <c r="E50" s="64">
        <v>5.97</v>
      </c>
      <c r="F50" s="64">
        <v>2.99</v>
      </c>
      <c r="G50" s="64">
        <v>51.88</v>
      </c>
      <c r="H50" s="64">
        <v>38.46</v>
      </c>
      <c r="I50" s="64">
        <v>6.06</v>
      </c>
      <c r="J50" s="64">
        <v>0.98</v>
      </c>
      <c r="K50" s="64">
        <v>340.4</v>
      </c>
      <c r="L50" s="64">
        <v>28.73</v>
      </c>
      <c r="M50" s="64">
        <v>19.61</v>
      </c>
      <c r="N50" s="64">
        <v>552</v>
      </c>
      <c r="O50" s="64">
        <v>0</v>
      </c>
      <c r="P50" s="64">
        <v>1.67</v>
      </c>
      <c r="Q50" s="64">
        <v>9.6999999999999993</v>
      </c>
      <c r="R50" s="198"/>
      <c r="S50" s="198"/>
      <c r="T50" s="198"/>
      <c r="U50" s="198"/>
    </row>
    <row r="51" spans="1:21" s="12" customFormat="1" x14ac:dyDescent="0.25">
      <c r="A51" s="214" t="s">
        <v>961</v>
      </c>
      <c r="B51" s="64">
        <v>45.42</v>
      </c>
      <c r="C51" s="64">
        <v>10.02</v>
      </c>
      <c r="D51" s="64">
        <v>41.19</v>
      </c>
      <c r="E51" s="64">
        <v>6.68</v>
      </c>
      <c r="F51" s="64">
        <v>2.96</v>
      </c>
      <c r="G51" s="64">
        <v>51.88</v>
      </c>
      <c r="H51" s="64">
        <v>38.46</v>
      </c>
      <c r="I51" s="64">
        <v>5.89</v>
      </c>
      <c r="J51" s="64">
        <v>0.42</v>
      </c>
      <c r="K51" s="64">
        <v>61.01</v>
      </c>
      <c r="L51" s="64">
        <v>28.52</v>
      </c>
      <c r="M51" s="64">
        <v>20.04</v>
      </c>
      <c r="N51" s="64">
        <v>563.1</v>
      </c>
      <c r="O51" s="64">
        <v>0</v>
      </c>
      <c r="P51" s="64">
        <v>1.57</v>
      </c>
      <c r="Q51" s="64">
        <v>9.7100000000000009</v>
      </c>
      <c r="R51" s="198"/>
      <c r="S51" s="198"/>
      <c r="T51" s="198"/>
      <c r="U51" s="198"/>
    </row>
    <row r="52" spans="1:21" s="12" customFormat="1" x14ac:dyDescent="0.25">
      <c r="A52" s="214" t="s">
        <v>962</v>
      </c>
      <c r="B52" s="64">
        <v>42.47</v>
      </c>
      <c r="C52" s="64">
        <v>9.24</v>
      </c>
      <c r="D52" s="64">
        <v>38.42</v>
      </c>
      <c r="E52" s="64">
        <v>5.62</v>
      </c>
      <c r="F52" s="64">
        <v>2.86</v>
      </c>
      <c r="G52" s="64">
        <v>51.88</v>
      </c>
      <c r="H52" s="64">
        <v>38.46</v>
      </c>
      <c r="I52" s="64">
        <v>5.67</v>
      </c>
      <c r="J52" s="64">
        <v>0.65</v>
      </c>
      <c r="K52" s="64">
        <v>119.54</v>
      </c>
      <c r="L52" s="64">
        <v>25.75</v>
      </c>
      <c r="M52" s="64">
        <v>23.3</v>
      </c>
      <c r="N52" s="64">
        <v>575.1</v>
      </c>
      <c r="O52" s="64">
        <v>0</v>
      </c>
      <c r="P52" s="64">
        <v>1.5</v>
      </c>
      <c r="Q52" s="64">
        <v>9.69</v>
      </c>
      <c r="R52" s="198"/>
      <c r="S52" s="198"/>
      <c r="T52" s="198"/>
      <c r="U52" s="198"/>
    </row>
    <row r="53" spans="1:21" s="12" customFormat="1" x14ac:dyDescent="0.25">
      <c r="A53" s="214" t="s">
        <v>963</v>
      </c>
      <c r="B53" s="64">
        <v>41.51</v>
      </c>
      <c r="C53" s="64">
        <v>9.99</v>
      </c>
      <c r="D53" s="64">
        <v>38.049999999999997</v>
      </c>
      <c r="E53" s="64">
        <v>5.39</v>
      </c>
      <c r="F53" s="64">
        <v>2.92</v>
      </c>
      <c r="G53" s="64">
        <v>47.86</v>
      </c>
      <c r="H53" s="64">
        <v>35.770000000000003</v>
      </c>
      <c r="I53" s="64">
        <v>5.5</v>
      </c>
      <c r="J53" s="64">
        <v>0.24</v>
      </c>
      <c r="K53" s="64">
        <v>26.98</v>
      </c>
      <c r="L53" s="64">
        <v>27.84</v>
      </c>
      <c r="M53" s="64">
        <v>19.920000000000002</v>
      </c>
      <c r="N53" s="64">
        <v>575.9</v>
      </c>
      <c r="O53" s="64">
        <v>0</v>
      </c>
      <c r="P53" s="64">
        <v>1.47</v>
      </c>
      <c r="Q53" s="64">
        <v>9.68</v>
      </c>
      <c r="R53" s="198"/>
      <c r="S53" s="198"/>
      <c r="T53" s="198"/>
      <c r="U53" s="198"/>
    </row>
    <row r="54" spans="1:21" s="12" customFormat="1" x14ac:dyDescent="0.25">
      <c r="A54" s="214" t="s">
        <v>964</v>
      </c>
      <c r="B54" s="64">
        <v>38.78</v>
      </c>
      <c r="C54" s="64">
        <v>10.88</v>
      </c>
      <c r="D54" s="64">
        <v>36.32</v>
      </c>
      <c r="E54" s="64">
        <v>6.24</v>
      </c>
      <c r="F54" s="64">
        <v>3.41</v>
      </c>
      <c r="G54" s="64">
        <v>44.49</v>
      </c>
      <c r="H54" s="64">
        <v>34.78</v>
      </c>
      <c r="I54" s="64">
        <v>5.35</v>
      </c>
      <c r="J54" s="64">
        <v>1.21</v>
      </c>
      <c r="K54" s="64">
        <v>337.17</v>
      </c>
      <c r="L54" s="64">
        <v>29.77</v>
      </c>
      <c r="M54" s="64">
        <v>17.32</v>
      </c>
      <c r="N54" s="64">
        <v>584.6</v>
      </c>
      <c r="O54" s="64">
        <v>0</v>
      </c>
      <c r="P54" s="64">
        <v>1.41</v>
      </c>
      <c r="Q54" s="64">
        <v>9.66</v>
      </c>
      <c r="R54" s="198"/>
      <c r="S54" s="198"/>
      <c r="T54" s="198"/>
      <c r="U54" s="198"/>
    </row>
    <row r="55" spans="1:21" s="12" customFormat="1" x14ac:dyDescent="0.25">
      <c r="A55" s="214" t="s">
        <v>965</v>
      </c>
      <c r="B55" s="64">
        <v>37.01</v>
      </c>
      <c r="C55" s="64">
        <v>13.21</v>
      </c>
      <c r="D55" s="64">
        <v>36.119999999999997</v>
      </c>
      <c r="E55" s="64">
        <v>5.86</v>
      </c>
      <c r="F55" s="64">
        <v>3.07</v>
      </c>
      <c r="G55" s="64">
        <v>44.49</v>
      </c>
      <c r="H55" s="64">
        <v>34.78</v>
      </c>
      <c r="I55" s="64">
        <v>5.24</v>
      </c>
      <c r="J55" s="64">
        <v>1.07</v>
      </c>
      <c r="K55" s="64">
        <v>334.22</v>
      </c>
      <c r="L55" s="64">
        <v>30.5</v>
      </c>
      <c r="M55" s="64">
        <v>16.77</v>
      </c>
      <c r="N55" s="64">
        <v>578.6</v>
      </c>
      <c r="O55" s="64">
        <v>0</v>
      </c>
      <c r="P55" s="64">
        <v>1.37</v>
      </c>
      <c r="Q55" s="64">
        <v>9.68</v>
      </c>
      <c r="R55" s="198"/>
      <c r="S55" s="198"/>
      <c r="T55" s="198"/>
      <c r="U55" s="198"/>
    </row>
    <row r="56" spans="1:21" s="12" customFormat="1" x14ac:dyDescent="0.25">
      <c r="A56" s="214" t="s">
        <v>966</v>
      </c>
      <c r="B56" s="64">
        <v>34.65</v>
      </c>
      <c r="C56" s="64">
        <v>15.23</v>
      </c>
      <c r="D56" s="64">
        <v>35.28</v>
      </c>
      <c r="E56" s="64">
        <v>5.74</v>
      </c>
      <c r="F56" s="64">
        <v>3.13</v>
      </c>
      <c r="G56" s="64">
        <v>44.49</v>
      </c>
      <c r="H56" s="64">
        <v>34.78</v>
      </c>
      <c r="I56" s="64">
        <v>5.05</v>
      </c>
      <c r="J56" s="64">
        <v>1.02</v>
      </c>
      <c r="K56" s="64">
        <v>324.75</v>
      </c>
      <c r="L56" s="64">
        <v>31.02</v>
      </c>
      <c r="M56" s="64">
        <v>16</v>
      </c>
      <c r="N56" s="64">
        <v>554.9</v>
      </c>
      <c r="O56" s="64">
        <v>0</v>
      </c>
      <c r="P56" s="64">
        <v>1.33</v>
      </c>
      <c r="Q56" s="64">
        <v>9.67</v>
      </c>
      <c r="R56" s="198"/>
      <c r="S56" s="198"/>
      <c r="T56" s="198"/>
      <c r="U56" s="198"/>
    </row>
    <row r="57" spans="1:21" s="12" customFormat="1" x14ac:dyDescent="0.25">
      <c r="A57" s="214" t="s">
        <v>967</v>
      </c>
      <c r="B57" s="64">
        <v>30.14</v>
      </c>
      <c r="C57" s="64">
        <v>17.559999999999999</v>
      </c>
      <c r="D57" s="64">
        <v>32.89</v>
      </c>
      <c r="E57" s="64">
        <v>5.78</v>
      </c>
      <c r="F57" s="64">
        <v>3.67</v>
      </c>
      <c r="G57" s="64">
        <v>51.75</v>
      </c>
      <c r="H57" s="64">
        <v>31.84</v>
      </c>
      <c r="I57" s="64">
        <v>4.91</v>
      </c>
      <c r="J57" s="64">
        <v>0.4</v>
      </c>
      <c r="K57" s="64">
        <v>329.79</v>
      </c>
      <c r="L57" s="64">
        <v>30.81</v>
      </c>
      <c r="M57" s="64">
        <v>14.85</v>
      </c>
      <c r="N57" s="64">
        <v>550.4</v>
      </c>
      <c r="O57" s="64">
        <v>0</v>
      </c>
      <c r="P57" s="64">
        <v>1.3</v>
      </c>
      <c r="Q57" s="64">
        <v>9.66</v>
      </c>
      <c r="R57" s="198"/>
      <c r="S57" s="198"/>
      <c r="T57" s="198"/>
      <c r="U57" s="198"/>
    </row>
    <row r="58" spans="1:21" s="12" customFormat="1" x14ac:dyDescent="0.25">
      <c r="A58" s="214" t="s">
        <v>968</v>
      </c>
      <c r="B58" s="64">
        <v>28.23</v>
      </c>
      <c r="C58" s="64">
        <v>18.87</v>
      </c>
      <c r="D58" s="64">
        <v>32.03</v>
      </c>
      <c r="E58" s="64">
        <v>5.62</v>
      </c>
      <c r="F58" s="64">
        <v>3.74</v>
      </c>
      <c r="G58" s="64">
        <v>57.82</v>
      </c>
      <c r="H58" s="64">
        <v>30.75</v>
      </c>
      <c r="I58" s="64">
        <v>4.79</v>
      </c>
      <c r="J58" s="64">
        <v>0.5</v>
      </c>
      <c r="K58" s="64">
        <v>309.95</v>
      </c>
      <c r="L58" s="64">
        <v>30.41</v>
      </c>
      <c r="M58" s="64">
        <v>13.65</v>
      </c>
      <c r="N58" s="64">
        <v>566</v>
      </c>
      <c r="O58" s="64">
        <v>0</v>
      </c>
      <c r="P58" s="64">
        <v>1.26</v>
      </c>
      <c r="Q58" s="64">
        <v>9.65</v>
      </c>
      <c r="R58" s="198"/>
      <c r="S58" s="198"/>
      <c r="T58" s="198"/>
      <c r="U58" s="198"/>
    </row>
    <row r="59" spans="1:21" s="12" customFormat="1" x14ac:dyDescent="0.25">
      <c r="A59" s="214" t="s">
        <v>969</v>
      </c>
      <c r="B59" s="64">
        <v>24.65</v>
      </c>
      <c r="C59" s="64">
        <v>19.54</v>
      </c>
      <c r="D59" s="64">
        <v>29.51</v>
      </c>
      <c r="E59" s="64">
        <v>6.68</v>
      </c>
      <c r="F59" s="64">
        <v>5.01</v>
      </c>
      <c r="G59" s="64">
        <v>57.82</v>
      </c>
      <c r="H59" s="64">
        <v>30.75</v>
      </c>
      <c r="I59" s="64">
        <v>4.7</v>
      </c>
      <c r="J59" s="64">
        <v>0.38</v>
      </c>
      <c r="K59" s="64">
        <v>100.51</v>
      </c>
      <c r="L59" s="64">
        <v>28.98</v>
      </c>
      <c r="M59" s="64">
        <v>11.79</v>
      </c>
      <c r="N59" s="64">
        <v>569.29999999999995</v>
      </c>
      <c r="O59" s="64">
        <v>0</v>
      </c>
      <c r="P59" s="64">
        <v>1.1599999999999999</v>
      </c>
      <c r="Q59" s="64">
        <v>9.66</v>
      </c>
      <c r="R59" s="198"/>
      <c r="S59" s="198"/>
      <c r="T59" s="198"/>
      <c r="U59" s="198"/>
    </row>
    <row r="60" spans="1:21" s="12" customFormat="1" x14ac:dyDescent="0.25">
      <c r="A60" s="214" t="s">
        <v>970</v>
      </c>
      <c r="B60" s="64">
        <v>25.61</v>
      </c>
      <c r="C60" s="64">
        <v>21.02</v>
      </c>
      <c r="D60" s="64">
        <v>31.06</v>
      </c>
      <c r="E60" s="64">
        <v>14.27</v>
      </c>
      <c r="F60" s="64">
        <v>6.01</v>
      </c>
      <c r="G60" s="64">
        <v>57.82</v>
      </c>
      <c r="H60" s="64">
        <v>30.75</v>
      </c>
      <c r="I60" s="64">
        <v>4.5999999999999996</v>
      </c>
      <c r="J60" s="64">
        <v>1.36</v>
      </c>
      <c r="K60" s="64">
        <v>338.05</v>
      </c>
      <c r="L60" s="64">
        <v>30.17</v>
      </c>
      <c r="M60" s="64">
        <v>11.37</v>
      </c>
      <c r="N60" s="64">
        <v>513.1</v>
      </c>
      <c r="O60" s="64">
        <v>0</v>
      </c>
      <c r="P60" s="64">
        <v>1.1100000000000001</v>
      </c>
      <c r="Q60" s="64">
        <v>9.65</v>
      </c>
      <c r="R60" s="198"/>
      <c r="S60" s="198"/>
      <c r="T60" s="198"/>
      <c r="U60" s="198"/>
    </row>
    <row r="61" spans="1:21" s="12" customFormat="1" x14ac:dyDescent="0.25">
      <c r="A61" s="214" t="s">
        <v>971</v>
      </c>
      <c r="B61" s="64">
        <v>23.13</v>
      </c>
      <c r="C61" s="64">
        <v>21.3</v>
      </c>
      <c r="D61" s="64">
        <v>29.21</v>
      </c>
      <c r="E61" s="64">
        <v>16.72</v>
      </c>
      <c r="F61" s="64">
        <v>6.82</v>
      </c>
      <c r="G61" s="64">
        <v>45.32</v>
      </c>
      <c r="H61" s="64">
        <v>27.18</v>
      </c>
      <c r="I61" s="64">
        <v>4.4800000000000004</v>
      </c>
      <c r="J61" s="64">
        <v>1.23</v>
      </c>
      <c r="K61" s="64">
        <v>337.83</v>
      </c>
      <c r="L61" s="64">
        <v>30.81</v>
      </c>
      <c r="M61" s="64">
        <v>10.77</v>
      </c>
      <c r="N61" s="64">
        <v>502.9</v>
      </c>
      <c r="O61" s="64">
        <v>0</v>
      </c>
      <c r="P61" s="64">
        <v>1.1399999999999999</v>
      </c>
      <c r="Q61" s="64">
        <v>9.68</v>
      </c>
      <c r="R61" s="198"/>
      <c r="S61" s="198"/>
      <c r="T61" s="198"/>
      <c r="U61" s="198"/>
    </row>
    <row r="62" spans="1:21" s="12" customFormat="1" x14ac:dyDescent="0.25">
      <c r="A62" s="214" t="s">
        <v>972</v>
      </c>
      <c r="B62" s="64">
        <v>18.87</v>
      </c>
      <c r="C62" s="64">
        <v>21.41</v>
      </c>
      <c r="D62" s="64">
        <v>25.86</v>
      </c>
      <c r="E62" s="64">
        <v>17.61</v>
      </c>
      <c r="F62" s="64">
        <v>12.43</v>
      </c>
      <c r="G62" s="64">
        <v>34.86</v>
      </c>
      <c r="H62" s="64">
        <v>24.71</v>
      </c>
      <c r="I62" s="64">
        <v>4.37</v>
      </c>
      <c r="J62" s="64">
        <v>0.12</v>
      </c>
      <c r="K62" s="64">
        <v>356.19</v>
      </c>
      <c r="L62" s="64">
        <v>29.69</v>
      </c>
      <c r="M62" s="64">
        <v>10.91</v>
      </c>
      <c r="N62" s="64">
        <v>466.6</v>
      </c>
      <c r="O62" s="64">
        <v>0</v>
      </c>
      <c r="P62" s="64">
        <v>0.99</v>
      </c>
      <c r="Q62" s="64">
        <v>9.67</v>
      </c>
      <c r="R62" s="198"/>
      <c r="S62" s="198"/>
      <c r="T62" s="198"/>
      <c r="U62" s="198"/>
    </row>
    <row r="63" spans="1:21" s="12" customFormat="1" x14ac:dyDescent="0.25">
      <c r="A63" s="214" t="s">
        <v>973</v>
      </c>
      <c r="B63" s="64">
        <v>20.99</v>
      </c>
      <c r="C63" s="64">
        <v>23.73</v>
      </c>
      <c r="D63" s="64">
        <v>28.77</v>
      </c>
      <c r="E63" s="64">
        <v>12.21</v>
      </c>
      <c r="F63" s="64">
        <v>9.23</v>
      </c>
      <c r="G63" s="64">
        <v>34.86</v>
      </c>
      <c r="H63" s="64">
        <v>24.71</v>
      </c>
      <c r="I63" s="64">
        <v>4.29</v>
      </c>
      <c r="J63" s="64">
        <v>0.91</v>
      </c>
      <c r="K63" s="64">
        <v>334.22</v>
      </c>
      <c r="L63" s="64">
        <v>29.71</v>
      </c>
      <c r="M63" s="64">
        <v>11.69</v>
      </c>
      <c r="N63" s="64">
        <v>430</v>
      </c>
      <c r="O63" s="64">
        <v>0</v>
      </c>
      <c r="P63" s="64">
        <v>1.1100000000000001</v>
      </c>
      <c r="Q63" s="64">
        <v>9.66</v>
      </c>
      <c r="R63" s="198"/>
      <c r="S63" s="198"/>
      <c r="T63" s="198"/>
      <c r="U63" s="198"/>
    </row>
    <row r="64" spans="1:21" s="12" customFormat="1" x14ac:dyDescent="0.25">
      <c r="A64" s="214" t="s">
        <v>974</v>
      </c>
      <c r="B64" s="64">
        <v>15.3</v>
      </c>
      <c r="C64" s="64">
        <v>22.32</v>
      </c>
      <c r="D64" s="64">
        <v>23.47</v>
      </c>
      <c r="E64" s="64">
        <v>24.36</v>
      </c>
      <c r="F64" s="64">
        <v>17.239999999999998</v>
      </c>
      <c r="G64" s="64">
        <v>34.86</v>
      </c>
      <c r="H64" s="64">
        <v>24.71</v>
      </c>
      <c r="I64" s="64">
        <v>4.5199999999999996</v>
      </c>
      <c r="J64" s="64">
        <v>0.09</v>
      </c>
      <c r="K64" s="64">
        <v>144.26</v>
      </c>
      <c r="L64" s="64">
        <v>28.01</v>
      </c>
      <c r="M64" s="64">
        <v>12.3</v>
      </c>
      <c r="N64" s="64">
        <v>285.89999999999998</v>
      </c>
      <c r="O64" s="64">
        <v>0</v>
      </c>
      <c r="P64" s="64">
        <v>0.93</v>
      </c>
      <c r="Q64" s="64">
        <v>9.65</v>
      </c>
      <c r="R64" s="198"/>
      <c r="S64" s="198"/>
      <c r="T64" s="198"/>
      <c r="U64" s="198"/>
    </row>
    <row r="65" spans="1:21" s="12" customFormat="1" x14ac:dyDescent="0.25">
      <c r="A65" s="214" t="s">
        <v>975</v>
      </c>
      <c r="B65" s="64">
        <v>20.55</v>
      </c>
      <c r="C65" s="64">
        <v>30.19</v>
      </c>
      <c r="D65" s="64">
        <v>31.79</v>
      </c>
      <c r="E65" s="64">
        <v>26.86</v>
      </c>
      <c r="F65" s="64">
        <v>12.7</v>
      </c>
      <c r="G65" s="64">
        <v>35.979999999999997</v>
      </c>
      <c r="H65" s="64">
        <v>21.53</v>
      </c>
      <c r="I65" s="64">
        <v>4.21</v>
      </c>
      <c r="J65" s="64">
        <v>0.5</v>
      </c>
      <c r="K65" s="64">
        <v>337.35</v>
      </c>
      <c r="L65" s="64">
        <v>27.54</v>
      </c>
      <c r="M65" s="64">
        <v>14.01</v>
      </c>
      <c r="N65" s="64">
        <v>148.69999999999999</v>
      </c>
      <c r="O65" s="64">
        <v>0</v>
      </c>
      <c r="P65" s="64">
        <v>1.07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4" t="s">
        <v>976</v>
      </c>
      <c r="B66" s="64">
        <v>15.6</v>
      </c>
      <c r="C66" s="64">
        <v>21.61</v>
      </c>
      <c r="D66" s="64">
        <v>23.34</v>
      </c>
      <c r="E66" s="64">
        <v>17.72</v>
      </c>
      <c r="F66" s="64">
        <v>15.95</v>
      </c>
      <c r="G66" s="64">
        <v>36.92</v>
      </c>
      <c r="H66" s="64">
        <v>20.37</v>
      </c>
      <c r="I66" s="64">
        <v>4.0199999999999996</v>
      </c>
      <c r="J66" s="64">
        <v>1.1299999999999999</v>
      </c>
      <c r="K66" s="64">
        <v>124.71</v>
      </c>
      <c r="L66" s="64">
        <v>26.64</v>
      </c>
      <c r="M66" s="64">
        <v>13.28</v>
      </c>
      <c r="N66" s="64">
        <v>118.7</v>
      </c>
      <c r="O66" s="64">
        <v>0</v>
      </c>
      <c r="P66" s="64">
        <v>1.02</v>
      </c>
      <c r="Q66" s="64">
        <v>9.65</v>
      </c>
      <c r="R66" s="198"/>
      <c r="S66" s="198"/>
      <c r="T66" s="198"/>
      <c r="U66" s="198"/>
    </row>
    <row r="67" spans="1:21" s="12" customFormat="1" x14ac:dyDescent="0.25">
      <c r="A67" s="214" t="s">
        <v>977</v>
      </c>
      <c r="B67" s="64">
        <v>14.65</v>
      </c>
      <c r="C67" s="64">
        <v>22.46</v>
      </c>
      <c r="D67" s="64">
        <v>23.02</v>
      </c>
      <c r="E67" s="64">
        <v>16.96</v>
      </c>
      <c r="F67" s="64">
        <v>15.06</v>
      </c>
      <c r="G67" s="64">
        <v>36.92</v>
      </c>
      <c r="H67" s="64">
        <v>20.37</v>
      </c>
      <c r="I67" s="64">
        <v>3.95</v>
      </c>
      <c r="J67" s="64">
        <v>0.28999999999999998</v>
      </c>
      <c r="K67" s="64">
        <v>107.91</v>
      </c>
      <c r="L67" s="64">
        <v>26.06</v>
      </c>
      <c r="M67" s="64">
        <v>14.04</v>
      </c>
      <c r="N67" s="64">
        <v>96.9</v>
      </c>
      <c r="O67" s="64">
        <v>0</v>
      </c>
      <c r="P67" s="64">
        <v>0.98</v>
      </c>
      <c r="Q67" s="64">
        <v>9.64</v>
      </c>
      <c r="R67" s="198"/>
      <c r="S67" s="198"/>
      <c r="T67" s="198"/>
      <c r="U67" s="198"/>
    </row>
    <row r="68" spans="1:21" s="12" customFormat="1" x14ac:dyDescent="0.25">
      <c r="A68" s="214" t="s">
        <v>978</v>
      </c>
      <c r="B68" s="64">
        <v>15.15</v>
      </c>
      <c r="C68" s="64">
        <v>23.59</v>
      </c>
      <c r="D68" s="64">
        <v>24.01</v>
      </c>
      <c r="E68" s="64">
        <v>15.65</v>
      </c>
      <c r="F68" s="64">
        <v>10.28</v>
      </c>
      <c r="G68" s="64">
        <v>36.92</v>
      </c>
      <c r="H68" s="64">
        <v>20.37</v>
      </c>
      <c r="I68" s="64">
        <v>3.87</v>
      </c>
      <c r="J68" s="64">
        <v>0.5</v>
      </c>
      <c r="K68" s="64">
        <v>347.73</v>
      </c>
      <c r="L68" s="64">
        <v>26.19</v>
      </c>
      <c r="M68" s="64">
        <v>14.98</v>
      </c>
      <c r="N68" s="64">
        <v>85.5</v>
      </c>
      <c r="O68" s="64">
        <v>0</v>
      </c>
      <c r="P68" s="64">
        <v>1.03</v>
      </c>
      <c r="Q68" s="64">
        <v>9.64</v>
      </c>
      <c r="R68" s="198"/>
      <c r="S68" s="198"/>
      <c r="T68" s="198"/>
      <c r="U68" s="198"/>
    </row>
    <row r="69" spans="1:21" s="12" customFormat="1" x14ac:dyDescent="0.25">
      <c r="A69" s="214" t="s">
        <v>979</v>
      </c>
      <c r="B69" s="64">
        <v>14.86</v>
      </c>
      <c r="C69" s="64">
        <v>28.01</v>
      </c>
      <c r="D69" s="64">
        <v>26.09</v>
      </c>
      <c r="E69" s="64">
        <v>13.81</v>
      </c>
      <c r="F69" s="64">
        <v>10.44</v>
      </c>
      <c r="G69" s="64">
        <v>39.97</v>
      </c>
      <c r="H69" s="64">
        <v>20.74</v>
      </c>
      <c r="I69" s="64">
        <v>3.78</v>
      </c>
      <c r="J69" s="64">
        <v>0.62</v>
      </c>
      <c r="K69" s="64">
        <v>336.18</v>
      </c>
      <c r="L69" s="64">
        <v>26.06</v>
      </c>
      <c r="M69" s="64">
        <v>13.76</v>
      </c>
      <c r="N69" s="64">
        <v>80.7</v>
      </c>
      <c r="O69" s="64">
        <v>0</v>
      </c>
      <c r="P69" s="64">
        <v>1.04</v>
      </c>
      <c r="Q69" s="64">
        <v>9.65</v>
      </c>
      <c r="R69" s="198"/>
      <c r="S69" s="198"/>
      <c r="T69" s="198"/>
      <c r="U69" s="198"/>
    </row>
    <row r="70" spans="1:21" s="12" customFormat="1" x14ac:dyDescent="0.25">
      <c r="A70" s="214" t="s">
        <v>980</v>
      </c>
      <c r="B70" s="64">
        <v>11.87</v>
      </c>
      <c r="C70" s="64">
        <v>24.53</v>
      </c>
      <c r="D70" s="64">
        <v>21.88</v>
      </c>
      <c r="E70" s="64">
        <v>14.87</v>
      </c>
      <c r="F70" s="64">
        <v>10.79</v>
      </c>
      <c r="G70" s="64">
        <v>42.52</v>
      </c>
      <c r="H70" s="64">
        <v>20.88</v>
      </c>
      <c r="I70" s="64">
        <v>3.71</v>
      </c>
      <c r="J70" s="64">
        <v>0.35</v>
      </c>
      <c r="K70" s="64">
        <v>131.12</v>
      </c>
      <c r="L70" s="64">
        <v>25.67</v>
      </c>
      <c r="M70" s="64">
        <v>12.79</v>
      </c>
      <c r="N70" s="64">
        <v>80.8</v>
      </c>
      <c r="O70" s="64">
        <v>0</v>
      </c>
      <c r="P70" s="64">
        <v>0.97</v>
      </c>
      <c r="Q70" s="64">
        <v>9.64</v>
      </c>
      <c r="R70" s="198"/>
      <c r="S70" s="198"/>
      <c r="T70" s="198"/>
      <c r="U70" s="198"/>
    </row>
    <row r="71" spans="1:21" s="12" customFormat="1" x14ac:dyDescent="0.25">
      <c r="A71" s="214" t="s">
        <v>981</v>
      </c>
      <c r="B71" s="64">
        <v>16.399999999999999</v>
      </c>
      <c r="C71" s="64">
        <v>33.049999999999997</v>
      </c>
      <c r="D71" s="64">
        <v>25.24</v>
      </c>
      <c r="E71" s="64">
        <v>7.93</v>
      </c>
      <c r="F71" s="64">
        <v>8.9600000000000009</v>
      </c>
      <c r="G71" s="64">
        <v>42.52</v>
      </c>
      <c r="H71" s="64">
        <v>20.88</v>
      </c>
      <c r="I71" s="64">
        <v>3.64</v>
      </c>
      <c r="J71" s="64">
        <v>0.73</v>
      </c>
      <c r="K71" s="64">
        <v>347.01</v>
      </c>
      <c r="L71" s="64">
        <v>25.43</v>
      </c>
      <c r="M71" s="64">
        <v>13.78</v>
      </c>
      <c r="N71" s="64">
        <v>72.3</v>
      </c>
      <c r="O71" s="64">
        <v>0</v>
      </c>
      <c r="P71" s="64">
        <v>1.06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4" t="s">
        <v>982</v>
      </c>
      <c r="B72" s="64">
        <v>4.62</v>
      </c>
      <c r="C72" s="64">
        <v>33.4</v>
      </c>
      <c r="D72" s="64">
        <v>20.69</v>
      </c>
      <c r="E72" s="64">
        <v>16.260000000000002</v>
      </c>
      <c r="F72" s="64">
        <v>16.41</v>
      </c>
      <c r="G72" s="64">
        <v>42.52</v>
      </c>
      <c r="H72" s="64">
        <v>20.88</v>
      </c>
      <c r="I72" s="64">
        <v>3.6</v>
      </c>
      <c r="J72" s="64">
        <v>0.5</v>
      </c>
      <c r="K72" s="64">
        <v>116.99</v>
      </c>
      <c r="L72" s="64">
        <v>25.18</v>
      </c>
      <c r="M72" s="64">
        <v>13.26</v>
      </c>
      <c r="N72" s="64">
        <v>73.5</v>
      </c>
      <c r="O72" s="64">
        <v>0</v>
      </c>
      <c r="P72" s="64">
        <v>0.85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4" t="s">
        <v>983</v>
      </c>
      <c r="B73" s="64">
        <v>3.3</v>
      </c>
      <c r="C73" s="64">
        <v>31.2</v>
      </c>
      <c r="D73" s="64">
        <v>18.489999999999998</v>
      </c>
      <c r="E73" s="64">
        <v>16.89</v>
      </c>
      <c r="F73" s="64">
        <v>16.489999999999998</v>
      </c>
      <c r="G73" s="64">
        <v>27.84</v>
      </c>
      <c r="H73" s="64">
        <v>20.04</v>
      </c>
      <c r="I73" s="64">
        <v>3.46</v>
      </c>
      <c r="J73" s="64">
        <v>0.47</v>
      </c>
      <c r="K73" s="64">
        <v>112.02</v>
      </c>
      <c r="L73" s="64">
        <v>24.97</v>
      </c>
      <c r="M73" s="64">
        <v>14.18</v>
      </c>
      <c r="N73" s="64">
        <v>74</v>
      </c>
      <c r="O73" s="64">
        <v>0</v>
      </c>
      <c r="P73" s="64">
        <v>0.77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4" t="s">
        <v>984</v>
      </c>
      <c r="B74" s="64">
        <v>15.71</v>
      </c>
      <c r="C74" s="64">
        <v>42.67</v>
      </c>
      <c r="D74" s="64">
        <v>34.43</v>
      </c>
      <c r="E74" s="64">
        <v>9.99</v>
      </c>
      <c r="F74" s="64">
        <v>5.01</v>
      </c>
      <c r="G74" s="64">
        <v>15.55</v>
      </c>
      <c r="H74" s="64">
        <v>19.7</v>
      </c>
      <c r="I74" s="64">
        <v>3.19</v>
      </c>
      <c r="J74" s="64">
        <v>0.43</v>
      </c>
      <c r="K74" s="64">
        <v>6.46</v>
      </c>
      <c r="L74" s="64">
        <v>24.71</v>
      </c>
      <c r="M74" s="64">
        <v>18.18</v>
      </c>
      <c r="N74" s="64">
        <v>62.7</v>
      </c>
      <c r="O74" s="64">
        <v>0</v>
      </c>
      <c r="P74" s="64">
        <v>1.19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4" t="s">
        <v>985</v>
      </c>
      <c r="B75" s="64">
        <v>14.71</v>
      </c>
      <c r="C75" s="64">
        <v>47.3</v>
      </c>
      <c r="D75" s="64">
        <v>36.049999999999997</v>
      </c>
      <c r="E75" s="64">
        <v>12.06</v>
      </c>
      <c r="F75" s="64">
        <v>6.79</v>
      </c>
      <c r="G75" s="64">
        <v>15.55</v>
      </c>
      <c r="H75" s="64">
        <v>19.7</v>
      </c>
      <c r="I75" s="64">
        <v>3.07</v>
      </c>
      <c r="J75" s="64">
        <v>0.39</v>
      </c>
      <c r="K75" s="64">
        <v>3.13</v>
      </c>
      <c r="L75" s="64">
        <v>24.02</v>
      </c>
      <c r="M75" s="64">
        <v>19.12</v>
      </c>
      <c r="N75" s="64">
        <v>50.3</v>
      </c>
      <c r="O75" s="64">
        <v>0</v>
      </c>
      <c r="P75" s="64">
        <v>1.26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4" t="s">
        <v>986</v>
      </c>
      <c r="B76" s="64">
        <v>16.46</v>
      </c>
      <c r="C76" s="64">
        <v>43.05</v>
      </c>
      <c r="D76" s="64">
        <v>35.229999999999997</v>
      </c>
      <c r="E76" s="64">
        <v>11.35</v>
      </c>
      <c r="F76" s="64">
        <v>5.82</v>
      </c>
      <c r="G76" s="64">
        <v>15.55</v>
      </c>
      <c r="H76" s="64">
        <v>19.7</v>
      </c>
      <c r="I76" s="64">
        <v>3.11</v>
      </c>
      <c r="J76" s="64">
        <v>0.36</v>
      </c>
      <c r="K76" s="64">
        <v>12.55</v>
      </c>
      <c r="L76" s="64">
        <v>23.27</v>
      </c>
      <c r="M76" s="64">
        <v>19.48</v>
      </c>
      <c r="N76" s="64">
        <v>43.8</v>
      </c>
      <c r="O76" s="64">
        <v>0</v>
      </c>
      <c r="P76" s="64">
        <v>1.31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4" t="s">
        <v>987</v>
      </c>
      <c r="B77" s="64">
        <v>12.34</v>
      </c>
      <c r="C77" s="64">
        <v>49.41</v>
      </c>
      <c r="D77" s="64">
        <v>35.25</v>
      </c>
      <c r="E77" s="64">
        <v>12.07</v>
      </c>
      <c r="F77" s="64">
        <v>6.59</v>
      </c>
      <c r="G77" s="64">
        <v>41.74</v>
      </c>
      <c r="H77" s="64">
        <v>19.989999999999998</v>
      </c>
      <c r="I77" s="64">
        <v>3.29</v>
      </c>
      <c r="J77" s="64">
        <v>0.41</v>
      </c>
      <c r="K77" s="64">
        <v>82.82</v>
      </c>
      <c r="L77" s="64">
        <v>22.82</v>
      </c>
      <c r="M77" s="64">
        <v>19.45</v>
      </c>
      <c r="N77" s="64">
        <v>36.5</v>
      </c>
      <c r="O77" s="64">
        <v>0</v>
      </c>
      <c r="P77" s="64">
        <v>1.36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4" t="s">
        <v>988</v>
      </c>
      <c r="B78" s="64">
        <v>30.54</v>
      </c>
      <c r="C78" s="64">
        <v>40.57</v>
      </c>
      <c r="D78" s="64">
        <v>45.11</v>
      </c>
      <c r="E78" s="64">
        <v>12.63</v>
      </c>
      <c r="F78" s="64">
        <v>7.94</v>
      </c>
      <c r="G78" s="64">
        <v>63.65</v>
      </c>
      <c r="H78" s="64">
        <v>20.2</v>
      </c>
      <c r="I78" s="64">
        <v>3.43</v>
      </c>
      <c r="J78" s="64">
        <v>0.26</v>
      </c>
      <c r="K78" s="64">
        <v>39.450000000000003</v>
      </c>
      <c r="L78" s="64">
        <v>22.23</v>
      </c>
      <c r="M78" s="64">
        <v>23.09</v>
      </c>
      <c r="N78" s="64">
        <v>33.700000000000003</v>
      </c>
      <c r="O78" s="64">
        <v>0</v>
      </c>
      <c r="P78" s="64">
        <v>1.77</v>
      </c>
      <c r="Q78" s="64">
        <v>9.65</v>
      </c>
      <c r="R78" s="198"/>
      <c r="S78" s="198"/>
      <c r="T78" s="198"/>
      <c r="U78" s="198"/>
    </row>
    <row r="79" spans="1:21" s="12" customFormat="1" x14ac:dyDescent="0.25">
      <c r="A79" s="214" t="s">
        <v>989</v>
      </c>
      <c r="B79" s="64">
        <v>31.4</v>
      </c>
      <c r="C79" s="64">
        <v>37.18</v>
      </c>
      <c r="D79" s="64">
        <v>44.14</v>
      </c>
      <c r="E79" s="64">
        <v>8.24</v>
      </c>
      <c r="F79" s="64">
        <v>3.67</v>
      </c>
      <c r="G79" s="64">
        <v>63.65</v>
      </c>
      <c r="H79" s="64">
        <v>20.2</v>
      </c>
      <c r="I79" s="64">
        <v>3.51</v>
      </c>
      <c r="J79" s="64">
        <v>0.26</v>
      </c>
      <c r="K79" s="64">
        <v>284.29000000000002</v>
      </c>
      <c r="L79" s="64">
        <v>20.64</v>
      </c>
      <c r="M79" s="64">
        <v>30.86</v>
      </c>
      <c r="N79" s="64">
        <v>33</v>
      </c>
      <c r="O79" s="64">
        <v>0</v>
      </c>
      <c r="P79" s="64">
        <v>1.74</v>
      </c>
      <c r="Q79" s="64">
        <v>9.65</v>
      </c>
      <c r="R79" s="198"/>
      <c r="S79" s="198"/>
      <c r="T79" s="198"/>
      <c r="U79" s="198"/>
    </row>
    <row r="80" spans="1:21" s="12" customFormat="1" x14ac:dyDescent="0.25">
      <c r="A80" s="214" t="s">
        <v>990</v>
      </c>
      <c r="B80" s="64">
        <v>40.799999999999997</v>
      </c>
      <c r="C80" s="64">
        <v>32.21</v>
      </c>
      <c r="D80" s="64">
        <v>49.08</v>
      </c>
      <c r="E80" s="64">
        <v>7.24</v>
      </c>
      <c r="F80" s="64">
        <v>3.37</v>
      </c>
      <c r="G80" s="64">
        <v>63.65</v>
      </c>
      <c r="H80" s="64">
        <v>20.2</v>
      </c>
      <c r="I80" s="64">
        <v>3.61</v>
      </c>
      <c r="J80" s="64">
        <v>0.25</v>
      </c>
      <c r="K80" s="64">
        <v>137.47</v>
      </c>
      <c r="L80" s="64">
        <v>19.75</v>
      </c>
      <c r="M80" s="64">
        <v>33.46</v>
      </c>
      <c r="N80" s="64">
        <v>32.9</v>
      </c>
      <c r="O80" s="64">
        <v>0</v>
      </c>
      <c r="P80" s="64">
        <v>1.74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4" t="s">
        <v>991</v>
      </c>
      <c r="B81" s="64">
        <v>44.7</v>
      </c>
      <c r="C81" s="64">
        <v>27.91</v>
      </c>
      <c r="D81" s="64">
        <v>49.97</v>
      </c>
      <c r="E81" s="64">
        <v>7.34</v>
      </c>
      <c r="F81" s="64">
        <v>3.25</v>
      </c>
      <c r="G81" s="64">
        <v>98.98</v>
      </c>
      <c r="H81" s="64">
        <v>26.97</v>
      </c>
      <c r="I81" s="64">
        <v>3.74</v>
      </c>
      <c r="J81" s="64">
        <v>0.36</v>
      </c>
      <c r="K81" s="64">
        <v>126.11</v>
      </c>
      <c r="L81" s="64">
        <v>19.27</v>
      </c>
      <c r="M81" s="64">
        <v>35.69</v>
      </c>
      <c r="N81" s="64">
        <v>32.5</v>
      </c>
      <c r="O81" s="64">
        <v>0</v>
      </c>
      <c r="P81" s="64">
        <v>1.72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14" t="s">
        <v>992</v>
      </c>
      <c r="B82" s="64">
        <v>45.26</v>
      </c>
      <c r="C82" s="64">
        <v>24.91</v>
      </c>
      <c r="D82" s="64">
        <v>48.85</v>
      </c>
      <c r="E82" s="64">
        <v>6.84</v>
      </c>
      <c r="F82" s="64">
        <v>3.51</v>
      </c>
      <c r="G82" s="64">
        <v>128.55000000000001</v>
      </c>
      <c r="H82" s="64">
        <v>29.45</v>
      </c>
      <c r="I82" s="64">
        <v>3.88</v>
      </c>
      <c r="J82" s="64">
        <v>0.39</v>
      </c>
      <c r="K82" s="64">
        <v>345.28</v>
      </c>
      <c r="L82" s="64">
        <v>18.809999999999999</v>
      </c>
      <c r="M82" s="64">
        <v>41.16</v>
      </c>
      <c r="N82" s="64">
        <v>32.6</v>
      </c>
      <c r="O82" s="64">
        <v>0</v>
      </c>
      <c r="P82" s="64">
        <v>1.89</v>
      </c>
      <c r="Q82" s="64">
        <v>9.66</v>
      </c>
      <c r="R82" s="198"/>
      <c r="S82" s="198"/>
      <c r="T82" s="198"/>
      <c r="U82" s="198"/>
    </row>
    <row r="83" spans="1:26" s="12" customFormat="1" x14ac:dyDescent="0.25">
      <c r="A83" s="214" t="s">
        <v>993</v>
      </c>
      <c r="B83" s="64">
        <v>41.21</v>
      </c>
      <c r="C83" s="64">
        <v>25.29</v>
      </c>
      <c r="D83" s="64">
        <v>45.8</v>
      </c>
      <c r="E83" s="64">
        <v>6.43</v>
      </c>
      <c r="F83" s="64">
        <v>3.78</v>
      </c>
      <c r="G83" s="64">
        <v>128.55000000000001</v>
      </c>
      <c r="H83" s="64">
        <v>29.45</v>
      </c>
      <c r="I83" s="64">
        <v>4</v>
      </c>
      <c r="J83" s="64">
        <v>0.09</v>
      </c>
      <c r="K83" s="64">
        <v>39.46</v>
      </c>
      <c r="L83" s="64">
        <v>18.260000000000002</v>
      </c>
      <c r="M83" s="64">
        <v>41.25</v>
      </c>
      <c r="N83" s="64">
        <v>32.299999999999997</v>
      </c>
      <c r="O83" s="64">
        <v>0</v>
      </c>
      <c r="P83" s="64">
        <v>1.9</v>
      </c>
      <c r="Q83" s="64">
        <v>9.67</v>
      </c>
      <c r="R83" s="198"/>
      <c r="S83" s="198"/>
      <c r="T83" s="198"/>
      <c r="U83" s="198"/>
    </row>
    <row r="84" spans="1:26" s="12" customFormat="1" x14ac:dyDescent="0.25">
      <c r="A84" s="214" t="s">
        <v>994</v>
      </c>
      <c r="B84" s="64">
        <v>43.45</v>
      </c>
      <c r="C84" s="64">
        <v>20.87</v>
      </c>
      <c r="D84" s="64">
        <v>45.29</v>
      </c>
      <c r="E84" s="64">
        <v>5.99</v>
      </c>
      <c r="F84" s="64">
        <v>3.68</v>
      </c>
      <c r="G84" s="64">
        <v>128.55000000000001</v>
      </c>
      <c r="H84" s="64">
        <v>29.45</v>
      </c>
      <c r="I84" s="64">
        <v>4.17</v>
      </c>
      <c r="J84" s="64">
        <v>0.22</v>
      </c>
      <c r="K84" s="64">
        <v>308.85000000000002</v>
      </c>
      <c r="L84" s="64">
        <v>17.95</v>
      </c>
      <c r="M84" s="64">
        <v>44.95</v>
      </c>
      <c r="N84" s="64">
        <v>32.4</v>
      </c>
      <c r="O84" s="64">
        <v>0</v>
      </c>
      <c r="P84" s="64">
        <v>1.83</v>
      </c>
      <c r="Q84" s="64">
        <v>9.68</v>
      </c>
      <c r="R84" s="198"/>
      <c r="S84" s="198"/>
      <c r="T84" s="198"/>
      <c r="U84" s="198"/>
    </row>
    <row r="85" spans="1:26" s="12" customFormat="1" x14ac:dyDescent="0.25">
      <c r="A85" s="214" t="s">
        <v>995</v>
      </c>
      <c r="B85" s="64">
        <v>34.53</v>
      </c>
      <c r="C85" s="64">
        <v>20.27</v>
      </c>
      <c r="D85" s="64">
        <v>37.82</v>
      </c>
      <c r="E85" s="64">
        <v>5.89</v>
      </c>
      <c r="F85" s="64">
        <v>3.34</v>
      </c>
      <c r="G85" s="64">
        <v>134.30000000000001</v>
      </c>
      <c r="H85" s="64">
        <v>36.92</v>
      </c>
      <c r="I85" s="64">
        <v>4.32</v>
      </c>
      <c r="J85" s="64">
        <v>0.41</v>
      </c>
      <c r="K85" s="64">
        <v>321.83999999999997</v>
      </c>
      <c r="L85" s="64">
        <v>17.61</v>
      </c>
      <c r="M85" s="64">
        <v>48.41</v>
      </c>
      <c r="N85" s="64">
        <v>32.1</v>
      </c>
      <c r="O85" s="64">
        <v>0</v>
      </c>
      <c r="P85" s="64">
        <v>1.43</v>
      </c>
      <c r="Q85" s="64">
        <v>9.69</v>
      </c>
      <c r="R85" s="198"/>
      <c r="S85" s="198"/>
      <c r="T85" s="198"/>
      <c r="U85" s="198"/>
    </row>
    <row r="86" spans="1:26" s="12" customFormat="1" x14ac:dyDescent="0.25">
      <c r="A86" s="214" t="s">
        <v>996</v>
      </c>
      <c r="B86" s="64">
        <v>36.89</v>
      </c>
      <c r="C86" s="64">
        <v>17.940000000000001</v>
      </c>
      <c r="D86" s="64">
        <v>38.49</v>
      </c>
      <c r="E86" s="64">
        <v>5.48</v>
      </c>
      <c r="F86" s="64">
        <v>3.01</v>
      </c>
      <c r="G86" s="64">
        <v>139.12</v>
      </c>
      <c r="H86" s="64">
        <v>39.659999999999997</v>
      </c>
      <c r="I86" s="64">
        <v>4.84</v>
      </c>
      <c r="J86" s="64">
        <v>0.28999999999999998</v>
      </c>
      <c r="K86" s="64">
        <v>38.1</v>
      </c>
      <c r="L86" s="64">
        <v>17.440000000000001</v>
      </c>
      <c r="M86" s="64">
        <v>50.46</v>
      </c>
      <c r="N86" s="64">
        <v>32.4</v>
      </c>
      <c r="O86" s="64">
        <v>0</v>
      </c>
      <c r="P86" s="64">
        <v>1.6</v>
      </c>
      <c r="Q86" s="64">
        <v>9.69</v>
      </c>
      <c r="R86" s="198"/>
      <c r="S86" s="198"/>
      <c r="T86" s="198"/>
      <c r="U86" s="198"/>
    </row>
    <row r="87" spans="1:26" s="12" customFormat="1" x14ac:dyDescent="0.25">
      <c r="A87" s="214" t="s">
        <v>997</v>
      </c>
      <c r="B87" s="64">
        <v>41.79</v>
      </c>
      <c r="C87" s="64">
        <v>15.35</v>
      </c>
      <c r="D87" s="64">
        <v>41.07</v>
      </c>
      <c r="E87" s="64">
        <v>5.95</v>
      </c>
      <c r="F87" s="64">
        <v>3.11</v>
      </c>
      <c r="G87" s="64">
        <v>139.12</v>
      </c>
      <c r="H87" s="64">
        <v>39.659999999999997</v>
      </c>
      <c r="I87" s="64">
        <v>4.83</v>
      </c>
      <c r="J87" s="64">
        <v>0.03</v>
      </c>
      <c r="K87" s="64">
        <v>71.900000000000006</v>
      </c>
      <c r="L87" s="64">
        <v>17.2</v>
      </c>
      <c r="M87" s="64">
        <v>49</v>
      </c>
      <c r="N87" s="64">
        <v>32.1</v>
      </c>
      <c r="O87" s="64">
        <v>0</v>
      </c>
      <c r="P87" s="64">
        <v>1.67</v>
      </c>
      <c r="Q87" s="64">
        <v>9.6999999999999993</v>
      </c>
      <c r="R87" s="198"/>
      <c r="S87" s="198"/>
      <c r="T87" s="198"/>
      <c r="U87" s="198"/>
    </row>
    <row r="88" spans="1:26" s="12" customFormat="1" x14ac:dyDescent="0.25">
      <c r="A88" s="214" t="s">
        <v>998</v>
      </c>
      <c r="B88" s="64">
        <v>43.08</v>
      </c>
      <c r="C88" s="64">
        <v>13.97</v>
      </c>
      <c r="D88" s="64">
        <v>41.38</v>
      </c>
      <c r="E88" s="64">
        <v>5.48</v>
      </c>
      <c r="F88" s="64">
        <v>3.01</v>
      </c>
      <c r="G88" s="64">
        <v>139.12</v>
      </c>
      <c r="H88" s="64">
        <v>39.659999999999997</v>
      </c>
      <c r="I88" s="64">
        <v>4.97</v>
      </c>
      <c r="J88" s="64">
        <v>0.36</v>
      </c>
      <c r="K88" s="64">
        <v>305.95</v>
      </c>
      <c r="L88" s="64">
        <v>16.98</v>
      </c>
      <c r="M88" s="64">
        <v>47.62</v>
      </c>
      <c r="N88" s="64">
        <v>32.299999999999997</v>
      </c>
      <c r="O88" s="64">
        <v>0</v>
      </c>
      <c r="P88" s="64">
        <v>1.74</v>
      </c>
      <c r="Q88" s="64">
        <v>9.7100000000000009</v>
      </c>
      <c r="R88" s="198"/>
      <c r="S88" s="198"/>
      <c r="T88" s="198"/>
      <c r="U88" s="198"/>
    </row>
    <row r="89" spans="1:26" s="12" customFormat="1" x14ac:dyDescent="0.25">
      <c r="A89" s="214" t="s">
        <v>999</v>
      </c>
      <c r="B89" s="64">
        <v>46.17</v>
      </c>
      <c r="C89" s="64">
        <v>12.17</v>
      </c>
      <c r="D89" s="64">
        <v>42.92</v>
      </c>
      <c r="E89" s="64">
        <v>5.54</v>
      </c>
      <c r="F89" s="64">
        <v>3.06</v>
      </c>
      <c r="G89" s="64">
        <v>137.22</v>
      </c>
      <c r="H89" s="64">
        <v>43.03</v>
      </c>
      <c r="I89" s="64">
        <v>5.16</v>
      </c>
      <c r="J89" s="64">
        <v>0.17</v>
      </c>
      <c r="K89" s="64">
        <v>55.48</v>
      </c>
      <c r="L89" s="64">
        <v>16.91</v>
      </c>
      <c r="M89" s="64">
        <v>49.47</v>
      </c>
      <c r="N89" s="64">
        <v>32.200000000000003</v>
      </c>
      <c r="O89" s="64">
        <v>0</v>
      </c>
      <c r="P89" s="64">
        <v>1.83</v>
      </c>
      <c r="Q89" s="64">
        <v>9.7200000000000006</v>
      </c>
      <c r="R89" s="198"/>
      <c r="S89" s="198"/>
      <c r="T89" s="198"/>
      <c r="U89" s="198"/>
    </row>
    <row r="90" spans="1:26" s="12" customFormat="1" x14ac:dyDescent="0.25">
      <c r="A90" s="214" t="s">
        <v>1000</v>
      </c>
      <c r="B90" s="64">
        <v>50.88</v>
      </c>
      <c r="C90" s="64">
        <v>9.58</v>
      </c>
      <c r="D90" s="64">
        <v>45.34</v>
      </c>
      <c r="E90" s="64">
        <v>5.78</v>
      </c>
      <c r="F90" s="64">
        <v>3.14</v>
      </c>
      <c r="G90" s="64">
        <v>135.63</v>
      </c>
      <c r="H90" s="64">
        <v>44.29</v>
      </c>
      <c r="I90" s="64">
        <v>5.35</v>
      </c>
      <c r="J90" s="64">
        <v>0.17</v>
      </c>
      <c r="K90" s="64">
        <v>16.02</v>
      </c>
      <c r="L90" s="64">
        <v>16.7</v>
      </c>
      <c r="M90" s="64">
        <v>51.97</v>
      </c>
      <c r="N90" s="64">
        <v>32.1</v>
      </c>
      <c r="O90" s="64">
        <v>0</v>
      </c>
      <c r="P90" s="64">
        <v>1.93</v>
      </c>
      <c r="Q90" s="64">
        <v>9.7100000000000009</v>
      </c>
      <c r="R90" s="198"/>
      <c r="S90" s="198"/>
      <c r="T90" s="198"/>
      <c r="U90" s="198"/>
    </row>
    <row r="91" spans="1:26" s="12" customFormat="1" x14ac:dyDescent="0.25">
      <c r="A91" s="214" t="s">
        <v>1001</v>
      </c>
      <c r="B91" s="64">
        <v>56.55</v>
      </c>
      <c r="C91" s="64">
        <v>6.7</v>
      </c>
      <c r="D91" s="64">
        <v>48.39</v>
      </c>
      <c r="E91" s="64">
        <v>5.55</v>
      </c>
      <c r="F91" s="64">
        <v>3.08</v>
      </c>
      <c r="G91" s="64">
        <v>135.63</v>
      </c>
      <c r="H91" s="64">
        <v>44.29</v>
      </c>
      <c r="I91" s="64">
        <v>5.55</v>
      </c>
      <c r="J91" s="64">
        <v>0.28000000000000003</v>
      </c>
      <c r="K91" s="64">
        <v>326.17</v>
      </c>
      <c r="L91" s="64">
        <v>16.02</v>
      </c>
      <c r="M91" s="64">
        <v>52.51</v>
      </c>
      <c r="N91" s="64">
        <v>32.1</v>
      </c>
      <c r="O91" s="64">
        <v>0</v>
      </c>
      <c r="P91" s="64">
        <v>2.02</v>
      </c>
      <c r="Q91" s="64">
        <v>9.7200000000000006</v>
      </c>
      <c r="R91" s="198"/>
      <c r="S91" s="198"/>
      <c r="T91" s="198"/>
      <c r="U91" s="198"/>
    </row>
    <row r="92" spans="1:26" s="12" customFormat="1" x14ac:dyDescent="0.25">
      <c r="A92" s="214" t="s">
        <v>1002</v>
      </c>
      <c r="B92" s="64">
        <v>62.23</v>
      </c>
      <c r="C92" s="64">
        <v>3.63</v>
      </c>
      <c r="D92" s="64">
        <v>51.34</v>
      </c>
      <c r="E92" s="64">
        <v>5.76</v>
      </c>
      <c r="F92" s="64">
        <v>2.97</v>
      </c>
      <c r="G92" s="64">
        <v>135.63</v>
      </c>
      <c r="H92" s="64">
        <v>44.29</v>
      </c>
      <c r="I92" s="64">
        <v>5.77</v>
      </c>
      <c r="J92" s="64">
        <v>0.19</v>
      </c>
      <c r="K92" s="64">
        <v>11.5</v>
      </c>
      <c r="L92" s="64">
        <v>16.149999999999999</v>
      </c>
      <c r="M92" s="64">
        <v>52.92</v>
      </c>
      <c r="N92" s="64">
        <v>32.200000000000003</v>
      </c>
      <c r="O92" s="64">
        <v>0</v>
      </c>
      <c r="P92" s="64">
        <v>2.13</v>
      </c>
      <c r="Q92" s="64">
        <v>9.74</v>
      </c>
      <c r="R92" s="198"/>
      <c r="S92" s="198"/>
      <c r="T92" s="198"/>
      <c r="U92" s="198"/>
    </row>
    <row r="93" spans="1:26" s="12" customFormat="1" x14ac:dyDescent="0.25">
      <c r="A93" s="214" t="s">
        <v>1003</v>
      </c>
      <c r="B93" s="64">
        <v>67.56</v>
      </c>
      <c r="C93" s="64">
        <v>0.61</v>
      </c>
      <c r="D93" s="64">
        <v>54</v>
      </c>
      <c r="E93" s="64">
        <v>5.49</v>
      </c>
      <c r="F93" s="64">
        <v>2.84</v>
      </c>
      <c r="G93" s="64">
        <v>133.38</v>
      </c>
      <c r="H93" s="64">
        <v>49.15</v>
      </c>
      <c r="I93" s="64">
        <v>5.98</v>
      </c>
      <c r="J93" s="64">
        <v>0.38</v>
      </c>
      <c r="K93" s="64">
        <v>291.39999999999998</v>
      </c>
      <c r="L93" s="64">
        <v>16.28</v>
      </c>
      <c r="M93" s="64">
        <v>48.68</v>
      </c>
      <c r="N93" s="64">
        <v>32.1</v>
      </c>
      <c r="O93" s="64">
        <v>0</v>
      </c>
      <c r="P93" s="64">
        <v>2.25</v>
      </c>
      <c r="Q93" s="64">
        <v>9.74</v>
      </c>
      <c r="R93" s="198"/>
      <c r="S93" s="198"/>
      <c r="T93" s="198"/>
      <c r="U93" s="198"/>
    </row>
    <row r="94" spans="1:26" s="12" customFormat="1" x14ac:dyDescent="0.25">
      <c r="A94" s="214" t="s">
        <v>1004</v>
      </c>
      <c r="B94" s="64">
        <v>71.69</v>
      </c>
      <c r="C94" s="64">
        <v>0.61</v>
      </c>
      <c r="D94" s="64">
        <v>56.01</v>
      </c>
      <c r="E94" s="64">
        <v>5.69</v>
      </c>
      <c r="F94" s="64">
        <v>2.86</v>
      </c>
      <c r="G94" s="64">
        <v>131.49</v>
      </c>
      <c r="H94" s="64">
        <v>52.52</v>
      </c>
      <c r="I94" s="64">
        <v>6.28</v>
      </c>
      <c r="J94" s="64">
        <v>0.16</v>
      </c>
      <c r="K94" s="64">
        <v>215.88</v>
      </c>
      <c r="L94" s="64">
        <v>16.34</v>
      </c>
      <c r="M94" s="64">
        <v>51.43</v>
      </c>
      <c r="N94" s="64">
        <v>32.1</v>
      </c>
      <c r="O94" s="64">
        <v>0</v>
      </c>
      <c r="P94" s="64">
        <v>2.36</v>
      </c>
      <c r="Q94" s="64">
        <v>9.74</v>
      </c>
      <c r="R94" s="198"/>
      <c r="S94" s="198"/>
      <c r="T94" s="198"/>
      <c r="U94" s="198"/>
    </row>
    <row r="95" spans="1:26" s="12" customFormat="1" x14ac:dyDescent="0.25">
      <c r="A95" s="214" t="s">
        <v>1005</v>
      </c>
      <c r="B95" s="64">
        <v>77.28</v>
      </c>
      <c r="C95" s="64">
        <v>0.61</v>
      </c>
      <c r="D95" s="64">
        <v>58.67</v>
      </c>
      <c r="E95" s="64">
        <v>5.88</v>
      </c>
      <c r="F95" s="64">
        <v>2.78</v>
      </c>
      <c r="G95" s="64">
        <v>131.49</v>
      </c>
      <c r="H95" s="64">
        <v>52.52</v>
      </c>
      <c r="I95" s="64">
        <v>6.49</v>
      </c>
      <c r="J95" s="64">
        <v>0.39</v>
      </c>
      <c r="K95" s="64">
        <v>273.91000000000003</v>
      </c>
      <c r="L95" s="64">
        <v>16.29</v>
      </c>
      <c r="M95" s="64">
        <v>51.11</v>
      </c>
      <c r="N95" s="64">
        <v>32.299999999999997</v>
      </c>
      <c r="O95" s="64">
        <v>0</v>
      </c>
      <c r="P95" s="64">
        <v>2.4500000000000002</v>
      </c>
      <c r="Q95" s="64">
        <v>9.76</v>
      </c>
      <c r="R95" s="198"/>
      <c r="S95" s="198"/>
      <c r="T95" s="198"/>
      <c r="U95" s="198"/>
    </row>
    <row r="96" spans="1:26" s="12" customFormat="1" x14ac:dyDescent="0.25">
      <c r="A96" s="214" t="s">
        <v>1006</v>
      </c>
      <c r="B96" s="64">
        <v>81.569999999999993</v>
      </c>
      <c r="C96" s="64">
        <v>0.61</v>
      </c>
      <c r="D96" s="64">
        <v>60.86</v>
      </c>
      <c r="E96" s="64">
        <v>5.57</v>
      </c>
      <c r="F96" s="64">
        <v>2.65</v>
      </c>
      <c r="G96" s="64">
        <v>131.49</v>
      </c>
      <c r="H96" s="64">
        <v>52.52</v>
      </c>
      <c r="I96" s="64">
        <v>7.17</v>
      </c>
      <c r="J96" s="64">
        <v>0.41</v>
      </c>
      <c r="K96" s="64">
        <v>251.3</v>
      </c>
      <c r="L96" s="64">
        <v>16.079999999999998</v>
      </c>
      <c r="M96" s="64">
        <v>55.32</v>
      </c>
      <c r="N96" s="64">
        <v>32.299999999999997</v>
      </c>
      <c r="O96" s="64">
        <v>0</v>
      </c>
      <c r="P96" s="64">
        <v>2.5099999999999998</v>
      </c>
      <c r="Q96" s="64">
        <v>9.76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1007</v>
      </c>
      <c r="B97" s="64">
        <v>85.34</v>
      </c>
      <c r="C97" s="64">
        <v>0.61</v>
      </c>
      <c r="D97" s="64">
        <v>62.89</v>
      </c>
      <c r="E97" s="64">
        <v>5.95</v>
      </c>
      <c r="F97" s="64">
        <v>2.4300000000000002</v>
      </c>
      <c r="G97" s="64">
        <v>142.08000000000001</v>
      </c>
      <c r="H97" s="64">
        <v>53.22</v>
      </c>
      <c r="I97" s="64">
        <v>6.98</v>
      </c>
      <c r="J97" s="64">
        <v>0.46</v>
      </c>
      <c r="K97" s="64">
        <v>328.01</v>
      </c>
      <c r="L97" s="64">
        <v>15.45</v>
      </c>
      <c r="M97" s="64">
        <v>62.49</v>
      </c>
      <c r="N97" s="64">
        <v>32.6</v>
      </c>
      <c r="O97" s="64">
        <v>0</v>
      </c>
      <c r="P97" s="64">
        <v>2.59</v>
      </c>
      <c r="Q97" s="64">
        <v>9.77</v>
      </c>
      <c r="R97" s="198"/>
      <c r="S97" s="198"/>
      <c r="T97" s="198"/>
      <c r="U97" s="198"/>
    </row>
    <row r="98" spans="1:33" s="12" customFormat="1" x14ac:dyDescent="0.25">
      <c r="A98" s="214" t="s">
        <v>1008</v>
      </c>
      <c r="B98" s="64">
        <v>89.18</v>
      </c>
      <c r="C98" s="64">
        <v>0.61</v>
      </c>
      <c r="D98" s="64">
        <v>64.69</v>
      </c>
      <c r="E98" s="64">
        <v>6.12</v>
      </c>
      <c r="F98" s="64">
        <v>2.75</v>
      </c>
      <c r="G98" s="64">
        <v>150.94</v>
      </c>
      <c r="H98" s="64">
        <v>53.5</v>
      </c>
      <c r="I98" s="64">
        <v>6.9</v>
      </c>
      <c r="J98" s="64">
        <v>0.32</v>
      </c>
      <c r="K98" s="64">
        <v>310.69</v>
      </c>
      <c r="L98" s="64">
        <v>14.99</v>
      </c>
      <c r="M98" s="64">
        <v>67.38</v>
      </c>
      <c r="N98" s="64">
        <v>32.299999999999997</v>
      </c>
      <c r="O98" s="64">
        <v>0</v>
      </c>
      <c r="P98" s="64">
        <v>2.68</v>
      </c>
      <c r="Q98" s="64">
        <v>9.77</v>
      </c>
      <c r="R98" s="198"/>
      <c r="S98" s="198"/>
      <c r="T98" s="198"/>
      <c r="U98" s="198"/>
    </row>
    <row r="99" spans="1:33" s="12" customFormat="1" x14ac:dyDescent="0.25">
      <c r="A99" s="214" t="s">
        <v>1009</v>
      </c>
      <c r="B99" s="64">
        <v>91.32</v>
      </c>
      <c r="C99" s="64">
        <v>0.61</v>
      </c>
      <c r="D99" s="64">
        <v>65.53</v>
      </c>
      <c r="E99" s="64">
        <v>6.24</v>
      </c>
      <c r="F99" s="64">
        <v>2.87</v>
      </c>
      <c r="G99" s="64">
        <v>150.94</v>
      </c>
      <c r="H99" s="64">
        <v>53.5</v>
      </c>
      <c r="I99" s="64">
        <v>7.03</v>
      </c>
      <c r="J99" s="64">
        <v>0.38</v>
      </c>
      <c r="K99" s="64">
        <v>274.31</v>
      </c>
      <c r="L99" s="64">
        <v>14.86</v>
      </c>
      <c r="M99" s="64">
        <v>65.36</v>
      </c>
      <c r="N99" s="64">
        <v>32.299999999999997</v>
      </c>
      <c r="O99" s="64">
        <v>0</v>
      </c>
      <c r="P99" s="64">
        <v>2.72</v>
      </c>
      <c r="Q99" s="64">
        <v>9.7799999999999994</v>
      </c>
      <c r="R99" s="198"/>
      <c r="S99" s="198"/>
      <c r="T99" s="198"/>
      <c r="U99" s="198"/>
    </row>
    <row r="100" spans="1:33" s="12" customFormat="1" x14ac:dyDescent="0.25">
      <c r="A100" s="214" t="s">
        <v>1010</v>
      </c>
      <c r="B100" s="64">
        <v>91.89</v>
      </c>
      <c r="C100" s="64">
        <v>0.61</v>
      </c>
      <c r="D100" s="64">
        <v>65.48</v>
      </c>
      <c r="E100" s="64">
        <v>6.2</v>
      </c>
      <c r="F100" s="64">
        <v>2.86</v>
      </c>
      <c r="G100" s="64">
        <v>150.94</v>
      </c>
      <c r="H100" s="64">
        <v>53.5</v>
      </c>
      <c r="I100" s="64">
        <v>7.14</v>
      </c>
      <c r="J100" s="64">
        <v>0.39</v>
      </c>
      <c r="K100" s="64">
        <v>282.48</v>
      </c>
      <c r="L100" s="64">
        <v>14.82</v>
      </c>
      <c r="M100" s="64">
        <v>65.97</v>
      </c>
      <c r="N100" s="64">
        <v>32.299999999999997</v>
      </c>
      <c r="O100" s="64">
        <v>0</v>
      </c>
      <c r="P100" s="64">
        <v>2.73</v>
      </c>
      <c r="Q100" s="64">
        <v>9.8000000000000007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1011</v>
      </c>
      <c r="B101" s="64">
        <v>91.84</v>
      </c>
      <c r="C101" s="64">
        <v>0.61</v>
      </c>
      <c r="D101" s="64">
        <v>65.180000000000007</v>
      </c>
      <c r="E101" s="64">
        <v>6.26</v>
      </c>
      <c r="F101" s="64">
        <v>2.68</v>
      </c>
      <c r="G101" s="64">
        <v>147.75</v>
      </c>
      <c r="H101" s="64">
        <v>57.29</v>
      </c>
      <c r="I101" s="64">
        <v>1.9</v>
      </c>
      <c r="J101" s="64">
        <v>0.14000000000000001</v>
      </c>
      <c r="K101" s="64">
        <v>316.64999999999998</v>
      </c>
      <c r="L101" s="64">
        <v>14.55</v>
      </c>
      <c r="M101" s="64">
        <v>70.56</v>
      </c>
      <c r="N101" s="64">
        <v>32.1</v>
      </c>
      <c r="O101" s="64">
        <v>0</v>
      </c>
      <c r="P101" s="64">
        <v>2.73</v>
      </c>
      <c r="Q101" s="64">
        <v>9.7899999999999991</v>
      </c>
      <c r="R101" s="198"/>
      <c r="S101" s="198"/>
      <c r="T101" s="198"/>
      <c r="U101" s="198"/>
    </row>
    <row r="102" spans="1:33" s="12" customFormat="1" x14ac:dyDescent="0.25">
      <c r="A102" s="214" t="s">
        <v>1012</v>
      </c>
      <c r="B102" s="64">
        <v>95.33</v>
      </c>
      <c r="C102" s="64">
        <v>0.61</v>
      </c>
      <c r="D102" s="64">
        <v>66.83</v>
      </c>
      <c r="E102" s="64">
        <v>6.24</v>
      </c>
      <c r="F102" s="64">
        <v>2.98</v>
      </c>
      <c r="G102" s="64">
        <v>145.07</v>
      </c>
      <c r="H102" s="64">
        <v>58.68</v>
      </c>
      <c r="I102" s="64">
        <v>0.1</v>
      </c>
      <c r="J102" s="64">
        <v>0.19</v>
      </c>
      <c r="K102" s="64">
        <v>271.61</v>
      </c>
      <c r="L102" s="64">
        <v>14.29</v>
      </c>
      <c r="M102" s="64">
        <v>74.72</v>
      </c>
      <c r="N102" s="64">
        <v>32.299999999999997</v>
      </c>
      <c r="O102" s="64">
        <v>0</v>
      </c>
      <c r="P102" s="64">
        <v>2.76</v>
      </c>
      <c r="Q102" s="64">
        <v>9.81</v>
      </c>
      <c r="R102" s="198"/>
      <c r="S102" s="198"/>
      <c r="T102" s="198"/>
      <c r="U102" s="198"/>
    </row>
    <row r="103" spans="1:33" s="12" customFormat="1" x14ac:dyDescent="0.25">
      <c r="A103" s="214" t="s">
        <v>1013</v>
      </c>
      <c r="B103" s="64">
        <v>99.46</v>
      </c>
      <c r="C103" s="64">
        <v>0.61</v>
      </c>
      <c r="D103" s="64">
        <v>68.69</v>
      </c>
      <c r="E103" s="64">
        <v>5.99</v>
      </c>
      <c r="F103" s="64">
        <v>2.87</v>
      </c>
      <c r="G103" s="64">
        <v>145.07</v>
      </c>
      <c r="H103" s="64">
        <v>58.68</v>
      </c>
      <c r="I103" s="64">
        <v>0.1</v>
      </c>
      <c r="J103" s="64">
        <v>0.23</v>
      </c>
      <c r="K103" s="64">
        <v>316.56</v>
      </c>
      <c r="L103" s="64">
        <v>14.15</v>
      </c>
      <c r="M103" s="64">
        <v>75.25</v>
      </c>
      <c r="N103" s="64">
        <v>32.200000000000003</v>
      </c>
      <c r="O103" s="64">
        <v>0</v>
      </c>
      <c r="P103" s="64">
        <v>2.77</v>
      </c>
      <c r="Q103" s="64">
        <v>9.7899999999999991</v>
      </c>
      <c r="R103" s="198"/>
      <c r="S103" s="198"/>
      <c r="T103" s="198"/>
      <c r="U103" s="198"/>
    </row>
    <row r="104" spans="1:33" s="12" customFormat="1" x14ac:dyDescent="0.25">
      <c r="A104" s="214" t="s">
        <v>1014</v>
      </c>
      <c r="B104" s="64">
        <v>101.85</v>
      </c>
      <c r="C104" s="64">
        <v>0.61</v>
      </c>
      <c r="D104" s="64">
        <v>69.52</v>
      </c>
      <c r="E104" s="64">
        <v>4.6500000000000004</v>
      </c>
      <c r="F104" s="64">
        <v>3.12</v>
      </c>
      <c r="G104" s="64">
        <v>145.07</v>
      </c>
      <c r="H104" s="64">
        <v>58.68</v>
      </c>
      <c r="I104" s="64">
        <v>0.1</v>
      </c>
      <c r="J104" s="64">
        <v>0.09</v>
      </c>
      <c r="K104" s="64">
        <v>94.47</v>
      </c>
      <c r="L104" s="64">
        <v>13.95</v>
      </c>
      <c r="M104" s="64">
        <v>76.38</v>
      </c>
      <c r="N104" s="64">
        <v>32.1</v>
      </c>
      <c r="O104" s="64">
        <v>0</v>
      </c>
      <c r="P104" s="64">
        <v>2.74</v>
      </c>
      <c r="Q104" s="64">
        <v>9.8000000000000007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</v>
      </c>
      <c r="C106" s="67">
        <f>MIN(C9:C104)</f>
        <v>0.61</v>
      </c>
      <c r="D106" s="67">
        <f t="shared" ref="D106:Q106" si="0">MIN(D9:D104)</f>
        <v>18.489999999999998</v>
      </c>
      <c r="E106" s="67">
        <f t="shared" si="0"/>
        <v>4.6500000000000004</v>
      </c>
      <c r="F106" s="67">
        <f t="shared" si="0"/>
        <v>2.4300000000000002</v>
      </c>
      <c r="G106" s="67">
        <f t="shared" si="0"/>
        <v>15.55</v>
      </c>
      <c r="H106" s="67">
        <f t="shared" si="0"/>
        <v>19.7</v>
      </c>
      <c r="I106" s="67">
        <f t="shared" si="0"/>
        <v>0.1</v>
      </c>
      <c r="J106" s="67">
        <f t="shared" si="0"/>
        <v>0.03</v>
      </c>
      <c r="K106" s="67">
        <f t="shared" si="0"/>
        <v>3.13</v>
      </c>
      <c r="L106" s="67">
        <f t="shared" si="0"/>
        <v>10.67</v>
      </c>
      <c r="M106" s="67">
        <f t="shared" si="0"/>
        <v>10.77</v>
      </c>
      <c r="N106" s="67">
        <f t="shared" si="0"/>
        <v>31.5</v>
      </c>
      <c r="O106" s="67">
        <f t="shared" si="0"/>
        <v>0</v>
      </c>
      <c r="P106" s="67">
        <f t="shared" si="0"/>
        <v>0.77</v>
      </c>
      <c r="Q106" s="67">
        <f t="shared" si="0"/>
        <v>9.61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145.33000000000001</v>
      </c>
      <c r="C107" s="66">
        <f t="shared" ref="C107:Q107" si="1">MAX(C9:C104)</f>
        <v>49.41</v>
      </c>
      <c r="D107" s="66">
        <f t="shared" si="1"/>
        <v>94.13</v>
      </c>
      <c r="E107" s="66">
        <f t="shared" si="1"/>
        <v>26.86</v>
      </c>
      <c r="F107" s="66">
        <f t="shared" si="1"/>
        <v>17.239999999999998</v>
      </c>
      <c r="G107" s="66">
        <f t="shared" si="1"/>
        <v>191.91</v>
      </c>
      <c r="H107" s="66">
        <f t="shared" si="1"/>
        <v>63.82</v>
      </c>
      <c r="I107" s="66">
        <f t="shared" si="1"/>
        <v>8.26</v>
      </c>
      <c r="J107" s="66">
        <f t="shared" si="1"/>
        <v>1.36</v>
      </c>
      <c r="K107" s="66">
        <f t="shared" si="1"/>
        <v>356.19</v>
      </c>
      <c r="L107" s="66">
        <f t="shared" si="1"/>
        <v>31.02</v>
      </c>
      <c r="M107" s="66">
        <f t="shared" si="1"/>
        <v>98.33</v>
      </c>
      <c r="N107" s="66">
        <f t="shared" si="1"/>
        <v>584.6</v>
      </c>
      <c r="O107" s="66">
        <f t="shared" si="1"/>
        <v>0</v>
      </c>
      <c r="P107" s="66">
        <f t="shared" si="1"/>
        <v>3.07</v>
      </c>
      <c r="Q107" s="66">
        <f t="shared" si="1"/>
        <v>9.9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60.323437500000011</v>
      </c>
      <c r="C108" s="67">
        <f t="shared" ref="C108:Q108" si="2">AVERAGE(C9:C104)</f>
        <v>16.822166666666668</v>
      </c>
      <c r="D108" s="67">
        <f t="shared" si="2"/>
        <v>48.917291666666671</v>
      </c>
      <c r="E108" s="67">
        <f t="shared" si="2"/>
        <v>7.8697916666666687</v>
      </c>
      <c r="F108" s="67">
        <f t="shared" si="2"/>
        <v>4.5830208333333324</v>
      </c>
      <c r="G108" s="67">
        <f t="shared" si="2"/>
        <v>101.30906249999998</v>
      </c>
      <c r="H108" s="67">
        <f t="shared" si="2"/>
        <v>43.107395833333321</v>
      </c>
      <c r="I108" s="67">
        <f t="shared" si="2"/>
        <v>5.6009375000000006</v>
      </c>
      <c r="J108" s="67">
        <f t="shared" si="2"/>
        <v>0.39552083333333338</v>
      </c>
      <c r="K108" s="67">
        <f t="shared" si="2"/>
        <v>235.00541666666675</v>
      </c>
      <c r="L108" s="67">
        <f t="shared" si="2"/>
        <v>19.033333333333335</v>
      </c>
      <c r="M108" s="67">
        <f t="shared" si="2"/>
        <v>52.892395833333346</v>
      </c>
      <c r="N108" s="67">
        <f t="shared" si="2"/>
        <v>156.91666666666666</v>
      </c>
      <c r="O108" s="67">
        <f t="shared" si="2"/>
        <v>0</v>
      </c>
      <c r="P108" s="67">
        <f t="shared" si="2"/>
        <v>1.8640625000000002</v>
      </c>
      <c r="Q108" s="67">
        <f t="shared" si="2"/>
        <v>9.7194791666666642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33.766765000300587</v>
      </c>
      <c r="C109" s="67">
        <f t="shared" ref="C109:Q109" si="3">STDEV(C9:C104)</f>
        <v>13.55505235617078</v>
      </c>
      <c r="D109" s="67">
        <f t="shared" si="3"/>
        <v>16.660447929731625</v>
      </c>
      <c r="E109" s="67">
        <f t="shared" si="3"/>
        <v>4.2191595519204261</v>
      </c>
      <c r="F109" s="67">
        <f t="shared" si="3"/>
        <v>3.4950964506807822</v>
      </c>
      <c r="G109" s="67">
        <f t="shared" si="3"/>
        <v>44.99178928785097</v>
      </c>
      <c r="H109" s="67">
        <f t="shared" si="3"/>
        <v>14.189056067769263</v>
      </c>
      <c r="I109" s="67">
        <f t="shared" si="3"/>
        <v>1.8029525948317477</v>
      </c>
      <c r="J109" s="67">
        <f t="shared" si="3"/>
        <v>0.27745410162542539</v>
      </c>
      <c r="K109" s="67">
        <f t="shared" si="3"/>
        <v>109.3210986899232</v>
      </c>
      <c r="L109" s="67">
        <f t="shared" si="3"/>
        <v>6.6550195802893768</v>
      </c>
      <c r="M109" s="67">
        <f t="shared" si="3"/>
        <v>32.155467333918786</v>
      </c>
      <c r="N109" s="67">
        <f t="shared" si="3"/>
        <v>199.36243887725627</v>
      </c>
      <c r="O109" s="67">
        <f t="shared" si="3"/>
        <v>0</v>
      </c>
      <c r="P109" s="67">
        <f t="shared" si="3"/>
        <v>0.55586741721953603</v>
      </c>
      <c r="Q109" s="67">
        <f t="shared" si="3"/>
        <v>6.4683354918470104E-2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COUNT(C9:C104)+36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1" sqref="C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1015</v>
      </c>
      <c r="B9" s="64">
        <v>102.63</v>
      </c>
      <c r="C9" s="6" t="s">
        <v>42</v>
      </c>
      <c r="D9" s="64">
        <v>69.66</v>
      </c>
      <c r="E9" s="64">
        <v>5.09</v>
      </c>
      <c r="F9" s="64">
        <v>3.1</v>
      </c>
      <c r="G9" s="64">
        <v>148.66999999999999</v>
      </c>
      <c r="H9" s="64">
        <v>58.68</v>
      </c>
      <c r="I9" s="64">
        <v>0.1</v>
      </c>
      <c r="J9" s="64">
        <v>0.1</v>
      </c>
      <c r="K9" s="64">
        <v>231.58</v>
      </c>
      <c r="L9" s="64">
        <v>13.74</v>
      </c>
      <c r="M9" s="64">
        <v>81.819999999999993</v>
      </c>
      <c r="N9" s="64">
        <v>32.1</v>
      </c>
      <c r="O9" s="64">
        <v>0</v>
      </c>
      <c r="P9" s="64">
        <v>2.71</v>
      </c>
      <c r="Q9" s="64">
        <v>9.7799999999999994</v>
      </c>
      <c r="R9" s="198"/>
      <c r="S9" s="198"/>
      <c r="T9" s="198"/>
      <c r="U9" s="198"/>
    </row>
    <row r="10" spans="1:21" s="12" customFormat="1" x14ac:dyDescent="0.25">
      <c r="A10" s="214" t="s">
        <v>1016</v>
      </c>
      <c r="B10" s="64">
        <v>102.53</v>
      </c>
      <c r="C10" s="6" t="s">
        <v>42</v>
      </c>
      <c r="D10" s="64">
        <v>69.31</v>
      </c>
      <c r="E10" s="64">
        <v>4.75</v>
      </c>
      <c r="F10" s="64">
        <v>2.95</v>
      </c>
      <c r="G10" s="64">
        <v>151.66999999999999</v>
      </c>
      <c r="H10" s="64">
        <v>58.68</v>
      </c>
      <c r="I10" s="64">
        <v>0.1</v>
      </c>
      <c r="J10" s="64">
        <v>0.11</v>
      </c>
      <c r="K10" s="64">
        <v>156.54</v>
      </c>
      <c r="L10" s="64">
        <v>13.55</v>
      </c>
      <c r="M10" s="64">
        <v>82.79</v>
      </c>
      <c r="N10" s="64">
        <v>32.200000000000003</v>
      </c>
      <c r="O10" s="64">
        <v>0</v>
      </c>
      <c r="P10" s="64">
        <v>2.69</v>
      </c>
      <c r="Q10" s="64">
        <v>9.7899999999999991</v>
      </c>
      <c r="R10" s="198"/>
      <c r="S10" s="198"/>
      <c r="T10" s="198"/>
      <c r="U10" s="198"/>
    </row>
    <row r="11" spans="1:21" s="12" customFormat="1" x14ac:dyDescent="0.25">
      <c r="A11" s="214" t="s">
        <v>1017</v>
      </c>
      <c r="B11" s="64">
        <v>101.57</v>
      </c>
      <c r="C11" s="6" t="s">
        <v>42</v>
      </c>
      <c r="D11" s="64">
        <v>68.64</v>
      </c>
      <c r="E11" s="64">
        <v>4.53</v>
      </c>
      <c r="F11" s="64">
        <v>2.93</v>
      </c>
      <c r="G11" s="64">
        <v>151.66999999999999</v>
      </c>
      <c r="H11" s="64">
        <v>58.68</v>
      </c>
      <c r="I11" s="64">
        <v>0.1</v>
      </c>
      <c r="J11" s="64">
        <v>0.3</v>
      </c>
      <c r="K11" s="64">
        <v>279.07</v>
      </c>
      <c r="L11" s="64">
        <v>13.43</v>
      </c>
      <c r="M11" s="64">
        <v>75.3</v>
      </c>
      <c r="N11" s="64">
        <v>32.1</v>
      </c>
      <c r="O11" s="64">
        <v>0</v>
      </c>
      <c r="P11" s="64">
        <v>2.67</v>
      </c>
      <c r="Q11" s="64">
        <v>9.8000000000000007</v>
      </c>
      <c r="R11" s="198"/>
      <c r="S11" s="198"/>
      <c r="T11" s="198"/>
      <c r="U11" s="198"/>
    </row>
    <row r="12" spans="1:21" s="12" customFormat="1" x14ac:dyDescent="0.25">
      <c r="A12" s="214" t="s">
        <v>1018</v>
      </c>
      <c r="B12" s="64">
        <v>99.32</v>
      </c>
      <c r="C12" s="6" t="s">
        <v>42</v>
      </c>
      <c r="D12" s="64">
        <v>67.2</v>
      </c>
      <c r="E12" s="64">
        <v>4.91</v>
      </c>
      <c r="F12" s="64">
        <v>2.9</v>
      </c>
      <c r="G12" s="64">
        <v>151.66999999999999</v>
      </c>
      <c r="H12" s="64">
        <v>58.68</v>
      </c>
      <c r="I12" s="64">
        <v>0.1</v>
      </c>
      <c r="J12" s="64">
        <v>0.37</v>
      </c>
      <c r="K12" s="64">
        <v>211.85</v>
      </c>
      <c r="L12" s="64">
        <v>13.13</v>
      </c>
      <c r="M12" s="64">
        <v>74.64</v>
      </c>
      <c r="N12" s="64">
        <v>32.1</v>
      </c>
      <c r="O12" s="64">
        <v>0</v>
      </c>
      <c r="P12" s="64">
        <v>2.62</v>
      </c>
      <c r="Q12" s="64">
        <v>9.7899999999999991</v>
      </c>
      <c r="R12" s="198"/>
      <c r="S12" s="198"/>
      <c r="T12" s="198"/>
      <c r="U12" s="198"/>
    </row>
    <row r="13" spans="1:21" s="12" customFormat="1" x14ac:dyDescent="0.25">
      <c r="A13" s="214" t="s">
        <v>1019</v>
      </c>
      <c r="B13" s="64">
        <v>95.9</v>
      </c>
      <c r="C13" s="6" t="s">
        <v>42</v>
      </c>
      <c r="D13" s="64">
        <v>65.239999999999995</v>
      </c>
      <c r="E13" s="64">
        <v>4.92</v>
      </c>
      <c r="F13" s="64">
        <v>2.93</v>
      </c>
      <c r="G13" s="64">
        <v>138.47999999999999</v>
      </c>
      <c r="H13" s="64">
        <v>58.61</v>
      </c>
      <c r="I13" s="64">
        <v>0.1</v>
      </c>
      <c r="J13" s="64">
        <v>0.36</v>
      </c>
      <c r="K13" s="64">
        <v>272.16000000000003</v>
      </c>
      <c r="L13" s="64">
        <v>12.95</v>
      </c>
      <c r="M13" s="64">
        <v>73.41</v>
      </c>
      <c r="N13" s="64">
        <v>32.200000000000003</v>
      </c>
      <c r="O13" s="64">
        <v>0</v>
      </c>
      <c r="P13" s="64">
        <v>2.2999999999999998</v>
      </c>
      <c r="Q13" s="64">
        <v>9.7799999999999994</v>
      </c>
      <c r="R13" s="198"/>
      <c r="S13" s="198"/>
      <c r="T13" s="198"/>
      <c r="U13" s="198"/>
    </row>
    <row r="14" spans="1:21" s="12" customFormat="1" x14ac:dyDescent="0.25">
      <c r="A14" s="214" t="s">
        <v>1020</v>
      </c>
      <c r="B14" s="64">
        <v>92.32</v>
      </c>
      <c r="C14" s="6" t="s">
        <v>42</v>
      </c>
      <c r="D14" s="64">
        <v>63.29</v>
      </c>
      <c r="E14" s="64">
        <v>4.59</v>
      </c>
      <c r="F14" s="64">
        <v>2.94</v>
      </c>
      <c r="G14" s="64">
        <v>127.43</v>
      </c>
      <c r="H14" s="64">
        <v>58.56</v>
      </c>
      <c r="I14" s="64">
        <v>0.1</v>
      </c>
      <c r="J14" s="64">
        <v>0.04</v>
      </c>
      <c r="K14" s="64">
        <v>65.040000000000006</v>
      </c>
      <c r="L14" s="64">
        <v>12.56</v>
      </c>
      <c r="M14" s="64">
        <v>79.64</v>
      </c>
      <c r="N14" s="64">
        <v>32.4</v>
      </c>
      <c r="O14" s="64">
        <v>0</v>
      </c>
      <c r="P14" s="64">
        <v>2.34</v>
      </c>
      <c r="Q14" s="64">
        <v>9.76</v>
      </c>
      <c r="R14" s="198"/>
      <c r="S14" s="198"/>
      <c r="T14" s="198"/>
      <c r="U14" s="198"/>
    </row>
    <row r="15" spans="1:21" s="12" customFormat="1" x14ac:dyDescent="0.25">
      <c r="A15" s="214" t="s">
        <v>1021</v>
      </c>
      <c r="B15" s="64">
        <v>89.28</v>
      </c>
      <c r="C15" s="6" t="s">
        <v>42</v>
      </c>
      <c r="D15" s="64">
        <v>61.58</v>
      </c>
      <c r="E15" s="64">
        <v>4.68</v>
      </c>
      <c r="F15" s="64">
        <v>2.93</v>
      </c>
      <c r="G15" s="64">
        <v>127.43</v>
      </c>
      <c r="H15" s="64">
        <v>58.56</v>
      </c>
      <c r="I15" s="64">
        <v>0.1</v>
      </c>
      <c r="J15" s="64">
        <v>0.26</v>
      </c>
      <c r="K15" s="64">
        <v>264.61</v>
      </c>
      <c r="L15" s="64">
        <v>12.29</v>
      </c>
      <c r="M15" s="64">
        <v>84.22</v>
      </c>
      <c r="N15" s="64">
        <v>32.1</v>
      </c>
      <c r="O15" s="64">
        <v>0</v>
      </c>
      <c r="P15" s="64">
        <v>2.2599999999999998</v>
      </c>
      <c r="Q15" s="64">
        <v>9.76</v>
      </c>
      <c r="R15" s="198"/>
      <c r="S15" s="198"/>
      <c r="T15" s="198"/>
      <c r="U15" s="198"/>
    </row>
    <row r="16" spans="1:21" s="12" customFormat="1" x14ac:dyDescent="0.25">
      <c r="A16" s="214" t="s">
        <v>1022</v>
      </c>
      <c r="B16" s="64">
        <v>86.05</v>
      </c>
      <c r="C16" s="6" t="s">
        <v>42</v>
      </c>
      <c r="D16" s="64">
        <v>59.75</v>
      </c>
      <c r="E16" s="64">
        <v>4.59</v>
      </c>
      <c r="F16" s="64">
        <v>2.92</v>
      </c>
      <c r="G16" s="64">
        <v>127.43</v>
      </c>
      <c r="H16" s="64">
        <v>58.56</v>
      </c>
      <c r="I16" s="64">
        <v>0.1</v>
      </c>
      <c r="J16" s="64">
        <v>0.41</v>
      </c>
      <c r="K16" s="64">
        <v>318.83999999999997</v>
      </c>
      <c r="L16" s="64">
        <v>12.05</v>
      </c>
      <c r="M16" s="64">
        <v>85.88</v>
      </c>
      <c r="N16" s="64">
        <v>32.299999999999997</v>
      </c>
      <c r="O16" s="64">
        <v>0</v>
      </c>
      <c r="P16" s="64">
        <v>2.1800000000000002</v>
      </c>
      <c r="Q16" s="64">
        <v>9.75</v>
      </c>
      <c r="R16" s="198"/>
      <c r="S16" s="198"/>
      <c r="T16" s="198"/>
      <c r="U16" s="198"/>
    </row>
    <row r="17" spans="1:21" s="12" customFormat="1" x14ac:dyDescent="0.25">
      <c r="A17" s="214" t="s">
        <v>1023</v>
      </c>
      <c r="B17" s="64">
        <v>82.52</v>
      </c>
      <c r="C17" s="6" t="s">
        <v>42</v>
      </c>
      <c r="D17" s="64">
        <v>57.7</v>
      </c>
      <c r="E17" s="64">
        <v>4.51</v>
      </c>
      <c r="F17" s="64">
        <v>2.96</v>
      </c>
      <c r="G17" s="64">
        <v>114.6</v>
      </c>
      <c r="H17" s="64">
        <v>52.14</v>
      </c>
      <c r="I17" s="64">
        <v>0.1</v>
      </c>
      <c r="J17" s="64">
        <v>0.4</v>
      </c>
      <c r="K17" s="64">
        <v>302.79000000000002</v>
      </c>
      <c r="L17" s="64">
        <v>11.87</v>
      </c>
      <c r="M17" s="64">
        <v>87.2</v>
      </c>
      <c r="N17" s="64">
        <v>32.1</v>
      </c>
      <c r="O17" s="64">
        <v>0</v>
      </c>
      <c r="P17" s="64">
        <v>2.11</v>
      </c>
      <c r="Q17" s="64">
        <v>9.74</v>
      </c>
      <c r="R17" s="198"/>
      <c r="S17" s="198"/>
      <c r="T17" s="198"/>
      <c r="U17" s="198"/>
    </row>
    <row r="18" spans="1:21" s="12" customFormat="1" x14ac:dyDescent="0.25">
      <c r="A18" s="214" t="s">
        <v>1024</v>
      </c>
      <c r="B18" s="64">
        <v>79.37</v>
      </c>
      <c r="C18" s="6" t="s">
        <v>42</v>
      </c>
      <c r="D18" s="64">
        <v>56.12</v>
      </c>
      <c r="E18" s="64">
        <v>4.58</v>
      </c>
      <c r="F18" s="64">
        <v>3.01</v>
      </c>
      <c r="G18" s="64">
        <v>103.87</v>
      </c>
      <c r="H18" s="64">
        <v>49.65</v>
      </c>
      <c r="I18" s="64">
        <v>0.1</v>
      </c>
      <c r="J18" s="64">
        <v>0.43</v>
      </c>
      <c r="K18" s="64">
        <v>323.91000000000003</v>
      </c>
      <c r="L18" s="64">
        <v>11.78</v>
      </c>
      <c r="M18" s="64">
        <v>89.58</v>
      </c>
      <c r="N18" s="64">
        <v>32.1</v>
      </c>
      <c r="O18" s="64">
        <v>0</v>
      </c>
      <c r="P18" s="64">
        <v>2.08</v>
      </c>
      <c r="Q18" s="64">
        <v>9.74</v>
      </c>
      <c r="R18" s="198"/>
      <c r="S18" s="198"/>
      <c r="T18" s="198"/>
      <c r="U18" s="198"/>
    </row>
    <row r="19" spans="1:21" s="12" customFormat="1" x14ac:dyDescent="0.25">
      <c r="A19" s="214" t="s">
        <v>1025</v>
      </c>
      <c r="B19" s="64">
        <v>76.599999999999994</v>
      </c>
      <c r="C19" s="6" t="s">
        <v>42</v>
      </c>
      <c r="D19" s="64">
        <v>54.76</v>
      </c>
      <c r="E19" s="64">
        <v>4.2</v>
      </c>
      <c r="F19" s="64">
        <v>2.8</v>
      </c>
      <c r="G19" s="64">
        <v>103.87</v>
      </c>
      <c r="H19" s="64">
        <v>49.65</v>
      </c>
      <c r="I19" s="64">
        <v>0.1</v>
      </c>
      <c r="J19" s="64">
        <v>0.3</v>
      </c>
      <c r="K19" s="64">
        <v>248.59</v>
      </c>
      <c r="L19" s="64">
        <v>11.8</v>
      </c>
      <c r="M19" s="64">
        <v>82.74</v>
      </c>
      <c r="N19" s="64">
        <v>31.8</v>
      </c>
      <c r="O19" s="64">
        <v>0</v>
      </c>
      <c r="P19" s="64">
        <v>2.04</v>
      </c>
      <c r="Q19" s="64">
        <v>9.75</v>
      </c>
      <c r="R19" s="198"/>
      <c r="S19" s="198"/>
      <c r="T19" s="198"/>
      <c r="U19" s="198"/>
    </row>
    <row r="20" spans="1:21" s="12" customFormat="1" x14ac:dyDescent="0.25">
      <c r="A20" s="214" t="s">
        <v>1026</v>
      </c>
      <c r="B20" s="64">
        <v>73.59</v>
      </c>
      <c r="C20" s="6" t="s">
        <v>42</v>
      </c>
      <c r="D20" s="64">
        <v>53.14</v>
      </c>
      <c r="E20" s="64">
        <v>4.09</v>
      </c>
      <c r="F20" s="64">
        <v>2.78</v>
      </c>
      <c r="G20" s="64">
        <v>103.87</v>
      </c>
      <c r="H20" s="64">
        <v>49.65</v>
      </c>
      <c r="I20" s="64">
        <v>0.1</v>
      </c>
      <c r="J20" s="64">
        <v>0.28000000000000003</v>
      </c>
      <c r="K20" s="64">
        <v>312.52</v>
      </c>
      <c r="L20" s="64">
        <v>11.72</v>
      </c>
      <c r="M20" s="64">
        <v>86.52</v>
      </c>
      <c r="N20" s="64">
        <v>32.299999999999997</v>
      </c>
      <c r="O20" s="64">
        <v>0</v>
      </c>
      <c r="P20" s="64">
        <v>1.98</v>
      </c>
      <c r="Q20" s="64">
        <v>9.75</v>
      </c>
      <c r="R20" s="198"/>
      <c r="S20" s="198"/>
      <c r="T20" s="198"/>
      <c r="U20" s="198"/>
    </row>
    <row r="21" spans="1:21" s="12" customFormat="1" x14ac:dyDescent="0.25">
      <c r="A21" s="214" t="s">
        <v>1027</v>
      </c>
      <c r="B21" s="64">
        <v>70.569999999999993</v>
      </c>
      <c r="C21" s="6" t="s">
        <v>42</v>
      </c>
      <c r="D21" s="64">
        <v>51.4</v>
      </c>
      <c r="E21" s="64">
        <v>4.2</v>
      </c>
      <c r="F21" s="64">
        <v>2.59</v>
      </c>
      <c r="G21" s="64">
        <v>104.15</v>
      </c>
      <c r="H21" s="64">
        <v>48.77</v>
      </c>
      <c r="I21" s="64">
        <v>0.1</v>
      </c>
      <c r="J21" s="64">
        <v>0.32</v>
      </c>
      <c r="K21" s="64">
        <v>323.24</v>
      </c>
      <c r="L21" s="64">
        <v>11.34</v>
      </c>
      <c r="M21" s="64">
        <v>91.24</v>
      </c>
      <c r="N21" s="64">
        <v>32.200000000000003</v>
      </c>
      <c r="O21" s="64">
        <v>0</v>
      </c>
      <c r="P21" s="64">
        <v>1.92</v>
      </c>
      <c r="Q21" s="64">
        <v>9.74</v>
      </c>
      <c r="R21" s="198"/>
      <c r="S21" s="198"/>
      <c r="T21" s="198"/>
      <c r="U21" s="198"/>
    </row>
    <row r="22" spans="1:21" s="12" customFormat="1" x14ac:dyDescent="0.25">
      <c r="A22" s="214" t="s">
        <v>1028</v>
      </c>
      <c r="B22" s="64">
        <v>67.709999999999994</v>
      </c>
      <c r="C22" s="6" t="s">
        <v>42</v>
      </c>
      <c r="D22" s="64">
        <v>49.73</v>
      </c>
      <c r="E22" s="64">
        <v>4.33</v>
      </c>
      <c r="F22" s="64">
        <v>2.92</v>
      </c>
      <c r="G22" s="64">
        <v>104.39</v>
      </c>
      <c r="H22" s="64">
        <v>48.42</v>
      </c>
      <c r="I22" s="64">
        <v>0.1</v>
      </c>
      <c r="J22" s="64">
        <v>0.26</v>
      </c>
      <c r="K22" s="64">
        <v>275.05</v>
      </c>
      <c r="L22" s="64">
        <v>11.16</v>
      </c>
      <c r="M22" s="64">
        <v>91.79</v>
      </c>
      <c r="N22" s="64">
        <v>32.200000000000003</v>
      </c>
      <c r="O22" s="64">
        <v>0</v>
      </c>
      <c r="P22" s="64">
        <v>1.86</v>
      </c>
      <c r="Q22" s="64">
        <v>9.74</v>
      </c>
      <c r="R22" s="198"/>
      <c r="S22" s="198"/>
      <c r="T22" s="198"/>
      <c r="U22" s="198"/>
    </row>
    <row r="23" spans="1:21" s="12" customFormat="1" x14ac:dyDescent="0.25">
      <c r="A23" s="214" t="s">
        <v>1029</v>
      </c>
      <c r="B23" s="64">
        <v>64.569999999999993</v>
      </c>
      <c r="C23" s="6" t="s">
        <v>42</v>
      </c>
      <c r="D23" s="64">
        <v>47.99</v>
      </c>
      <c r="E23" s="64">
        <v>3.99</v>
      </c>
      <c r="F23" s="64">
        <v>3.04</v>
      </c>
      <c r="G23" s="64">
        <v>104.39</v>
      </c>
      <c r="H23" s="64">
        <v>48.42</v>
      </c>
      <c r="I23" s="64">
        <v>0.1</v>
      </c>
      <c r="J23" s="64">
        <v>0.27</v>
      </c>
      <c r="K23" s="64">
        <v>266.72000000000003</v>
      </c>
      <c r="L23" s="64">
        <v>11</v>
      </c>
      <c r="M23" s="64">
        <v>90.71</v>
      </c>
      <c r="N23" s="64">
        <v>32.200000000000003</v>
      </c>
      <c r="O23" s="64">
        <v>0</v>
      </c>
      <c r="P23" s="64">
        <v>1.79</v>
      </c>
      <c r="Q23" s="64">
        <v>9.7200000000000006</v>
      </c>
      <c r="R23" s="198"/>
      <c r="S23" s="198"/>
      <c r="T23" s="198"/>
      <c r="U23" s="198"/>
    </row>
    <row r="24" spans="1:21" s="12" customFormat="1" x14ac:dyDescent="0.25">
      <c r="A24" s="214" t="s">
        <v>1030</v>
      </c>
      <c r="B24" s="64">
        <v>61.45</v>
      </c>
      <c r="C24" s="6" t="s">
        <v>42</v>
      </c>
      <c r="D24" s="64">
        <v>46.21</v>
      </c>
      <c r="E24" s="64">
        <v>4.26</v>
      </c>
      <c r="F24" s="64">
        <v>3.15</v>
      </c>
      <c r="G24" s="64">
        <v>104.39</v>
      </c>
      <c r="H24" s="64">
        <v>48.42</v>
      </c>
      <c r="I24" s="64">
        <v>0.1</v>
      </c>
      <c r="J24" s="64">
        <v>0.44</v>
      </c>
      <c r="K24" s="64">
        <v>298.33</v>
      </c>
      <c r="L24" s="64">
        <v>10.95</v>
      </c>
      <c r="M24" s="64">
        <v>93.38</v>
      </c>
      <c r="N24" s="64">
        <v>32</v>
      </c>
      <c r="O24" s="64">
        <v>0</v>
      </c>
      <c r="P24" s="64">
        <v>1.72</v>
      </c>
      <c r="Q24" s="64">
        <v>9.7100000000000009</v>
      </c>
      <c r="R24" s="198"/>
      <c r="S24" s="198"/>
      <c r="T24" s="198"/>
      <c r="U24" s="198"/>
    </row>
    <row r="25" spans="1:21" s="12" customFormat="1" x14ac:dyDescent="0.25">
      <c r="A25" s="214" t="s">
        <v>1031</v>
      </c>
      <c r="B25" s="64">
        <v>59.47</v>
      </c>
      <c r="C25" s="6" t="s">
        <v>42</v>
      </c>
      <c r="D25" s="64">
        <v>45.03</v>
      </c>
      <c r="E25" s="64">
        <v>4.32</v>
      </c>
      <c r="F25" s="64">
        <v>3.18</v>
      </c>
      <c r="G25" s="64">
        <v>86.45</v>
      </c>
      <c r="H25" s="64">
        <v>44.45</v>
      </c>
      <c r="I25" s="64">
        <v>0.1</v>
      </c>
      <c r="J25" s="64">
        <v>0.25</v>
      </c>
      <c r="K25" s="64">
        <v>142.66999999999999</v>
      </c>
      <c r="L25" s="64">
        <v>10.93</v>
      </c>
      <c r="M25" s="64">
        <v>92.47</v>
      </c>
      <c r="N25" s="64">
        <v>32</v>
      </c>
      <c r="O25" s="64">
        <v>0</v>
      </c>
      <c r="P25" s="64">
        <v>1.64</v>
      </c>
      <c r="Q25" s="64">
        <v>9.73</v>
      </c>
      <c r="R25" s="198"/>
      <c r="S25" s="198"/>
      <c r="T25" s="198"/>
      <c r="U25" s="198"/>
    </row>
    <row r="26" spans="1:21" s="12" customFormat="1" x14ac:dyDescent="0.25">
      <c r="A26" s="214" t="s">
        <v>1032</v>
      </c>
      <c r="B26" s="64">
        <v>57.78</v>
      </c>
      <c r="C26" s="6" t="s">
        <v>42</v>
      </c>
      <c r="D26" s="64">
        <v>44.01</v>
      </c>
      <c r="E26" s="64">
        <v>4.07</v>
      </c>
      <c r="F26" s="64">
        <v>3.19</v>
      </c>
      <c r="G26" s="64">
        <v>71.45</v>
      </c>
      <c r="H26" s="64">
        <v>42.92</v>
      </c>
      <c r="I26" s="64">
        <v>0.1</v>
      </c>
      <c r="J26" s="64">
        <v>0.3</v>
      </c>
      <c r="K26" s="64">
        <v>297.27999999999997</v>
      </c>
      <c r="L26" s="64">
        <v>10.9</v>
      </c>
      <c r="M26" s="64">
        <v>95.41</v>
      </c>
      <c r="N26" s="64">
        <v>32</v>
      </c>
      <c r="O26" s="64">
        <v>0</v>
      </c>
      <c r="P26" s="64">
        <v>1.56</v>
      </c>
      <c r="Q26" s="64">
        <v>9.73</v>
      </c>
      <c r="R26" s="198"/>
      <c r="S26" s="198"/>
      <c r="T26" s="198"/>
      <c r="U26" s="198"/>
    </row>
    <row r="27" spans="1:21" s="12" customFormat="1" x14ac:dyDescent="0.25">
      <c r="A27" s="214" t="s">
        <v>1033</v>
      </c>
      <c r="B27" s="64">
        <v>57.2</v>
      </c>
      <c r="C27" s="6" t="s">
        <v>42</v>
      </c>
      <c r="D27" s="64">
        <v>43.71</v>
      </c>
      <c r="E27" s="64">
        <v>4.16</v>
      </c>
      <c r="F27" s="64">
        <v>3.1</v>
      </c>
      <c r="G27" s="64">
        <v>71.45</v>
      </c>
      <c r="H27" s="64">
        <v>42.92</v>
      </c>
      <c r="I27" s="64">
        <v>0.1</v>
      </c>
      <c r="J27" s="64">
        <v>0.32</v>
      </c>
      <c r="K27" s="64">
        <v>300.44</v>
      </c>
      <c r="L27" s="64">
        <v>10.83</v>
      </c>
      <c r="M27" s="64">
        <v>96.17</v>
      </c>
      <c r="N27" s="64">
        <v>32.200000000000003</v>
      </c>
      <c r="O27" s="64">
        <v>0</v>
      </c>
      <c r="P27" s="64">
        <v>1.47</v>
      </c>
      <c r="Q27" s="64">
        <v>9.7100000000000009</v>
      </c>
      <c r="R27" s="198"/>
      <c r="S27" s="198"/>
      <c r="T27" s="198"/>
      <c r="U27" s="198"/>
    </row>
    <row r="28" spans="1:21" s="12" customFormat="1" x14ac:dyDescent="0.25">
      <c r="A28" s="214" t="s">
        <v>1034</v>
      </c>
      <c r="B28" s="64">
        <v>56.72</v>
      </c>
      <c r="C28" s="6" t="s">
        <v>42</v>
      </c>
      <c r="D28" s="64">
        <v>43.45</v>
      </c>
      <c r="E28" s="64">
        <v>4.07</v>
      </c>
      <c r="F28" s="64">
        <v>2.84</v>
      </c>
      <c r="G28" s="64">
        <v>71.45</v>
      </c>
      <c r="H28" s="64">
        <v>42.92</v>
      </c>
      <c r="I28" s="64">
        <v>0.1</v>
      </c>
      <c r="J28" s="64">
        <v>0.41</v>
      </c>
      <c r="K28" s="64">
        <v>300.14999999999998</v>
      </c>
      <c r="L28" s="64">
        <v>10.8</v>
      </c>
      <c r="M28" s="64">
        <v>97.13</v>
      </c>
      <c r="N28" s="64">
        <v>32</v>
      </c>
      <c r="O28" s="64">
        <v>0</v>
      </c>
      <c r="P28" s="64">
        <v>1.41</v>
      </c>
      <c r="Q28" s="64">
        <v>9.7200000000000006</v>
      </c>
      <c r="R28" s="198"/>
      <c r="S28" s="198"/>
      <c r="T28" s="198"/>
      <c r="U28" s="198"/>
    </row>
    <row r="29" spans="1:21" s="12" customFormat="1" x14ac:dyDescent="0.25">
      <c r="A29" s="214" t="s">
        <v>1035</v>
      </c>
      <c r="B29" s="64">
        <v>55.64</v>
      </c>
      <c r="C29" s="6" t="s">
        <v>42</v>
      </c>
      <c r="D29" s="64">
        <v>42.95</v>
      </c>
      <c r="E29" s="64">
        <v>4.1399999999999997</v>
      </c>
      <c r="F29" s="64">
        <v>2.77</v>
      </c>
      <c r="G29" s="64">
        <v>81.05</v>
      </c>
      <c r="H29" s="64">
        <v>40.72</v>
      </c>
      <c r="I29" s="64">
        <v>0.1</v>
      </c>
      <c r="J29" s="64">
        <v>0.21</v>
      </c>
      <c r="K29" s="64">
        <v>297.75</v>
      </c>
      <c r="L29" s="64">
        <v>10.65</v>
      </c>
      <c r="M29" s="64">
        <v>97.09</v>
      </c>
      <c r="N29" s="64">
        <v>32.1</v>
      </c>
      <c r="O29" s="64">
        <v>0</v>
      </c>
      <c r="P29" s="64">
        <v>1.39</v>
      </c>
      <c r="Q29" s="64">
        <v>9.7200000000000006</v>
      </c>
      <c r="R29" s="198"/>
      <c r="S29" s="198"/>
      <c r="T29" s="198"/>
      <c r="U29" s="198"/>
    </row>
    <row r="30" spans="1:21" s="12" customFormat="1" x14ac:dyDescent="0.25">
      <c r="A30" s="214" t="s">
        <v>1036</v>
      </c>
      <c r="B30" s="64">
        <v>54.82</v>
      </c>
      <c r="C30" s="6" t="s">
        <v>42</v>
      </c>
      <c r="D30" s="64">
        <v>42.48</v>
      </c>
      <c r="E30" s="64">
        <v>4.29</v>
      </c>
      <c r="F30" s="64">
        <v>2.96</v>
      </c>
      <c r="G30" s="64">
        <v>89.09</v>
      </c>
      <c r="H30" s="64">
        <v>39.21</v>
      </c>
      <c r="I30" s="64">
        <v>0.1</v>
      </c>
      <c r="J30" s="64">
        <v>0.45</v>
      </c>
      <c r="K30" s="64">
        <v>250.21</v>
      </c>
      <c r="L30" s="64">
        <v>10.67</v>
      </c>
      <c r="M30" s="64">
        <v>97.71</v>
      </c>
      <c r="N30" s="64">
        <v>31.9</v>
      </c>
      <c r="O30" s="64">
        <v>0</v>
      </c>
      <c r="P30" s="64">
        <v>1.36</v>
      </c>
      <c r="Q30" s="64">
        <v>9.7100000000000009</v>
      </c>
      <c r="R30" s="198"/>
      <c r="S30" s="198"/>
      <c r="T30" s="198"/>
      <c r="U30" s="198"/>
    </row>
    <row r="31" spans="1:21" s="12" customFormat="1" x14ac:dyDescent="0.25">
      <c r="A31" s="214" t="s">
        <v>1037</v>
      </c>
      <c r="B31" s="64">
        <v>54.51</v>
      </c>
      <c r="C31" s="6" t="s">
        <v>42</v>
      </c>
      <c r="D31" s="64">
        <v>42.33</v>
      </c>
      <c r="E31" s="64">
        <v>3.94</v>
      </c>
      <c r="F31" s="64">
        <v>2.97</v>
      </c>
      <c r="G31" s="64">
        <v>89.09</v>
      </c>
      <c r="H31" s="64">
        <v>39.21</v>
      </c>
      <c r="I31" s="64">
        <v>0.1</v>
      </c>
      <c r="J31" s="64">
        <v>0.37</v>
      </c>
      <c r="K31" s="64">
        <v>295.16000000000003</v>
      </c>
      <c r="L31" s="64">
        <v>10.91</v>
      </c>
      <c r="M31" s="64">
        <v>97.85</v>
      </c>
      <c r="N31" s="64">
        <v>32</v>
      </c>
      <c r="O31" s="64">
        <v>0</v>
      </c>
      <c r="P31" s="64">
        <v>1.33</v>
      </c>
      <c r="Q31" s="64">
        <v>9.6999999999999993</v>
      </c>
      <c r="R31" s="198"/>
      <c r="S31" s="198"/>
      <c r="T31" s="198"/>
      <c r="U31" s="198"/>
    </row>
    <row r="32" spans="1:21" s="12" customFormat="1" x14ac:dyDescent="0.25">
      <c r="A32" s="214" t="s">
        <v>1038</v>
      </c>
      <c r="B32" s="64">
        <v>55.84</v>
      </c>
      <c r="C32" s="6" t="s">
        <v>42</v>
      </c>
      <c r="D32" s="64">
        <v>43.11</v>
      </c>
      <c r="E32" s="64">
        <v>4.08</v>
      </c>
      <c r="F32" s="64">
        <v>2.95</v>
      </c>
      <c r="G32" s="64">
        <v>89.09</v>
      </c>
      <c r="H32" s="64">
        <v>39.21</v>
      </c>
      <c r="I32" s="64">
        <v>0.1</v>
      </c>
      <c r="J32" s="64">
        <v>0.46</v>
      </c>
      <c r="K32" s="64">
        <v>234.69</v>
      </c>
      <c r="L32" s="64">
        <v>10.88</v>
      </c>
      <c r="M32" s="64">
        <v>97.03</v>
      </c>
      <c r="N32" s="64">
        <v>31.8</v>
      </c>
      <c r="O32" s="64">
        <v>0</v>
      </c>
      <c r="P32" s="64">
        <v>1.3</v>
      </c>
      <c r="Q32" s="64">
        <v>9.6999999999999993</v>
      </c>
      <c r="R32" s="198"/>
      <c r="S32" s="198"/>
      <c r="T32" s="198"/>
      <c r="U32" s="198"/>
    </row>
    <row r="33" spans="1:21" s="12" customFormat="1" x14ac:dyDescent="0.25">
      <c r="A33" s="214" t="s">
        <v>1039</v>
      </c>
      <c r="B33" s="64">
        <v>56.81</v>
      </c>
      <c r="C33" s="6" t="s">
        <v>42</v>
      </c>
      <c r="D33" s="64">
        <v>43.62</v>
      </c>
      <c r="E33" s="64">
        <v>3.83</v>
      </c>
      <c r="F33" s="64">
        <v>3.07</v>
      </c>
      <c r="G33" s="64">
        <v>86.23</v>
      </c>
      <c r="H33" s="64">
        <v>39.700000000000003</v>
      </c>
      <c r="I33" s="64">
        <v>0.1</v>
      </c>
      <c r="J33" s="64">
        <v>0.28000000000000003</v>
      </c>
      <c r="K33" s="64">
        <v>263.43</v>
      </c>
      <c r="L33" s="64">
        <v>10.8</v>
      </c>
      <c r="M33" s="64">
        <v>97.9</v>
      </c>
      <c r="N33" s="64">
        <v>32.6</v>
      </c>
      <c r="O33" s="64">
        <v>0</v>
      </c>
      <c r="P33" s="64">
        <v>1.27</v>
      </c>
      <c r="Q33" s="64">
        <v>9.6999999999999993</v>
      </c>
      <c r="R33" s="198"/>
      <c r="S33" s="198"/>
      <c r="T33" s="198"/>
      <c r="U33" s="198"/>
    </row>
    <row r="34" spans="1:21" s="12" customFormat="1" x14ac:dyDescent="0.25">
      <c r="A34" s="214" t="s">
        <v>1040</v>
      </c>
      <c r="B34" s="64">
        <v>57.96</v>
      </c>
      <c r="C34" s="6" t="s">
        <v>42</v>
      </c>
      <c r="D34" s="64">
        <v>44.18</v>
      </c>
      <c r="E34" s="64">
        <v>4.1500000000000004</v>
      </c>
      <c r="F34" s="64">
        <v>2.9</v>
      </c>
      <c r="G34" s="64">
        <v>83.84</v>
      </c>
      <c r="H34" s="64">
        <v>39.880000000000003</v>
      </c>
      <c r="I34" s="64">
        <v>0.1</v>
      </c>
      <c r="J34" s="64">
        <v>0.28000000000000003</v>
      </c>
      <c r="K34" s="64">
        <v>245.36</v>
      </c>
      <c r="L34" s="64">
        <v>10.65</v>
      </c>
      <c r="M34" s="64">
        <v>98.25</v>
      </c>
      <c r="N34" s="64">
        <v>35</v>
      </c>
      <c r="O34" s="64">
        <v>0</v>
      </c>
      <c r="P34" s="64">
        <v>1.27</v>
      </c>
      <c r="Q34" s="64">
        <v>9.6999999999999993</v>
      </c>
      <c r="R34" s="198"/>
      <c r="S34" s="198"/>
      <c r="T34" s="198"/>
      <c r="U34" s="198"/>
    </row>
    <row r="35" spans="1:21" s="12" customFormat="1" x14ac:dyDescent="0.25">
      <c r="A35" s="214" t="s">
        <v>1041</v>
      </c>
      <c r="B35" s="64">
        <v>58.17</v>
      </c>
      <c r="C35" s="6" t="s">
        <v>42</v>
      </c>
      <c r="D35" s="64">
        <v>44.2</v>
      </c>
      <c r="E35" s="64">
        <v>3.87</v>
      </c>
      <c r="F35" s="64">
        <v>2.94</v>
      </c>
      <c r="G35" s="64">
        <v>83.84</v>
      </c>
      <c r="H35" s="64">
        <v>39.880000000000003</v>
      </c>
      <c r="I35" s="64">
        <v>0.1</v>
      </c>
      <c r="J35" s="64">
        <v>0.25</v>
      </c>
      <c r="K35" s="64">
        <v>266.67</v>
      </c>
      <c r="L35" s="64">
        <v>10.72</v>
      </c>
      <c r="M35" s="64">
        <v>98.25</v>
      </c>
      <c r="N35" s="64">
        <v>41.7</v>
      </c>
      <c r="O35" s="64">
        <v>0</v>
      </c>
      <c r="P35" s="64">
        <v>1.31</v>
      </c>
      <c r="Q35" s="64">
        <v>9.7200000000000006</v>
      </c>
      <c r="R35" s="198"/>
      <c r="S35" s="198"/>
      <c r="T35" s="198"/>
      <c r="U35" s="198"/>
    </row>
    <row r="36" spans="1:21" s="12" customFormat="1" x14ac:dyDescent="0.25">
      <c r="A36" s="214" t="s">
        <v>1042</v>
      </c>
      <c r="B36" s="64">
        <v>59.75</v>
      </c>
      <c r="C36" s="6" t="s">
        <v>42</v>
      </c>
      <c r="D36" s="64">
        <v>45.24</v>
      </c>
      <c r="E36" s="64">
        <v>4.1100000000000003</v>
      </c>
      <c r="F36" s="64">
        <v>3</v>
      </c>
      <c r="G36" s="64">
        <v>83.84</v>
      </c>
      <c r="H36" s="64">
        <v>39.880000000000003</v>
      </c>
      <c r="I36" s="64">
        <v>0.1</v>
      </c>
      <c r="J36" s="64">
        <v>0.42</v>
      </c>
      <c r="K36" s="64">
        <v>308.64</v>
      </c>
      <c r="L36" s="64">
        <v>10.8</v>
      </c>
      <c r="M36" s="64">
        <v>98.26</v>
      </c>
      <c r="N36" s="64">
        <v>52</v>
      </c>
      <c r="O36" s="64">
        <v>0</v>
      </c>
      <c r="P36" s="64">
        <v>1.36</v>
      </c>
      <c r="Q36" s="64">
        <v>9.75</v>
      </c>
      <c r="R36" s="198"/>
      <c r="S36" s="198"/>
      <c r="T36" s="198"/>
      <c r="U36" s="198"/>
    </row>
    <row r="37" spans="1:21" s="12" customFormat="1" x14ac:dyDescent="0.25">
      <c r="A37" s="214" t="s">
        <v>1043</v>
      </c>
      <c r="B37" s="64">
        <v>61.93</v>
      </c>
      <c r="C37" s="6" t="s">
        <v>42</v>
      </c>
      <c r="D37" s="64">
        <v>46.48</v>
      </c>
      <c r="E37" s="64">
        <v>3.93</v>
      </c>
      <c r="F37" s="64">
        <v>3.05</v>
      </c>
      <c r="G37" s="64">
        <v>97.78</v>
      </c>
      <c r="H37" s="64">
        <v>41.42</v>
      </c>
      <c r="I37" s="64">
        <v>0.1</v>
      </c>
      <c r="J37" s="64">
        <v>0.41</v>
      </c>
      <c r="K37" s="64">
        <v>329.25</v>
      </c>
      <c r="L37" s="64">
        <v>11.15</v>
      </c>
      <c r="M37" s="64">
        <v>98.25</v>
      </c>
      <c r="N37" s="64">
        <v>61.9</v>
      </c>
      <c r="O37" s="64">
        <v>0</v>
      </c>
      <c r="P37" s="64">
        <v>1.44</v>
      </c>
      <c r="Q37" s="64">
        <v>9.73</v>
      </c>
      <c r="R37" s="198"/>
      <c r="S37" s="198"/>
      <c r="T37" s="198"/>
      <c r="U37" s="198"/>
    </row>
    <row r="38" spans="1:21" s="12" customFormat="1" x14ac:dyDescent="0.25">
      <c r="A38" s="214" t="s">
        <v>1044</v>
      </c>
      <c r="B38" s="64">
        <v>64.41</v>
      </c>
      <c r="C38" s="6" t="s">
        <v>42</v>
      </c>
      <c r="D38" s="64">
        <v>47.92</v>
      </c>
      <c r="E38" s="64">
        <v>4.3499999999999996</v>
      </c>
      <c r="F38" s="64">
        <v>3.22</v>
      </c>
      <c r="G38" s="64">
        <v>109.44</v>
      </c>
      <c r="H38" s="64">
        <v>41.98</v>
      </c>
      <c r="I38" s="64">
        <v>0.1</v>
      </c>
      <c r="J38" s="64">
        <v>0.37</v>
      </c>
      <c r="K38" s="64">
        <v>306.95999999999998</v>
      </c>
      <c r="L38" s="64">
        <v>11.94</v>
      </c>
      <c r="M38" s="64">
        <v>96.18</v>
      </c>
      <c r="N38" s="64">
        <v>87.3</v>
      </c>
      <c r="O38" s="64">
        <v>0</v>
      </c>
      <c r="P38" s="64">
        <v>1.56</v>
      </c>
      <c r="Q38" s="64">
        <v>9.73</v>
      </c>
      <c r="R38" s="198"/>
      <c r="S38" s="198"/>
      <c r="T38" s="198"/>
      <c r="U38" s="198"/>
    </row>
    <row r="39" spans="1:21" s="12" customFormat="1" x14ac:dyDescent="0.25">
      <c r="A39" s="214" t="s">
        <v>1045</v>
      </c>
      <c r="B39" s="64">
        <v>65.400000000000006</v>
      </c>
      <c r="C39" s="6" t="s">
        <v>42</v>
      </c>
      <c r="D39" s="64">
        <v>48.56</v>
      </c>
      <c r="E39" s="64">
        <v>4.46</v>
      </c>
      <c r="F39" s="64">
        <v>3.16</v>
      </c>
      <c r="G39" s="64">
        <v>109.44</v>
      </c>
      <c r="H39" s="64">
        <v>41.98</v>
      </c>
      <c r="I39" s="64">
        <v>0.1</v>
      </c>
      <c r="J39" s="64">
        <v>0.13</v>
      </c>
      <c r="K39" s="64">
        <v>332.02</v>
      </c>
      <c r="L39" s="64">
        <v>14.71</v>
      </c>
      <c r="M39" s="64">
        <v>81.099999999999994</v>
      </c>
      <c r="N39" s="64">
        <v>213.5</v>
      </c>
      <c r="O39" s="64">
        <v>0</v>
      </c>
      <c r="P39" s="64">
        <v>1.58</v>
      </c>
      <c r="Q39" s="64">
        <v>9.74</v>
      </c>
      <c r="R39" s="198"/>
      <c r="S39" s="198"/>
      <c r="T39" s="198"/>
      <c r="U39" s="198"/>
    </row>
    <row r="40" spans="1:21" s="12" customFormat="1" x14ac:dyDescent="0.25">
      <c r="A40" s="214" t="s">
        <v>1046</v>
      </c>
      <c r="B40" s="64">
        <v>64.989999999999995</v>
      </c>
      <c r="C40" s="6" t="s">
        <v>42</v>
      </c>
      <c r="D40" s="64">
        <v>48.47</v>
      </c>
      <c r="E40" s="64">
        <v>5.52</v>
      </c>
      <c r="F40" s="64">
        <v>3.43</v>
      </c>
      <c r="G40" s="64">
        <v>109.44</v>
      </c>
      <c r="H40" s="64">
        <v>41.98</v>
      </c>
      <c r="I40" s="64">
        <v>0.1</v>
      </c>
      <c r="J40" s="64">
        <v>0.19</v>
      </c>
      <c r="K40" s="64">
        <v>147.94999999999999</v>
      </c>
      <c r="L40" s="64">
        <v>19.22</v>
      </c>
      <c r="M40" s="64">
        <v>56.05</v>
      </c>
      <c r="N40" s="64">
        <v>246.8</v>
      </c>
      <c r="O40" s="64">
        <v>0</v>
      </c>
      <c r="P40" s="64">
        <v>1.59</v>
      </c>
      <c r="Q40" s="64">
        <v>9.74</v>
      </c>
      <c r="R40" s="198"/>
      <c r="S40" s="198"/>
      <c r="T40" s="198"/>
      <c r="U40" s="198"/>
    </row>
    <row r="41" spans="1:21" s="12" customFormat="1" x14ac:dyDescent="0.25">
      <c r="A41" s="214" t="s">
        <v>1047</v>
      </c>
      <c r="B41" s="64">
        <v>63.91</v>
      </c>
      <c r="C41" s="6" t="s">
        <v>42</v>
      </c>
      <c r="D41" s="64">
        <v>48.09</v>
      </c>
      <c r="E41" s="64">
        <v>5.33</v>
      </c>
      <c r="F41" s="64">
        <v>2.92</v>
      </c>
      <c r="G41" s="64">
        <v>117.93</v>
      </c>
      <c r="H41" s="64">
        <v>45.08</v>
      </c>
      <c r="I41" s="64">
        <v>0.1</v>
      </c>
      <c r="J41" s="64">
        <v>0.12</v>
      </c>
      <c r="K41" s="64">
        <v>41.79</v>
      </c>
      <c r="L41" s="64">
        <v>20.89</v>
      </c>
      <c r="M41" s="64">
        <v>45.34</v>
      </c>
      <c r="N41" s="64">
        <v>283.5</v>
      </c>
      <c r="O41" s="64">
        <v>0</v>
      </c>
      <c r="P41" s="64">
        <v>1.59</v>
      </c>
      <c r="Q41" s="64">
        <v>9.73</v>
      </c>
      <c r="R41" s="198"/>
      <c r="S41" s="198"/>
      <c r="T41" s="198"/>
      <c r="U41" s="198"/>
    </row>
    <row r="42" spans="1:21" s="12" customFormat="1" x14ac:dyDescent="0.25">
      <c r="A42" s="214" t="s">
        <v>1048</v>
      </c>
      <c r="B42" s="64">
        <v>63.34</v>
      </c>
      <c r="C42" s="6" t="s">
        <v>42</v>
      </c>
      <c r="D42" s="64">
        <v>47.77</v>
      </c>
      <c r="E42" s="64">
        <v>5.69</v>
      </c>
      <c r="F42" s="64">
        <v>3.29</v>
      </c>
      <c r="G42" s="64">
        <v>125.03</v>
      </c>
      <c r="H42" s="64">
        <v>46.22</v>
      </c>
      <c r="I42" s="64">
        <v>0.1</v>
      </c>
      <c r="J42" s="64">
        <v>0.06</v>
      </c>
      <c r="K42" s="64">
        <v>26.3</v>
      </c>
      <c r="L42" s="64">
        <v>22.43</v>
      </c>
      <c r="M42" s="64">
        <v>36.26</v>
      </c>
      <c r="N42" s="64">
        <v>328.6</v>
      </c>
      <c r="O42" s="64">
        <v>0</v>
      </c>
      <c r="P42" s="64">
        <v>1.6</v>
      </c>
      <c r="Q42" s="64">
        <v>9.73</v>
      </c>
      <c r="R42" s="198"/>
      <c r="S42" s="198"/>
      <c r="T42" s="198"/>
      <c r="U42" s="198"/>
    </row>
    <row r="43" spans="1:21" s="12" customFormat="1" x14ac:dyDescent="0.25">
      <c r="A43" s="214" t="s">
        <v>1049</v>
      </c>
      <c r="B43" s="64">
        <v>62.65</v>
      </c>
      <c r="C43" s="6" t="s">
        <v>42</v>
      </c>
      <c r="D43" s="64">
        <v>47.7</v>
      </c>
      <c r="E43" s="64">
        <v>6.62</v>
      </c>
      <c r="F43" s="64">
        <v>3.23</v>
      </c>
      <c r="G43" s="64">
        <v>125.03</v>
      </c>
      <c r="H43" s="64">
        <v>46.22</v>
      </c>
      <c r="I43" s="64">
        <v>0.1</v>
      </c>
      <c r="J43" s="64">
        <v>0.97</v>
      </c>
      <c r="K43" s="64">
        <v>344.54</v>
      </c>
      <c r="L43" s="64">
        <v>24.2</v>
      </c>
      <c r="M43" s="64">
        <v>28.88</v>
      </c>
      <c r="N43" s="64">
        <v>362.8</v>
      </c>
      <c r="O43" s="64">
        <v>0</v>
      </c>
      <c r="P43" s="64">
        <v>1.61</v>
      </c>
      <c r="Q43" s="64">
        <v>9.74</v>
      </c>
      <c r="R43" s="198"/>
      <c r="S43" s="198"/>
      <c r="T43" s="198"/>
      <c r="U43" s="198"/>
    </row>
    <row r="44" spans="1:21" s="12" customFormat="1" x14ac:dyDescent="0.25">
      <c r="A44" s="214" t="s">
        <v>1050</v>
      </c>
      <c r="B44" s="64">
        <v>60.58</v>
      </c>
      <c r="C44" s="64">
        <v>0.43</v>
      </c>
      <c r="D44" s="64">
        <v>47.66</v>
      </c>
      <c r="E44" s="64">
        <v>6.89</v>
      </c>
      <c r="F44" s="64">
        <v>3.08</v>
      </c>
      <c r="G44" s="64">
        <v>125.03</v>
      </c>
      <c r="H44" s="64">
        <v>46.22</v>
      </c>
      <c r="I44" s="64">
        <v>0.1</v>
      </c>
      <c r="J44" s="64">
        <v>0.71</v>
      </c>
      <c r="K44" s="64">
        <v>340.49</v>
      </c>
      <c r="L44" s="64">
        <v>25.24</v>
      </c>
      <c r="M44" s="64">
        <v>26.76</v>
      </c>
      <c r="N44" s="64">
        <v>395</v>
      </c>
      <c r="O44" s="64">
        <v>0</v>
      </c>
      <c r="P44" s="64">
        <v>1.67</v>
      </c>
      <c r="Q44" s="64">
        <v>9.73</v>
      </c>
      <c r="R44" s="198"/>
      <c r="S44" s="198"/>
      <c r="T44" s="198"/>
      <c r="U44" s="198"/>
    </row>
    <row r="45" spans="1:21" s="12" customFormat="1" x14ac:dyDescent="0.25">
      <c r="A45" s="214" t="s">
        <v>1051</v>
      </c>
      <c r="B45" s="64">
        <v>59.57</v>
      </c>
      <c r="C45" s="64">
        <v>0.43</v>
      </c>
      <c r="D45" s="64">
        <v>46.9</v>
      </c>
      <c r="E45" s="64">
        <v>5.98</v>
      </c>
      <c r="F45" s="64">
        <v>3.11</v>
      </c>
      <c r="G45" s="64">
        <v>127.82</v>
      </c>
      <c r="H45" s="64">
        <v>49.6</v>
      </c>
      <c r="I45" s="64">
        <v>0.1</v>
      </c>
      <c r="J45" s="64">
        <v>0.14000000000000001</v>
      </c>
      <c r="K45" s="64">
        <v>25.33</v>
      </c>
      <c r="L45" s="64">
        <v>24.66</v>
      </c>
      <c r="M45" s="64">
        <v>26.71</v>
      </c>
      <c r="N45" s="64">
        <v>459.1</v>
      </c>
      <c r="O45" s="64">
        <v>0</v>
      </c>
      <c r="P45" s="64">
        <v>1.69</v>
      </c>
      <c r="Q45" s="64">
        <v>9.73</v>
      </c>
      <c r="R45" s="198"/>
      <c r="S45" s="198"/>
      <c r="T45" s="198"/>
      <c r="U45" s="198"/>
    </row>
    <row r="46" spans="1:21" s="12" customFormat="1" x14ac:dyDescent="0.25">
      <c r="A46" s="214" t="s">
        <v>1052</v>
      </c>
      <c r="B46" s="64">
        <v>56.94</v>
      </c>
      <c r="C46" s="64">
        <v>1.22</v>
      </c>
      <c r="D46" s="64">
        <v>45.83</v>
      </c>
      <c r="E46" s="64">
        <v>5.31</v>
      </c>
      <c r="F46" s="64">
        <v>2.99</v>
      </c>
      <c r="G46" s="64">
        <v>130.16</v>
      </c>
      <c r="H46" s="64">
        <v>51.94</v>
      </c>
      <c r="I46" s="64">
        <v>0.1</v>
      </c>
      <c r="J46" s="64">
        <v>0.44</v>
      </c>
      <c r="K46" s="64">
        <v>317.86</v>
      </c>
      <c r="L46" s="64">
        <v>25.28</v>
      </c>
      <c r="M46" s="64">
        <v>26.13</v>
      </c>
      <c r="N46" s="64">
        <v>485.1</v>
      </c>
      <c r="O46" s="64">
        <v>0</v>
      </c>
      <c r="P46" s="64">
        <v>1.64</v>
      </c>
      <c r="Q46" s="64">
        <v>9.7200000000000006</v>
      </c>
      <c r="R46" s="198"/>
      <c r="S46" s="198"/>
      <c r="T46" s="198"/>
      <c r="U46" s="198"/>
    </row>
    <row r="47" spans="1:21" s="12" customFormat="1" x14ac:dyDescent="0.25">
      <c r="A47" s="214" t="s">
        <v>1053</v>
      </c>
      <c r="B47" s="64">
        <v>55.14</v>
      </c>
      <c r="C47" s="64">
        <v>2.34</v>
      </c>
      <c r="D47" s="64">
        <v>44.98</v>
      </c>
      <c r="E47" s="64">
        <v>5.68</v>
      </c>
      <c r="F47" s="64">
        <v>2.95</v>
      </c>
      <c r="G47" s="64">
        <v>130.16</v>
      </c>
      <c r="H47" s="64">
        <v>51.94</v>
      </c>
      <c r="I47" s="64">
        <v>0.1</v>
      </c>
      <c r="J47" s="64">
        <v>0.41</v>
      </c>
      <c r="K47" s="64">
        <v>321.29000000000002</v>
      </c>
      <c r="L47" s="64">
        <v>26.23</v>
      </c>
      <c r="M47" s="64">
        <v>24.75</v>
      </c>
      <c r="N47" s="64">
        <v>512.1</v>
      </c>
      <c r="O47" s="64">
        <v>0</v>
      </c>
      <c r="P47" s="64">
        <v>1.61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4" t="s">
        <v>1054</v>
      </c>
      <c r="B48" s="64">
        <v>52.94</v>
      </c>
      <c r="C48" s="64">
        <v>3.7</v>
      </c>
      <c r="D48" s="64">
        <v>43.92</v>
      </c>
      <c r="E48" s="64">
        <v>5.49</v>
      </c>
      <c r="F48" s="64">
        <v>2.96</v>
      </c>
      <c r="G48" s="64">
        <v>130.16</v>
      </c>
      <c r="H48" s="64">
        <v>51.94</v>
      </c>
      <c r="I48" s="64">
        <v>0.1</v>
      </c>
      <c r="J48" s="64">
        <v>1.1299999999999999</v>
      </c>
      <c r="K48" s="64">
        <v>338.42</v>
      </c>
      <c r="L48" s="64">
        <v>27.91</v>
      </c>
      <c r="M48" s="64">
        <v>21.66</v>
      </c>
      <c r="N48" s="64">
        <v>531.4</v>
      </c>
      <c r="O48" s="64">
        <v>0</v>
      </c>
      <c r="P48" s="64">
        <v>1.56</v>
      </c>
      <c r="Q48" s="64">
        <v>9.6999999999999993</v>
      </c>
      <c r="R48" s="198"/>
      <c r="S48" s="198"/>
      <c r="T48" s="198"/>
      <c r="U48" s="198"/>
    </row>
    <row r="49" spans="1:21" s="12" customFormat="1" x14ac:dyDescent="0.25">
      <c r="A49" s="214" t="s">
        <v>1055</v>
      </c>
      <c r="B49" s="64">
        <v>49.24</v>
      </c>
      <c r="C49" s="64">
        <v>6.52</v>
      </c>
      <c r="D49" s="64">
        <v>42.43</v>
      </c>
      <c r="E49" s="64">
        <v>5.55</v>
      </c>
      <c r="F49" s="64">
        <v>3.31</v>
      </c>
      <c r="G49" s="64">
        <v>105.27</v>
      </c>
      <c r="H49" s="64">
        <v>47.28</v>
      </c>
      <c r="I49" s="64">
        <v>0.1</v>
      </c>
      <c r="J49" s="64">
        <v>0.85</v>
      </c>
      <c r="K49" s="64">
        <v>330.96</v>
      </c>
      <c r="L49" s="64">
        <v>28.43</v>
      </c>
      <c r="M49" s="64">
        <v>20.6</v>
      </c>
      <c r="N49" s="64">
        <v>542.4</v>
      </c>
      <c r="O49" s="64">
        <v>0</v>
      </c>
      <c r="P49" s="64">
        <v>1.52</v>
      </c>
      <c r="Q49" s="64">
        <v>9.6999999999999993</v>
      </c>
      <c r="R49" s="198"/>
      <c r="S49" s="198"/>
      <c r="T49" s="198"/>
      <c r="U49" s="198"/>
    </row>
    <row r="50" spans="1:21" s="12" customFormat="1" x14ac:dyDescent="0.25">
      <c r="A50" s="214" t="s">
        <v>1056</v>
      </c>
      <c r="B50" s="64">
        <v>45.44</v>
      </c>
      <c r="C50" s="64">
        <v>9.36</v>
      </c>
      <c r="D50" s="64">
        <v>40.869999999999997</v>
      </c>
      <c r="E50" s="64">
        <v>5.23</v>
      </c>
      <c r="F50" s="64">
        <v>3.27</v>
      </c>
      <c r="G50" s="64">
        <v>84.45</v>
      </c>
      <c r="H50" s="64">
        <v>45.47</v>
      </c>
      <c r="I50" s="64">
        <v>0.1</v>
      </c>
      <c r="J50" s="64">
        <v>0.64</v>
      </c>
      <c r="K50" s="64">
        <v>334.74</v>
      </c>
      <c r="L50" s="64">
        <v>28.44</v>
      </c>
      <c r="M50" s="64">
        <v>19.71</v>
      </c>
      <c r="N50" s="64">
        <v>552.9</v>
      </c>
      <c r="O50" s="64">
        <v>0</v>
      </c>
      <c r="P50" s="64">
        <v>1.47</v>
      </c>
      <c r="Q50" s="64">
        <v>9.6999999999999993</v>
      </c>
      <c r="R50" s="198"/>
      <c r="S50" s="198"/>
      <c r="T50" s="198"/>
      <c r="U50" s="198"/>
    </row>
    <row r="51" spans="1:21" s="12" customFormat="1" x14ac:dyDescent="0.25">
      <c r="A51" s="214" t="s">
        <v>1057</v>
      </c>
      <c r="B51" s="64">
        <v>43</v>
      </c>
      <c r="C51" s="64">
        <v>9.81</v>
      </c>
      <c r="D51" s="64">
        <v>39.14</v>
      </c>
      <c r="E51" s="64">
        <v>5.3</v>
      </c>
      <c r="F51" s="64">
        <v>2.78</v>
      </c>
      <c r="G51" s="64">
        <v>84.45</v>
      </c>
      <c r="H51" s="64">
        <v>45.47</v>
      </c>
      <c r="I51" s="64">
        <v>0.1</v>
      </c>
      <c r="J51" s="64">
        <v>0.18</v>
      </c>
      <c r="K51" s="64">
        <v>81.319999999999993</v>
      </c>
      <c r="L51" s="64">
        <v>27.43</v>
      </c>
      <c r="M51" s="64">
        <v>20.329999999999998</v>
      </c>
      <c r="N51" s="64">
        <v>567.9</v>
      </c>
      <c r="O51" s="64">
        <v>0</v>
      </c>
      <c r="P51" s="64">
        <v>1.42</v>
      </c>
      <c r="Q51" s="64">
        <v>9.69</v>
      </c>
      <c r="R51" s="198"/>
      <c r="S51" s="198"/>
      <c r="T51" s="198"/>
      <c r="U51" s="198"/>
    </row>
    <row r="52" spans="1:21" s="12" customFormat="1" x14ac:dyDescent="0.25">
      <c r="A52" s="214" t="s">
        <v>1058</v>
      </c>
      <c r="B52" s="64">
        <v>36.840000000000003</v>
      </c>
      <c r="C52" s="64">
        <v>15.08</v>
      </c>
      <c r="D52" s="64">
        <v>36.96</v>
      </c>
      <c r="E52" s="64">
        <v>6.3</v>
      </c>
      <c r="F52" s="64">
        <v>4.5199999999999996</v>
      </c>
      <c r="G52" s="64">
        <v>84.45</v>
      </c>
      <c r="H52" s="64">
        <v>45.47</v>
      </c>
      <c r="I52" s="64">
        <v>0.1</v>
      </c>
      <c r="J52" s="64">
        <v>0.66</v>
      </c>
      <c r="K52" s="64">
        <v>347.26</v>
      </c>
      <c r="L52" s="64">
        <v>27.32</v>
      </c>
      <c r="M52" s="64">
        <v>20.14</v>
      </c>
      <c r="N52" s="64">
        <v>567</v>
      </c>
      <c r="O52" s="64">
        <v>0</v>
      </c>
      <c r="P52" s="64">
        <v>1.31</v>
      </c>
      <c r="Q52" s="64">
        <v>9.69</v>
      </c>
      <c r="R52" s="198"/>
      <c r="S52" s="198"/>
      <c r="T52" s="198"/>
      <c r="U52" s="198"/>
    </row>
    <row r="53" spans="1:21" s="12" customFormat="1" x14ac:dyDescent="0.25">
      <c r="A53" s="214" t="s">
        <v>1059</v>
      </c>
      <c r="B53" s="64">
        <v>31.66</v>
      </c>
      <c r="C53" s="64">
        <v>18.3</v>
      </c>
      <c r="D53" s="64">
        <v>34.49</v>
      </c>
      <c r="E53" s="64">
        <v>5.99</v>
      </c>
      <c r="F53" s="64">
        <v>5.13</v>
      </c>
      <c r="G53" s="64">
        <v>51.52</v>
      </c>
      <c r="H53" s="64">
        <v>34.92</v>
      </c>
      <c r="I53" s="64">
        <v>0.1</v>
      </c>
      <c r="J53" s="64">
        <v>0.27</v>
      </c>
      <c r="K53" s="64">
        <v>50.5</v>
      </c>
      <c r="L53" s="64">
        <v>27.14</v>
      </c>
      <c r="M53" s="64">
        <v>19.559999999999999</v>
      </c>
      <c r="N53" s="64">
        <v>579.9</v>
      </c>
      <c r="O53" s="64">
        <v>0</v>
      </c>
      <c r="P53" s="64">
        <v>1.24</v>
      </c>
      <c r="Q53" s="64">
        <v>9.67</v>
      </c>
      <c r="R53" s="198"/>
      <c r="S53" s="198"/>
      <c r="T53" s="198"/>
      <c r="U53" s="198"/>
    </row>
    <row r="54" spans="1:21" s="12" customFormat="1" x14ac:dyDescent="0.25">
      <c r="A54" s="214" t="s">
        <v>1060</v>
      </c>
      <c r="B54" s="64">
        <v>28.29</v>
      </c>
      <c r="C54" s="64">
        <v>19.18</v>
      </c>
      <c r="D54" s="64">
        <v>32.25</v>
      </c>
      <c r="E54" s="64">
        <v>6.76</v>
      </c>
      <c r="F54" s="64">
        <v>5.19</v>
      </c>
      <c r="G54" s="64">
        <v>23.97</v>
      </c>
      <c r="H54" s="64">
        <v>31.04</v>
      </c>
      <c r="I54" s="64">
        <v>0.1</v>
      </c>
      <c r="J54" s="64">
        <v>0.51</v>
      </c>
      <c r="K54" s="64">
        <v>4.79</v>
      </c>
      <c r="L54" s="64">
        <v>28.38</v>
      </c>
      <c r="M54" s="64">
        <v>16.05</v>
      </c>
      <c r="N54" s="64">
        <v>583</v>
      </c>
      <c r="O54" s="64">
        <v>0</v>
      </c>
      <c r="P54" s="64">
        <v>1.1499999999999999</v>
      </c>
      <c r="Q54" s="64">
        <v>9.68</v>
      </c>
      <c r="R54" s="198"/>
      <c r="S54" s="198"/>
      <c r="T54" s="198"/>
      <c r="U54" s="198"/>
    </row>
    <row r="55" spans="1:21" s="12" customFormat="1" x14ac:dyDescent="0.25">
      <c r="A55" s="214" t="s">
        <v>1061</v>
      </c>
      <c r="B55" s="64">
        <v>26.07</v>
      </c>
      <c r="C55" s="64">
        <v>21.63</v>
      </c>
      <c r="D55" s="64">
        <v>31.74</v>
      </c>
      <c r="E55" s="64">
        <v>7.94</v>
      </c>
      <c r="F55" s="64">
        <v>6.52</v>
      </c>
      <c r="G55" s="64">
        <v>23.97</v>
      </c>
      <c r="H55" s="64">
        <v>31.04</v>
      </c>
      <c r="I55" s="64">
        <v>0.1</v>
      </c>
      <c r="J55" s="64">
        <v>0.34</v>
      </c>
      <c r="K55" s="64">
        <v>359.27</v>
      </c>
      <c r="L55" s="64">
        <v>27.79</v>
      </c>
      <c r="M55" s="64">
        <v>16.78</v>
      </c>
      <c r="N55" s="64">
        <v>577.1</v>
      </c>
      <c r="O55" s="64">
        <v>0</v>
      </c>
      <c r="P55" s="64">
        <v>1.08</v>
      </c>
      <c r="Q55" s="64">
        <v>9.67</v>
      </c>
      <c r="R55" s="198"/>
      <c r="S55" s="198"/>
      <c r="T55" s="198"/>
      <c r="U55" s="198"/>
    </row>
    <row r="56" spans="1:21" s="12" customFormat="1" x14ac:dyDescent="0.25">
      <c r="A56" s="214" t="s">
        <v>1062</v>
      </c>
      <c r="B56" s="64">
        <v>10.97</v>
      </c>
      <c r="C56" s="64">
        <v>33.700000000000003</v>
      </c>
      <c r="D56" s="64">
        <v>25.94</v>
      </c>
      <c r="E56" s="64">
        <v>9.24</v>
      </c>
      <c r="F56" s="64">
        <v>10.62</v>
      </c>
      <c r="G56" s="64">
        <v>23.97</v>
      </c>
      <c r="H56" s="64">
        <v>31.04</v>
      </c>
      <c r="I56" s="64">
        <v>3.3</v>
      </c>
      <c r="J56" s="64">
        <v>1.47</v>
      </c>
      <c r="K56" s="64">
        <v>338.69</v>
      </c>
      <c r="L56" s="64">
        <v>29.27</v>
      </c>
      <c r="M56" s="64">
        <v>15.28</v>
      </c>
      <c r="N56" s="64">
        <v>574.70000000000005</v>
      </c>
      <c r="O56" s="64">
        <v>0</v>
      </c>
      <c r="P56" s="64">
        <v>0.83</v>
      </c>
      <c r="Q56" s="64">
        <v>9.65</v>
      </c>
      <c r="R56" s="198"/>
      <c r="S56" s="198"/>
      <c r="T56" s="198"/>
      <c r="U56" s="198"/>
    </row>
    <row r="57" spans="1:21" s="12" customFormat="1" x14ac:dyDescent="0.25">
      <c r="A57" s="214" t="s">
        <v>1063</v>
      </c>
      <c r="B57" s="64">
        <v>6.06</v>
      </c>
      <c r="C57" s="64">
        <v>29.3</v>
      </c>
      <c r="D57" s="64">
        <v>19.71</v>
      </c>
      <c r="E57" s="64">
        <v>13.46</v>
      </c>
      <c r="F57" s="64">
        <v>21.88</v>
      </c>
      <c r="G57" s="64">
        <v>23.97</v>
      </c>
      <c r="H57" s="64">
        <v>31.04</v>
      </c>
      <c r="I57" s="64">
        <v>1.2</v>
      </c>
      <c r="J57" s="64">
        <v>1.82</v>
      </c>
      <c r="K57" s="64">
        <v>341.14</v>
      </c>
      <c r="L57" s="64">
        <v>29.36</v>
      </c>
      <c r="M57" s="64">
        <v>15.54</v>
      </c>
      <c r="N57" s="64">
        <v>565.6</v>
      </c>
      <c r="O57" s="64">
        <v>0</v>
      </c>
      <c r="P57" s="64">
        <v>0.49</v>
      </c>
      <c r="Q57" s="64">
        <v>9.64</v>
      </c>
      <c r="R57" s="198"/>
      <c r="S57" s="198"/>
      <c r="T57" s="198"/>
      <c r="U57" s="198"/>
    </row>
    <row r="58" spans="1:21" s="12" customFormat="1" x14ac:dyDescent="0.25">
      <c r="A58" s="214" t="s">
        <v>1064</v>
      </c>
      <c r="B58" s="64">
        <v>5.87</v>
      </c>
      <c r="C58" s="64">
        <v>29.87</v>
      </c>
      <c r="D58" s="64">
        <v>19.850000000000001</v>
      </c>
      <c r="E58" s="64">
        <v>11.92</v>
      </c>
      <c r="F58" s="64">
        <v>16.3</v>
      </c>
      <c r="G58" s="64">
        <v>23.97</v>
      </c>
      <c r="H58" s="64">
        <v>31.04</v>
      </c>
      <c r="I58" s="64">
        <v>0.1</v>
      </c>
      <c r="J58" s="64">
        <v>0.56000000000000005</v>
      </c>
      <c r="K58" s="64">
        <v>357.88</v>
      </c>
      <c r="L58" s="64">
        <v>28.61</v>
      </c>
      <c r="M58" s="64">
        <v>17.16</v>
      </c>
      <c r="N58" s="64">
        <v>560.29999999999995</v>
      </c>
      <c r="O58" s="64">
        <v>0</v>
      </c>
      <c r="P58" s="64">
        <v>0.37</v>
      </c>
      <c r="Q58" s="64">
        <v>9.58</v>
      </c>
      <c r="R58" s="198"/>
      <c r="S58" s="198"/>
      <c r="T58" s="198"/>
      <c r="U58" s="198"/>
    </row>
    <row r="59" spans="1:21" s="12" customFormat="1" x14ac:dyDescent="0.25">
      <c r="A59" s="214" t="s">
        <v>1065</v>
      </c>
      <c r="B59" s="64">
        <v>3.47</v>
      </c>
      <c r="C59" s="64">
        <v>30.81</v>
      </c>
      <c r="D59" s="64">
        <v>18.41</v>
      </c>
      <c r="E59" s="64">
        <v>7.45</v>
      </c>
      <c r="F59" s="64">
        <v>9.35</v>
      </c>
      <c r="G59" s="64">
        <v>23.97</v>
      </c>
      <c r="H59" s="64">
        <v>31.04</v>
      </c>
      <c r="I59" s="64">
        <v>0.1</v>
      </c>
      <c r="J59" s="64">
        <v>1.44</v>
      </c>
      <c r="K59" s="64">
        <v>340.2</v>
      </c>
      <c r="L59" s="64">
        <v>28.77</v>
      </c>
      <c r="M59" s="64">
        <v>17.489999999999998</v>
      </c>
      <c r="N59" s="64">
        <v>554.5</v>
      </c>
      <c r="O59" s="64">
        <v>0</v>
      </c>
      <c r="P59" s="64">
        <v>0.4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4" t="s">
        <v>1066</v>
      </c>
      <c r="B60" s="64">
        <v>3.94</v>
      </c>
      <c r="C60" s="64">
        <v>28.94</v>
      </c>
      <c r="D60" s="64">
        <v>17.82</v>
      </c>
      <c r="E60" s="64">
        <v>7.5</v>
      </c>
      <c r="F60" s="64">
        <v>11.86</v>
      </c>
      <c r="G60" s="64">
        <v>23.97</v>
      </c>
      <c r="H60" s="64">
        <v>31.04</v>
      </c>
      <c r="I60" s="64">
        <v>0.43</v>
      </c>
      <c r="J60" s="64">
        <v>0.74</v>
      </c>
      <c r="K60" s="64">
        <v>350.54</v>
      </c>
      <c r="L60" s="64">
        <v>28.56</v>
      </c>
      <c r="M60" s="64">
        <v>18.53</v>
      </c>
      <c r="N60" s="64">
        <v>543.70000000000005</v>
      </c>
      <c r="O60" s="64">
        <v>0</v>
      </c>
      <c r="P60" s="64">
        <v>0.38</v>
      </c>
      <c r="Q60" s="64">
        <v>9.5399999999999991</v>
      </c>
      <c r="R60" s="198"/>
      <c r="S60" s="198"/>
      <c r="T60" s="198"/>
      <c r="U60" s="198"/>
    </row>
    <row r="61" spans="1:21" s="12" customFormat="1" x14ac:dyDescent="0.25">
      <c r="A61" s="214" t="s">
        <v>1067</v>
      </c>
      <c r="B61" s="64">
        <v>7.8</v>
      </c>
      <c r="C61" s="64">
        <v>27.49</v>
      </c>
      <c r="D61" s="64">
        <v>20.16</v>
      </c>
      <c r="E61" s="64">
        <v>9.68</v>
      </c>
      <c r="F61" s="64">
        <v>14.74</v>
      </c>
      <c r="G61" s="64">
        <v>23.97</v>
      </c>
      <c r="H61" s="64">
        <v>31.04</v>
      </c>
      <c r="I61" s="64">
        <v>1.07</v>
      </c>
      <c r="J61" s="64">
        <v>1.07</v>
      </c>
      <c r="K61" s="64">
        <v>329.33</v>
      </c>
      <c r="L61" s="64">
        <v>28.73</v>
      </c>
      <c r="M61" s="64">
        <v>17.91</v>
      </c>
      <c r="N61" s="64">
        <v>516.6</v>
      </c>
      <c r="O61" s="64">
        <v>0</v>
      </c>
      <c r="P61" s="64">
        <v>0.48</v>
      </c>
      <c r="Q61" s="64">
        <v>9.5500000000000007</v>
      </c>
      <c r="R61" s="198"/>
      <c r="S61" s="198"/>
      <c r="T61" s="198"/>
      <c r="U61" s="198"/>
    </row>
    <row r="62" spans="1:21" s="12" customFormat="1" x14ac:dyDescent="0.25">
      <c r="A62" s="214" t="s">
        <v>1068</v>
      </c>
      <c r="B62" s="64">
        <v>4.8099999999999996</v>
      </c>
      <c r="C62" s="64">
        <v>28.84</v>
      </c>
      <c r="D62" s="64">
        <v>18.47</v>
      </c>
      <c r="E62" s="64">
        <v>9.89</v>
      </c>
      <c r="F62" s="64">
        <v>10.38</v>
      </c>
      <c r="G62" s="64">
        <v>23.97</v>
      </c>
      <c r="H62" s="64">
        <v>31.04</v>
      </c>
      <c r="I62" s="64">
        <v>0.39</v>
      </c>
      <c r="J62" s="64">
        <v>0.53</v>
      </c>
      <c r="K62" s="64">
        <v>352.94</v>
      </c>
      <c r="L62" s="64">
        <v>28.11</v>
      </c>
      <c r="M62" s="64">
        <v>18.690000000000001</v>
      </c>
      <c r="N62" s="64">
        <v>504.8</v>
      </c>
      <c r="O62" s="64">
        <v>0</v>
      </c>
      <c r="P62" s="64">
        <v>0.54</v>
      </c>
      <c r="Q62" s="64">
        <v>9.57</v>
      </c>
      <c r="R62" s="198"/>
      <c r="S62" s="198"/>
      <c r="T62" s="198"/>
      <c r="U62" s="198"/>
    </row>
    <row r="63" spans="1:21" s="12" customFormat="1" x14ac:dyDescent="0.25">
      <c r="A63" s="214" t="s">
        <v>1069</v>
      </c>
      <c r="B63" s="64">
        <v>5.86</v>
      </c>
      <c r="C63" s="64">
        <v>27.41</v>
      </c>
      <c r="D63" s="64">
        <v>18.559999999999999</v>
      </c>
      <c r="E63" s="64">
        <v>7.18</v>
      </c>
      <c r="F63" s="64">
        <v>14.07</v>
      </c>
      <c r="G63" s="64">
        <v>23.97</v>
      </c>
      <c r="H63" s="64">
        <v>31.04</v>
      </c>
      <c r="I63" s="64">
        <v>0.1</v>
      </c>
      <c r="J63" s="64">
        <v>0.86</v>
      </c>
      <c r="K63" s="64">
        <v>337.28</v>
      </c>
      <c r="L63" s="64">
        <v>28.14</v>
      </c>
      <c r="M63" s="64">
        <v>17.93</v>
      </c>
      <c r="N63" s="64">
        <v>483.8</v>
      </c>
      <c r="O63" s="64">
        <v>0</v>
      </c>
      <c r="P63" s="64">
        <v>0.55000000000000004</v>
      </c>
      <c r="Q63" s="64">
        <v>9.6</v>
      </c>
      <c r="R63" s="198"/>
      <c r="S63" s="198"/>
      <c r="T63" s="198"/>
      <c r="U63" s="198"/>
    </row>
    <row r="64" spans="1:21" s="12" customFormat="1" x14ac:dyDescent="0.25">
      <c r="A64" s="214" t="s">
        <v>1070</v>
      </c>
      <c r="B64" s="64">
        <v>4.63</v>
      </c>
      <c r="C64" s="64">
        <v>24.71</v>
      </c>
      <c r="D64" s="64">
        <v>16.16</v>
      </c>
      <c r="E64" s="64">
        <v>9.76</v>
      </c>
      <c r="F64" s="64">
        <v>15.39</v>
      </c>
      <c r="G64" s="64">
        <v>0</v>
      </c>
      <c r="H64" s="64">
        <v>0</v>
      </c>
      <c r="I64" s="64">
        <v>0.1</v>
      </c>
      <c r="J64" s="64">
        <v>1.69</v>
      </c>
      <c r="K64" s="64">
        <v>341.94</v>
      </c>
      <c r="L64" s="64">
        <v>27.62</v>
      </c>
      <c r="M64" s="64">
        <v>18</v>
      </c>
      <c r="N64" s="64">
        <v>371.3</v>
      </c>
      <c r="O64" s="64">
        <v>0</v>
      </c>
      <c r="P64" s="64">
        <v>0.54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4" t="s">
        <v>1071</v>
      </c>
      <c r="B65" s="64">
        <v>5.24</v>
      </c>
      <c r="C65" s="64">
        <v>29.71</v>
      </c>
      <c r="D65" s="64">
        <v>19.27</v>
      </c>
      <c r="E65" s="64">
        <v>7.34</v>
      </c>
      <c r="F65" s="64">
        <v>10.76</v>
      </c>
      <c r="G65" s="64">
        <v>0</v>
      </c>
      <c r="H65" s="64">
        <v>0</v>
      </c>
      <c r="I65" s="64">
        <v>0.1</v>
      </c>
      <c r="J65" s="64">
        <v>1.17</v>
      </c>
      <c r="K65" s="64">
        <v>338.74</v>
      </c>
      <c r="L65" s="64">
        <v>26.87</v>
      </c>
      <c r="M65" s="64">
        <v>18.98</v>
      </c>
      <c r="N65" s="64">
        <v>118</v>
      </c>
      <c r="O65" s="64">
        <v>0</v>
      </c>
      <c r="P65" s="64">
        <v>0.56999999999999995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4" t="s">
        <v>1072</v>
      </c>
      <c r="B66" s="64">
        <v>7.13</v>
      </c>
      <c r="C66" s="64">
        <v>26.15</v>
      </c>
      <c r="D66" s="64">
        <v>18.920000000000002</v>
      </c>
      <c r="E66" s="64">
        <v>7.49</v>
      </c>
      <c r="F66" s="64">
        <v>11.93</v>
      </c>
      <c r="G66" s="64">
        <v>0</v>
      </c>
      <c r="H66" s="64">
        <v>0</v>
      </c>
      <c r="I66" s="64">
        <v>0.1</v>
      </c>
      <c r="J66" s="64">
        <v>0.47</v>
      </c>
      <c r="K66" s="64">
        <v>355.97</v>
      </c>
      <c r="L66" s="64">
        <v>26.36</v>
      </c>
      <c r="M66" s="64">
        <v>19</v>
      </c>
      <c r="N66" s="64">
        <v>113.6</v>
      </c>
      <c r="O66" s="64">
        <v>0</v>
      </c>
      <c r="P66" s="64">
        <v>0.51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4" t="s">
        <v>1073</v>
      </c>
      <c r="B67" s="64">
        <v>5.93</v>
      </c>
      <c r="C67" s="64">
        <v>28.24</v>
      </c>
      <c r="D67" s="64">
        <v>19.05</v>
      </c>
      <c r="E67" s="64">
        <v>6.13</v>
      </c>
      <c r="F67" s="64">
        <v>10.67</v>
      </c>
      <c r="G67" s="64">
        <v>0</v>
      </c>
      <c r="H67" s="64">
        <v>0</v>
      </c>
      <c r="I67" s="64">
        <v>0.1</v>
      </c>
      <c r="J67" s="64">
        <v>1.1599999999999999</v>
      </c>
      <c r="K67" s="64">
        <v>342.53</v>
      </c>
      <c r="L67" s="64">
        <v>25.86</v>
      </c>
      <c r="M67" s="64">
        <v>20.399999999999999</v>
      </c>
      <c r="N67" s="64">
        <v>88.8</v>
      </c>
      <c r="O67" s="64">
        <v>0</v>
      </c>
      <c r="P67" s="64">
        <v>0.5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4" t="s">
        <v>1074</v>
      </c>
      <c r="B68" s="64">
        <v>6.51</v>
      </c>
      <c r="C68" s="64">
        <v>28.06</v>
      </c>
      <c r="D68" s="64">
        <v>19.420000000000002</v>
      </c>
      <c r="E68" s="64">
        <v>7.07</v>
      </c>
      <c r="F68" s="64">
        <v>8.0399999999999991</v>
      </c>
      <c r="G68" s="64">
        <v>7.85</v>
      </c>
      <c r="H68" s="64">
        <v>1.66</v>
      </c>
      <c r="I68" s="64">
        <v>0.1</v>
      </c>
      <c r="J68" s="64">
        <v>0.6</v>
      </c>
      <c r="K68" s="64">
        <v>352.64</v>
      </c>
      <c r="L68" s="64">
        <v>25.76</v>
      </c>
      <c r="M68" s="64">
        <v>24.04</v>
      </c>
      <c r="N68" s="64">
        <v>76.900000000000006</v>
      </c>
      <c r="O68" s="64">
        <v>0</v>
      </c>
      <c r="P68" s="64">
        <v>0.53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4" t="s">
        <v>1075</v>
      </c>
      <c r="B69" s="64">
        <v>5.45</v>
      </c>
      <c r="C69" s="64">
        <v>28.03</v>
      </c>
      <c r="D69" s="64">
        <v>18.55</v>
      </c>
      <c r="E69" s="64">
        <v>6.47</v>
      </c>
      <c r="F69" s="64">
        <v>12.53</v>
      </c>
      <c r="G69" s="64">
        <v>39.229999999999997</v>
      </c>
      <c r="H69" s="64">
        <v>6.56</v>
      </c>
      <c r="I69" s="64">
        <v>0.1</v>
      </c>
      <c r="J69" s="64">
        <v>0.21</v>
      </c>
      <c r="K69" s="64">
        <v>45.1</v>
      </c>
      <c r="L69" s="64">
        <v>25.42</v>
      </c>
      <c r="M69" s="64">
        <v>27.04</v>
      </c>
      <c r="N69" s="64">
        <v>73.8</v>
      </c>
      <c r="O69" s="64">
        <v>0</v>
      </c>
      <c r="P69" s="64">
        <v>0.46</v>
      </c>
      <c r="Q69" s="64">
        <v>9.6300000000000008</v>
      </c>
      <c r="R69" s="198"/>
      <c r="S69" s="198"/>
      <c r="T69" s="198"/>
      <c r="U69" s="198"/>
    </row>
    <row r="70" spans="1:21" s="12" customFormat="1" x14ac:dyDescent="0.25">
      <c r="A70" s="214" t="s">
        <v>1076</v>
      </c>
      <c r="B70" s="64">
        <v>8.42</v>
      </c>
      <c r="C70" s="64">
        <v>30.39</v>
      </c>
      <c r="D70" s="64">
        <v>22.17</v>
      </c>
      <c r="E70" s="64">
        <v>13.85</v>
      </c>
      <c r="F70" s="64">
        <v>16.21</v>
      </c>
      <c r="G70" s="64">
        <v>39.229999999999997</v>
      </c>
      <c r="H70" s="64">
        <v>6.56</v>
      </c>
      <c r="I70" s="64">
        <v>0.1</v>
      </c>
      <c r="J70" s="64">
        <v>1.48</v>
      </c>
      <c r="K70" s="64">
        <v>344.02</v>
      </c>
      <c r="L70" s="64">
        <v>25.24</v>
      </c>
      <c r="M70" s="64">
        <v>26.92</v>
      </c>
      <c r="N70" s="64">
        <v>69.900000000000006</v>
      </c>
      <c r="O70" s="64">
        <v>0</v>
      </c>
      <c r="P70" s="64">
        <v>0.51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4" t="s">
        <v>1077</v>
      </c>
      <c r="B71" s="64">
        <v>6.82</v>
      </c>
      <c r="C71" s="64">
        <v>32.72</v>
      </c>
      <c r="D71" s="64">
        <v>22.11</v>
      </c>
      <c r="E71" s="64">
        <v>12.53</v>
      </c>
      <c r="F71" s="64">
        <v>14.01</v>
      </c>
      <c r="G71" s="64">
        <v>39.229999999999997</v>
      </c>
      <c r="H71" s="64">
        <v>6.56</v>
      </c>
      <c r="I71" s="64">
        <v>0.1</v>
      </c>
      <c r="J71" s="64">
        <v>0.21</v>
      </c>
      <c r="K71" s="64">
        <v>87.6</v>
      </c>
      <c r="L71" s="64">
        <v>25.05</v>
      </c>
      <c r="M71" s="64">
        <v>26.24</v>
      </c>
      <c r="N71" s="64">
        <v>66.099999999999994</v>
      </c>
      <c r="O71" s="64">
        <v>0</v>
      </c>
      <c r="P71" s="64">
        <v>0.55000000000000004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1078</v>
      </c>
      <c r="B72" s="64">
        <v>6.75</v>
      </c>
      <c r="C72" s="64">
        <v>29.73</v>
      </c>
      <c r="D72" s="64">
        <v>20.48</v>
      </c>
      <c r="E72" s="64">
        <v>8.68</v>
      </c>
      <c r="F72" s="64">
        <v>18.45</v>
      </c>
      <c r="G72" s="64">
        <v>39.79</v>
      </c>
      <c r="H72" s="64">
        <v>7.47</v>
      </c>
      <c r="I72" s="64">
        <v>0.1</v>
      </c>
      <c r="J72" s="64">
        <v>1.29</v>
      </c>
      <c r="K72" s="64">
        <v>343.46</v>
      </c>
      <c r="L72" s="64">
        <v>24.93</v>
      </c>
      <c r="M72" s="64">
        <v>26.21</v>
      </c>
      <c r="N72" s="64">
        <v>62</v>
      </c>
      <c r="O72" s="64">
        <v>0</v>
      </c>
      <c r="P72" s="64">
        <v>0.64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4" t="s">
        <v>1079</v>
      </c>
      <c r="B73" s="64">
        <v>10.6</v>
      </c>
      <c r="C73" s="64">
        <v>34.96</v>
      </c>
      <c r="D73" s="64">
        <v>26.3</v>
      </c>
      <c r="E73" s="64">
        <v>10.1</v>
      </c>
      <c r="F73" s="64">
        <v>11.52</v>
      </c>
      <c r="G73" s="64">
        <v>42.04</v>
      </c>
      <c r="H73" s="64">
        <v>10.14</v>
      </c>
      <c r="I73" s="64">
        <v>0.1</v>
      </c>
      <c r="J73" s="64">
        <v>0.74</v>
      </c>
      <c r="K73" s="64">
        <v>337.49</v>
      </c>
      <c r="L73" s="64">
        <v>24.75</v>
      </c>
      <c r="M73" s="64">
        <v>26.45</v>
      </c>
      <c r="N73" s="64">
        <v>57.9</v>
      </c>
      <c r="O73" s="64">
        <v>0</v>
      </c>
      <c r="P73" s="64">
        <v>0.66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4" t="s">
        <v>1080</v>
      </c>
      <c r="B74" s="64">
        <v>8.65</v>
      </c>
      <c r="C74" s="64">
        <v>36.28</v>
      </c>
      <c r="D74" s="64">
        <v>25.44</v>
      </c>
      <c r="E74" s="64">
        <v>9.74</v>
      </c>
      <c r="F74" s="64">
        <v>8.82</v>
      </c>
      <c r="G74" s="64">
        <v>42.04</v>
      </c>
      <c r="H74" s="64">
        <v>10.14</v>
      </c>
      <c r="I74" s="64">
        <v>0.1</v>
      </c>
      <c r="J74" s="64">
        <v>0.63</v>
      </c>
      <c r="K74" s="64">
        <v>338.5</v>
      </c>
      <c r="L74" s="64">
        <v>24.39</v>
      </c>
      <c r="M74" s="64">
        <v>28.23</v>
      </c>
      <c r="N74" s="64">
        <v>52.4</v>
      </c>
      <c r="O74" s="64">
        <v>0</v>
      </c>
      <c r="P74" s="64">
        <v>0.8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4" t="s">
        <v>1081</v>
      </c>
      <c r="B75" s="64">
        <v>8.99</v>
      </c>
      <c r="C75" s="64">
        <v>39.89</v>
      </c>
      <c r="D75" s="64">
        <v>27.84</v>
      </c>
      <c r="E75" s="64">
        <v>9.3000000000000007</v>
      </c>
      <c r="F75" s="64">
        <v>8.16</v>
      </c>
      <c r="G75" s="64">
        <v>42.04</v>
      </c>
      <c r="H75" s="64">
        <v>10.14</v>
      </c>
      <c r="I75" s="64">
        <v>0.1</v>
      </c>
      <c r="J75" s="64">
        <v>0.44</v>
      </c>
      <c r="K75" s="64">
        <v>355.26</v>
      </c>
      <c r="L75" s="64">
        <v>23.73</v>
      </c>
      <c r="M75" s="64">
        <v>30.35</v>
      </c>
      <c r="N75" s="64">
        <v>45.9</v>
      </c>
      <c r="O75" s="64">
        <v>0</v>
      </c>
      <c r="P75" s="64">
        <v>1.02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4" t="s">
        <v>1082</v>
      </c>
      <c r="B76" s="64">
        <v>5.0199999999999996</v>
      </c>
      <c r="C76" s="64">
        <v>40.49</v>
      </c>
      <c r="D76" s="64">
        <v>24.72</v>
      </c>
      <c r="E76" s="64">
        <v>10.69</v>
      </c>
      <c r="F76" s="64">
        <v>10.62</v>
      </c>
      <c r="G76" s="64">
        <v>41.28</v>
      </c>
      <c r="H76" s="64">
        <v>10.15</v>
      </c>
      <c r="I76" s="64">
        <v>0.1</v>
      </c>
      <c r="J76" s="64">
        <v>0.56000000000000005</v>
      </c>
      <c r="K76" s="64">
        <v>70.19</v>
      </c>
      <c r="L76" s="64">
        <v>23.11</v>
      </c>
      <c r="M76" s="64">
        <v>31.11</v>
      </c>
      <c r="N76" s="64">
        <v>40.700000000000003</v>
      </c>
      <c r="O76" s="64">
        <v>0</v>
      </c>
      <c r="P76" s="64">
        <v>0.9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4" t="s">
        <v>1083</v>
      </c>
      <c r="B77" s="64">
        <v>8.4700000000000006</v>
      </c>
      <c r="C77" s="64">
        <v>39.99</v>
      </c>
      <c r="D77" s="64">
        <v>27.23</v>
      </c>
      <c r="E77" s="64">
        <v>7.94</v>
      </c>
      <c r="F77" s="64">
        <v>5.03</v>
      </c>
      <c r="G77" s="64">
        <v>38.25</v>
      </c>
      <c r="H77" s="64">
        <v>10.18</v>
      </c>
      <c r="I77" s="64">
        <v>0.1</v>
      </c>
      <c r="J77" s="64">
        <v>0.35</v>
      </c>
      <c r="K77" s="64">
        <v>87.9</v>
      </c>
      <c r="L77" s="64">
        <v>22.4</v>
      </c>
      <c r="M77" s="64">
        <v>34.99</v>
      </c>
      <c r="N77" s="64">
        <v>36</v>
      </c>
      <c r="O77" s="64">
        <v>0</v>
      </c>
      <c r="P77" s="64">
        <v>0.9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4" t="s">
        <v>1084</v>
      </c>
      <c r="B78" s="64">
        <v>6.66</v>
      </c>
      <c r="C78" s="64">
        <v>38.799999999999997</v>
      </c>
      <c r="D78" s="64">
        <v>25.15</v>
      </c>
      <c r="E78" s="64">
        <v>4.26</v>
      </c>
      <c r="F78" s="64">
        <v>3.19</v>
      </c>
      <c r="G78" s="64">
        <v>38.25</v>
      </c>
      <c r="H78" s="64">
        <v>10.18</v>
      </c>
      <c r="I78" s="64">
        <v>0.1</v>
      </c>
      <c r="J78" s="64">
        <v>0.55000000000000004</v>
      </c>
      <c r="K78" s="64">
        <v>302.83999999999997</v>
      </c>
      <c r="L78" s="64">
        <v>21.09</v>
      </c>
      <c r="M78" s="64">
        <v>37.85</v>
      </c>
      <c r="N78" s="64">
        <v>33.700000000000003</v>
      </c>
      <c r="O78" s="64">
        <v>0</v>
      </c>
      <c r="P78" s="64">
        <v>0.83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4" t="s">
        <v>1085</v>
      </c>
      <c r="B79" s="64">
        <v>13.18</v>
      </c>
      <c r="C79" s="64">
        <v>33.369999999999997</v>
      </c>
      <c r="D79" s="64">
        <v>27.54</v>
      </c>
      <c r="E79" s="64">
        <v>4.78</v>
      </c>
      <c r="F79" s="64">
        <v>2.84</v>
      </c>
      <c r="G79" s="64">
        <v>38.25</v>
      </c>
      <c r="H79" s="64">
        <v>10.18</v>
      </c>
      <c r="I79" s="64">
        <v>0.1</v>
      </c>
      <c r="J79" s="64">
        <v>0.3</v>
      </c>
      <c r="K79" s="64">
        <v>305.33</v>
      </c>
      <c r="L79" s="64">
        <v>20.02</v>
      </c>
      <c r="M79" s="64">
        <v>45.42</v>
      </c>
      <c r="N79" s="64">
        <v>32.9</v>
      </c>
      <c r="O79" s="64">
        <v>0</v>
      </c>
      <c r="P79" s="64">
        <v>0.86</v>
      </c>
      <c r="Q79" s="64">
        <v>9.6199999999999992</v>
      </c>
      <c r="R79" s="198"/>
      <c r="S79" s="198"/>
      <c r="T79" s="198"/>
      <c r="U79" s="198"/>
    </row>
    <row r="80" spans="1:21" s="12" customFormat="1" x14ac:dyDescent="0.25">
      <c r="A80" s="214" t="s">
        <v>1086</v>
      </c>
      <c r="B80" s="64">
        <v>16.28</v>
      </c>
      <c r="C80" s="64">
        <v>30.95</v>
      </c>
      <c r="D80" s="64">
        <v>28.72</v>
      </c>
      <c r="E80" s="64">
        <v>4.4800000000000004</v>
      </c>
      <c r="F80" s="64">
        <v>3.08</v>
      </c>
      <c r="G80" s="64">
        <v>57.14</v>
      </c>
      <c r="H80" s="64">
        <v>12.62</v>
      </c>
      <c r="I80" s="64">
        <v>0.1</v>
      </c>
      <c r="J80" s="64">
        <v>0.64</v>
      </c>
      <c r="K80" s="64">
        <v>33.58</v>
      </c>
      <c r="L80" s="64">
        <v>19.059999999999999</v>
      </c>
      <c r="M80" s="64">
        <v>45.7</v>
      </c>
      <c r="N80" s="64">
        <v>32.799999999999997</v>
      </c>
      <c r="O80" s="64">
        <v>0</v>
      </c>
      <c r="P80" s="64">
        <v>0.92</v>
      </c>
      <c r="Q80" s="64">
        <v>9.6199999999999992</v>
      </c>
      <c r="R80" s="198"/>
      <c r="S80" s="198"/>
      <c r="T80" s="198"/>
      <c r="U80" s="198"/>
    </row>
    <row r="81" spans="1:26" s="12" customFormat="1" x14ac:dyDescent="0.25">
      <c r="A81" s="214" t="s">
        <v>1087</v>
      </c>
      <c r="B81" s="64">
        <v>19.350000000000001</v>
      </c>
      <c r="C81" s="64">
        <v>27.58</v>
      </c>
      <c r="D81" s="64">
        <v>29.47</v>
      </c>
      <c r="E81" s="64">
        <v>4.1900000000000004</v>
      </c>
      <c r="F81" s="64">
        <v>2.71</v>
      </c>
      <c r="G81" s="64">
        <v>132.69</v>
      </c>
      <c r="H81" s="64">
        <v>23.73</v>
      </c>
      <c r="I81" s="64">
        <v>0.1</v>
      </c>
      <c r="J81" s="64">
        <v>0.42</v>
      </c>
      <c r="K81" s="64">
        <v>279.02999999999997</v>
      </c>
      <c r="L81" s="64">
        <v>18.45</v>
      </c>
      <c r="M81" s="64">
        <v>46.71</v>
      </c>
      <c r="N81" s="64">
        <v>32.6</v>
      </c>
      <c r="O81" s="64">
        <v>0</v>
      </c>
      <c r="P81" s="64">
        <v>0.99</v>
      </c>
      <c r="Q81" s="64">
        <v>9.64</v>
      </c>
      <c r="R81" s="198"/>
      <c r="S81" s="198"/>
      <c r="T81" s="198"/>
      <c r="U81" s="198"/>
    </row>
    <row r="82" spans="1:26" s="12" customFormat="1" x14ac:dyDescent="0.25">
      <c r="A82" s="214" t="s">
        <v>1088</v>
      </c>
      <c r="B82" s="64">
        <v>24.86</v>
      </c>
      <c r="C82" s="64">
        <v>24.28</v>
      </c>
      <c r="D82" s="64">
        <v>32.159999999999997</v>
      </c>
      <c r="E82" s="64">
        <v>4.12</v>
      </c>
      <c r="F82" s="64">
        <v>2.74</v>
      </c>
      <c r="G82" s="64">
        <v>132.69</v>
      </c>
      <c r="H82" s="64">
        <v>23.73</v>
      </c>
      <c r="I82" s="64">
        <v>0.1</v>
      </c>
      <c r="J82" s="64">
        <v>0.66</v>
      </c>
      <c r="K82" s="64">
        <v>263.24</v>
      </c>
      <c r="L82" s="64">
        <v>17.96</v>
      </c>
      <c r="M82" s="64">
        <v>50.15</v>
      </c>
      <c r="N82" s="64">
        <v>32.5</v>
      </c>
      <c r="O82" s="64">
        <v>0</v>
      </c>
      <c r="P82" s="64">
        <v>1.06</v>
      </c>
      <c r="Q82" s="64">
        <v>9.66</v>
      </c>
      <c r="R82" s="198"/>
      <c r="S82" s="198"/>
      <c r="T82" s="198"/>
      <c r="U82" s="198"/>
    </row>
    <row r="83" spans="1:26" s="12" customFormat="1" x14ac:dyDescent="0.25">
      <c r="A83" s="214" t="s">
        <v>1089</v>
      </c>
      <c r="B83" s="64">
        <v>30.78</v>
      </c>
      <c r="C83" s="64">
        <v>20.82</v>
      </c>
      <c r="D83" s="64">
        <v>35.1</v>
      </c>
      <c r="E83" s="64">
        <v>4.2699999999999996</v>
      </c>
      <c r="F83" s="64">
        <v>2.93</v>
      </c>
      <c r="G83" s="64">
        <v>132.69</v>
      </c>
      <c r="H83" s="64">
        <v>23.73</v>
      </c>
      <c r="I83" s="64">
        <v>0.1</v>
      </c>
      <c r="J83" s="64">
        <v>0.59</v>
      </c>
      <c r="K83" s="64">
        <v>127.56</v>
      </c>
      <c r="L83" s="64">
        <v>17.600000000000001</v>
      </c>
      <c r="M83" s="64">
        <v>52.79</v>
      </c>
      <c r="N83" s="64">
        <v>32.4</v>
      </c>
      <c r="O83" s="64">
        <v>0</v>
      </c>
      <c r="P83" s="64">
        <v>1.1399999999999999</v>
      </c>
      <c r="Q83" s="64">
        <v>9.68</v>
      </c>
      <c r="R83" s="198"/>
      <c r="S83" s="198"/>
      <c r="T83" s="198"/>
      <c r="U83" s="198"/>
    </row>
    <row r="84" spans="1:26" s="12" customFormat="1" x14ac:dyDescent="0.25">
      <c r="A84" s="214" t="s">
        <v>1090</v>
      </c>
      <c r="B84" s="64">
        <v>35.799999999999997</v>
      </c>
      <c r="C84" s="64">
        <v>18.68</v>
      </c>
      <c r="D84" s="64">
        <v>38.01</v>
      </c>
      <c r="E84" s="64">
        <v>4.29</v>
      </c>
      <c r="F84" s="64">
        <v>2.67</v>
      </c>
      <c r="G84" s="64">
        <v>138.28</v>
      </c>
      <c r="H84" s="64">
        <v>26.57</v>
      </c>
      <c r="I84" s="64">
        <v>0.1</v>
      </c>
      <c r="J84" s="64">
        <v>0.26</v>
      </c>
      <c r="K84" s="64">
        <v>299.42</v>
      </c>
      <c r="L84" s="64">
        <v>17.329999999999998</v>
      </c>
      <c r="M84" s="64">
        <v>56.68</v>
      </c>
      <c r="N84" s="64">
        <v>32.299999999999997</v>
      </c>
      <c r="O84" s="64">
        <v>0</v>
      </c>
      <c r="P84" s="64">
        <v>1.24</v>
      </c>
      <c r="Q84" s="64">
        <v>9.68</v>
      </c>
      <c r="R84" s="198"/>
      <c r="S84" s="198"/>
      <c r="T84" s="198"/>
      <c r="U84" s="198"/>
    </row>
    <row r="85" spans="1:26" s="12" customFormat="1" x14ac:dyDescent="0.25">
      <c r="A85" s="214" t="s">
        <v>1091</v>
      </c>
      <c r="B85" s="64">
        <v>42.96</v>
      </c>
      <c r="C85" s="64">
        <v>14.55</v>
      </c>
      <c r="D85" s="64">
        <v>41.6</v>
      </c>
      <c r="E85" s="64">
        <v>4.7699999999999996</v>
      </c>
      <c r="F85" s="64">
        <v>2.71</v>
      </c>
      <c r="G85" s="64">
        <v>160.62</v>
      </c>
      <c r="H85" s="64">
        <v>34.92</v>
      </c>
      <c r="I85" s="64">
        <v>0.1</v>
      </c>
      <c r="J85" s="64">
        <v>0.67</v>
      </c>
      <c r="K85" s="64">
        <v>304.5</v>
      </c>
      <c r="L85" s="64">
        <v>16.96</v>
      </c>
      <c r="M85" s="64">
        <v>59.82</v>
      </c>
      <c r="N85" s="64">
        <v>32.5</v>
      </c>
      <c r="O85" s="64">
        <v>0</v>
      </c>
      <c r="P85" s="64">
        <v>1.32</v>
      </c>
      <c r="Q85" s="64">
        <v>9.68</v>
      </c>
      <c r="R85" s="198"/>
      <c r="S85" s="198"/>
      <c r="T85" s="198"/>
      <c r="U85" s="198"/>
    </row>
    <row r="86" spans="1:26" s="12" customFormat="1" x14ac:dyDescent="0.25">
      <c r="A86" s="214" t="s">
        <v>1092</v>
      </c>
      <c r="B86" s="64">
        <v>49.66</v>
      </c>
      <c r="C86" s="64">
        <v>10.87</v>
      </c>
      <c r="D86" s="64">
        <v>45.05</v>
      </c>
      <c r="E86" s="64">
        <v>4.5599999999999996</v>
      </c>
      <c r="F86" s="64">
        <v>2.58</v>
      </c>
      <c r="G86" s="64">
        <v>160.62</v>
      </c>
      <c r="H86" s="64">
        <v>34.92</v>
      </c>
      <c r="I86" s="64">
        <v>0.1</v>
      </c>
      <c r="J86" s="64">
        <v>0.63</v>
      </c>
      <c r="K86" s="64">
        <v>305.52999999999997</v>
      </c>
      <c r="L86" s="64">
        <v>16.52</v>
      </c>
      <c r="M86" s="64">
        <v>62.47</v>
      </c>
      <c r="N86" s="64">
        <v>32.299999999999997</v>
      </c>
      <c r="O86" s="64">
        <v>0</v>
      </c>
      <c r="P86" s="64">
        <v>1.49</v>
      </c>
      <c r="Q86" s="64">
        <v>9.6999999999999993</v>
      </c>
      <c r="R86" s="198"/>
      <c r="S86" s="198"/>
      <c r="T86" s="198"/>
      <c r="U86" s="198"/>
    </row>
    <row r="87" spans="1:26" s="12" customFormat="1" x14ac:dyDescent="0.25">
      <c r="A87" s="214" t="s">
        <v>1093</v>
      </c>
      <c r="B87" s="64">
        <v>56.98</v>
      </c>
      <c r="C87" s="64">
        <v>6.58</v>
      </c>
      <c r="D87" s="64">
        <v>48.67</v>
      </c>
      <c r="E87" s="64">
        <v>5.04</v>
      </c>
      <c r="F87" s="64">
        <v>2.84</v>
      </c>
      <c r="G87" s="64">
        <v>160.62</v>
      </c>
      <c r="H87" s="64">
        <v>34.92</v>
      </c>
      <c r="I87" s="64">
        <v>0.1</v>
      </c>
      <c r="J87" s="64">
        <v>0.67</v>
      </c>
      <c r="K87" s="64">
        <v>304.31</v>
      </c>
      <c r="L87" s="64">
        <v>16.43</v>
      </c>
      <c r="M87" s="64">
        <v>64.73</v>
      </c>
      <c r="N87" s="64">
        <v>32.200000000000003</v>
      </c>
      <c r="O87" s="64">
        <v>0</v>
      </c>
      <c r="P87" s="64">
        <v>1.58</v>
      </c>
      <c r="Q87" s="64">
        <v>9.6999999999999993</v>
      </c>
      <c r="R87" s="198"/>
      <c r="S87" s="198"/>
      <c r="T87" s="198"/>
      <c r="U87" s="198"/>
    </row>
    <row r="88" spans="1:26" s="12" customFormat="1" x14ac:dyDescent="0.25">
      <c r="A88" s="214" t="s">
        <v>1094</v>
      </c>
      <c r="B88" s="64">
        <v>66.44</v>
      </c>
      <c r="C88" s="64">
        <v>1.37</v>
      </c>
      <c r="D88" s="64">
        <v>53.47</v>
      </c>
      <c r="E88" s="64">
        <v>4.58</v>
      </c>
      <c r="F88" s="64">
        <v>2.72</v>
      </c>
      <c r="G88" s="64">
        <v>161.11000000000001</v>
      </c>
      <c r="H88" s="64">
        <v>38.21</v>
      </c>
      <c r="I88" s="64">
        <v>0.1</v>
      </c>
      <c r="J88" s="64">
        <v>0.67</v>
      </c>
      <c r="K88" s="64">
        <v>307.3</v>
      </c>
      <c r="L88" s="64">
        <v>16.39</v>
      </c>
      <c r="M88" s="64">
        <v>68.3</v>
      </c>
      <c r="N88" s="64">
        <v>32.299999999999997</v>
      </c>
      <c r="O88" s="64">
        <v>0</v>
      </c>
      <c r="P88" s="64">
        <v>1.76</v>
      </c>
      <c r="Q88" s="64">
        <v>9.73</v>
      </c>
      <c r="R88" s="198"/>
      <c r="S88" s="198"/>
      <c r="T88" s="198"/>
      <c r="U88" s="198"/>
    </row>
    <row r="89" spans="1:26" s="12" customFormat="1" x14ac:dyDescent="0.25">
      <c r="A89" s="214" t="s">
        <v>1095</v>
      </c>
      <c r="B89" s="64">
        <v>75.099999999999994</v>
      </c>
      <c r="C89" s="64">
        <v>1.37</v>
      </c>
      <c r="D89" s="64">
        <v>57.95</v>
      </c>
      <c r="E89" s="64">
        <v>4.87</v>
      </c>
      <c r="F89" s="64">
        <v>2.68</v>
      </c>
      <c r="G89" s="64">
        <v>163.07</v>
      </c>
      <c r="H89" s="64">
        <v>47.88</v>
      </c>
      <c r="I89" s="64">
        <v>0.1</v>
      </c>
      <c r="J89" s="64">
        <v>0.63</v>
      </c>
      <c r="K89" s="64">
        <v>314.39</v>
      </c>
      <c r="L89" s="64">
        <v>16.05</v>
      </c>
      <c r="M89" s="64">
        <v>66.44</v>
      </c>
      <c r="N89" s="64">
        <v>32.5</v>
      </c>
      <c r="O89" s="64">
        <v>0</v>
      </c>
      <c r="P89" s="64">
        <v>1.96</v>
      </c>
      <c r="Q89" s="64">
        <v>9.75</v>
      </c>
      <c r="R89" s="198"/>
      <c r="S89" s="198"/>
      <c r="T89" s="198"/>
      <c r="U89" s="198"/>
    </row>
    <row r="90" spans="1:26" s="12" customFormat="1" x14ac:dyDescent="0.25">
      <c r="A90" s="214" t="s">
        <v>1096</v>
      </c>
      <c r="B90" s="64">
        <v>81.95</v>
      </c>
      <c r="C90" s="64">
        <v>1.37</v>
      </c>
      <c r="D90" s="64">
        <v>61.47</v>
      </c>
      <c r="E90" s="64">
        <v>5</v>
      </c>
      <c r="F90" s="64">
        <v>2.61</v>
      </c>
      <c r="G90" s="64">
        <v>163.07</v>
      </c>
      <c r="H90" s="64">
        <v>47.88</v>
      </c>
      <c r="I90" s="64">
        <v>0.1</v>
      </c>
      <c r="J90" s="64">
        <v>0.4</v>
      </c>
      <c r="K90" s="64">
        <v>247.6</v>
      </c>
      <c r="L90" s="64">
        <v>15.76</v>
      </c>
      <c r="M90" s="64">
        <v>68.86</v>
      </c>
      <c r="N90" s="64">
        <v>32.299999999999997</v>
      </c>
      <c r="O90" s="64">
        <v>0</v>
      </c>
      <c r="P90" s="64">
        <v>2.08</v>
      </c>
      <c r="Q90" s="64">
        <v>9.7799999999999994</v>
      </c>
      <c r="R90" s="198"/>
      <c r="S90" s="198"/>
      <c r="T90" s="198"/>
      <c r="U90" s="198"/>
    </row>
    <row r="91" spans="1:26" s="12" customFormat="1" x14ac:dyDescent="0.25">
      <c r="A91" s="214" t="s">
        <v>1097</v>
      </c>
      <c r="B91" s="64">
        <v>92.5</v>
      </c>
      <c r="C91" s="64">
        <v>1.37</v>
      </c>
      <c r="D91" s="64">
        <v>66.98</v>
      </c>
      <c r="E91" s="64">
        <v>5.48</v>
      </c>
      <c r="F91" s="64">
        <v>2.58</v>
      </c>
      <c r="G91" s="64">
        <v>163.07</v>
      </c>
      <c r="H91" s="64">
        <v>47.88</v>
      </c>
      <c r="I91" s="64">
        <v>0.1</v>
      </c>
      <c r="J91" s="64">
        <v>0.62</v>
      </c>
      <c r="K91" s="64">
        <v>333.54</v>
      </c>
      <c r="L91" s="64">
        <v>15.72</v>
      </c>
      <c r="M91" s="64">
        <v>73.69</v>
      </c>
      <c r="N91" s="64">
        <v>32.299999999999997</v>
      </c>
      <c r="O91" s="64">
        <v>0</v>
      </c>
      <c r="P91" s="64">
        <v>2.23</v>
      </c>
      <c r="Q91" s="64">
        <v>9.7899999999999991</v>
      </c>
      <c r="R91" s="198"/>
      <c r="S91" s="198"/>
      <c r="T91" s="198"/>
      <c r="U91" s="198"/>
    </row>
    <row r="92" spans="1:26" s="12" customFormat="1" x14ac:dyDescent="0.25">
      <c r="A92" s="214" t="s">
        <v>1098</v>
      </c>
      <c r="B92" s="64">
        <v>105.01</v>
      </c>
      <c r="C92" s="64">
        <v>1.37</v>
      </c>
      <c r="D92" s="64">
        <v>73.48</v>
      </c>
      <c r="E92" s="64">
        <v>5.49</v>
      </c>
      <c r="F92" s="64">
        <v>2.91</v>
      </c>
      <c r="G92" s="64">
        <v>170.81</v>
      </c>
      <c r="H92" s="64">
        <v>51.67</v>
      </c>
      <c r="I92" s="64">
        <v>0.1</v>
      </c>
      <c r="J92" s="64">
        <v>0.62</v>
      </c>
      <c r="K92" s="64">
        <v>331.38</v>
      </c>
      <c r="L92" s="64">
        <v>15.5</v>
      </c>
      <c r="M92" s="64">
        <v>72.14</v>
      </c>
      <c r="N92" s="64">
        <v>32.4</v>
      </c>
      <c r="O92" s="64">
        <v>0</v>
      </c>
      <c r="P92" s="64">
        <v>2.4300000000000002</v>
      </c>
      <c r="Q92" s="64">
        <v>9.82</v>
      </c>
      <c r="R92" s="198"/>
      <c r="S92" s="198"/>
      <c r="T92" s="198"/>
      <c r="U92" s="198"/>
    </row>
    <row r="93" spans="1:26" s="12" customFormat="1" x14ac:dyDescent="0.25">
      <c r="A93" s="214" t="s">
        <v>1099</v>
      </c>
      <c r="B93" s="64">
        <v>116.35</v>
      </c>
      <c r="C93" s="64">
        <v>1.37</v>
      </c>
      <c r="D93" s="64">
        <v>79.33</v>
      </c>
      <c r="E93" s="64">
        <v>5.67</v>
      </c>
      <c r="F93" s="64">
        <v>3.09</v>
      </c>
      <c r="G93" s="64">
        <v>201.81</v>
      </c>
      <c r="H93" s="64">
        <v>62.85</v>
      </c>
      <c r="I93" s="64">
        <v>0.1</v>
      </c>
      <c r="J93" s="64">
        <v>0.18</v>
      </c>
      <c r="K93" s="64">
        <v>114.28</v>
      </c>
      <c r="L93" s="64">
        <v>15.34</v>
      </c>
      <c r="M93" s="64">
        <v>75.56</v>
      </c>
      <c r="N93" s="64">
        <v>32.4</v>
      </c>
      <c r="O93" s="64">
        <v>0</v>
      </c>
      <c r="P93" s="64">
        <v>2.62</v>
      </c>
      <c r="Q93" s="64">
        <v>9.83</v>
      </c>
      <c r="R93" s="198"/>
      <c r="S93" s="198"/>
      <c r="T93" s="198"/>
      <c r="U93" s="198"/>
    </row>
    <row r="94" spans="1:26" s="12" customFormat="1" x14ac:dyDescent="0.25">
      <c r="A94" s="214" t="s">
        <v>1100</v>
      </c>
      <c r="B94" s="64">
        <v>129.01</v>
      </c>
      <c r="C94" s="64">
        <v>1.37</v>
      </c>
      <c r="D94" s="64">
        <v>86.06</v>
      </c>
      <c r="E94" s="64">
        <v>5.84</v>
      </c>
      <c r="F94" s="64">
        <v>3.15</v>
      </c>
      <c r="G94" s="64">
        <v>201.81</v>
      </c>
      <c r="H94" s="64">
        <v>62.85</v>
      </c>
      <c r="I94" s="64">
        <v>0.1</v>
      </c>
      <c r="J94" s="64">
        <v>0.32</v>
      </c>
      <c r="K94" s="64">
        <v>273.41000000000003</v>
      </c>
      <c r="L94" s="64">
        <v>15.25</v>
      </c>
      <c r="M94" s="64">
        <v>78.89</v>
      </c>
      <c r="N94" s="64">
        <v>32.299999999999997</v>
      </c>
      <c r="O94" s="64">
        <v>0</v>
      </c>
      <c r="P94" s="64">
        <v>2.8</v>
      </c>
      <c r="Q94" s="64">
        <v>9.84</v>
      </c>
      <c r="R94" s="198"/>
      <c r="S94" s="198"/>
      <c r="T94" s="198"/>
      <c r="U94" s="198"/>
    </row>
    <row r="95" spans="1:26" s="12" customFormat="1" x14ac:dyDescent="0.25">
      <c r="A95" s="214" t="s">
        <v>1101</v>
      </c>
      <c r="B95" s="64">
        <v>142.11000000000001</v>
      </c>
      <c r="C95" s="64">
        <v>1.37</v>
      </c>
      <c r="D95" s="64">
        <v>92.98</v>
      </c>
      <c r="E95" s="64">
        <v>5.93</v>
      </c>
      <c r="F95" s="64">
        <v>3.18</v>
      </c>
      <c r="G95" s="64">
        <v>201.81</v>
      </c>
      <c r="H95" s="64">
        <v>62.85</v>
      </c>
      <c r="I95" s="64">
        <v>0.1</v>
      </c>
      <c r="J95" s="64">
        <v>0.51</v>
      </c>
      <c r="K95" s="64">
        <v>303.99</v>
      </c>
      <c r="L95" s="64">
        <v>15.35</v>
      </c>
      <c r="M95" s="64">
        <v>79.489999999999995</v>
      </c>
      <c r="N95" s="64">
        <v>32.200000000000003</v>
      </c>
      <c r="O95" s="64">
        <v>0</v>
      </c>
      <c r="P95" s="64">
        <v>2.98</v>
      </c>
      <c r="Q95" s="64">
        <v>9.8699999999999992</v>
      </c>
      <c r="R95" s="198"/>
      <c r="S95" s="198"/>
      <c r="T95" s="198"/>
      <c r="U95" s="198"/>
    </row>
    <row r="96" spans="1:26" s="12" customFormat="1" x14ac:dyDescent="0.25">
      <c r="A96" s="214" t="s">
        <v>1102</v>
      </c>
      <c r="B96" s="64">
        <v>153.63999999999999</v>
      </c>
      <c r="C96" s="64">
        <v>1.37</v>
      </c>
      <c r="D96" s="64">
        <v>98.54</v>
      </c>
      <c r="E96" s="64">
        <v>6.34</v>
      </c>
      <c r="F96" s="64">
        <v>3.2</v>
      </c>
      <c r="G96" s="64">
        <v>207.58</v>
      </c>
      <c r="H96" s="64">
        <v>66.33</v>
      </c>
      <c r="I96" s="64">
        <v>0.1</v>
      </c>
      <c r="J96" s="64">
        <v>0.43</v>
      </c>
      <c r="K96" s="64">
        <v>1.77</v>
      </c>
      <c r="L96" s="64">
        <v>15.14</v>
      </c>
      <c r="M96" s="64">
        <v>82.78</v>
      </c>
      <c r="N96" s="64">
        <v>32.299999999999997</v>
      </c>
      <c r="O96" s="64">
        <v>0</v>
      </c>
      <c r="P96" s="64">
        <v>3.13</v>
      </c>
      <c r="Q96" s="64">
        <v>9.91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1103</v>
      </c>
      <c r="B97" s="64">
        <v>167.08</v>
      </c>
      <c r="C97" s="64">
        <v>1.37</v>
      </c>
      <c r="D97" s="64">
        <v>105.5</v>
      </c>
      <c r="E97" s="64">
        <v>6.53</v>
      </c>
      <c r="F97" s="64">
        <v>3.4</v>
      </c>
      <c r="G97" s="64">
        <v>230.65</v>
      </c>
      <c r="H97" s="64">
        <v>82.14</v>
      </c>
      <c r="I97" s="64">
        <v>0.1</v>
      </c>
      <c r="J97" s="64">
        <v>0.68</v>
      </c>
      <c r="K97" s="64">
        <v>254.98</v>
      </c>
      <c r="L97" s="64">
        <v>15.02</v>
      </c>
      <c r="M97" s="64">
        <v>84.32</v>
      </c>
      <c r="N97" s="64">
        <v>32.200000000000003</v>
      </c>
      <c r="O97" s="64">
        <v>0</v>
      </c>
      <c r="P97" s="64">
        <v>3.34</v>
      </c>
      <c r="Q97" s="64">
        <v>9.92</v>
      </c>
      <c r="R97" s="198"/>
      <c r="S97" s="198"/>
      <c r="T97" s="198"/>
      <c r="U97" s="198"/>
    </row>
    <row r="98" spans="1:33" s="12" customFormat="1" x14ac:dyDescent="0.25">
      <c r="A98" s="214" t="s">
        <v>1104</v>
      </c>
      <c r="B98" s="64">
        <v>174.21</v>
      </c>
      <c r="C98" s="64">
        <v>1.37</v>
      </c>
      <c r="D98" s="64">
        <v>109.18</v>
      </c>
      <c r="E98" s="64">
        <v>6.73</v>
      </c>
      <c r="F98" s="64">
        <v>3.19</v>
      </c>
      <c r="G98" s="64">
        <v>230.65</v>
      </c>
      <c r="H98" s="64">
        <v>82.14</v>
      </c>
      <c r="I98" s="64">
        <v>0.1</v>
      </c>
      <c r="J98" s="64">
        <v>0.63</v>
      </c>
      <c r="K98" s="64">
        <v>332.09</v>
      </c>
      <c r="L98" s="64">
        <v>14.94</v>
      </c>
      <c r="M98" s="64">
        <v>93.03</v>
      </c>
      <c r="N98" s="64">
        <v>32.299999999999997</v>
      </c>
      <c r="O98" s="64">
        <v>0</v>
      </c>
      <c r="P98" s="64">
        <v>3.52</v>
      </c>
      <c r="Q98" s="64">
        <v>9.9499999999999993</v>
      </c>
      <c r="R98" s="198"/>
      <c r="S98" s="198"/>
      <c r="T98" s="198"/>
      <c r="U98" s="198"/>
    </row>
    <row r="99" spans="1:33" s="12" customFormat="1" x14ac:dyDescent="0.25">
      <c r="A99" s="214" t="s">
        <v>1105</v>
      </c>
      <c r="B99" s="64">
        <v>180.7</v>
      </c>
      <c r="C99" s="64">
        <v>2.6</v>
      </c>
      <c r="D99" s="64">
        <v>112.46</v>
      </c>
      <c r="E99" s="64">
        <v>6.76</v>
      </c>
      <c r="F99" s="64">
        <v>3.4</v>
      </c>
      <c r="G99" s="64">
        <v>230.65</v>
      </c>
      <c r="H99" s="64">
        <v>82.14</v>
      </c>
      <c r="I99" s="64">
        <v>0.1</v>
      </c>
      <c r="J99" s="64">
        <v>0.16</v>
      </c>
      <c r="K99" s="64">
        <v>178.06</v>
      </c>
      <c r="L99" s="64">
        <v>14.78</v>
      </c>
      <c r="M99" s="64">
        <v>97.14</v>
      </c>
      <c r="N99" s="64">
        <v>32.200000000000003</v>
      </c>
      <c r="O99" s="64">
        <v>0</v>
      </c>
      <c r="P99" s="64">
        <v>3.7</v>
      </c>
      <c r="Q99" s="64">
        <v>9.9700000000000006</v>
      </c>
      <c r="R99" s="198"/>
      <c r="S99" s="198"/>
      <c r="T99" s="198"/>
      <c r="U99" s="198"/>
    </row>
    <row r="100" spans="1:33" s="12" customFormat="1" x14ac:dyDescent="0.25">
      <c r="A100" s="214" t="s">
        <v>1106</v>
      </c>
      <c r="B100" s="64">
        <v>183.75</v>
      </c>
      <c r="C100" s="64">
        <v>2.6</v>
      </c>
      <c r="D100" s="64">
        <v>113.87</v>
      </c>
      <c r="E100" s="64">
        <v>6.46</v>
      </c>
      <c r="F100" s="64">
        <v>3.19</v>
      </c>
      <c r="G100" s="64">
        <v>220.37</v>
      </c>
      <c r="H100" s="64">
        <v>82.15</v>
      </c>
      <c r="I100" s="64">
        <v>0.1</v>
      </c>
      <c r="J100" s="64">
        <v>0.28999999999999998</v>
      </c>
      <c r="K100" s="64">
        <v>135.66</v>
      </c>
      <c r="L100" s="64">
        <v>14.62</v>
      </c>
      <c r="M100" s="64">
        <v>96.7</v>
      </c>
      <c r="N100" s="64">
        <v>32.299999999999997</v>
      </c>
      <c r="O100" s="64">
        <v>0</v>
      </c>
      <c r="P100" s="64">
        <v>3.87</v>
      </c>
      <c r="Q100" s="64">
        <v>9.9499999999999993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1107</v>
      </c>
      <c r="B101" s="64">
        <v>183.92</v>
      </c>
      <c r="C101" s="64">
        <v>2.6</v>
      </c>
      <c r="D101" s="64">
        <v>113.74</v>
      </c>
      <c r="E101" s="64">
        <v>6.53</v>
      </c>
      <c r="F101" s="64">
        <v>2.99</v>
      </c>
      <c r="G101" s="64">
        <v>179.26</v>
      </c>
      <c r="H101" s="64">
        <v>82.17</v>
      </c>
      <c r="I101" s="64">
        <v>0.1</v>
      </c>
      <c r="J101" s="64">
        <v>0.45</v>
      </c>
      <c r="K101" s="64">
        <v>198.62</v>
      </c>
      <c r="L101" s="64">
        <v>14.54</v>
      </c>
      <c r="M101" s="64">
        <v>92.31</v>
      </c>
      <c r="N101" s="64">
        <v>32.1</v>
      </c>
      <c r="O101" s="64">
        <v>0</v>
      </c>
      <c r="P101" s="64">
        <v>4</v>
      </c>
      <c r="Q101" s="64">
        <v>9.9499999999999993</v>
      </c>
      <c r="R101" s="198"/>
      <c r="S101" s="198"/>
      <c r="T101" s="198"/>
      <c r="U101" s="198"/>
    </row>
    <row r="102" spans="1:33" s="12" customFormat="1" x14ac:dyDescent="0.25">
      <c r="A102" s="214" t="s">
        <v>1108</v>
      </c>
      <c r="B102" s="64">
        <v>184.31</v>
      </c>
      <c r="C102" s="64">
        <v>2.6</v>
      </c>
      <c r="D102" s="64">
        <v>113.74</v>
      </c>
      <c r="E102" s="64">
        <v>6.6</v>
      </c>
      <c r="F102" s="64">
        <v>2.99</v>
      </c>
      <c r="G102" s="64">
        <v>179.26</v>
      </c>
      <c r="H102" s="64">
        <v>82.17</v>
      </c>
      <c r="I102" s="64">
        <v>0.1</v>
      </c>
      <c r="J102" s="64">
        <v>0.74</v>
      </c>
      <c r="K102" s="64">
        <v>215.83</v>
      </c>
      <c r="L102" s="64">
        <v>14.57</v>
      </c>
      <c r="M102" s="64">
        <v>90.11</v>
      </c>
      <c r="N102" s="64">
        <v>32.1</v>
      </c>
      <c r="O102" s="64">
        <v>0</v>
      </c>
      <c r="P102" s="64">
        <v>4.12</v>
      </c>
      <c r="Q102" s="64">
        <v>9.9600000000000009</v>
      </c>
      <c r="R102" s="198"/>
      <c r="S102" s="198"/>
      <c r="T102" s="198"/>
      <c r="U102" s="198"/>
    </row>
    <row r="103" spans="1:33" s="12" customFormat="1" x14ac:dyDescent="0.25">
      <c r="A103" s="214" t="s">
        <v>1109</v>
      </c>
      <c r="B103" s="64">
        <v>184.72</v>
      </c>
      <c r="C103" s="64">
        <v>2.6</v>
      </c>
      <c r="D103" s="64">
        <v>113.78</v>
      </c>
      <c r="E103" s="64">
        <v>6.47</v>
      </c>
      <c r="F103" s="64">
        <v>3.28</v>
      </c>
      <c r="G103" s="64">
        <v>179.26</v>
      </c>
      <c r="H103" s="64">
        <v>82.17</v>
      </c>
      <c r="I103" s="64">
        <v>0.1</v>
      </c>
      <c r="J103" s="64">
        <v>0.5</v>
      </c>
      <c r="K103" s="64">
        <v>338.68</v>
      </c>
      <c r="L103" s="64">
        <v>14.6</v>
      </c>
      <c r="M103" s="64">
        <v>89.64</v>
      </c>
      <c r="N103" s="64">
        <v>32.4</v>
      </c>
      <c r="O103" s="64">
        <v>0</v>
      </c>
      <c r="P103" s="64">
        <v>4.2300000000000004</v>
      </c>
      <c r="Q103" s="64">
        <v>9.9600000000000009</v>
      </c>
      <c r="R103" s="198"/>
      <c r="S103" s="198"/>
      <c r="T103" s="198"/>
      <c r="U103" s="198"/>
    </row>
    <row r="104" spans="1:33" s="12" customFormat="1" x14ac:dyDescent="0.25">
      <c r="A104" s="214" t="s">
        <v>1110</v>
      </c>
      <c r="B104" s="64">
        <v>186.41</v>
      </c>
      <c r="C104" s="64">
        <v>2.6</v>
      </c>
      <c r="D104" s="64">
        <v>114.52</v>
      </c>
      <c r="E104" s="64">
        <v>5.53</v>
      </c>
      <c r="F104" s="64">
        <v>2.89</v>
      </c>
      <c r="G104" s="64">
        <v>176.08</v>
      </c>
      <c r="H104" s="64">
        <v>80.650000000000006</v>
      </c>
      <c r="I104" s="64">
        <v>0.1</v>
      </c>
      <c r="J104" s="64">
        <v>0.1</v>
      </c>
      <c r="K104" s="64">
        <v>221.6</v>
      </c>
      <c r="L104" s="64">
        <v>14.04</v>
      </c>
      <c r="M104" s="64">
        <v>93.07</v>
      </c>
      <c r="N104" s="64">
        <v>32.299999999999997</v>
      </c>
      <c r="O104" s="64">
        <v>0</v>
      </c>
      <c r="P104" s="64">
        <v>4.3600000000000003</v>
      </c>
      <c r="Q104" s="64">
        <v>9.98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3.47</v>
      </c>
      <c r="C106" s="67">
        <f>MIN(C9:C104)</f>
        <v>0.43</v>
      </c>
      <c r="D106" s="67">
        <f t="shared" ref="D106:Q106" si="0">MIN(D9:D104)</f>
        <v>16.16</v>
      </c>
      <c r="E106" s="67">
        <f t="shared" si="0"/>
        <v>3.83</v>
      </c>
      <c r="F106" s="67">
        <f t="shared" si="0"/>
        <v>2.58</v>
      </c>
      <c r="G106" s="67">
        <f t="shared" si="0"/>
        <v>0</v>
      </c>
      <c r="H106" s="67">
        <f t="shared" si="0"/>
        <v>0</v>
      </c>
      <c r="I106" s="67">
        <f t="shared" si="0"/>
        <v>0.1</v>
      </c>
      <c r="J106" s="67">
        <f t="shared" si="0"/>
        <v>0.04</v>
      </c>
      <c r="K106" s="67">
        <f t="shared" si="0"/>
        <v>1.77</v>
      </c>
      <c r="L106" s="67">
        <f t="shared" si="0"/>
        <v>10.65</v>
      </c>
      <c r="M106" s="67">
        <f t="shared" si="0"/>
        <v>15.28</v>
      </c>
      <c r="N106" s="67">
        <f t="shared" si="0"/>
        <v>31.8</v>
      </c>
      <c r="O106" s="67">
        <f t="shared" si="0"/>
        <v>0</v>
      </c>
      <c r="P106" s="67">
        <f t="shared" si="0"/>
        <v>0.37</v>
      </c>
      <c r="Q106" s="67">
        <f t="shared" si="0"/>
        <v>9.5399999999999991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186.41</v>
      </c>
      <c r="C107" s="66">
        <f t="shared" ref="C107:Q107" si="1">MAX(C9:C104)</f>
        <v>40.49</v>
      </c>
      <c r="D107" s="66">
        <f t="shared" si="1"/>
        <v>114.52</v>
      </c>
      <c r="E107" s="66">
        <f t="shared" si="1"/>
        <v>13.85</v>
      </c>
      <c r="F107" s="66">
        <f t="shared" si="1"/>
        <v>21.88</v>
      </c>
      <c r="G107" s="66">
        <f t="shared" si="1"/>
        <v>230.65</v>
      </c>
      <c r="H107" s="66">
        <f t="shared" si="1"/>
        <v>82.17</v>
      </c>
      <c r="I107" s="66">
        <f t="shared" si="1"/>
        <v>3.3</v>
      </c>
      <c r="J107" s="66">
        <f t="shared" si="1"/>
        <v>1.82</v>
      </c>
      <c r="K107" s="66">
        <f t="shared" si="1"/>
        <v>359.27</v>
      </c>
      <c r="L107" s="66">
        <f t="shared" si="1"/>
        <v>29.36</v>
      </c>
      <c r="M107" s="66">
        <f t="shared" si="1"/>
        <v>98.26</v>
      </c>
      <c r="N107" s="66">
        <f t="shared" si="1"/>
        <v>583</v>
      </c>
      <c r="O107" s="66">
        <f t="shared" si="1"/>
        <v>0</v>
      </c>
      <c r="P107" s="66">
        <f t="shared" si="1"/>
        <v>4.3600000000000003</v>
      </c>
      <c r="Q107" s="66">
        <f t="shared" si="1"/>
        <v>9.98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61.188541666666659</v>
      </c>
      <c r="C108" s="67">
        <f t="shared" ref="C108:Q108" si="2">AVERAGE(C9:C104)</f>
        <v>17.227213114754075</v>
      </c>
      <c r="D108" s="67">
        <f t="shared" si="2"/>
        <v>48.680104166666645</v>
      </c>
      <c r="E108" s="67">
        <f t="shared" si="2"/>
        <v>6.0265625000000007</v>
      </c>
      <c r="F108" s="67">
        <f t="shared" si="2"/>
        <v>5.2282291666666643</v>
      </c>
      <c r="G108" s="67">
        <f t="shared" si="2"/>
        <v>102.34645833333336</v>
      </c>
      <c r="H108" s="67">
        <f t="shared" si="2"/>
        <v>40.622395833333321</v>
      </c>
      <c r="I108" s="67">
        <f t="shared" si="2"/>
        <v>0.16135416666666649</v>
      </c>
      <c r="J108" s="67">
        <f t="shared" si="2"/>
        <v>0.5207291666666668</v>
      </c>
      <c r="K108" s="67">
        <f t="shared" si="2"/>
        <v>258.87697916666673</v>
      </c>
      <c r="L108" s="67">
        <f t="shared" si="2"/>
        <v>18.684583333333325</v>
      </c>
      <c r="M108" s="67">
        <f t="shared" si="2"/>
        <v>58.717708333333327</v>
      </c>
      <c r="N108" s="67">
        <f t="shared" si="2"/>
        <v>159.59791666666658</v>
      </c>
      <c r="O108" s="67">
        <f t="shared" si="2"/>
        <v>0</v>
      </c>
      <c r="P108" s="67">
        <f t="shared" si="2"/>
        <v>1.6454166666666667</v>
      </c>
      <c r="Q108" s="67">
        <f t="shared" si="2"/>
        <v>9.7206250000000036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49.725341796696036</v>
      </c>
      <c r="C109" s="67">
        <f t="shared" ref="C109:Q109" si="3">STDEV(C9:C104)</f>
        <v>13.83940390469037</v>
      </c>
      <c r="D109" s="67">
        <f t="shared" si="3"/>
        <v>25.864188470783208</v>
      </c>
      <c r="E109" s="67">
        <f t="shared" si="3"/>
        <v>2.2118036593765642</v>
      </c>
      <c r="F109" s="67">
        <f t="shared" si="3"/>
        <v>4.3207842842637199</v>
      </c>
      <c r="G109" s="67">
        <f t="shared" si="3"/>
        <v>60.21896676173445</v>
      </c>
      <c r="H109" s="67">
        <f t="shared" si="3"/>
        <v>21.062343236701253</v>
      </c>
      <c r="I109" s="67">
        <f t="shared" si="3"/>
        <v>0.35868948539067119</v>
      </c>
      <c r="J109" s="67">
        <f t="shared" si="3"/>
        <v>0.35800689435192273</v>
      </c>
      <c r="K109" s="67">
        <f t="shared" si="3"/>
        <v>101.08356973181073</v>
      </c>
      <c r="L109" s="67">
        <f t="shared" si="3"/>
        <v>6.570127278534315</v>
      </c>
      <c r="M109" s="67">
        <f t="shared" si="3"/>
        <v>31.18256383501139</v>
      </c>
      <c r="N109" s="67">
        <f t="shared" si="3"/>
        <v>204.77209461363671</v>
      </c>
      <c r="O109" s="67">
        <f t="shared" si="3"/>
        <v>0</v>
      </c>
      <c r="P109" s="67">
        <f t="shared" si="3"/>
        <v>0.94799835294845369</v>
      </c>
      <c r="Q109" s="67">
        <f t="shared" si="3"/>
        <v>9.9056735470664833E-2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COUNT(C9:C104)+35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03" sqref="C103:C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1111</v>
      </c>
      <c r="B9" s="64">
        <v>187.21</v>
      </c>
      <c r="C9" s="64">
        <v>2.2999999999999998</v>
      </c>
      <c r="D9" s="64">
        <v>114.67</v>
      </c>
      <c r="E9" s="64">
        <v>6.77</v>
      </c>
      <c r="F9" s="64">
        <v>2.99</v>
      </c>
      <c r="G9" s="64">
        <v>163.35</v>
      </c>
      <c r="H9" s="64">
        <v>76.180000000000007</v>
      </c>
      <c r="I9" s="64">
        <v>0.1</v>
      </c>
      <c r="J9" s="64">
        <v>0.65</v>
      </c>
      <c r="K9" s="64">
        <v>252.41</v>
      </c>
      <c r="L9" s="64">
        <v>13.99</v>
      </c>
      <c r="M9" s="64">
        <v>88.15</v>
      </c>
      <c r="N9" s="64">
        <v>32.1</v>
      </c>
      <c r="O9" s="64">
        <v>0</v>
      </c>
      <c r="P9" s="64">
        <v>4.4800000000000004</v>
      </c>
      <c r="Q9" s="64">
        <v>9.98</v>
      </c>
      <c r="R9" s="198"/>
      <c r="S9" s="198"/>
      <c r="T9" s="198"/>
      <c r="U9" s="198"/>
    </row>
    <row r="10" spans="1:21" s="12" customFormat="1" x14ac:dyDescent="0.25">
      <c r="A10" s="214" t="s">
        <v>1112</v>
      </c>
      <c r="B10" s="64">
        <v>184.82</v>
      </c>
      <c r="C10" s="64">
        <v>2.6</v>
      </c>
      <c r="D10" s="64">
        <v>113.51</v>
      </c>
      <c r="E10" s="64">
        <v>6.47</v>
      </c>
      <c r="F10" s="64">
        <v>3</v>
      </c>
      <c r="G10" s="64">
        <v>163.35</v>
      </c>
      <c r="H10" s="64">
        <v>76.180000000000007</v>
      </c>
      <c r="I10" s="64">
        <v>0.1</v>
      </c>
      <c r="J10" s="64">
        <v>0.18</v>
      </c>
      <c r="K10" s="64">
        <v>244.65</v>
      </c>
      <c r="L10" s="64">
        <v>14</v>
      </c>
      <c r="M10" s="64">
        <v>83.11</v>
      </c>
      <c r="N10" s="64">
        <v>32.299999999999997</v>
      </c>
      <c r="O10" s="64">
        <v>0</v>
      </c>
      <c r="P10" s="64">
        <v>4.57</v>
      </c>
      <c r="Q10" s="64">
        <v>9.9700000000000006</v>
      </c>
      <c r="R10" s="198"/>
      <c r="S10" s="198"/>
      <c r="T10" s="198"/>
      <c r="U10" s="198"/>
    </row>
    <row r="11" spans="1:21" s="12" customFormat="1" x14ac:dyDescent="0.25">
      <c r="A11" s="214" t="s">
        <v>1113</v>
      </c>
      <c r="B11" s="64">
        <v>180.75</v>
      </c>
      <c r="C11" s="64">
        <v>3.6</v>
      </c>
      <c r="D11" s="64">
        <v>111.3</v>
      </c>
      <c r="E11" s="64">
        <v>6.52</v>
      </c>
      <c r="F11" s="64">
        <v>3.32</v>
      </c>
      <c r="G11" s="64">
        <v>163.35</v>
      </c>
      <c r="H11" s="64">
        <v>76.180000000000007</v>
      </c>
      <c r="I11" s="64">
        <v>0.1</v>
      </c>
      <c r="J11" s="64">
        <v>0.3</v>
      </c>
      <c r="K11" s="64">
        <v>283.5</v>
      </c>
      <c r="L11" s="64">
        <v>13.83</v>
      </c>
      <c r="M11" s="64">
        <v>82.41</v>
      </c>
      <c r="N11" s="64">
        <v>32.4</v>
      </c>
      <c r="O11" s="64">
        <v>0</v>
      </c>
      <c r="P11" s="64">
        <v>4.59</v>
      </c>
      <c r="Q11" s="64">
        <v>9.9700000000000006</v>
      </c>
      <c r="R11" s="198"/>
      <c r="S11" s="198"/>
      <c r="T11" s="198"/>
      <c r="U11" s="198"/>
    </row>
    <row r="12" spans="1:21" s="12" customFormat="1" x14ac:dyDescent="0.25">
      <c r="A12" s="214" t="s">
        <v>1114</v>
      </c>
      <c r="B12" s="64">
        <v>175.49</v>
      </c>
      <c r="C12" s="64">
        <v>5.6</v>
      </c>
      <c r="D12" s="64">
        <v>108.32</v>
      </c>
      <c r="E12" s="64">
        <v>6.84</v>
      </c>
      <c r="F12" s="64">
        <v>3.04</v>
      </c>
      <c r="G12" s="64">
        <v>165.41</v>
      </c>
      <c r="H12" s="64">
        <v>76.260000000000005</v>
      </c>
      <c r="I12" s="64">
        <v>0.1</v>
      </c>
      <c r="J12" s="64">
        <v>0.53</v>
      </c>
      <c r="K12" s="64">
        <v>169.32</v>
      </c>
      <c r="L12" s="64">
        <v>13.51</v>
      </c>
      <c r="M12" s="64">
        <v>80.14</v>
      </c>
      <c r="N12" s="64">
        <v>32.299999999999997</v>
      </c>
      <c r="O12" s="64">
        <v>0</v>
      </c>
      <c r="P12" s="64">
        <v>4.5599999999999996</v>
      </c>
      <c r="Q12" s="64">
        <v>9.9499999999999993</v>
      </c>
      <c r="R12" s="198"/>
      <c r="S12" s="198"/>
      <c r="T12" s="198"/>
      <c r="U12" s="198"/>
    </row>
    <row r="13" spans="1:21" s="12" customFormat="1" x14ac:dyDescent="0.25">
      <c r="A13" s="214" t="s">
        <v>1115</v>
      </c>
      <c r="B13" s="64">
        <v>169.84</v>
      </c>
      <c r="C13" s="64">
        <v>2.6</v>
      </c>
      <c r="D13" s="64">
        <v>105.25</v>
      </c>
      <c r="E13" s="64">
        <v>7.02</v>
      </c>
      <c r="F13" s="64">
        <v>3.05</v>
      </c>
      <c r="G13" s="64">
        <v>173.68</v>
      </c>
      <c r="H13" s="64">
        <v>76.52</v>
      </c>
      <c r="I13" s="64">
        <v>0.1</v>
      </c>
      <c r="J13" s="64">
        <v>0.45</v>
      </c>
      <c r="K13" s="64">
        <v>222.07</v>
      </c>
      <c r="L13" s="64">
        <v>13.38</v>
      </c>
      <c r="M13" s="64">
        <v>82.91</v>
      </c>
      <c r="N13" s="64">
        <v>32.1</v>
      </c>
      <c r="O13" s="64">
        <v>0</v>
      </c>
      <c r="P13" s="64">
        <v>3.57</v>
      </c>
      <c r="Q13" s="64">
        <v>9.94</v>
      </c>
      <c r="R13" s="198"/>
      <c r="S13" s="198"/>
      <c r="T13" s="198"/>
      <c r="U13" s="198"/>
    </row>
    <row r="14" spans="1:21" s="12" customFormat="1" x14ac:dyDescent="0.25">
      <c r="A14" s="214" t="s">
        <v>1116</v>
      </c>
      <c r="B14" s="64">
        <v>164.04</v>
      </c>
      <c r="C14" s="64">
        <v>2.6</v>
      </c>
      <c r="D14" s="64">
        <v>102.01</v>
      </c>
      <c r="E14" s="64">
        <v>6.62</v>
      </c>
      <c r="F14" s="64">
        <v>3.14</v>
      </c>
      <c r="G14" s="64">
        <v>173.68</v>
      </c>
      <c r="H14" s="64">
        <v>76.52</v>
      </c>
      <c r="I14" s="64">
        <v>0.1</v>
      </c>
      <c r="J14" s="64">
        <v>0.21</v>
      </c>
      <c r="K14" s="64">
        <v>74.12</v>
      </c>
      <c r="L14" s="64">
        <v>13.55</v>
      </c>
      <c r="M14" s="64">
        <v>74.59</v>
      </c>
      <c r="N14" s="64">
        <v>31.8</v>
      </c>
      <c r="O14" s="64">
        <v>0</v>
      </c>
      <c r="P14" s="64">
        <v>3.67</v>
      </c>
      <c r="Q14" s="64">
        <v>9.94</v>
      </c>
      <c r="R14" s="198"/>
      <c r="S14" s="198"/>
      <c r="T14" s="198"/>
      <c r="U14" s="198"/>
    </row>
    <row r="15" spans="1:21" s="12" customFormat="1" x14ac:dyDescent="0.25">
      <c r="A15" s="214" t="s">
        <v>1117</v>
      </c>
      <c r="B15" s="64">
        <v>157.49</v>
      </c>
      <c r="C15" s="64">
        <v>2.2999999999999998</v>
      </c>
      <c r="D15" s="64">
        <v>98.44</v>
      </c>
      <c r="E15" s="64">
        <v>6.55</v>
      </c>
      <c r="F15" s="64">
        <v>3.29</v>
      </c>
      <c r="G15" s="64">
        <v>173.68</v>
      </c>
      <c r="H15" s="64">
        <v>76.52</v>
      </c>
      <c r="I15" s="64">
        <v>0.1</v>
      </c>
      <c r="J15" s="64">
        <v>0.72</v>
      </c>
      <c r="K15" s="64">
        <v>94.79</v>
      </c>
      <c r="L15" s="64">
        <v>14.37</v>
      </c>
      <c r="M15" s="64">
        <v>60.59</v>
      </c>
      <c r="N15" s="64">
        <v>31.8</v>
      </c>
      <c r="O15" s="64">
        <v>0</v>
      </c>
      <c r="P15" s="64">
        <v>3.58</v>
      </c>
      <c r="Q15" s="64">
        <v>9.93</v>
      </c>
      <c r="R15" s="198"/>
      <c r="S15" s="198"/>
      <c r="T15" s="198"/>
      <c r="U15" s="198"/>
    </row>
    <row r="16" spans="1:21" s="12" customFormat="1" x14ac:dyDescent="0.25">
      <c r="A16" s="214" t="s">
        <v>1118</v>
      </c>
      <c r="B16" s="64">
        <v>150.85</v>
      </c>
      <c r="C16" s="64">
        <v>2.6</v>
      </c>
      <c r="D16" s="64">
        <v>94.83</v>
      </c>
      <c r="E16" s="64">
        <v>6.72</v>
      </c>
      <c r="F16" s="64">
        <v>3.14</v>
      </c>
      <c r="G16" s="64">
        <v>171.66</v>
      </c>
      <c r="H16" s="64">
        <v>75.78</v>
      </c>
      <c r="I16" s="64">
        <v>0.1</v>
      </c>
      <c r="J16" s="64">
        <v>0.52</v>
      </c>
      <c r="K16" s="64">
        <v>92.05</v>
      </c>
      <c r="L16" s="64">
        <v>14.74</v>
      </c>
      <c r="M16" s="64">
        <v>54.89</v>
      </c>
      <c r="N16" s="64">
        <v>31.9</v>
      </c>
      <c r="O16" s="64">
        <v>0</v>
      </c>
      <c r="P16" s="64">
        <v>3.46</v>
      </c>
      <c r="Q16" s="64">
        <v>9.93</v>
      </c>
      <c r="R16" s="198"/>
      <c r="S16" s="198"/>
      <c r="T16" s="198"/>
      <c r="U16" s="198"/>
    </row>
    <row r="17" spans="1:21" s="12" customFormat="1" x14ac:dyDescent="0.25">
      <c r="A17" s="214" t="s">
        <v>1119</v>
      </c>
      <c r="B17" s="64">
        <v>145.12</v>
      </c>
      <c r="C17" s="64">
        <v>2.6</v>
      </c>
      <c r="D17" s="64">
        <v>91.49</v>
      </c>
      <c r="E17" s="64">
        <v>6.39</v>
      </c>
      <c r="F17" s="64">
        <v>3.5</v>
      </c>
      <c r="G17" s="64">
        <v>163.56</v>
      </c>
      <c r="H17" s="64">
        <v>72.38</v>
      </c>
      <c r="I17" s="64">
        <v>0.1</v>
      </c>
      <c r="J17" s="64">
        <v>0.41</v>
      </c>
      <c r="K17" s="64">
        <v>86.76</v>
      </c>
      <c r="L17" s="64">
        <v>14.6</v>
      </c>
      <c r="M17" s="64">
        <v>55.02</v>
      </c>
      <c r="N17" s="64">
        <v>32.200000000000003</v>
      </c>
      <c r="O17" s="64">
        <v>0</v>
      </c>
      <c r="P17" s="64">
        <v>3.31</v>
      </c>
      <c r="Q17" s="64">
        <v>9.9</v>
      </c>
      <c r="R17" s="198"/>
      <c r="S17" s="198"/>
      <c r="T17" s="198"/>
      <c r="U17" s="198"/>
    </row>
    <row r="18" spans="1:21" s="12" customFormat="1" x14ac:dyDescent="0.25">
      <c r="A18" s="214" t="s">
        <v>1120</v>
      </c>
      <c r="B18" s="64">
        <v>138.82</v>
      </c>
      <c r="C18" s="64">
        <v>2.6</v>
      </c>
      <c r="D18" s="64">
        <v>87.77</v>
      </c>
      <c r="E18" s="64">
        <v>6.53</v>
      </c>
      <c r="F18" s="64">
        <v>3.37</v>
      </c>
      <c r="G18" s="64">
        <v>163.56</v>
      </c>
      <c r="H18" s="64">
        <v>72.38</v>
      </c>
      <c r="I18" s="64">
        <v>0.1</v>
      </c>
      <c r="J18" s="64">
        <v>0.6</v>
      </c>
      <c r="K18" s="64">
        <v>142.79</v>
      </c>
      <c r="L18" s="64">
        <v>14.28</v>
      </c>
      <c r="M18" s="64">
        <v>58.7</v>
      </c>
      <c r="N18" s="64">
        <v>32.4</v>
      </c>
      <c r="O18" s="64">
        <v>0</v>
      </c>
      <c r="P18" s="64">
        <v>3.13</v>
      </c>
      <c r="Q18" s="64">
        <v>9.89</v>
      </c>
      <c r="R18" s="198"/>
      <c r="S18" s="198"/>
      <c r="T18" s="198"/>
      <c r="U18" s="198"/>
    </row>
    <row r="19" spans="1:21" s="12" customFormat="1" x14ac:dyDescent="0.25">
      <c r="A19" s="214" t="s">
        <v>1121</v>
      </c>
      <c r="B19" s="64">
        <v>132.07</v>
      </c>
      <c r="C19" s="64">
        <v>2.6</v>
      </c>
      <c r="D19" s="64">
        <v>83.99</v>
      </c>
      <c r="E19" s="64">
        <v>6.29</v>
      </c>
      <c r="F19" s="64">
        <v>3.07</v>
      </c>
      <c r="G19" s="64">
        <v>163.56</v>
      </c>
      <c r="H19" s="64">
        <v>72.38</v>
      </c>
      <c r="I19" s="64">
        <v>0.1</v>
      </c>
      <c r="J19" s="64">
        <v>0.56000000000000005</v>
      </c>
      <c r="K19" s="64">
        <v>125.95</v>
      </c>
      <c r="L19" s="64">
        <v>13.73</v>
      </c>
      <c r="M19" s="64">
        <v>61.79</v>
      </c>
      <c r="N19" s="64">
        <v>32.5</v>
      </c>
      <c r="O19" s="64">
        <v>0</v>
      </c>
      <c r="P19" s="64">
        <v>2.94</v>
      </c>
      <c r="Q19" s="64">
        <v>9.8699999999999992</v>
      </c>
      <c r="R19" s="198"/>
      <c r="S19" s="198"/>
      <c r="T19" s="198"/>
      <c r="U19" s="198"/>
    </row>
    <row r="20" spans="1:21" s="12" customFormat="1" x14ac:dyDescent="0.25">
      <c r="A20" s="214" t="s">
        <v>1122</v>
      </c>
      <c r="B20" s="64">
        <v>125.57</v>
      </c>
      <c r="C20" s="64">
        <v>2.6</v>
      </c>
      <c r="D20" s="64">
        <v>80.459999999999994</v>
      </c>
      <c r="E20" s="64">
        <v>6.25</v>
      </c>
      <c r="F20" s="64">
        <v>2.94</v>
      </c>
      <c r="G20" s="64">
        <v>161.44</v>
      </c>
      <c r="H20" s="64">
        <v>71.36</v>
      </c>
      <c r="I20" s="64">
        <v>0.1</v>
      </c>
      <c r="J20" s="64">
        <v>0.62</v>
      </c>
      <c r="K20" s="64">
        <v>76.33</v>
      </c>
      <c r="L20" s="64">
        <v>13.76</v>
      </c>
      <c r="M20" s="64">
        <v>59.89</v>
      </c>
      <c r="N20" s="64">
        <v>32.1</v>
      </c>
      <c r="O20" s="64">
        <v>0</v>
      </c>
      <c r="P20" s="64">
        <v>2.8</v>
      </c>
      <c r="Q20" s="64">
        <v>9.8699999999999992</v>
      </c>
      <c r="R20" s="198"/>
      <c r="S20" s="198"/>
      <c r="T20" s="198"/>
      <c r="U20" s="198"/>
    </row>
    <row r="21" spans="1:21" s="12" customFormat="1" x14ac:dyDescent="0.25">
      <c r="A21" s="214" t="s">
        <v>1123</v>
      </c>
      <c r="B21" s="64">
        <v>119.91</v>
      </c>
      <c r="C21" s="64">
        <v>2.6</v>
      </c>
      <c r="D21" s="64">
        <v>77.430000000000007</v>
      </c>
      <c r="E21" s="64">
        <v>6.04</v>
      </c>
      <c r="F21" s="64">
        <v>3.07</v>
      </c>
      <c r="G21" s="64">
        <v>152.94999999999999</v>
      </c>
      <c r="H21" s="64">
        <v>68.349999999999994</v>
      </c>
      <c r="I21" s="64">
        <v>0.1</v>
      </c>
      <c r="J21" s="64">
        <v>0.55000000000000004</v>
      </c>
      <c r="K21" s="64">
        <v>105.3</v>
      </c>
      <c r="L21" s="64">
        <v>14.05</v>
      </c>
      <c r="M21" s="64">
        <v>56.73</v>
      </c>
      <c r="N21" s="64">
        <v>32.1</v>
      </c>
      <c r="O21" s="64">
        <v>0</v>
      </c>
      <c r="P21" s="64">
        <v>2.7</v>
      </c>
      <c r="Q21" s="64">
        <v>9.84</v>
      </c>
      <c r="R21" s="198"/>
      <c r="S21" s="198"/>
      <c r="T21" s="198"/>
      <c r="U21" s="198"/>
    </row>
    <row r="22" spans="1:21" s="12" customFormat="1" x14ac:dyDescent="0.25">
      <c r="A22" s="214" t="s">
        <v>1124</v>
      </c>
      <c r="B22" s="64">
        <v>114.18</v>
      </c>
      <c r="C22" s="64">
        <v>2.6</v>
      </c>
      <c r="D22" s="64">
        <v>74.39</v>
      </c>
      <c r="E22" s="64">
        <v>6.02</v>
      </c>
      <c r="F22" s="64">
        <v>2.89</v>
      </c>
      <c r="G22" s="64">
        <v>152.94999999999999</v>
      </c>
      <c r="H22" s="64">
        <v>68.349999999999994</v>
      </c>
      <c r="I22" s="64">
        <v>0.1</v>
      </c>
      <c r="J22" s="64">
        <v>0.33</v>
      </c>
      <c r="K22" s="64">
        <v>94.35</v>
      </c>
      <c r="L22" s="64">
        <v>13.96</v>
      </c>
      <c r="M22" s="64">
        <v>57.33</v>
      </c>
      <c r="N22" s="64">
        <v>32.5</v>
      </c>
      <c r="O22" s="64">
        <v>0</v>
      </c>
      <c r="P22" s="64">
        <v>2.57</v>
      </c>
      <c r="Q22" s="64">
        <v>9.82</v>
      </c>
      <c r="R22" s="198"/>
      <c r="S22" s="198"/>
      <c r="T22" s="198"/>
      <c r="U22" s="198"/>
    </row>
    <row r="23" spans="1:21" s="12" customFormat="1" x14ac:dyDescent="0.25">
      <c r="A23" s="214" t="s">
        <v>1125</v>
      </c>
      <c r="B23" s="64">
        <v>108.41</v>
      </c>
      <c r="C23" s="64">
        <v>2.6</v>
      </c>
      <c r="D23" s="64">
        <v>71.209999999999994</v>
      </c>
      <c r="E23" s="64">
        <v>5.56</v>
      </c>
      <c r="F23" s="64">
        <v>2.73</v>
      </c>
      <c r="G23" s="64">
        <v>152.94999999999999</v>
      </c>
      <c r="H23" s="64">
        <v>68.349999999999994</v>
      </c>
      <c r="I23" s="64">
        <v>0.1</v>
      </c>
      <c r="J23" s="64">
        <v>0.48</v>
      </c>
      <c r="K23" s="64">
        <v>237.73</v>
      </c>
      <c r="L23" s="64">
        <v>13.53</v>
      </c>
      <c r="M23" s="64">
        <v>64.709999999999994</v>
      </c>
      <c r="N23" s="64">
        <v>32.4</v>
      </c>
      <c r="O23" s="64">
        <v>0</v>
      </c>
      <c r="P23" s="64">
        <v>2.4500000000000002</v>
      </c>
      <c r="Q23" s="64">
        <v>9.8000000000000007</v>
      </c>
      <c r="R23" s="198"/>
      <c r="S23" s="198"/>
      <c r="T23" s="198"/>
      <c r="U23" s="198"/>
    </row>
    <row r="24" spans="1:21" s="12" customFormat="1" x14ac:dyDescent="0.25">
      <c r="A24" s="214" t="s">
        <v>1126</v>
      </c>
      <c r="B24" s="64">
        <v>102.78</v>
      </c>
      <c r="C24" s="64">
        <v>2.6</v>
      </c>
      <c r="D24" s="64">
        <v>68.06</v>
      </c>
      <c r="E24" s="64">
        <v>5.59</v>
      </c>
      <c r="F24" s="64">
        <v>2.6</v>
      </c>
      <c r="G24" s="64">
        <v>143.93</v>
      </c>
      <c r="H24" s="64">
        <v>65.06</v>
      </c>
      <c r="I24" s="64">
        <v>0.1</v>
      </c>
      <c r="J24" s="64">
        <v>0.57999999999999996</v>
      </c>
      <c r="K24" s="64">
        <v>242.45</v>
      </c>
      <c r="L24" s="64">
        <v>13.2</v>
      </c>
      <c r="M24" s="64">
        <v>67.739999999999995</v>
      </c>
      <c r="N24" s="64">
        <v>32.5</v>
      </c>
      <c r="O24" s="64">
        <v>0</v>
      </c>
      <c r="P24" s="64">
        <v>2.35</v>
      </c>
      <c r="Q24" s="64">
        <v>9.8000000000000007</v>
      </c>
      <c r="R24" s="198"/>
      <c r="S24" s="198"/>
      <c r="T24" s="198"/>
      <c r="U24" s="198"/>
    </row>
    <row r="25" spans="1:21" s="12" customFormat="1" x14ac:dyDescent="0.25">
      <c r="A25" s="214" t="s">
        <v>1127</v>
      </c>
      <c r="B25" s="64">
        <v>98.32</v>
      </c>
      <c r="C25" s="64">
        <v>2.6</v>
      </c>
      <c r="D25" s="64">
        <v>65.67</v>
      </c>
      <c r="E25" s="64">
        <v>5.55</v>
      </c>
      <c r="F25" s="64">
        <v>2.73</v>
      </c>
      <c r="G25" s="64">
        <v>107.83</v>
      </c>
      <c r="H25" s="64">
        <v>55.36</v>
      </c>
      <c r="I25" s="64">
        <v>0.1</v>
      </c>
      <c r="J25" s="64">
        <v>0.32</v>
      </c>
      <c r="K25" s="64">
        <v>286.23</v>
      </c>
      <c r="L25" s="64">
        <v>12.71</v>
      </c>
      <c r="M25" s="64">
        <v>72.7</v>
      </c>
      <c r="N25" s="64">
        <v>32.6</v>
      </c>
      <c r="O25" s="64">
        <v>0</v>
      </c>
      <c r="P25" s="64">
        <v>2.25</v>
      </c>
      <c r="Q25" s="64">
        <v>9.8000000000000007</v>
      </c>
      <c r="R25" s="198"/>
      <c r="S25" s="198"/>
      <c r="T25" s="198"/>
      <c r="U25" s="198"/>
    </row>
    <row r="26" spans="1:21" s="12" customFormat="1" x14ac:dyDescent="0.25">
      <c r="A26" s="214" t="s">
        <v>1128</v>
      </c>
      <c r="B26" s="64">
        <v>94.39</v>
      </c>
      <c r="C26" s="64">
        <v>2.6</v>
      </c>
      <c r="D26" s="64">
        <v>63.58</v>
      </c>
      <c r="E26" s="64">
        <v>5.49</v>
      </c>
      <c r="F26" s="64">
        <v>2.77</v>
      </c>
      <c r="G26" s="64">
        <v>107.83</v>
      </c>
      <c r="H26" s="64">
        <v>55.36</v>
      </c>
      <c r="I26" s="64">
        <v>0.1</v>
      </c>
      <c r="J26" s="64">
        <v>0.17</v>
      </c>
      <c r="K26" s="64">
        <v>119.28</v>
      </c>
      <c r="L26" s="64">
        <v>12.34</v>
      </c>
      <c r="M26" s="64">
        <v>71.180000000000007</v>
      </c>
      <c r="N26" s="64">
        <v>32.5</v>
      </c>
      <c r="O26" s="64">
        <v>0</v>
      </c>
      <c r="P26" s="64">
        <v>2.14</v>
      </c>
      <c r="Q26" s="64">
        <v>9.7899999999999991</v>
      </c>
      <c r="R26" s="198"/>
      <c r="S26" s="198"/>
      <c r="T26" s="198"/>
      <c r="U26" s="198"/>
    </row>
    <row r="27" spans="1:21" s="12" customFormat="1" x14ac:dyDescent="0.25">
      <c r="A27" s="214" t="s">
        <v>1129</v>
      </c>
      <c r="B27" s="64">
        <v>89.93</v>
      </c>
      <c r="C27" s="64">
        <v>2.6</v>
      </c>
      <c r="D27" s="64">
        <v>61.04</v>
      </c>
      <c r="E27" s="64">
        <v>5.12</v>
      </c>
      <c r="F27" s="64">
        <v>2.54</v>
      </c>
      <c r="G27" s="64">
        <v>107.83</v>
      </c>
      <c r="H27" s="64">
        <v>55.36</v>
      </c>
      <c r="I27" s="64">
        <v>0.1</v>
      </c>
      <c r="J27" s="64">
        <v>0.63</v>
      </c>
      <c r="K27" s="64">
        <v>138.29</v>
      </c>
      <c r="L27" s="64">
        <v>12.22</v>
      </c>
      <c r="M27" s="64">
        <v>74.7</v>
      </c>
      <c r="N27" s="64">
        <v>32.4</v>
      </c>
      <c r="O27" s="64">
        <v>0</v>
      </c>
      <c r="P27" s="64">
        <v>2.0499999999999998</v>
      </c>
      <c r="Q27" s="64">
        <v>9.7899999999999991</v>
      </c>
      <c r="R27" s="198"/>
      <c r="S27" s="198"/>
      <c r="T27" s="198"/>
      <c r="U27" s="198"/>
    </row>
    <row r="28" spans="1:21" s="12" customFormat="1" x14ac:dyDescent="0.25">
      <c r="A28" s="214" t="s">
        <v>1130</v>
      </c>
      <c r="B28" s="64">
        <v>85.95</v>
      </c>
      <c r="C28" s="64">
        <v>2.6</v>
      </c>
      <c r="D28" s="64">
        <v>59.17</v>
      </c>
      <c r="E28" s="64">
        <v>5.24</v>
      </c>
      <c r="F28" s="64">
        <v>2.64</v>
      </c>
      <c r="G28" s="64">
        <v>100.31</v>
      </c>
      <c r="H28" s="64">
        <v>54.55</v>
      </c>
      <c r="I28" s="64">
        <v>0.1</v>
      </c>
      <c r="J28" s="64">
        <v>0.67</v>
      </c>
      <c r="K28" s="64">
        <v>223.59</v>
      </c>
      <c r="L28" s="64">
        <v>12.18</v>
      </c>
      <c r="M28" s="64">
        <v>79.010000000000005</v>
      </c>
      <c r="N28" s="64">
        <v>32.299999999999997</v>
      </c>
      <c r="O28" s="64">
        <v>0</v>
      </c>
      <c r="P28" s="64">
        <v>2.02</v>
      </c>
      <c r="Q28" s="64">
        <v>9.7799999999999994</v>
      </c>
      <c r="R28" s="198"/>
      <c r="S28" s="198"/>
      <c r="T28" s="198"/>
      <c r="U28" s="198"/>
    </row>
    <row r="29" spans="1:21" s="12" customFormat="1" x14ac:dyDescent="0.25">
      <c r="A29" s="214" t="s">
        <v>1131</v>
      </c>
      <c r="B29" s="64">
        <v>82.71</v>
      </c>
      <c r="C29" s="64">
        <v>2.6</v>
      </c>
      <c r="D29" s="64">
        <v>57.59</v>
      </c>
      <c r="E29" s="64">
        <v>5.33</v>
      </c>
      <c r="F29" s="64">
        <v>2.8</v>
      </c>
      <c r="G29" s="64">
        <v>70.2</v>
      </c>
      <c r="H29" s="64">
        <v>52.18</v>
      </c>
      <c r="I29" s="64">
        <v>0.1</v>
      </c>
      <c r="J29" s="64">
        <v>0.74</v>
      </c>
      <c r="K29" s="64">
        <v>221.58</v>
      </c>
      <c r="L29" s="64">
        <v>12.08</v>
      </c>
      <c r="M29" s="64">
        <v>83.98</v>
      </c>
      <c r="N29" s="64">
        <v>32</v>
      </c>
      <c r="O29" s="64">
        <v>0</v>
      </c>
      <c r="P29" s="64">
        <v>1.96</v>
      </c>
      <c r="Q29" s="64">
        <v>9.77</v>
      </c>
      <c r="R29" s="198"/>
      <c r="S29" s="198"/>
      <c r="T29" s="198"/>
      <c r="U29" s="198"/>
    </row>
    <row r="30" spans="1:21" s="12" customFormat="1" x14ac:dyDescent="0.25">
      <c r="A30" s="214" t="s">
        <v>1132</v>
      </c>
      <c r="B30" s="64">
        <v>80.31</v>
      </c>
      <c r="C30" s="64">
        <v>3.5</v>
      </c>
      <c r="D30" s="64">
        <v>56.34</v>
      </c>
      <c r="E30" s="64">
        <v>5.46</v>
      </c>
      <c r="F30" s="64">
        <v>2.9</v>
      </c>
      <c r="G30" s="64">
        <v>70.2</v>
      </c>
      <c r="H30" s="64">
        <v>52.18</v>
      </c>
      <c r="I30" s="64">
        <v>0.1</v>
      </c>
      <c r="J30" s="64">
        <v>0.71</v>
      </c>
      <c r="K30" s="64">
        <v>222.71</v>
      </c>
      <c r="L30" s="64">
        <v>11.65</v>
      </c>
      <c r="M30" s="64">
        <v>92.72</v>
      </c>
      <c r="N30" s="64">
        <v>32.4</v>
      </c>
      <c r="O30" s="64">
        <v>0</v>
      </c>
      <c r="P30" s="64">
        <v>1.91</v>
      </c>
      <c r="Q30" s="64">
        <v>9.76</v>
      </c>
      <c r="R30" s="198"/>
      <c r="S30" s="198"/>
      <c r="T30" s="198"/>
      <c r="U30" s="198"/>
    </row>
    <row r="31" spans="1:21" s="12" customFormat="1" x14ac:dyDescent="0.25">
      <c r="A31" s="214" t="s">
        <v>1133</v>
      </c>
      <c r="B31" s="64">
        <v>77.91</v>
      </c>
      <c r="C31" s="64">
        <v>3.6</v>
      </c>
      <c r="D31" s="64">
        <v>55.02</v>
      </c>
      <c r="E31" s="64">
        <v>5.27</v>
      </c>
      <c r="F31" s="64">
        <v>2.78</v>
      </c>
      <c r="G31" s="64">
        <v>70.2</v>
      </c>
      <c r="H31" s="64">
        <v>52.18</v>
      </c>
      <c r="I31" s="64">
        <v>0.1</v>
      </c>
      <c r="J31" s="64">
        <v>0.74</v>
      </c>
      <c r="K31" s="64">
        <v>204.69</v>
      </c>
      <c r="L31" s="64">
        <v>11.26</v>
      </c>
      <c r="M31" s="64">
        <v>98.72</v>
      </c>
      <c r="N31" s="64">
        <v>32.299999999999997</v>
      </c>
      <c r="O31" s="64">
        <v>0</v>
      </c>
      <c r="P31" s="64">
        <v>1.84</v>
      </c>
      <c r="Q31" s="64">
        <v>9.76</v>
      </c>
      <c r="R31" s="198"/>
      <c r="S31" s="198"/>
      <c r="T31" s="198"/>
      <c r="U31" s="198"/>
    </row>
    <row r="32" spans="1:21" s="12" customFormat="1" x14ac:dyDescent="0.25">
      <c r="A32" s="214" t="s">
        <v>1134</v>
      </c>
      <c r="B32" s="64">
        <v>75.05</v>
      </c>
      <c r="C32" s="64">
        <v>5.6</v>
      </c>
      <c r="D32" s="64">
        <v>53.46</v>
      </c>
      <c r="E32" s="64">
        <v>5.12</v>
      </c>
      <c r="F32" s="64">
        <v>2.81</v>
      </c>
      <c r="G32" s="64">
        <v>83.18</v>
      </c>
      <c r="H32" s="64">
        <v>51.97</v>
      </c>
      <c r="I32" s="64">
        <v>0.1</v>
      </c>
      <c r="J32" s="64">
        <v>0.55000000000000004</v>
      </c>
      <c r="K32" s="64">
        <v>235.15</v>
      </c>
      <c r="L32" s="64">
        <v>10.8</v>
      </c>
      <c r="M32" s="64">
        <v>98.74</v>
      </c>
      <c r="N32" s="64">
        <v>32.5</v>
      </c>
      <c r="O32" s="64">
        <v>0</v>
      </c>
      <c r="P32" s="64">
        <v>1.77</v>
      </c>
      <c r="Q32" s="64">
        <v>9.76</v>
      </c>
      <c r="R32" s="198"/>
      <c r="S32" s="198"/>
      <c r="T32" s="198"/>
      <c r="U32" s="198"/>
    </row>
    <row r="33" spans="1:21" s="12" customFormat="1" x14ac:dyDescent="0.25">
      <c r="A33" s="214" t="s">
        <v>1135</v>
      </c>
      <c r="B33" s="64">
        <v>71.91</v>
      </c>
      <c r="C33" s="64">
        <v>5.6</v>
      </c>
      <c r="D33" s="64">
        <v>51.71</v>
      </c>
      <c r="E33" s="64">
        <v>5.12</v>
      </c>
      <c r="F33" s="64">
        <v>2.9</v>
      </c>
      <c r="G33" s="64">
        <v>135.1</v>
      </c>
      <c r="H33" s="64">
        <v>51.01</v>
      </c>
      <c r="I33" s="64">
        <v>0.1</v>
      </c>
      <c r="J33" s="64">
        <v>0.61</v>
      </c>
      <c r="K33" s="64">
        <v>224.54</v>
      </c>
      <c r="L33" s="64">
        <v>10.55</v>
      </c>
      <c r="M33" s="64">
        <v>98.67</v>
      </c>
      <c r="N33" s="64">
        <v>32.799999999999997</v>
      </c>
      <c r="O33" s="64">
        <v>0</v>
      </c>
      <c r="P33" s="64">
        <v>1.7</v>
      </c>
      <c r="Q33" s="64">
        <v>9.75</v>
      </c>
      <c r="R33" s="198"/>
      <c r="S33" s="198"/>
      <c r="T33" s="198"/>
      <c r="U33" s="198"/>
    </row>
    <row r="34" spans="1:21" s="12" customFormat="1" x14ac:dyDescent="0.25">
      <c r="A34" s="214" t="s">
        <v>1136</v>
      </c>
      <c r="B34" s="64">
        <v>68.89</v>
      </c>
      <c r="C34" s="64">
        <v>5.6</v>
      </c>
      <c r="D34" s="64">
        <v>49.97</v>
      </c>
      <c r="E34" s="64">
        <v>5.24</v>
      </c>
      <c r="F34" s="64">
        <v>3.17</v>
      </c>
      <c r="G34" s="64">
        <v>135.1</v>
      </c>
      <c r="H34" s="64">
        <v>51.01</v>
      </c>
      <c r="I34" s="64">
        <v>0.1</v>
      </c>
      <c r="J34" s="64">
        <v>0.51</v>
      </c>
      <c r="K34" s="64">
        <v>308.16000000000003</v>
      </c>
      <c r="L34" s="64">
        <v>10.48</v>
      </c>
      <c r="M34" s="64">
        <v>98.77</v>
      </c>
      <c r="N34" s="64">
        <v>35.200000000000003</v>
      </c>
      <c r="O34" s="64">
        <v>0</v>
      </c>
      <c r="P34" s="64">
        <v>1.63</v>
      </c>
      <c r="Q34" s="64">
        <v>9.74</v>
      </c>
      <c r="R34" s="198"/>
      <c r="S34" s="198"/>
      <c r="T34" s="198"/>
      <c r="U34" s="198"/>
    </row>
    <row r="35" spans="1:21" s="12" customFormat="1" x14ac:dyDescent="0.25">
      <c r="A35" s="214" t="s">
        <v>1137</v>
      </c>
      <c r="B35" s="64">
        <v>66.510000000000005</v>
      </c>
      <c r="C35" s="64">
        <v>5.6</v>
      </c>
      <c r="D35" s="64">
        <v>48.49</v>
      </c>
      <c r="E35" s="64">
        <v>5.47</v>
      </c>
      <c r="F35" s="64">
        <v>3.12</v>
      </c>
      <c r="G35" s="64">
        <v>135.1</v>
      </c>
      <c r="H35" s="64">
        <v>51.01</v>
      </c>
      <c r="I35" s="64">
        <v>0.1</v>
      </c>
      <c r="J35" s="64">
        <v>0.4</v>
      </c>
      <c r="K35" s="64">
        <v>340.06</v>
      </c>
      <c r="L35" s="64">
        <v>10.51</v>
      </c>
      <c r="M35" s="64">
        <v>98.79</v>
      </c>
      <c r="N35" s="64">
        <v>42.9</v>
      </c>
      <c r="O35" s="64">
        <v>0</v>
      </c>
      <c r="P35" s="64">
        <v>1.53</v>
      </c>
      <c r="Q35" s="64">
        <v>9.74</v>
      </c>
      <c r="R35" s="198"/>
      <c r="S35" s="198"/>
      <c r="T35" s="198"/>
      <c r="U35" s="198"/>
    </row>
    <row r="36" spans="1:21" s="12" customFormat="1" x14ac:dyDescent="0.25">
      <c r="A36" s="214" t="s">
        <v>1138</v>
      </c>
      <c r="B36" s="64">
        <v>64.209999999999994</v>
      </c>
      <c r="C36" s="64">
        <v>5.6</v>
      </c>
      <c r="D36" s="64">
        <v>47.16</v>
      </c>
      <c r="E36" s="64">
        <v>4.83</v>
      </c>
      <c r="F36" s="64">
        <v>2.94</v>
      </c>
      <c r="G36" s="64">
        <v>126.29</v>
      </c>
      <c r="H36" s="64">
        <v>50.03</v>
      </c>
      <c r="I36" s="64">
        <v>0.1</v>
      </c>
      <c r="J36" s="64">
        <v>0.63</v>
      </c>
      <c r="K36" s="64">
        <v>355.84</v>
      </c>
      <c r="L36" s="64">
        <v>10.68</v>
      </c>
      <c r="M36" s="64">
        <v>98.72</v>
      </c>
      <c r="N36" s="64">
        <v>52.8</v>
      </c>
      <c r="O36" s="64">
        <v>0</v>
      </c>
      <c r="P36" s="64">
        <v>1.43</v>
      </c>
      <c r="Q36" s="64">
        <v>9.73</v>
      </c>
      <c r="R36" s="198"/>
      <c r="S36" s="198"/>
      <c r="T36" s="198"/>
      <c r="U36" s="198"/>
    </row>
    <row r="37" spans="1:21" s="12" customFormat="1" x14ac:dyDescent="0.25">
      <c r="A37" s="214" t="s">
        <v>1139</v>
      </c>
      <c r="B37" s="64">
        <v>62.42</v>
      </c>
      <c r="C37" s="64">
        <v>5.6</v>
      </c>
      <c r="D37" s="64">
        <v>46.28</v>
      </c>
      <c r="E37" s="64">
        <v>5.08</v>
      </c>
      <c r="F37" s="64">
        <v>2.89</v>
      </c>
      <c r="G37" s="64">
        <v>91.07</v>
      </c>
      <c r="H37" s="64">
        <v>47.17</v>
      </c>
      <c r="I37" s="64">
        <v>0.1</v>
      </c>
      <c r="J37" s="64">
        <v>0.67</v>
      </c>
      <c r="K37" s="64">
        <v>20.8</v>
      </c>
      <c r="L37" s="64">
        <v>11.24</v>
      </c>
      <c r="M37" s="64">
        <v>98.73</v>
      </c>
      <c r="N37" s="64">
        <v>63.9</v>
      </c>
      <c r="O37" s="64">
        <v>0</v>
      </c>
      <c r="P37" s="64">
        <v>1.76</v>
      </c>
      <c r="Q37" s="64">
        <v>9.73</v>
      </c>
      <c r="R37" s="198"/>
      <c r="S37" s="198"/>
      <c r="T37" s="198"/>
      <c r="U37" s="198"/>
    </row>
    <row r="38" spans="1:21" s="12" customFormat="1" x14ac:dyDescent="0.25">
      <c r="A38" s="214" t="s">
        <v>1140</v>
      </c>
      <c r="B38" s="64">
        <v>61.05</v>
      </c>
      <c r="C38" s="64">
        <v>5.6</v>
      </c>
      <c r="D38" s="64">
        <v>45.72</v>
      </c>
      <c r="E38" s="64">
        <v>4.82</v>
      </c>
      <c r="F38" s="64">
        <v>3.15</v>
      </c>
      <c r="G38" s="64">
        <v>91.07</v>
      </c>
      <c r="H38" s="64">
        <v>47.17</v>
      </c>
      <c r="I38" s="64">
        <v>0.1</v>
      </c>
      <c r="J38" s="64">
        <v>0.51</v>
      </c>
      <c r="K38" s="64">
        <v>53.05</v>
      </c>
      <c r="L38" s="64">
        <v>11.96</v>
      </c>
      <c r="M38" s="64">
        <v>95.88</v>
      </c>
      <c r="N38" s="64">
        <v>84.9</v>
      </c>
      <c r="O38" s="64">
        <v>0</v>
      </c>
      <c r="P38" s="64">
        <v>1.82</v>
      </c>
      <c r="Q38" s="64">
        <v>9.73</v>
      </c>
      <c r="R38" s="198"/>
      <c r="S38" s="198"/>
      <c r="T38" s="198"/>
      <c r="U38" s="198"/>
    </row>
    <row r="39" spans="1:21" s="12" customFormat="1" x14ac:dyDescent="0.25">
      <c r="A39" s="214" t="s">
        <v>1141</v>
      </c>
      <c r="B39" s="64">
        <v>60.81</v>
      </c>
      <c r="C39" s="64">
        <v>5.6</v>
      </c>
      <c r="D39" s="64">
        <v>45.91</v>
      </c>
      <c r="E39" s="64">
        <v>4.8099999999999996</v>
      </c>
      <c r="F39" s="64">
        <v>3.04</v>
      </c>
      <c r="G39" s="64">
        <v>91.07</v>
      </c>
      <c r="H39" s="64">
        <v>47.17</v>
      </c>
      <c r="I39" s="64">
        <v>0.1</v>
      </c>
      <c r="J39" s="64">
        <v>0.31</v>
      </c>
      <c r="K39" s="64">
        <v>79.19</v>
      </c>
      <c r="L39" s="64">
        <v>14.12</v>
      </c>
      <c r="M39" s="64">
        <v>79.900000000000006</v>
      </c>
      <c r="N39" s="64">
        <v>215.2</v>
      </c>
      <c r="O39" s="64">
        <v>0</v>
      </c>
      <c r="P39" s="64">
        <v>1.81</v>
      </c>
      <c r="Q39" s="64">
        <v>9.7100000000000009</v>
      </c>
      <c r="R39" s="198"/>
      <c r="S39" s="198"/>
      <c r="T39" s="198"/>
      <c r="U39" s="198"/>
    </row>
    <row r="40" spans="1:21" s="12" customFormat="1" x14ac:dyDescent="0.25">
      <c r="A40" s="214" t="s">
        <v>1142</v>
      </c>
      <c r="B40" s="64">
        <v>61.44</v>
      </c>
      <c r="C40" s="64">
        <v>5.6</v>
      </c>
      <c r="D40" s="64">
        <v>46.62</v>
      </c>
      <c r="E40" s="64">
        <v>4.5</v>
      </c>
      <c r="F40" s="64">
        <v>2.9</v>
      </c>
      <c r="G40" s="64">
        <v>112.33</v>
      </c>
      <c r="H40" s="64">
        <v>48.21</v>
      </c>
      <c r="I40" s="64">
        <v>0.1</v>
      </c>
      <c r="J40" s="64">
        <v>0.37</v>
      </c>
      <c r="K40" s="64">
        <v>81.180000000000007</v>
      </c>
      <c r="L40" s="64">
        <v>18.3</v>
      </c>
      <c r="M40" s="64">
        <v>57.45</v>
      </c>
      <c r="N40" s="64">
        <v>263.7</v>
      </c>
      <c r="O40" s="64">
        <v>0</v>
      </c>
      <c r="P40" s="64">
        <v>1.8</v>
      </c>
      <c r="Q40" s="64">
        <v>9.7100000000000009</v>
      </c>
      <c r="R40" s="198"/>
      <c r="S40" s="198"/>
      <c r="T40" s="198"/>
      <c r="U40" s="198"/>
    </row>
    <row r="41" spans="1:21" s="12" customFormat="1" x14ac:dyDescent="0.25">
      <c r="A41" s="214" t="s">
        <v>1143</v>
      </c>
      <c r="B41" s="64">
        <v>62.65</v>
      </c>
      <c r="C41" s="64">
        <v>5.6</v>
      </c>
      <c r="D41" s="64">
        <v>47.8</v>
      </c>
      <c r="E41" s="64">
        <v>5.24</v>
      </c>
      <c r="F41" s="64">
        <v>2.97</v>
      </c>
      <c r="G41" s="64">
        <v>197.38</v>
      </c>
      <c r="H41" s="64">
        <v>51.27</v>
      </c>
      <c r="I41" s="64">
        <v>0.1</v>
      </c>
      <c r="J41" s="64">
        <v>0.92</v>
      </c>
      <c r="K41" s="64">
        <v>354.51</v>
      </c>
      <c r="L41" s="64">
        <v>20.58</v>
      </c>
      <c r="M41" s="64">
        <v>50.3</v>
      </c>
      <c r="N41" s="64">
        <v>305.39999999999998</v>
      </c>
      <c r="O41" s="64">
        <v>0</v>
      </c>
      <c r="P41" s="64">
        <v>1.82</v>
      </c>
      <c r="Q41" s="64">
        <v>9.7100000000000009</v>
      </c>
      <c r="R41" s="198"/>
      <c r="S41" s="198"/>
      <c r="T41" s="198"/>
      <c r="U41" s="198"/>
    </row>
    <row r="42" spans="1:21" s="12" customFormat="1" x14ac:dyDescent="0.25">
      <c r="A42" s="214" t="s">
        <v>1144</v>
      </c>
      <c r="B42" s="64">
        <v>63.47</v>
      </c>
      <c r="C42" s="64">
        <v>5.6</v>
      </c>
      <c r="D42" s="64">
        <v>48.9</v>
      </c>
      <c r="E42" s="64">
        <v>5.3</v>
      </c>
      <c r="F42" s="64">
        <v>2.79</v>
      </c>
      <c r="G42" s="64">
        <v>197.38</v>
      </c>
      <c r="H42" s="64">
        <v>51.27</v>
      </c>
      <c r="I42" s="64">
        <v>0.1</v>
      </c>
      <c r="J42" s="64">
        <v>0.94</v>
      </c>
      <c r="K42" s="64">
        <v>350.72</v>
      </c>
      <c r="L42" s="64">
        <v>23.23</v>
      </c>
      <c r="M42" s="64">
        <v>39.549999999999997</v>
      </c>
      <c r="N42" s="64">
        <v>346.7</v>
      </c>
      <c r="O42" s="64">
        <v>0</v>
      </c>
      <c r="P42" s="64">
        <v>1.83</v>
      </c>
      <c r="Q42" s="64">
        <v>9.74</v>
      </c>
      <c r="R42" s="198"/>
      <c r="S42" s="198"/>
      <c r="T42" s="198"/>
      <c r="U42" s="198"/>
    </row>
    <row r="43" spans="1:21" s="12" customFormat="1" x14ac:dyDescent="0.25">
      <c r="A43" s="214" t="s">
        <v>1145</v>
      </c>
      <c r="B43" s="64">
        <v>62.78</v>
      </c>
      <c r="C43" s="64">
        <v>5.6</v>
      </c>
      <c r="D43" s="64">
        <v>49.11</v>
      </c>
      <c r="E43" s="64">
        <v>5.4</v>
      </c>
      <c r="F43" s="64">
        <v>2.92</v>
      </c>
      <c r="G43" s="64">
        <v>197.38</v>
      </c>
      <c r="H43" s="64">
        <v>51.27</v>
      </c>
      <c r="I43" s="64">
        <v>0.1</v>
      </c>
      <c r="J43" s="64">
        <v>0.09</v>
      </c>
      <c r="K43" s="64">
        <v>84.35</v>
      </c>
      <c r="L43" s="64">
        <v>24.71</v>
      </c>
      <c r="M43" s="64">
        <v>33.81</v>
      </c>
      <c r="N43" s="64">
        <v>397.9</v>
      </c>
      <c r="O43" s="64">
        <v>0</v>
      </c>
      <c r="P43" s="64">
        <v>1.83</v>
      </c>
      <c r="Q43" s="64">
        <v>9.74</v>
      </c>
      <c r="R43" s="198"/>
      <c r="S43" s="198"/>
      <c r="T43" s="198"/>
      <c r="U43" s="198"/>
    </row>
    <row r="44" spans="1:21" s="12" customFormat="1" x14ac:dyDescent="0.25">
      <c r="A44" s="214" t="s">
        <v>1146</v>
      </c>
      <c r="B44" s="64">
        <v>60.71</v>
      </c>
      <c r="C44" s="64">
        <v>0.45</v>
      </c>
      <c r="D44" s="64">
        <v>48.42</v>
      </c>
      <c r="E44" s="64">
        <v>5.25</v>
      </c>
      <c r="F44" s="64">
        <v>2.79</v>
      </c>
      <c r="G44" s="64">
        <v>186.41</v>
      </c>
      <c r="H44" s="64">
        <v>51.37</v>
      </c>
      <c r="I44" s="64">
        <v>0.1</v>
      </c>
      <c r="J44" s="64">
        <v>0.87</v>
      </c>
      <c r="K44" s="64">
        <v>130.11000000000001</v>
      </c>
      <c r="L44" s="64">
        <v>23.38</v>
      </c>
      <c r="M44" s="64">
        <v>31.7</v>
      </c>
      <c r="N44" s="64">
        <v>443.5</v>
      </c>
      <c r="O44" s="64">
        <v>0</v>
      </c>
      <c r="P44" s="64">
        <v>1.8</v>
      </c>
      <c r="Q44" s="64">
        <v>9.7200000000000006</v>
      </c>
      <c r="R44" s="198"/>
      <c r="S44" s="198"/>
      <c r="T44" s="198"/>
      <c r="U44" s="198"/>
    </row>
    <row r="45" spans="1:21" s="12" customFormat="1" x14ac:dyDescent="0.25">
      <c r="A45" s="214" t="s">
        <v>1147</v>
      </c>
      <c r="B45" s="64">
        <v>58.58</v>
      </c>
      <c r="C45" s="64">
        <v>2.04</v>
      </c>
      <c r="D45" s="64">
        <v>47.58</v>
      </c>
      <c r="E45" s="64">
        <v>5.56</v>
      </c>
      <c r="F45" s="64">
        <v>2.89</v>
      </c>
      <c r="G45" s="64">
        <v>142.56</v>
      </c>
      <c r="H45" s="64">
        <v>51.68</v>
      </c>
      <c r="I45" s="64">
        <v>0.1</v>
      </c>
      <c r="J45" s="64">
        <v>1.18</v>
      </c>
      <c r="K45" s="64">
        <v>120.19</v>
      </c>
      <c r="L45" s="64">
        <v>23.29</v>
      </c>
      <c r="M45" s="64">
        <v>30.85</v>
      </c>
      <c r="N45" s="64">
        <v>475.1</v>
      </c>
      <c r="O45" s="64">
        <v>0</v>
      </c>
      <c r="P45" s="64">
        <v>1.8</v>
      </c>
      <c r="Q45" s="64">
        <v>9.7100000000000009</v>
      </c>
      <c r="R45" s="198"/>
      <c r="S45" s="198"/>
      <c r="T45" s="198"/>
      <c r="U45" s="198"/>
    </row>
    <row r="46" spans="1:21" s="12" customFormat="1" x14ac:dyDescent="0.25">
      <c r="A46" s="214" t="s">
        <v>1148</v>
      </c>
      <c r="B46" s="64">
        <v>56.74</v>
      </c>
      <c r="C46" s="64">
        <v>3.76</v>
      </c>
      <c r="D46" s="64">
        <v>47</v>
      </c>
      <c r="E46" s="64">
        <v>5.12</v>
      </c>
      <c r="F46" s="64">
        <v>2.86</v>
      </c>
      <c r="G46" s="64">
        <v>142.56</v>
      </c>
      <c r="H46" s="64">
        <v>51.68</v>
      </c>
      <c r="I46" s="64">
        <v>0.1</v>
      </c>
      <c r="J46" s="64">
        <v>1.55</v>
      </c>
      <c r="K46" s="64">
        <v>125.16</v>
      </c>
      <c r="L46" s="64">
        <v>22.88</v>
      </c>
      <c r="M46" s="64">
        <v>31.5</v>
      </c>
      <c r="N46" s="64">
        <v>496.3</v>
      </c>
      <c r="O46" s="64">
        <v>0</v>
      </c>
      <c r="P46" s="64">
        <v>1.78</v>
      </c>
      <c r="Q46" s="64">
        <v>9.7100000000000009</v>
      </c>
      <c r="R46" s="198"/>
      <c r="S46" s="198"/>
      <c r="T46" s="198"/>
      <c r="U46" s="198"/>
    </row>
    <row r="47" spans="1:21" s="12" customFormat="1" x14ac:dyDescent="0.25">
      <c r="A47" s="214" t="s">
        <v>1149</v>
      </c>
      <c r="B47" s="64">
        <v>54.96</v>
      </c>
      <c r="C47" s="64">
        <v>4.74</v>
      </c>
      <c r="D47" s="64">
        <v>46.09</v>
      </c>
      <c r="E47" s="64">
        <v>5.12</v>
      </c>
      <c r="F47" s="64">
        <v>2.82</v>
      </c>
      <c r="G47" s="64">
        <v>142.56</v>
      </c>
      <c r="H47" s="64">
        <v>51.68</v>
      </c>
      <c r="I47" s="64">
        <v>0.1</v>
      </c>
      <c r="J47" s="64">
        <v>0.5</v>
      </c>
      <c r="K47" s="64">
        <v>73.849999999999994</v>
      </c>
      <c r="L47" s="64">
        <v>23.75</v>
      </c>
      <c r="M47" s="64">
        <v>30.34</v>
      </c>
      <c r="N47" s="64">
        <v>500.9</v>
      </c>
      <c r="O47" s="64">
        <v>0</v>
      </c>
      <c r="P47" s="64">
        <v>1.75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4" t="s">
        <v>1150</v>
      </c>
      <c r="B48" s="64">
        <v>51.49</v>
      </c>
      <c r="C48" s="64">
        <v>6.42</v>
      </c>
      <c r="D48" s="64">
        <v>44.18</v>
      </c>
      <c r="E48" s="64">
        <v>5.51</v>
      </c>
      <c r="F48" s="64">
        <v>3.69</v>
      </c>
      <c r="G48" s="64">
        <v>118.22</v>
      </c>
      <c r="H48" s="64">
        <v>50.17</v>
      </c>
      <c r="I48" s="64">
        <v>0.1</v>
      </c>
      <c r="J48" s="64">
        <v>0.86</v>
      </c>
      <c r="K48" s="64">
        <v>346.6</v>
      </c>
      <c r="L48" s="64">
        <v>26.41</v>
      </c>
      <c r="M48" s="64">
        <v>23.86</v>
      </c>
      <c r="N48" s="64">
        <v>529.4</v>
      </c>
      <c r="O48" s="64">
        <v>0</v>
      </c>
      <c r="P48" s="64">
        <v>1.67</v>
      </c>
      <c r="Q48" s="64">
        <v>9.7100000000000009</v>
      </c>
      <c r="R48" s="198"/>
      <c r="S48" s="198"/>
      <c r="T48" s="198"/>
      <c r="U48" s="198"/>
    </row>
    <row r="49" spans="1:21" s="12" customFormat="1" x14ac:dyDescent="0.25">
      <c r="A49" s="214" t="s">
        <v>1151</v>
      </c>
      <c r="B49" s="64">
        <v>50.46</v>
      </c>
      <c r="C49" s="64">
        <v>6.82</v>
      </c>
      <c r="D49" s="64">
        <v>43.56</v>
      </c>
      <c r="E49" s="64">
        <v>5.95</v>
      </c>
      <c r="F49" s="64">
        <v>3.8</v>
      </c>
      <c r="G49" s="64">
        <v>20.88</v>
      </c>
      <c r="H49" s="64">
        <v>43.29</v>
      </c>
      <c r="I49" s="64">
        <v>0.1</v>
      </c>
      <c r="J49" s="64">
        <v>0.33</v>
      </c>
      <c r="K49" s="64">
        <v>63.32</v>
      </c>
      <c r="L49" s="64">
        <v>25.93</v>
      </c>
      <c r="M49" s="64">
        <v>25.37</v>
      </c>
      <c r="N49" s="64">
        <v>544.70000000000005</v>
      </c>
      <c r="O49" s="64">
        <v>0</v>
      </c>
      <c r="P49" s="64">
        <v>1.67</v>
      </c>
      <c r="Q49" s="64">
        <v>9.7200000000000006</v>
      </c>
      <c r="R49" s="198"/>
      <c r="S49" s="198"/>
      <c r="T49" s="198"/>
      <c r="U49" s="198"/>
    </row>
    <row r="50" spans="1:21" s="12" customFormat="1" x14ac:dyDescent="0.25">
      <c r="A50" s="214" t="s">
        <v>1152</v>
      </c>
      <c r="B50" s="64">
        <v>48.14</v>
      </c>
      <c r="C50" s="64">
        <v>7.96</v>
      </c>
      <c r="D50" s="64">
        <v>42.3</v>
      </c>
      <c r="E50" s="64">
        <v>6.15</v>
      </c>
      <c r="F50" s="64">
        <v>3.88</v>
      </c>
      <c r="G50" s="64">
        <v>20.88</v>
      </c>
      <c r="H50" s="64">
        <v>43.29</v>
      </c>
      <c r="I50" s="64">
        <v>0.1</v>
      </c>
      <c r="J50" s="64">
        <v>0.92</v>
      </c>
      <c r="K50" s="64">
        <v>120.52</v>
      </c>
      <c r="L50" s="64">
        <v>25.64</v>
      </c>
      <c r="M50" s="64">
        <v>24</v>
      </c>
      <c r="N50" s="64">
        <v>574.29999999999995</v>
      </c>
      <c r="O50" s="64">
        <v>0</v>
      </c>
      <c r="P50" s="64">
        <v>1.61</v>
      </c>
      <c r="Q50" s="64">
        <v>9.7200000000000006</v>
      </c>
      <c r="R50" s="198"/>
      <c r="S50" s="198"/>
      <c r="T50" s="198"/>
      <c r="U50" s="198"/>
    </row>
    <row r="51" spans="1:21" s="12" customFormat="1" x14ac:dyDescent="0.25">
      <c r="A51" s="214" t="s">
        <v>1153</v>
      </c>
      <c r="B51" s="64">
        <v>46.6</v>
      </c>
      <c r="C51" s="64">
        <v>9.2100000000000009</v>
      </c>
      <c r="D51" s="64">
        <v>41.72</v>
      </c>
      <c r="E51" s="64">
        <v>5.78</v>
      </c>
      <c r="F51" s="64">
        <v>3.5</v>
      </c>
      <c r="G51" s="64">
        <v>20.88</v>
      </c>
      <c r="H51" s="64">
        <v>43.29</v>
      </c>
      <c r="I51" s="64">
        <v>0.1</v>
      </c>
      <c r="J51" s="64">
        <v>0.43</v>
      </c>
      <c r="K51" s="64">
        <v>105.82</v>
      </c>
      <c r="L51" s="64">
        <v>25.71</v>
      </c>
      <c r="M51" s="64">
        <v>22.44</v>
      </c>
      <c r="N51" s="64">
        <v>581.6</v>
      </c>
      <c r="O51" s="64">
        <v>0</v>
      </c>
      <c r="P51" s="64">
        <v>1.57</v>
      </c>
      <c r="Q51" s="64">
        <v>9.7100000000000009</v>
      </c>
      <c r="R51" s="198"/>
      <c r="S51" s="198"/>
      <c r="T51" s="198"/>
      <c r="U51" s="198"/>
    </row>
    <row r="52" spans="1:21" s="12" customFormat="1" x14ac:dyDescent="0.25">
      <c r="A52" s="214" t="s">
        <v>1154</v>
      </c>
      <c r="B52" s="64">
        <v>45.8</v>
      </c>
      <c r="C52" s="64">
        <v>9.14</v>
      </c>
      <c r="D52" s="64">
        <v>41.05</v>
      </c>
      <c r="E52" s="64">
        <v>5.15</v>
      </c>
      <c r="F52" s="64">
        <v>2.98</v>
      </c>
      <c r="G52" s="64">
        <v>23.27</v>
      </c>
      <c r="H52" s="64">
        <v>39.61</v>
      </c>
      <c r="I52" s="64">
        <v>0.1</v>
      </c>
      <c r="J52" s="64">
        <v>1.34</v>
      </c>
      <c r="K52" s="64">
        <v>338.14</v>
      </c>
      <c r="L52" s="64">
        <v>27.54</v>
      </c>
      <c r="M52" s="64">
        <v>18.059999999999999</v>
      </c>
      <c r="N52" s="64">
        <v>579.5</v>
      </c>
      <c r="O52" s="64">
        <v>0</v>
      </c>
      <c r="P52" s="64">
        <v>1.49</v>
      </c>
      <c r="Q52" s="64">
        <v>9.6999999999999993</v>
      </c>
      <c r="R52" s="198"/>
      <c r="S52" s="198"/>
      <c r="T52" s="198"/>
      <c r="U52" s="198"/>
    </row>
    <row r="53" spans="1:21" s="12" customFormat="1" x14ac:dyDescent="0.25">
      <c r="A53" s="214" t="s">
        <v>1155</v>
      </c>
      <c r="B53" s="64">
        <v>41.31</v>
      </c>
      <c r="C53" s="64">
        <v>11.14</v>
      </c>
      <c r="D53" s="64">
        <v>38.49</v>
      </c>
      <c r="E53" s="64">
        <v>5.33</v>
      </c>
      <c r="F53" s="64">
        <v>3.76</v>
      </c>
      <c r="G53" s="64">
        <v>32.81</v>
      </c>
      <c r="H53" s="64">
        <v>28.78</v>
      </c>
      <c r="I53" s="64">
        <v>0.1</v>
      </c>
      <c r="J53" s="64">
        <v>0.64</v>
      </c>
      <c r="K53" s="64">
        <v>74.58</v>
      </c>
      <c r="L53" s="64">
        <v>26.85</v>
      </c>
      <c r="M53" s="64">
        <v>17.64</v>
      </c>
      <c r="N53" s="64">
        <v>589.5</v>
      </c>
      <c r="O53" s="64">
        <v>0</v>
      </c>
      <c r="P53" s="64">
        <v>1.35</v>
      </c>
      <c r="Q53" s="64">
        <v>9.6999999999999993</v>
      </c>
      <c r="R53" s="198"/>
      <c r="S53" s="198"/>
      <c r="T53" s="198"/>
      <c r="U53" s="198"/>
    </row>
    <row r="54" spans="1:21" s="12" customFormat="1" x14ac:dyDescent="0.25">
      <c r="A54" s="214" t="s">
        <v>1156</v>
      </c>
      <c r="B54" s="64">
        <v>38.06</v>
      </c>
      <c r="C54" s="64">
        <v>13.78</v>
      </c>
      <c r="D54" s="64">
        <v>37.26</v>
      </c>
      <c r="E54" s="64">
        <v>5.45</v>
      </c>
      <c r="F54" s="64">
        <v>3.23</v>
      </c>
      <c r="G54" s="64">
        <v>32.81</v>
      </c>
      <c r="H54" s="64">
        <v>28.78</v>
      </c>
      <c r="I54" s="64">
        <v>0.1</v>
      </c>
      <c r="J54" s="64">
        <v>0.46</v>
      </c>
      <c r="K54" s="64">
        <v>17.829999999999998</v>
      </c>
      <c r="L54" s="64">
        <v>28.1</v>
      </c>
      <c r="M54" s="64">
        <v>15.84</v>
      </c>
      <c r="N54" s="64">
        <v>578.70000000000005</v>
      </c>
      <c r="O54" s="64">
        <v>0</v>
      </c>
      <c r="P54" s="64">
        <v>1.27</v>
      </c>
      <c r="Q54" s="64">
        <v>9.69</v>
      </c>
      <c r="R54" s="198"/>
      <c r="S54" s="198"/>
      <c r="T54" s="198"/>
      <c r="U54" s="198"/>
    </row>
    <row r="55" spans="1:21" s="12" customFormat="1" x14ac:dyDescent="0.25">
      <c r="A55" s="214" t="s">
        <v>1157</v>
      </c>
      <c r="B55" s="64">
        <v>35.33</v>
      </c>
      <c r="C55" s="64">
        <v>15.59</v>
      </c>
      <c r="D55" s="64">
        <v>36.020000000000003</v>
      </c>
      <c r="E55" s="64">
        <v>5.38</v>
      </c>
      <c r="F55" s="64">
        <v>3.55</v>
      </c>
      <c r="G55" s="64">
        <v>32.81</v>
      </c>
      <c r="H55" s="64">
        <v>28.78</v>
      </c>
      <c r="I55" s="64">
        <v>0.1</v>
      </c>
      <c r="J55" s="64">
        <v>0.95</v>
      </c>
      <c r="K55" s="64">
        <v>114.28</v>
      </c>
      <c r="L55" s="64">
        <v>25.93</v>
      </c>
      <c r="M55" s="64">
        <v>18.66</v>
      </c>
      <c r="N55" s="64">
        <v>580.1</v>
      </c>
      <c r="O55" s="64">
        <v>0</v>
      </c>
      <c r="P55" s="64">
        <v>1.21</v>
      </c>
      <c r="Q55" s="64">
        <v>9.6999999999999993</v>
      </c>
      <c r="R55" s="198"/>
      <c r="S55" s="198"/>
      <c r="T55" s="198"/>
      <c r="U55" s="198"/>
    </row>
    <row r="56" spans="1:21" s="12" customFormat="1" x14ac:dyDescent="0.25">
      <c r="A56" s="214" t="s">
        <v>1158</v>
      </c>
      <c r="B56" s="64">
        <v>32.15</v>
      </c>
      <c r="C56" s="64">
        <v>16.87</v>
      </c>
      <c r="D56" s="64">
        <v>34.130000000000003</v>
      </c>
      <c r="E56" s="64">
        <v>5.27</v>
      </c>
      <c r="F56" s="64">
        <v>3.91</v>
      </c>
      <c r="G56" s="64">
        <v>26.51</v>
      </c>
      <c r="H56" s="64">
        <v>28</v>
      </c>
      <c r="I56" s="64">
        <v>0.1</v>
      </c>
      <c r="J56" s="64">
        <v>1.34</v>
      </c>
      <c r="K56" s="64">
        <v>337.08</v>
      </c>
      <c r="L56" s="64">
        <v>28.33</v>
      </c>
      <c r="M56" s="64">
        <v>14.34</v>
      </c>
      <c r="N56" s="64">
        <v>568.70000000000005</v>
      </c>
      <c r="O56" s="64">
        <v>0</v>
      </c>
      <c r="P56" s="64">
        <v>1.1499999999999999</v>
      </c>
      <c r="Q56" s="64">
        <v>9.67</v>
      </c>
      <c r="R56" s="198"/>
      <c r="S56" s="198"/>
      <c r="T56" s="198"/>
      <c r="U56" s="198"/>
    </row>
    <row r="57" spans="1:21" s="12" customFormat="1" x14ac:dyDescent="0.25">
      <c r="A57" s="214" t="s">
        <v>1159</v>
      </c>
      <c r="B57" s="64">
        <v>29.02</v>
      </c>
      <c r="C57" s="64">
        <v>18.22</v>
      </c>
      <c r="D57" s="64">
        <v>32.340000000000003</v>
      </c>
      <c r="E57" s="64">
        <v>5.39</v>
      </c>
      <c r="F57" s="64">
        <v>5.66</v>
      </c>
      <c r="G57" s="64">
        <v>1.31</v>
      </c>
      <c r="H57" s="64">
        <v>25.71</v>
      </c>
      <c r="I57" s="64">
        <v>0.1</v>
      </c>
      <c r="J57" s="64">
        <v>0.28999999999999998</v>
      </c>
      <c r="K57" s="64">
        <v>26.53</v>
      </c>
      <c r="L57" s="64">
        <v>27.48</v>
      </c>
      <c r="M57" s="64">
        <v>14.95</v>
      </c>
      <c r="N57" s="64">
        <v>575</v>
      </c>
      <c r="O57" s="64">
        <v>0</v>
      </c>
      <c r="P57" s="64">
        <v>1.1100000000000001</v>
      </c>
      <c r="Q57" s="64">
        <v>9.67</v>
      </c>
      <c r="R57" s="198"/>
      <c r="S57" s="198"/>
      <c r="T57" s="198"/>
      <c r="U57" s="198"/>
    </row>
    <row r="58" spans="1:21" s="12" customFormat="1" x14ac:dyDescent="0.25">
      <c r="A58" s="214" t="s">
        <v>1160</v>
      </c>
      <c r="B58" s="64">
        <v>25.52</v>
      </c>
      <c r="C58" s="64">
        <v>21.44</v>
      </c>
      <c r="D58" s="64">
        <v>31.21</v>
      </c>
      <c r="E58" s="64">
        <v>5.03</v>
      </c>
      <c r="F58" s="64">
        <v>4.29</v>
      </c>
      <c r="G58" s="64">
        <v>1.31</v>
      </c>
      <c r="H58" s="64">
        <v>25.71</v>
      </c>
      <c r="I58" s="64">
        <v>0.1</v>
      </c>
      <c r="J58" s="64">
        <v>0.6</v>
      </c>
      <c r="K58" s="64">
        <v>357</v>
      </c>
      <c r="L58" s="64">
        <v>28.36</v>
      </c>
      <c r="M58" s="64">
        <v>12.05</v>
      </c>
      <c r="N58" s="64">
        <v>574.5</v>
      </c>
      <c r="O58" s="64">
        <v>0</v>
      </c>
      <c r="P58" s="64">
        <v>1.04</v>
      </c>
      <c r="Q58" s="64">
        <v>9.66</v>
      </c>
      <c r="R58" s="198"/>
      <c r="S58" s="198"/>
      <c r="T58" s="198"/>
      <c r="U58" s="198"/>
    </row>
    <row r="59" spans="1:21" s="12" customFormat="1" x14ac:dyDescent="0.25">
      <c r="A59" s="214" t="s">
        <v>1161</v>
      </c>
      <c r="B59" s="64">
        <v>25.3</v>
      </c>
      <c r="C59" s="64">
        <v>21.65</v>
      </c>
      <c r="D59" s="64">
        <v>31.14</v>
      </c>
      <c r="E59" s="64">
        <v>4.9800000000000004</v>
      </c>
      <c r="F59" s="64">
        <v>4.6500000000000004</v>
      </c>
      <c r="G59" s="64">
        <v>1.31</v>
      </c>
      <c r="H59" s="64">
        <v>25.71</v>
      </c>
      <c r="I59" s="64">
        <v>0.1</v>
      </c>
      <c r="J59" s="64">
        <v>1.61</v>
      </c>
      <c r="K59" s="64">
        <v>341.85</v>
      </c>
      <c r="L59" s="64">
        <v>28.16</v>
      </c>
      <c r="M59" s="64">
        <v>12.95</v>
      </c>
      <c r="N59" s="64">
        <v>568.4</v>
      </c>
      <c r="O59" s="64">
        <v>0</v>
      </c>
      <c r="P59" s="64">
        <v>1</v>
      </c>
      <c r="Q59" s="64">
        <v>9.66</v>
      </c>
      <c r="R59" s="198"/>
      <c r="S59" s="198"/>
      <c r="T59" s="198"/>
      <c r="U59" s="198"/>
    </row>
    <row r="60" spans="1:21" s="12" customFormat="1" x14ac:dyDescent="0.25">
      <c r="A60" s="214" t="s">
        <v>1162</v>
      </c>
      <c r="B60" s="64">
        <v>21.58</v>
      </c>
      <c r="C60" s="64">
        <v>24.33</v>
      </c>
      <c r="D60" s="64">
        <v>29.55</v>
      </c>
      <c r="E60" s="64">
        <v>6.53</v>
      </c>
      <c r="F60" s="64">
        <v>6.48</v>
      </c>
      <c r="G60" s="64">
        <v>17.38</v>
      </c>
      <c r="H60" s="64">
        <v>24.4</v>
      </c>
      <c r="I60" s="64">
        <v>0.1</v>
      </c>
      <c r="J60" s="64">
        <v>0.74</v>
      </c>
      <c r="K60" s="64">
        <v>337.91</v>
      </c>
      <c r="L60" s="64">
        <v>28.19</v>
      </c>
      <c r="M60" s="64">
        <v>11.89</v>
      </c>
      <c r="N60" s="64">
        <v>550.70000000000005</v>
      </c>
      <c r="O60" s="64">
        <v>0</v>
      </c>
      <c r="P60" s="64">
        <v>0.88</v>
      </c>
      <c r="Q60" s="64">
        <v>9.66</v>
      </c>
      <c r="R60" s="198"/>
      <c r="S60" s="198"/>
      <c r="T60" s="198"/>
      <c r="U60" s="198"/>
    </row>
    <row r="61" spans="1:21" s="12" customFormat="1" x14ac:dyDescent="0.25">
      <c r="A61" s="214" t="s">
        <v>1163</v>
      </c>
      <c r="B61" s="64">
        <v>20.58</v>
      </c>
      <c r="C61" s="64">
        <v>23.19</v>
      </c>
      <c r="D61" s="64">
        <v>28.16</v>
      </c>
      <c r="E61" s="64">
        <v>5.99</v>
      </c>
      <c r="F61" s="64">
        <v>4.55</v>
      </c>
      <c r="G61" s="64">
        <v>81.66</v>
      </c>
      <c r="H61" s="64">
        <v>20.56</v>
      </c>
      <c r="I61" s="64">
        <v>0.1</v>
      </c>
      <c r="J61" s="64">
        <v>0.57999999999999996</v>
      </c>
      <c r="K61" s="64">
        <v>101.09</v>
      </c>
      <c r="L61" s="64">
        <v>27.26</v>
      </c>
      <c r="M61" s="64">
        <v>11.03</v>
      </c>
      <c r="N61" s="64">
        <v>517.9</v>
      </c>
      <c r="O61" s="64">
        <v>0</v>
      </c>
      <c r="P61" s="64">
        <v>1.04</v>
      </c>
      <c r="Q61" s="64">
        <v>9.64</v>
      </c>
      <c r="R61" s="198"/>
      <c r="S61" s="198"/>
      <c r="T61" s="198"/>
      <c r="U61" s="198"/>
    </row>
    <row r="62" spans="1:21" s="12" customFormat="1" x14ac:dyDescent="0.25">
      <c r="A62" s="214" t="s">
        <v>1164</v>
      </c>
      <c r="B62" s="64">
        <v>17.64</v>
      </c>
      <c r="C62" s="64">
        <v>23.92</v>
      </c>
      <c r="D62" s="64">
        <v>26.18</v>
      </c>
      <c r="E62" s="64">
        <v>6.18</v>
      </c>
      <c r="F62" s="64">
        <v>5.35</v>
      </c>
      <c r="G62" s="64">
        <v>81.66</v>
      </c>
      <c r="H62" s="64">
        <v>20.56</v>
      </c>
      <c r="I62" s="64">
        <v>0.1</v>
      </c>
      <c r="J62" s="64">
        <v>0.59</v>
      </c>
      <c r="K62" s="64">
        <v>105.89</v>
      </c>
      <c r="L62" s="64">
        <v>26.37</v>
      </c>
      <c r="M62" s="64">
        <v>12.63</v>
      </c>
      <c r="N62" s="64">
        <v>484</v>
      </c>
      <c r="O62" s="64">
        <v>0</v>
      </c>
      <c r="P62" s="64">
        <v>1.04</v>
      </c>
      <c r="Q62" s="64">
        <v>9.64</v>
      </c>
      <c r="R62" s="198"/>
      <c r="S62" s="198"/>
      <c r="T62" s="198"/>
      <c r="U62" s="198"/>
    </row>
    <row r="63" spans="1:21" s="12" customFormat="1" x14ac:dyDescent="0.25">
      <c r="A63" s="214" t="s">
        <v>1165</v>
      </c>
      <c r="B63" s="64">
        <v>18.03</v>
      </c>
      <c r="C63" s="64">
        <v>24.43</v>
      </c>
      <c r="D63" s="64">
        <v>26.76</v>
      </c>
      <c r="E63" s="64">
        <v>6.69</v>
      </c>
      <c r="F63" s="64">
        <v>7.92</v>
      </c>
      <c r="G63" s="64">
        <v>81.66</v>
      </c>
      <c r="H63" s="64">
        <v>20.56</v>
      </c>
      <c r="I63" s="64">
        <v>0.1</v>
      </c>
      <c r="J63" s="64">
        <v>1.04</v>
      </c>
      <c r="K63" s="64">
        <v>334.4</v>
      </c>
      <c r="L63" s="64">
        <v>27.23</v>
      </c>
      <c r="M63" s="64">
        <v>11.43</v>
      </c>
      <c r="N63" s="64">
        <v>457.1</v>
      </c>
      <c r="O63" s="64">
        <v>0</v>
      </c>
      <c r="P63" s="64">
        <v>1.03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14" t="s">
        <v>1166</v>
      </c>
      <c r="B64" s="64">
        <v>15.86</v>
      </c>
      <c r="C64" s="64">
        <v>25.56</v>
      </c>
      <c r="D64" s="64">
        <v>25.61</v>
      </c>
      <c r="E64" s="64">
        <v>9.24</v>
      </c>
      <c r="F64" s="64">
        <v>8.25</v>
      </c>
      <c r="G64" s="64">
        <v>72.61</v>
      </c>
      <c r="H64" s="64">
        <v>19.8</v>
      </c>
      <c r="I64" s="64">
        <v>0.1</v>
      </c>
      <c r="J64" s="64">
        <v>0.47</v>
      </c>
      <c r="K64" s="64">
        <v>343.24</v>
      </c>
      <c r="L64" s="64">
        <v>26.61</v>
      </c>
      <c r="M64" s="64">
        <v>13.69</v>
      </c>
      <c r="N64" s="64">
        <v>323.2</v>
      </c>
      <c r="O64" s="64">
        <v>0</v>
      </c>
      <c r="P64" s="64">
        <v>1.04</v>
      </c>
      <c r="Q64" s="64">
        <v>9.65</v>
      </c>
      <c r="R64" s="198"/>
      <c r="S64" s="198"/>
      <c r="T64" s="198"/>
      <c r="U64" s="198"/>
    </row>
    <row r="65" spans="1:21" s="12" customFormat="1" x14ac:dyDescent="0.25">
      <c r="A65" s="214" t="s">
        <v>1167</v>
      </c>
      <c r="B65" s="64">
        <v>17.98</v>
      </c>
      <c r="C65" s="64">
        <v>28.01</v>
      </c>
      <c r="D65" s="64">
        <v>28.59</v>
      </c>
      <c r="E65" s="64">
        <v>9.86</v>
      </c>
      <c r="F65" s="64">
        <v>8.4600000000000009</v>
      </c>
      <c r="G65" s="64">
        <v>36.39</v>
      </c>
      <c r="H65" s="64">
        <v>16.32</v>
      </c>
      <c r="I65" s="64">
        <v>0.1</v>
      </c>
      <c r="J65" s="64">
        <v>1.4</v>
      </c>
      <c r="K65" s="64">
        <v>339.35</v>
      </c>
      <c r="L65" s="64">
        <v>26.16</v>
      </c>
      <c r="M65" s="64">
        <v>12.85</v>
      </c>
      <c r="N65" s="64">
        <v>140.4</v>
      </c>
      <c r="O65" s="64">
        <v>0</v>
      </c>
      <c r="P65" s="64">
        <v>1.1299999999999999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4" t="s">
        <v>1168</v>
      </c>
      <c r="B66" s="64">
        <v>15.01</v>
      </c>
      <c r="C66" s="64">
        <v>28.23</v>
      </c>
      <c r="D66" s="64">
        <v>26.32</v>
      </c>
      <c r="E66" s="64">
        <v>15.54</v>
      </c>
      <c r="F66" s="64">
        <v>8.83</v>
      </c>
      <c r="G66" s="64">
        <v>36.39</v>
      </c>
      <c r="H66" s="64">
        <v>16.32</v>
      </c>
      <c r="I66" s="64">
        <v>0.1</v>
      </c>
      <c r="J66" s="64">
        <v>1.48</v>
      </c>
      <c r="K66" s="64">
        <v>341.54</v>
      </c>
      <c r="L66" s="64">
        <v>25.98</v>
      </c>
      <c r="M66" s="64">
        <v>13.26</v>
      </c>
      <c r="N66" s="64">
        <v>120.2</v>
      </c>
      <c r="O66" s="64">
        <v>0</v>
      </c>
      <c r="P66" s="64">
        <v>1.07</v>
      </c>
      <c r="Q66" s="64">
        <v>9.65</v>
      </c>
      <c r="R66" s="198"/>
      <c r="S66" s="198"/>
      <c r="T66" s="198"/>
      <c r="U66" s="198"/>
    </row>
    <row r="67" spans="1:21" s="12" customFormat="1" x14ac:dyDescent="0.25">
      <c r="A67" s="214" t="s">
        <v>1169</v>
      </c>
      <c r="B67" s="64">
        <v>15.16</v>
      </c>
      <c r="C67" s="64">
        <v>28.13</v>
      </c>
      <c r="D67" s="64">
        <v>26.39</v>
      </c>
      <c r="E67" s="64">
        <v>8.65</v>
      </c>
      <c r="F67" s="64">
        <v>7.56</v>
      </c>
      <c r="G67" s="64">
        <v>36.39</v>
      </c>
      <c r="H67" s="64">
        <v>16.32</v>
      </c>
      <c r="I67" s="64">
        <v>0.1</v>
      </c>
      <c r="J67" s="64">
        <v>1.25</v>
      </c>
      <c r="K67" s="64">
        <v>341.84</v>
      </c>
      <c r="L67" s="64">
        <v>25.63</v>
      </c>
      <c r="M67" s="64">
        <v>12.82</v>
      </c>
      <c r="N67" s="64">
        <v>92</v>
      </c>
      <c r="O67" s="64">
        <v>0</v>
      </c>
      <c r="P67" s="64">
        <v>1.0900000000000001</v>
      </c>
      <c r="Q67" s="64">
        <v>9.65</v>
      </c>
      <c r="R67" s="198"/>
      <c r="S67" s="198"/>
      <c r="T67" s="198"/>
      <c r="U67" s="198"/>
    </row>
    <row r="68" spans="1:21" s="12" customFormat="1" x14ac:dyDescent="0.25">
      <c r="A68" s="214" t="s">
        <v>1170</v>
      </c>
      <c r="B68" s="64">
        <v>13.66</v>
      </c>
      <c r="C68" s="64">
        <v>29.72</v>
      </c>
      <c r="D68" s="64">
        <v>26.02</v>
      </c>
      <c r="E68" s="64">
        <v>14.29</v>
      </c>
      <c r="F68" s="64">
        <v>8.4600000000000009</v>
      </c>
      <c r="G68" s="64">
        <v>38.26</v>
      </c>
      <c r="H68" s="64">
        <v>16.38</v>
      </c>
      <c r="I68" s="64">
        <v>0.1</v>
      </c>
      <c r="J68" s="64">
        <v>1.5</v>
      </c>
      <c r="K68" s="64">
        <v>345.87</v>
      </c>
      <c r="L68" s="64">
        <v>25.27</v>
      </c>
      <c r="M68" s="64">
        <v>13.36</v>
      </c>
      <c r="N68" s="64">
        <v>82</v>
      </c>
      <c r="O68" s="64">
        <v>0</v>
      </c>
      <c r="P68" s="64">
        <v>1.07</v>
      </c>
      <c r="Q68" s="64">
        <v>9.65</v>
      </c>
      <c r="R68" s="198"/>
      <c r="S68" s="198"/>
      <c r="T68" s="198"/>
      <c r="U68" s="198"/>
    </row>
    <row r="69" spans="1:21" s="12" customFormat="1" x14ac:dyDescent="0.25">
      <c r="A69" s="214" t="s">
        <v>1171</v>
      </c>
      <c r="B69" s="64">
        <v>14.91</v>
      </c>
      <c r="C69" s="64">
        <v>28.86</v>
      </c>
      <c r="D69" s="64">
        <v>26.58</v>
      </c>
      <c r="E69" s="64">
        <v>11.78</v>
      </c>
      <c r="F69" s="64">
        <v>6.2</v>
      </c>
      <c r="G69" s="64">
        <v>45.74</v>
      </c>
      <c r="H69" s="64">
        <v>16.55</v>
      </c>
      <c r="I69" s="64">
        <v>0.1</v>
      </c>
      <c r="J69" s="64">
        <v>1.47</v>
      </c>
      <c r="K69" s="64">
        <v>348.05</v>
      </c>
      <c r="L69" s="64">
        <v>24.97</v>
      </c>
      <c r="M69" s="64">
        <v>13.64</v>
      </c>
      <c r="N69" s="64">
        <v>77.7</v>
      </c>
      <c r="O69" s="64">
        <v>0</v>
      </c>
      <c r="P69" s="64">
        <v>1.1100000000000001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4" t="s">
        <v>1172</v>
      </c>
      <c r="B70" s="64">
        <v>13.6</v>
      </c>
      <c r="C70" s="64">
        <v>27.91</v>
      </c>
      <c r="D70" s="64">
        <v>25.03</v>
      </c>
      <c r="E70" s="64">
        <v>6.33</v>
      </c>
      <c r="F70" s="64">
        <v>4.88</v>
      </c>
      <c r="G70" s="64">
        <v>45.74</v>
      </c>
      <c r="H70" s="64">
        <v>16.55</v>
      </c>
      <c r="I70" s="64">
        <v>0.1</v>
      </c>
      <c r="J70" s="64">
        <v>1.78</v>
      </c>
      <c r="K70" s="64">
        <v>340.71</v>
      </c>
      <c r="L70" s="64">
        <v>24.68</v>
      </c>
      <c r="M70" s="64">
        <v>14.85</v>
      </c>
      <c r="N70" s="64">
        <v>75.900000000000006</v>
      </c>
      <c r="O70" s="64">
        <v>0</v>
      </c>
      <c r="P70" s="64">
        <v>1.04</v>
      </c>
      <c r="Q70" s="64">
        <v>9.65</v>
      </c>
      <c r="R70" s="198"/>
      <c r="S70" s="198"/>
      <c r="T70" s="198"/>
      <c r="U70" s="198"/>
    </row>
    <row r="71" spans="1:21" s="12" customFormat="1" x14ac:dyDescent="0.25">
      <c r="A71" s="214" t="s">
        <v>1173</v>
      </c>
      <c r="B71" s="64">
        <v>12.36</v>
      </c>
      <c r="C71" s="64">
        <v>30.04</v>
      </c>
      <c r="D71" s="64">
        <v>25.14</v>
      </c>
      <c r="E71" s="64">
        <v>6.49</v>
      </c>
      <c r="F71" s="64">
        <v>5.85</v>
      </c>
      <c r="G71" s="64">
        <v>45.74</v>
      </c>
      <c r="H71" s="64">
        <v>16.55</v>
      </c>
      <c r="I71" s="64">
        <v>0.1</v>
      </c>
      <c r="J71" s="64">
        <v>1.58</v>
      </c>
      <c r="K71" s="64">
        <v>344.63</v>
      </c>
      <c r="L71" s="64">
        <v>24.46</v>
      </c>
      <c r="M71" s="64">
        <v>15.39</v>
      </c>
      <c r="N71" s="64">
        <v>71</v>
      </c>
      <c r="O71" s="64">
        <v>0</v>
      </c>
      <c r="P71" s="64">
        <v>0.99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4" t="s">
        <v>1174</v>
      </c>
      <c r="B72" s="64">
        <v>11.54</v>
      </c>
      <c r="C72" s="64">
        <v>30.75</v>
      </c>
      <c r="D72" s="64">
        <v>24.86</v>
      </c>
      <c r="E72" s="64">
        <v>7.03</v>
      </c>
      <c r="F72" s="64">
        <v>6.2</v>
      </c>
      <c r="G72" s="64">
        <v>49.56</v>
      </c>
      <c r="H72" s="64">
        <v>16.690000000000001</v>
      </c>
      <c r="I72" s="64">
        <v>0.1</v>
      </c>
      <c r="J72" s="64">
        <v>1.41</v>
      </c>
      <c r="K72" s="64">
        <v>347.51</v>
      </c>
      <c r="L72" s="64">
        <v>24.21</v>
      </c>
      <c r="M72" s="64">
        <v>13.64</v>
      </c>
      <c r="N72" s="64">
        <v>64.900000000000006</v>
      </c>
      <c r="O72" s="64">
        <v>0</v>
      </c>
      <c r="P72" s="64">
        <v>0.98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4" t="s">
        <v>1175</v>
      </c>
      <c r="B73" s="64">
        <v>11.27</v>
      </c>
      <c r="C73" s="64">
        <v>31.03</v>
      </c>
      <c r="D73" s="64">
        <v>24.79</v>
      </c>
      <c r="E73" s="64">
        <v>5.68</v>
      </c>
      <c r="F73" s="64">
        <v>3.53</v>
      </c>
      <c r="G73" s="64">
        <v>64.83</v>
      </c>
      <c r="H73" s="64">
        <v>17.13</v>
      </c>
      <c r="I73" s="64">
        <v>0.1</v>
      </c>
      <c r="J73" s="64">
        <v>1.64</v>
      </c>
      <c r="K73" s="64">
        <v>343.3</v>
      </c>
      <c r="L73" s="64">
        <v>23.93</v>
      </c>
      <c r="M73" s="64">
        <v>14.23</v>
      </c>
      <c r="N73" s="64">
        <v>58.5</v>
      </c>
      <c r="O73" s="64">
        <v>0</v>
      </c>
      <c r="P73" s="64">
        <v>0.99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4" t="s">
        <v>1176</v>
      </c>
      <c r="B74" s="64">
        <v>14.72</v>
      </c>
      <c r="C74" s="64">
        <v>32.65</v>
      </c>
      <c r="D74" s="64">
        <v>28.4</v>
      </c>
      <c r="E74" s="64">
        <v>10.31</v>
      </c>
      <c r="F74" s="64">
        <v>5.15</v>
      </c>
      <c r="G74" s="64">
        <v>64.83</v>
      </c>
      <c r="H74" s="64">
        <v>17.13</v>
      </c>
      <c r="I74" s="64">
        <v>0.1</v>
      </c>
      <c r="J74" s="64">
        <v>1.24</v>
      </c>
      <c r="K74" s="64">
        <v>340.7</v>
      </c>
      <c r="L74" s="64">
        <v>23.45</v>
      </c>
      <c r="M74" s="64">
        <v>15.32</v>
      </c>
      <c r="N74" s="64">
        <v>53.2</v>
      </c>
      <c r="O74" s="64">
        <v>0</v>
      </c>
      <c r="P74" s="64">
        <v>1</v>
      </c>
      <c r="Q74" s="64">
        <v>9.64</v>
      </c>
      <c r="R74" s="198"/>
      <c r="S74" s="198"/>
      <c r="T74" s="198"/>
      <c r="U74" s="198"/>
    </row>
    <row r="75" spans="1:21" s="12" customFormat="1" x14ac:dyDescent="0.25">
      <c r="A75" s="214" t="s">
        <v>1177</v>
      </c>
      <c r="B75" s="64">
        <v>12.03</v>
      </c>
      <c r="C75" s="64">
        <v>31</v>
      </c>
      <c r="D75" s="64">
        <v>25.38</v>
      </c>
      <c r="E75" s="64">
        <v>5.61</v>
      </c>
      <c r="F75" s="64">
        <v>4</v>
      </c>
      <c r="G75" s="64">
        <v>64.83</v>
      </c>
      <c r="H75" s="64">
        <v>17.13</v>
      </c>
      <c r="I75" s="64">
        <v>0.1</v>
      </c>
      <c r="J75" s="64">
        <v>1.34</v>
      </c>
      <c r="K75" s="64">
        <v>333.61</v>
      </c>
      <c r="L75" s="64">
        <v>22.9</v>
      </c>
      <c r="M75" s="64">
        <v>18.670000000000002</v>
      </c>
      <c r="N75" s="64">
        <v>47.6</v>
      </c>
      <c r="O75" s="64">
        <v>0</v>
      </c>
      <c r="P75" s="64">
        <v>1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4" t="s">
        <v>1178</v>
      </c>
      <c r="B76" s="64">
        <v>12.06</v>
      </c>
      <c r="C76" s="64">
        <v>32.57</v>
      </c>
      <c r="D76" s="64">
        <v>26.23</v>
      </c>
      <c r="E76" s="64">
        <v>7.15</v>
      </c>
      <c r="F76" s="64">
        <v>5.62</v>
      </c>
      <c r="G76" s="64">
        <v>65.760000000000005</v>
      </c>
      <c r="H76" s="64">
        <v>18.61</v>
      </c>
      <c r="I76" s="64">
        <v>0.1</v>
      </c>
      <c r="J76" s="64">
        <v>1.07</v>
      </c>
      <c r="K76" s="64">
        <v>340.15</v>
      </c>
      <c r="L76" s="64">
        <v>22.13</v>
      </c>
      <c r="M76" s="64">
        <v>28.45</v>
      </c>
      <c r="N76" s="64">
        <v>41.8</v>
      </c>
      <c r="O76" s="64">
        <v>0</v>
      </c>
      <c r="P76" s="64">
        <v>1.06</v>
      </c>
      <c r="Q76" s="64">
        <v>9.6199999999999992</v>
      </c>
      <c r="R76" s="198"/>
      <c r="S76" s="198"/>
      <c r="T76" s="198"/>
      <c r="U76" s="198"/>
    </row>
    <row r="77" spans="1:21" s="12" customFormat="1" x14ac:dyDescent="0.25">
      <c r="A77" s="214" t="s">
        <v>1179</v>
      </c>
      <c r="B77" s="64">
        <v>13.36</v>
      </c>
      <c r="C77" s="64">
        <v>33.880000000000003</v>
      </c>
      <c r="D77" s="64">
        <v>27.96</v>
      </c>
      <c r="E77" s="64">
        <v>6.35</v>
      </c>
      <c r="F77" s="64">
        <v>4.18</v>
      </c>
      <c r="G77" s="64">
        <v>69.5</v>
      </c>
      <c r="H77" s="64">
        <v>22.96</v>
      </c>
      <c r="I77" s="64">
        <v>0.1</v>
      </c>
      <c r="J77" s="64">
        <v>0.72</v>
      </c>
      <c r="K77" s="64">
        <v>7.4</v>
      </c>
      <c r="L77" s="64">
        <v>21.22</v>
      </c>
      <c r="M77" s="64">
        <v>28.14</v>
      </c>
      <c r="N77" s="64">
        <v>36.299999999999997</v>
      </c>
      <c r="O77" s="64">
        <v>0</v>
      </c>
      <c r="P77" s="64">
        <v>1.1299999999999999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4" t="s">
        <v>1180</v>
      </c>
      <c r="B78" s="64">
        <v>13.93</v>
      </c>
      <c r="C78" s="64">
        <v>33.380000000000003</v>
      </c>
      <c r="D78" s="64">
        <v>28.15</v>
      </c>
      <c r="E78" s="64">
        <v>4.8600000000000003</v>
      </c>
      <c r="F78" s="64">
        <v>3.24</v>
      </c>
      <c r="G78" s="64">
        <v>69.5</v>
      </c>
      <c r="H78" s="64">
        <v>22.96</v>
      </c>
      <c r="I78" s="64">
        <v>0.1</v>
      </c>
      <c r="J78" s="64">
        <v>0.59</v>
      </c>
      <c r="K78" s="64">
        <v>297.29000000000002</v>
      </c>
      <c r="L78" s="64">
        <v>20.11</v>
      </c>
      <c r="M78" s="64">
        <v>39.450000000000003</v>
      </c>
      <c r="N78" s="64">
        <v>33.799999999999997</v>
      </c>
      <c r="O78" s="64">
        <v>0</v>
      </c>
      <c r="P78" s="64">
        <v>1.1000000000000001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1181</v>
      </c>
      <c r="B79" s="64">
        <v>14.34</v>
      </c>
      <c r="C79" s="64">
        <v>30.06</v>
      </c>
      <c r="D79" s="64">
        <v>26.74</v>
      </c>
      <c r="E79" s="64">
        <v>4.1100000000000003</v>
      </c>
      <c r="F79" s="64">
        <v>2.52</v>
      </c>
      <c r="G79" s="64">
        <v>69.5</v>
      </c>
      <c r="H79" s="64">
        <v>22.96</v>
      </c>
      <c r="I79" s="64">
        <v>0.1</v>
      </c>
      <c r="J79" s="64">
        <v>0.2</v>
      </c>
      <c r="K79" s="64">
        <v>58.78</v>
      </c>
      <c r="L79" s="64">
        <v>19</v>
      </c>
      <c r="M79" s="64">
        <v>33.19</v>
      </c>
      <c r="N79" s="64">
        <v>32.9</v>
      </c>
      <c r="O79" s="64">
        <v>0</v>
      </c>
      <c r="P79" s="64">
        <v>1.1200000000000001</v>
      </c>
      <c r="Q79" s="64">
        <v>9.64</v>
      </c>
      <c r="R79" s="198"/>
      <c r="S79" s="198"/>
      <c r="T79" s="198"/>
      <c r="U79" s="198"/>
    </row>
    <row r="80" spans="1:21" s="12" customFormat="1" x14ac:dyDescent="0.25">
      <c r="A80" s="214" t="s">
        <v>1182</v>
      </c>
      <c r="B80" s="64">
        <v>16.66</v>
      </c>
      <c r="C80" s="64">
        <v>29.18</v>
      </c>
      <c r="D80" s="64">
        <v>28.14</v>
      </c>
      <c r="E80" s="64">
        <v>4.47</v>
      </c>
      <c r="F80" s="64">
        <v>2.52</v>
      </c>
      <c r="G80" s="64">
        <v>77.52</v>
      </c>
      <c r="H80" s="64">
        <v>24.68</v>
      </c>
      <c r="I80" s="64">
        <v>0.1</v>
      </c>
      <c r="J80" s="64">
        <v>0.18</v>
      </c>
      <c r="K80" s="64">
        <v>26.56</v>
      </c>
      <c r="L80" s="64">
        <v>18.329999999999998</v>
      </c>
      <c r="M80" s="64">
        <v>36.74</v>
      </c>
      <c r="N80" s="64">
        <v>32.799999999999997</v>
      </c>
      <c r="O80" s="64">
        <v>0</v>
      </c>
      <c r="P80" s="64">
        <v>1.18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4" t="s">
        <v>1183</v>
      </c>
      <c r="B81" s="64">
        <v>20.78</v>
      </c>
      <c r="C81" s="64">
        <v>26.97</v>
      </c>
      <c r="D81" s="64">
        <v>30.29</v>
      </c>
      <c r="E81" s="64">
        <v>4.46</v>
      </c>
      <c r="F81" s="64">
        <v>2.61</v>
      </c>
      <c r="G81" s="64">
        <v>109.61</v>
      </c>
      <c r="H81" s="64">
        <v>33.26</v>
      </c>
      <c r="I81" s="64">
        <v>0.1</v>
      </c>
      <c r="J81" s="64">
        <v>0.33</v>
      </c>
      <c r="K81" s="64">
        <v>69.14</v>
      </c>
      <c r="L81" s="64">
        <v>17.73</v>
      </c>
      <c r="M81" s="64">
        <v>37.03</v>
      </c>
      <c r="N81" s="64">
        <v>32.700000000000003</v>
      </c>
      <c r="O81" s="64">
        <v>0</v>
      </c>
      <c r="P81" s="64">
        <v>1.28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4" t="s">
        <v>1184</v>
      </c>
      <c r="B82" s="64">
        <v>23.71</v>
      </c>
      <c r="C82" s="64">
        <v>25.6</v>
      </c>
      <c r="D82" s="64">
        <v>31.93</v>
      </c>
      <c r="E82" s="64">
        <v>4.03</v>
      </c>
      <c r="F82" s="64">
        <v>2.63</v>
      </c>
      <c r="G82" s="64">
        <v>109.61</v>
      </c>
      <c r="H82" s="64">
        <v>33.26</v>
      </c>
      <c r="I82" s="64">
        <v>0.1</v>
      </c>
      <c r="J82" s="64">
        <v>0.37</v>
      </c>
      <c r="K82" s="64">
        <v>227.51</v>
      </c>
      <c r="L82" s="64">
        <v>17.37</v>
      </c>
      <c r="M82" s="64">
        <v>43.77</v>
      </c>
      <c r="N82" s="64">
        <v>32.5</v>
      </c>
      <c r="O82" s="64">
        <v>0</v>
      </c>
      <c r="P82" s="64">
        <v>1.35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4" t="s">
        <v>1185</v>
      </c>
      <c r="B83" s="64">
        <v>29.37</v>
      </c>
      <c r="C83" s="64">
        <v>22.94</v>
      </c>
      <c r="D83" s="64">
        <v>35.07</v>
      </c>
      <c r="E83" s="64">
        <v>4.42</v>
      </c>
      <c r="F83" s="64">
        <v>2.74</v>
      </c>
      <c r="G83" s="64">
        <v>109.61</v>
      </c>
      <c r="H83" s="64">
        <v>33.26</v>
      </c>
      <c r="I83" s="64">
        <v>0.1</v>
      </c>
      <c r="J83" s="64">
        <v>0.25</v>
      </c>
      <c r="K83" s="64">
        <v>129.32</v>
      </c>
      <c r="L83" s="64">
        <v>16.940000000000001</v>
      </c>
      <c r="M83" s="64">
        <v>47.41</v>
      </c>
      <c r="N83" s="64">
        <v>32.5</v>
      </c>
      <c r="O83" s="64">
        <v>0</v>
      </c>
      <c r="P83" s="64">
        <v>1.47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4" t="s">
        <v>1186</v>
      </c>
      <c r="B84" s="64">
        <v>36.200000000000003</v>
      </c>
      <c r="C84" s="64">
        <v>19.59</v>
      </c>
      <c r="D84" s="64">
        <v>38.799999999999997</v>
      </c>
      <c r="E84" s="64">
        <v>4.62</v>
      </c>
      <c r="F84" s="64">
        <v>2.65</v>
      </c>
      <c r="G84" s="64">
        <v>124.6</v>
      </c>
      <c r="H84" s="64">
        <v>38.020000000000003</v>
      </c>
      <c r="I84" s="64">
        <v>0.1</v>
      </c>
      <c r="J84" s="64">
        <v>0.67</v>
      </c>
      <c r="K84" s="64">
        <v>0.63</v>
      </c>
      <c r="L84" s="64">
        <v>16.57</v>
      </c>
      <c r="M84" s="64">
        <v>50.41</v>
      </c>
      <c r="N84" s="64">
        <v>32.5</v>
      </c>
      <c r="O84" s="64">
        <v>0</v>
      </c>
      <c r="P84" s="64">
        <v>1.62</v>
      </c>
      <c r="Q84" s="64">
        <v>9.66</v>
      </c>
      <c r="R84" s="198"/>
      <c r="S84" s="198"/>
      <c r="T84" s="198"/>
      <c r="U84" s="198"/>
    </row>
    <row r="85" spans="1:26" s="12" customFormat="1" x14ac:dyDescent="0.25">
      <c r="A85" s="214" t="s">
        <v>1187</v>
      </c>
      <c r="B85" s="64">
        <v>42.55</v>
      </c>
      <c r="C85" s="64">
        <v>16.38</v>
      </c>
      <c r="D85" s="64">
        <v>42.22</v>
      </c>
      <c r="E85" s="64">
        <v>4.5999999999999996</v>
      </c>
      <c r="F85" s="64">
        <v>2.63</v>
      </c>
      <c r="G85" s="64">
        <v>184.59</v>
      </c>
      <c r="H85" s="64">
        <v>52</v>
      </c>
      <c r="I85" s="64">
        <v>0.1</v>
      </c>
      <c r="J85" s="64">
        <v>0.18</v>
      </c>
      <c r="K85" s="64">
        <v>101.49</v>
      </c>
      <c r="L85" s="64">
        <v>16.25</v>
      </c>
      <c r="M85" s="64">
        <v>51.6</v>
      </c>
      <c r="N85" s="64">
        <v>32.4</v>
      </c>
      <c r="O85" s="64">
        <v>0</v>
      </c>
      <c r="P85" s="64">
        <v>1.59</v>
      </c>
      <c r="Q85" s="64">
        <v>9.68</v>
      </c>
      <c r="R85" s="198"/>
      <c r="S85" s="198"/>
      <c r="T85" s="198"/>
      <c r="U85" s="198"/>
    </row>
    <row r="86" spans="1:26" s="12" customFormat="1" x14ac:dyDescent="0.25">
      <c r="A86" s="214" t="s">
        <v>1188</v>
      </c>
      <c r="B86" s="64">
        <v>49.35</v>
      </c>
      <c r="C86" s="64">
        <v>13.06</v>
      </c>
      <c r="D86" s="64">
        <v>45.94</v>
      </c>
      <c r="E86" s="64">
        <v>4.54</v>
      </c>
      <c r="F86" s="64">
        <v>2.37</v>
      </c>
      <c r="G86" s="64">
        <v>184.59</v>
      </c>
      <c r="H86" s="64">
        <v>52</v>
      </c>
      <c r="I86" s="64">
        <v>0.1</v>
      </c>
      <c r="J86" s="64">
        <v>0.63</v>
      </c>
      <c r="K86" s="64">
        <v>133.12</v>
      </c>
      <c r="L86" s="64">
        <v>15.99</v>
      </c>
      <c r="M86" s="64">
        <v>59.02</v>
      </c>
      <c r="N86" s="64">
        <v>32.4</v>
      </c>
      <c r="O86" s="64">
        <v>0</v>
      </c>
      <c r="P86" s="64">
        <v>1.83</v>
      </c>
      <c r="Q86" s="64">
        <v>9.69</v>
      </c>
      <c r="R86" s="198"/>
      <c r="S86" s="198"/>
      <c r="T86" s="198"/>
      <c r="U86" s="198"/>
    </row>
    <row r="87" spans="1:26" s="12" customFormat="1" x14ac:dyDescent="0.25">
      <c r="A87" s="214" t="s">
        <v>1189</v>
      </c>
      <c r="B87" s="64">
        <v>60.37</v>
      </c>
      <c r="C87" s="64">
        <v>7.54</v>
      </c>
      <c r="D87" s="64">
        <v>51.89</v>
      </c>
      <c r="E87" s="64">
        <v>4.67</v>
      </c>
      <c r="F87" s="64">
        <v>2.56</v>
      </c>
      <c r="G87" s="64">
        <v>184.59</v>
      </c>
      <c r="H87" s="64">
        <v>52</v>
      </c>
      <c r="I87" s="64">
        <v>0.1</v>
      </c>
      <c r="J87" s="64">
        <v>0.68</v>
      </c>
      <c r="K87" s="64">
        <v>257.22000000000003</v>
      </c>
      <c r="L87" s="64">
        <v>15.64</v>
      </c>
      <c r="M87" s="64">
        <v>59.04</v>
      </c>
      <c r="N87" s="64">
        <v>32.299999999999997</v>
      </c>
      <c r="O87" s="64">
        <v>0</v>
      </c>
      <c r="P87" s="64">
        <v>2.02</v>
      </c>
      <c r="Q87" s="64">
        <v>9.7200000000000006</v>
      </c>
      <c r="R87" s="198"/>
      <c r="S87" s="198"/>
      <c r="T87" s="198"/>
      <c r="U87" s="198"/>
    </row>
    <row r="88" spans="1:26" s="12" customFormat="1" x14ac:dyDescent="0.25">
      <c r="A88" s="214" t="s">
        <v>1190</v>
      </c>
      <c r="B88" s="64">
        <v>69.849999999999994</v>
      </c>
      <c r="C88" s="64">
        <v>2.4300000000000002</v>
      </c>
      <c r="D88" s="64">
        <v>56.83</v>
      </c>
      <c r="E88" s="64">
        <v>4.91</v>
      </c>
      <c r="F88" s="64">
        <v>3</v>
      </c>
      <c r="G88" s="64">
        <v>194.56</v>
      </c>
      <c r="H88" s="64">
        <v>58.54</v>
      </c>
      <c r="I88" s="64">
        <v>0.1</v>
      </c>
      <c r="J88" s="64">
        <v>0.66</v>
      </c>
      <c r="K88" s="64">
        <v>279.39999999999998</v>
      </c>
      <c r="L88" s="64">
        <v>15.46</v>
      </c>
      <c r="M88" s="64">
        <v>61.22</v>
      </c>
      <c r="N88" s="64">
        <v>32.4</v>
      </c>
      <c r="O88" s="64">
        <v>0</v>
      </c>
      <c r="P88" s="64">
        <v>2.21</v>
      </c>
      <c r="Q88" s="64">
        <v>9.75</v>
      </c>
      <c r="R88" s="198"/>
      <c r="S88" s="198"/>
      <c r="T88" s="198"/>
      <c r="U88" s="198"/>
    </row>
    <row r="89" spans="1:26" s="12" customFormat="1" x14ac:dyDescent="0.25">
      <c r="A89" s="214" t="s">
        <v>1191</v>
      </c>
      <c r="B89" s="64">
        <v>76.8</v>
      </c>
      <c r="C89" s="64">
        <v>0.02</v>
      </c>
      <c r="D89" s="64">
        <v>60.43</v>
      </c>
      <c r="E89" s="64">
        <v>5.18</v>
      </c>
      <c r="F89" s="64">
        <v>3.09</v>
      </c>
      <c r="G89" s="64">
        <v>234.43</v>
      </c>
      <c r="H89" s="64">
        <v>77.8</v>
      </c>
      <c r="I89" s="64">
        <v>0.1</v>
      </c>
      <c r="J89" s="64">
        <v>0.28000000000000003</v>
      </c>
      <c r="K89" s="64">
        <v>118.8</v>
      </c>
      <c r="L89" s="64">
        <v>15.19</v>
      </c>
      <c r="M89" s="64">
        <v>62.44</v>
      </c>
      <c r="N89" s="64">
        <v>32.299999999999997</v>
      </c>
      <c r="O89" s="64">
        <v>0</v>
      </c>
      <c r="P89" s="64">
        <v>2.38</v>
      </c>
      <c r="Q89" s="64">
        <v>9.77</v>
      </c>
      <c r="R89" s="198"/>
      <c r="S89" s="198"/>
      <c r="T89" s="198"/>
      <c r="U89" s="198"/>
    </row>
    <row r="90" spans="1:26" s="12" customFormat="1" x14ac:dyDescent="0.25">
      <c r="A90" s="214" t="s">
        <v>1192</v>
      </c>
      <c r="B90" s="64">
        <v>86.74</v>
      </c>
      <c r="C90" s="64">
        <v>0.02</v>
      </c>
      <c r="D90" s="64">
        <v>65.739999999999995</v>
      </c>
      <c r="E90" s="64">
        <v>5.59</v>
      </c>
      <c r="F90" s="64">
        <v>3.12</v>
      </c>
      <c r="G90" s="64">
        <v>234.43</v>
      </c>
      <c r="H90" s="64">
        <v>77.8</v>
      </c>
      <c r="I90" s="64">
        <v>0.1</v>
      </c>
      <c r="J90" s="64">
        <v>0.51</v>
      </c>
      <c r="K90" s="64">
        <v>307.23</v>
      </c>
      <c r="L90" s="64">
        <v>15.14</v>
      </c>
      <c r="M90" s="64">
        <v>64.069999999999993</v>
      </c>
      <c r="N90" s="64">
        <v>32.200000000000003</v>
      </c>
      <c r="O90" s="64">
        <v>0</v>
      </c>
      <c r="P90" s="64">
        <v>2.56</v>
      </c>
      <c r="Q90" s="64">
        <v>9.7899999999999991</v>
      </c>
      <c r="R90" s="198"/>
      <c r="S90" s="198"/>
      <c r="T90" s="198"/>
      <c r="U90" s="198"/>
    </row>
    <row r="91" spans="1:26" s="12" customFormat="1" x14ac:dyDescent="0.25">
      <c r="A91" s="214" t="s">
        <v>1193</v>
      </c>
      <c r="B91" s="64">
        <v>98.02</v>
      </c>
      <c r="C91" s="64">
        <v>0.02</v>
      </c>
      <c r="D91" s="64">
        <v>71.7</v>
      </c>
      <c r="E91" s="64">
        <v>5.54</v>
      </c>
      <c r="F91" s="64">
        <v>3.04</v>
      </c>
      <c r="G91" s="64">
        <v>234.43</v>
      </c>
      <c r="H91" s="64">
        <v>77.8</v>
      </c>
      <c r="I91" s="64">
        <v>0.1</v>
      </c>
      <c r="J91" s="64">
        <v>0.68</v>
      </c>
      <c r="K91" s="64">
        <v>343.92</v>
      </c>
      <c r="L91" s="64">
        <v>14.87</v>
      </c>
      <c r="M91" s="64">
        <v>67.430000000000007</v>
      </c>
      <c r="N91" s="64">
        <v>32.5</v>
      </c>
      <c r="O91" s="64">
        <v>0</v>
      </c>
      <c r="P91" s="64">
        <v>2.78</v>
      </c>
      <c r="Q91" s="64">
        <v>9.7899999999999991</v>
      </c>
      <c r="R91" s="198"/>
      <c r="S91" s="198"/>
      <c r="T91" s="198"/>
      <c r="U91" s="198"/>
    </row>
    <row r="92" spans="1:26" s="12" customFormat="1" x14ac:dyDescent="0.25">
      <c r="A92" s="214" t="s">
        <v>1194</v>
      </c>
      <c r="B92" s="64">
        <v>109.51</v>
      </c>
      <c r="C92" s="64">
        <v>0.02</v>
      </c>
      <c r="D92" s="64">
        <v>77.75</v>
      </c>
      <c r="E92" s="64">
        <v>5.82</v>
      </c>
      <c r="F92" s="64">
        <v>3.15</v>
      </c>
      <c r="G92" s="64">
        <v>240.59</v>
      </c>
      <c r="H92" s="64">
        <v>81.87</v>
      </c>
      <c r="I92" s="64">
        <v>0.1</v>
      </c>
      <c r="J92" s="64">
        <v>0.64</v>
      </c>
      <c r="K92" s="64">
        <v>330.39</v>
      </c>
      <c r="L92" s="64">
        <v>14.62</v>
      </c>
      <c r="M92" s="64">
        <v>67.05</v>
      </c>
      <c r="N92" s="64">
        <v>32.299999999999997</v>
      </c>
      <c r="O92" s="64">
        <v>0</v>
      </c>
      <c r="P92" s="64">
        <v>3</v>
      </c>
      <c r="Q92" s="64">
        <v>9.84</v>
      </c>
      <c r="R92" s="198"/>
      <c r="S92" s="198"/>
      <c r="T92" s="198"/>
      <c r="U92" s="198"/>
    </row>
    <row r="93" spans="1:26" s="12" customFormat="1" x14ac:dyDescent="0.25">
      <c r="A93" s="214" t="s">
        <v>1195</v>
      </c>
      <c r="B93" s="64">
        <v>117.66</v>
      </c>
      <c r="C93" s="64">
        <v>0.02</v>
      </c>
      <c r="D93" s="64">
        <v>81.92</v>
      </c>
      <c r="E93" s="64">
        <v>6.08</v>
      </c>
      <c r="F93" s="64">
        <v>3.33</v>
      </c>
      <c r="G93" s="64">
        <v>265.23</v>
      </c>
      <c r="H93" s="64">
        <v>93.86</v>
      </c>
      <c r="I93" s="64">
        <v>0.1</v>
      </c>
      <c r="J93" s="64">
        <v>0.72</v>
      </c>
      <c r="K93" s="64">
        <v>285.23</v>
      </c>
      <c r="L93" s="64">
        <v>14.47</v>
      </c>
      <c r="M93" s="64">
        <v>73.11</v>
      </c>
      <c r="N93" s="64">
        <v>32.299999999999997</v>
      </c>
      <c r="O93" s="64">
        <v>0</v>
      </c>
      <c r="P93" s="64">
        <v>3.18</v>
      </c>
      <c r="Q93" s="64">
        <v>9.83</v>
      </c>
      <c r="R93" s="198"/>
      <c r="S93" s="198"/>
      <c r="T93" s="198"/>
      <c r="U93" s="198"/>
    </row>
    <row r="94" spans="1:26" s="12" customFormat="1" x14ac:dyDescent="0.25">
      <c r="A94" s="214" t="s">
        <v>1196</v>
      </c>
      <c r="B94" s="64">
        <v>127.6</v>
      </c>
      <c r="C94" s="64">
        <v>0.02</v>
      </c>
      <c r="D94" s="64">
        <v>86.79</v>
      </c>
      <c r="E94" s="64">
        <v>6.08</v>
      </c>
      <c r="F94" s="64">
        <v>3.5</v>
      </c>
      <c r="G94" s="64">
        <v>265.23</v>
      </c>
      <c r="H94" s="64">
        <v>93.86</v>
      </c>
      <c r="I94" s="64">
        <v>0.1</v>
      </c>
      <c r="J94" s="64">
        <v>0.73</v>
      </c>
      <c r="K94" s="64">
        <v>337.72</v>
      </c>
      <c r="L94" s="64">
        <v>14.31</v>
      </c>
      <c r="M94" s="64">
        <v>74.89</v>
      </c>
      <c r="N94" s="64">
        <v>32.4</v>
      </c>
      <c r="O94" s="64">
        <v>0</v>
      </c>
      <c r="P94" s="64">
        <v>3.33</v>
      </c>
      <c r="Q94" s="64">
        <v>9.85</v>
      </c>
      <c r="R94" s="198"/>
      <c r="S94" s="198"/>
      <c r="T94" s="198"/>
      <c r="U94" s="198"/>
    </row>
    <row r="95" spans="1:26" s="12" customFormat="1" x14ac:dyDescent="0.25">
      <c r="A95" s="214" t="s">
        <v>1197</v>
      </c>
      <c r="B95" s="64">
        <v>136.31</v>
      </c>
      <c r="C95" s="64">
        <v>0.02</v>
      </c>
      <c r="D95" s="64">
        <v>91.05</v>
      </c>
      <c r="E95" s="64">
        <v>6</v>
      </c>
      <c r="F95" s="64">
        <v>3.55</v>
      </c>
      <c r="G95" s="64">
        <v>265.23</v>
      </c>
      <c r="H95" s="64">
        <v>93.86</v>
      </c>
      <c r="I95" s="64">
        <v>0.1</v>
      </c>
      <c r="J95" s="64">
        <v>0.67</v>
      </c>
      <c r="K95" s="64">
        <v>323.08</v>
      </c>
      <c r="L95" s="64">
        <v>14.04</v>
      </c>
      <c r="M95" s="64">
        <v>81.400000000000006</v>
      </c>
      <c r="N95" s="64">
        <v>32.4</v>
      </c>
      <c r="O95" s="64">
        <v>0</v>
      </c>
      <c r="P95" s="64">
        <v>3.51</v>
      </c>
      <c r="Q95" s="64">
        <v>9.86</v>
      </c>
      <c r="R95" s="198"/>
      <c r="S95" s="198"/>
      <c r="T95" s="198"/>
      <c r="U95" s="198"/>
    </row>
    <row r="96" spans="1:26" s="12" customFormat="1" x14ac:dyDescent="0.25">
      <c r="A96" s="214" t="s">
        <v>1198</v>
      </c>
      <c r="B96" s="64">
        <v>143.72</v>
      </c>
      <c r="C96" s="64">
        <v>0.02</v>
      </c>
      <c r="D96" s="64">
        <v>94.72</v>
      </c>
      <c r="E96" s="64">
        <v>6.27</v>
      </c>
      <c r="F96" s="64">
        <v>3.53</v>
      </c>
      <c r="G96" s="64">
        <v>264.16000000000003</v>
      </c>
      <c r="H96" s="64">
        <v>95.56</v>
      </c>
      <c r="I96" s="64">
        <v>0.1</v>
      </c>
      <c r="J96" s="64">
        <v>0.65</v>
      </c>
      <c r="K96" s="64">
        <v>309.60000000000002</v>
      </c>
      <c r="L96" s="64">
        <v>13.98</v>
      </c>
      <c r="M96" s="64">
        <v>77.709999999999994</v>
      </c>
      <c r="N96" s="64">
        <v>32.299999999999997</v>
      </c>
      <c r="O96" s="64">
        <v>0</v>
      </c>
      <c r="P96" s="64">
        <v>3.67</v>
      </c>
      <c r="Q96" s="64">
        <v>9.89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1199</v>
      </c>
      <c r="B97" s="64">
        <v>149.77000000000001</v>
      </c>
      <c r="C97" s="64">
        <v>0.02</v>
      </c>
      <c r="D97" s="64">
        <v>97.64</v>
      </c>
      <c r="E97" s="64">
        <v>6.28</v>
      </c>
      <c r="F97" s="64">
        <v>3.38</v>
      </c>
      <c r="G97" s="64">
        <v>259.85000000000002</v>
      </c>
      <c r="H97" s="64">
        <v>103.27</v>
      </c>
      <c r="I97" s="64">
        <v>0.1</v>
      </c>
      <c r="J97" s="64">
        <v>0.34</v>
      </c>
      <c r="K97" s="64">
        <v>93.14</v>
      </c>
      <c r="L97" s="64">
        <v>13.87</v>
      </c>
      <c r="M97" s="64">
        <v>77.05</v>
      </c>
      <c r="N97" s="64">
        <v>32.4</v>
      </c>
      <c r="O97" s="64">
        <v>0</v>
      </c>
      <c r="P97" s="64">
        <v>3.84</v>
      </c>
      <c r="Q97" s="64">
        <v>9.89</v>
      </c>
      <c r="R97" s="198"/>
      <c r="S97" s="198"/>
      <c r="T97" s="198"/>
      <c r="U97" s="198"/>
    </row>
    <row r="98" spans="1:33" s="12" customFormat="1" x14ac:dyDescent="0.25">
      <c r="A98" s="214" t="s">
        <v>1200</v>
      </c>
      <c r="B98" s="64">
        <v>153.72</v>
      </c>
      <c r="C98" s="64">
        <v>1.3</v>
      </c>
      <c r="D98" s="64">
        <v>99.46</v>
      </c>
      <c r="E98" s="64">
        <v>6.43</v>
      </c>
      <c r="F98" s="64">
        <v>3.51</v>
      </c>
      <c r="G98" s="64">
        <v>259.85000000000002</v>
      </c>
      <c r="H98" s="64">
        <v>103.27</v>
      </c>
      <c r="I98" s="64">
        <v>0.1</v>
      </c>
      <c r="J98" s="64">
        <v>0.09</v>
      </c>
      <c r="K98" s="64">
        <v>71.13</v>
      </c>
      <c r="L98" s="64">
        <v>13.72</v>
      </c>
      <c r="M98" s="64">
        <v>77.72</v>
      </c>
      <c r="N98" s="64">
        <v>32.4</v>
      </c>
      <c r="O98" s="64">
        <v>0</v>
      </c>
      <c r="P98" s="64">
        <v>3.96</v>
      </c>
      <c r="Q98" s="64">
        <v>9.92</v>
      </c>
      <c r="R98" s="198"/>
      <c r="S98" s="198"/>
      <c r="T98" s="198"/>
      <c r="U98" s="198"/>
    </row>
    <row r="99" spans="1:33" s="12" customFormat="1" x14ac:dyDescent="0.25">
      <c r="A99" s="214" t="s">
        <v>1201</v>
      </c>
      <c r="B99" s="64">
        <v>157.69</v>
      </c>
      <c r="C99" s="64">
        <v>2.6</v>
      </c>
      <c r="D99" s="64">
        <v>101.41</v>
      </c>
      <c r="E99" s="64">
        <v>6.31</v>
      </c>
      <c r="F99" s="64">
        <v>3.49</v>
      </c>
      <c r="G99" s="64">
        <v>259.85000000000002</v>
      </c>
      <c r="H99" s="64">
        <v>103.27</v>
      </c>
      <c r="I99" s="64">
        <v>0.1</v>
      </c>
      <c r="J99" s="64">
        <v>0.45</v>
      </c>
      <c r="K99" s="64">
        <v>306.55</v>
      </c>
      <c r="L99" s="64">
        <v>13.55</v>
      </c>
      <c r="M99" s="64">
        <v>80</v>
      </c>
      <c r="N99" s="64">
        <v>32.5</v>
      </c>
      <c r="O99" s="64">
        <v>0</v>
      </c>
      <c r="P99" s="64">
        <v>4.07</v>
      </c>
      <c r="Q99" s="64">
        <v>9.91</v>
      </c>
      <c r="R99" s="198"/>
      <c r="S99" s="198"/>
      <c r="T99" s="198"/>
      <c r="U99" s="198"/>
    </row>
    <row r="100" spans="1:33" s="12" customFormat="1" x14ac:dyDescent="0.25">
      <c r="A100" s="214" t="s">
        <v>1202</v>
      </c>
      <c r="B100" s="64">
        <v>159.5</v>
      </c>
      <c r="C100" s="64">
        <v>2.6</v>
      </c>
      <c r="D100" s="64">
        <v>102.17</v>
      </c>
      <c r="E100" s="64">
        <v>6.34</v>
      </c>
      <c r="F100" s="64">
        <v>3.28</v>
      </c>
      <c r="G100" s="64">
        <v>251.32</v>
      </c>
      <c r="H100" s="64">
        <v>99.99</v>
      </c>
      <c r="I100" s="64">
        <v>0.1</v>
      </c>
      <c r="J100" s="64">
        <v>0.23</v>
      </c>
      <c r="K100" s="64">
        <v>124.31</v>
      </c>
      <c r="L100" s="64">
        <v>13.4</v>
      </c>
      <c r="M100" s="64">
        <v>78.599999999999994</v>
      </c>
      <c r="N100" s="64">
        <v>32.299999999999997</v>
      </c>
      <c r="O100" s="64">
        <v>0</v>
      </c>
      <c r="P100" s="64">
        <v>4.12</v>
      </c>
      <c r="Q100" s="64">
        <v>9.91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1203</v>
      </c>
      <c r="B101" s="64">
        <v>160.91</v>
      </c>
      <c r="C101" s="64">
        <v>2.2999999999999998</v>
      </c>
      <c r="D101" s="64">
        <v>102.71</v>
      </c>
      <c r="E101" s="64">
        <v>6.45</v>
      </c>
      <c r="F101" s="64">
        <v>3.43</v>
      </c>
      <c r="G101" s="64">
        <v>217.19</v>
      </c>
      <c r="H101" s="64">
        <v>90.34</v>
      </c>
      <c r="I101" s="64">
        <v>0.1</v>
      </c>
      <c r="J101" s="64">
        <v>0.49</v>
      </c>
      <c r="K101" s="64">
        <v>256.73</v>
      </c>
      <c r="L101" s="64">
        <v>13.3</v>
      </c>
      <c r="M101" s="64">
        <v>82.39</v>
      </c>
      <c r="N101" s="64">
        <v>32.4</v>
      </c>
      <c r="O101" s="64">
        <v>0</v>
      </c>
      <c r="P101" s="64">
        <v>4.18</v>
      </c>
      <c r="Q101" s="64">
        <v>9.92</v>
      </c>
      <c r="R101" s="198"/>
      <c r="S101" s="198"/>
      <c r="T101" s="198"/>
      <c r="U101" s="198"/>
    </row>
    <row r="102" spans="1:33" s="12" customFormat="1" x14ac:dyDescent="0.25">
      <c r="A102" s="214" t="s">
        <v>1204</v>
      </c>
      <c r="B102" s="64">
        <v>165.01</v>
      </c>
      <c r="C102" s="64">
        <v>2.6</v>
      </c>
      <c r="D102" s="64">
        <v>104.76</v>
      </c>
      <c r="E102" s="64">
        <v>6.54</v>
      </c>
      <c r="F102" s="64">
        <v>3.39</v>
      </c>
      <c r="G102" s="64">
        <v>217.19</v>
      </c>
      <c r="H102" s="64">
        <v>90.34</v>
      </c>
      <c r="I102" s="64">
        <v>0.1</v>
      </c>
      <c r="J102" s="64">
        <v>0.23</v>
      </c>
      <c r="K102" s="64">
        <v>275.52</v>
      </c>
      <c r="L102" s="64">
        <v>13.04</v>
      </c>
      <c r="M102" s="64">
        <v>83.87</v>
      </c>
      <c r="N102" s="64">
        <v>32.4</v>
      </c>
      <c r="O102" s="64">
        <v>0</v>
      </c>
      <c r="P102" s="64">
        <v>4.21</v>
      </c>
      <c r="Q102" s="64">
        <v>9.91</v>
      </c>
      <c r="R102" s="198"/>
      <c r="S102" s="198"/>
      <c r="T102" s="198"/>
      <c r="U102" s="198"/>
    </row>
    <row r="103" spans="1:33" s="12" customFormat="1" x14ac:dyDescent="0.25">
      <c r="A103" s="214" t="s">
        <v>1205</v>
      </c>
      <c r="B103" s="64">
        <v>166.89</v>
      </c>
      <c r="C103" s="64">
        <v>2.5</v>
      </c>
      <c r="D103" s="64">
        <v>105.46</v>
      </c>
      <c r="E103" s="64">
        <v>6.42</v>
      </c>
      <c r="F103" s="64">
        <v>3.37</v>
      </c>
      <c r="G103" s="64">
        <v>217.19</v>
      </c>
      <c r="H103" s="64">
        <v>90.34</v>
      </c>
      <c r="I103" s="64">
        <v>0.1</v>
      </c>
      <c r="J103" s="64">
        <v>0.39</v>
      </c>
      <c r="K103" s="64">
        <v>302.16000000000003</v>
      </c>
      <c r="L103" s="64">
        <v>12.92</v>
      </c>
      <c r="M103" s="64">
        <v>88.27</v>
      </c>
      <c r="N103" s="64">
        <v>32.200000000000003</v>
      </c>
      <c r="O103" s="64">
        <v>0</v>
      </c>
      <c r="P103" s="64">
        <v>4.24</v>
      </c>
      <c r="Q103" s="64">
        <v>9.93</v>
      </c>
      <c r="R103" s="198"/>
      <c r="S103" s="198"/>
      <c r="T103" s="198"/>
      <c r="U103" s="198"/>
    </row>
    <row r="104" spans="1:33" s="12" customFormat="1" x14ac:dyDescent="0.25">
      <c r="A104" s="214" t="s">
        <v>1206</v>
      </c>
      <c r="B104" s="64">
        <v>168.02</v>
      </c>
      <c r="C104" s="64">
        <v>2.5</v>
      </c>
      <c r="D104" s="64">
        <v>106.03</v>
      </c>
      <c r="E104" s="64">
        <v>6</v>
      </c>
      <c r="F104" s="64">
        <v>3.09</v>
      </c>
      <c r="G104" s="64">
        <v>217.12</v>
      </c>
      <c r="H104" s="64">
        <v>92.26</v>
      </c>
      <c r="I104" s="64">
        <v>0.1</v>
      </c>
      <c r="J104" s="64">
        <v>0.75</v>
      </c>
      <c r="K104" s="64">
        <v>328.66</v>
      </c>
      <c r="L104" s="64">
        <v>12.64</v>
      </c>
      <c r="M104" s="64">
        <v>92.26</v>
      </c>
      <c r="N104" s="64">
        <v>32.5</v>
      </c>
      <c r="O104" s="64">
        <v>0</v>
      </c>
      <c r="P104" s="64">
        <v>4.33</v>
      </c>
      <c r="Q104" s="64">
        <v>9.9499999999999993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11.27</v>
      </c>
      <c r="C106" s="67">
        <f>MIN(C9:C104)</f>
        <v>0.02</v>
      </c>
      <c r="D106" s="67">
        <f t="shared" ref="D106:Q106" si="0">MIN(D9:D104)</f>
        <v>24.79</v>
      </c>
      <c r="E106" s="67">
        <f t="shared" si="0"/>
        <v>4.03</v>
      </c>
      <c r="F106" s="67">
        <f t="shared" si="0"/>
        <v>2.37</v>
      </c>
      <c r="G106" s="67">
        <f t="shared" si="0"/>
        <v>1.31</v>
      </c>
      <c r="H106" s="67">
        <f t="shared" si="0"/>
        <v>16.32</v>
      </c>
      <c r="I106" s="67">
        <f t="shared" si="0"/>
        <v>0.1</v>
      </c>
      <c r="J106" s="67">
        <f t="shared" si="0"/>
        <v>0.09</v>
      </c>
      <c r="K106" s="67">
        <f t="shared" si="0"/>
        <v>0.63</v>
      </c>
      <c r="L106" s="67">
        <f t="shared" si="0"/>
        <v>10.48</v>
      </c>
      <c r="M106" s="67">
        <f t="shared" si="0"/>
        <v>11.03</v>
      </c>
      <c r="N106" s="67">
        <f t="shared" si="0"/>
        <v>31.8</v>
      </c>
      <c r="O106" s="67">
        <f t="shared" si="0"/>
        <v>0</v>
      </c>
      <c r="P106" s="67">
        <f t="shared" si="0"/>
        <v>0.88</v>
      </c>
      <c r="Q106" s="67">
        <f t="shared" si="0"/>
        <v>9.6199999999999992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187.21</v>
      </c>
      <c r="C107" s="66">
        <f t="shared" ref="C107:Q107" si="1">MAX(C9:C104)</f>
        <v>33.880000000000003</v>
      </c>
      <c r="D107" s="66">
        <f t="shared" si="1"/>
        <v>114.67</v>
      </c>
      <c r="E107" s="66">
        <f t="shared" si="1"/>
        <v>15.54</v>
      </c>
      <c r="F107" s="66">
        <f t="shared" si="1"/>
        <v>8.83</v>
      </c>
      <c r="G107" s="66">
        <f t="shared" si="1"/>
        <v>265.23</v>
      </c>
      <c r="H107" s="66">
        <f t="shared" si="1"/>
        <v>103.27</v>
      </c>
      <c r="I107" s="66">
        <f t="shared" si="1"/>
        <v>0.1</v>
      </c>
      <c r="J107" s="66">
        <f t="shared" si="1"/>
        <v>1.78</v>
      </c>
      <c r="K107" s="66">
        <f t="shared" si="1"/>
        <v>357</v>
      </c>
      <c r="L107" s="66">
        <f t="shared" si="1"/>
        <v>28.36</v>
      </c>
      <c r="M107" s="66">
        <f t="shared" si="1"/>
        <v>98.79</v>
      </c>
      <c r="N107" s="66">
        <f t="shared" si="1"/>
        <v>589.5</v>
      </c>
      <c r="O107" s="66">
        <f t="shared" si="1"/>
        <v>0</v>
      </c>
      <c r="P107" s="66">
        <f t="shared" si="1"/>
        <v>4.59</v>
      </c>
      <c r="Q107" s="66">
        <f t="shared" si="1"/>
        <v>9.98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75.776666666666713</v>
      </c>
      <c r="C108" s="67">
        <f t="shared" ref="C108:Q108" si="2">AVERAGE(C9:C104)</f>
        <v>11.035937499999994</v>
      </c>
      <c r="D108" s="67">
        <f t="shared" si="2"/>
        <v>56.967187500000016</v>
      </c>
      <c r="E108" s="67">
        <f t="shared" si="2"/>
        <v>6.0803125000000007</v>
      </c>
      <c r="F108" s="67">
        <f t="shared" si="2"/>
        <v>3.7119791666666653</v>
      </c>
      <c r="G108" s="67">
        <f t="shared" si="2"/>
        <v>126.01562500000007</v>
      </c>
      <c r="H108" s="67">
        <f t="shared" si="2"/>
        <v>51.885000000000055</v>
      </c>
      <c r="I108" s="67">
        <f t="shared" si="2"/>
        <v>9.9999999999999811E-2</v>
      </c>
      <c r="J108" s="67">
        <f t="shared" si="2"/>
        <v>0.68687500000000012</v>
      </c>
      <c r="K108" s="67">
        <f t="shared" si="2"/>
        <v>210.13718749999998</v>
      </c>
      <c r="L108" s="67">
        <f t="shared" si="2"/>
        <v>18.384583333333339</v>
      </c>
      <c r="M108" s="67">
        <f t="shared" si="2"/>
        <v>51.854166666666679</v>
      </c>
      <c r="N108" s="67">
        <f t="shared" si="2"/>
        <v>161.95208333333326</v>
      </c>
      <c r="O108" s="67">
        <f t="shared" si="2"/>
        <v>0</v>
      </c>
      <c r="P108" s="67">
        <f t="shared" si="2"/>
        <v>2.1429166666666672</v>
      </c>
      <c r="Q108" s="67">
        <f t="shared" si="2"/>
        <v>9.7564583333333292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53.904809875550924</v>
      </c>
      <c r="C109" s="67">
        <f t="shared" ref="C109:Q109" si="3">STDEV(C9:C104)</f>
        <v>11.197584662316112</v>
      </c>
      <c r="D109" s="67">
        <f t="shared" si="3"/>
        <v>27.807141517513077</v>
      </c>
      <c r="E109" s="67">
        <f t="shared" si="3"/>
        <v>1.7805625681818975</v>
      </c>
      <c r="F109" s="67">
        <f t="shared" si="3"/>
        <v>1.4684962733437812</v>
      </c>
      <c r="G109" s="67">
        <f t="shared" si="3"/>
        <v>74.981201866130803</v>
      </c>
      <c r="H109" s="67">
        <f t="shared" si="3"/>
        <v>25.660107683246029</v>
      </c>
      <c r="I109" s="67">
        <f t="shared" si="3"/>
        <v>1.9530892623466312E-16</v>
      </c>
      <c r="J109" s="67">
        <f t="shared" si="3"/>
        <v>0.40230994205175208</v>
      </c>
      <c r="K109" s="67">
        <f t="shared" si="3"/>
        <v>115.66004523878668</v>
      </c>
      <c r="L109" s="67">
        <f t="shared" si="3"/>
        <v>5.9051878915990139</v>
      </c>
      <c r="M109" s="67">
        <f t="shared" si="3"/>
        <v>29.345539808745503</v>
      </c>
      <c r="N109" s="67">
        <f t="shared" si="3"/>
        <v>206.96124731541141</v>
      </c>
      <c r="O109" s="67">
        <f t="shared" si="3"/>
        <v>0</v>
      </c>
      <c r="P109" s="67">
        <f t="shared" si="3"/>
        <v>1.0943807830209809</v>
      </c>
      <c r="Q109" s="67">
        <f t="shared" si="3"/>
        <v>0.10630620288548451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COUNT(Q9:Q104)+2</f>
        <v>98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8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0" sqref="P110: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6" t="s">
        <v>42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1207</v>
      </c>
      <c r="B9" s="64">
        <v>169.99</v>
      </c>
      <c r="C9" s="6" t="s">
        <v>42</v>
      </c>
      <c r="D9" s="64">
        <v>107.21</v>
      </c>
      <c r="E9" s="64">
        <v>6.3</v>
      </c>
      <c r="F9" s="64">
        <v>3.11</v>
      </c>
      <c r="G9" s="64">
        <v>216.85</v>
      </c>
      <c r="H9" s="64">
        <v>97.92</v>
      </c>
      <c r="I9" s="64">
        <v>0.1</v>
      </c>
      <c r="J9" s="64">
        <v>0.66</v>
      </c>
      <c r="K9" s="64">
        <v>292.99</v>
      </c>
      <c r="L9" s="64">
        <v>12.65</v>
      </c>
      <c r="M9" s="64">
        <v>86.51</v>
      </c>
      <c r="N9" s="64">
        <v>32</v>
      </c>
      <c r="O9" s="64">
        <v>0</v>
      </c>
      <c r="P9" s="64">
        <v>4.41</v>
      </c>
      <c r="Q9" s="64">
        <v>9.93</v>
      </c>
      <c r="R9" s="198"/>
      <c r="S9" s="198"/>
      <c r="T9" s="198"/>
      <c r="U9" s="198"/>
    </row>
    <row r="10" spans="1:21" s="12" customFormat="1" x14ac:dyDescent="0.25">
      <c r="A10" s="214" t="s">
        <v>1208</v>
      </c>
      <c r="B10" s="64">
        <v>169.03</v>
      </c>
      <c r="C10" s="6" t="s">
        <v>42</v>
      </c>
      <c r="D10" s="64">
        <v>106.69</v>
      </c>
      <c r="E10" s="64">
        <v>6.77</v>
      </c>
      <c r="F10" s="64">
        <v>3.35</v>
      </c>
      <c r="G10" s="64">
        <v>216.85</v>
      </c>
      <c r="H10" s="64">
        <v>97.92</v>
      </c>
      <c r="I10" s="64">
        <v>0.1</v>
      </c>
      <c r="J10" s="64">
        <v>0.7</v>
      </c>
      <c r="K10" s="64">
        <v>265.74</v>
      </c>
      <c r="L10" s="64">
        <v>12.95</v>
      </c>
      <c r="M10" s="64">
        <v>87.92</v>
      </c>
      <c r="N10" s="64">
        <v>32.4</v>
      </c>
      <c r="O10" s="64">
        <v>0</v>
      </c>
      <c r="P10" s="64">
        <v>4.41</v>
      </c>
      <c r="Q10" s="64">
        <v>9.94</v>
      </c>
      <c r="R10" s="198"/>
      <c r="S10" s="198"/>
      <c r="T10" s="198"/>
      <c r="U10" s="198"/>
    </row>
    <row r="11" spans="1:21" s="12" customFormat="1" x14ac:dyDescent="0.25">
      <c r="A11" s="214" t="s">
        <v>1209</v>
      </c>
      <c r="B11" s="64">
        <v>166.27</v>
      </c>
      <c r="C11" s="6" t="s">
        <v>42</v>
      </c>
      <c r="D11" s="64">
        <v>104.89</v>
      </c>
      <c r="E11" s="64">
        <v>6.48</v>
      </c>
      <c r="F11" s="64">
        <v>3.31</v>
      </c>
      <c r="G11" s="64">
        <v>216.85</v>
      </c>
      <c r="H11" s="64">
        <v>97.92</v>
      </c>
      <c r="I11" s="64">
        <v>0.1</v>
      </c>
      <c r="J11" s="64">
        <v>0.4</v>
      </c>
      <c r="K11" s="64">
        <v>303.07</v>
      </c>
      <c r="L11" s="64">
        <v>12.66</v>
      </c>
      <c r="M11" s="64">
        <v>88.93</v>
      </c>
      <c r="N11" s="64">
        <v>32.5</v>
      </c>
      <c r="O11" s="64">
        <v>0</v>
      </c>
      <c r="P11" s="64">
        <v>4.3899999999999997</v>
      </c>
      <c r="Q11" s="64">
        <v>9.93</v>
      </c>
      <c r="R11" s="198"/>
      <c r="S11" s="198"/>
      <c r="T11" s="198"/>
      <c r="U11" s="198"/>
    </row>
    <row r="12" spans="1:21" s="12" customFormat="1" x14ac:dyDescent="0.25">
      <c r="A12" s="214" t="s">
        <v>1210</v>
      </c>
      <c r="B12" s="64">
        <v>163.66999999999999</v>
      </c>
      <c r="C12" s="6" t="s">
        <v>42</v>
      </c>
      <c r="D12" s="64">
        <v>103.37</v>
      </c>
      <c r="E12" s="64">
        <v>6.67</v>
      </c>
      <c r="F12" s="64">
        <v>3.25</v>
      </c>
      <c r="G12" s="64">
        <v>208.95</v>
      </c>
      <c r="H12" s="64">
        <v>95.1</v>
      </c>
      <c r="I12" s="64">
        <v>0.1</v>
      </c>
      <c r="J12" s="64">
        <v>0.26</v>
      </c>
      <c r="K12" s="64">
        <v>319.82</v>
      </c>
      <c r="L12" s="64">
        <v>12.32</v>
      </c>
      <c r="M12" s="64">
        <v>92.13</v>
      </c>
      <c r="N12" s="64">
        <v>32.4</v>
      </c>
      <c r="O12" s="64">
        <v>0</v>
      </c>
      <c r="P12" s="64">
        <v>4.38</v>
      </c>
      <c r="Q12" s="64">
        <v>9.94</v>
      </c>
      <c r="R12" s="198"/>
      <c r="S12" s="198"/>
      <c r="T12" s="198"/>
      <c r="U12" s="198"/>
    </row>
    <row r="13" spans="1:21" s="12" customFormat="1" x14ac:dyDescent="0.25">
      <c r="A13" s="214" t="s">
        <v>1211</v>
      </c>
      <c r="B13" s="64">
        <v>161.15</v>
      </c>
      <c r="C13" s="6" t="s">
        <v>42</v>
      </c>
      <c r="D13" s="64">
        <v>101.79</v>
      </c>
      <c r="E13" s="64">
        <v>6.71</v>
      </c>
      <c r="F13" s="64">
        <v>3.43</v>
      </c>
      <c r="G13" s="64">
        <v>177.35</v>
      </c>
      <c r="H13" s="64">
        <v>86.82</v>
      </c>
      <c r="I13" s="64">
        <v>0.1</v>
      </c>
      <c r="J13" s="64">
        <v>0.43</v>
      </c>
      <c r="K13" s="64">
        <v>268.86</v>
      </c>
      <c r="L13" s="64">
        <v>12.32</v>
      </c>
      <c r="M13" s="64">
        <v>87.61</v>
      </c>
      <c r="N13" s="64">
        <v>32.4</v>
      </c>
      <c r="O13" s="64">
        <v>0</v>
      </c>
      <c r="P13" s="64">
        <v>3.59</v>
      </c>
      <c r="Q13" s="64">
        <v>9.93</v>
      </c>
      <c r="R13" s="198"/>
      <c r="S13" s="198"/>
      <c r="T13" s="198"/>
      <c r="U13" s="198"/>
    </row>
    <row r="14" spans="1:21" s="12" customFormat="1" x14ac:dyDescent="0.25">
      <c r="A14" s="214" t="s">
        <v>1212</v>
      </c>
      <c r="B14" s="64">
        <v>157.63999999999999</v>
      </c>
      <c r="C14" s="6" t="s">
        <v>42</v>
      </c>
      <c r="D14" s="64">
        <v>99.69</v>
      </c>
      <c r="E14" s="64">
        <v>6.37</v>
      </c>
      <c r="F14" s="64">
        <v>3.58</v>
      </c>
      <c r="G14" s="64">
        <v>177.35</v>
      </c>
      <c r="H14" s="64">
        <v>86.82</v>
      </c>
      <c r="I14" s="64">
        <v>0.1</v>
      </c>
      <c r="J14" s="64">
        <v>0.7</v>
      </c>
      <c r="K14" s="64">
        <v>301</v>
      </c>
      <c r="L14" s="64">
        <v>12.67</v>
      </c>
      <c r="M14" s="64">
        <v>82.62</v>
      </c>
      <c r="N14" s="64">
        <v>32</v>
      </c>
      <c r="O14" s="64">
        <v>0</v>
      </c>
      <c r="P14" s="64">
        <v>3.74</v>
      </c>
      <c r="Q14" s="64">
        <v>9.91</v>
      </c>
      <c r="R14" s="198"/>
      <c r="S14" s="198"/>
      <c r="T14" s="198"/>
      <c r="U14" s="198"/>
    </row>
    <row r="15" spans="1:21" s="12" customFormat="1" x14ac:dyDescent="0.25">
      <c r="A15" s="214" t="s">
        <v>1213</v>
      </c>
      <c r="B15" s="64">
        <v>153.41</v>
      </c>
      <c r="C15" s="6" t="s">
        <v>42</v>
      </c>
      <c r="D15" s="64">
        <v>97.05</v>
      </c>
      <c r="E15" s="64">
        <v>6.51</v>
      </c>
      <c r="F15" s="64">
        <v>3.64</v>
      </c>
      <c r="G15" s="64">
        <v>177.35</v>
      </c>
      <c r="H15" s="64">
        <v>86.82</v>
      </c>
      <c r="I15" s="64">
        <v>0.1</v>
      </c>
      <c r="J15" s="64">
        <v>0.44</v>
      </c>
      <c r="K15" s="64">
        <v>319.36</v>
      </c>
      <c r="L15" s="64">
        <v>12.88</v>
      </c>
      <c r="M15" s="64">
        <v>64.83</v>
      </c>
      <c r="N15" s="64">
        <v>32.1</v>
      </c>
      <c r="O15" s="64">
        <v>0</v>
      </c>
      <c r="P15" s="64">
        <v>3.67</v>
      </c>
      <c r="Q15" s="64">
        <v>9.92</v>
      </c>
      <c r="R15" s="198"/>
      <c r="S15" s="198"/>
      <c r="T15" s="198"/>
      <c r="U15" s="198"/>
    </row>
    <row r="16" spans="1:21" s="12" customFormat="1" x14ac:dyDescent="0.25">
      <c r="A16" s="214" t="s">
        <v>1214</v>
      </c>
      <c r="B16" s="64">
        <v>148.41999999999999</v>
      </c>
      <c r="C16" s="6" t="s">
        <v>42</v>
      </c>
      <c r="D16" s="64">
        <v>93.84</v>
      </c>
      <c r="E16" s="64">
        <v>6.81</v>
      </c>
      <c r="F16" s="64">
        <v>3.52</v>
      </c>
      <c r="G16" s="64">
        <v>179.66</v>
      </c>
      <c r="H16" s="64">
        <v>86.49</v>
      </c>
      <c r="I16" s="64">
        <v>0.1</v>
      </c>
      <c r="J16" s="64">
        <v>0.63</v>
      </c>
      <c r="K16" s="64">
        <v>174.48</v>
      </c>
      <c r="L16" s="64">
        <v>12.8</v>
      </c>
      <c r="M16" s="64">
        <v>70.239999999999995</v>
      </c>
      <c r="N16" s="64">
        <v>32.5</v>
      </c>
      <c r="O16" s="64">
        <v>0</v>
      </c>
      <c r="P16" s="64">
        <v>3.54</v>
      </c>
      <c r="Q16" s="64">
        <v>9.91</v>
      </c>
      <c r="R16" s="198"/>
      <c r="S16" s="198"/>
      <c r="T16" s="198"/>
      <c r="U16" s="198"/>
    </row>
    <row r="17" spans="1:21" s="12" customFormat="1" x14ac:dyDescent="0.25">
      <c r="A17" s="214" t="s">
        <v>1215</v>
      </c>
      <c r="B17" s="64">
        <v>142.71</v>
      </c>
      <c r="C17" s="6" t="s">
        <v>42</v>
      </c>
      <c r="D17" s="64">
        <v>90.49</v>
      </c>
      <c r="E17" s="64">
        <v>6.47</v>
      </c>
      <c r="F17" s="64">
        <v>3.42</v>
      </c>
      <c r="G17" s="64">
        <v>188.9</v>
      </c>
      <c r="H17" s="64">
        <v>85.03</v>
      </c>
      <c r="I17" s="64">
        <v>0.1</v>
      </c>
      <c r="J17" s="64">
        <v>0.66</v>
      </c>
      <c r="K17" s="64">
        <v>219.84</v>
      </c>
      <c r="L17" s="64">
        <v>12.44</v>
      </c>
      <c r="M17" s="64">
        <v>75.52</v>
      </c>
      <c r="N17" s="64">
        <v>32.6</v>
      </c>
      <c r="O17" s="64">
        <v>0</v>
      </c>
      <c r="P17" s="64">
        <v>3.44</v>
      </c>
      <c r="Q17" s="64">
        <v>9.89</v>
      </c>
      <c r="R17" s="198"/>
      <c r="S17" s="198"/>
      <c r="T17" s="198"/>
      <c r="U17" s="198"/>
    </row>
    <row r="18" spans="1:21" s="12" customFormat="1" x14ac:dyDescent="0.25">
      <c r="A18" s="214" t="s">
        <v>1216</v>
      </c>
      <c r="B18" s="64">
        <v>136.56</v>
      </c>
      <c r="C18" s="6" t="s">
        <v>42</v>
      </c>
      <c r="D18" s="64">
        <v>86.94</v>
      </c>
      <c r="E18" s="64">
        <v>6.37</v>
      </c>
      <c r="F18" s="64">
        <v>3.47</v>
      </c>
      <c r="G18" s="64">
        <v>188.9</v>
      </c>
      <c r="H18" s="64">
        <v>85.03</v>
      </c>
      <c r="I18" s="64">
        <v>0.1</v>
      </c>
      <c r="J18" s="64">
        <v>0.45</v>
      </c>
      <c r="K18" s="64">
        <v>151.16999999999999</v>
      </c>
      <c r="L18" s="64">
        <v>12.1</v>
      </c>
      <c r="M18" s="64">
        <v>74.94</v>
      </c>
      <c r="N18" s="64">
        <v>32.6</v>
      </c>
      <c r="O18" s="64">
        <v>0</v>
      </c>
      <c r="P18" s="64">
        <v>3.32</v>
      </c>
      <c r="Q18" s="64">
        <v>9.8699999999999992</v>
      </c>
      <c r="R18" s="198"/>
      <c r="S18" s="198"/>
      <c r="T18" s="198"/>
      <c r="U18" s="198"/>
    </row>
    <row r="19" spans="1:21" s="12" customFormat="1" x14ac:dyDescent="0.25">
      <c r="A19" s="214" t="s">
        <v>1217</v>
      </c>
      <c r="B19" s="64">
        <v>129.91999999999999</v>
      </c>
      <c r="C19" s="6" t="s">
        <v>42</v>
      </c>
      <c r="D19" s="64">
        <v>83.21</v>
      </c>
      <c r="E19" s="64">
        <v>5.94</v>
      </c>
      <c r="F19" s="64">
        <v>3.41</v>
      </c>
      <c r="G19" s="64">
        <v>188.9</v>
      </c>
      <c r="H19" s="64">
        <v>85.03</v>
      </c>
      <c r="I19" s="64">
        <v>0.1</v>
      </c>
      <c r="J19" s="64">
        <v>0.53</v>
      </c>
      <c r="K19" s="64">
        <v>248.29</v>
      </c>
      <c r="L19" s="64">
        <v>11.83</v>
      </c>
      <c r="M19" s="64">
        <v>79.53</v>
      </c>
      <c r="N19" s="64">
        <v>32.5</v>
      </c>
      <c r="O19" s="64">
        <v>0</v>
      </c>
      <c r="P19" s="64">
        <v>3.2</v>
      </c>
      <c r="Q19" s="64">
        <v>9.86</v>
      </c>
      <c r="R19" s="198"/>
      <c r="S19" s="198"/>
      <c r="T19" s="198"/>
      <c r="U19" s="198"/>
    </row>
    <row r="20" spans="1:21" s="12" customFormat="1" x14ac:dyDescent="0.25">
      <c r="A20" s="214" t="s">
        <v>1218</v>
      </c>
      <c r="B20" s="64">
        <v>123.37</v>
      </c>
      <c r="C20" s="6" t="s">
        <v>42</v>
      </c>
      <c r="D20" s="64">
        <v>79.569999999999993</v>
      </c>
      <c r="E20" s="64">
        <v>5.8</v>
      </c>
      <c r="F20" s="64">
        <v>3.15</v>
      </c>
      <c r="G20" s="64">
        <v>183.21</v>
      </c>
      <c r="H20" s="64">
        <v>82.89</v>
      </c>
      <c r="I20" s="64">
        <v>0.1</v>
      </c>
      <c r="J20" s="64">
        <v>0.7</v>
      </c>
      <c r="K20" s="64">
        <v>228.04</v>
      </c>
      <c r="L20" s="64">
        <v>11.8</v>
      </c>
      <c r="M20" s="64">
        <v>74.59</v>
      </c>
      <c r="N20" s="64">
        <v>32.5</v>
      </c>
      <c r="O20" s="64">
        <v>0</v>
      </c>
      <c r="P20" s="64">
        <v>3.07</v>
      </c>
      <c r="Q20" s="64">
        <v>9.84</v>
      </c>
      <c r="R20" s="198"/>
      <c r="S20" s="198"/>
      <c r="T20" s="198"/>
      <c r="U20" s="198"/>
    </row>
    <row r="21" spans="1:21" s="12" customFormat="1" x14ac:dyDescent="0.25">
      <c r="A21" s="214" t="s">
        <v>1219</v>
      </c>
      <c r="B21" s="64">
        <v>117.33</v>
      </c>
      <c r="C21" s="6" t="s">
        <v>42</v>
      </c>
      <c r="D21" s="64">
        <v>76.22</v>
      </c>
      <c r="E21" s="64">
        <v>5.86</v>
      </c>
      <c r="F21" s="64">
        <v>3.14</v>
      </c>
      <c r="G21" s="64">
        <v>160.47999999999999</v>
      </c>
      <c r="H21" s="64">
        <v>76.61</v>
      </c>
      <c r="I21" s="64">
        <v>0.1</v>
      </c>
      <c r="J21" s="64">
        <v>0.48</v>
      </c>
      <c r="K21" s="64">
        <v>328.87</v>
      </c>
      <c r="L21" s="64">
        <v>11.55</v>
      </c>
      <c r="M21" s="64">
        <v>79.22</v>
      </c>
      <c r="N21" s="64">
        <v>32.700000000000003</v>
      </c>
      <c r="O21" s="64">
        <v>0</v>
      </c>
      <c r="P21" s="64">
        <v>2.96</v>
      </c>
      <c r="Q21" s="64">
        <v>9.83</v>
      </c>
      <c r="R21" s="198"/>
      <c r="S21" s="198"/>
      <c r="T21" s="198"/>
      <c r="U21" s="198"/>
    </row>
    <row r="22" spans="1:21" s="12" customFormat="1" x14ac:dyDescent="0.25">
      <c r="A22" s="214" t="s">
        <v>1220</v>
      </c>
      <c r="B22" s="64">
        <v>111.82</v>
      </c>
      <c r="C22" s="6" t="s">
        <v>42</v>
      </c>
      <c r="D22" s="64">
        <v>73.27</v>
      </c>
      <c r="E22" s="64">
        <v>5.72</v>
      </c>
      <c r="F22" s="64">
        <v>3.16</v>
      </c>
      <c r="G22" s="64">
        <v>160.47999999999999</v>
      </c>
      <c r="H22" s="64">
        <v>76.61</v>
      </c>
      <c r="I22" s="64">
        <v>0.1</v>
      </c>
      <c r="J22" s="64">
        <v>0.34</v>
      </c>
      <c r="K22" s="64">
        <v>104.27</v>
      </c>
      <c r="L22" s="64">
        <v>11.22</v>
      </c>
      <c r="M22" s="64">
        <v>80.489999999999995</v>
      </c>
      <c r="N22" s="64">
        <v>32.5</v>
      </c>
      <c r="O22" s="64">
        <v>0</v>
      </c>
      <c r="P22" s="64">
        <v>2.84</v>
      </c>
      <c r="Q22" s="64">
        <v>9.81</v>
      </c>
      <c r="R22" s="198"/>
      <c r="S22" s="198"/>
      <c r="T22" s="198"/>
      <c r="U22" s="198"/>
    </row>
    <row r="23" spans="1:21" s="12" customFormat="1" x14ac:dyDescent="0.25">
      <c r="A23" s="214" t="s">
        <v>1221</v>
      </c>
      <c r="B23" s="64">
        <v>106.51</v>
      </c>
      <c r="C23" s="6" t="s">
        <v>42</v>
      </c>
      <c r="D23" s="64">
        <v>70.33</v>
      </c>
      <c r="E23" s="64">
        <v>5.43</v>
      </c>
      <c r="F23" s="64">
        <v>2.61</v>
      </c>
      <c r="G23" s="64">
        <v>160.47999999999999</v>
      </c>
      <c r="H23" s="64">
        <v>76.61</v>
      </c>
      <c r="I23" s="64">
        <v>0.1</v>
      </c>
      <c r="J23" s="64">
        <v>0.35</v>
      </c>
      <c r="K23" s="64">
        <v>294.14999999999998</v>
      </c>
      <c r="L23" s="64">
        <v>11.1</v>
      </c>
      <c r="M23" s="64">
        <v>82.54</v>
      </c>
      <c r="N23" s="64">
        <v>32.4</v>
      </c>
      <c r="O23" s="64">
        <v>0</v>
      </c>
      <c r="P23" s="64">
        <v>2.74</v>
      </c>
      <c r="Q23" s="64">
        <v>9.81</v>
      </c>
      <c r="R23" s="198"/>
      <c r="S23" s="198"/>
      <c r="T23" s="198"/>
      <c r="U23" s="198"/>
    </row>
    <row r="24" spans="1:21" s="12" customFormat="1" x14ac:dyDescent="0.25">
      <c r="A24" s="214" t="s">
        <v>1222</v>
      </c>
      <c r="B24" s="64">
        <v>101.36</v>
      </c>
      <c r="C24" s="6" t="s">
        <v>42</v>
      </c>
      <c r="D24" s="64">
        <v>67.430000000000007</v>
      </c>
      <c r="E24" s="64">
        <v>5.59</v>
      </c>
      <c r="F24" s="64">
        <v>2.7</v>
      </c>
      <c r="G24" s="64">
        <v>154.91</v>
      </c>
      <c r="H24" s="64">
        <v>72.739999999999995</v>
      </c>
      <c r="I24" s="64">
        <v>0.1</v>
      </c>
      <c r="J24" s="64">
        <v>0.72</v>
      </c>
      <c r="K24" s="64">
        <v>326.13</v>
      </c>
      <c r="L24" s="64">
        <v>10.88</v>
      </c>
      <c r="M24" s="64">
        <v>84.57</v>
      </c>
      <c r="N24" s="64">
        <v>32.5</v>
      </c>
      <c r="O24" s="64">
        <v>0</v>
      </c>
      <c r="P24" s="64">
        <v>2.65</v>
      </c>
      <c r="Q24" s="64">
        <v>9.7899999999999991</v>
      </c>
      <c r="R24" s="198"/>
      <c r="S24" s="198"/>
      <c r="T24" s="198"/>
      <c r="U24" s="198"/>
    </row>
    <row r="25" spans="1:21" s="12" customFormat="1" x14ac:dyDescent="0.25">
      <c r="A25" s="214" t="s">
        <v>1223</v>
      </c>
      <c r="B25" s="64">
        <v>96.58</v>
      </c>
      <c r="C25" s="6" t="s">
        <v>42</v>
      </c>
      <c r="D25" s="64">
        <v>64.77</v>
      </c>
      <c r="E25" s="64">
        <v>5.57</v>
      </c>
      <c r="F25" s="64">
        <v>3.08</v>
      </c>
      <c r="G25" s="64">
        <v>132.63999999999999</v>
      </c>
      <c r="H25" s="64">
        <v>61.35</v>
      </c>
      <c r="I25" s="64">
        <v>0.1</v>
      </c>
      <c r="J25" s="64">
        <v>0.64</v>
      </c>
      <c r="K25" s="64">
        <v>258.98</v>
      </c>
      <c r="L25" s="64">
        <v>10.86</v>
      </c>
      <c r="M25" s="64">
        <v>81.63</v>
      </c>
      <c r="N25" s="64">
        <v>32.200000000000003</v>
      </c>
      <c r="O25" s="64">
        <v>0</v>
      </c>
      <c r="P25" s="64">
        <v>2.6</v>
      </c>
      <c r="Q25" s="64">
        <v>9.7799999999999994</v>
      </c>
      <c r="R25" s="198"/>
      <c r="S25" s="198"/>
      <c r="T25" s="198"/>
      <c r="U25" s="198"/>
    </row>
    <row r="26" spans="1:21" s="12" customFormat="1" x14ac:dyDescent="0.25">
      <c r="A26" s="214" t="s">
        <v>1224</v>
      </c>
      <c r="B26" s="64">
        <v>91.84</v>
      </c>
      <c r="C26" s="6" t="s">
        <v>42</v>
      </c>
      <c r="D26" s="64">
        <v>62.34</v>
      </c>
      <c r="E26" s="64">
        <v>5.2</v>
      </c>
      <c r="F26" s="64">
        <v>2.95</v>
      </c>
      <c r="G26" s="64">
        <v>132.63999999999999</v>
      </c>
      <c r="H26" s="64">
        <v>61.35</v>
      </c>
      <c r="I26" s="64">
        <v>0.1</v>
      </c>
      <c r="J26" s="64">
        <v>0.38</v>
      </c>
      <c r="K26" s="64">
        <v>185.4</v>
      </c>
      <c r="L26" s="64">
        <v>10.79</v>
      </c>
      <c r="M26" s="64">
        <v>85.35</v>
      </c>
      <c r="N26" s="64">
        <v>32.299999999999997</v>
      </c>
      <c r="O26" s="64">
        <v>0</v>
      </c>
      <c r="P26" s="64">
        <v>2.58</v>
      </c>
      <c r="Q26" s="64">
        <v>9.8000000000000007</v>
      </c>
      <c r="R26" s="198"/>
      <c r="S26" s="198"/>
      <c r="T26" s="198"/>
      <c r="U26" s="198"/>
    </row>
    <row r="27" spans="1:21" s="12" customFormat="1" x14ac:dyDescent="0.25">
      <c r="A27" s="214" t="s">
        <v>1225</v>
      </c>
      <c r="B27" s="64">
        <v>88.26</v>
      </c>
      <c r="C27" s="6" t="s">
        <v>42</v>
      </c>
      <c r="D27" s="64">
        <v>60.53</v>
      </c>
      <c r="E27" s="64">
        <v>5.29</v>
      </c>
      <c r="F27" s="64">
        <v>3.22</v>
      </c>
      <c r="G27" s="64">
        <v>132.63999999999999</v>
      </c>
      <c r="H27" s="64">
        <v>61.35</v>
      </c>
      <c r="I27" s="64">
        <v>0.1</v>
      </c>
      <c r="J27" s="64">
        <v>0.7</v>
      </c>
      <c r="K27" s="64">
        <v>230.1</v>
      </c>
      <c r="L27" s="64">
        <v>10.82</v>
      </c>
      <c r="M27" s="64">
        <v>93.05</v>
      </c>
      <c r="N27" s="64">
        <v>32.4</v>
      </c>
      <c r="O27" s="64">
        <v>0</v>
      </c>
      <c r="P27" s="64">
        <v>2.56</v>
      </c>
      <c r="Q27" s="64">
        <v>9.8000000000000007</v>
      </c>
      <c r="R27" s="198"/>
      <c r="S27" s="198"/>
      <c r="T27" s="198"/>
      <c r="U27" s="198"/>
    </row>
    <row r="28" spans="1:21" s="12" customFormat="1" x14ac:dyDescent="0.25">
      <c r="A28" s="214" t="s">
        <v>1226</v>
      </c>
      <c r="B28" s="64">
        <v>86.03</v>
      </c>
      <c r="C28" s="6" t="s">
        <v>42</v>
      </c>
      <c r="D28" s="64">
        <v>59.34</v>
      </c>
      <c r="E28" s="64">
        <v>5.35</v>
      </c>
      <c r="F28" s="64">
        <v>3.16</v>
      </c>
      <c r="G28" s="64">
        <v>131.86000000000001</v>
      </c>
      <c r="H28" s="64">
        <v>60.79</v>
      </c>
      <c r="I28" s="64">
        <v>0.1</v>
      </c>
      <c r="J28" s="64">
        <v>0.78</v>
      </c>
      <c r="K28" s="64">
        <v>210.84</v>
      </c>
      <c r="L28" s="64">
        <v>10.95</v>
      </c>
      <c r="M28" s="64">
        <v>94.43</v>
      </c>
      <c r="N28" s="64">
        <v>31.7</v>
      </c>
      <c r="O28" s="64">
        <v>0</v>
      </c>
      <c r="P28" s="64">
        <v>2.5099999999999998</v>
      </c>
      <c r="Q28" s="64">
        <v>9.8000000000000007</v>
      </c>
      <c r="R28" s="198"/>
      <c r="S28" s="198"/>
      <c r="T28" s="198"/>
      <c r="U28" s="198"/>
    </row>
    <row r="29" spans="1:21" s="12" customFormat="1" x14ac:dyDescent="0.25">
      <c r="A29" s="214" t="s">
        <v>1227</v>
      </c>
      <c r="B29" s="64">
        <v>84</v>
      </c>
      <c r="C29" s="6" t="s">
        <v>42</v>
      </c>
      <c r="D29" s="64">
        <v>58.25</v>
      </c>
      <c r="E29" s="64">
        <v>5.47</v>
      </c>
      <c r="F29" s="64">
        <v>3.12</v>
      </c>
      <c r="G29" s="64">
        <v>128.76</v>
      </c>
      <c r="H29" s="64">
        <v>59.13</v>
      </c>
      <c r="I29" s="64">
        <v>0.1</v>
      </c>
      <c r="J29" s="64">
        <v>0.7</v>
      </c>
      <c r="K29" s="64">
        <v>306.64</v>
      </c>
      <c r="L29" s="64">
        <v>10.84</v>
      </c>
      <c r="M29" s="64">
        <v>95.9</v>
      </c>
      <c r="N29" s="64">
        <v>32.5</v>
      </c>
      <c r="O29" s="64">
        <v>0</v>
      </c>
      <c r="P29" s="64">
        <v>2.44</v>
      </c>
      <c r="Q29" s="64">
        <v>9.77</v>
      </c>
      <c r="R29" s="198"/>
      <c r="S29" s="198"/>
      <c r="T29" s="198"/>
      <c r="U29" s="198"/>
    </row>
    <row r="30" spans="1:21" s="12" customFormat="1" x14ac:dyDescent="0.25">
      <c r="A30" s="214" t="s">
        <v>1228</v>
      </c>
      <c r="B30" s="64">
        <v>81.59</v>
      </c>
      <c r="C30" s="6" t="s">
        <v>42</v>
      </c>
      <c r="D30" s="64">
        <v>56.84</v>
      </c>
      <c r="E30" s="64">
        <v>5.38</v>
      </c>
      <c r="F30" s="64">
        <v>3.09</v>
      </c>
      <c r="G30" s="64">
        <v>128.76</v>
      </c>
      <c r="H30" s="64">
        <v>59.13</v>
      </c>
      <c r="I30" s="64">
        <v>0.1</v>
      </c>
      <c r="J30" s="64">
        <v>0.68</v>
      </c>
      <c r="K30" s="64">
        <v>310.63</v>
      </c>
      <c r="L30" s="64">
        <v>10.39</v>
      </c>
      <c r="M30" s="64">
        <v>98.8</v>
      </c>
      <c r="N30" s="64">
        <v>32.5</v>
      </c>
      <c r="O30" s="64">
        <v>0</v>
      </c>
      <c r="P30" s="64">
        <v>2.35</v>
      </c>
      <c r="Q30" s="64">
        <v>9.7799999999999994</v>
      </c>
      <c r="R30" s="198"/>
      <c r="S30" s="198"/>
      <c r="T30" s="198"/>
      <c r="U30" s="198"/>
    </row>
    <row r="31" spans="1:21" s="12" customFormat="1" x14ac:dyDescent="0.25">
      <c r="A31" s="214" t="s">
        <v>1229</v>
      </c>
      <c r="B31" s="64">
        <v>78.739999999999995</v>
      </c>
      <c r="C31" s="6" t="s">
        <v>42</v>
      </c>
      <c r="D31" s="64">
        <v>55.16</v>
      </c>
      <c r="E31" s="64">
        <v>5.46</v>
      </c>
      <c r="F31" s="64">
        <v>3.26</v>
      </c>
      <c r="G31" s="64">
        <v>128.76</v>
      </c>
      <c r="H31" s="64">
        <v>59.13</v>
      </c>
      <c r="I31" s="64">
        <v>0.1</v>
      </c>
      <c r="J31" s="64">
        <v>0.61</v>
      </c>
      <c r="K31" s="64">
        <v>328.31</v>
      </c>
      <c r="L31" s="64">
        <v>10</v>
      </c>
      <c r="M31" s="64">
        <v>98.83</v>
      </c>
      <c r="N31" s="64">
        <v>32.6</v>
      </c>
      <c r="O31" s="64">
        <v>0</v>
      </c>
      <c r="P31" s="64">
        <v>2.27</v>
      </c>
      <c r="Q31" s="64">
        <v>9.76</v>
      </c>
      <c r="R31" s="198"/>
      <c r="S31" s="198"/>
      <c r="T31" s="198"/>
      <c r="U31" s="198"/>
    </row>
    <row r="32" spans="1:21" s="12" customFormat="1" x14ac:dyDescent="0.25">
      <c r="A32" s="214" t="s">
        <v>1230</v>
      </c>
      <c r="B32" s="64">
        <v>75.3</v>
      </c>
      <c r="C32" s="6" t="s">
        <v>42</v>
      </c>
      <c r="D32" s="64">
        <v>53.17</v>
      </c>
      <c r="E32" s="64">
        <v>5.1100000000000003</v>
      </c>
      <c r="F32" s="64">
        <v>3.18</v>
      </c>
      <c r="G32" s="64">
        <v>125.81</v>
      </c>
      <c r="H32" s="64">
        <v>58.13</v>
      </c>
      <c r="I32" s="64">
        <v>0.1</v>
      </c>
      <c r="J32" s="64">
        <v>0.67</v>
      </c>
      <c r="K32" s="64">
        <v>278.27999999999997</v>
      </c>
      <c r="L32" s="64">
        <v>9.7799999999999994</v>
      </c>
      <c r="M32" s="64">
        <v>98.6</v>
      </c>
      <c r="N32" s="64">
        <v>32.4</v>
      </c>
      <c r="O32" s="64">
        <v>0</v>
      </c>
      <c r="P32" s="64">
        <v>2.19</v>
      </c>
      <c r="Q32" s="64">
        <v>9.75</v>
      </c>
      <c r="R32" s="198"/>
      <c r="S32" s="198"/>
      <c r="T32" s="198"/>
      <c r="U32" s="198"/>
    </row>
    <row r="33" spans="1:21" s="12" customFormat="1" x14ac:dyDescent="0.25">
      <c r="A33" s="214" t="s">
        <v>1231</v>
      </c>
      <c r="B33" s="64">
        <v>72.760000000000005</v>
      </c>
      <c r="C33" s="6" t="s">
        <v>42</v>
      </c>
      <c r="D33" s="64">
        <v>51.51</v>
      </c>
      <c r="E33" s="64">
        <v>5.41</v>
      </c>
      <c r="F33" s="64">
        <v>3.43</v>
      </c>
      <c r="G33" s="64">
        <v>114.05</v>
      </c>
      <c r="H33" s="64">
        <v>53.56</v>
      </c>
      <c r="I33" s="64">
        <v>0.1</v>
      </c>
      <c r="J33" s="64">
        <v>0.59</v>
      </c>
      <c r="K33" s="64">
        <v>276.24</v>
      </c>
      <c r="L33" s="64">
        <v>9.67</v>
      </c>
      <c r="M33" s="64">
        <v>97.73</v>
      </c>
      <c r="N33" s="64">
        <v>33</v>
      </c>
      <c r="O33" s="64">
        <v>0</v>
      </c>
      <c r="P33" s="64">
        <v>2.1</v>
      </c>
      <c r="Q33" s="64">
        <v>9.74</v>
      </c>
      <c r="R33" s="198"/>
      <c r="S33" s="198"/>
      <c r="T33" s="198"/>
      <c r="U33" s="198"/>
    </row>
    <row r="34" spans="1:21" s="12" customFormat="1" x14ac:dyDescent="0.25">
      <c r="A34" s="214" t="s">
        <v>1232</v>
      </c>
      <c r="B34" s="64">
        <v>71.5</v>
      </c>
      <c r="C34" s="6" t="s">
        <v>42</v>
      </c>
      <c r="D34" s="64">
        <v>50.96</v>
      </c>
      <c r="E34" s="64">
        <v>5.24</v>
      </c>
      <c r="F34" s="64">
        <v>3.6</v>
      </c>
      <c r="G34" s="64">
        <v>114.05</v>
      </c>
      <c r="H34" s="64">
        <v>53.56</v>
      </c>
      <c r="I34" s="64">
        <v>0.1</v>
      </c>
      <c r="J34" s="64">
        <v>0.63</v>
      </c>
      <c r="K34" s="64">
        <v>124.93</v>
      </c>
      <c r="L34" s="64">
        <v>9.5299999999999994</v>
      </c>
      <c r="M34" s="64">
        <v>97.85</v>
      </c>
      <c r="N34" s="64">
        <v>35.4</v>
      </c>
      <c r="O34" s="64">
        <v>0</v>
      </c>
      <c r="P34" s="64">
        <v>2</v>
      </c>
      <c r="Q34" s="64">
        <v>9.74</v>
      </c>
      <c r="R34" s="198"/>
      <c r="S34" s="198"/>
      <c r="T34" s="198"/>
      <c r="U34" s="198"/>
    </row>
    <row r="35" spans="1:21" s="12" customFormat="1" x14ac:dyDescent="0.25">
      <c r="A35" s="214" t="s">
        <v>1233</v>
      </c>
      <c r="B35" s="64">
        <v>69.959999999999994</v>
      </c>
      <c r="C35" s="6" t="s">
        <v>42</v>
      </c>
      <c r="D35" s="64">
        <v>50.18</v>
      </c>
      <c r="E35" s="64">
        <v>5.08</v>
      </c>
      <c r="F35" s="64">
        <v>3.35</v>
      </c>
      <c r="G35" s="64">
        <v>114.05</v>
      </c>
      <c r="H35" s="64">
        <v>53.56</v>
      </c>
      <c r="I35" s="64">
        <v>0.1</v>
      </c>
      <c r="J35" s="64">
        <v>0.47</v>
      </c>
      <c r="K35" s="64">
        <v>157.33000000000001</v>
      </c>
      <c r="L35" s="64">
        <v>9.81</v>
      </c>
      <c r="M35" s="64">
        <v>97.77</v>
      </c>
      <c r="N35" s="64">
        <v>42.1</v>
      </c>
      <c r="O35" s="64">
        <v>0</v>
      </c>
      <c r="P35" s="64">
        <v>1.89</v>
      </c>
      <c r="Q35" s="64">
        <v>9.75</v>
      </c>
      <c r="R35" s="198"/>
      <c r="S35" s="198"/>
      <c r="T35" s="198"/>
      <c r="U35" s="198"/>
    </row>
    <row r="36" spans="1:21" s="12" customFormat="1" x14ac:dyDescent="0.25">
      <c r="A36" s="214" t="s">
        <v>1234</v>
      </c>
      <c r="B36" s="64">
        <v>70.23</v>
      </c>
      <c r="C36" s="6" t="s">
        <v>42</v>
      </c>
      <c r="D36" s="64">
        <v>50.53</v>
      </c>
      <c r="E36" s="64">
        <v>4.99</v>
      </c>
      <c r="F36" s="64">
        <v>3.32</v>
      </c>
      <c r="G36" s="64">
        <v>115.6</v>
      </c>
      <c r="H36" s="64">
        <v>53.18</v>
      </c>
      <c r="I36" s="64">
        <v>0.1</v>
      </c>
      <c r="J36" s="64">
        <v>0.76</v>
      </c>
      <c r="K36" s="64">
        <v>225.59</v>
      </c>
      <c r="L36" s="64">
        <v>10.44</v>
      </c>
      <c r="M36" s="64">
        <v>96.15</v>
      </c>
      <c r="N36" s="64">
        <v>51.2</v>
      </c>
      <c r="O36" s="64">
        <v>0</v>
      </c>
      <c r="P36" s="64">
        <v>1.82</v>
      </c>
      <c r="Q36" s="64">
        <v>9.75</v>
      </c>
      <c r="R36" s="198"/>
      <c r="S36" s="198"/>
      <c r="T36" s="198"/>
      <c r="U36" s="198"/>
    </row>
    <row r="37" spans="1:21" s="12" customFormat="1" x14ac:dyDescent="0.25">
      <c r="A37" s="214" t="s">
        <v>1235</v>
      </c>
      <c r="B37" s="64">
        <v>71.86</v>
      </c>
      <c r="C37" s="6" t="s">
        <v>42</v>
      </c>
      <c r="D37" s="64">
        <v>51.57</v>
      </c>
      <c r="E37" s="64">
        <v>4.7699999999999996</v>
      </c>
      <c r="F37" s="64">
        <v>3.1</v>
      </c>
      <c r="G37" s="64">
        <v>121.8</v>
      </c>
      <c r="H37" s="64">
        <v>52.05</v>
      </c>
      <c r="I37" s="64">
        <v>0.1</v>
      </c>
      <c r="J37" s="64">
        <v>0.22</v>
      </c>
      <c r="K37" s="64">
        <v>234.39</v>
      </c>
      <c r="L37" s="64">
        <v>10.92</v>
      </c>
      <c r="M37" s="64">
        <v>91.87</v>
      </c>
      <c r="N37" s="64">
        <v>61.6</v>
      </c>
      <c r="O37" s="64">
        <v>0</v>
      </c>
      <c r="P37" s="64">
        <v>2.11</v>
      </c>
      <c r="Q37" s="64">
        <v>9.74</v>
      </c>
      <c r="R37" s="198"/>
      <c r="S37" s="198"/>
      <c r="T37" s="198"/>
      <c r="U37" s="198"/>
    </row>
    <row r="38" spans="1:21" s="12" customFormat="1" x14ac:dyDescent="0.25">
      <c r="A38" s="214" t="s">
        <v>1236</v>
      </c>
      <c r="B38" s="64">
        <v>71.069999999999993</v>
      </c>
      <c r="C38" s="6" t="s">
        <v>42</v>
      </c>
      <c r="D38" s="64">
        <v>51.45</v>
      </c>
      <c r="E38" s="64">
        <v>5.07</v>
      </c>
      <c r="F38" s="64">
        <v>3.2</v>
      </c>
      <c r="G38" s="64">
        <v>121.8</v>
      </c>
      <c r="H38" s="64">
        <v>52.05</v>
      </c>
      <c r="I38" s="64">
        <v>0.1</v>
      </c>
      <c r="J38" s="64">
        <v>0.4</v>
      </c>
      <c r="K38" s="64">
        <v>156.02000000000001</v>
      </c>
      <c r="L38" s="64">
        <v>11.57</v>
      </c>
      <c r="M38" s="64">
        <v>89.79</v>
      </c>
      <c r="N38" s="64">
        <v>81.3</v>
      </c>
      <c r="O38" s="64">
        <v>0</v>
      </c>
      <c r="P38" s="64">
        <v>2.1800000000000002</v>
      </c>
      <c r="Q38" s="64">
        <v>9.73</v>
      </c>
      <c r="R38" s="198"/>
      <c r="S38" s="198"/>
      <c r="T38" s="198"/>
      <c r="U38" s="198"/>
    </row>
    <row r="39" spans="1:21" s="12" customFormat="1" x14ac:dyDescent="0.25">
      <c r="A39" s="214" t="s">
        <v>1237</v>
      </c>
      <c r="B39" s="64">
        <v>69.23</v>
      </c>
      <c r="C39" s="6" t="s">
        <v>42</v>
      </c>
      <c r="D39" s="64">
        <v>50.7</v>
      </c>
      <c r="E39" s="64">
        <v>5.0999999999999996</v>
      </c>
      <c r="F39" s="64">
        <v>3.18</v>
      </c>
      <c r="G39" s="64">
        <v>121.8</v>
      </c>
      <c r="H39" s="64">
        <v>52.05</v>
      </c>
      <c r="I39" s="64">
        <v>0.1</v>
      </c>
      <c r="J39" s="64">
        <v>0.77</v>
      </c>
      <c r="K39" s="64">
        <v>165.55</v>
      </c>
      <c r="L39" s="64">
        <v>13.2</v>
      </c>
      <c r="M39" s="64">
        <v>79.37</v>
      </c>
      <c r="N39" s="64">
        <v>198.6</v>
      </c>
      <c r="O39" s="64">
        <v>0</v>
      </c>
      <c r="P39" s="64">
        <v>2.13</v>
      </c>
      <c r="Q39" s="64">
        <v>9.7200000000000006</v>
      </c>
      <c r="R39" s="198"/>
      <c r="S39" s="198"/>
      <c r="T39" s="198"/>
      <c r="U39" s="198"/>
    </row>
    <row r="40" spans="1:21" s="12" customFormat="1" x14ac:dyDescent="0.25">
      <c r="A40" s="214" t="s">
        <v>1238</v>
      </c>
      <c r="B40" s="64">
        <v>67.06</v>
      </c>
      <c r="C40" s="6" t="s">
        <v>42</v>
      </c>
      <c r="D40" s="64">
        <v>49.86</v>
      </c>
      <c r="E40" s="64">
        <v>4.42</v>
      </c>
      <c r="F40" s="64">
        <v>3.06</v>
      </c>
      <c r="G40" s="64">
        <v>128.35</v>
      </c>
      <c r="H40" s="64">
        <v>54.33</v>
      </c>
      <c r="I40" s="64">
        <v>0.1</v>
      </c>
      <c r="J40" s="64">
        <v>0.37</v>
      </c>
      <c r="K40" s="64">
        <v>199.33</v>
      </c>
      <c r="L40" s="64">
        <v>15.45</v>
      </c>
      <c r="M40" s="64">
        <v>66.73</v>
      </c>
      <c r="N40" s="64">
        <v>241.6</v>
      </c>
      <c r="O40" s="64">
        <v>0</v>
      </c>
      <c r="P40" s="64">
        <v>2.09</v>
      </c>
      <c r="Q40" s="64">
        <v>9.7200000000000006</v>
      </c>
      <c r="R40" s="198"/>
      <c r="S40" s="198"/>
      <c r="T40" s="198"/>
      <c r="U40" s="198"/>
    </row>
    <row r="41" spans="1:21" s="12" customFormat="1" x14ac:dyDescent="0.25">
      <c r="A41" s="214" t="s">
        <v>1239</v>
      </c>
      <c r="B41" s="64">
        <v>65.25</v>
      </c>
      <c r="C41" s="6" t="s">
        <v>42</v>
      </c>
      <c r="D41" s="64">
        <v>49.28</v>
      </c>
      <c r="E41" s="64">
        <v>5.36</v>
      </c>
      <c r="F41" s="64">
        <v>3.02</v>
      </c>
      <c r="G41" s="64">
        <v>154.55000000000001</v>
      </c>
      <c r="H41" s="64">
        <v>61.04</v>
      </c>
      <c r="I41" s="64">
        <v>0.1</v>
      </c>
      <c r="J41" s="64">
        <v>0.64</v>
      </c>
      <c r="K41" s="64">
        <v>328.14</v>
      </c>
      <c r="L41" s="64">
        <v>17.489999999999998</v>
      </c>
      <c r="M41" s="64">
        <v>55.96</v>
      </c>
      <c r="N41" s="64">
        <v>282.89999999999998</v>
      </c>
      <c r="O41" s="64">
        <v>0</v>
      </c>
      <c r="P41" s="64">
        <v>2.08</v>
      </c>
      <c r="Q41" s="64">
        <v>9.73</v>
      </c>
      <c r="R41" s="198"/>
      <c r="S41" s="198"/>
      <c r="T41" s="198"/>
      <c r="U41" s="198"/>
    </row>
    <row r="42" spans="1:21" s="12" customFormat="1" x14ac:dyDescent="0.25">
      <c r="A42" s="214" t="s">
        <v>1240</v>
      </c>
      <c r="B42" s="64">
        <v>63.67</v>
      </c>
      <c r="C42" s="6" t="s">
        <v>42</v>
      </c>
      <c r="D42" s="64">
        <v>48.92</v>
      </c>
      <c r="E42" s="64">
        <v>5.19</v>
      </c>
      <c r="F42" s="64">
        <v>3.13</v>
      </c>
      <c r="G42" s="64">
        <v>154.55000000000001</v>
      </c>
      <c r="H42" s="64">
        <v>61.04</v>
      </c>
      <c r="I42" s="64">
        <v>0.1</v>
      </c>
      <c r="J42" s="64">
        <v>0.35</v>
      </c>
      <c r="K42" s="64">
        <v>336.33</v>
      </c>
      <c r="L42" s="64">
        <v>19.13</v>
      </c>
      <c r="M42" s="64">
        <v>51.1</v>
      </c>
      <c r="N42" s="64">
        <v>317.7</v>
      </c>
      <c r="O42" s="64">
        <v>0</v>
      </c>
      <c r="P42" s="64">
        <v>2.0499999999999998</v>
      </c>
      <c r="Q42" s="64">
        <v>9.73</v>
      </c>
      <c r="R42" s="198"/>
      <c r="S42" s="198"/>
      <c r="T42" s="198"/>
      <c r="U42" s="198"/>
    </row>
    <row r="43" spans="1:21" s="12" customFormat="1" x14ac:dyDescent="0.25">
      <c r="A43" s="214" t="s">
        <v>1241</v>
      </c>
      <c r="B43" s="64">
        <v>61.72</v>
      </c>
      <c r="C43" s="64">
        <v>0.02</v>
      </c>
      <c r="D43" s="64">
        <v>48.6</v>
      </c>
      <c r="E43" s="64">
        <v>4.99</v>
      </c>
      <c r="F43" s="64">
        <v>3.05</v>
      </c>
      <c r="G43" s="64">
        <v>154.55000000000001</v>
      </c>
      <c r="H43" s="64">
        <v>61.04</v>
      </c>
      <c r="I43" s="64">
        <v>0.1</v>
      </c>
      <c r="J43" s="64">
        <v>1.35</v>
      </c>
      <c r="K43" s="64">
        <v>145.97999999999999</v>
      </c>
      <c r="L43" s="64">
        <v>19.64</v>
      </c>
      <c r="M43" s="64">
        <v>50.28</v>
      </c>
      <c r="N43" s="64">
        <v>353.4</v>
      </c>
      <c r="O43" s="64">
        <v>0</v>
      </c>
      <c r="P43" s="64">
        <v>2.08</v>
      </c>
      <c r="Q43" s="64">
        <v>9.7200000000000006</v>
      </c>
      <c r="R43" s="198"/>
      <c r="S43" s="198"/>
      <c r="T43" s="198"/>
      <c r="U43" s="198"/>
    </row>
    <row r="44" spans="1:21" s="12" customFormat="1" x14ac:dyDescent="0.25">
      <c r="A44" s="214" t="s">
        <v>1242</v>
      </c>
      <c r="B44" s="64">
        <v>59.35</v>
      </c>
      <c r="C44" s="64">
        <v>1.72</v>
      </c>
      <c r="D44" s="64">
        <v>48.04</v>
      </c>
      <c r="E44" s="64">
        <v>4.74</v>
      </c>
      <c r="F44" s="64">
        <v>2.95</v>
      </c>
      <c r="G44" s="64">
        <v>155.88999999999999</v>
      </c>
      <c r="H44" s="64">
        <v>61.88</v>
      </c>
      <c r="I44" s="64">
        <v>0.1</v>
      </c>
      <c r="J44" s="64">
        <v>0.28000000000000003</v>
      </c>
      <c r="K44" s="64">
        <v>281.33999999999997</v>
      </c>
      <c r="L44" s="64">
        <v>20.149999999999999</v>
      </c>
      <c r="M44" s="64">
        <v>50.58</v>
      </c>
      <c r="N44" s="64">
        <v>377</v>
      </c>
      <c r="O44" s="64">
        <v>0</v>
      </c>
      <c r="P44" s="64">
        <v>2.11</v>
      </c>
      <c r="Q44" s="64">
        <v>9.7200000000000006</v>
      </c>
      <c r="R44" s="198"/>
      <c r="S44" s="198"/>
      <c r="T44" s="198"/>
      <c r="U44" s="198"/>
    </row>
    <row r="45" spans="1:21" s="12" customFormat="1" x14ac:dyDescent="0.25">
      <c r="A45" s="214" t="s">
        <v>1243</v>
      </c>
      <c r="B45" s="64">
        <v>57.16</v>
      </c>
      <c r="C45" s="64">
        <v>4.0599999999999996</v>
      </c>
      <c r="D45" s="64">
        <v>47.5</v>
      </c>
      <c r="E45" s="64">
        <v>5.0199999999999996</v>
      </c>
      <c r="F45" s="64">
        <v>3.07</v>
      </c>
      <c r="G45" s="64">
        <v>161.28</v>
      </c>
      <c r="H45" s="64">
        <v>64.349999999999994</v>
      </c>
      <c r="I45" s="64">
        <v>0.1</v>
      </c>
      <c r="J45" s="64">
        <v>0.79</v>
      </c>
      <c r="K45" s="64">
        <v>138.18</v>
      </c>
      <c r="L45" s="64">
        <v>21.09</v>
      </c>
      <c r="M45" s="64">
        <v>47.29</v>
      </c>
      <c r="N45" s="64">
        <v>396</v>
      </c>
      <c r="O45" s="64">
        <v>0</v>
      </c>
      <c r="P45" s="64">
        <v>2.14</v>
      </c>
      <c r="Q45" s="64">
        <v>9.73</v>
      </c>
      <c r="R45" s="198"/>
      <c r="S45" s="198"/>
      <c r="T45" s="198"/>
      <c r="U45" s="198"/>
    </row>
    <row r="46" spans="1:21" s="12" customFormat="1" x14ac:dyDescent="0.25">
      <c r="A46" s="214" t="s">
        <v>1244</v>
      </c>
      <c r="B46" s="64">
        <v>54.68</v>
      </c>
      <c r="C46" s="64">
        <v>6.26</v>
      </c>
      <c r="D46" s="64">
        <v>46.66</v>
      </c>
      <c r="E46" s="64">
        <v>5.29</v>
      </c>
      <c r="F46" s="64">
        <v>3.05</v>
      </c>
      <c r="G46" s="64">
        <v>161.28</v>
      </c>
      <c r="H46" s="64">
        <v>64.349999999999994</v>
      </c>
      <c r="I46" s="64">
        <v>0.1</v>
      </c>
      <c r="J46" s="64">
        <v>0.63</v>
      </c>
      <c r="K46" s="64">
        <v>152.53</v>
      </c>
      <c r="L46" s="64">
        <v>22.47</v>
      </c>
      <c r="M46" s="64">
        <v>40.380000000000003</v>
      </c>
      <c r="N46" s="64">
        <v>430.7</v>
      </c>
      <c r="O46" s="64">
        <v>0</v>
      </c>
      <c r="P46" s="64">
        <v>2.15</v>
      </c>
      <c r="Q46" s="64">
        <v>9.7200000000000006</v>
      </c>
      <c r="R46" s="198"/>
      <c r="S46" s="198"/>
      <c r="T46" s="198"/>
      <c r="U46" s="198"/>
    </row>
    <row r="47" spans="1:21" s="12" customFormat="1" x14ac:dyDescent="0.25">
      <c r="A47" s="214" t="s">
        <v>1245</v>
      </c>
      <c r="B47" s="64">
        <v>51.91</v>
      </c>
      <c r="C47" s="64">
        <v>8.5500000000000007</v>
      </c>
      <c r="D47" s="64">
        <v>45.63</v>
      </c>
      <c r="E47" s="64">
        <v>5.09</v>
      </c>
      <c r="F47" s="64">
        <v>3.18</v>
      </c>
      <c r="G47" s="64">
        <v>161.28</v>
      </c>
      <c r="H47" s="64">
        <v>64.349999999999994</v>
      </c>
      <c r="I47" s="64">
        <v>0.1</v>
      </c>
      <c r="J47" s="64">
        <v>1.1599999999999999</v>
      </c>
      <c r="K47" s="64">
        <v>131.44999999999999</v>
      </c>
      <c r="L47" s="64">
        <v>22.5</v>
      </c>
      <c r="M47" s="64">
        <v>31.93</v>
      </c>
      <c r="N47" s="64">
        <v>475.3</v>
      </c>
      <c r="O47" s="64">
        <v>0</v>
      </c>
      <c r="P47" s="64">
        <v>2.12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4" t="s">
        <v>1246</v>
      </c>
      <c r="B48" s="64">
        <v>48.3</v>
      </c>
      <c r="C48" s="64">
        <v>10.66</v>
      </c>
      <c r="D48" s="64">
        <v>43.84</v>
      </c>
      <c r="E48" s="64">
        <v>5.15</v>
      </c>
      <c r="F48" s="64">
        <v>2.97</v>
      </c>
      <c r="G48" s="64">
        <v>152.26</v>
      </c>
      <c r="H48" s="64">
        <v>62.37</v>
      </c>
      <c r="I48" s="64">
        <v>0.1</v>
      </c>
      <c r="J48" s="64">
        <v>0.41</v>
      </c>
      <c r="K48" s="64">
        <v>337.41</v>
      </c>
      <c r="L48" s="64">
        <v>24.1</v>
      </c>
      <c r="M48" s="64">
        <v>25.44</v>
      </c>
      <c r="N48" s="64">
        <v>493.2</v>
      </c>
      <c r="O48" s="64">
        <v>0</v>
      </c>
      <c r="P48" s="64">
        <v>2.06</v>
      </c>
      <c r="Q48" s="64">
        <v>9.7100000000000009</v>
      </c>
      <c r="R48" s="198"/>
      <c r="S48" s="198"/>
      <c r="T48" s="198"/>
      <c r="U48" s="198"/>
    </row>
    <row r="49" spans="1:21" s="12" customFormat="1" x14ac:dyDescent="0.25">
      <c r="A49" s="214" t="s">
        <v>1247</v>
      </c>
      <c r="B49" s="64">
        <v>45.14</v>
      </c>
      <c r="C49" s="64">
        <v>12.75</v>
      </c>
      <c r="D49" s="64">
        <v>42.4</v>
      </c>
      <c r="E49" s="64">
        <v>5.56</v>
      </c>
      <c r="F49" s="64">
        <v>3.29</v>
      </c>
      <c r="G49" s="64">
        <v>116.21</v>
      </c>
      <c r="H49" s="64">
        <v>53.35</v>
      </c>
      <c r="I49" s="64">
        <v>0.1</v>
      </c>
      <c r="J49" s="64">
        <v>0.85</v>
      </c>
      <c r="K49" s="64">
        <v>117.59</v>
      </c>
      <c r="L49" s="64">
        <v>24.37</v>
      </c>
      <c r="M49" s="64">
        <v>26.12</v>
      </c>
      <c r="N49" s="64">
        <v>527.6</v>
      </c>
      <c r="O49" s="64">
        <v>0</v>
      </c>
      <c r="P49" s="64">
        <v>2</v>
      </c>
      <c r="Q49" s="64">
        <v>9.6999999999999993</v>
      </c>
      <c r="R49" s="198"/>
      <c r="S49" s="198"/>
      <c r="T49" s="198"/>
      <c r="U49" s="198"/>
    </row>
    <row r="50" spans="1:21" s="12" customFormat="1" x14ac:dyDescent="0.25">
      <c r="A50" s="214" t="s">
        <v>1248</v>
      </c>
      <c r="B50" s="64">
        <v>44.1</v>
      </c>
      <c r="C50" s="64">
        <v>13.28</v>
      </c>
      <c r="D50" s="64">
        <v>41.84</v>
      </c>
      <c r="E50" s="64">
        <v>5.32</v>
      </c>
      <c r="F50" s="64">
        <v>3.25</v>
      </c>
      <c r="G50" s="64">
        <v>116.21</v>
      </c>
      <c r="H50" s="64">
        <v>53.35</v>
      </c>
      <c r="I50" s="64">
        <v>0.1</v>
      </c>
      <c r="J50" s="64">
        <v>2.0099999999999998</v>
      </c>
      <c r="K50" s="64">
        <v>123.76</v>
      </c>
      <c r="L50" s="64">
        <v>23.09</v>
      </c>
      <c r="M50" s="64">
        <v>27.09</v>
      </c>
      <c r="N50" s="64">
        <v>546.6</v>
      </c>
      <c r="O50" s="64">
        <v>0</v>
      </c>
      <c r="P50" s="64">
        <v>1.95</v>
      </c>
      <c r="Q50" s="64">
        <v>9.7200000000000006</v>
      </c>
      <c r="R50" s="198"/>
      <c r="S50" s="198"/>
      <c r="T50" s="198"/>
      <c r="U50" s="198"/>
    </row>
    <row r="51" spans="1:21" s="12" customFormat="1" x14ac:dyDescent="0.25">
      <c r="A51" s="214" t="s">
        <v>1249</v>
      </c>
      <c r="B51" s="64">
        <v>42.34</v>
      </c>
      <c r="C51" s="64">
        <v>13.44</v>
      </c>
      <c r="D51" s="64">
        <v>40.520000000000003</v>
      </c>
      <c r="E51" s="64">
        <v>5.14</v>
      </c>
      <c r="F51" s="64">
        <v>3.33</v>
      </c>
      <c r="G51" s="64">
        <v>116.21</v>
      </c>
      <c r="H51" s="64">
        <v>53.35</v>
      </c>
      <c r="I51" s="64">
        <v>0.1</v>
      </c>
      <c r="J51" s="64">
        <v>0.27</v>
      </c>
      <c r="K51" s="64">
        <v>352.96</v>
      </c>
      <c r="L51" s="64">
        <v>24.69</v>
      </c>
      <c r="M51" s="64">
        <v>24.75</v>
      </c>
      <c r="N51" s="64">
        <v>550.5</v>
      </c>
      <c r="O51" s="64">
        <v>0</v>
      </c>
      <c r="P51" s="64">
        <v>1.82</v>
      </c>
      <c r="Q51" s="64">
        <v>9.6999999999999993</v>
      </c>
      <c r="R51" s="198"/>
      <c r="S51" s="198"/>
      <c r="T51" s="198"/>
      <c r="U51" s="198"/>
    </row>
    <row r="52" spans="1:21" s="12" customFormat="1" x14ac:dyDescent="0.25">
      <c r="A52" s="214" t="s">
        <v>1250</v>
      </c>
      <c r="B52" s="64">
        <v>39.74</v>
      </c>
      <c r="C52" s="64">
        <v>14.86</v>
      </c>
      <c r="D52" s="64">
        <v>39.17</v>
      </c>
      <c r="E52" s="64">
        <v>4.95</v>
      </c>
      <c r="F52" s="64">
        <v>3.18</v>
      </c>
      <c r="G52" s="64">
        <v>101.94</v>
      </c>
      <c r="H52" s="64">
        <v>49.07</v>
      </c>
      <c r="I52" s="64">
        <v>0.1</v>
      </c>
      <c r="J52" s="64">
        <v>1.85</v>
      </c>
      <c r="K52" s="64">
        <v>339.12</v>
      </c>
      <c r="L52" s="64">
        <v>27.28</v>
      </c>
      <c r="M52" s="64">
        <v>19.600000000000001</v>
      </c>
      <c r="N52" s="64">
        <v>555.1</v>
      </c>
      <c r="O52" s="64">
        <v>0</v>
      </c>
      <c r="P52" s="64">
        <v>1.7</v>
      </c>
      <c r="Q52" s="64">
        <v>9.68</v>
      </c>
      <c r="R52" s="198"/>
      <c r="S52" s="198"/>
      <c r="T52" s="198"/>
      <c r="U52" s="198"/>
    </row>
    <row r="53" spans="1:21" s="12" customFormat="1" x14ac:dyDescent="0.25">
      <c r="A53" s="214" t="s">
        <v>1251</v>
      </c>
      <c r="B53" s="64">
        <v>35.68</v>
      </c>
      <c r="C53" s="64">
        <v>16.690000000000001</v>
      </c>
      <c r="D53" s="64">
        <v>36.869999999999997</v>
      </c>
      <c r="E53" s="64">
        <v>5.45</v>
      </c>
      <c r="F53" s="64">
        <v>2.95</v>
      </c>
      <c r="G53" s="64">
        <v>44.84</v>
      </c>
      <c r="H53" s="64">
        <v>36.51</v>
      </c>
      <c r="I53" s="64">
        <v>0.1</v>
      </c>
      <c r="J53" s="64">
        <v>0.68</v>
      </c>
      <c r="K53" s="64">
        <v>107.91</v>
      </c>
      <c r="L53" s="64">
        <v>26.49</v>
      </c>
      <c r="M53" s="64">
        <v>21.52</v>
      </c>
      <c r="N53" s="64">
        <v>564.1</v>
      </c>
      <c r="O53" s="64">
        <v>0</v>
      </c>
      <c r="P53" s="64">
        <v>1.58</v>
      </c>
      <c r="Q53" s="64">
        <v>9.69</v>
      </c>
      <c r="R53" s="198"/>
      <c r="S53" s="198"/>
      <c r="T53" s="198"/>
      <c r="U53" s="198"/>
    </row>
    <row r="54" spans="1:21" s="12" customFormat="1" x14ac:dyDescent="0.25">
      <c r="A54" s="214" t="s">
        <v>1252</v>
      </c>
      <c r="B54" s="64">
        <v>34.28</v>
      </c>
      <c r="C54" s="64">
        <v>17.600000000000001</v>
      </c>
      <c r="D54" s="64">
        <v>36.229999999999997</v>
      </c>
      <c r="E54" s="64">
        <v>5</v>
      </c>
      <c r="F54" s="64">
        <v>3.05</v>
      </c>
      <c r="G54" s="64">
        <v>44.84</v>
      </c>
      <c r="H54" s="64">
        <v>36.51</v>
      </c>
      <c r="I54" s="64">
        <v>0.1</v>
      </c>
      <c r="J54" s="64">
        <v>0.59</v>
      </c>
      <c r="K54" s="64">
        <v>342.03</v>
      </c>
      <c r="L54" s="64">
        <v>26.55</v>
      </c>
      <c r="M54" s="64">
        <v>21.3</v>
      </c>
      <c r="N54" s="64">
        <v>559.29999999999995</v>
      </c>
      <c r="O54" s="64">
        <v>0</v>
      </c>
      <c r="P54" s="64">
        <v>1.52</v>
      </c>
      <c r="Q54" s="64">
        <v>9.67</v>
      </c>
      <c r="R54" s="198"/>
      <c r="S54" s="198"/>
      <c r="T54" s="198"/>
      <c r="U54" s="198"/>
    </row>
    <row r="55" spans="1:21" s="12" customFormat="1" x14ac:dyDescent="0.25">
      <c r="A55" s="214" t="s">
        <v>1253</v>
      </c>
      <c r="B55" s="64">
        <v>32.159999999999997</v>
      </c>
      <c r="C55" s="64">
        <v>19.11</v>
      </c>
      <c r="D55" s="64">
        <v>35.31</v>
      </c>
      <c r="E55" s="64">
        <v>5.0199999999999996</v>
      </c>
      <c r="F55" s="64">
        <v>3.32</v>
      </c>
      <c r="G55" s="64">
        <v>44.84</v>
      </c>
      <c r="H55" s="64">
        <v>36.51</v>
      </c>
      <c r="I55" s="64">
        <v>0.1</v>
      </c>
      <c r="J55" s="64">
        <v>0.98</v>
      </c>
      <c r="K55" s="64">
        <v>124.7</v>
      </c>
      <c r="L55" s="64">
        <v>25.99</v>
      </c>
      <c r="M55" s="64">
        <v>21.3</v>
      </c>
      <c r="N55" s="64">
        <v>572.70000000000005</v>
      </c>
      <c r="O55" s="64">
        <v>0</v>
      </c>
      <c r="P55" s="64">
        <v>1.46</v>
      </c>
      <c r="Q55" s="64">
        <v>9.68</v>
      </c>
      <c r="R55" s="198"/>
      <c r="S55" s="198"/>
      <c r="T55" s="198"/>
      <c r="U55" s="198"/>
    </row>
    <row r="56" spans="1:21" s="12" customFormat="1" x14ac:dyDescent="0.25">
      <c r="A56" s="214" t="s">
        <v>1254</v>
      </c>
      <c r="B56" s="64">
        <v>28.61</v>
      </c>
      <c r="C56" s="64">
        <v>20.81</v>
      </c>
      <c r="D56" s="64">
        <v>33.35</v>
      </c>
      <c r="E56" s="64">
        <v>5.24</v>
      </c>
      <c r="F56" s="64">
        <v>4.0999999999999996</v>
      </c>
      <c r="G56" s="64">
        <v>45.84</v>
      </c>
      <c r="H56" s="64">
        <v>34.14</v>
      </c>
      <c r="I56" s="64">
        <v>0.1</v>
      </c>
      <c r="J56" s="64">
        <v>0.4</v>
      </c>
      <c r="K56" s="64">
        <v>124.38</v>
      </c>
      <c r="L56" s="64">
        <v>25.32</v>
      </c>
      <c r="M56" s="64">
        <v>23.19</v>
      </c>
      <c r="N56" s="64">
        <v>552.6</v>
      </c>
      <c r="O56" s="64">
        <v>0</v>
      </c>
      <c r="P56" s="64">
        <v>1.38</v>
      </c>
      <c r="Q56" s="64">
        <v>9.68</v>
      </c>
      <c r="R56" s="198"/>
      <c r="S56" s="198"/>
      <c r="T56" s="198"/>
      <c r="U56" s="198"/>
    </row>
    <row r="57" spans="1:21" s="12" customFormat="1" x14ac:dyDescent="0.25">
      <c r="A57" s="214" t="s">
        <v>1255</v>
      </c>
      <c r="B57" s="64">
        <v>27.88</v>
      </c>
      <c r="C57" s="64">
        <v>21.36</v>
      </c>
      <c r="D57" s="64">
        <v>33.06</v>
      </c>
      <c r="E57" s="64">
        <v>4.75</v>
      </c>
      <c r="F57" s="64">
        <v>3.41</v>
      </c>
      <c r="G57" s="64">
        <v>49.83</v>
      </c>
      <c r="H57" s="64">
        <v>27.17</v>
      </c>
      <c r="I57" s="64">
        <v>0.1</v>
      </c>
      <c r="J57" s="64">
        <v>0.34</v>
      </c>
      <c r="K57" s="64">
        <v>88.39</v>
      </c>
      <c r="L57" s="64">
        <v>26.24</v>
      </c>
      <c r="M57" s="64">
        <v>21.26</v>
      </c>
      <c r="N57" s="64">
        <v>545.5</v>
      </c>
      <c r="O57" s="64">
        <v>0</v>
      </c>
      <c r="P57" s="64">
        <v>1.35</v>
      </c>
      <c r="Q57" s="64">
        <v>9.68</v>
      </c>
      <c r="R57" s="198"/>
      <c r="S57" s="198"/>
      <c r="T57" s="198"/>
      <c r="U57" s="198"/>
    </row>
    <row r="58" spans="1:21" s="12" customFormat="1" x14ac:dyDescent="0.25">
      <c r="A58" s="214" t="s">
        <v>1256</v>
      </c>
      <c r="B58" s="64">
        <v>24.95</v>
      </c>
      <c r="C58" s="64">
        <v>22.31</v>
      </c>
      <c r="D58" s="64">
        <v>31.2</v>
      </c>
      <c r="E58" s="64">
        <v>4.97</v>
      </c>
      <c r="F58" s="64">
        <v>3.21</v>
      </c>
      <c r="G58" s="64">
        <v>49.83</v>
      </c>
      <c r="H58" s="64">
        <v>27.17</v>
      </c>
      <c r="I58" s="64">
        <v>0.1</v>
      </c>
      <c r="J58" s="64">
        <v>0.98</v>
      </c>
      <c r="K58" s="64">
        <v>127.68</v>
      </c>
      <c r="L58" s="64">
        <v>25.74</v>
      </c>
      <c r="M58" s="64">
        <v>20.420000000000002</v>
      </c>
      <c r="N58" s="64">
        <v>542.5</v>
      </c>
      <c r="O58" s="64">
        <v>0</v>
      </c>
      <c r="P58" s="64">
        <v>1.28</v>
      </c>
      <c r="Q58" s="64">
        <v>9.67</v>
      </c>
      <c r="R58" s="198"/>
      <c r="S58" s="198"/>
      <c r="T58" s="198"/>
      <c r="U58" s="198"/>
    </row>
    <row r="59" spans="1:21" s="12" customFormat="1" x14ac:dyDescent="0.25">
      <c r="A59" s="214" t="s">
        <v>1257</v>
      </c>
      <c r="B59" s="64">
        <v>23.66</v>
      </c>
      <c r="C59" s="64">
        <v>22.8</v>
      </c>
      <c r="D59" s="64">
        <v>30.43</v>
      </c>
      <c r="E59" s="64">
        <v>4.76</v>
      </c>
      <c r="F59" s="64">
        <v>2.84</v>
      </c>
      <c r="G59" s="64">
        <v>49.83</v>
      </c>
      <c r="H59" s="64">
        <v>27.17</v>
      </c>
      <c r="I59" s="64">
        <v>0.1</v>
      </c>
      <c r="J59" s="64">
        <v>1.63</v>
      </c>
      <c r="K59" s="64">
        <v>125.5</v>
      </c>
      <c r="L59" s="64">
        <v>24.71</v>
      </c>
      <c r="M59" s="64">
        <v>20.54</v>
      </c>
      <c r="N59" s="64">
        <v>531.29999999999995</v>
      </c>
      <c r="O59" s="64">
        <v>0</v>
      </c>
      <c r="P59" s="64">
        <v>1.23</v>
      </c>
      <c r="Q59" s="64">
        <v>9.65</v>
      </c>
      <c r="R59" s="198"/>
      <c r="S59" s="198"/>
      <c r="T59" s="198"/>
      <c r="U59" s="198"/>
    </row>
    <row r="60" spans="1:21" s="12" customFormat="1" x14ac:dyDescent="0.25">
      <c r="A60" s="214" t="s">
        <v>1258</v>
      </c>
      <c r="B60" s="64">
        <v>19.940000000000001</v>
      </c>
      <c r="C60" s="64">
        <v>25.13</v>
      </c>
      <c r="D60" s="64">
        <v>28.66</v>
      </c>
      <c r="E60" s="64">
        <v>4.91</v>
      </c>
      <c r="F60" s="64">
        <v>4.7300000000000004</v>
      </c>
      <c r="G60" s="64">
        <v>48.71</v>
      </c>
      <c r="H60" s="64">
        <v>25.79</v>
      </c>
      <c r="I60" s="64">
        <v>0.1</v>
      </c>
      <c r="J60" s="64">
        <v>0.67</v>
      </c>
      <c r="K60" s="64">
        <v>112.94</v>
      </c>
      <c r="L60" s="64">
        <v>25.23</v>
      </c>
      <c r="M60" s="64">
        <v>19.989999999999998</v>
      </c>
      <c r="N60" s="64">
        <v>497.9</v>
      </c>
      <c r="O60" s="64">
        <v>0</v>
      </c>
      <c r="P60" s="64">
        <v>1.1399999999999999</v>
      </c>
      <c r="Q60" s="64">
        <v>9.64</v>
      </c>
      <c r="R60" s="198"/>
      <c r="S60" s="198"/>
      <c r="T60" s="198"/>
      <c r="U60" s="198"/>
    </row>
    <row r="61" spans="1:21" s="12" customFormat="1" x14ac:dyDescent="0.25">
      <c r="A61" s="214" t="s">
        <v>1259</v>
      </c>
      <c r="B61" s="64">
        <v>17.88</v>
      </c>
      <c r="C61" s="64">
        <v>24.16</v>
      </c>
      <c r="D61" s="64">
        <v>26.5</v>
      </c>
      <c r="E61" s="64">
        <v>5.95</v>
      </c>
      <c r="F61" s="64">
        <v>5.24</v>
      </c>
      <c r="G61" s="64">
        <v>44.21</v>
      </c>
      <c r="H61" s="64">
        <v>21.97</v>
      </c>
      <c r="I61" s="64">
        <v>0.1</v>
      </c>
      <c r="J61" s="64">
        <v>0.85</v>
      </c>
      <c r="K61" s="64">
        <v>127.79</v>
      </c>
      <c r="L61" s="64">
        <v>25.38</v>
      </c>
      <c r="M61" s="64">
        <v>18.96</v>
      </c>
      <c r="N61" s="64">
        <v>490.1</v>
      </c>
      <c r="O61" s="64">
        <v>0</v>
      </c>
      <c r="P61" s="64">
        <v>1.2</v>
      </c>
      <c r="Q61" s="64">
        <v>9.65</v>
      </c>
      <c r="R61" s="198"/>
      <c r="S61" s="198"/>
      <c r="T61" s="198"/>
      <c r="U61" s="198"/>
    </row>
    <row r="62" spans="1:21" s="12" customFormat="1" x14ac:dyDescent="0.25">
      <c r="A62" s="214" t="s">
        <v>1260</v>
      </c>
      <c r="B62" s="64">
        <v>16.91</v>
      </c>
      <c r="C62" s="64">
        <v>24.18</v>
      </c>
      <c r="D62" s="64">
        <v>25.73</v>
      </c>
      <c r="E62" s="64">
        <v>5.05</v>
      </c>
      <c r="F62" s="64">
        <v>5.01</v>
      </c>
      <c r="G62" s="64">
        <v>44.21</v>
      </c>
      <c r="H62" s="64">
        <v>21.97</v>
      </c>
      <c r="I62" s="64">
        <v>0.1</v>
      </c>
      <c r="J62" s="64">
        <v>1.06</v>
      </c>
      <c r="K62" s="64">
        <v>131.13</v>
      </c>
      <c r="L62" s="64">
        <v>25.16</v>
      </c>
      <c r="M62" s="64">
        <v>18.43</v>
      </c>
      <c r="N62" s="64">
        <v>478.9</v>
      </c>
      <c r="O62" s="64">
        <v>0</v>
      </c>
      <c r="P62" s="64">
        <v>1.25</v>
      </c>
      <c r="Q62" s="64">
        <v>9.65</v>
      </c>
      <c r="R62" s="198"/>
      <c r="S62" s="198"/>
      <c r="T62" s="198"/>
      <c r="U62" s="198"/>
    </row>
    <row r="63" spans="1:21" s="12" customFormat="1" x14ac:dyDescent="0.25">
      <c r="A63" s="214" t="s">
        <v>1261</v>
      </c>
      <c r="B63" s="64">
        <v>15.63</v>
      </c>
      <c r="C63" s="64">
        <v>26.76</v>
      </c>
      <c r="D63" s="64">
        <v>26.05</v>
      </c>
      <c r="E63" s="64">
        <v>6.54</v>
      </c>
      <c r="F63" s="64">
        <v>8.2100000000000009</v>
      </c>
      <c r="G63" s="64">
        <v>44.21</v>
      </c>
      <c r="H63" s="64">
        <v>21.97</v>
      </c>
      <c r="I63" s="64">
        <v>0.1</v>
      </c>
      <c r="J63" s="64">
        <v>0.6</v>
      </c>
      <c r="K63" s="64">
        <v>113.86</v>
      </c>
      <c r="L63" s="64">
        <v>25.48</v>
      </c>
      <c r="M63" s="64">
        <v>17.63</v>
      </c>
      <c r="N63" s="64">
        <v>455.9</v>
      </c>
      <c r="O63" s="64">
        <v>0</v>
      </c>
      <c r="P63" s="64">
        <v>1.1200000000000001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14" t="s">
        <v>1262</v>
      </c>
      <c r="B64" s="64">
        <v>13.63</v>
      </c>
      <c r="C64" s="64">
        <v>24.65</v>
      </c>
      <c r="D64" s="64">
        <v>23.35</v>
      </c>
      <c r="E64" s="64">
        <v>6.73</v>
      </c>
      <c r="F64" s="64">
        <v>8.07</v>
      </c>
      <c r="G64" s="64">
        <v>39.65</v>
      </c>
      <c r="H64" s="64">
        <v>21.42</v>
      </c>
      <c r="I64" s="64">
        <v>0.1</v>
      </c>
      <c r="J64" s="64">
        <v>1.77</v>
      </c>
      <c r="K64" s="64">
        <v>130.76</v>
      </c>
      <c r="L64" s="64">
        <v>24.73</v>
      </c>
      <c r="M64" s="64">
        <v>15.8</v>
      </c>
      <c r="N64" s="64">
        <v>290.3</v>
      </c>
      <c r="O64" s="64">
        <v>0</v>
      </c>
      <c r="P64" s="64">
        <v>1.1200000000000001</v>
      </c>
      <c r="Q64" s="64">
        <v>9.65</v>
      </c>
      <c r="R64" s="198"/>
      <c r="S64" s="198"/>
      <c r="T64" s="198"/>
      <c r="U64" s="198"/>
    </row>
    <row r="65" spans="1:21" s="12" customFormat="1" x14ac:dyDescent="0.25">
      <c r="A65" s="214" t="s">
        <v>1263</v>
      </c>
      <c r="B65" s="64">
        <v>11.45</v>
      </c>
      <c r="C65" s="64">
        <v>22.81</v>
      </c>
      <c r="D65" s="64">
        <v>20.64</v>
      </c>
      <c r="E65" s="64">
        <v>10.26</v>
      </c>
      <c r="F65" s="64">
        <v>11.97</v>
      </c>
      <c r="G65" s="64">
        <v>21.4</v>
      </c>
      <c r="H65" s="64">
        <v>18.87</v>
      </c>
      <c r="I65" s="64">
        <v>0.1</v>
      </c>
      <c r="J65" s="64">
        <v>0.99</v>
      </c>
      <c r="K65" s="64">
        <v>118.06</v>
      </c>
      <c r="L65" s="64">
        <v>24.34</v>
      </c>
      <c r="M65" s="64">
        <v>16.239999999999998</v>
      </c>
      <c r="N65" s="64">
        <v>155.1</v>
      </c>
      <c r="O65" s="64">
        <v>0</v>
      </c>
      <c r="P65" s="64">
        <v>1</v>
      </c>
      <c r="Q65" s="64">
        <v>9.65</v>
      </c>
      <c r="R65" s="198"/>
      <c r="S65" s="198"/>
      <c r="T65" s="198"/>
      <c r="U65" s="198"/>
    </row>
    <row r="66" spans="1:21" s="12" customFormat="1" x14ac:dyDescent="0.25">
      <c r="A66" s="214" t="s">
        <v>1264</v>
      </c>
      <c r="B66" s="64">
        <v>12.33</v>
      </c>
      <c r="C66" s="64">
        <v>26.63</v>
      </c>
      <c r="D66" s="64">
        <v>23.34</v>
      </c>
      <c r="E66" s="64">
        <v>12.99</v>
      </c>
      <c r="F66" s="64">
        <v>10.94</v>
      </c>
      <c r="G66" s="64">
        <v>21.4</v>
      </c>
      <c r="H66" s="64">
        <v>18.87</v>
      </c>
      <c r="I66" s="64">
        <v>0.1</v>
      </c>
      <c r="J66" s="64">
        <v>0.41</v>
      </c>
      <c r="K66" s="64">
        <v>26.7</v>
      </c>
      <c r="L66" s="64">
        <v>24.86</v>
      </c>
      <c r="M66" s="64">
        <v>15.63</v>
      </c>
      <c r="N66" s="64">
        <v>108.1</v>
      </c>
      <c r="O66" s="64">
        <v>0</v>
      </c>
      <c r="P66" s="64">
        <v>1.01</v>
      </c>
      <c r="Q66" s="64">
        <v>9.66</v>
      </c>
      <c r="R66" s="198"/>
      <c r="S66" s="198"/>
      <c r="T66" s="198"/>
      <c r="U66" s="198"/>
    </row>
    <row r="67" spans="1:21" s="12" customFormat="1" x14ac:dyDescent="0.25">
      <c r="A67" s="214" t="s">
        <v>1265</v>
      </c>
      <c r="B67" s="64">
        <v>11.74</v>
      </c>
      <c r="C67" s="64">
        <v>25.71</v>
      </c>
      <c r="D67" s="64">
        <v>22.38</v>
      </c>
      <c r="E67" s="64">
        <v>10.53</v>
      </c>
      <c r="F67" s="64">
        <v>8.3800000000000008</v>
      </c>
      <c r="G67" s="64">
        <v>21.4</v>
      </c>
      <c r="H67" s="64">
        <v>18.87</v>
      </c>
      <c r="I67" s="64">
        <v>0.1</v>
      </c>
      <c r="J67" s="64">
        <v>1</v>
      </c>
      <c r="K67" s="64">
        <v>136.35</v>
      </c>
      <c r="L67" s="64">
        <v>24.32</v>
      </c>
      <c r="M67" s="64">
        <v>14.15</v>
      </c>
      <c r="N67" s="64">
        <v>88.5</v>
      </c>
      <c r="O67" s="64">
        <v>0</v>
      </c>
      <c r="P67" s="64">
        <v>1.04</v>
      </c>
      <c r="Q67" s="64">
        <v>9.65</v>
      </c>
      <c r="R67" s="198"/>
      <c r="S67" s="198"/>
      <c r="T67" s="198"/>
      <c r="U67" s="198"/>
    </row>
    <row r="68" spans="1:21" s="12" customFormat="1" x14ac:dyDescent="0.25">
      <c r="A68" s="214" t="s">
        <v>1266</v>
      </c>
      <c r="B68" s="64">
        <v>12.18</v>
      </c>
      <c r="C68" s="64">
        <v>26.17</v>
      </c>
      <c r="D68" s="64">
        <v>22.98</v>
      </c>
      <c r="E68" s="64">
        <v>5.63</v>
      </c>
      <c r="F68" s="64">
        <v>5.14</v>
      </c>
      <c r="G68" s="64">
        <v>21.34</v>
      </c>
      <c r="H68" s="64">
        <v>17.64</v>
      </c>
      <c r="I68" s="64">
        <v>0.1</v>
      </c>
      <c r="J68" s="64">
        <v>1.61</v>
      </c>
      <c r="K68" s="64">
        <v>121.08</v>
      </c>
      <c r="L68" s="64">
        <v>24.2</v>
      </c>
      <c r="M68" s="64">
        <v>15.78</v>
      </c>
      <c r="N68" s="64">
        <v>81.599999999999994</v>
      </c>
      <c r="O68" s="64">
        <v>0</v>
      </c>
      <c r="P68" s="64">
        <v>1.07</v>
      </c>
      <c r="Q68" s="64">
        <v>9.65</v>
      </c>
      <c r="R68" s="198"/>
      <c r="S68" s="198"/>
      <c r="T68" s="198"/>
      <c r="U68" s="198"/>
    </row>
    <row r="69" spans="1:21" s="12" customFormat="1" x14ac:dyDescent="0.25">
      <c r="A69" s="214" t="s">
        <v>1267</v>
      </c>
      <c r="B69" s="64">
        <v>11.08</v>
      </c>
      <c r="C69" s="64">
        <v>27.91</v>
      </c>
      <c r="D69" s="64">
        <v>23</v>
      </c>
      <c r="E69" s="64">
        <v>10.55</v>
      </c>
      <c r="F69" s="64">
        <v>8.51</v>
      </c>
      <c r="G69" s="64">
        <v>21.1</v>
      </c>
      <c r="H69" s="64">
        <v>14.03</v>
      </c>
      <c r="I69" s="64">
        <v>0.1</v>
      </c>
      <c r="J69" s="64">
        <v>0.51</v>
      </c>
      <c r="K69" s="64">
        <v>149.86000000000001</v>
      </c>
      <c r="L69" s="64">
        <v>24.1</v>
      </c>
      <c r="M69" s="64">
        <v>15.31</v>
      </c>
      <c r="N69" s="64">
        <v>76</v>
      </c>
      <c r="O69" s="64">
        <v>0</v>
      </c>
      <c r="P69" s="64">
        <v>0.9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4" t="s">
        <v>1268</v>
      </c>
      <c r="B70" s="64">
        <v>8.69</v>
      </c>
      <c r="C70" s="64">
        <v>26.58</v>
      </c>
      <c r="D70" s="64">
        <v>20.399999999999999</v>
      </c>
      <c r="E70" s="64">
        <v>13.11</v>
      </c>
      <c r="F70" s="64">
        <v>10.96</v>
      </c>
      <c r="G70" s="64">
        <v>21.1</v>
      </c>
      <c r="H70" s="64">
        <v>14.03</v>
      </c>
      <c r="I70" s="64">
        <v>0.1</v>
      </c>
      <c r="J70" s="64">
        <v>0.79</v>
      </c>
      <c r="K70" s="64">
        <v>121.15</v>
      </c>
      <c r="L70" s="64">
        <v>23.95</v>
      </c>
      <c r="M70" s="64">
        <v>17.27</v>
      </c>
      <c r="N70" s="64">
        <v>73</v>
      </c>
      <c r="O70" s="64">
        <v>0</v>
      </c>
      <c r="P70" s="64">
        <v>0.81</v>
      </c>
      <c r="Q70" s="64">
        <v>9.6199999999999992</v>
      </c>
      <c r="R70" s="198"/>
      <c r="S70" s="198"/>
      <c r="T70" s="198"/>
      <c r="U70" s="198"/>
    </row>
    <row r="71" spans="1:21" s="12" customFormat="1" x14ac:dyDescent="0.25">
      <c r="A71" s="214" t="s">
        <v>1269</v>
      </c>
      <c r="B71" s="64">
        <v>6.86</v>
      </c>
      <c r="C71" s="64">
        <v>23.71</v>
      </c>
      <c r="D71" s="64">
        <v>17.420000000000002</v>
      </c>
      <c r="E71" s="64">
        <v>11.12</v>
      </c>
      <c r="F71" s="64">
        <v>12.88</v>
      </c>
      <c r="G71" s="64">
        <v>21.1</v>
      </c>
      <c r="H71" s="64">
        <v>14.03</v>
      </c>
      <c r="I71" s="64">
        <v>0.1</v>
      </c>
      <c r="J71" s="64">
        <v>0.56000000000000005</v>
      </c>
      <c r="K71" s="64">
        <v>123.79</v>
      </c>
      <c r="L71" s="64">
        <v>23.76</v>
      </c>
      <c r="M71" s="64">
        <v>18.07</v>
      </c>
      <c r="N71" s="64">
        <v>66.599999999999994</v>
      </c>
      <c r="O71" s="64">
        <v>0</v>
      </c>
      <c r="P71" s="64">
        <v>0.71</v>
      </c>
      <c r="Q71" s="64">
        <v>9.6300000000000008</v>
      </c>
      <c r="R71" s="198"/>
      <c r="S71" s="198"/>
      <c r="T71" s="198"/>
      <c r="U71" s="198"/>
    </row>
    <row r="72" spans="1:21" s="12" customFormat="1" x14ac:dyDescent="0.25">
      <c r="A72" s="214" t="s">
        <v>1270</v>
      </c>
      <c r="B72" s="64">
        <v>6.83</v>
      </c>
      <c r="C72" s="64">
        <v>27.04</v>
      </c>
      <c r="D72" s="64">
        <v>19.14</v>
      </c>
      <c r="E72" s="64">
        <v>17.53</v>
      </c>
      <c r="F72" s="64">
        <v>13.57</v>
      </c>
      <c r="G72" s="64">
        <v>23.49</v>
      </c>
      <c r="H72" s="64">
        <v>14.02</v>
      </c>
      <c r="I72" s="64">
        <v>0.1</v>
      </c>
      <c r="J72" s="64">
        <v>0.35</v>
      </c>
      <c r="K72" s="64">
        <v>76.34</v>
      </c>
      <c r="L72" s="64">
        <v>23.42</v>
      </c>
      <c r="M72" s="64">
        <v>19.82</v>
      </c>
      <c r="N72" s="64">
        <v>61.5</v>
      </c>
      <c r="O72" s="64">
        <v>0</v>
      </c>
      <c r="P72" s="64">
        <v>0.75</v>
      </c>
      <c r="Q72" s="64">
        <v>9.6300000000000008</v>
      </c>
      <c r="R72" s="198"/>
      <c r="S72" s="198"/>
      <c r="T72" s="198"/>
      <c r="U72" s="198"/>
    </row>
    <row r="73" spans="1:21" s="12" customFormat="1" x14ac:dyDescent="0.25">
      <c r="A73" s="214" t="s">
        <v>1271</v>
      </c>
      <c r="B73" s="64">
        <v>9.18</v>
      </c>
      <c r="C73" s="64">
        <v>26.55</v>
      </c>
      <c r="D73" s="64">
        <v>20.77</v>
      </c>
      <c r="E73" s="64">
        <v>10.89</v>
      </c>
      <c r="F73" s="64">
        <v>7.94</v>
      </c>
      <c r="G73" s="64">
        <v>33.07</v>
      </c>
      <c r="H73" s="64">
        <v>14</v>
      </c>
      <c r="I73" s="64">
        <v>0.1</v>
      </c>
      <c r="J73" s="64">
        <v>0.28999999999999998</v>
      </c>
      <c r="K73" s="64">
        <v>27.7</v>
      </c>
      <c r="L73" s="64">
        <v>23.21</v>
      </c>
      <c r="M73" s="64">
        <v>22.04</v>
      </c>
      <c r="N73" s="64">
        <v>56.9</v>
      </c>
      <c r="O73" s="64">
        <v>0</v>
      </c>
      <c r="P73" s="64">
        <v>0.84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4" t="s">
        <v>1272</v>
      </c>
      <c r="B74" s="64">
        <v>11.08</v>
      </c>
      <c r="C74" s="64">
        <v>36.06</v>
      </c>
      <c r="D74" s="64">
        <v>27.26</v>
      </c>
      <c r="E74" s="64">
        <v>11.29</v>
      </c>
      <c r="F74" s="64">
        <v>4.88</v>
      </c>
      <c r="G74" s="64">
        <v>33.07</v>
      </c>
      <c r="H74" s="64">
        <v>14</v>
      </c>
      <c r="I74" s="64">
        <v>0.1</v>
      </c>
      <c r="J74" s="64">
        <v>0.32</v>
      </c>
      <c r="K74" s="64">
        <v>136.06</v>
      </c>
      <c r="L74" s="64">
        <v>22.69</v>
      </c>
      <c r="M74" s="64">
        <v>26.16</v>
      </c>
      <c r="N74" s="64">
        <v>52.4</v>
      </c>
      <c r="O74" s="64">
        <v>0</v>
      </c>
      <c r="P74" s="64">
        <v>0.93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4" t="s">
        <v>1273</v>
      </c>
      <c r="B75" s="64">
        <v>16.23</v>
      </c>
      <c r="C75" s="64">
        <v>33.159999999999997</v>
      </c>
      <c r="D75" s="64">
        <v>29.88</v>
      </c>
      <c r="E75" s="64">
        <v>9.08</v>
      </c>
      <c r="F75" s="64">
        <v>3.6</v>
      </c>
      <c r="G75" s="64">
        <v>33.07</v>
      </c>
      <c r="H75" s="64">
        <v>14</v>
      </c>
      <c r="I75" s="64">
        <v>0.1</v>
      </c>
      <c r="J75" s="64">
        <v>0.56999999999999995</v>
      </c>
      <c r="K75" s="64">
        <v>285.22000000000003</v>
      </c>
      <c r="L75" s="64">
        <v>22.02</v>
      </c>
      <c r="M75" s="64">
        <v>31.6</v>
      </c>
      <c r="N75" s="64">
        <v>47.1</v>
      </c>
      <c r="O75" s="64">
        <v>0</v>
      </c>
      <c r="P75" s="64">
        <v>0.97</v>
      </c>
      <c r="Q75" s="64">
        <v>9.61</v>
      </c>
      <c r="R75" s="198"/>
      <c r="S75" s="198"/>
      <c r="T75" s="198"/>
      <c r="U75" s="198"/>
    </row>
    <row r="76" spans="1:21" s="12" customFormat="1" x14ac:dyDescent="0.25">
      <c r="A76" s="214" t="s">
        <v>1274</v>
      </c>
      <c r="B76" s="64">
        <v>13.2</v>
      </c>
      <c r="C76" s="64">
        <v>32.57</v>
      </c>
      <c r="D76" s="64">
        <v>27.14</v>
      </c>
      <c r="E76" s="64">
        <v>6.88</v>
      </c>
      <c r="F76" s="64">
        <v>3.05</v>
      </c>
      <c r="G76" s="64">
        <v>38</v>
      </c>
      <c r="H76" s="64">
        <v>15.31</v>
      </c>
      <c r="I76" s="64">
        <v>0.1</v>
      </c>
      <c r="J76" s="64">
        <v>0.66</v>
      </c>
      <c r="K76" s="64">
        <v>287.66000000000003</v>
      </c>
      <c r="L76" s="64">
        <v>21.25</v>
      </c>
      <c r="M76" s="64">
        <v>34.28</v>
      </c>
      <c r="N76" s="64">
        <v>41.4</v>
      </c>
      <c r="O76" s="64">
        <v>0</v>
      </c>
      <c r="P76" s="64">
        <v>0.97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4" t="s">
        <v>1275</v>
      </c>
      <c r="B77" s="64">
        <v>15.45</v>
      </c>
      <c r="C77" s="64">
        <v>28.81</v>
      </c>
      <c r="D77" s="64">
        <v>26.98</v>
      </c>
      <c r="E77" s="64">
        <v>6.05</v>
      </c>
      <c r="F77" s="64">
        <v>2.89</v>
      </c>
      <c r="G77" s="64">
        <v>57.73</v>
      </c>
      <c r="H77" s="64">
        <v>19.18</v>
      </c>
      <c r="I77" s="64">
        <v>0.1</v>
      </c>
      <c r="J77" s="64">
        <v>0.56999999999999995</v>
      </c>
      <c r="K77" s="64">
        <v>340.75</v>
      </c>
      <c r="L77" s="64">
        <v>20.45</v>
      </c>
      <c r="M77" s="64">
        <v>45.13</v>
      </c>
      <c r="N77" s="64">
        <v>36.4</v>
      </c>
      <c r="O77" s="64">
        <v>0</v>
      </c>
      <c r="P77" s="64">
        <v>0.97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4" t="s">
        <v>1276</v>
      </c>
      <c r="B78" s="64">
        <v>16.760000000000002</v>
      </c>
      <c r="C78" s="64">
        <v>28.01</v>
      </c>
      <c r="D78" s="64">
        <v>27.61</v>
      </c>
      <c r="E78" s="64">
        <v>5.14</v>
      </c>
      <c r="F78" s="64">
        <v>2.35</v>
      </c>
      <c r="G78" s="64">
        <v>57.73</v>
      </c>
      <c r="H78" s="64">
        <v>19.18</v>
      </c>
      <c r="I78" s="64">
        <v>0.1</v>
      </c>
      <c r="J78" s="64">
        <v>0.63</v>
      </c>
      <c r="K78" s="64">
        <v>115.56</v>
      </c>
      <c r="L78" s="64">
        <v>19.45</v>
      </c>
      <c r="M78" s="64">
        <v>44.08</v>
      </c>
      <c r="N78" s="64">
        <v>33.700000000000003</v>
      </c>
      <c r="O78" s="64">
        <v>0</v>
      </c>
      <c r="P78" s="64">
        <v>1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4" t="s">
        <v>1277</v>
      </c>
      <c r="B79" s="64">
        <v>23.76</v>
      </c>
      <c r="C79" s="64">
        <v>25.73</v>
      </c>
      <c r="D79" s="64">
        <v>32.020000000000003</v>
      </c>
      <c r="E79" s="64">
        <v>5.18</v>
      </c>
      <c r="F79" s="64">
        <v>2.42</v>
      </c>
      <c r="G79" s="64">
        <v>57.73</v>
      </c>
      <c r="H79" s="64">
        <v>19.18</v>
      </c>
      <c r="I79" s="64">
        <v>0.1</v>
      </c>
      <c r="J79" s="64">
        <v>0.18</v>
      </c>
      <c r="K79" s="64">
        <v>7.5</v>
      </c>
      <c r="L79" s="64">
        <v>18.55</v>
      </c>
      <c r="M79" s="64">
        <v>56.57</v>
      </c>
      <c r="N79" s="64">
        <v>32.9</v>
      </c>
      <c r="O79" s="64">
        <v>0</v>
      </c>
      <c r="P79" s="64">
        <v>1.0900000000000001</v>
      </c>
      <c r="Q79" s="64">
        <v>9.64</v>
      </c>
      <c r="R79" s="198"/>
      <c r="S79" s="198"/>
      <c r="T79" s="198"/>
      <c r="U79" s="198"/>
    </row>
    <row r="80" spans="1:21" s="12" customFormat="1" x14ac:dyDescent="0.25">
      <c r="A80" s="214" t="s">
        <v>1278</v>
      </c>
      <c r="B80" s="64">
        <v>31.1</v>
      </c>
      <c r="C80" s="64">
        <v>21.56</v>
      </c>
      <c r="D80" s="64">
        <v>35.74</v>
      </c>
      <c r="E80" s="64">
        <v>5.45</v>
      </c>
      <c r="F80" s="64">
        <v>2.59</v>
      </c>
      <c r="G80" s="64">
        <v>72.180000000000007</v>
      </c>
      <c r="H80" s="64">
        <v>20.21</v>
      </c>
      <c r="I80" s="64">
        <v>0.1</v>
      </c>
      <c r="J80" s="64">
        <v>0.2</v>
      </c>
      <c r="K80" s="64">
        <v>104.73</v>
      </c>
      <c r="L80" s="64">
        <v>18.07</v>
      </c>
      <c r="M80" s="64">
        <v>54.06</v>
      </c>
      <c r="N80" s="64">
        <v>32.799999999999997</v>
      </c>
      <c r="O80" s="64">
        <v>0</v>
      </c>
      <c r="P80" s="64">
        <v>1.22</v>
      </c>
      <c r="Q80" s="64">
        <v>9.66</v>
      </c>
      <c r="R80" s="198"/>
      <c r="S80" s="198"/>
      <c r="T80" s="198"/>
      <c r="U80" s="198"/>
    </row>
    <row r="81" spans="1:26" s="12" customFormat="1" x14ac:dyDescent="0.25">
      <c r="A81" s="214" t="s">
        <v>1279</v>
      </c>
      <c r="B81" s="64">
        <v>36.99</v>
      </c>
      <c r="C81" s="64">
        <v>19.14</v>
      </c>
      <c r="D81" s="64">
        <v>39.200000000000003</v>
      </c>
      <c r="E81" s="64">
        <v>6.41</v>
      </c>
      <c r="F81" s="64">
        <v>2.63</v>
      </c>
      <c r="G81" s="64">
        <v>129.97999999999999</v>
      </c>
      <c r="H81" s="64">
        <v>25.32</v>
      </c>
      <c r="I81" s="64">
        <v>0.1</v>
      </c>
      <c r="J81" s="64">
        <v>0.21</v>
      </c>
      <c r="K81" s="64">
        <v>315.83</v>
      </c>
      <c r="L81" s="64">
        <v>17.8</v>
      </c>
      <c r="M81" s="64">
        <v>53.15</v>
      </c>
      <c r="N81" s="64">
        <v>32.700000000000003</v>
      </c>
      <c r="O81" s="64">
        <v>0</v>
      </c>
      <c r="P81" s="64">
        <v>1.34</v>
      </c>
      <c r="Q81" s="64">
        <v>9.68</v>
      </c>
      <c r="R81" s="198"/>
      <c r="S81" s="198"/>
      <c r="T81" s="198"/>
      <c r="U81" s="198"/>
    </row>
    <row r="82" spans="1:26" s="12" customFormat="1" x14ac:dyDescent="0.25">
      <c r="A82" s="214" t="s">
        <v>1280</v>
      </c>
      <c r="B82" s="64">
        <v>40.22</v>
      </c>
      <c r="C82" s="64">
        <v>15.09</v>
      </c>
      <c r="D82" s="64">
        <v>39.68</v>
      </c>
      <c r="E82" s="64">
        <v>5.64</v>
      </c>
      <c r="F82" s="64">
        <v>2.66</v>
      </c>
      <c r="G82" s="64">
        <v>129.97999999999999</v>
      </c>
      <c r="H82" s="64">
        <v>25.32</v>
      </c>
      <c r="I82" s="64">
        <v>0.1</v>
      </c>
      <c r="J82" s="64">
        <v>0.43</v>
      </c>
      <c r="K82" s="64">
        <v>293.88</v>
      </c>
      <c r="L82" s="64">
        <v>17.690000000000001</v>
      </c>
      <c r="M82" s="64">
        <v>53.27</v>
      </c>
      <c r="N82" s="64">
        <v>32.6</v>
      </c>
      <c r="O82" s="64">
        <v>0</v>
      </c>
      <c r="P82" s="64">
        <v>1.38</v>
      </c>
      <c r="Q82" s="64">
        <v>9.69</v>
      </c>
      <c r="R82" s="198"/>
      <c r="S82" s="198"/>
      <c r="T82" s="198"/>
      <c r="U82" s="198"/>
    </row>
    <row r="83" spans="1:26" s="12" customFormat="1" x14ac:dyDescent="0.25">
      <c r="A83" s="214" t="s">
        <v>1281</v>
      </c>
      <c r="B83" s="64">
        <v>47.92</v>
      </c>
      <c r="C83" s="64">
        <v>12.12</v>
      </c>
      <c r="D83" s="64">
        <v>44.3</v>
      </c>
      <c r="E83" s="64">
        <v>5.98</v>
      </c>
      <c r="F83" s="64">
        <v>2.5099999999999998</v>
      </c>
      <c r="G83" s="64">
        <v>129.97999999999999</v>
      </c>
      <c r="H83" s="64">
        <v>25.32</v>
      </c>
      <c r="I83" s="64">
        <v>0.1</v>
      </c>
      <c r="J83" s="64">
        <v>0.26</v>
      </c>
      <c r="K83" s="64">
        <v>66.59</v>
      </c>
      <c r="L83" s="64">
        <v>17.239999999999998</v>
      </c>
      <c r="M83" s="64">
        <v>59</v>
      </c>
      <c r="N83" s="64">
        <v>32.700000000000003</v>
      </c>
      <c r="O83" s="64">
        <v>0</v>
      </c>
      <c r="P83" s="64">
        <v>1.46</v>
      </c>
      <c r="Q83" s="64">
        <v>9.69</v>
      </c>
      <c r="R83" s="198"/>
      <c r="S83" s="198"/>
      <c r="T83" s="198"/>
      <c r="U83" s="198"/>
    </row>
    <row r="84" spans="1:26" s="12" customFormat="1" x14ac:dyDescent="0.25">
      <c r="A84" s="214" t="s">
        <v>1282</v>
      </c>
      <c r="B84" s="64">
        <v>56.07</v>
      </c>
      <c r="C84" s="64">
        <v>8.14</v>
      </c>
      <c r="D84" s="64">
        <v>48.76</v>
      </c>
      <c r="E84" s="64">
        <v>6.05</v>
      </c>
      <c r="F84" s="64">
        <v>2.59</v>
      </c>
      <c r="G84" s="64">
        <v>139.97999999999999</v>
      </c>
      <c r="H84" s="64">
        <v>30.61</v>
      </c>
      <c r="I84" s="64">
        <v>0.1</v>
      </c>
      <c r="J84" s="64">
        <v>0.77</v>
      </c>
      <c r="K84" s="64">
        <v>128.1</v>
      </c>
      <c r="L84" s="64">
        <v>16.95</v>
      </c>
      <c r="M84" s="64">
        <v>67.05</v>
      </c>
      <c r="N84" s="64">
        <v>32.4</v>
      </c>
      <c r="O84" s="64">
        <v>0</v>
      </c>
      <c r="P84" s="64">
        <v>1.56</v>
      </c>
      <c r="Q84" s="64">
        <v>9.7100000000000009</v>
      </c>
      <c r="R84" s="198"/>
      <c r="S84" s="198"/>
      <c r="T84" s="198"/>
      <c r="U84" s="198"/>
    </row>
    <row r="85" spans="1:26" s="12" customFormat="1" x14ac:dyDescent="0.25">
      <c r="A85" s="214" t="s">
        <v>1283</v>
      </c>
      <c r="B85" s="64">
        <v>62.47</v>
      </c>
      <c r="C85" s="64">
        <v>4.6399999999999997</v>
      </c>
      <c r="D85" s="64">
        <v>52.06</v>
      </c>
      <c r="E85" s="64">
        <v>6.65</v>
      </c>
      <c r="F85" s="64">
        <v>2.84</v>
      </c>
      <c r="G85" s="64">
        <v>179.97</v>
      </c>
      <c r="H85" s="64">
        <v>45.29</v>
      </c>
      <c r="I85" s="64">
        <v>0.1</v>
      </c>
      <c r="J85" s="64">
        <v>0.47</v>
      </c>
      <c r="K85" s="64">
        <v>298.5</v>
      </c>
      <c r="L85" s="64">
        <v>16.739999999999998</v>
      </c>
      <c r="M85" s="64">
        <v>62.89</v>
      </c>
      <c r="N85" s="64">
        <v>32.5</v>
      </c>
      <c r="O85" s="64">
        <v>0</v>
      </c>
      <c r="P85" s="64">
        <v>1.43</v>
      </c>
      <c r="Q85" s="64">
        <v>9.73</v>
      </c>
      <c r="R85" s="198"/>
      <c r="S85" s="198"/>
      <c r="T85" s="198"/>
      <c r="U85" s="198"/>
    </row>
    <row r="86" spans="1:26" s="12" customFormat="1" x14ac:dyDescent="0.25">
      <c r="A86" s="214" t="s">
        <v>1284</v>
      </c>
      <c r="B86" s="64">
        <v>70.11</v>
      </c>
      <c r="C86" s="64">
        <v>0.77</v>
      </c>
      <c r="D86" s="64">
        <v>55.95</v>
      </c>
      <c r="E86" s="64">
        <v>6.19</v>
      </c>
      <c r="F86" s="64">
        <v>2.95</v>
      </c>
      <c r="G86" s="64">
        <v>179.97</v>
      </c>
      <c r="H86" s="64">
        <v>45.29</v>
      </c>
      <c r="I86" s="64">
        <v>0.1</v>
      </c>
      <c r="J86" s="64">
        <v>0.6</v>
      </c>
      <c r="K86" s="64">
        <v>108.05</v>
      </c>
      <c r="L86" s="64">
        <v>16.43</v>
      </c>
      <c r="M86" s="64">
        <v>67.22</v>
      </c>
      <c r="N86" s="64">
        <v>32.700000000000003</v>
      </c>
      <c r="O86" s="64">
        <v>0</v>
      </c>
      <c r="P86" s="64">
        <v>1.56</v>
      </c>
      <c r="Q86" s="64">
        <v>9.75</v>
      </c>
      <c r="R86" s="198"/>
      <c r="S86" s="198"/>
      <c r="T86" s="198"/>
      <c r="U86" s="198"/>
    </row>
    <row r="87" spans="1:26" s="12" customFormat="1" x14ac:dyDescent="0.25">
      <c r="A87" s="214" t="s">
        <v>1285</v>
      </c>
      <c r="B87" s="64">
        <v>82.04</v>
      </c>
      <c r="C87" s="6" t="s">
        <v>42</v>
      </c>
      <c r="D87" s="64">
        <v>62.26</v>
      </c>
      <c r="E87" s="64">
        <v>6.33</v>
      </c>
      <c r="F87" s="64">
        <v>2.81</v>
      </c>
      <c r="G87" s="64">
        <v>179.97</v>
      </c>
      <c r="H87" s="64">
        <v>45.29</v>
      </c>
      <c r="I87" s="64">
        <v>0.1</v>
      </c>
      <c r="J87" s="64">
        <v>0.69</v>
      </c>
      <c r="K87" s="64">
        <v>113.67</v>
      </c>
      <c r="L87" s="64">
        <v>16.149999999999999</v>
      </c>
      <c r="M87" s="64">
        <v>80.89</v>
      </c>
      <c r="N87" s="64">
        <v>32.5</v>
      </c>
      <c r="O87" s="64">
        <v>0</v>
      </c>
      <c r="P87" s="64">
        <v>1.69</v>
      </c>
      <c r="Q87" s="64">
        <v>9.77</v>
      </c>
      <c r="R87" s="198"/>
      <c r="S87" s="198"/>
      <c r="T87" s="198"/>
      <c r="U87" s="198"/>
    </row>
    <row r="88" spans="1:26" s="12" customFormat="1" x14ac:dyDescent="0.25">
      <c r="A88" s="214" t="s">
        <v>1286</v>
      </c>
      <c r="B88" s="64">
        <v>88.99</v>
      </c>
      <c r="C88" s="6" t="s">
        <v>42</v>
      </c>
      <c r="D88" s="64">
        <v>65.92</v>
      </c>
      <c r="E88" s="64">
        <v>6.72</v>
      </c>
      <c r="F88" s="64">
        <v>2.69</v>
      </c>
      <c r="G88" s="64">
        <v>190.22</v>
      </c>
      <c r="H88" s="64">
        <v>49.81</v>
      </c>
      <c r="I88" s="64">
        <v>0.1</v>
      </c>
      <c r="J88" s="64">
        <v>0.43</v>
      </c>
      <c r="K88" s="64">
        <v>117.15</v>
      </c>
      <c r="L88" s="64">
        <v>15.34</v>
      </c>
      <c r="M88" s="64">
        <v>71.099999999999994</v>
      </c>
      <c r="N88" s="64">
        <v>32.5</v>
      </c>
      <c r="O88" s="64">
        <v>0</v>
      </c>
      <c r="P88" s="64">
        <v>1.82</v>
      </c>
      <c r="Q88" s="64">
        <v>9.7899999999999991</v>
      </c>
      <c r="R88" s="198"/>
      <c r="S88" s="198"/>
      <c r="T88" s="198"/>
      <c r="U88" s="198"/>
    </row>
    <row r="89" spans="1:26" s="12" customFormat="1" x14ac:dyDescent="0.25">
      <c r="A89" s="214" t="s">
        <v>1287</v>
      </c>
      <c r="B89" s="64">
        <v>96.39</v>
      </c>
      <c r="C89" s="6" t="s">
        <v>42</v>
      </c>
      <c r="D89" s="64">
        <v>69.95</v>
      </c>
      <c r="E89" s="64">
        <v>6.61</v>
      </c>
      <c r="F89" s="64">
        <v>2.87</v>
      </c>
      <c r="G89" s="64">
        <v>231.24</v>
      </c>
      <c r="H89" s="64">
        <v>63.09</v>
      </c>
      <c r="I89" s="64">
        <v>0.1</v>
      </c>
      <c r="J89" s="64">
        <v>0.68</v>
      </c>
      <c r="K89" s="64">
        <v>281.86</v>
      </c>
      <c r="L89" s="64">
        <v>15.29</v>
      </c>
      <c r="M89" s="64">
        <v>70.5</v>
      </c>
      <c r="N89" s="64">
        <v>32.6</v>
      </c>
      <c r="O89" s="64">
        <v>0</v>
      </c>
      <c r="P89" s="64">
        <v>1.95</v>
      </c>
      <c r="Q89" s="64">
        <v>9.7899999999999991</v>
      </c>
      <c r="R89" s="198"/>
      <c r="S89" s="198"/>
      <c r="T89" s="198"/>
      <c r="U89" s="198"/>
    </row>
    <row r="90" spans="1:26" s="12" customFormat="1" x14ac:dyDescent="0.25">
      <c r="A90" s="214" t="s">
        <v>1288</v>
      </c>
      <c r="B90" s="64">
        <v>103.94</v>
      </c>
      <c r="C90" s="6" t="s">
        <v>42</v>
      </c>
      <c r="D90" s="64">
        <v>73.87</v>
      </c>
      <c r="E90" s="64">
        <v>6.59</v>
      </c>
      <c r="F90" s="64">
        <v>2.99</v>
      </c>
      <c r="G90" s="64">
        <v>231.24</v>
      </c>
      <c r="H90" s="64">
        <v>63.09</v>
      </c>
      <c r="I90" s="64">
        <v>0.1</v>
      </c>
      <c r="J90" s="64">
        <v>0.65</v>
      </c>
      <c r="K90" s="64">
        <v>306.3</v>
      </c>
      <c r="L90" s="64">
        <v>15.33</v>
      </c>
      <c r="M90" s="64">
        <v>70.44</v>
      </c>
      <c r="N90" s="64">
        <v>32.5</v>
      </c>
      <c r="O90" s="64">
        <v>0</v>
      </c>
      <c r="P90" s="64">
        <v>2.0699999999999998</v>
      </c>
      <c r="Q90" s="64">
        <v>9.7899999999999991</v>
      </c>
      <c r="R90" s="198"/>
      <c r="S90" s="198"/>
      <c r="T90" s="198"/>
      <c r="U90" s="198"/>
    </row>
    <row r="91" spans="1:26" s="12" customFormat="1" x14ac:dyDescent="0.25">
      <c r="A91" s="214" t="s">
        <v>1289</v>
      </c>
      <c r="B91" s="64">
        <v>114.66</v>
      </c>
      <c r="C91" s="6" t="s">
        <v>42</v>
      </c>
      <c r="D91" s="64">
        <v>79.63</v>
      </c>
      <c r="E91" s="64">
        <v>6.29</v>
      </c>
      <c r="F91" s="64">
        <v>2.84</v>
      </c>
      <c r="G91" s="64">
        <v>231.24</v>
      </c>
      <c r="H91" s="64">
        <v>63.09</v>
      </c>
      <c r="I91" s="64">
        <v>0.1</v>
      </c>
      <c r="J91" s="64">
        <v>0.64</v>
      </c>
      <c r="K91" s="64">
        <v>321.75</v>
      </c>
      <c r="L91" s="64">
        <v>15.23</v>
      </c>
      <c r="M91" s="64">
        <v>72.67</v>
      </c>
      <c r="N91" s="64">
        <v>32.6</v>
      </c>
      <c r="O91" s="64">
        <v>0</v>
      </c>
      <c r="P91" s="64">
        <v>2.23</v>
      </c>
      <c r="Q91" s="64">
        <v>9.82</v>
      </c>
      <c r="R91" s="198"/>
      <c r="S91" s="198"/>
      <c r="T91" s="198"/>
      <c r="U91" s="198"/>
    </row>
    <row r="92" spans="1:26" s="12" customFormat="1" x14ac:dyDescent="0.25">
      <c r="A92" s="214" t="s">
        <v>1290</v>
      </c>
      <c r="B92" s="64">
        <v>126.36</v>
      </c>
      <c r="C92" s="6" t="s">
        <v>42</v>
      </c>
      <c r="D92" s="64">
        <v>85.89</v>
      </c>
      <c r="E92" s="64">
        <v>6.86</v>
      </c>
      <c r="F92" s="64">
        <v>2.87</v>
      </c>
      <c r="G92" s="64">
        <v>230.61</v>
      </c>
      <c r="H92" s="64">
        <v>65.569999999999993</v>
      </c>
      <c r="I92" s="64">
        <v>0.1</v>
      </c>
      <c r="J92" s="64">
        <v>0.48</v>
      </c>
      <c r="K92" s="64">
        <v>133.44</v>
      </c>
      <c r="L92" s="64">
        <v>15.3</v>
      </c>
      <c r="M92" s="64">
        <v>72.77</v>
      </c>
      <c r="N92" s="64">
        <v>32.5</v>
      </c>
      <c r="O92" s="64">
        <v>0</v>
      </c>
      <c r="P92" s="64">
        <v>2.4</v>
      </c>
      <c r="Q92" s="64">
        <v>9.84</v>
      </c>
      <c r="R92" s="198"/>
      <c r="S92" s="198"/>
      <c r="T92" s="198"/>
      <c r="U92" s="198"/>
    </row>
    <row r="93" spans="1:26" s="12" customFormat="1" x14ac:dyDescent="0.25">
      <c r="A93" s="214" t="s">
        <v>1291</v>
      </c>
      <c r="B93" s="64">
        <v>137.31</v>
      </c>
      <c r="C93" s="6" t="s">
        <v>42</v>
      </c>
      <c r="D93" s="64">
        <v>91.74</v>
      </c>
      <c r="E93" s="64">
        <v>6.72</v>
      </c>
      <c r="F93" s="64">
        <v>2.96</v>
      </c>
      <c r="G93" s="64">
        <v>228.08</v>
      </c>
      <c r="H93" s="64">
        <v>72.849999999999994</v>
      </c>
      <c r="I93" s="64">
        <v>0.1</v>
      </c>
      <c r="J93" s="64">
        <v>0.33</v>
      </c>
      <c r="K93" s="64">
        <v>309.64</v>
      </c>
      <c r="L93" s="64">
        <v>15.09</v>
      </c>
      <c r="M93" s="64">
        <v>76.02</v>
      </c>
      <c r="N93" s="64">
        <v>32.6</v>
      </c>
      <c r="O93" s="64">
        <v>0</v>
      </c>
      <c r="P93" s="64">
        <v>2.56</v>
      </c>
      <c r="Q93" s="64">
        <v>9.86</v>
      </c>
      <c r="R93" s="198"/>
      <c r="S93" s="198"/>
      <c r="T93" s="198"/>
      <c r="U93" s="198"/>
    </row>
    <row r="94" spans="1:26" s="12" customFormat="1" x14ac:dyDescent="0.25">
      <c r="A94" s="214" t="s">
        <v>1292</v>
      </c>
      <c r="B94" s="64">
        <v>151.15</v>
      </c>
      <c r="C94" s="6" t="s">
        <v>42</v>
      </c>
      <c r="D94" s="64">
        <v>99.27</v>
      </c>
      <c r="E94" s="64">
        <v>7.2</v>
      </c>
      <c r="F94" s="64">
        <v>2.74</v>
      </c>
      <c r="G94" s="64">
        <v>228.08</v>
      </c>
      <c r="H94" s="64">
        <v>72.849999999999994</v>
      </c>
      <c r="I94" s="64">
        <v>0.1</v>
      </c>
      <c r="J94" s="64">
        <v>0.14000000000000001</v>
      </c>
      <c r="K94" s="64">
        <v>28.32</v>
      </c>
      <c r="L94" s="64">
        <v>14.79</v>
      </c>
      <c r="M94" s="64">
        <v>76.8</v>
      </c>
      <c r="N94" s="64">
        <v>32.799999999999997</v>
      </c>
      <c r="O94" s="64">
        <v>0</v>
      </c>
      <c r="P94" s="64">
        <v>2.76</v>
      </c>
      <c r="Q94" s="64">
        <v>9.8800000000000008</v>
      </c>
      <c r="R94" s="198"/>
      <c r="S94" s="198"/>
      <c r="T94" s="198"/>
      <c r="U94" s="198"/>
    </row>
    <row r="95" spans="1:26" s="12" customFormat="1" x14ac:dyDescent="0.25">
      <c r="A95" s="214" t="s">
        <v>1293</v>
      </c>
      <c r="B95" s="64">
        <v>162.9</v>
      </c>
      <c r="C95" s="6" t="s">
        <v>42</v>
      </c>
      <c r="D95" s="64">
        <v>105.43</v>
      </c>
      <c r="E95" s="64">
        <v>7.21</v>
      </c>
      <c r="F95" s="64">
        <v>2.93</v>
      </c>
      <c r="G95" s="64">
        <v>228.08</v>
      </c>
      <c r="H95" s="64">
        <v>72.849999999999994</v>
      </c>
      <c r="I95" s="64">
        <v>0.1</v>
      </c>
      <c r="J95" s="64">
        <v>0.5</v>
      </c>
      <c r="K95" s="64">
        <v>330.88</v>
      </c>
      <c r="L95" s="64">
        <v>14.67</v>
      </c>
      <c r="M95" s="64">
        <v>82.29</v>
      </c>
      <c r="N95" s="64">
        <v>32.6</v>
      </c>
      <c r="O95" s="64">
        <v>0</v>
      </c>
      <c r="P95" s="64">
        <v>2.96</v>
      </c>
      <c r="Q95" s="64">
        <v>9.91</v>
      </c>
      <c r="R95" s="198"/>
      <c r="S95" s="198"/>
      <c r="T95" s="198"/>
      <c r="U95" s="198"/>
    </row>
    <row r="96" spans="1:26" s="12" customFormat="1" x14ac:dyDescent="0.25">
      <c r="A96" s="214" t="s">
        <v>1294</v>
      </c>
      <c r="B96" s="64">
        <v>175.54</v>
      </c>
      <c r="C96" s="6" t="s">
        <v>42</v>
      </c>
      <c r="D96" s="64">
        <v>112.05</v>
      </c>
      <c r="E96" s="64">
        <v>7.47</v>
      </c>
      <c r="F96" s="64">
        <v>3.28</v>
      </c>
      <c r="G96" s="64">
        <v>233.55</v>
      </c>
      <c r="H96" s="64">
        <v>76.75</v>
      </c>
      <c r="I96" s="64">
        <v>0.1</v>
      </c>
      <c r="J96" s="64">
        <v>0.41</v>
      </c>
      <c r="K96" s="64">
        <v>103.28</v>
      </c>
      <c r="L96" s="64">
        <v>14.61</v>
      </c>
      <c r="M96" s="64">
        <v>82.46</v>
      </c>
      <c r="N96" s="64">
        <v>32.6</v>
      </c>
      <c r="O96" s="64">
        <v>0</v>
      </c>
      <c r="P96" s="64">
        <v>3.22</v>
      </c>
      <c r="Q96" s="64">
        <v>9.93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1295</v>
      </c>
      <c r="B97" s="64">
        <v>181.49</v>
      </c>
      <c r="C97" s="6" t="s">
        <v>42</v>
      </c>
      <c r="D97" s="64">
        <v>115.29</v>
      </c>
      <c r="E97" s="64">
        <v>7.51</v>
      </c>
      <c r="F97" s="64">
        <v>3.16</v>
      </c>
      <c r="G97" s="64">
        <v>255.44</v>
      </c>
      <c r="H97" s="64">
        <v>96.25</v>
      </c>
      <c r="I97" s="64">
        <v>0.1</v>
      </c>
      <c r="J97" s="64">
        <v>0.71</v>
      </c>
      <c r="K97" s="64">
        <v>315.54000000000002</v>
      </c>
      <c r="L97" s="64">
        <v>14.39</v>
      </c>
      <c r="M97" s="64">
        <v>75.33</v>
      </c>
      <c r="N97" s="64">
        <v>32.700000000000003</v>
      </c>
      <c r="O97" s="64">
        <v>0</v>
      </c>
      <c r="P97" s="64">
        <v>3.41</v>
      </c>
      <c r="Q97" s="64">
        <v>9.94</v>
      </c>
      <c r="R97" s="198"/>
      <c r="S97" s="198"/>
      <c r="T97" s="198"/>
      <c r="U97" s="198"/>
    </row>
    <row r="98" spans="1:33" s="12" customFormat="1" x14ac:dyDescent="0.25">
      <c r="A98" s="214" t="s">
        <v>1296</v>
      </c>
      <c r="B98" s="64">
        <v>183.86</v>
      </c>
      <c r="C98" s="6" t="s">
        <v>42</v>
      </c>
      <c r="D98" s="64">
        <v>116.59</v>
      </c>
      <c r="E98" s="64">
        <v>7.46</v>
      </c>
      <c r="F98" s="64">
        <v>3</v>
      </c>
      <c r="G98" s="64">
        <v>255.44</v>
      </c>
      <c r="H98" s="64">
        <v>96.25</v>
      </c>
      <c r="I98" s="64">
        <v>0.1</v>
      </c>
      <c r="J98" s="64">
        <v>0.03</v>
      </c>
      <c r="K98" s="64">
        <v>12.06</v>
      </c>
      <c r="L98" s="64">
        <v>14.31</v>
      </c>
      <c r="M98" s="64">
        <v>73.430000000000007</v>
      </c>
      <c r="N98" s="64">
        <v>32.5</v>
      </c>
      <c r="O98" s="64">
        <v>0</v>
      </c>
      <c r="P98" s="64">
        <v>3.51</v>
      </c>
      <c r="Q98" s="64">
        <v>9.9600000000000009</v>
      </c>
      <c r="R98" s="198"/>
      <c r="S98" s="198"/>
      <c r="T98" s="198"/>
      <c r="U98" s="198"/>
    </row>
    <row r="99" spans="1:33" s="12" customFormat="1" x14ac:dyDescent="0.25">
      <c r="A99" s="214" t="s">
        <v>1297</v>
      </c>
      <c r="B99" s="64">
        <v>184.49</v>
      </c>
      <c r="C99" s="6" t="s">
        <v>42</v>
      </c>
      <c r="D99" s="64">
        <v>117.04</v>
      </c>
      <c r="E99" s="64">
        <v>7.74</v>
      </c>
      <c r="F99" s="64">
        <v>2.74</v>
      </c>
      <c r="G99" s="64">
        <v>255.44</v>
      </c>
      <c r="H99" s="64">
        <v>96.25</v>
      </c>
      <c r="I99" s="64">
        <v>0.1</v>
      </c>
      <c r="J99" s="64">
        <v>0.7</v>
      </c>
      <c r="K99" s="64">
        <v>316.64999999999998</v>
      </c>
      <c r="L99" s="64">
        <v>14.2</v>
      </c>
      <c r="M99" s="64">
        <v>75.959999999999994</v>
      </c>
      <c r="N99" s="64">
        <v>32.700000000000003</v>
      </c>
      <c r="O99" s="64">
        <v>0</v>
      </c>
      <c r="P99" s="64">
        <v>3.57</v>
      </c>
      <c r="Q99" s="64">
        <v>9.9700000000000006</v>
      </c>
      <c r="R99" s="198"/>
      <c r="S99" s="198"/>
      <c r="T99" s="198"/>
      <c r="U99" s="198"/>
    </row>
    <row r="100" spans="1:33" s="12" customFormat="1" x14ac:dyDescent="0.25">
      <c r="A100" s="214" t="s">
        <v>1298</v>
      </c>
      <c r="B100" s="64">
        <v>185.21</v>
      </c>
      <c r="C100" s="6" t="s">
        <v>42</v>
      </c>
      <c r="D100" s="64">
        <v>117.37</v>
      </c>
      <c r="E100" s="64">
        <v>7.6</v>
      </c>
      <c r="F100" s="64">
        <v>3</v>
      </c>
      <c r="G100" s="64">
        <v>242.69</v>
      </c>
      <c r="H100" s="64">
        <v>93.42</v>
      </c>
      <c r="I100" s="64">
        <v>0.1</v>
      </c>
      <c r="J100" s="64">
        <v>0.1</v>
      </c>
      <c r="K100" s="64">
        <v>217.8</v>
      </c>
      <c r="L100" s="64">
        <v>14</v>
      </c>
      <c r="M100" s="64">
        <v>80.39</v>
      </c>
      <c r="N100" s="64">
        <v>32.700000000000003</v>
      </c>
      <c r="O100" s="64">
        <v>0</v>
      </c>
      <c r="P100" s="64">
        <v>3.62</v>
      </c>
      <c r="Q100" s="64">
        <v>9.9600000000000009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1299</v>
      </c>
      <c r="B101" s="64">
        <v>183.67</v>
      </c>
      <c r="C101" s="6" t="s">
        <v>42</v>
      </c>
      <c r="D101" s="64">
        <v>116.33</v>
      </c>
      <c r="E101" s="64">
        <v>7.83</v>
      </c>
      <c r="F101" s="64">
        <v>3.45</v>
      </c>
      <c r="G101" s="64">
        <v>191.67</v>
      </c>
      <c r="H101" s="64">
        <v>85.57</v>
      </c>
      <c r="I101" s="64">
        <v>0.1</v>
      </c>
      <c r="J101" s="64">
        <v>0.73</v>
      </c>
      <c r="K101" s="64">
        <v>282.66000000000003</v>
      </c>
      <c r="L101" s="64">
        <v>13.85</v>
      </c>
      <c r="M101" s="64">
        <v>77.209999999999994</v>
      </c>
      <c r="N101" s="64">
        <v>32.799999999999997</v>
      </c>
      <c r="O101" s="64">
        <v>0</v>
      </c>
      <c r="P101" s="64">
        <v>3.63</v>
      </c>
      <c r="Q101" s="64">
        <v>9.9700000000000006</v>
      </c>
      <c r="R101" s="198"/>
      <c r="S101" s="198"/>
      <c r="T101" s="198"/>
      <c r="U101" s="198"/>
    </row>
    <row r="102" spans="1:33" s="12" customFormat="1" x14ac:dyDescent="0.25">
      <c r="A102" s="214" t="s">
        <v>1300</v>
      </c>
      <c r="B102" s="64">
        <v>178.85</v>
      </c>
      <c r="C102" s="6" t="s">
        <v>42</v>
      </c>
      <c r="D102" s="64">
        <v>113.34</v>
      </c>
      <c r="E102" s="64">
        <v>7.7</v>
      </c>
      <c r="F102" s="64">
        <v>3.52</v>
      </c>
      <c r="G102" s="64">
        <v>191.67</v>
      </c>
      <c r="H102" s="64">
        <v>85.57</v>
      </c>
      <c r="I102" s="64">
        <v>0.1</v>
      </c>
      <c r="J102" s="64">
        <v>0.71</v>
      </c>
      <c r="K102" s="64">
        <v>294.16000000000003</v>
      </c>
      <c r="L102" s="64">
        <v>13.63</v>
      </c>
      <c r="M102" s="64">
        <v>73.37</v>
      </c>
      <c r="N102" s="64">
        <v>32.799999999999997</v>
      </c>
      <c r="O102" s="64">
        <v>0</v>
      </c>
      <c r="P102" s="64">
        <v>3.57</v>
      </c>
      <c r="Q102" s="64">
        <v>9.9600000000000009</v>
      </c>
      <c r="R102" s="198"/>
      <c r="S102" s="198"/>
      <c r="T102" s="198"/>
      <c r="U102" s="198"/>
    </row>
    <row r="103" spans="1:33" s="12" customFormat="1" x14ac:dyDescent="0.25">
      <c r="A103" s="214" t="s">
        <v>1301</v>
      </c>
      <c r="B103" s="64">
        <v>173.76</v>
      </c>
      <c r="C103" s="6" t="s">
        <v>42</v>
      </c>
      <c r="D103" s="64">
        <v>110.27</v>
      </c>
      <c r="E103" s="64">
        <v>7.91</v>
      </c>
      <c r="F103" s="64">
        <v>3.66</v>
      </c>
      <c r="G103" s="64">
        <v>191.67</v>
      </c>
      <c r="H103" s="64">
        <v>85.57</v>
      </c>
      <c r="I103" s="64">
        <v>0.1</v>
      </c>
      <c r="J103" s="64">
        <v>0.54</v>
      </c>
      <c r="K103" s="64">
        <v>317.54000000000002</v>
      </c>
      <c r="L103" s="64">
        <v>13.47</v>
      </c>
      <c r="M103" s="64">
        <v>71.62</v>
      </c>
      <c r="N103" s="64">
        <v>32.700000000000003</v>
      </c>
      <c r="O103" s="64">
        <v>0</v>
      </c>
      <c r="P103" s="64">
        <v>3.5</v>
      </c>
      <c r="Q103" s="64">
        <v>9.9499999999999993</v>
      </c>
      <c r="R103" s="198"/>
      <c r="S103" s="198"/>
      <c r="T103" s="198"/>
      <c r="U103" s="198"/>
    </row>
    <row r="104" spans="1:33" s="12" customFormat="1" x14ac:dyDescent="0.25">
      <c r="A104" s="214" t="s">
        <v>1302</v>
      </c>
      <c r="B104" s="64">
        <v>170.37</v>
      </c>
      <c r="C104" s="6" t="s">
        <v>42</v>
      </c>
      <c r="D104" s="64">
        <v>107.8</v>
      </c>
      <c r="E104" s="64">
        <v>6.01</v>
      </c>
      <c r="F104" s="64">
        <v>3.59</v>
      </c>
      <c r="G104" s="64">
        <v>175.88</v>
      </c>
      <c r="H104" s="64">
        <v>80.5</v>
      </c>
      <c r="I104" s="64">
        <v>0.1</v>
      </c>
      <c r="J104" s="64">
        <v>0.76</v>
      </c>
      <c r="K104" s="64">
        <v>123.09</v>
      </c>
      <c r="L104" s="64">
        <v>13.26</v>
      </c>
      <c r="M104" s="64">
        <v>72.06</v>
      </c>
      <c r="N104" s="64">
        <v>32.6</v>
      </c>
      <c r="O104" s="64">
        <v>0</v>
      </c>
      <c r="P104" s="64">
        <v>3.39</v>
      </c>
      <c r="Q104" s="64">
        <v>9.94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6.83</v>
      </c>
      <c r="C106" s="67">
        <f>MIN(C9:C104)</f>
        <v>0.02</v>
      </c>
      <c r="D106" s="67">
        <f t="shared" ref="D106:Q106" si="0">MIN(D9:D104)</f>
        <v>17.420000000000002</v>
      </c>
      <c r="E106" s="67">
        <f t="shared" si="0"/>
        <v>4.42</v>
      </c>
      <c r="F106" s="67">
        <f t="shared" si="0"/>
        <v>2.35</v>
      </c>
      <c r="G106" s="67">
        <f t="shared" si="0"/>
        <v>21.1</v>
      </c>
      <c r="H106" s="67">
        <f t="shared" si="0"/>
        <v>14</v>
      </c>
      <c r="I106" s="67">
        <f t="shared" si="0"/>
        <v>0.1</v>
      </c>
      <c r="J106" s="67">
        <f t="shared" si="0"/>
        <v>0.03</v>
      </c>
      <c r="K106" s="67">
        <f t="shared" si="0"/>
        <v>7.5</v>
      </c>
      <c r="L106" s="67">
        <f t="shared" si="0"/>
        <v>9.5299999999999994</v>
      </c>
      <c r="M106" s="67">
        <f t="shared" si="0"/>
        <v>14.15</v>
      </c>
      <c r="N106" s="67">
        <f t="shared" si="0"/>
        <v>31.7</v>
      </c>
      <c r="O106" s="67">
        <f t="shared" si="0"/>
        <v>0</v>
      </c>
      <c r="P106" s="67">
        <f t="shared" si="0"/>
        <v>0.71</v>
      </c>
      <c r="Q106" s="67">
        <f t="shared" si="0"/>
        <v>9.61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185.21</v>
      </c>
      <c r="C107" s="66">
        <f t="shared" ref="C107:Q107" si="1">MAX(C9:C104)</f>
        <v>36.06</v>
      </c>
      <c r="D107" s="66">
        <f t="shared" si="1"/>
        <v>117.37</v>
      </c>
      <c r="E107" s="66">
        <f t="shared" si="1"/>
        <v>17.53</v>
      </c>
      <c r="F107" s="66">
        <f t="shared" si="1"/>
        <v>13.57</v>
      </c>
      <c r="G107" s="66">
        <f t="shared" si="1"/>
        <v>255.44</v>
      </c>
      <c r="H107" s="66">
        <f t="shared" si="1"/>
        <v>97.92</v>
      </c>
      <c r="I107" s="66">
        <f t="shared" si="1"/>
        <v>0.1</v>
      </c>
      <c r="J107" s="66">
        <f t="shared" si="1"/>
        <v>2.0099999999999998</v>
      </c>
      <c r="K107" s="66">
        <f t="shared" si="1"/>
        <v>352.96</v>
      </c>
      <c r="L107" s="66">
        <f t="shared" si="1"/>
        <v>27.28</v>
      </c>
      <c r="M107" s="66">
        <f t="shared" si="1"/>
        <v>98.83</v>
      </c>
      <c r="N107" s="66">
        <f t="shared" si="1"/>
        <v>572.70000000000005</v>
      </c>
      <c r="O107" s="66">
        <f t="shared" si="1"/>
        <v>0</v>
      </c>
      <c r="P107" s="66">
        <f t="shared" si="1"/>
        <v>4.41</v>
      </c>
      <c r="Q107" s="66">
        <f t="shared" si="1"/>
        <v>9.9700000000000006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79.608541666666639</v>
      </c>
      <c r="C108" s="67">
        <f t="shared" ref="C108:Q108" si="2">AVERAGE(C9:C104)</f>
        <v>19.319772727272724</v>
      </c>
      <c r="D108" s="67">
        <f t="shared" si="2"/>
        <v>59.010208333333345</v>
      </c>
      <c r="E108" s="67">
        <f t="shared" si="2"/>
        <v>6.51291666666667</v>
      </c>
      <c r="F108" s="67">
        <f t="shared" si="2"/>
        <v>3.9428124999999992</v>
      </c>
      <c r="G108" s="67">
        <f t="shared" si="2"/>
        <v>131.50906249999994</v>
      </c>
      <c r="H108" s="67">
        <f t="shared" si="2"/>
        <v>53.709270833333335</v>
      </c>
      <c r="I108" s="67">
        <f t="shared" si="2"/>
        <v>9.9999999999999811E-2</v>
      </c>
      <c r="J108" s="67">
        <f t="shared" si="2"/>
        <v>0.63093750000000004</v>
      </c>
      <c r="K108" s="67">
        <f t="shared" si="2"/>
        <v>203.66406250000009</v>
      </c>
      <c r="L108" s="67">
        <f t="shared" si="2"/>
        <v>17.360520833333336</v>
      </c>
      <c r="M108" s="67">
        <f t="shared" si="2"/>
        <v>58.447708333333367</v>
      </c>
      <c r="N108" s="67">
        <f t="shared" si="2"/>
        <v>153.50000000000006</v>
      </c>
      <c r="O108" s="67">
        <f t="shared" si="2"/>
        <v>0</v>
      </c>
      <c r="P108" s="67">
        <f t="shared" si="2"/>
        <v>2.1659374999999992</v>
      </c>
      <c r="Q108" s="67">
        <f t="shared" si="2"/>
        <v>9.7629166666666709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56.463127138619733</v>
      </c>
      <c r="C109" s="67">
        <f t="shared" ref="C109:Q109" si="3">STDEV(C9:C104)</f>
        <v>9.1969252922303841</v>
      </c>
      <c r="D109" s="67">
        <f t="shared" si="3"/>
        <v>29.956633602563606</v>
      </c>
      <c r="E109" s="67">
        <f t="shared" si="3"/>
        <v>2.1028501544165685</v>
      </c>
      <c r="F109" s="67">
        <f t="shared" si="3"/>
        <v>2.2863773704844004</v>
      </c>
      <c r="G109" s="67">
        <f t="shared" si="3"/>
        <v>69.797063052042574</v>
      </c>
      <c r="H109" s="67">
        <f t="shared" si="3"/>
        <v>26.16397721435418</v>
      </c>
      <c r="I109" s="67">
        <f t="shared" si="3"/>
        <v>1.9530892623466312E-16</v>
      </c>
      <c r="J109" s="67">
        <f t="shared" si="3"/>
        <v>0.3568785083706249</v>
      </c>
      <c r="K109" s="67">
        <f t="shared" si="3"/>
        <v>97.021507952760615</v>
      </c>
      <c r="L109" s="67">
        <f t="shared" si="3"/>
        <v>5.5682622007591815</v>
      </c>
      <c r="M109" s="67">
        <f t="shared" si="3"/>
        <v>28.30395837963545</v>
      </c>
      <c r="N109" s="67">
        <f t="shared" si="3"/>
        <v>194.22331368542581</v>
      </c>
      <c r="O109" s="67">
        <f t="shared" si="3"/>
        <v>0</v>
      </c>
      <c r="P109" s="67">
        <f t="shared" si="3"/>
        <v>0.97369029781169891</v>
      </c>
      <c r="Q109" s="67">
        <f t="shared" si="3"/>
        <v>0.10735005862932388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COUNT(C9:C104)+52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0" sqref="P110: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1303</v>
      </c>
      <c r="B9" s="64">
        <v>165.57</v>
      </c>
      <c r="C9" s="6" t="s">
        <v>42</v>
      </c>
      <c r="D9" s="64">
        <v>104.78</v>
      </c>
      <c r="E9" s="64">
        <v>6.44</v>
      </c>
      <c r="F9" s="64">
        <v>3.28</v>
      </c>
      <c r="G9" s="64">
        <v>112.72</v>
      </c>
      <c r="H9" s="64">
        <v>65.569999999999993</v>
      </c>
      <c r="I9" s="64">
        <v>0.1</v>
      </c>
      <c r="J9" s="64">
        <v>0.21</v>
      </c>
      <c r="K9" s="64">
        <v>167.48</v>
      </c>
      <c r="L9" s="64">
        <v>13.15</v>
      </c>
      <c r="M9" s="64">
        <v>75.819999999999993</v>
      </c>
      <c r="N9" s="64">
        <v>32.6</v>
      </c>
      <c r="O9" s="64">
        <v>0</v>
      </c>
      <c r="P9" s="64">
        <v>3.27</v>
      </c>
      <c r="Q9" s="64">
        <v>9.93</v>
      </c>
      <c r="R9" s="198"/>
      <c r="S9" s="198"/>
      <c r="T9" s="198"/>
      <c r="U9" s="198"/>
    </row>
    <row r="10" spans="1:21" s="12" customFormat="1" x14ac:dyDescent="0.25">
      <c r="A10" s="214" t="s">
        <v>1304</v>
      </c>
      <c r="B10" s="64">
        <v>159.47</v>
      </c>
      <c r="C10" s="6" t="s">
        <v>42</v>
      </c>
      <c r="D10" s="64">
        <v>101.32</v>
      </c>
      <c r="E10" s="64">
        <v>6.26</v>
      </c>
      <c r="F10" s="64">
        <v>3.25</v>
      </c>
      <c r="G10" s="64">
        <v>112.72</v>
      </c>
      <c r="H10" s="64">
        <v>65.569999999999993</v>
      </c>
      <c r="I10" s="64">
        <v>0.1</v>
      </c>
      <c r="J10" s="64">
        <v>0.31</v>
      </c>
      <c r="K10" s="64">
        <v>244.87</v>
      </c>
      <c r="L10" s="64">
        <v>13.31</v>
      </c>
      <c r="M10" s="64">
        <v>67.459999999999994</v>
      </c>
      <c r="N10" s="64">
        <v>32.200000000000003</v>
      </c>
      <c r="O10" s="64">
        <v>0</v>
      </c>
      <c r="P10" s="64">
        <v>3.14</v>
      </c>
      <c r="Q10" s="64">
        <v>9.92</v>
      </c>
      <c r="R10" s="198"/>
      <c r="S10" s="198"/>
      <c r="T10" s="198"/>
      <c r="U10" s="198"/>
    </row>
    <row r="11" spans="1:21" s="12" customFormat="1" x14ac:dyDescent="0.25">
      <c r="A11" s="214" t="s">
        <v>1305</v>
      </c>
      <c r="B11" s="64">
        <v>152.28</v>
      </c>
      <c r="C11" s="6" t="s">
        <v>42</v>
      </c>
      <c r="D11" s="64">
        <v>97.16</v>
      </c>
      <c r="E11" s="64">
        <v>5.94</v>
      </c>
      <c r="F11" s="64">
        <v>3.13</v>
      </c>
      <c r="G11" s="64">
        <v>112.72</v>
      </c>
      <c r="H11" s="64">
        <v>65.569999999999993</v>
      </c>
      <c r="I11" s="64">
        <v>0.1</v>
      </c>
      <c r="J11" s="64">
        <v>0.27</v>
      </c>
      <c r="K11" s="64">
        <v>1.43</v>
      </c>
      <c r="L11" s="64">
        <v>13.31</v>
      </c>
      <c r="M11" s="64">
        <v>67.13</v>
      </c>
      <c r="N11" s="64">
        <v>32.799999999999997</v>
      </c>
      <c r="O11" s="64">
        <v>0</v>
      </c>
      <c r="P11" s="64">
        <v>3.01</v>
      </c>
      <c r="Q11" s="64">
        <v>9.91</v>
      </c>
      <c r="R11" s="198"/>
      <c r="S11" s="198"/>
      <c r="T11" s="198"/>
      <c r="U11" s="198"/>
    </row>
    <row r="12" spans="1:21" s="12" customFormat="1" x14ac:dyDescent="0.25">
      <c r="A12" s="214" t="s">
        <v>1306</v>
      </c>
      <c r="B12" s="64">
        <v>144.12</v>
      </c>
      <c r="C12" s="6" t="s">
        <v>42</v>
      </c>
      <c r="D12" s="64">
        <v>92.6</v>
      </c>
      <c r="E12" s="64">
        <v>5.94</v>
      </c>
      <c r="F12" s="64">
        <v>2.99</v>
      </c>
      <c r="G12" s="64">
        <v>110.25</v>
      </c>
      <c r="H12" s="64">
        <v>60.56</v>
      </c>
      <c r="I12" s="64">
        <v>0.1</v>
      </c>
      <c r="J12" s="64">
        <v>0.73</v>
      </c>
      <c r="K12" s="64">
        <v>309.02</v>
      </c>
      <c r="L12" s="64">
        <v>12.86</v>
      </c>
      <c r="M12" s="64">
        <v>74.489999999999995</v>
      </c>
      <c r="N12" s="64">
        <v>32.9</v>
      </c>
      <c r="O12" s="64">
        <v>0</v>
      </c>
      <c r="P12" s="64">
        <v>2.88</v>
      </c>
      <c r="Q12" s="64">
        <v>9.89</v>
      </c>
      <c r="R12" s="198"/>
      <c r="S12" s="198"/>
      <c r="T12" s="198"/>
      <c r="U12" s="198"/>
    </row>
    <row r="13" spans="1:21" s="12" customFormat="1" x14ac:dyDescent="0.25">
      <c r="A13" s="214" t="s">
        <v>1307</v>
      </c>
      <c r="B13" s="64">
        <v>136.69</v>
      </c>
      <c r="C13" s="6" t="s">
        <v>42</v>
      </c>
      <c r="D13" s="64">
        <v>88.47</v>
      </c>
      <c r="E13" s="64">
        <v>5.65</v>
      </c>
      <c r="F13" s="64">
        <v>3.1</v>
      </c>
      <c r="G13" s="64">
        <v>100.36</v>
      </c>
      <c r="H13" s="64">
        <v>45.82</v>
      </c>
      <c r="I13" s="64">
        <v>0.1</v>
      </c>
      <c r="J13" s="64">
        <v>0.31</v>
      </c>
      <c r="K13" s="64">
        <v>197.74</v>
      </c>
      <c r="L13" s="64">
        <v>12.52</v>
      </c>
      <c r="M13" s="64">
        <v>79.97</v>
      </c>
      <c r="N13" s="64">
        <v>32.9</v>
      </c>
      <c r="O13" s="64">
        <v>0</v>
      </c>
      <c r="P13" s="64">
        <v>2.52</v>
      </c>
      <c r="Q13" s="64">
        <v>9.8699999999999992</v>
      </c>
      <c r="R13" s="198"/>
      <c r="S13" s="198"/>
      <c r="T13" s="198"/>
      <c r="U13" s="198"/>
    </row>
    <row r="14" spans="1:21" s="12" customFormat="1" x14ac:dyDescent="0.25">
      <c r="A14" s="214" t="s">
        <v>1308</v>
      </c>
      <c r="B14" s="64">
        <v>129.38</v>
      </c>
      <c r="C14" s="6" t="s">
        <v>42</v>
      </c>
      <c r="D14" s="64">
        <v>84.39</v>
      </c>
      <c r="E14" s="64">
        <v>5.72</v>
      </c>
      <c r="F14" s="64">
        <v>2.9</v>
      </c>
      <c r="G14" s="64">
        <v>100.36</v>
      </c>
      <c r="H14" s="64">
        <v>45.82</v>
      </c>
      <c r="I14" s="64">
        <v>0.1</v>
      </c>
      <c r="J14" s="64">
        <v>0.36</v>
      </c>
      <c r="K14" s="64">
        <v>184.55</v>
      </c>
      <c r="L14" s="64">
        <v>12.32</v>
      </c>
      <c r="M14" s="64">
        <v>83.66</v>
      </c>
      <c r="N14" s="64">
        <v>32.700000000000003</v>
      </c>
      <c r="O14" s="64">
        <v>0</v>
      </c>
      <c r="P14" s="64">
        <v>2.56</v>
      </c>
      <c r="Q14" s="64">
        <v>9.85</v>
      </c>
      <c r="R14" s="198"/>
      <c r="S14" s="198"/>
      <c r="T14" s="198"/>
      <c r="U14" s="198"/>
    </row>
    <row r="15" spans="1:21" s="12" customFormat="1" x14ac:dyDescent="0.25">
      <c r="A15" s="214" t="s">
        <v>1309</v>
      </c>
      <c r="B15" s="64">
        <v>122.13</v>
      </c>
      <c r="C15" s="6" t="s">
        <v>42</v>
      </c>
      <c r="D15" s="64">
        <v>80.37</v>
      </c>
      <c r="E15" s="64">
        <v>5.65</v>
      </c>
      <c r="F15" s="64">
        <v>2.89</v>
      </c>
      <c r="G15" s="64">
        <v>100.36</v>
      </c>
      <c r="H15" s="64">
        <v>45.82</v>
      </c>
      <c r="I15" s="64">
        <v>0.1</v>
      </c>
      <c r="J15" s="64">
        <v>0.73</v>
      </c>
      <c r="K15" s="64">
        <v>137.88</v>
      </c>
      <c r="L15" s="64">
        <v>12.19</v>
      </c>
      <c r="M15" s="64">
        <v>86.92</v>
      </c>
      <c r="N15" s="64">
        <v>32.5</v>
      </c>
      <c r="O15" s="64">
        <v>0</v>
      </c>
      <c r="P15" s="64">
        <v>2.4500000000000002</v>
      </c>
      <c r="Q15" s="64">
        <v>9.86</v>
      </c>
      <c r="R15" s="198"/>
      <c r="S15" s="198"/>
      <c r="T15" s="198"/>
      <c r="U15" s="198"/>
    </row>
    <row r="16" spans="1:21" s="12" customFormat="1" x14ac:dyDescent="0.25">
      <c r="A16" s="214" t="s">
        <v>1310</v>
      </c>
      <c r="B16" s="64">
        <v>115.29</v>
      </c>
      <c r="C16" s="6" t="s">
        <v>42</v>
      </c>
      <c r="D16" s="64">
        <v>76.72</v>
      </c>
      <c r="E16" s="64">
        <v>5.37</v>
      </c>
      <c r="F16" s="64">
        <v>3.09</v>
      </c>
      <c r="G16" s="64">
        <v>94.21</v>
      </c>
      <c r="H16" s="64">
        <v>45.26</v>
      </c>
      <c r="I16" s="64">
        <v>0.1</v>
      </c>
      <c r="J16" s="64">
        <v>0.36</v>
      </c>
      <c r="K16" s="64">
        <v>64.91</v>
      </c>
      <c r="L16" s="64">
        <v>12.11</v>
      </c>
      <c r="M16" s="64">
        <v>87.91</v>
      </c>
      <c r="N16" s="64">
        <v>32.700000000000003</v>
      </c>
      <c r="O16" s="64">
        <v>0</v>
      </c>
      <c r="P16" s="64">
        <v>2.36</v>
      </c>
      <c r="Q16" s="64">
        <v>9.82</v>
      </c>
      <c r="R16" s="198"/>
      <c r="S16" s="198"/>
      <c r="T16" s="198"/>
      <c r="U16" s="198"/>
    </row>
    <row r="17" spans="1:21" s="12" customFormat="1" x14ac:dyDescent="0.25">
      <c r="A17" s="214" t="s">
        <v>1311</v>
      </c>
      <c r="B17" s="64">
        <v>109.06</v>
      </c>
      <c r="C17" s="6" t="s">
        <v>42</v>
      </c>
      <c r="D17" s="64">
        <v>73.19</v>
      </c>
      <c r="E17" s="64">
        <v>5.13</v>
      </c>
      <c r="F17" s="64">
        <v>3.25</v>
      </c>
      <c r="G17" s="64">
        <v>69.63</v>
      </c>
      <c r="H17" s="64">
        <v>42.73</v>
      </c>
      <c r="I17" s="64">
        <v>0.1</v>
      </c>
      <c r="J17" s="64">
        <v>0.3</v>
      </c>
      <c r="K17" s="64">
        <v>299.42</v>
      </c>
      <c r="L17" s="64">
        <v>12.23</v>
      </c>
      <c r="M17" s="64">
        <v>91.43</v>
      </c>
      <c r="N17" s="64">
        <v>32.4</v>
      </c>
      <c r="O17" s="64">
        <v>0</v>
      </c>
      <c r="P17" s="64">
        <v>2.31</v>
      </c>
      <c r="Q17" s="64">
        <v>9.81</v>
      </c>
      <c r="R17" s="198"/>
      <c r="S17" s="198"/>
      <c r="T17" s="198"/>
      <c r="U17" s="198"/>
    </row>
    <row r="18" spans="1:21" s="12" customFormat="1" x14ac:dyDescent="0.25">
      <c r="A18" s="214" t="s">
        <v>1312</v>
      </c>
      <c r="B18" s="64">
        <v>103.22</v>
      </c>
      <c r="C18" s="6" t="s">
        <v>42</v>
      </c>
      <c r="D18" s="64">
        <v>70.17</v>
      </c>
      <c r="E18" s="64">
        <v>5.29</v>
      </c>
      <c r="F18" s="64">
        <v>3.26</v>
      </c>
      <c r="G18" s="64">
        <v>69.63</v>
      </c>
      <c r="H18" s="64">
        <v>42.73</v>
      </c>
      <c r="I18" s="64">
        <v>0.1</v>
      </c>
      <c r="J18" s="64">
        <v>0.33</v>
      </c>
      <c r="K18" s="64">
        <v>174.87</v>
      </c>
      <c r="L18" s="64">
        <v>12.08</v>
      </c>
      <c r="M18" s="64">
        <v>94.56</v>
      </c>
      <c r="N18" s="64">
        <v>32.5</v>
      </c>
      <c r="O18" s="64">
        <v>0</v>
      </c>
      <c r="P18" s="64">
        <v>2.29</v>
      </c>
      <c r="Q18" s="64">
        <v>9.7899999999999991</v>
      </c>
      <c r="R18" s="198"/>
      <c r="S18" s="198"/>
      <c r="T18" s="198"/>
      <c r="U18" s="198"/>
    </row>
    <row r="19" spans="1:21" s="12" customFormat="1" x14ac:dyDescent="0.25">
      <c r="A19" s="214" t="s">
        <v>1313</v>
      </c>
      <c r="B19" s="64">
        <v>98.17</v>
      </c>
      <c r="C19" s="6" t="s">
        <v>42</v>
      </c>
      <c r="D19" s="64">
        <v>67.59</v>
      </c>
      <c r="E19" s="64">
        <v>5.35</v>
      </c>
      <c r="F19" s="64">
        <v>3.2</v>
      </c>
      <c r="G19" s="64">
        <v>69.63</v>
      </c>
      <c r="H19" s="64">
        <v>42.73</v>
      </c>
      <c r="I19" s="64">
        <v>0.1</v>
      </c>
      <c r="J19" s="64">
        <v>0.62</v>
      </c>
      <c r="K19" s="64">
        <v>261.16000000000003</v>
      </c>
      <c r="L19" s="64">
        <v>12.13</v>
      </c>
      <c r="M19" s="64">
        <v>98.14</v>
      </c>
      <c r="N19" s="64">
        <v>32.6</v>
      </c>
      <c r="O19" s="64">
        <v>0</v>
      </c>
      <c r="P19" s="64">
        <v>2.27</v>
      </c>
      <c r="Q19" s="64">
        <v>9.7899999999999991</v>
      </c>
      <c r="R19" s="198"/>
      <c r="S19" s="198"/>
      <c r="T19" s="198"/>
      <c r="U19" s="198"/>
    </row>
    <row r="20" spans="1:21" s="12" customFormat="1" x14ac:dyDescent="0.25">
      <c r="A20" s="214" t="s">
        <v>1314</v>
      </c>
      <c r="B20" s="64">
        <v>93.42</v>
      </c>
      <c r="C20" s="6" t="s">
        <v>42</v>
      </c>
      <c r="D20" s="64">
        <v>65.010000000000005</v>
      </c>
      <c r="E20" s="64">
        <v>5.44</v>
      </c>
      <c r="F20" s="64">
        <v>3.02</v>
      </c>
      <c r="G20" s="64">
        <v>76.099999999999994</v>
      </c>
      <c r="H20" s="64">
        <v>41.9</v>
      </c>
      <c r="I20" s="64">
        <v>0.1</v>
      </c>
      <c r="J20" s="64">
        <v>0.47</v>
      </c>
      <c r="K20" s="64">
        <v>321.83999999999997</v>
      </c>
      <c r="L20" s="64">
        <v>12.05</v>
      </c>
      <c r="M20" s="64">
        <v>100.75</v>
      </c>
      <c r="N20" s="64">
        <v>32.700000000000003</v>
      </c>
      <c r="O20" s="64">
        <v>0</v>
      </c>
      <c r="P20" s="64">
        <v>2.23</v>
      </c>
      <c r="Q20" s="64">
        <v>9.81</v>
      </c>
      <c r="R20" s="198"/>
      <c r="S20" s="198"/>
      <c r="T20" s="198"/>
      <c r="U20" s="198"/>
    </row>
    <row r="21" spans="1:21" s="12" customFormat="1" x14ac:dyDescent="0.25">
      <c r="A21" s="214" t="s">
        <v>1315</v>
      </c>
      <c r="B21" s="64">
        <v>89.14</v>
      </c>
      <c r="C21" s="6" t="s">
        <v>42</v>
      </c>
      <c r="D21" s="64">
        <v>62.68</v>
      </c>
      <c r="E21" s="64">
        <v>5.16</v>
      </c>
      <c r="F21" s="64">
        <v>3.25</v>
      </c>
      <c r="G21" s="64">
        <v>102.01</v>
      </c>
      <c r="H21" s="64">
        <v>39.450000000000003</v>
      </c>
      <c r="I21" s="64">
        <v>0.1</v>
      </c>
      <c r="J21" s="64">
        <v>0.68</v>
      </c>
      <c r="K21" s="64">
        <v>155.44999999999999</v>
      </c>
      <c r="L21" s="64">
        <v>11.85</v>
      </c>
      <c r="M21" s="64">
        <v>101.31</v>
      </c>
      <c r="N21" s="64">
        <v>32.6</v>
      </c>
      <c r="O21" s="64">
        <v>0</v>
      </c>
      <c r="P21" s="64">
        <v>2.19</v>
      </c>
      <c r="Q21" s="64">
        <v>9.7899999999999991</v>
      </c>
      <c r="R21" s="198"/>
      <c r="S21" s="198"/>
      <c r="T21" s="198"/>
      <c r="U21" s="198"/>
    </row>
    <row r="22" spans="1:21" s="12" customFormat="1" x14ac:dyDescent="0.25">
      <c r="A22" s="214" t="s">
        <v>1316</v>
      </c>
      <c r="B22" s="64">
        <v>84.92</v>
      </c>
      <c r="C22" s="6" t="s">
        <v>42</v>
      </c>
      <c r="D22" s="64">
        <v>60.36</v>
      </c>
      <c r="E22" s="64">
        <v>5.18</v>
      </c>
      <c r="F22" s="64">
        <v>3.27</v>
      </c>
      <c r="G22" s="64">
        <v>102.01</v>
      </c>
      <c r="H22" s="64">
        <v>39.450000000000003</v>
      </c>
      <c r="I22" s="64">
        <v>0.1</v>
      </c>
      <c r="J22" s="64">
        <v>0.08</v>
      </c>
      <c r="K22" s="64">
        <v>355.22</v>
      </c>
      <c r="L22" s="64">
        <v>11.82</v>
      </c>
      <c r="M22" s="64">
        <v>97.69</v>
      </c>
      <c r="N22" s="64">
        <v>32.200000000000003</v>
      </c>
      <c r="O22" s="64">
        <v>0</v>
      </c>
      <c r="P22" s="64">
        <v>2.13</v>
      </c>
      <c r="Q22" s="64">
        <v>9.7799999999999994</v>
      </c>
      <c r="R22" s="198"/>
      <c r="S22" s="198"/>
      <c r="T22" s="198"/>
      <c r="U22" s="198"/>
    </row>
    <row r="23" spans="1:21" s="12" customFormat="1" x14ac:dyDescent="0.25">
      <c r="A23" s="214" t="s">
        <v>1317</v>
      </c>
      <c r="B23" s="64">
        <v>81.239999999999995</v>
      </c>
      <c r="C23" s="6" t="s">
        <v>42</v>
      </c>
      <c r="D23" s="64">
        <v>58.41</v>
      </c>
      <c r="E23" s="64">
        <v>5.49</v>
      </c>
      <c r="F23" s="64">
        <v>3.24</v>
      </c>
      <c r="G23" s="64">
        <v>102.01</v>
      </c>
      <c r="H23" s="64">
        <v>39.450000000000003</v>
      </c>
      <c r="I23" s="64">
        <v>0.1</v>
      </c>
      <c r="J23" s="64">
        <v>0.67</v>
      </c>
      <c r="K23" s="64">
        <v>285.31</v>
      </c>
      <c r="L23" s="64">
        <v>12.38</v>
      </c>
      <c r="M23" s="64">
        <v>92.88</v>
      </c>
      <c r="N23" s="64">
        <v>32.4</v>
      </c>
      <c r="O23" s="64">
        <v>0</v>
      </c>
      <c r="P23" s="64">
        <v>2.09</v>
      </c>
      <c r="Q23" s="64">
        <v>9.77</v>
      </c>
      <c r="R23" s="198"/>
      <c r="S23" s="198"/>
      <c r="T23" s="198"/>
      <c r="U23" s="198"/>
    </row>
    <row r="24" spans="1:21" s="12" customFormat="1" x14ac:dyDescent="0.25">
      <c r="A24" s="214" t="s">
        <v>1318</v>
      </c>
      <c r="B24" s="64">
        <v>78.63</v>
      </c>
      <c r="C24" s="6" t="s">
        <v>42</v>
      </c>
      <c r="D24" s="64">
        <v>57.03</v>
      </c>
      <c r="E24" s="64">
        <v>4.84</v>
      </c>
      <c r="F24" s="64">
        <v>3.02</v>
      </c>
      <c r="G24" s="64">
        <v>103.76</v>
      </c>
      <c r="H24" s="64">
        <v>41.24</v>
      </c>
      <c r="I24" s="64">
        <v>0.1</v>
      </c>
      <c r="J24" s="64">
        <v>0.62</v>
      </c>
      <c r="K24" s="64">
        <v>324.13</v>
      </c>
      <c r="L24" s="64">
        <v>12.12</v>
      </c>
      <c r="M24" s="64">
        <v>94.73</v>
      </c>
      <c r="N24" s="64">
        <v>32.9</v>
      </c>
      <c r="O24" s="64">
        <v>0</v>
      </c>
      <c r="P24" s="64">
        <v>2.08</v>
      </c>
      <c r="Q24" s="64">
        <v>9.76</v>
      </c>
      <c r="R24" s="198"/>
      <c r="S24" s="198"/>
      <c r="T24" s="198"/>
      <c r="U24" s="198"/>
    </row>
    <row r="25" spans="1:21" s="12" customFormat="1" x14ac:dyDescent="0.25">
      <c r="A25" s="214" t="s">
        <v>1319</v>
      </c>
      <c r="B25" s="64">
        <v>77.41</v>
      </c>
      <c r="C25" s="6" t="s">
        <v>42</v>
      </c>
      <c r="D25" s="64">
        <v>56.24</v>
      </c>
      <c r="E25" s="64">
        <v>5.03</v>
      </c>
      <c r="F25" s="64">
        <v>3.11</v>
      </c>
      <c r="G25" s="64">
        <v>110.75</v>
      </c>
      <c r="H25" s="64">
        <v>46.48</v>
      </c>
      <c r="I25" s="64">
        <v>0.1</v>
      </c>
      <c r="J25" s="64">
        <v>0.57999999999999996</v>
      </c>
      <c r="K25" s="64">
        <v>250.49</v>
      </c>
      <c r="L25" s="64">
        <v>11.82</v>
      </c>
      <c r="M25" s="64">
        <v>96.53</v>
      </c>
      <c r="N25" s="64">
        <v>32.6</v>
      </c>
      <c r="O25" s="64">
        <v>0</v>
      </c>
      <c r="P25" s="64">
        <v>2.0499999999999998</v>
      </c>
      <c r="Q25" s="64">
        <v>9.76</v>
      </c>
      <c r="R25" s="198"/>
      <c r="S25" s="198"/>
      <c r="T25" s="198"/>
      <c r="U25" s="198"/>
    </row>
    <row r="26" spans="1:21" s="12" customFormat="1" x14ac:dyDescent="0.25">
      <c r="A26" s="214" t="s">
        <v>1320</v>
      </c>
      <c r="B26" s="64">
        <v>76.19</v>
      </c>
      <c r="C26" s="6" t="s">
        <v>42</v>
      </c>
      <c r="D26" s="64">
        <v>55.33</v>
      </c>
      <c r="E26" s="64">
        <v>5.59</v>
      </c>
      <c r="F26" s="64">
        <v>3.15</v>
      </c>
      <c r="G26" s="64">
        <v>110.75</v>
      </c>
      <c r="H26" s="64">
        <v>46.48</v>
      </c>
      <c r="I26" s="64">
        <v>0.1</v>
      </c>
      <c r="J26" s="64">
        <v>0.5</v>
      </c>
      <c r="K26" s="64">
        <v>250.42</v>
      </c>
      <c r="L26" s="64">
        <v>11.81</v>
      </c>
      <c r="M26" s="64">
        <v>97.46</v>
      </c>
      <c r="N26" s="64">
        <v>32.6</v>
      </c>
      <c r="O26" s="64">
        <v>0</v>
      </c>
      <c r="P26" s="64">
        <v>2</v>
      </c>
      <c r="Q26" s="64">
        <v>9.76</v>
      </c>
      <c r="R26" s="198"/>
      <c r="S26" s="198"/>
      <c r="T26" s="198"/>
      <c r="U26" s="198"/>
    </row>
    <row r="27" spans="1:21" s="12" customFormat="1" x14ac:dyDescent="0.25">
      <c r="A27" s="214" t="s">
        <v>1321</v>
      </c>
      <c r="B27" s="64">
        <v>75.44</v>
      </c>
      <c r="C27" s="6" t="s">
        <v>42</v>
      </c>
      <c r="D27" s="64">
        <v>54.79</v>
      </c>
      <c r="E27" s="64">
        <v>5.61</v>
      </c>
      <c r="F27" s="64">
        <v>3.18</v>
      </c>
      <c r="G27" s="64">
        <v>110.75</v>
      </c>
      <c r="H27" s="64">
        <v>46.48</v>
      </c>
      <c r="I27" s="64">
        <v>0.1</v>
      </c>
      <c r="J27" s="64">
        <v>0.57999999999999996</v>
      </c>
      <c r="K27" s="64">
        <v>292.38</v>
      </c>
      <c r="L27" s="64">
        <v>11.68</v>
      </c>
      <c r="M27" s="64">
        <v>99.29</v>
      </c>
      <c r="N27" s="64">
        <v>32.700000000000003</v>
      </c>
      <c r="O27" s="64">
        <v>0</v>
      </c>
      <c r="P27" s="64">
        <v>1.95</v>
      </c>
      <c r="Q27" s="64">
        <v>9.75</v>
      </c>
      <c r="R27" s="198"/>
      <c r="S27" s="198"/>
      <c r="T27" s="198"/>
      <c r="U27" s="198"/>
    </row>
    <row r="28" spans="1:21" s="12" customFormat="1" x14ac:dyDescent="0.25">
      <c r="A28" s="214" t="s">
        <v>1322</v>
      </c>
      <c r="B28" s="64">
        <v>76.58</v>
      </c>
      <c r="C28" s="6" t="s">
        <v>42</v>
      </c>
      <c r="D28" s="64">
        <v>55.46</v>
      </c>
      <c r="E28" s="64">
        <v>5.35</v>
      </c>
      <c r="F28" s="64">
        <v>3.2</v>
      </c>
      <c r="G28" s="64">
        <v>115.95</v>
      </c>
      <c r="H28" s="64">
        <v>49.21</v>
      </c>
      <c r="I28" s="64">
        <v>0.1</v>
      </c>
      <c r="J28" s="64">
        <v>0.62</v>
      </c>
      <c r="K28" s="64">
        <v>255.53</v>
      </c>
      <c r="L28" s="64">
        <v>11.47</v>
      </c>
      <c r="M28" s="64">
        <v>98.46</v>
      </c>
      <c r="N28" s="64">
        <v>32.700000000000003</v>
      </c>
      <c r="O28" s="64">
        <v>0</v>
      </c>
      <c r="P28" s="64">
        <v>1.94</v>
      </c>
      <c r="Q28" s="64">
        <v>9.74</v>
      </c>
      <c r="R28" s="198"/>
      <c r="S28" s="198"/>
      <c r="T28" s="198"/>
      <c r="U28" s="198"/>
    </row>
    <row r="29" spans="1:21" s="12" customFormat="1" x14ac:dyDescent="0.25">
      <c r="A29" s="214" t="s">
        <v>1323</v>
      </c>
      <c r="B29" s="64">
        <v>77.069999999999993</v>
      </c>
      <c r="C29" s="6" t="s">
        <v>42</v>
      </c>
      <c r="D29" s="64">
        <v>55.63</v>
      </c>
      <c r="E29" s="64">
        <v>4.79</v>
      </c>
      <c r="F29" s="64">
        <v>3.1</v>
      </c>
      <c r="G29" s="64">
        <v>136.77000000000001</v>
      </c>
      <c r="H29" s="64">
        <v>57.25</v>
      </c>
      <c r="I29" s="64">
        <v>0.1</v>
      </c>
      <c r="J29" s="64">
        <v>0.73</v>
      </c>
      <c r="K29" s="64">
        <v>218.41</v>
      </c>
      <c r="L29" s="64">
        <v>11.36</v>
      </c>
      <c r="M29" s="64">
        <v>98</v>
      </c>
      <c r="N29" s="64">
        <v>32.700000000000003</v>
      </c>
      <c r="O29" s="64">
        <v>0</v>
      </c>
      <c r="P29" s="64">
        <v>1.91</v>
      </c>
      <c r="Q29" s="64">
        <v>9.74</v>
      </c>
      <c r="R29" s="198"/>
      <c r="S29" s="198"/>
      <c r="T29" s="198"/>
      <c r="U29" s="198"/>
    </row>
    <row r="30" spans="1:21" s="12" customFormat="1" x14ac:dyDescent="0.25">
      <c r="A30" s="214" t="s">
        <v>1324</v>
      </c>
      <c r="B30" s="64">
        <v>75.23</v>
      </c>
      <c r="C30" s="6" t="s">
        <v>42</v>
      </c>
      <c r="D30" s="64">
        <v>54.55</v>
      </c>
      <c r="E30" s="64">
        <v>4.8899999999999997</v>
      </c>
      <c r="F30" s="64">
        <v>2.87</v>
      </c>
      <c r="G30" s="64">
        <v>136.77000000000001</v>
      </c>
      <c r="H30" s="64">
        <v>57.25</v>
      </c>
      <c r="I30" s="64">
        <v>0.1</v>
      </c>
      <c r="J30" s="64">
        <v>0.72</v>
      </c>
      <c r="K30" s="64">
        <v>220.91</v>
      </c>
      <c r="L30" s="64">
        <v>11.11</v>
      </c>
      <c r="M30" s="64">
        <v>96.83</v>
      </c>
      <c r="N30" s="64">
        <v>32.9</v>
      </c>
      <c r="O30" s="64">
        <v>0</v>
      </c>
      <c r="P30" s="64">
        <v>1.86</v>
      </c>
      <c r="Q30" s="64">
        <v>9.74</v>
      </c>
      <c r="R30" s="198"/>
      <c r="S30" s="198"/>
      <c r="T30" s="198"/>
      <c r="U30" s="198"/>
    </row>
    <row r="31" spans="1:21" s="12" customFormat="1" x14ac:dyDescent="0.25">
      <c r="A31" s="214" t="s">
        <v>1325</v>
      </c>
      <c r="B31" s="64">
        <v>72.66</v>
      </c>
      <c r="C31" s="6" t="s">
        <v>42</v>
      </c>
      <c r="D31" s="64">
        <v>53.09</v>
      </c>
      <c r="E31" s="64">
        <v>5.1100000000000003</v>
      </c>
      <c r="F31" s="64">
        <v>2.81</v>
      </c>
      <c r="G31" s="64">
        <v>136.77000000000001</v>
      </c>
      <c r="H31" s="64">
        <v>57.25</v>
      </c>
      <c r="I31" s="64">
        <v>0.1</v>
      </c>
      <c r="J31" s="64">
        <v>0.66</v>
      </c>
      <c r="K31" s="64">
        <v>244.76</v>
      </c>
      <c r="L31" s="64">
        <v>10.87</v>
      </c>
      <c r="M31" s="64">
        <v>98.08</v>
      </c>
      <c r="N31" s="64">
        <v>32.6</v>
      </c>
      <c r="O31" s="64">
        <v>0</v>
      </c>
      <c r="P31" s="64">
        <v>1.79</v>
      </c>
      <c r="Q31" s="64">
        <v>9.74</v>
      </c>
      <c r="R31" s="198"/>
      <c r="S31" s="198"/>
      <c r="T31" s="198"/>
      <c r="U31" s="198"/>
    </row>
    <row r="32" spans="1:21" s="12" customFormat="1" x14ac:dyDescent="0.25">
      <c r="A32" s="214" t="s">
        <v>1326</v>
      </c>
      <c r="B32" s="64">
        <v>71.430000000000007</v>
      </c>
      <c r="C32" s="6" t="s">
        <v>42</v>
      </c>
      <c r="D32" s="64">
        <v>52.39</v>
      </c>
      <c r="E32" s="64">
        <v>5.09</v>
      </c>
      <c r="F32" s="64">
        <v>2.71</v>
      </c>
      <c r="G32" s="64">
        <v>130.1</v>
      </c>
      <c r="H32" s="64">
        <v>55.2</v>
      </c>
      <c r="I32" s="64">
        <v>0.1</v>
      </c>
      <c r="J32" s="64">
        <v>0.64</v>
      </c>
      <c r="K32" s="64">
        <v>287.32</v>
      </c>
      <c r="L32" s="64">
        <v>10.86</v>
      </c>
      <c r="M32" s="64">
        <v>101.53</v>
      </c>
      <c r="N32" s="64">
        <v>32.6</v>
      </c>
      <c r="O32" s="64">
        <v>0</v>
      </c>
      <c r="P32" s="64">
        <v>1.74</v>
      </c>
      <c r="Q32" s="64">
        <v>9.75</v>
      </c>
      <c r="R32" s="198"/>
      <c r="S32" s="198"/>
      <c r="T32" s="198"/>
      <c r="U32" s="198"/>
    </row>
    <row r="33" spans="1:21" s="12" customFormat="1" x14ac:dyDescent="0.25">
      <c r="A33" s="214" t="s">
        <v>1327</v>
      </c>
      <c r="B33" s="64">
        <v>72.73</v>
      </c>
      <c r="C33" s="6" t="s">
        <v>42</v>
      </c>
      <c r="D33" s="64">
        <v>53.07</v>
      </c>
      <c r="E33" s="64">
        <v>5.07</v>
      </c>
      <c r="F33" s="64">
        <v>2.8</v>
      </c>
      <c r="G33" s="64">
        <v>103.42</v>
      </c>
      <c r="H33" s="64">
        <v>45.91</v>
      </c>
      <c r="I33" s="64">
        <v>0.1</v>
      </c>
      <c r="J33" s="64">
        <v>0.77</v>
      </c>
      <c r="K33" s="64">
        <v>309.67</v>
      </c>
      <c r="L33" s="64">
        <v>10.61</v>
      </c>
      <c r="M33" s="64">
        <v>102.19</v>
      </c>
      <c r="N33" s="64">
        <v>33.1</v>
      </c>
      <c r="O33" s="64">
        <v>0</v>
      </c>
      <c r="P33" s="64">
        <v>1.72</v>
      </c>
      <c r="Q33" s="64">
        <v>9.76</v>
      </c>
      <c r="R33" s="198"/>
      <c r="S33" s="198"/>
      <c r="T33" s="198"/>
      <c r="U33" s="198"/>
    </row>
    <row r="34" spans="1:21" s="12" customFormat="1" x14ac:dyDescent="0.25">
      <c r="A34" s="214" t="s">
        <v>1328</v>
      </c>
      <c r="B34" s="64">
        <v>73.55</v>
      </c>
      <c r="C34" s="6" t="s">
        <v>42</v>
      </c>
      <c r="D34" s="64">
        <v>53.57</v>
      </c>
      <c r="E34" s="64">
        <v>4.7300000000000004</v>
      </c>
      <c r="F34" s="64">
        <v>2.96</v>
      </c>
      <c r="G34" s="64">
        <v>103.42</v>
      </c>
      <c r="H34" s="64">
        <v>45.91</v>
      </c>
      <c r="I34" s="64">
        <v>0.1</v>
      </c>
      <c r="J34" s="64">
        <v>0.6</v>
      </c>
      <c r="K34" s="64">
        <v>306</v>
      </c>
      <c r="L34" s="64">
        <v>10.59</v>
      </c>
      <c r="M34" s="64">
        <v>102.48</v>
      </c>
      <c r="N34" s="64">
        <v>34.9</v>
      </c>
      <c r="O34" s="64">
        <v>0</v>
      </c>
      <c r="P34" s="64">
        <v>1.68</v>
      </c>
      <c r="Q34" s="64">
        <v>9.76</v>
      </c>
      <c r="R34" s="198"/>
      <c r="S34" s="198"/>
      <c r="T34" s="198"/>
      <c r="U34" s="198"/>
    </row>
    <row r="35" spans="1:21" s="12" customFormat="1" x14ac:dyDescent="0.25">
      <c r="A35" s="214" t="s">
        <v>1329</v>
      </c>
      <c r="B35" s="64">
        <v>73.72</v>
      </c>
      <c r="C35" s="6" t="s">
        <v>42</v>
      </c>
      <c r="D35" s="64">
        <v>53.51</v>
      </c>
      <c r="E35" s="64">
        <v>4.7699999999999996</v>
      </c>
      <c r="F35" s="64">
        <v>3.12</v>
      </c>
      <c r="G35" s="64">
        <v>103.42</v>
      </c>
      <c r="H35" s="64">
        <v>45.91</v>
      </c>
      <c r="I35" s="64">
        <v>0.1</v>
      </c>
      <c r="J35" s="64">
        <v>0.42</v>
      </c>
      <c r="K35" s="64">
        <v>276.10000000000002</v>
      </c>
      <c r="L35" s="64">
        <v>10.64</v>
      </c>
      <c r="M35" s="64">
        <v>102.55</v>
      </c>
      <c r="N35" s="64">
        <v>41.3</v>
      </c>
      <c r="O35" s="64">
        <v>0</v>
      </c>
      <c r="P35" s="64">
        <v>1.69</v>
      </c>
      <c r="Q35" s="64">
        <v>9.76</v>
      </c>
      <c r="R35" s="198"/>
      <c r="S35" s="198"/>
      <c r="T35" s="198"/>
      <c r="U35" s="198"/>
    </row>
    <row r="36" spans="1:21" s="12" customFormat="1" x14ac:dyDescent="0.25">
      <c r="A36" s="214" t="s">
        <v>1330</v>
      </c>
      <c r="B36" s="64">
        <v>72.02</v>
      </c>
      <c r="C36" s="6" t="s">
        <v>42</v>
      </c>
      <c r="D36" s="64">
        <v>52.89</v>
      </c>
      <c r="E36" s="64">
        <v>4.83</v>
      </c>
      <c r="F36" s="64">
        <v>2.86</v>
      </c>
      <c r="G36" s="64">
        <v>102.49</v>
      </c>
      <c r="H36" s="64">
        <v>44.68</v>
      </c>
      <c r="I36" s="64">
        <v>0.1</v>
      </c>
      <c r="J36" s="64">
        <v>0.62</v>
      </c>
      <c r="K36" s="64">
        <v>311.86</v>
      </c>
      <c r="L36" s="64">
        <v>10.99</v>
      </c>
      <c r="M36" s="64">
        <v>102.61</v>
      </c>
      <c r="N36" s="64">
        <v>51.3</v>
      </c>
      <c r="O36" s="64">
        <v>0</v>
      </c>
      <c r="P36" s="64">
        <v>1.69</v>
      </c>
      <c r="Q36" s="64">
        <v>9.76</v>
      </c>
      <c r="R36" s="198"/>
      <c r="S36" s="198"/>
      <c r="T36" s="198"/>
      <c r="U36" s="198"/>
    </row>
    <row r="37" spans="1:21" s="12" customFormat="1" x14ac:dyDescent="0.25">
      <c r="A37" s="214" t="s">
        <v>1331</v>
      </c>
      <c r="B37" s="64">
        <v>70.31</v>
      </c>
      <c r="C37" s="6" t="s">
        <v>42</v>
      </c>
      <c r="D37" s="64">
        <v>52.26</v>
      </c>
      <c r="E37" s="64">
        <v>4.8899999999999997</v>
      </c>
      <c r="F37" s="64">
        <v>2.99</v>
      </c>
      <c r="G37" s="64">
        <v>98.77</v>
      </c>
      <c r="H37" s="64">
        <v>41.05</v>
      </c>
      <c r="I37" s="64">
        <v>0.1</v>
      </c>
      <c r="J37" s="64">
        <v>0.37</v>
      </c>
      <c r="K37" s="64">
        <v>332.39</v>
      </c>
      <c r="L37" s="64">
        <v>11.36</v>
      </c>
      <c r="M37" s="64">
        <v>102.4</v>
      </c>
      <c r="N37" s="64">
        <v>62.9</v>
      </c>
      <c r="O37" s="64">
        <v>0</v>
      </c>
      <c r="P37" s="64">
        <v>1.68</v>
      </c>
      <c r="Q37" s="64">
        <v>9.75</v>
      </c>
      <c r="R37" s="198"/>
      <c r="S37" s="198"/>
      <c r="T37" s="198"/>
      <c r="U37" s="198"/>
    </row>
    <row r="38" spans="1:21" s="12" customFormat="1" x14ac:dyDescent="0.25">
      <c r="A38" s="214" t="s">
        <v>1332</v>
      </c>
      <c r="B38" s="64">
        <v>68.34</v>
      </c>
      <c r="C38" s="6" t="s">
        <v>42</v>
      </c>
      <c r="D38" s="64">
        <v>51.31</v>
      </c>
      <c r="E38" s="64">
        <v>5.01</v>
      </c>
      <c r="F38" s="64">
        <v>3.02</v>
      </c>
      <c r="G38" s="64">
        <v>98.77</v>
      </c>
      <c r="H38" s="64">
        <v>41.05</v>
      </c>
      <c r="I38" s="64">
        <v>0.1</v>
      </c>
      <c r="J38" s="64">
        <v>0.42</v>
      </c>
      <c r="K38" s="64">
        <v>0.35</v>
      </c>
      <c r="L38" s="64">
        <v>11.94</v>
      </c>
      <c r="M38" s="64">
        <v>92.85</v>
      </c>
      <c r="N38" s="64">
        <v>80.400000000000006</v>
      </c>
      <c r="O38" s="64">
        <v>0</v>
      </c>
      <c r="P38" s="64">
        <v>1.75</v>
      </c>
      <c r="Q38" s="64">
        <v>9.75</v>
      </c>
      <c r="R38" s="198"/>
      <c r="S38" s="198"/>
      <c r="T38" s="198"/>
      <c r="U38" s="198"/>
    </row>
    <row r="39" spans="1:21" s="12" customFormat="1" x14ac:dyDescent="0.25">
      <c r="A39" s="214" t="s">
        <v>1333</v>
      </c>
      <c r="B39" s="64">
        <v>64.53</v>
      </c>
      <c r="C39" s="6" t="s">
        <v>42</v>
      </c>
      <c r="D39" s="64">
        <v>49.39</v>
      </c>
      <c r="E39" s="64">
        <v>5.27</v>
      </c>
      <c r="F39" s="64">
        <v>3.03</v>
      </c>
      <c r="G39" s="64">
        <v>98.77</v>
      </c>
      <c r="H39" s="64">
        <v>41.05</v>
      </c>
      <c r="I39" s="64">
        <v>0.1</v>
      </c>
      <c r="J39" s="64">
        <v>0.52</v>
      </c>
      <c r="K39" s="64">
        <v>184.98</v>
      </c>
      <c r="L39" s="64">
        <v>12.54</v>
      </c>
      <c r="M39" s="64">
        <v>87.11</v>
      </c>
      <c r="N39" s="64">
        <v>176.2</v>
      </c>
      <c r="O39" s="64">
        <v>0</v>
      </c>
      <c r="P39" s="64">
        <v>1.7</v>
      </c>
      <c r="Q39" s="64">
        <v>9.74</v>
      </c>
      <c r="R39" s="198"/>
      <c r="S39" s="198"/>
      <c r="T39" s="198"/>
      <c r="U39" s="198"/>
    </row>
    <row r="40" spans="1:21" s="12" customFormat="1" x14ac:dyDescent="0.25">
      <c r="A40" s="214" t="s">
        <v>1334</v>
      </c>
      <c r="B40" s="64">
        <v>60.37</v>
      </c>
      <c r="C40" s="6" t="s">
        <v>42</v>
      </c>
      <c r="D40" s="64">
        <v>47.11</v>
      </c>
      <c r="E40" s="64">
        <v>5.55</v>
      </c>
      <c r="F40" s="64">
        <v>2.86</v>
      </c>
      <c r="G40" s="64">
        <v>93.43</v>
      </c>
      <c r="H40" s="64">
        <v>38.49</v>
      </c>
      <c r="I40" s="64">
        <v>0.1</v>
      </c>
      <c r="J40" s="64">
        <v>0.7</v>
      </c>
      <c r="K40" s="64">
        <v>158.88999999999999</v>
      </c>
      <c r="L40" s="64">
        <v>14.31</v>
      </c>
      <c r="M40" s="64">
        <v>80.67</v>
      </c>
      <c r="N40" s="64">
        <v>226.9</v>
      </c>
      <c r="O40" s="64">
        <v>0</v>
      </c>
      <c r="P40" s="64">
        <v>1.64</v>
      </c>
      <c r="Q40" s="64">
        <v>9.73</v>
      </c>
      <c r="R40" s="198"/>
      <c r="S40" s="198"/>
      <c r="T40" s="198"/>
      <c r="U40" s="198"/>
    </row>
    <row r="41" spans="1:21" s="12" customFormat="1" x14ac:dyDescent="0.25">
      <c r="A41" s="214" t="s">
        <v>1335</v>
      </c>
      <c r="B41" s="64">
        <v>56.63</v>
      </c>
      <c r="C41" s="64">
        <v>0.69</v>
      </c>
      <c r="D41" s="64">
        <v>45.29</v>
      </c>
      <c r="E41" s="64">
        <v>5.94</v>
      </c>
      <c r="F41" s="64">
        <v>3.15</v>
      </c>
      <c r="G41" s="64">
        <v>72.08</v>
      </c>
      <c r="H41" s="64">
        <v>30.95</v>
      </c>
      <c r="I41" s="64">
        <v>0.1</v>
      </c>
      <c r="J41" s="64">
        <v>0.7</v>
      </c>
      <c r="K41" s="64">
        <v>121.21</v>
      </c>
      <c r="L41" s="64">
        <v>15.86</v>
      </c>
      <c r="M41" s="64">
        <v>75.64</v>
      </c>
      <c r="N41" s="64">
        <v>267</v>
      </c>
      <c r="O41" s="64">
        <v>0</v>
      </c>
      <c r="P41" s="64">
        <v>1.61</v>
      </c>
      <c r="Q41" s="64">
        <v>9.7200000000000006</v>
      </c>
      <c r="R41" s="198"/>
      <c r="S41" s="198"/>
      <c r="T41" s="198"/>
      <c r="U41" s="198"/>
    </row>
    <row r="42" spans="1:21" s="12" customFormat="1" x14ac:dyDescent="0.25">
      <c r="A42" s="214" t="s">
        <v>1336</v>
      </c>
      <c r="B42" s="64">
        <v>54.07</v>
      </c>
      <c r="C42" s="64">
        <v>2.34</v>
      </c>
      <c r="D42" s="64">
        <v>44.12</v>
      </c>
      <c r="E42" s="64">
        <v>5.55</v>
      </c>
      <c r="F42" s="64">
        <v>3.15</v>
      </c>
      <c r="G42" s="64">
        <v>72.08</v>
      </c>
      <c r="H42" s="64">
        <v>30.95</v>
      </c>
      <c r="I42" s="64">
        <v>0.1</v>
      </c>
      <c r="J42" s="64">
        <v>0.21</v>
      </c>
      <c r="K42" s="64">
        <v>95.91</v>
      </c>
      <c r="L42" s="64">
        <v>18.14</v>
      </c>
      <c r="M42" s="64">
        <v>65.290000000000006</v>
      </c>
      <c r="N42" s="64">
        <v>298.8</v>
      </c>
      <c r="O42" s="64">
        <v>0</v>
      </c>
      <c r="P42" s="64">
        <v>1.57</v>
      </c>
      <c r="Q42" s="64">
        <v>9.7100000000000009</v>
      </c>
      <c r="R42" s="198"/>
      <c r="S42" s="198"/>
      <c r="T42" s="198"/>
      <c r="U42" s="198"/>
    </row>
    <row r="43" spans="1:21" s="12" customFormat="1" x14ac:dyDescent="0.25">
      <c r="A43" s="214" t="s">
        <v>1337</v>
      </c>
      <c r="B43" s="64">
        <v>52.6</v>
      </c>
      <c r="C43" s="64">
        <v>3.25</v>
      </c>
      <c r="D43" s="64">
        <v>43.42</v>
      </c>
      <c r="E43" s="64">
        <v>5.97</v>
      </c>
      <c r="F43" s="64">
        <v>3.17</v>
      </c>
      <c r="G43" s="64">
        <v>72.08</v>
      </c>
      <c r="H43" s="64">
        <v>30.95</v>
      </c>
      <c r="I43" s="64">
        <v>0.1</v>
      </c>
      <c r="J43" s="64">
        <v>1.06</v>
      </c>
      <c r="K43" s="64">
        <v>132.47</v>
      </c>
      <c r="L43" s="64">
        <v>18.2</v>
      </c>
      <c r="M43" s="64">
        <v>65.38</v>
      </c>
      <c r="N43" s="64">
        <v>333.7</v>
      </c>
      <c r="O43" s="64">
        <v>0</v>
      </c>
      <c r="P43" s="64">
        <v>1.53</v>
      </c>
      <c r="Q43" s="64">
        <v>9.7100000000000009</v>
      </c>
      <c r="R43" s="198"/>
      <c r="S43" s="198"/>
      <c r="T43" s="198"/>
      <c r="U43" s="198"/>
    </row>
    <row r="44" spans="1:21" s="12" customFormat="1" x14ac:dyDescent="0.25">
      <c r="A44" s="214" t="s">
        <v>1338</v>
      </c>
      <c r="B44" s="64">
        <v>50.53</v>
      </c>
      <c r="C44" s="64">
        <v>4.59</v>
      </c>
      <c r="D44" s="64">
        <v>42.46</v>
      </c>
      <c r="E44" s="64">
        <v>5.63</v>
      </c>
      <c r="F44" s="64">
        <v>2.81</v>
      </c>
      <c r="G44" s="64">
        <v>74.66</v>
      </c>
      <c r="H44" s="64">
        <v>32.47</v>
      </c>
      <c r="I44" s="64">
        <v>0.1</v>
      </c>
      <c r="J44" s="64">
        <v>0.4</v>
      </c>
      <c r="K44" s="64">
        <v>53.72</v>
      </c>
      <c r="L44" s="64">
        <v>19.73</v>
      </c>
      <c r="M44" s="64">
        <v>57.22</v>
      </c>
      <c r="N44" s="64">
        <v>364.4</v>
      </c>
      <c r="O44" s="64">
        <v>0</v>
      </c>
      <c r="P44" s="64">
        <v>1.47</v>
      </c>
      <c r="Q44" s="64">
        <v>9.7100000000000009</v>
      </c>
      <c r="R44" s="198"/>
      <c r="S44" s="198"/>
      <c r="T44" s="198"/>
      <c r="U44" s="198"/>
    </row>
    <row r="45" spans="1:21" s="12" customFormat="1" x14ac:dyDescent="0.25">
      <c r="A45" s="214" t="s">
        <v>1339</v>
      </c>
      <c r="B45" s="64">
        <v>48.46</v>
      </c>
      <c r="C45" s="64">
        <v>6.18</v>
      </c>
      <c r="D45" s="64">
        <v>41.63</v>
      </c>
      <c r="E45" s="64">
        <v>5.64</v>
      </c>
      <c r="F45" s="64">
        <v>2.93</v>
      </c>
      <c r="G45" s="64">
        <v>85.01</v>
      </c>
      <c r="H45" s="64">
        <v>36.950000000000003</v>
      </c>
      <c r="I45" s="64">
        <v>0.1</v>
      </c>
      <c r="J45" s="64">
        <v>0.03</v>
      </c>
      <c r="K45" s="64">
        <v>246.81</v>
      </c>
      <c r="L45" s="64">
        <v>21.47</v>
      </c>
      <c r="M45" s="64">
        <v>49.45</v>
      </c>
      <c r="N45" s="64">
        <v>396.3</v>
      </c>
      <c r="O45" s="64">
        <v>0</v>
      </c>
      <c r="P45" s="64">
        <v>1.44</v>
      </c>
      <c r="Q45" s="64">
        <v>9.7100000000000009</v>
      </c>
      <c r="R45" s="198"/>
      <c r="S45" s="198"/>
      <c r="T45" s="198"/>
      <c r="U45" s="198"/>
    </row>
    <row r="46" spans="1:21" s="12" customFormat="1" x14ac:dyDescent="0.25">
      <c r="A46" s="214" t="s">
        <v>1340</v>
      </c>
      <c r="B46" s="64">
        <v>46.27</v>
      </c>
      <c r="C46" s="64">
        <v>8.2899999999999991</v>
      </c>
      <c r="D46" s="64">
        <v>40.98</v>
      </c>
      <c r="E46" s="64">
        <v>5.74</v>
      </c>
      <c r="F46" s="64">
        <v>3.16</v>
      </c>
      <c r="G46" s="64">
        <v>85.01</v>
      </c>
      <c r="H46" s="64">
        <v>36.950000000000003</v>
      </c>
      <c r="I46" s="64">
        <v>0.1</v>
      </c>
      <c r="J46" s="64">
        <v>1.19</v>
      </c>
      <c r="K46" s="64">
        <v>336.81</v>
      </c>
      <c r="L46" s="64">
        <v>23.21</v>
      </c>
      <c r="M46" s="64">
        <v>44.19</v>
      </c>
      <c r="N46" s="64">
        <v>416.5</v>
      </c>
      <c r="O46" s="64">
        <v>0</v>
      </c>
      <c r="P46" s="64">
        <v>1.42</v>
      </c>
      <c r="Q46" s="64">
        <v>9.6999999999999993</v>
      </c>
      <c r="R46" s="198"/>
      <c r="S46" s="198"/>
      <c r="T46" s="198"/>
      <c r="U46" s="198"/>
    </row>
    <row r="47" spans="1:21" s="12" customFormat="1" x14ac:dyDescent="0.25">
      <c r="A47" s="214" t="s">
        <v>1341</v>
      </c>
      <c r="B47" s="64">
        <v>44.19</v>
      </c>
      <c r="C47" s="64">
        <v>10.63</v>
      </c>
      <c r="D47" s="64">
        <v>40.35</v>
      </c>
      <c r="E47" s="64">
        <v>5.19</v>
      </c>
      <c r="F47" s="64">
        <v>2.89</v>
      </c>
      <c r="G47" s="64">
        <v>85.01</v>
      </c>
      <c r="H47" s="64">
        <v>36.950000000000003</v>
      </c>
      <c r="I47" s="64">
        <v>0.1</v>
      </c>
      <c r="J47" s="64">
        <v>0.96</v>
      </c>
      <c r="K47" s="64">
        <v>322.38</v>
      </c>
      <c r="L47" s="64">
        <v>25.59</v>
      </c>
      <c r="M47" s="64">
        <v>36.15</v>
      </c>
      <c r="N47" s="64">
        <v>451.4</v>
      </c>
      <c r="O47" s="64">
        <v>0</v>
      </c>
      <c r="P47" s="64">
        <v>1.42</v>
      </c>
      <c r="Q47" s="64">
        <v>9.69</v>
      </c>
      <c r="R47" s="198"/>
      <c r="S47" s="198"/>
      <c r="T47" s="198"/>
      <c r="U47" s="198"/>
    </row>
    <row r="48" spans="1:21" s="12" customFormat="1" x14ac:dyDescent="0.25">
      <c r="A48" s="214" t="s">
        <v>1342</v>
      </c>
      <c r="B48" s="64">
        <v>42.26</v>
      </c>
      <c r="C48" s="64">
        <v>12.9</v>
      </c>
      <c r="D48" s="64">
        <v>40.17</v>
      </c>
      <c r="E48" s="64">
        <v>5.47</v>
      </c>
      <c r="F48" s="64">
        <v>2.73</v>
      </c>
      <c r="G48" s="64">
        <v>90.21</v>
      </c>
      <c r="H48" s="64">
        <v>37.909999999999997</v>
      </c>
      <c r="I48" s="64">
        <v>0.1</v>
      </c>
      <c r="J48" s="64">
        <v>0.12</v>
      </c>
      <c r="K48" s="64">
        <v>163.86</v>
      </c>
      <c r="L48" s="64">
        <v>25.52</v>
      </c>
      <c r="M48" s="64">
        <v>33.840000000000003</v>
      </c>
      <c r="N48" s="64">
        <v>461.1</v>
      </c>
      <c r="O48" s="64">
        <v>0</v>
      </c>
      <c r="P48" s="64">
        <v>1.44</v>
      </c>
      <c r="Q48" s="64">
        <v>9.68</v>
      </c>
      <c r="R48" s="198"/>
      <c r="S48" s="198"/>
      <c r="T48" s="198"/>
      <c r="U48" s="198"/>
    </row>
    <row r="49" spans="1:21" s="12" customFormat="1" x14ac:dyDescent="0.25">
      <c r="A49" s="214" t="s">
        <v>1343</v>
      </c>
      <c r="B49" s="64">
        <v>40.68</v>
      </c>
      <c r="C49" s="64">
        <v>14.56</v>
      </c>
      <c r="D49" s="64">
        <v>39.76</v>
      </c>
      <c r="E49" s="64">
        <v>5.7</v>
      </c>
      <c r="F49" s="64">
        <v>2.93</v>
      </c>
      <c r="G49" s="64">
        <v>112.53</v>
      </c>
      <c r="H49" s="64">
        <v>42.24</v>
      </c>
      <c r="I49" s="64">
        <v>0.1</v>
      </c>
      <c r="J49" s="64">
        <v>0.88</v>
      </c>
      <c r="K49" s="64">
        <v>142.01</v>
      </c>
      <c r="L49" s="64">
        <v>24.03</v>
      </c>
      <c r="M49" s="64">
        <v>33.74</v>
      </c>
      <c r="N49" s="64">
        <v>473.4</v>
      </c>
      <c r="O49" s="64">
        <v>0</v>
      </c>
      <c r="P49" s="64">
        <v>1.45</v>
      </c>
      <c r="Q49" s="64">
        <v>9.68</v>
      </c>
      <c r="R49" s="198"/>
      <c r="S49" s="198"/>
      <c r="T49" s="198"/>
      <c r="U49" s="198"/>
    </row>
    <row r="50" spans="1:21" s="12" customFormat="1" x14ac:dyDescent="0.25">
      <c r="A50" s="214" t="s">
        <v>1344</v>
      </c>
      <c r="B50" s="64">
        <v>38.869999999999997</v>
      </c>
      <c r="C50" s="64">
        <v>16.04</v>
      </c>
      <c r="D50" s="64">
        <v>39.090000000000003</v>
      </c>
      <c r="E50" s="64">
        <v>5.49</v>
      </c>
      <c r="F50" s="64">
        <v>2.76</v>
      </c>
      <c r="G50" s="64">
        <v>112.53</v>
      </c>
      <c r="H50" s="64">
        <v>42.24</v>
      </c>
      <c r="I50" s="64">
        <v>0.1</v>
      </c>
      <c r="J50" s="64">
        <v>0.67</v>
      </c>
      <c r="K50" s="64">
        <v>133.02000000000001</v>
      </c>
      <c r="L50" s="64">
        <v>23.96</v>
      </c>
      <c r="M50" s="64">
        <v>32.33</v>
      </c>
      <c r="N50" s="64">
        <v>488</v>
      </c>
      <c r="O50" s="64">
        <v>0</v>
      </c>
      <c r="P50" s="64">
        <v>1.42</v>
      </c>
      <c r="Q50" s="64">
        <v>9.69</v>
      </c>
      <c r="R50" s="198"/>
      <c r="S50" s="198"/>
      <c r="T50" s="198"/>
      <c r="U50" s="198"/>
    </row>
    <row r="51" spans="1:21" s="12" customFormat="1" x14ac:dyDescent="0.25">
      <c r="A51" s="214" t="s">
        <v>1345</v>
      </c>
      <c r="B51" s="64">
        <v>36.78</v>
      </c>
      <c r="C51" s="64">
        <v>17.59</v>
      </c>
      <c r="D51" s="64">
        <v>38.22</v>
      </c>
      <c r="E51" s="64">
        <v>5.52</v>
      </c>
      <c r="F51" s="64">
        <v>2.68</v>
      </c>
      <c r="G51" s="64">
        <v>112.53</v>
      </c>
      <c r="H51" s="64">
        <v>42.24</v>
      </c>
      <c r="I51" s="64">
        <v>0.1</v>
      </c>
      <c r="J51" s="64">
        <v>1.25</v>
      </c>
      <c r="K51" s="64">
        <v>139.41</v>
      </c>
      <c r="L51" s="64">
        <v>24.11</v>
      </c>
      <c r="M51" s="64">
        <v>31.03</v>
      </c>
      <c r="N51" s="64">
        <v>501.1</v>
      </c>
      <c r="O51" s="64">
        <v>0</v>
      </c>
      <c r="P51" s="64">
        <v>1.39</v>
      </c>
      <c r="Q51" s="64">
        <v>9.68</v>
      </c>
      <c r="R51" s="198"/>
      <c r="S51" s="198"/>
      <c r="T51" s="198"/>
      <c r="U51" s="198"/>
    </row>
    <row r="52" spans="1:21" s="12" customFormat="1" x14ac:dyDescent="0.25">
      <c r="A52" s="214" t="s">
        <v>1346</v>
      </c>
      <c r="B52" s="64">
        <v>33.89</v>
      </c>
      <c r="C52" s="64">
        <v>19.57</v>
      </c>
      <c r="D52" s="64">
        <v>36.94</v>
      </c>
      <c r="E52" s="64">
        <v>5.64</v>
      </c>
      <c r="F52" s="64">
        <v>2.99</v>
      </c>
      <c r="G52" s="64">
        <v>104.9</v>
      </c>
      <c r="H52" s="64">
        <v>41.14</v>
      </c>
      <c r="I52" s="64">
        <v>0.1</v>
      </c>
      <c r="J52" s="64">
        <v>1.01</v>
      </c>
      <c r="K52" s="64">
        <v>123.1</v>
      </c>
      <c r="L52" s="64">
        <v>24.55</v>
      </c>
      <c r="M52" s="64">
        <v>31.44</v>
      </c>
      <c r="N52" s="64">
        <v>496.3</v>
      </c>
      <c r="O52" s="64">
        <v>0</v>
      </c>
      <c r="P52" s="64">
        <v>1.36</v>
      </c>
      <c r="Q52" s="64">
        <v>9.66</v>
      </c>
      <c r="R52" s="198"/>
      <c r="S52" s="198"/>
      <c r="T52" s="198"/>
      <c r="U52" s="198"/>
    </row>
    <row r="53" spans="1:21" s="12" customFormat="1" x14ac:dyDescent="0.25">
      <c r="A53" s="214" t="s">
        <v>1347</v>
      </c>
      <c r="B53" s="64">
        <v>31.49</v>
      </c>
      <c r="C53" s="64">
        <v>20.51</v>
      </c>
      <c r="D53" s="64">
        <v>35.51</v>
      </c>
      <c r="E53" s="64">
        <v>5.92</v>
      </c>
      <c r="F53" s="64">
        <v>3.56</v>
      </c>
      <c r="G53" s="64">
        <v>74.42</v>
      </c>
      <c r="H53" s="64">
        <v>37.869999999999997</v>
      </c>
      <c r="I53" s="64">
        <v>0.1</v>
      </c>
      <c r="J53" s="64">
        <v>1.47</v>
      </c>
      <c r="K53" s="64">
        <v>120.47</v>
      </c>
      <c r="L53" s="64">
        <v>24.34</v>
      </c>
      <c r="M53" s="64">
        <v>30.89</v>
      </c>
      <c r="N53" s="64">
        <v>516.70000000000005</v>
      </c>
      <c r="O53" s="64">
        <v>0</v>
      </c>
      <c r="P53" s="64">
        <v>1.36</v>
      </c>
      <c r="Q53" s="64">
        <v>9.66</v>
      </c>
      <c r="R53" s="198"/>
      <c r="S53" s="198"/>
      <c r="T53" s="198"/>
      <c r="U53" s="198"/>
    </row>
    <row r="54" spans="1:21" s="12" customFormat="1" x14ac:dyDescent="0.25">
      <c r="A54" s="214" t="s">
        <v>1348</v>
      </c>
      <c r="B54" s="64">
        <v>30.55</v>
      </c>
      <c r="C54" s="64">
        <v>21.47</v>
      </c>
      <c r="D54" s="64">
        <v>35.25</v>
      </c>
      <c r="E54" s="64">
        <v>5.67</v>
      </c>
      <c r="F54" s="64">
        <v>3.75</v>
      </c>
      <c r="G54" s="64">
        <v>74.42</v>
      </c>
      <c r="H54" s="64">
        <v>37.869999999999997</v>
      </c>
      <c r="I54" s="64">
        <v>0.1</v>
      </c>
      <c r="J54" s="64">
        <v>2.12</v>
      </c>
      <c r="K54" s="64">
        <v>122.73</v>
      </c>
      <c r="L54" s="64">
        <v>23.9</v>
      </c>
      <c r="M54" s="64">
        <v>29.6</v>
      </c>
      <c r="N54" s="64">
        <v>536</v>
      </c>
      <c r="O54" s="64">
        <v>0</v>
      </c>
      <c r="P54" s="64">
        <v>1.35</v>
      </c>
      <c r="Q54" s="64">
        <v>9.68</v>
      </c>
      <c r="R54" s="198"/>
      <c r="S54" s="198"/>
      <c r="T54" s="198"/>
      <c r="U54" s="198"/>
    </row>
    <row r="55" spans="1:21" s="12" customFormat="1" x14ac:dyDescent="0.25">
      <c r="A55" s="214" t="s">
        <v>1349</v>
      </c>
      <c r="B55" s="64">
        <v>28.63</v>
      </c>
      <c r="C55" s="64">
        <v>22.19</v>
      </c>
      <c r="D55" s="64">
        <v>34.090000000000003</v>
      </c>
      <c r="E55" s="64">
        <v>5.93</v>
      </c>
      <c r="F55" s="64">
        <v>3.01</v>
      </c>
      <c r="G55" s="64">
        <v>74.42</v>
      </c>
      <c r="H55" s="64">
        <v>37.869999999999997</v>
      </c>
      <c r="I55" s="64">
        <v>0.1</v>
      </c>
      <c r="J55" s="64">
        <v>1.59</v>
      </c>
      <c r="K55" s="64">
        <v>125.79</v>
      </c>
      <c r="L55" s="64">
        <v>24.44</v>
      </c>
      <c r="M55" s="64">
        <v>27.67</v>
      </c>
      <c r="N55" s="64">
        <v>532.9</v>
      </c>
      <c r="O55" s="64">
        <v>0</v>
      </c>
      <c r="P55" s="64">
        <v>1.34</v>
      </c>
      <c r="Q55" s="64">
        <v>9.68</v>
      </c>
      <c r="R55" s="198"/>
      <c r="S55" s="198"/>
      <c r="T55" s="198"/>
      <c r="U55" s="198"/>
    </row>
    <row r="56" spans="1:21" s="12" customFormat="1" x14ac:dyDescent="0.25">
      <c r="A56" s="214" t="s">
        <v>1350</v>
      </c>
      <c r="B56" s="64">
        <v>25.76</v>
      </c>
      <c r="C56" s="64">
        <v>22.87</v>
      </c>
      <c r="D56" s="64">
        <v>32.15</v>
      </c>
      <c r="E56" s="64">
        <v>6.89</v>
      </c>
      <c r="F56" s="64">
        <v>3.5</v>
      </c>
      <c r="G56" s="64">
        <v>67.400000000000006</v>
      </c>
      <c r="H56" s="64">
        <v>34.57</v>
      </c>
      <c r="I56" s="64">
        <v>0.1</v>
      </c>
      <c r="J56" s="64">
        <v>0.61</v>
      </c>
      <c r="K56" s="64">
        <v>348.55</v>
      </c>
      <c r="L56" s="64">
        <v>26.14</v>
      </c>
      <c r="M56" s="64">
        <v>24.98</v>
      </c>
      <c r="N56" s="64">
        <v>519.20000000000005</v>
      </c>
      <c r="O56" s="64">
        <v>0</v>
      </c>
      <c r="P56" s="64">
        <v>1.31</v>
      </c>
      <c r="Q56" s="64">
        <v>9.67</v>
      </c>
      <c r="R56" s="198"/>
      <c r="S56" s="198"/>
      <c r="T56" s="198"/>
      <c r="U56" s="198"/>
    </row>
    <row r="57" spans="1:21" s="12" customFormat="1" x14ac:dyDescent="0.25">
      <c r="A57" s="214" t="s">
        <v>1351</v>
      </c>
      <c r="B57" s="64">
        <v>24.43</v>
      </c>
      <c r="C57" s="64">
        <v>24.81</v>
      </c>
      <c r="D57" s="64">
        <v>32.090000000000003</v>
      </c>
      <c r="E57" s="64">
        <v>6.75</v>
      </c>
      <c r="F57" s="64">
        <v>3.59</v>
      </c>
      <c r="G57" s="64">
        <v>39.32</v>
      </c>
      <c r="H57" s="64">
        <v>24.86</v>
      </c>
      <c r="I57" s="64">
        <v>0.1</v>
      </c>
      <c r="J57" s="64">
        <v>0.73</v>
      </c>
      <c r="K57" s="64">
        <v>339.26</v>
      </c>
      <c r="L57" s="64">
        <v>27.62</v>
      </c>
      <c r="M57" s="64">
        <v>23.15</v>
      </c>
      <c r="N57" s="64">
        <v>501.6</v>
      </c>
      <c r="O57" s="64">
        <v>0</v>
      </c>
      <c r="P57" s="64">
        <v>1.29</v>
      </c>
      <c r="Q57" s="64">
        <v>9.66</v>
      </c>
      <c r="R57" s="198"/>
      <c r="S57" s="198"/>
      <c r="T57" s="198"/>
      <c r="U57" s="198"/>
    </row>
    <row r="58" spans="1:21" s="12" customFormat="1" x14ac:dyDescent="0.25">
      <c r="A58" s="214" t="s">
        <v>1352</v>
      </c>
      <c r="B58" s="64">
        <v>23.08</v>
      </c>
      <c r="C58" s="64">
        <v>25.79</v>
      </c>
      <c r="D58" s="64">
        <v>31.53</v>
      </c>
      <c r="E58" s="64">
        <v>9.2799999999999994</v>
      </c>
      <c r="F58" s="64">
        <v>4.6900000000000004</v>
      </c>
      <c r="G58" s="64">
        <v>39.32</v>
      </c>
      <c r="H58" s="64">
        <v>24.86</v>
      </c>
      <c r="I58" s="64">
        <v>0.1</v>
      </c>
      <c r="J58" s="64">
        <v>1.17</v>
      </c>
      <c r="K58" s="64">
        <v>327</v>
      </c>
      <c r="L58" s="64">
        <v>29.06</v>
      </c>
      <c r="M58" s="64">
        <v>21.05</v>
      </c>
      <c r="N58" s="64">
        <v>485.6</v>
      </c>
      <c r="O58" s="64">
        <v>0</v>
      </c>
      <c r="P58" s="64">
        <v>1.23</v>
      </c>
      <c r="Q58" s="64">
        <v>9.65</v>
      </c>
      <c r="R58" s="198"/>
      <c r="S58" s="198"/>
      <c r="T58" s="198"/>
      <c r="U58" s="198"/>
    </row>
    <row r="59" spans="1:21" s="12" customFormat="1" x14ac:dyDescent="0.25">
      <c r="A59" s="214" t="s">
        <v>1353</v>
      </c>
      <c r="B59" s="64">
        <v>21.95</v>
      </c>
      <c r="C59" s="64">
        <v>28.08</v>
      </c>
      <c r="D59" s="64">
        <v>31.81</v>
      </c>
      <c r="E59" s="64">
        <v>11.1</v>
      </c>
      <c r="F59" s="64">
        <v>4.75</v>
      </c>
      <c r="G59" s="64">
        <v>39.32</v>
      </c>
      <c r="H59" s="64">
        <v>24.86</v>
      </c>
      <c r="I59" s="64">
        <v>0.1</v>
      </c>
      <c r="J59" s="64">
        <v>0.57999999999999996</v>
      </c>
      <c r="K59" s="64">
        <v>302.62</v>
      </c>
      <c r="L59" s="64">
        <v>28.68</v>
      </c>
      <c r="M59" s="64">
        <v>19.420000000000002</v>
      </c>
      <c r="N59" s="64">
        <v>482.1</v>
      </c>
      <c r="O59" s="64">
        <v>0</v>
      </c>
      <c r="P59" s="64">
        <v>1.21</v>
      </c>
      <c r="Q59" s="64">
        <v>9.65</v>
      </c>
      <c r="R59" s="198"/>
      <c r="S59" s="198"/>
      <c r="T59" s="198"/>
      <c r="U59" s="198"/>
    </row>
    <row r="60" spans="1:21" s="12" customFormat="1" x14ac:dyDescent="0.25">
      <c r="A60" s="214" t="s">
        <v>1354</v>
      </c>
      <c r="B60" s="64">
        <v>21.12</v>
      </c>
      <c r="C60" s="64">
        <v>26.99</v>
      </c>
      <c r="D60" s="64">
        <v>30.58</v>
      </c>
      <c r="E60" s="64">
        <v>6.7</v>
      </c>
      <c r="F60" s="64">
        <v>3.61</v>
      </c>
      <c r="G60" s="64">
        <v>42.5</v>
      </c>
      <c r="H60" s="64">
        <v>24.2</v>
      </c>
      <c r="I60" s="64">
        <v>0.1</v>
      </c>
      <c r="J60" s="64">
        <v>0.71</v>
      </c>
      <c r="K60" s="64">
        <v>306.69</v>
      </c>
      <c r="L60" s="64">
        <v>29.08</v>
      </c>
      <c r="M60" s="64">
        <v>20.77</v>
      </c>
      <c r="N60" s="64">
        <v>479.7</v>
      </c>
      <c r="O60" s="64">
        <v>0</v>
      </c>
      <c r="P60" s="64">
        <v>1.21</v>
      </c>
      <c r="Q60" s="64">
        <v>9.66</v>
      </c>
      <c r="R60" s="198"/>
      <c r="S60" s="198"/>
      <c r="T60" s="198"/>
      <c r="U60" s="198"/>
    </row>
    <row r="61" spans="1:21" s="12" customFormat="1" x14ac:dyDescent="0.25">
      <c r="A61" s="214" t="s">
        <v>1355</v>
      </c>
      <c r="B61" s="64">
        <v>20.92</v>
      </c>
      <c r="C61" s="64">
        <v>26.79</v>
      </c>
      <c r="D61" s="64">
        <v>30.31</v>
      </c>
      <c r="E61" s="64">
        <v>6.03</v>
      </c>
      <c r="F61" s="64">
        <v>3.33</v>
      </c>
      <c r="G61" s="64">
        <v>55.2</v>
      </c>
      <c r="H61" s="64">
        <v>22.24</v>
      </c>
      <c r="I61" s="64">
        <v>0.1</v>
      </c>
      <c r="J61" s="64">
        <v>1.3</v>
      </c>
      <c r="K61" s="64">
        <v>339.33</v>
      </c>
      <c r="L61" s="64">
        <v>28.56</v>
      </c>
      <c r="M61" s="64">
        <v>20.95</v>
      </c>
      <c r="N61" s="64">
        <v>452.9</v>
      </c>
      <c r="O61" s="64">
        <v>0</v>
      </c>
      <c r="P61" s="64">
        <v>1.1599999999999999</v>
      </c>
      <c r="Q61" s="64">
        <v>9.66</v>
      </c>
      <c r="R61" s="198"/>
      <c r="S61" s="198"/>
      <c r="T61" s="198"/>
      <c r="U61" s="198"/>
    </row>
    <row r="62" spans="1:21" s="12" customFormat="1" x14ac:dyDescent="0.25">
      <c r="A62" s="214" t="s">
        <v>1356</v>
      </c>
      <c r="B62" s="64">
        <v>16.91</v>
      </c>
      <c r="C62" s="64">
        <v>29.36</v>
      </c>
      <c r="D62" s="64">
        <v>28.44</v>
      </c>
      <c r="E62" s="64">
        <v>6.88</v>
      </c>
      <c r="F62" s="64">
        <v>5.65</v>
      </c>
      <c r="G62" s="64">
        <v>55.2</v>
      </c>
      <c r="H62" s="64">
        <v>22.24</v>
      </c>
      <c r="I62" s="64">
        <v>0.1</v>
      </c>
      <c r="J62" s="64">
        <v>0.61</v>
      </c>
      <c r="K62" s="64">
        <v>315.7</v>
      </c>
      <c r="L62" s="64">
        <v>28.23</v>
      </c>
      <c r="M62" s="64">
        <v>20.309999999999999</v>
      </c>
      <c r="N62" s="64">
        <v>413.8</v>
      </c>
      <c r="O62" s="64">
        <v>0</v>
      </c>
      <c r="P62" s="64">
        <v>1.1200000000000001</v>
      </c>
      <c r="Q62" s="64">
        <v>9.66</v>
      </c>
      <c r="R62" s="198"/>
      <c r="S62" s="198"/>
      <c r="T62" s="198"/>
      <c r="U62" s="198"/>
    </row>
    <row r="63" spans="1:21" s="12" customFormat="1" x14ac:dyDescent="0.25">
      <c r="A63" s="214" t="s">
        <v>1357</v>
      </c>
      <c r="B63" s="64">
        <v>16</v>
      </c>
      <c r="C63" s="64">
        <v>29.22</v>
      </c>
      <c r="D63" s="64">
        <v>27.63</v>
      </c>
      <c r="E63" s="64">
        <v>14.92</v>
      </c>
      <c r="F63" s="64">
        <v>5.01</v>
      </c>
      <c r="G63" s="64">
        <v>55.2</v>
      </c>
      <c r="H63" s="64">
        <v>22.24</v>
      </c>
      <c r="I63" s="64">
        <v>0.1</v>
      </c>
      <c r="J63" s="64">
        <v>0.75</v>
      </c>
      <c r="K63" s="64">
        <v>173.65</v>
      </c>
      <c r="L63" s="64">
        <v>26.78</v>
      </c>
      <c r="M63" s="64">
        <v>21.93</v>
      </c>
      <c r="N63" s="64">
        <v>397.2</v>
      </c>
      <c r="O63" s="64">
        <v>0</v>
      </c>
      <c r="P63" s="64">
        <v>1.0900000000000001</v>
      </c>
      <c r="Q63" s="64">
        <v>9.66</v>
      </c>
      <c r="R63" s="198"/>
      <c r="S63" s="198"/>
      <c r="T63" s="198"/>
      <c r="U63" s="198"/>
    </row>
    <row r="64" spans="1:21" s="12" customFormat="1" x14ac:dyDescent="0.25">
      <c r="A64" s="214" t="s">
        <v>1358</v>
      </c>
      <c r="B64" s="64">
        <v>12.29</v>
      </c>
      <c r="C64" s="64">
        <v>30.31</v>
      </c>
      <c r="D64" s="64">
        <v>25.23</v>
      </c>
      <c r="E64" s="64">
        <v>14.06</v>
      </c>
      <c r="F64" s="64">
        <v>7.8</v>
      </c>
      <c r="G64" s="64">
        <v>56.83</v>
      </c>
      <c r="H64" s="64">
        <v>21.99</v>
      </c>
      <c r="I64" s="64">
        <v>0.1</v>
      </c>
      <c r="J64" s="64">
        <v>0.89</v>
      </c>
      <c r="K64" s="64">
        <v>128.53</v>
      </c>
      <c r="L64" s="64">
        <v>25.69</v>
      </c>
      <c r="M64" s="64">
        <v>23.98</v>
      </c>
      <c r="N64" s="64">
        <v>266.89999999999998</v>
      </c>
      <c r="O64" s="64">
        <v>0</v>
      </c>
      <c r="P64" s="64">
        <v>1.01</v>
      </c>
      <c r="Q64" s="64">
        <v>9.64</v>
      </c>
      <c r="R64" s="198"/>
      <c r="S64" s="198"/>
      <c r="T64" s="198"/>
      <c r="U64" s="198"/>
    </row>
    <row r="65" spans="1:21" s="12" customFormat="1" x14ac:dyDescent="0.25">
      <c r="A65" s="214" t="s">
        <v>1359</v>
      </c>
      <c r="B65" s="64">
        <v>12.13</v>
      </c>
      <c r="C65" s="64">
        <v>33.700000000000003</v>
      </c>
      <c r="D65" s="64">
        <v>26.87</v>
      </c>
      <c r="E65" s="64">
        <v>15.35</v>
      </c>
      <c r="F65" s="64">
        <v>8.1</v>
      </c>
      <c r="G65" s="64">
        <v>63.33</v>
      </c>
      <c r="H65" s="64">
        <v>20.84</v>
      </c>
      <c r="I65" s="64">
        <v>0.1</v>
      </c>
      <c r="J65" s="64">
        <v>0.27</v>
      </c>
      <c r="K65" s="64">
        <v>330.95</v>
      </c>
      <c r="L65" s="64">
        <v>25.72</v>
      </c>
      <c r="M65" s="64">
        <v>25.19</v>
      </c>
      <c r="N65" s="64">
        <v>151.80000000000001</v>
      </c>
      <c r="O65" s="64">
        <v>0</v>
      </c>
      <c r="P65" s="64">
        <v>1.01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4" t="s">
        <v>1360</v>
      </c>
      <c r="B66" s="64">
        <v>13.71</v>
      </c>
      <c r="C66" s="64">
        <v>35.11</v>
      </c>
      <c r="D66" s="64">
        <v>28.88</v>
      </c>
      <c r="E66" s="64">
        <v>19.559999999999999</v>
      </c>
      <c r="F66" s="64">
        <v>7.76</v>
      </c>
      <c r="G66" s="64">
        <v>63.33</v>
      </c>
      <c r="H66" s="64">
        <v>20.84</v>
      </c>
      <c r="I66" s="64">
        <v>0.1</v>
      </c>
      <c r="J66" s="64">
        <v>0.74</v>
      </c>
      <c r="K66" s="64">
        <v>336.93</v>
      </c>
      <c r="L66" s="64">
        <v>25.86</v>
      </c>
      <c r="M66" s="64">
        <v>25.37</v>
      </c>
      <c r="N66" s="64">
        <v>115.3</v>
      </c>
      <c r="O66" s="64">
        <v>0</v>
      </c>
      <c r="P66" s="64">
        <v>1.04</v>
      </c>
      <c r="Q66" s="64">
        <v>9.64</v>
      </c>
      <c r="R66" s="198"/>
      <c r="S66" s="198"/>
      <c r="T66" s="198"/>
      <c r="U66" s="198"/>
    </row>
    <row r="67" spans="1:21" s="12" customFormat="1" x14ac:dyDescent="0.25">
      <c r="A67" s="214" t="s">
        <v>1361</v>
      </c>
      <c r="B67" s="64">
        <v>12.32</v>
      </c>
      <c r="C67" s="64">
        <v>33.76</v>
      </c>
      <c r="D67" s="64">
        <v>27.06</v>
      </c>
      <c r="E67" s="64">
        <v>17.07</v>
      </c>
      <c r="F67" s="64">
        <v>9.6</v>
      </c>
      <c r="G67" s="64">
        <v>63.33</v>
      </c>
      <c r="H67" s="64">
        <v>20.84</v>
      </c>
      <c r="I67" s="64">
        <v>0.1</v>
      </c>
      <c r="J67" s="64">
        <v>0.28999999999999998</v>
      </c>
      <c r="K67" s="64">
        <v>28.03</v>
      </c>
      <c r="L67" s="64">
        <v>25.45</v>
      </c>
      <c r="M67" s="64">
        <v>25.42</v>
      </c>
      <c r="N67" s="64">
        <v>100.1</v>
      </c>
      <c r="O67" s="64">
        <v>0</v>
      </c>
      <c r="P67" s="64">
        <v>0.99</v>
      </c>
      <c r="Q67" s="64">
        <v>9.64</v>
      </c>
      <c r="R67" s="198"/>
      <c r="S67" s="198"/>
      <c r="T67" s="198"/>
      <c r="U67" s="198"/>
    </row>
    <row r="68" spans="1:21" s="12" customFormat="1" x14ac:dyDescent="0.25">
      <c r="A68" s="214" t="s">
        <v>1362</v>
      </c>
      <c r="B68" s="64">
        <v>10.99</v>
      </c>
      <c r="C68" s="64">
        <v>30.97</v>
      </c>
      <c r="D68" s="64">
        <v>24.53</v>
      </c>
      <c r="E68" s="64">
        <v>16.27</v>
      </c>
      <c r="F68" s="64">
        <v>6.45</v>
      </c>
      <c r="G68" s="64">
        <v>62.66</v>
      </c>
      <c r="H68" s="64">
        <v>21.35</v>
      </c>
      <c r="I68" s="64">
        <v>0.1</v>
      </c>
      <c r="J68" s="64">
        <v>0.52</v>
      </c>
      <c r="K68" s="64">
        <v>330.69</v>
      </c>
      <c r="L68" s="64">
        <v>24.95</v>
      </c>
      <c r="M68" s="64">
        <v>25.44</v>
      </c>
      <c r="N68" s="64">
        <v>91.6</v>
      </c>
      <c r="O68" s="64">
        <v>0</v>
      </c>
      <c r="P68" s="64">
        <v>0.97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4" t="s">
        <v>1363</v>
      </c>
      <c r="B69" s="64">
        <v>11.12</v>
      </c>
      <c r="C69" s="64">
        <v>34.229999999999997</v>
      </c>
      <c r="D69" s="64">
        <v>26.34</v>
      </c>
      <c r="E69" s="64">
        <v>24.06</v>
      </c>
      <c r="F69" s="64">
        <v>9.5299999999999994</v>
      </c>
      <c r="G69" s="64">
        <v>59.78</v>
      </c>
      <c r="H69" s="64">
        <v>22.85</v>
      </c>
      <c r="I69" s="64">
        <v>0.1</v>
      </c>
      <c r="J69" s="64">
        <v>0.35</v>
      </c>
      <c r="K69" s="64">
        <v>34.880000000000003</v>
      </c>
      <c r="L69" s="64">
        <v>24.91</v>
      </c>
      <c r="M69" s="64">
        <v>25.69</v>
      </c>
      <c r="N69" s="64">
        <v>84.1</v>
      </c>
      <c r="O69" s="64">
        <v>0</v>
      </c>
      <c r="P69" s="64">
        <v>0.97</v>
      </c>
      <c r="Q69" s="64">
        <v>9.6300000000000008</v>
      </c>
      <c r="R69" s="198"/>
      <c r="S69" s="198"/>
      <c r="T69" s="198"/>
      <c r="U69" s="198"/>
    </row>
    <row r="70" spans="1:21" s="12" customFormat="1" x14ac:dyDescent="0.25">
      <c r="A70" s="214" t="s">
        <v>1364</v>
      </c>
      <c r="B70" s="64">
        <v>9.24</v>
      </c>
      <c r="C70" s="64">
        <v>33.42</v>
      </c>
      <c r="D70" s="64">
        <v>24.41</v>
      </c>
      <c r="E70" s="64">
        <v>29.44</v>
      </c>
      <c r="F70" s="64">
        <v>13.73</v>
      </c>
      <c r="G70" s="64">
        <v>59.78</v>
      </c>
      <c r="H70" s="64">
        <v>22.85</v>
      </c>
      <c r="I70" s="64">
        <v>0.1</v>
      </c>
      <c r="J70" s="64">
        <v>1.1399999999999999</v>
      </c>
      <c r="K70" s="64">
        <v>126.47</v>
      </c>
      <c r="L70" s="64">
        <v>24.34</v>
      </c>
      <c r="M70" s="64">
        <v>26.69</v>
      </c>
      <c r="N70" s="64">
        <v>79.599999999999994</v>
      </c>
      <c r="O70" s="64">
        <v>0</v>
      </c>
      <c r="P70" s="64">
        <v>0.9</v>
      </c>
      <c r="Q70" s="64">
        <v>9.64</v>
      </c>
      <c r="R70" s="198"/>
      <c r="S70" s="198"/>
      <c r="T70" s="198"/>
      <c r="U70" s="198"/>
    </row>
    <row r="71" spans="1:21" s="12" customFormat="1" x14ac:dyDescent="0.25">
      <c r="A71" s="214" t="s">
        <v>1365</v>
      </c>
      <c r="B71" s="64">
        <v>7.6</v>
      </c>
      <c r="C71" s="64">
        <v>31.83</v>
      </c>
      <c r="D71" s="64">
        <v>22.26</v>
      </c>
      <c r="E71" s="64">
        <v>31.78</v>
      </c>
      <c r="F71" s="64">
        <v>17.600000000000001</v>
      </c>
      <c r="G71" s="64">
        <v>59.78</v>
      </c>
      <c r="H71" s="64">
        <v>22.85</v>
      </c>
      <c r="I71" s="64">
        <v>0.1</v>
      </c>
      <c r="J71" s="64">
        <v>1.07</v>
      </c>
      <c r="K71" s="64">
        <v>131.1</v>
      </c>
      <c r="L71" s="64">
        <v>24.2</v>
      </c>
      <c r="M71" s="64">
        <v>25.37</v>
      </c>
      <c r="N71" s="64">
        <v>72.599999999999994</v>
      </c>
      <c r="O71" s="64">
        <v>0</v>
      </c>
      <c r="P71" s="64">
        <v>0.86</v>
      </c>
      <c r="Q71" s="64">
        <v>9.65</v>
      </c>
      <c r="R71" s="198"/>
      <c r="S71" s="198"/>
      <c r="T71" s="198"/>
      <c r="U71" s="198"/>
    </row>
    <row r="72" spans="1:21" s="12" customFormat="1" x14ac:dyDescent="0.25">
      <c r="A72" s="214" t="s">
        <v>1366</v>
      </c>
      <c r="B72" s="64">
        <v>7.26</v>
      </c>
      <c r="C72" s="64">
        <v>32.950000000000003</v>
      </c>
      <c r="D72" s="64">
        <v>22.57</v>
      </c>
      <c r="E72" s="64">
        <v>43</v>
      </c>
      <c r="F72" s="64">
        <v>19.23</v>
      </c>
      <c r="G72" s="64">
        <v>61.22</v>
      </c>
      <c r="H72" s="64">
        <v>23.45</v>
      </c>
      <c r="I72" s="64">
        <v>0.1</v>
      </c>
      <c r="J72" s="64">
        <v>0.85</v>
      </c>
      <c r="K72" s="64">
        <v>129.15</v>
      </c>
      <c r="L72" s="64">
        <v>24.08</v>
      </c>
      <c r="M72" s="64">
        <v>27.39</v>
      </c>
      <c r="N72" s="64">
        <v>66.2</v>
      </c>
      <c r="O72" s="64">
        <v>0</v>
      </c>
      <c r="P72" s="64">
        <v>0.9</v>
      </c>
      <c r="Q72" s="64">
        <v>9.64</v>
      </c>
      <c r="R72" s="198"/>
      <c r="S72" s="198"/>
      <c r="T72" s="198"/>
      <c r="U72" s="198"/>
    </row>
    <row r="73" spans="1:21" s="12" customFormat="1" x14ac:dyDescent="0.25">
      <c r="A73" s="214" t="s">
        <v>1367</v>
      </c>
      <c r="B73" s="64">
        <v>11.04</v>
      </c>
      <c r="C73" s="64">
        <v>39.26</v>
      </c>
      <c r="D73" s="64">
        <v>28.9</v>
      </c>
      <c r="E73" s="64">
        <v>43.2</v>
      </c>
      <c r="F73" s="64">
        <v>13.46</v>
      </c>
      <c r="G73" s="64">
        <v>66.97</v>
      </c>
      <c r="H73" s="64">
        <v>25.22</v>
      </c>
      <c r="I73" s="64">
        <v>0.1</v>
      </c>
      <c r="J73" s="64">
        <v>0.27</v>
      </c>
      <c r="K73" s="64">
        <v>349.24</v>
      </c>
      <c r="L73" s="64">
        <v>23.75</v>
      </c>
      <c r="M73" s="64">
        <v>35.26</v>
      </c>
      <c r="N73" s="64">
        <v>60.1</v>
      </c>
      <c r="O73" s="64">
        <v>0</v>
      </c>
      <c r="P73" s="64">
        <v>1.0900000000000001</v>
      </c>
      <c r="Q73" s="64">
        <v>9.65</v>
      </c>
      <c r="R73" s="198"/>
      <c r="S73" s="198"/>
      <c r="T73" s="198"/>
      <c r="U73" s="198"/>
    </row>
    <row r="74" spans="1:21" s="12" customFormat="1" x14ac:dyDescent="0.25">
      <c r="A74" s="214" t="s">
        <v>1368</v>
      </c>
      <c r="B74" s="64">
        <v>11.78</v>
      </c>
      <c r="C74" s="64">
        <v>43.91</v>
      </c>
      <c r="D74" s="64">
        <v>31.92</v>
      </c>
      <c r="E74" s="64">
        <v>32.07</v>
      </c>
      <c r="F74" s="64">
        <v>8.66</v>
      </c>
      <c r="G74" s="64">
        <v>66.97</v>
      </c>
      <c r="H74" s="64">
        <v>25.22</v>
      </c>
      <c r="I74" s="64">
        <v>0.1</v>
      </c>
      <c r="J74" s="64">
        <v>0.95</v>
      </c>
      <c r="K74" s="64">
        <v>341.31</v>
      </c>
      <c r="L74" s="64">
        <v>23.26</v>
      </c>
      <c r="M74" s="64">
        <v>40.82</v>
      </c>
      <c r="N74" s="64">
        <v>53.9</v>
      </c>
      <c r="O74" s="64">
        <v>0</v>
      </c>
      <c r="P74" s="64">
        <v>1.23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4" t="s">
        <v>1369</v>
      </c>
      <c r="B75" s="64">
        <v>13.17</v>
      </c>
      <c r="C75" s="64">
        <v>45.47</v>
      </c>
      <c r="D75" s="64">
        <v>33.85</v>
      </c>
      <c r="E75" s="64">
        <v>23.6</v>
      </c>
      <c r="F75" s="64">
        <v>7.14</v>
      </c>
      <c r="G75" s="64">
        <v>66.97</v>
      </c>
      <c r="H75" s="64">
        <v>25.22</v>
      </c>
      <c r="I75" s="64">
        <v>0.1</v>
      </c>
      <c r="J75" s="64">
        <v>0.82</v>
      </c>
      <c r="K75" s="64">
        <v>343.31</v>
      </c>
      <c r="L75" s="64">
        <v>22.68</v>
      </c>
      <c r="M75" s="64">
        <v>34.869999999999997</v>
      </c>
      <c r="N75" s="64">
        <v>47.1</v>
      </c>
      <c r="O75" s="64">
        <v>0</v>
      </c>
      <c r="P75" s="64">
        <v>1.33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4" t="s">
        <v>1370</v>
      </c>
      <c r="B76" s="64">
        <v>19.11</v>
      </c>
      <c r="C76" s="64">
        <v>43.53</v>
      </c>
      <c r="D76" s="64">
        <v>37.6</v>
      </c>
      <c r="E76" s="64">
        <v>19.78</v>
      </c>
      <c r="F76" s="64">
        <v>6.02</v>
      </c>
      <c r="G76" s="64">
        <v>70.78</v>
      </c>
      <c r="H76" s="64">
        <v>26.22</v>
      </c>
      <c r="I76" s="64">
        <v>0.1</v>
      </c>
      <c r="J76" s="64">
        <v>0.4</v>
      </c>
      <c r="K76" s="64">
        <v>49.25</v>
      </c>
      <c r="L76" s="64">
        <v>22.08</v>
      </c>
      <c r="M76" s="64">
        <v>35.75</v>
      </c>
      <c r="N76" s="64">
        <v>40.700000000000003</v>
      </c>
      <c r="O76" s="64">
        <v>0</v>
      </c>
      <c r="P76" s="64">
        <v>1.4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4" t="s">
        <v>1371</v>
      </c>
      <c r="B77" s="64">
        <v>17.16</v>
      </c>
      <c r="C77" s="64">
        <v>39.49</v>
      </c>
      <c r="D77" s="64">
        <v>33.93</v>
      </c>
      <c r="E77" s="64">
        <v>14.8</v>
      </c>
      <c r="F77" s="64">
        <v>4.87</v>
      </c>
      <c r="G77" s="64">
        <v>86.02</v>
      </c>
      <c r="H77" s="64">
        <v>29.16</v>
      </c>
      <c r="I77" s="64">
        <v>0.1</v>
      </c>
      <c r="J77" s="64">
        <v>0.36</v>
      </c>
      <c r="K77" s="64">
        <v>60.59</v>
      </c>
      <c r="L77" s="64">
        <v>21.42</v>
      </c>
      <c r="M77" s="64">
        <v>37.71</v>
      </c>
      <c r="N77" s="64">
        <v>36.1</v>
      </c>
      <c r="O77" s="64">
        <v>0</v>
      </c>
      <c r="P77" s="64">
        <v>1.37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4" t="s">
        <v>1372</v>
      </c>
      <c r="B78" s="64">
        <v>13.34</v>
      </c>
      <c r="C78" s="64">
        <v>31.17</v>
      </c>
      <c r="D78" s="64">
        <v>26.52</v>
      </c>
      <c r="E78" s="64">
        <v>6.32</v>
      </c>
      <c r="F78" s="64">
        <v>3.52</v>
      </c>
      <c r="G78" s="64">
        <v>86.02</v>
      </c>
      <c r="H78" s="64">
        <v>29.16</v>
      </c>
      <c r="I78" s="64">
        <v>0.1</v>
      </c>
      <c r="J78" s="64">
        <v>0.62</v>
      </c>
      <c r="K78" s="64">
        <v>344.91</v>
      </c>
      <c r="L78" s="64">
        <v>20.56</v>
      </c>
      <c r="M78" s="64">
        <v>45.37</v>
      </c>
      <c r="N78" s="64">
        <v>34</v>
      </c>
      <c r="O78" s="64">
        <v>0</v>
      </c>
      <c r="P78" s="64">
        <v>1.18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4" t="s">
        <v>1373</v>
      </c>
      <c r="B79" s="64">
        <v>16.190000000000001</v>
      </c>
      <c r="C79" s="64">
        <v>31.07</v>
      </c>
      <c r="D79" s="64">
        <v>28.75</v>
      </c>
      <c r="E79" s="64">
        <v>6.2</v>
      </c>
      <c r="F79" s="64">
        <v>2.96</v>
      </c>
      <c r="G79" s="64">
        <v>86.02</v>
      </c>
      <c r="H79" s="64">
        <v>29.16</v>
      </c>
      <c r="I79" s="64">
        <v>0.1</v>
      </c>
      <c r="J79" s="64">
        <v>0.56000000000000005</v>
      </c>
      <c r="K79" s="64">
        <v>148.97</v>
      </c>
      <c r="L79" s="64">
        <v>19.73</v>
      </c>
      <c r="M79" s="64">
        <v>47.06</v>
      </c>
      <c r="N79" s="64">
        <v>33.299999999999997</v>
      </c>
      <c r="O79" s="64">
        <v>0</v>
      </c>
      <c r="P79" s="64">
        <v>1.22</v>
      </c>
      <c r="Q79" s="64">
        <v>9.65</v>
      </c>
      <c r="R79" s="198"/>
      <c r="S79" s="198"/>
      <c r="T79" s="198"/>
      <c r="U79" s="198"/>
    </row>
    <row r="80" spans="1:21" s="12" customFormat="1" x14ac:dyDescent="0.25">
      <c r="A80" s="214" t="s">
        <v>1374</v>
      </c>
      <c r="B80" s="64">
        <v>18.190000000000001</v>
      </c>
      <c r="C80" s="64">
        <v>30.27</v>
      </c>
      <c r="D80" s="64">
        <v>29.95</v>
      </c>
      <c r="E80" s="64">
        <v>5.64</v>
      </c>
      <c r="F80" s="64">
        <v>2.7</v>
      </c>
      <c r="G80" s="64">
        <v>91.32</v>
      </c>
      <c r="H80" s="64">
        <v>30.55</v>
      </c>
      <c r="I80" s="64">
        <v>0.1</v>
      </c>
      <c r="J80" s="64">
        <v>0.44</v>
      </c>
      <c r="K80" s="64">
        <v>99.76</v>
      </c>
      <c r="L80" s="64">
        <v>18.95</v>
      </c>
      <c r="M80" s="64">
        <v>50.23</v>
      </c>
      <c r="N80" s="64">
        <v>33.200000000000003</v>
      </c>
      <c r="O80" s="64">
        <v>0</v>
      </c>
      <c r="P80" s="64">
        <v>1.23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4" t="s">
        <v>1375</v>
      </c>
      <c r="B81" s="64">
        <v>22.62</v>
      </c>
      <c r="C81" s="64">
        <v>28.49</v>
      </c>
      <c r="D81" s="64">
        <v>32.57</v>
      </c>
      <c r="E81" s="64">
        <v>5.92</v>
      </c>
      <c r="F81" s="64">
        <v>2.72</v>
      </c>
      <c r="G81" s="64">
        <v>112.52</v>
      </c>
      <c r="H81" s="64">
        <v>36.880000000000003</v>
      </c>
      <c r="I81" s="64">
        <v>0.1</v>
      </c>
      <c r="J81" s="64">
        <v>0.6</v>
      </c>
      <c r="K81" s="64">
        <v>9.57</v>
      </c>
      <c r="L81" s="64">
        <v>18.29</v>
      </c>
      <c r="M81" s="64">
        <v>55.93</v>
      </c>
      <c r="N81" s="64">
        <v>33</v>
      </c>
      <c r="O81" s="64">
        <v>0</v>
      </c>
      <c r="P81" s="64">
        <v>1.33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14" t="s">
        <v>1376</v>
      </c>
      <c r="B82" s="64">
        <v>26.64</v>
      </c>
      <c r="C82" s="64">
        <v>26.34</v>
      </c>
      <c r="D82" s="64">
        <v>34.67</v>
      </c>
      <c r="E82" s="64">
        <v>5.79</v>
      </c>
      <c r="F82" s="64">
        <v>2.79</v>
      </c>
      <c r="G82" s="64">
        <v>112.52</v>
      </c>
      <c r="H82" s="64">
        <v>36.880000000000003</v>
      </c>
      <c r="I82" s="64">
        <v>0.1</v>
      </c>
      <c r="J82" s="64">
        <v>0.67</v>
      </c>
      <c r="K82" s="64">
        <v>147.76</v>
      </c>
      <c r="L82" s="64">
        <v>18.170000000000002</v>
      </c>
      <c r="M82" s="64">
        <v>54.16</v>
      </c>
      <c r="N82" s="64">
        <v>32.9</v>
      </c>
      <c r="O82" s="64">
        <v>0</v>
      </c>
      <c r="P82" s="64">
        <v>1.42</v>
      </c>
      <c r="Q82" s="64">
        <v>9.67</v>
      </c>
      <c r="R82" s="198"/>
      <c r="S82" s="198"/>
      <c r="T82" s="198"/>
      <c r="U82" s="198"/>
    </row>
    <row r="83" spans="1:26" s="12" customFormat="1" x14ac:dyDescent="0.25">
      <c r="A83" s="214" t="s">
        <v>1377</v>
      </c>
      <c r="B83" s="64">
        <v>28.6</v>
      </c>
      <c r="C83" s="64">
        <v>26.1</v>
      </c>
      <c r="D83" s="64">
        <v>36.11</v>
      </c>
      <c r="E83" s="64">
        <v>5.66</v>
      </c>
      <c r="F83" s="64">
        <v>2.88</v>
      </c>
      <c r="G83" s="64">
        <v>112.52</v>
      </c>
      <c r="H83" s="64">
        <v>36.880000000000003</v>
      </c>
      <c r="I83" s="64">
        <v>0.1</v>
      </c>
      <c r="J83" s="64">
        <v>0.22</v>
      </c>
      <c r="K83" s="64">
        <v>29.55</v>
      </c>
      <c r="L83" s="64">
        <v>17.93</v>
      </c>
      <c r="M83" s="64">
        <v>54.44</v>
      </c>
      <c r="N83" s="64">
        <v>33</v>
      </c>
      <c r="O83" s="64">
        <v>0</v>
      </c>
      <c r="P83" s="64">
        <v>1.5</v>
      </c>
      <c r="Q83" s="64">
        <v>9.67</v>
      </c>
      <c r="R83" s="198"/>
      <c r="S83" s="198"/>
      <c r="T83" s="198"/>
      <c r="U83" s="198"/>
    </row>
    <row r="84" spans="1:26" s="12" customFormat="1" x14ac:dyDescent="0.25">
      <c r="A84" s="214" t="s">
        <v>1378</v>
      </c>
      <c r="B84" s="64">
        <v>32.76</v>
      </c>
      <c r="C84" s="64">
        <v>24.88</v>
      </c>
      <c r="D84" s="64">
        <v>38.81</v>
      </c>
      <c r="E84" s="64">
        <v>5.38</v>
      </c>
      <c r="F84" s="64">
        <v>2.96</v>
      </c>
      <c r="G84" s="64">
        <v>118.26</v>
      </c>
      <c r="H84" s="64">
        <v>38.89</v>
      </c>
      <c r="I84" s="64">
        <v>0.1</v>
      </c>
      <c r="J84" s="64">
        <v>0.59</v>
      </c>
      <c r="K84" s="64">
        <v>12.3</v>
      </c>
      <c r="L84" s="64">
        <v>17.63</v>
      </c>
      <c r="M84" s="64">
        <v>57.67</v>
      </c>
      <c r="N84" s="64">
        <v>32.9</v>
      </c>
      <c r="O84" s="64">
        <v>0</v>
      </c>
      <c r="P84" s="64">
        <v>1.6</v>
      </c>
      <c r="Q84" s="64">
        <v>9.68</v>
      </c>
      <c r="R84" s="198"/>
      <c r="S84" s="198"/>
      <c r="T84" s="198"/>
      <c r="U84" s="198"/>
    </row>
    <row r="85" spans="1:26" s="12" customFormat="1" x14ac:dyDescent="0.25">
      <c r="A85" s="214" t="s">
        <v>1379</v>
      </c>
      <c r="B85" s="64">
        <v>34.9</v>
      </c>
      <c r="C85" s="64">
        <v>22.24</v>
      </c>
      <c r="D85" s="64">
        <v>39.14</v>
      </c>
      <c r="E85" s="64">
        <v>5.55</v>
      </c>
      <c r="F85" s="64">
        <v>2.94</v>
      </c>
      <c r="G85" s="64">
        <v>141.24</v>
      </c>
      <c r="H85" s="64">
        <v>44.79</v>
      </c>
      <c r="I85" s="64">
        <v>0.1</v>
      </c>
      <c r="J85" s="64">
        <v>0.81</v>
      </c>
      <c r="K85" s="64">
        <v>127.42</v>
      </c>
      <c r="L85" s="64">
        <v>17.43</v>
      </c>
      <c r="M85" s="64">
        <v>60.18</v>
      </c>
      <c r="N85" s="64">
        <v>32.700000000000003</v>
      </c>
      <c r="O85" s="64">
        <v>0</v>
      </c>
      <c r="P85" s="64">
        <v>1.63</v>
      </c>
      <c r="Q85" s="64">
        <v>9.68</v>
      </c>
      <c r="R85" s="198"/>
      <c r="S85" s="198"/>
      <c r="T85" s="198"/>
      <c r="U85" s="198"/>
    </row>
    <row r="86" spans="1:26" s="12" customFormat="1" x14ac:dyDescent="0.25">
      <c r="A86" s="214" t="s">
        <v>1380</v>
      </c>
      <c r="B86" s="64">
        <v>38.909999999999997</v>
      </c>
      <c r="C86" s="64">
        <v>20.47</v>
      </c>
      <c r="D86" s="64">
        <v>41.44</v>
      </c>
      <c r="E86" s="64">
        <v>5.84</v>
      </c>
      <c r="F86" s="64">
        <v>2.64</v>
      </c>
      <c r="G86" s="64">
        <v>141.24</v>
      </c>
      <c r="H86" s="64">
        <v>44.79</v>
      </c>
      <c r="I86" s="64">
        <v>0.1</v>
      </c>
      <c r="J86" s="64">
        <v>0.37</v>
      </c>
      <c r="K86" s="64">
        <v>229.16</v>
      </c>
      <c r="L86" s="64">
        <v>17.079999999999998</v>
      </c>
      <c r="M86" s="64">
        <v>64.790000000000006</v>
      </c>
      <c r="N86" s="64">
        <v>32.799999999999997</v>
      </c>
      <c r="O86" s="64">
        <v>0</v>
      </c>
      <c r="P86" s="64">
        <v>1.79</v>
      </c>
      <c r="Q86" s="64">
        <v>9.69</v>
      </c>
      <c r="R86" s="198"/>
      <c r="S86" s="198"/>
      <c r="T86" s="198"/>
      <c r="U86" s="198"/>
    </row>
    <row r="87" spans="1:26" s="12" customFormat="1" x14ac:dyDescent="0.25">
      <c r="A87" s="214" t="s">
        <v>1381</v>
      </c>
      <c r="B87" s="64">
        <v>45.01</v>
      </c>
      <c r="C87" s="64">
        <v>17.73</v>
      </c>
      <c r="D87" s="64">
        <v>44.9</v>
      </c>
      <c r="E87" s="64">
        <v>5.39</v>
      </c>
      <c r="F87" s="64">
        <v>2.6</v>
      </c>
      <c r="G87" s="64">
        <v>141.24</v>
      </c>
      <c r="H87" s="64">
        <v>44.79</v>
      </c>
      <c r="I87" s="64">
        <v>0.1</v>
      </c>
      <c r="J87" s="64">
        <v>0.67</v>
      </c>
      <c r="K87" s="64">
        <v>184.98</v>
      </c>
      <c r="L87" s="64">
        <v>16.84</v>
      </c>
      <c r="M87" s="64">
        <v>63.47</v>
      </c>
      <c r="N87" s="64">
        <v>32.9</v>
      </c>
      <c r="O87" s="64">
        <v>0</v>
      </c>
      <c r="P87" s="64">
        <v>1.9</v>
      </c>
      <c r="Q87" s="64">
        <v>9.6999999999999993</v>
      </c>
      <c r="R87" s="198"/>
      <c r="S87" s="198"/>
      <c r="T87" s="198"/>
      <c r="U87" s="198"/>
    </row>
    <row r="88" spans="1:26" s="12" customFormat="1" x14ac:dyDescent="0.25">
      <c r="A88" s="214" t="s">
        <v>1382</v>
      </c>
      <c r="B88" s="64">
        <v>51.46</v>
      </c>
      <c r="C88" s="64">
        <v>14.58</v>
      </c>
      <c r="D88" s="64">
        <v>48.43</v>
      </c>
      <c r="E88" s="64">
        <v>5.71</v>
      </c>
      <c r="F88" s="64">
        <v>2.56</v>
      </c>
      <c r="G88" s="64">
        <v>148.29</v>
      </c>
      <c r="H88" s="64">
        <v>48.19</v>
      </c>
      <c r="I88" s="64">
        <v>0.1</v>
      </c>
      <c r="J88" s="64">
        <v>0.7</v>
      </c>
      <c r="K88" s="64">
        <v>271.57</v>
      </c>
      <c r="L88" s="64">
        <v>16.59</v>
      </c>
      <c r="M88" s="64">
        <v>63.77</v>
      </c>
      <c r="N88" s="64">
        <v>32.9</v>
      </c>
      <c r="O88" s="64">
        <v>0</v>
      </c>
      <c r="P88" s="64">
        <v>2.04</v>
      </c>
      <c r="Q88" s="64">
        <v>9.7100000000000009</v>
      </c>
      <c r="R88" s="198"/>
      <c r="S88" s="198"/>
      <c r="T88" s="198"/>
      <c r="U88" s="198"/>
    </row>
    <row r="89" spans="1:26" s="12" customFormat="1" x14ac:dyDescent="0.25">
      <c r="A89" s="214" t="s">
        <v>1383</v>
      </c>
      <c r="B89" s="64">
        <v>57.64</v>
      </c>
      <c r="C89" s="64">
        <v>11.58</v>
      </c>
      <c r="D89" s="64">
        <v>51.81</v>
      </c>
      <c r="E89" s="64">
        <v>5.7</v>
      </c>
      <c r="F89" s="64">
        <v>2.75</v>
      </c>
      <c r="G89" s="64">
        <v>176.49</v>
      </c>
      <c r="H89" s="64">
        <v>58.21</v>
      </c>
      <c r="I89" s="64">
        <v>0.1</v>
      </c>
      <c r="J89" s="64">
        <v>0.79</v>
      </c>
      <c r="K89" s="64">
        <v>316.35000000000002</v>
      </c>
      <c r="L89" s="64">
        <v>16.350000000000001</v>
      </c>
      <c r="M89" s="64">
        <v>70.62</v>
      </c>
      <c r="N89" s="64">
        <v>32.9</v>
      </c>
      <c r="O89" s="64">
        <v>0</v>
      </c>
      <c r="P89" s="64">
        <v>2.2200000000000002</v>
      </c>
      <c r="Q89" s="64">
        <v>9.73</v>
      </c>
      <c r="R89" s="198"/>
      <c r="S89" s="198"/>
      <c r="T89" s="198"/>
      <c r="U89" s="198"/>
    </row>
    <row r="90" spans="1:26" s="12" customFormat="1" x14ac:dyDescent="0.25">
      <c r="A90" s="214" t="s">
        <v>1384</v>
      </c>
      <c r="B90" s="64">
        <v>65.540000000000006</v>
      </c>
      <c r="C90" s="64">
        <v>7.08</v>
      </c>
      <c r="D90" s="64">
        <v>55.8</v>
      </c>
      <c r="E90" s="64">
        <v>5.95</v>
      </c>
      <c r="F90" s="64">
        <v>2.93</v>
      </c>
      <c r="G90" s="64">
        <v>176.49</v>
      </c>
      <c r="H90" s="64">
        <v>58.21</v>
      </c>
      <c r="I90" s="64">
        <v>0.1</v>
      </c>
      <c r="J90" s="64">
        <v>0.66</v>
      </c>
      <c r="K90" s="64">
        <v>291.33999999999997</v>
      </c>
      <c r="L90" s="64">
        <v>16.07</v>
      </c>
      <c r="M90" s="64">
        <v>68.44</v>
      </c>
      <c r="N90" s="64">
        <v>32.9</v>
      </c>
      <c r="O90" s="64">
        <v>0</v>
      </c>
      <c r="P90" s="64">
        <v>2.42</v>
      </c>
      <c r="Q90" s="64">
        <v>9.74</v>
      </c>
      <c r="R90" s="198"/>
      <c r="S90" s="198"/>
      <c r="T90" s="198"/>
      <c r="U90" s="198"/>
    </row>
    <row r="91" spans="1:26" s="12" customFormat="1" x14ac:dyDescent="0.25">
      <c r="A91" s="214" t="s">
        <v>1385</v>
      </c>
      <c r="B91" s="64">
        <v>70.599999999999994</v>
      </c>
      <c r="C91" s="64">
        <v>4.42</v>
      </c>
      <c r="D91" s="64">
        <v>58.46</v>
      </c>
      <c r="E91" s="64">
        <v>6.27</v>
      </c>
      <c r="F91" s="64">
        <v>3.12</v>
      </c>
      <c r="G91" s="64">
        <v>176.49</v>
      </c>
      <c r="H91" s="64">
        <v>58.21</v>
      </c>
      <c r="I91" s="64">
        <v>0.1</v>
      </c>
      <c r="J91" s="64">
        <v>0.21</v>
      </c>
      <c r="K91" s="64">
        <v>241.1</v>
      </c>
      <c r="L91" s="64">
        <v>15.94</v>
      </c>
      <c r="M91" s="64">
        <v>65.709999999999994</v>
      </c>
      <c r="N91" s="64">
        <v>32.799999999999997</v>
      </c>
      <c r="O91" s="64">
        <v>0</v>
      </c>
      <c r="P91" s="64">
        <v>2.52</v>
      </c>
      <c r="Q91" s="64">
        <v>9.74</v>
      </c>
      <c r="R91" s="198"/>
      <c r="S91" s="198"/>
      <c r="T91" s="198"/>
      <c r="U91" s="198"/>
    </row>
    <row r="92" spans="1:26" s="12" customFormat="1" x14ac:dyDescent="0.25">
      <c r="A92" s="214" t="s">
        <v>1386</v>
      </c>
      <c r="B92" s="64">
        <v>79.180000000000007</v>
      </c>
      <c r="C92" s="64">
        <v>1.1000000000000001</v>
      </c>
      <c r="D92" s="64">
        <v>63.02</v>
      </c>
      <c r="E92" s="64">
        <v>6.39</v>
      </c>
      <c r="F92" s="64">
        <v>2.89</v>
      </c>
      <c r="G92" s="64">
        <v>181.6</v>
      </c>
      <c r="H92" s="64">
        <v>61.91</v>
      </c>
      <c r="I92" s="64">
        <v>0.1</v>
      </c>
      <c r="J92" s="64">
        <v>0.14000000000000001</v>
      </c>
      <c r="K92" s="64">
        <v>272.89999999999998</v>
      </c>
      <c r="L92" s="64">
        <v>15.84</v>
      </c>
      <c r="M92" s="64">
        <v>72.599999999999994</v>
      </c>
      <c r="N92" s="64">
        <v>32.799999999999997</v>
      </c>
      <c r="O92" s="64">
        <v>0</v>
      </c>
      <c r="P92" s="64">
        <v>2.67</v>
      </c>
      <c r="Q92" s="64">
        <v>9.76</v>
      </c>
      <c r="R92" s="198"/>
      <c r="S92" s="198"/>
      <c r="T92" s="198"/>
      <c r="U92" s="198"/>
    </row>
    <row r="93" spans="1:26" s="12" customFormat="1" x14ac:dyDescent="0.25">
      <c r="A93" s="214" t="s">
        <v>1387</v>
      </c>
      <c r="B93" s="64">
        <v>88.48</v>
      </c>
      <c r="C93" s="6" t="s">
        <v>42</v>
      </c>
      <c r="D93" s="64">
        <v>67.97</v>
      </c>
      <c r="E93" s="64">
        <v>5.88</v>
      </c>
      <c r="F93" s="64">
        <v>3.12</v>
      </c>
      <c r="G93" s="64">
        <v>202.05</v>
      </c>
      <c r="H93" s="64">
        <v>72.819999999999993</v>
      </c>
      <c r="I93" s="64">
        <v>0.1</v>
      </c>
      <c r="J93" s="64">
        <v>0.24</v>
      </c>
      <c r="K93" s="64">
        <v>248.35</v>
      </c>
      <c r="L93" s="64">
        <v>15.54</v>
      </c>
      <c r="M93" s="64">
        <v>75.78</v>
      </c>
      <c r="N93" s="64">
        <v>32.799999999999997</v>
      </c>
      <c r="O93" s="64">
        <v>0</v>
      </c>
      <c r="P93" s="64">
        <v>2.82</v>
      </c>
      <c r="Q93" s="64">
        <v>9.7899999999999991</v>
      </c>
      <c r="R93" s="198"/>
      <c r="S93" s="198"/>
      <c r="T93" s="198"/>
      <c r="U93" s="198"/>
    </row>
    <row r="94" spans="1:26" s="12" customFormat="1" x14ac:dyDescent="0.25">
      <c r="A94" s="214" t="s">
        <v>1388</v>
      </c>
      <c r="B94" s="64">
        <v>99.96</v>
      </c>
      <c r="C94" s="6" t="s">
        <v>42</v>
      </c>
      <c r="D94" s="64">
        <v>74.06</v>
      </c>
      <c r="E94" s="64">
        <v>6.17</v>
      </c>
      <c r="F94" s="64">
        <v>3.17</v>
      </c>
      <c r="G94" s="64">
        <v>202.05</v>
      </c>
      <c r="H94" s="64">
        <v>72.819999999999993</v>
      </c>
      <c r="I94" s="64">
        <v>0.1</v>
      </c>
      <c r="J94" s="64">
        <v>0.51</v>
      </c>
      <c r="K94" s="64">
        <v>320.92</v>
      </c>
      <c r="L94" s="64">
        <v>15.43</v>
      </c>
      <c r="M94" s="64">
        <v>78.56</v>
      </c>
      <c r="N94" s="64">
        <v>32.9</v>
      </c>
      <c r="O94" s="64">
        <v>0</v>
      </c>
      <c r="P94" s="64">
        <v>2.95</v>
      </c>
      <c r="Q94" s="64">
        <v>9.82</v>
      </c>
      <c r="R94" s="198"/>
      <c r="S94" s="198"/>
      <c r="T94" s="198"/>
      <c r="U94" s="198"/>
    </row>
    <row r="95" spans="1:26" s="12" customFormat="1" x14ac:dyDescent="0.25">
      <c r="A95" s="214" t="s">
        <v>1389</v>
      </c>
      <c r="B95" s="64">
        <v>110.86</v>
      </c>
      <c r="C95" s="6" t="s">
        <v>42</v>
      </c>
      <c r="D95" s="64">
        <v>79.510000000000005</v>
      </c>
      <c r="E95" s="64">
        <v>6.56</v>
      </c>
      <c r="F95" s="64">
        <v>3.17</v>
      </c>
      <c r="G95" s="64">
        <v>202.05</v>
      </c>
      <c r="H95" s="64">
        <v>72.819999999999993</v>
      </c>
      <c r="I95" s="64">
        <v>0.1</v>
      </c>
      <c r="J95" s="64">
        <v>0.7</v>
      </c>
      <c r="K95" s="64">
        <v>330.66</v>
      </c>
      <c r="L95" s="64">
        <v>15.23</v>
      </c>
      <c r="M95" s="64">
        <v>84.98</v>
      </c>
      <c r="N95" s="64">
        <v>32.9</v>
      </c>
      <c r="O95" s="64">
        <v>0</v>
      </c>
      <c r="P95" s="64">
        <v>3.08</v>
      </c>
      <c r="Q95" s="64">
        <v>9.84</v>
      </c>
      <c r="R95" s="198"/>
      <c r="S95" s="198"/>
      <c r="T95" s="198"/>
      <c r="U95" s="198"/>
    </row>
    <row r="96" spans="1:26" s="12" customFormat="1" x14ac:dyDescent="0.25">
      <c r="A96" s="214" t="s">
        <v>1390</v>
      </c>
      <c r="B96" s="64">
        <v>120.83</v>
      </c>
      <c r="C96" s="6" t="s">
        <v>42</v>
      </c>
      <c r="D96" s="64">
        <v>84.39</v>
      </c>
      <c r="E96" s="64">
        <v>6.55</v>
      </c>
      <c r="F96" s="64">
        <v>3.41</v>
      </c>
      <c r="G96" s="64">
        <v>210.84</v>
      </c>
      <c r="H96" s="64">
        <v>74.569999999999993</v>
      </c>
      <c r="I96" s="64">
        <v>0.1</v>
      </c>
      <c r="J96" s="64">
        <v>0.36</v>
      </c>
      <c r="K96" s="64">
        <v>309.92</v>
      </c>
      <c r="L96" s="64">
        <v>15.05</v>
      </c>
      <c r="M96" s="64">
        <v>84.83</v>
      </c>
      <c r="N96" s="64">
        <v>32.799999999999997</v>
      </c>
      <c r="O96" s="64">
        <v>0</v>
      </c>
      <c r="P96" s="64">
        <v>3.22</v>
      </c>
      <c r="Q96" s="64">
        <v>9.85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1391</v>
      </c>
      <c r="B97" s="64">
        <v>128.41999999999999</v>
      </c>
      <c r="C97" s="6" t="s">
        <v>42</v>
      </c>
      <c r="D97" s="64">
        <v>88.17</v>
      </c>
      <c r="E97" s="64">
        <v>6.76</v>
      </c>
      <c r="F97" s="64">
        <v>3.28</v>
      </c>
      <c r="G97" s="64">
        <v>245.99</v>
      </c>
      <c r="H97" s="64">
        <v>82.54</v>
      </c>
      <c r="I97" s="64">
        <v>0.1</v>
      </c>
      <c r="J97" s="64">
        <v>0.51</v>
      </c>
      <c r="K97" s="64">
        <v>288.08999999999997</v>
      </c>
      <c r="L97" s="64">
        <v>15.26</v>
      </c>
      <c r="M97" s="64">
        <v>82.33</v>
      </c>
      <c r="N97" s="64">
        <v>32.799999999999997</v>
      </c>
      <c r="O97" s="64">
        <v>0</v>
      </c>
      <c r="P97" s="64">
        <v>3.3</v>
      </c>
      <c r="Q97" s="64">
        <v>9.85</v>
      </c>
      <c r="R97" s="198"/>
      <c r="S97" s="198"/>
      <c r="T97" s="198"/>
      <c r="U97" s="198"/>
    </row>
    <row r="98" spans="1:33" s="12" customFormat="1" x14ac:dyDescent="0.25">
      <c r="A98" s="214" t="s">
        <v>1392</v>
      </c>
      <c r="B98" s="64">
        <v>138.91</v>
      </c>
      <c r="C98" s="6" t="s">
        <v>42</v>
      </c>
      <c r="D98" s="64">
        <v>93.57</v>
      </c>
      <c r="E98" s="64">
        <v>7.29</v>
      </c>
      <c r="F98" s="64">
        <v>3.31</v>
      </c>
      <c r="G98" s="64">
        <v>245.99</v>
      </c>
      <c r="H98" s="64">
        <v>82.54</v>
      </c>
      <c r="I98" s="64">
        <v>0.1</v>
      </c>
      <c r="J98" s="64">
        <v>0.8</v>
      </c>
      <c r="K98" s="64">
        <v>356.44</v>
      </c>
      <c r="L98" s="64">
        <v>14.89</v>
      </c>
      <c r="M98" s="64">
        <v>85.87</v>
      </c>
      <c r="N98" s="64">
        <v>32.9</v>
      </c>
      <c r="O98" s="64">
        <v>0</v>
      </c>
      <c r="P98" s="64">
        <v>3.44</v>
      </c>
      <c r="Q98" s="64">
        <v>9.8699999999999992</v>
      </c>
      <c r="R98" s="198"/>
      <c r="S98" s="198"/>
      <c r="T98" s="198"/>
      <c r="U98" s="198"/>
    </row>
    <row r="99" spans="1:33" s="12" customFormat="1" x14ac:dyDescent="0.25">
      <c r="A99" s="214" t="s">
        <v>1393</v>
      </c>
      <c r="B99" s="64">
        <v>147.25</v>
      </c>
      <c r="C99" s="6" t="s">
        <v>42</v>
      </c>
      <c r="D99" s="64">
        <v>97.92</v>
      </c>
      <c r="E99" s="64">
        <v>6.87</v>
      </c>
      <c r="F99" s="64">
        <v>3.32</v>
      </c>
      <c r="G99" s="64">
        <v>245.99</v>
      </c>
      <c r="H99" s="64">
        <v>82.54</v>
      </c>
      <c r="I99" s="64">
        <v>0.1</v>
      </c>
      <c r="J99" s="64">
        <v>0.72</v>
      </c>
      <c r="K99" s="64">
        <v>331.4</v>
      </c>
      <c r="L99" s="64">
        <v>14.67</v>
      </c>
      <c r="M99" s="64">
        <v>87.14</v>
      </c>
      <c r="N99" s="64">
        <v>32.9</v>
      </c>
      <c r="O99" s="64">
        <v>0</v>
      </c>
      <c r="P99" s="64">
        <v>3.58</v>
      </c>
      <c r="Q99" s="64">
        <v>9.89</v>
      </c>
      <c r="R99" s="198"/>
      <c r="S99" s="198"/>
      <c r="T99" s="198"/>
      <c r="U99" s="198"/>
    </row>
    <row r="100" spans="1:33" s="12" customFormat="1" x14ac:dyDescent="0.25">
      <c r="A100" s="214" t="s">
        <v>1394</v>
      </c>
      <c r="B100" s="64">
        <v>155.32</v>
      </c>
      <c r="C100" s="6" t="s">
        <v>42</v>
      </c>
      <c r="D100" s="64">
        <v>102.04</v>
      </c>
      <c r="E100" s="64">
        <v>6.82</v>
      </c>
      <c r="F100" s="64">
        <v>3.47</v>
      </c>
      <c r="G100" s="64">
        <v>247.58</v>
      </c>
      <c r="H100" s="64">
        <v>84.6</v>
      </c>
      <c r="I100" s="64">
        <v>0.1</v>
      </c>
      <c r="J100" s="64">
        <v>0.27</v>
      </c>
      <c r="K100" s="64">
        <v>158</v>
      </c>
      <c r="L100" s="64">
        <v>14.49</v>
      </c>
      <c r="M100" s="64">
        <v>90.33</v>
      </c>
      <c r="N100" s="64">
        <v>32.9</v>
      </c>
      <c r="O100" s="64">
        <v>0</v>
      </c>
      <c r="P100" s="64">
        <v>3.73</v>
      </c>
      <c r="Q100" s="64">
        <v>9.91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1395</v>
      </c>
      <c r="B101" s="64">
        <v>162.86000000000001</v>
      </c>
      <c r="C101" s="6" t="s">
        <v>42</v>
      </c>
      <c r="D101" s="64">
        <v>105.84</v>
      </c>
      <c r="E101" s="64">
        <v>7.02</v>
      </c>
      <c r="F101" s="64">
        <v>3.28</v>
      </c>
      <c r="G101" s="64">
        <v>253.93</v>
      </c>
      <c r="H101" s="64">
        <v>90.66</v>
      </c>
      <c r="I101" s="64">
        <v>0.1</v>
      </c>
      <c r="J101" s="64">
        <v>0.78</v>
      </c>
      <c r="K101" s="64">
        <v>159.07</v>
      </c>
      <c r="L101" s="64">
        <v>14.35</v>
      </c>
      <c r="M101" s="64">
        <v>94.43</v>
      </c>
      <c r="N101" s="64">
        <v>32.9</v>
      </c>
      <c r="O101" s="64">
        <v>0</v>
      </c>
      <c r="P101" s="64">
        <v>3.87</v>
      </c>
      <c r="Q101" s="64">
        <v>9.91</v>
      </c>
      <c r="R101" s="198"/>
      <c r="S101" s="198"/>
      <c r="T101" s="198"/>
      <c r="U101" s="198"/>
    </row>
    <row r="102" spans="1:33" s="12" customFormat="1" x14ac:dyDescent="0.25">
      <c r="A102" s="214" t="s">
        <v>1396</v>
      </c>
      <c r="B102" s="64">
        <v>168.93</v>
      </c>
      <c r="C102" s="6" t="s">
        <v>42</v>
      </c>
      <c r="D102" s="64">
        <v>108.9</v>
      </c>
      <c r="E102" s="64">
        <v>7.24</v>
      </c>
      <c r="F102" s="64">
        <v>3.38</v>
      </c>
      <c r="G102" s="64">
        <v>253.93</v>
      </c>
      <c r="H102" s="64">
        <v>90.66</v>
      </c>
      <c r="I102" s="64">
        <v>0.1</v>
      </c>
      <c r="J102" s="64">
        <v>0.72</v>
      </c>
      <c r="K102" s="64">
        <v>138.13</v>
      </c>
      <c r="L102" s="64">
        <v>14.15</v>
      </c>
      <c r="M102" s="64">
        <v>98.67</v>
      </c>
      <c r="N102" s="64">
        <v>32.799999999999997</v>
      </c>
      <c r="O102" s="64">
        <v>0</v>
      </c>
      <c r="P102" s="64">
        <v>3.97</v>
      </c>
      <c r="Q102" s="64">
        <v>9.94</v>
      </c>
      <c r="R102" s="198"/>
      <c r="S102" s="198"/>
      <c r="T102" s="198"/>
      <c r="U102" s="198"/>
    </row>
    <row r="103" spans="1:33" s="12" customFormat="1" x14ac:dyDescent="0.25">
      <c r="A103" s="214" t="s">
        <v>1397</v>
      </c>
      <c r="B103" s="64">
        <v>172.59</v>
      </c>
      <c r="C103" s="6" t="s">
        <v>42</v>
      </c>
      <c r="D103" s="64">
        <v>110.56</v>
      </c>
      <c r="E103" s="64">
        <v>7.03</v>
      </c>
      <c r="F103" s="64">
        <v>3.2</v>
      </c>
      <c r="G103" s="64">
        <v>253.93</v>
      </c>
      <c r="H103" s="64">
        <v>90.66</v>
      </c>
      <c r="I103" s="64">
        <v>0.1</v>
      </c>
      <c r="J103" s="64">
        <v>0.6</v>
      </c>
      <c r="K103" s="64">
        <v>307.44</v>
      </c>
      <c r="L103" s="64">
        <v>14.06</v>
      </c>
      <c r="M103" s="64">
        <v>103.15</v>
      </c>
      <c r="N103" s="64">
        <v>32.9</v>
      </c>
      <c r="O103" s="64">
        <v>0</v>
      </c>
      <c r="P103" s="64">
        <v>4.05</v>
      </c>
      <c r="Q103" s="64">
        <v>9.94</v>
      </c>
      <c r="R103" s="198"/>
      <c r="S103" s="198"/>
      <c r="T103" s="198"/>
      <c r="U103" s="198"/>
    </row>
    <row r="104" spans="1:33" s="12" customFormat="1" x14ac:dyDescent="0.25">
      <c r="A104" s="214" t="s">
        <v>1398</v>
      </c>
      <c r="B104" s="64">
        <v>174.76</v>
      </c>
      <c r="C104" s="6" t="s">
        <v>42</v>
      </c>
      <c r="D104" s="64">
        <v>111.45</v>
      </c>
      <c r="E104" s="64">
        <v>7.16</v>
      </c>
      <c r="F104" s="64">
        <v>3.12</v>
      </c>
      <c r="G104" s="64">
        <v>249.64</v>
      </c>
      <c r="H104" s="64">
        <v>91.73</v>
      </c>
      <c r="I104" s="64">
        <v>0.1</v>
      </c>
      <c r="J104" s="64">
        <v>0.66</v>
      </c>
      <c r="K104" s="64">
        <v>268.35000000000002</v>
      </c>
      <c r="L104" s="64">
        <v>13.99</v>
      </c>
      <c r="M104" s="64">
        <v>102.3</v>
      </c>
      <c r="N104" s="64">
        <v>32.9</v>
      </c>
      <c r="O104" s="64">
        <v>0</v>
      </c>
      <c r="P104" s="64">
        <v>4.0999999999999996</v>
      </c>
      <c r="Q104" s="64">
        <v>9.94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7.26</v>
      </c>
      <c r="C106" s="67">
        <f>MIN(C9:C104)</f>
        <v>0.69</v>
      </c>
      <c r="D106" s="67">
        <f t="shared" ref="D106:Q106" si="0">MIN(D9:D104)</f>
        <v>22.26</v>
      </c>
      <c r="E106" s="67">
        <f t="shared" si="0"/>
        <v>4.7300000000000004</v>
      </c>
      <c r="F106" s="67">
        <f t="shared" si="0"/>
        <v>2.56</v>
      </c>
      <c r="G106" s="67">
        <f t="shared" si="0"/>
        <v>39.32</v>
      </c>
      <c r="H106" s="67">
        <f t="shared" si="0"/>
        <v>20.84</v>
      </c>
      <c r="I106" s="67">
        <f t="shared" si="0"/>
        <v>0.1</v>
      </c>
      <c r="J106" s="67">
        <f t="shared" si="0"/>
        <v>0.03</v>
      </c>
      <c r="K106" s="67">
        <f t="shared" si="0"/>
        <v>0.35</v>
      </c>
      <c r="L106" s="67">
        <f t="shared" si="0"/>
        <v>10.59</v>
      </c>
      <c r="M106" s="67">
        <f t="shared" si="0"/>
        <v>19.420000000000002</v>
      </c>
      <c r="N106" s="67">
        <f t="shared" si="0"/>
        <v>32.200000000000003</v>
      </c>
      <c r="O106" s="67">
        <f t="shared" si="0"/>
        <v>0</v>
      </c>
      <c r="P106" s="67">
        <f t="shared" si="0"/>
        <v>0.86</v>
      </c>
      <c r="Q106" s="67">
        <f t="shared" si="0"/>
        <v>9.6300000000000008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174.76</v>
      </c>
      <c r="C107" s="66">
        <f t="shared" ref="C107:Q107" si="1">MAX(C9:C104)</f>
        <v>45.47</v>
      </c>
      <c r="D107" s="66">
        <f t="shared" si="1"/>
        <v>111.45</v>
      </c>
      <c r="E107" s="66">
        <f t="shared" si="1"/>
        <v>43.2</v>
      </c>
      <c r="F107" s="66">
        <f t="shared" si="1"/>
        <v>19.23</v>
      </c>
      <c r="G107" s="66">
        <f t="shared" si="1"/>
        <v>253.93</v>
      </c>
      <c r="H107" s="66">
        <f t="shared" si="1"/>
        <v>91.73</v>
      </c>
      <c r="I107" s="66">
        <f t="shared" si="1"/>
        <v>0.1</v>
      </c>
      <c r="J107" s="66">
        <f t="shared" si="1"/>
        <v>2.12</v>
      </c>
      <c r="K107" s="66">
        <f t="shared" si="1"/>
        <v>356.44</v>
      </c>
      <c r="L107" s="66">
        <f t="shared" si="1"/>
        <v>29.08</v>
      </c>
      <c r="M107" s="66">
        <f t="shared" si="1"/>
        <v>103.15</v>
      </c>
      <c r="N107" s="66">
        <f t="shared" si="1"/>
        <v>536</v>
      </c>
      <c r="O107" s="66">
        <f t="shared" si="1"/>
        <v>0</v>
      </c>
      <c r="P107" s="66">
        <f t="shared" si="1"/>
        <v>4.0999999999999996</v>
      </c>
      <c r="Q107" s="66">
        <f t="shared" si="1"/>
        <v>9.94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65.271354166666669</v>
      </c>
      <c r="C108" s="67">
        <f t="shared" ref="C108:Q108" si="2">AVERAGE(C9:C104)</f>
        <v>23.080192307692304</v>
      </c>
      <c r="D108" s="67">
        <f t="shared" si="2"/>
        <v>52.93510416666669</v>
      </c>
      <c r="E108" s="67">
        <f t="shared" si="2"/>
        <v>8.7195833333333308</v>
      </c>
      <c r="F108" s="67">
        <f t="shared" si="2"/>
        <v>4.1651041666666666</v>
      </c>
      <c r="G108" s="67">
        <f t="shared" si="2"/>
        <v>111.96781249999998</v>
      </c>
      <c r="H108" s="67">
        <f t="shared" si="2"/>
        <v>44.37812499999999</v>
      </c>
      <c r="I108" s="67">
        <f t="shared" si="2"/>
        <v>9.9999999999999811E-2</v>
      </c>
      <c r="J108" s="67">
        <f t="shared" si="2"/>
        <v>0.62979166666666686</v>
      </c>
      <c r="K108" s="67">
        <f t="shared" si="2"/>
        <v>217.53208333333328</v>
      </c>
      <c r="L108" s="67">
        <f t="shared" si="2"/>
        <v>17.942604166666666</v>
      </c>
      <c r="M108" s="67">
        <f t="shared" si="2"/>
        <v>64.042395833333345</v>
      </c>
      <c r="N108" s="67">
        <f t="shared" si="2"/>
        <v>144.90833333333327</v>
      </c>
      <c r="O108" s="67">
        <f t="shared" si="2"/>
        <v>0</v>
      </c>
      <c r="P108" s="67">
        <f t="shared" si="2"/>
        <v>1.9126041666666669</v>
      </c>
      <c r="Q108" s="67">
        <f t="shared" si="2"/>
        <v>9.7374999999999989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47.037445612255325</v>
      </c>
      <c r="C109" s="67">
        <f t="shared" ref="C109:Q109" si="3">STDEV(C9:C104)</f>
        <v>11.784603696179952</v>
      </c>
      <c r="D109" s="67">
        <f t="shared" si="3"/>
        <v>24.076429399323533</v>
      </c>
      <c r="E109" s="67">
        <f t="shared" si="3"/>
        <v>7.6479832796374572</v>
      </c>
      <c r="F109" s="67">
        <f t="shared" si="3"/>
        <v>2.9464344178190625</v>
      </c>
      <c r="G109" s="67">
        <f t="shared" si="3"/>
        <v>55.927069920578873</v>
      </c>
      <c r="H109" s="67">
        <f t="shared" si="3"/>
        <v>18.502979749361028</v>
      </c>
      <c r="I109" s="67">
        <f t="shared" si="3"/>
        <v>1.9530892623466312E-16</v>
      </c>
      <c r="J109" s="67">
        <f t="shared" si="3"/>
        <v>0.33483375031629842</v>
      </c>
      <c r="K109" s="67">
        <f t="shared" si="3"/>
        <v>103.25824578177678</v>
      </c>
      <c r="L109" s="67">
        <f t="shared" si="3"/>
        <v>5.7616103824851939</v>
      </c>
      <c r="M109" s="67">
        <f t="shared" si="3"/>
        <v>29.049538586598885</v>
      </c>
      <c r="N109" s="67">
        <f t="shared" si="3"/>
        <v>177.77884585936468</v>
      </c>
      <c r="O109" s="67">
        <f t="shared" si="3"/>
        <v>0</v>
      </c>
      <c r="P109" s="67">
        <f t="shared" si="3"/>
        <v>0.80898929118104745</v>
      </c>
      <c r="Q109" s="67">
        <f t="shared" si="3"/>
        <v>8.8994381845147741E-2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COUNT(C9:C104)+44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0" sqref="G110:J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1399</v>
      </c>
      <c r="B9" s="64">
        <v>173.99</v>
      </c>
      <c r="C9" s="64">
        <v>2.2999999999999998</v>
      </c>
      <c r="D9" s="64">
        <v>110.49</v>
      </c>
      <c r="E9" s="64">
        <v>7.53</v>
      </c>
      <c r="F9" s="64">
        <v>3.09</v>
      </c>
      <c r="G9" s="64">
        <v>232.46</v>
      </c>
      <c r="H9" s="64">
        <v>94.88</v>
      </c>
      <c r="I9" s="64">
        <v>0.1</v>
      </c>
      <c r="J9" s="64">
        <v>0.81</v>
      </c>
      <c r="K9" s="64">
        <v>316.05</v>
      </c>
      <c r="L9" s="64">
        <v>13.74</v>
      </c>
      <c r="M9" s="64">
        <v>96.2</v>
      </c>
      <c r="N9" s="64">
        <v>32.9</v>
      </c>
      <c r="O9" s="64">
        <v>0</v>
      </c>
      <c r="P9" s="64">
        <v>4.09</v>
      </c>
      <c r="Q9" s="64">
        <v>9.93</v>
      </c>
      <c r="R9" s="198"/>
      <c r="S9" s="198"/>
      <c r="T9" s="198"/>
      <c r="U9" s="198"/>
    </row>
    <row r="10" spans="1:21" s="12" customFormat="1" x14ac:dyDescent="0.25">
      <c r="A10" s="214" t="s">
        <v>1400</v>
      </c>
      <c r="B10" s="64">
        <v>169.07</v>
      </c>
      <c r="C10" s="64">
        <v>2.2999999999999998</v>
      </c>
      <c r="D10" s="64">
        <v>107.54</v>
      </c>
      <c r="E10" s="64">
        <v>6.99</v>
      </c>
      <c r="F10" s="64">
        <v>3.04</v>
      </c>
      <c r="G10" s="64">
        <v>232.46</v>
      </c>
      <c r="H10" s="64">
        <v>94.88</v>
      </c>
      <c r="I10" s="64">
        <v>0.1</v>
      </c>
      <c r="J10" s="64">
        <v>0.47</v>
      </c>
      <c r="K10" s="64">
        <v>313.32</v>
      </c>
      <c r="L10" s="64">
        <v>13.51</v>
      </c>
      <c r="M10" s="64">
        <v>97.72</v>
      </c>
      <c r="N10" s="64">
        <v>32.799999999999997</v>
      </c>
      <c r="O10" s="64">
        <v>0</v>
      </c>
      <c r="P10" s="64">
        <v>4.05</v>
      </c>
      <c r="Q10" s="64">
        <v>9.94</v>
      </c>
      <c r="R10" s="198"/>
      <c r="S10" s="198"/>
      <c r="T10" s="198"/>
      <c r="U10" s="198"/>
    </row>
    <row r="11" spans="1:21" s="12" customFormat="1" x14ac:dyDescent="0.25">
      <c r="A11" s="214" t="s">
        <v>1401</v>
      </c>
      <c r="B11" s="64">
        <v>164.06</v>
      </c>
      <c r="C11" s="64">
        <v>2.2999999999999998</v>
      </c>
      <c r="D11" s="64">
        <v>104.87</v>
      </c>
      <c r="E11" s="64">
        <v>7.29</v>
      </c>
      <c r="F11" s="64">
        <v>3.22</v>
      </c>
      <c r="G11" s="64">
        <v>232.46</v>
      </c>
      <c r="H11" s="64">
        <v>94.88</v>
      </c>
      <c r="I11" s="64">
        <v>0.1</v>
      </c>
      <c r="J11" s="64">
        <v>0.28999999999999998</v>
      </c>
      <c r="K11" s="64">
        <v>13.69</v>
      </c>
      <c r="L11" s="64">
        <v>13.36</v>
      </c>
      <c r="M11" s="64">
        <v>100.98</v>
      </c>
      <c r="N11" s="64">
        <v>32.5</v>
      </c>
      <c r="O11" s="64">
        <v>0</v>
      </c>
      <c r="P11" s="64">
        <v>4.04</v>
      </c>
      <c r="Q11" s="64">
        <v>9.92</v>
      </c>
      <c r="R11" s="198"/>
      <c r="S11" s="198"/>
      <c r="T11" s="198"/>
      <c r="U11" s="198"/>
    </row>
    <row r="12" spans="1:21" s="12" customFormat="1" x14ac:dyDescent="0.25">
      <c r="A12" s="214" t="s">
        <v>1402</v>
      </c>
      <c r="B12" s="64">
        <v>157.55000000000001</v>
      </c>
      <c r="C12" s="64">
        <v>2.2999999999999998</v>
      </c>
      <c r="D12" s="64">
        <v>101.28</v>
      </c>
      <c r="E12" s="64">
        <v>7.3</v>
      </c>
      <c r="F12" s="64">
        <v>3.09</v>
      </c>
      <c r="G12" s="64">
        <v>212.25</v>
      </c>
      <c r="H12" s="64">
        <v>89.35</v>
      </c>
      <c r="I12" s="64">
        <v>0.1</v>
      </c>
      <c r="J12" s="64">
        <v>0.16</v>
      </c>
      <c r="K12" s="64">
        <v>263.29000000000002</v>
      </c>
      <c r="L12" s="64">
        <v>13.44</v>
      </c>
      <c r="M12" s="64">
        <v>98.13</v>
      </c>
      <c r="N12" s="64">
        <v>32.5</v>
      </c>
      <c r="O12" s="64">
        <v>0</v>
      </c>
      <c r="P12" s="64">
        <v>3.97</v>
      </c>
      <c r="Q12" s="64">
        <v>9.92</v>
      </c>
      <c r="R12" s="198"/>
      <c r="S12" s="198"/>
      <c r="T12" s="198"/>
      <c r="U12" s="198"/>
    </row>
    <row r="13" spans="1:21" s="12" customFormat="1" x14ac:dyDescent="0.25">
      <c r="A13" s="214" t="s">
        <v>1403</v>
      </c>
      <c r="B13" s="64">
        <v>151.12</v>
      </c>
      <c r="C13" s="64">
        <v>22.06</v>
      </c>
      <c r="D13" s="64">
        <v>97.76</v>
      </c>
      <c r="E13" s="64">
        <v>7.39</v>
      </c>
      <c r="F13" s="64">
        <v>3.19</v>
      </c>
      <c r="G13" s="64">
        <v>131.37</v>
      </c>
      <c r="H13" s="64">
        <v>73.069999999999993</v>
      </c>
      <c r="I13" s="64">
        <v>0.1</v>
      </c>
      <c r="J13" s="64">
        <v>0.53</v>
      </c>
      <c r="K13" s="64">
        <v>297.3</v>
      </c>
      <c r="L13" s="64">
        <v>13.6</v>
      </c>
      <c r="M13" s="64">
        <v>98.4</v>
      </c>
      <c r="N13" s="64">
        <v>32.799999999999997</v>
      </c>
      <c r="O13" s="64">
        <v>0</v>
      </c>
      <c r="P13" s="64">
        <v>3.19</v>
      </c>
      <c r="Q13" s="64">
        <v>9.92</v>
      </c>
      <c r="R13" s="198"/>
      <c r="S13" s="198"/>
      <c r="T13" s="198"/>
      <c r="U13" s="198"/>
    </row>
    <row r="14" spans="1:21" s="12" customFormat="1" x14ac:dyDescent="0.25">
      <c r="A14" s="214" t="s">
        <v>1404</v>
      </c>
      <c r="B14" s="64">
        <v>145.86000000000001</v>
      </c>
      <c r="C14" s="64">
        <v>26.21</v>
      </c>
      <c r="D14" s="64">
        <v>94.73</v>
      </c>
      <c r="E14" s="64">
        <v>7.32</v>
      </c>
      <c r="F14" s="64">
        <v>3.13</v>
      </c>
      <c r="G14" s="64">
        <v>131.37</v>
      </c>
      <c r="H14" s="64">
        <v>73.069999999999993</v>
      </c>
      <c r="I14" s="64">
        <v>0.1</v>
      </c>
      <c r="J14" s="64">
        <v>0.16</v>
      </c>
      <c r="K14" s="64">
        <v>277.41000000000003</v>
      </c>
      <c r="L14" s="64">
        <v>13.46</v>
      </c>
      <c r="M14" s="64">
        <v>101.55</v>
      </c>
      <c r="N14" s="64">
        <v>32.799999999999997</v>
      </c>
      <c r="O14" s="64">
        <v>0</v>
      </c>
      <c r="P14" s="64">
        <v>3.32</v>
      </c>
      <c r="Q14" s="64">
        <v>9.91</v>
      </c>
      <c r="R14" s="198"/>
      <c r="S14" s="198"/>
      <c r="T14" s="198"/>
      <c r="U14" s="198"/>
    </row>
    <row r="15" spans="1:21" s="12" customFormat="1" x14ac:dyDescent="0.25">
      <c r="A15" s="214" t="s">
        <v>1405</v>
      </c>
      <c r="B15" s="64">
        <v>140.30000000000001</v>
      </c>
      <c r="C15" s="64">
        <v>22.87</v>
      </c>
      <c r="D15" s="64">
        <v>91.59</v>
      </c>
      <c r="E15" s="64">
        <v>7.31</v>
      </c>
      <c r="F15" s="64">
        <v>3.2</v>
      </c>
      <c r="G15" s="64">
        <v>131.37</v>
      </c>
      <c r="H15" s="64">
        <v>73.069999999999993</v>
      </c>
      <c r="I15" s="64">
        <v>0.1</v>
      </c>
      <c r="J15" s="64">
        <v>0.52</v>
      </c>
      <c r="K15" s="64">
        <v>236.95</v>
      </c>
      <c r="L15" s="64">
        <v>13.47</v>
      </c>
      <c r="M15" s="64">
        <v>100.01</v>
      </c>
      <c r="N15" s="64">
        <v>32.6</v>
      </c>
      <c r="O15" s="64">
        <v>0</v>
      </c>
      <c r="P15" s="64">
        <v>3.29</v>
      </c>
      <c r="Q15" s="64">
        <v>9.89</v>
      </c>
      <c r="R15" s="198"/>
      <c r="S15" s="198"/>
      <c r="T15" s="198"/>
      <c r="U15" s="198"/>
    </row>
    <row r="16" spans="1:21" s="12" customFormat="1" x14ac:dyDescent="0.25">
      <c r="A16" s="214" t="s">
        <v>1406</v>
      </c>
      <c r="B16" s="64">
        <v>134.87</v>
      </c>
      <c r="C16" s="64">
        <v>26.39</v>
      </c>
      <c r="D16" s="64">
        <v>88.59</v>
      </c>
      <c r="E16" s="64">
        <v>7.11</v>
      </c>
      <c r="F16" s="64">
        <v>3.36</v>
      </c>
      <c r="G16" s="64">
        <v>132.56</v>
      </c>
      <c r="H16" s="64">
        <v>72.099999999999994</v>
      </c>
      <c r="I16" s="64">
        <v>0.1</v>
      </c>
      <c r="J16" s="64">
        <v>0.72</v>
      </c>
      <c r="K16" s="64">
        <v>262.43</v>
      </c>
      <c r="L16" s="64">
        <v>13.34</v>
      </c>
      <c r="M16" s="64">
        <v>99.56</v>
      </c>
      <c r="N16" s="64">
        <v>32.799999999999997</v>
      </c>
      <c r="O16" s="64">
        <v>0</v>
      </c>
      <c r="P16" s="64">
        <v>3.23</v>
      </c>
      <c r="Q16" s="64">
        <v>9.86</v>
      </c>
      <c r="R16" s="198"/>
      <c r="S16" s="198"/>
      <c r="T16" s="198"/>
      <c r="U16" s="198"/>
    </row>
    <row r="17" spans="1:21" s="12" customFormat="1" x14ac:dyDescent="0.25">
      <c r="A17" s="214" t="s">
        <v>1407</v>
      </c>
      <c r="B17" s="64">
        <v>129.87</v>
      </c>
      <c r="C17" s="64">
        <v>25.66</v>
      </c>
      <c r="D17" s="64">
        <v>85.86</v>
      </c>
      <c r="E17" s="64">
        <v>7.23</v>
      </c>
      <c r="F17" s="64">
        <v>3.54</v>
      </c>
      <c r="G17" s="64">
        <v>137.30000000000001</v>
      </c>
      <c r="H17" s="64">
        <v>67.709999999999994</v>
      </c>
      <c r="I17" s="64">
        <v>0.1</v>
      </c>
      <c r="J17" s="64">
        <v>0.03</v>
      </c>
      <c r="K17" s="64">
        <v>19.77</v>
      </c>
      <c r="L17" s="64">
        <v>13.05</v>
      </c>
      <c r="M17" s="64">
        <v>95.07</v>
      </c>
      <c r="N17" s="64">
        <v>32.9</v>
      </c>
      <c r="O17" s="64">
        <v>0</v>
      </c>
      <c r="P17" s="64">
        <v>3.18</v>
      </c>
      <c r="Q17" s="64">
        <v>9.86</v>
      </c>
      <c r="R17" s="198"/>
      <c r="S17" s="198"/>
      <c r="T17" s="198"/>
      <c r="U17" s="198"/>
    </row>
    <row r="18" spans="1:21" s="12" customFormat="1" x14ac:dyDescent="0.25">
      <c r="A18" s="214" t="s">
        <v>1408</v>
      </c>
      <c r="B18" s="64">
        <v>125.41</v>
      </c>
      <c r="C18" s="64">
        <v>26.82</v>
      </c>
      <c r="D18" s="64">
        <v>83.24</v>
      </c>
      <c r="E18" s="64">
        <v>7.19</v>
      </c>
      <c r="F18" s="64">
        <v>3.47</v>
      </c>
      <c r="G18" s="64">
        <v>137.30000000000001</v>
      </c>
      <c r="H18" s="64">
        <v>67.709999999999994</v>
      </c>
      <c r="I18" s="64">
        <v>0.1</v>
      </c>
      <c r="J18" s="64">
        <v>0.76</v>
      </c>
      <c r="K18" s="64">
        <v>329.77</v>
      </c>
      <c r="L18" s="64">
        <v>12.7</v>
      </c>
      <c r="M18" s="64">
        <v>97.79</v>
      </c>
      <c r="N18" s="64">
        <v>32.9</v>
      </c>
      <c r="O18" s="64">
        <v>0</v>
      </c>
      <c r="P18" s="64">
        <v>3.07</v>
      </c>
      <c r="Q18" s="64">
        <v>9.84</v>
      </c>
      <c r="R18" s="198"/>
      <c r="S18" s="198"/>
      <c r="T18" s="198"/>
      <c r="U18" s="198"/>
    </row>
    <row r="19" spans="1:21" s="12" customFormat="1" x14ac:dyDescent="0.25">
      <c r="A19" s="214" t="s">
        <v>1409</v>
      </c>
      <c r="B19" s="64">
        <v>120.76</v>
      </c>
      <c r="C19" s="64">
        <v>28.09</v>
      </c>
      <c r="D19" s="64">
        <v>80.540000000000006</v>
      </c>
      <c r="E19" s="64">
        <v>6.85</v>
      </c>
      <c r="F19" s="64">
        <v>3.27</v>
      </c>
      <c r="G19" s="64">
        <v>137.30000000000001</v>
      </c>
      <c r="H19" s="64">
        <v>67.709999999999994</v>
      </c>
      <c r="I19" s="64">
        <v>0.1</v>
      </c>
      <c r="J19" s="64">
        <v>0.46</v>
      </c>
      <c r="K19" s="64">
        <v>274.67</v>
      </c>
      <c r="L19" s="64">
        <v>12.54</v>
      </c>
      <c r="M19" s="64">
        <v>97.95</v>
      </c>
      <c r="N19" s="64">
        <v>32.700000000000003</v>
      </c>
      <c r="O19" s="64">
        <v>0</v>
      </c>
      <c r="P19" s="64">
        <v>2.95</v>
      </c>
      <c r="Q19" s="64">
        <v>9.84</v>
      </c>
      <c r="R19" s="198"/>
      <c r="S19" s="198"/>
      <c r="T19" s="198"/>
      <c r="U19" s="198"/>
    </row>
    <row r="20" spans="1:21" s="12" customFormat="1" x14ac:dyDescent="0.25">
      <c r="A20" s="214" t="s">
        <v>1410</v>
      </c>
      <c r="B20" s="64">
        <v>116.05</v>
      </c>
      <c r="C20" s="64">
        <v>30.49</v>
      </c>
      <c r="D20" s="64">
        <v>77.86</v>
      </c>
      <c r="E20" s="64">
        <v>6.87</v>
      </c>
      <c r="F20" s="64">
        <v>3.26</v>
      </c>
      <c r="G20" s="64">
        <v>140.41999999999999</v>
      </c>
      <c r="H20" s="64">
        <v>67.11</v>
      </c>
      <c r="I20" s="64">
        <v>0.1</v>
      </c>
      <c r="J20" s="64">
        <v>0.28000000000000003</v>
      </c>
      <c r="K20" s="64">
        <v>301.88</v>
      </c>
      <c r="L20" s="64">
        <v>12.49</v>
      </c>
      <c r="M20" s="64">
        <v>97.97</v>
      </c>
      <c r="N20" s="64">
        <v>32.9</v>
      </c>
      <c r="O20" s="64">
        <v>0</v>
      </c>
      <c r="P20" s="64">
        <v>2.86</v>
      </c>
      <c r="Q20" s="64">
        <v>9.83</v>
      </c>
      <c r="R20" s="198"/>
      <c r="S20" s="198"/>
      <c r="T20" s="198"/>
      <c r="U20" s="198"/>
    </row>
    <row r="21" spans="1:21" s="12" customFormat="1" x14ac:dyDescent="0.25">
      <c r="A21" s="214" t="s">
        <v>1411</v>
      </c>
      <c r="B21" s="64">
        <v>111.91</v>
      </c>
      <c r="C21" s="64">
        <v>30.91</v>
      </c>
      <c r="D21" s="64">
        <v>75.510000000000005</v>
      </c>
      <c r="E21" s="64">
        <v>6.72</v>
      </c>
      <c r="F21" s="64">
        <v>3.06</v>
      </c>
      <c r="G21" s="64">
        <v>152.87</v>
      </c>
      <c r="H21" s="64">
        <v>65.34</v>
      </c>
      <c r="I21" s="64">
        <v>0.1</v>
      </c>
      <c r="J21" s="64">
        <v>0.48</v>
      </c>
      <c r="K21" s="64">
        <v>234.67</v>
      </c>
      <c r="L21" s="64">
        <v>12.32</v>
      </c>
      <c r="M21" s="64">
        <v>98</v>
      </c>
      <c r="N21" s="64">
        <v>32.799999999999997</v>
      </c>
      <c r="O21" s="64">
        <v>0</v>
      </c>
      <c r="P21" s="64">
        <v>2.78</v>
      </c>
      <c r="Q21" s="64">
        <v>9.81</v>
      </c>
      <c r="R21" s="198"/>
      <c r="S21" s="198"/>
      <c r="T21" s="198"/>
      <c r="U21" s="198"/>
    </row>
    <row r="22" spans="1:21" s="12" customFormat="1" x14ac:dyDescent="0.25">
      <c r="A22" s="214" t="s">
        <v>1412</v>
      </c>
      <c r="B22" s="64">
        <v>108</v>
      </c>
      <c r="C22" s="64">
        <v>32.14</v>
      </c>
      <c r="D22" s="64">
        <v>73.37</v>
      </c>
      <c r="E22" s="64">
        <v>6.54</v>
      </c>
      <c r="F22" s="64">
        <v>3.21</v>
      </c>
      <c r="G22" s="64">
        <v>152.87</v>
      </c>
      <c r="H22" s="64">
        <v>65.34</v>
      </c>
      <c r="I22" s="64">
        <v>0.1</v>
      </c>
      <c r="J22" s="64">
        <v>0.81</v>
      </c>
      <c r="K22" s="64">
        <v>326.12</v>
      </c>
      <c r="L22" s="64">
        <v>12.2</v>
      </c>
      <c r="M22" s="64">
        <v>98</v>
      </c>
      <c r="N22" s="64">
        <v>32.9</v>
      </c>
      <c r="O22" s="64">
        <v>0</v>
      </c>
      <c r="P22" s="64">
        <v>2.7</v>
      </c>
      <c r="Q22" s="64">
        <v>9.8000000000000007</v>
      </c>
      <c r="R22" s="198"/>
      <c r="S22" s="198"/>
      <c r="T22" s="198"/>
      <c r="U22" s="198"/>
    </row>
    <row r="23" spans="1:21" s="12" customFormat="1" x14ac:dyDescent="0.25">
      <c r="A23" s="214" t="s">
        <v>1413</v>
      </c>
      <c r="B23" s="64">
        <v>104.33</v>
      </c>
      <c r="C23" s="64">
        <v>33.549999999999997</v>
      </c>
      <c r="D23" s="64">
        <v>71.319999999999993</v>
      </c>
      <c r="E23" s="64">
        <v>6.52</v>
      </c>
      <c r="F23" s="64">
        <v>3.08</v>
      </c>
      <c r="G23" s="64">
        <v>152.87</v>
      </c>
      <c r="H23" s="64">
        <v>65.34</v>
      </c>
      <c r="I23" s="64">
        <v>0.1</v>
      </c>
      <c r="J23" s="64">
        <v>0.34</v>
      </c>
      <c r="K23" s="64">
        <v>166.84</v>
      </c>
      <c r="L23" s="64">
        <v>12</v>
      </c>
      <c r="M23" s="64">
        <v>98</v>
      </c>
      <c r="N23" s="64">
        <v>32.799999999999997</v>
      </c>
      <c r="O23" s="64">
        <v>0</v>
      </c>
      <c r="P23" s="64">
        <v>2.63</v>
      </c>
      <c r="Q23" s="64">
        <v>9.8000000000000007</v>
      </c>
      <c r="R23" s="198"/>
      <c r="S23" s="198"/>
      <c r="T23" s="198"/>
      <c r="U23" s="198"/>
    </row>
    <row r="24" spans="1:21" s="12" customFormat="1" x14ac:dyDescent="0.25">
      <c r="A24" s="214" t="s">
        <v>1414</v>
      </c>
      <c r="B24" s="64">
        <v>100.96</v>
      </c>
      <c r="C24" s="64">
        <v>35.479999999999997</v>
      </c>
      <c r="D24" s="64">
        <v>69.430000000000007</v>
      </c>
      <c r="E24" s="64">
        <v>6.13</v>
      </c>
      <c r="F24" s="64">
        <v>3</v>
      </c>
      <c r="G24" s="64">
        <v>146.94999999999999</v>
      </c>
      <c r="H24" s="64">
        <v>64.27</v>
      </c>
      <c r="I24" s="64">
        <v>0.1</v>
      </c>
      <c r="J24" s="64">
        <v>0.46</v>
      </c>
      <c r="K24" s="64">
        <v>220.04</v>
      </c>
      <c r="L24" s="64">
        <v>11.97</v>
      </c>
      <c r="M24" s="64">
        <v>98</v>
      </c>
      <c r="N24" s="64">
        <v>32.799999999999997</v>
      </c>
      <c r="O24" s="64">
        <v>0</v>
      </c>
      <c r="P24" s="64">
        <v>2.56</v>
      </c>
      <c r="Q24" s="64">
        <v>9.8000000000000007</v>
      </c>
      <c r="R24" s="198"/>
      <c r="S24" s="198"/>
      <c r="T24" s="198"/>
      <c r="U24" s="198"/>
    </row>
    <row r="25" spans="1:21" s="12" customFormat="1" x14ac:dyDescent="0.25">
      <c r="A25" s="214" t="s">
        <v>1415</v>
      </c>
      <c r="B25" s="64">
        <v>98.32</v>
      </c>
      <c r="C25" s="64">
        <v>34.93</v>
      </c>
      <c r="D25" s="64">
        <v>67.989999999999995</v>
      </c>
      <c r="E25" s="64">
        <v>6.77</v>
      </c>
      <c r="F25" s="64">
        <v>3.02</v>
      </c>
      <c r="G25" s="64">
        <v>123.29</v>
      </c>
      <c r="H25" s="64">
        <v>61.13</v>
      </c>
      <c r="I25" s="64">
        <v>0.1</v>
      </c>
      <c r="J25" s="64">
        <v>0.34</v>
      </c>
      <c r="K25" s="64">
        <v>249.1</v>
      </c>
      <c r="L25" s="64">
        <v>11.92</v>
      </c>
      <c r="M25" s="64">
        <v>98.02</v>
      </c>
      <c r="N25" s="64">
        <v>32.799999999999997</v>
      </c>
      <c r="O25" s="64">
        <v>0</v>
      </c>
      <c r="P25" s="64">
        <v>2.5</v>
      </c>
      <c r="Q25" s="64">
        <v>9.8000000000000007</v>
      </c>
      <c r="R25" s="198"/>
      <c r="S25" s="198"/>
      <c r="T25" s="198"/>
      <c r="U25" s="198"/>
    </row>
    <row r="26" spans="1:21" s="12" customFormat="1" x14ac:dyDescent="0.25">
      <c r="A26" s="214" t="s">
        <v>1416</v>
      </c>
      <c r="B26" s="64">
        <v>97.27</v>
      </c>
      <c r="C26" s="64">
        <v>34.93</v>
      </c>
      <c r="D26" s="64">
        <v>67.349999999999994</v>
      </c>
      <c r="E26" s="64">
        <v>6.58</v>
      </c>
      <c r="F26" s="64">
        <v>2.96</v>
      </c>
      <c r="G26" s="64">
        <v>123.29</v>
      </c>
      <c r="H26" s="64">
        <v>61.13</v>
      </c>
      <c r="I26" s="64">
        <v>0.1</v>
      </c>
      <c r="J26" s="64">
        <v>0.5</v>
      </c>
      <c r="K26" s="64">
        <v>257.58</v>
      </c>
      <c r="L26" s="64">
        <v>12</v>
      </c>
      <c r="M26" s="64">
        <v>98.03</v>
      </c>
      <c r="N26" s="64">
        <v>32.700000000000003</v>
      </c>
      <c r="O26" s="64">
        <v>0</v>
      </c>
      <c r="P26" s="64">
        <v>2.4300000000000002</v>
      </c>
      <c r="Q26" s="64">
        <v>9.7899999999999991</v>
      </c>
      <c r="R26" s="198"/>
      <c r="S26" s="198"/>
      <c r="T26" s="198"/>
      <c r="U26" s="198"/>
    </row>
    <row r="27" spans="1:21" s="12" customFormat="1" x14ac:dyDescent="0.25">
      <c r="A27" s="214" t="s">
        <v>1417</v>
      </c>
      <c r="B27" s="64">
        <v>96.13</v>
      </c>
      <c r="C27" s="64">
        <v>34.93</v>
      </c>
      <c r="D27" s="64">
        <v>66.41</v>
      </c>
      <c r="E27" s="64">
        <v>6.53</v>
      </c>
      <c r="F27" s="64">
        <v>3.05</v>
      </c>
      <c r="G27" s="64">
        <v>123.29</v>
      </c>
      <c r="H27" s="64">
        <v>61.13</v>
      </c>
      <c r="I27" s="64">
        <v>0.1</v>
      </c>
      <c r="J27" s="64">
        <v>0.4</v>
      </c>
      <c r="K27" s="64">
        <v>318.26</v>
      </c>
      <c r="L27" s="64">
        <v>11.96</v>
      </c>
      <c r="M27" s="64">
        <v>98.03</v>
      </c>
      <c r="N27" s="64">
        <v>32.9</v>
      </c>
      <c r="O27" s="64">
        <v>0</v>
      </c>
      <c r="P27" s="64">
        <v>2.39</v>
      </c>
      <c r="Q27" s="64">
        <v>9.7799999999999994</v>
      </c>
      <c r="R27" s="198"/>
      <c r="S27" s="198"/>
      <c r="T27" s="198"/>
      <c r="U27" s="198"/>
    </row>
    <row r="28" spans="1:21" s="12" customFormat="1" x14ac:dyDescent="0.25">
      <c r="A28" s="214" t="s">
        <v>1418</v>
      </c>
      <c r="B28" s="64">
        <v>95.35</v>
      </c>
      <c r="C28" s="64">
        <v>34.93</v>
      </c>
      <c r="D28" s="64">
        <v>66.099999999999994</v>
      </c>
      <c r="E28" s="64">
        <v>6.29</v>
      </c>
      <c r="F28" s="64">
        <v>2.92</v>
      </c>
      <c r="G28" s="64">
        <v>124.31</v>
      </c>
      <c r="H28" s="64">
        <v>60.69</v>
      </c>
      <c r="I28" s="64">
        <v>0.1</v>
      </c>
      <c r="J28" s="64">
        <v>0.26</v>
      </c>
      <c r="K28" s="64">
        <v>169.76</v>
      </c>
      <c r="L28" s="64">
        <v>11.81</v>
      </c>
      <c r="M28" s="64">
        <v>98.03</v>
      </c>
      <c r="N28" s="64">
        <v>32.9</v>
      </c>
      <c r="O28" s="64">
        <v>0</v>
      </c>
      <c r="P28" s="64">
        <v>2.4</v>
      </c>
      <c r="Q28" s="64">
        <v>9.76</v>
      </c>
      <c r="R28" s="198"/>
      <c r="S28" s="198"/>
      <c r="T28" s="198"/>
      <c r="U28" s="198"/>
    </row>
    <row r="29" spans="1:21" s="12" customFormat="1" x14ac:dyDescent="0.25">
      <c r="A29" s="214" t="s">
        <v>1419</v>
      </c>
      <c r="B29" s="64">
        <v>95.7</v>
      </c>
      <c r="C29" s="64">
        <v>34.93</v>
      </c>
      <c r="D29" s="64">
        <v>66.569999999999993</v>
      </c>
      <c r="E29" s="64">
        <v>6.45</v>
      </c>
      <c r="F29" s="64">
        <v>2.75</v>
      </c>
      <c r="G29" s="64">
        <v>128.36000000000001</v>
      </c>
      <c r="H29" s="64">
        <v>59.4</v>
      </c>
      <c r="I29" s="64">
        <v>0.1</v>
      </c>
      <c r="J29" s="64">
        <v>0.43</v>
      </c>
      <c r="K29" s="64">
        <v>243.44</v>
      </c>
      <c r="L29" s="64">
        <v>11.71</v>
      </c>
      <c r="M29" s="64">
        <v>98.03</v>
      </c>
      <c r="N29" s="64">
        <v>32.700000000000003</v>
      </c>
      <c r="O29" s="64">
        <v>0</v>
      </c>
      <c r="P29" s="64">
        <v>2.39</v>
      </c>
      <c r="Q29" s="64">
        <v>9.7799999999999994</v>
      </c>
      <c r="R29" s="198"/>
      <c r="S29" s="198"/>
      <c r="T29" s="198"/>
      <c r="U29" s="198"/>
    </row>
    <row r="30" spans="1:21" s="12" customFormat="1" x14ac:dyDescent="0.25">
      <c r="A30" s="214" t="s">
        <v>1420</v>
      </c>
      <c r="B30" s="64">
        <v>95.43</v>
      </c>
      <c r="C30" s="64">
        <v>34.93</v>
      </c>
      <c r="D30" s="64">
        <v>66.28</v>
      </c>
      <c r="E30" s="64">
        <v>6.7</v>
      </c>
      <c r="F30" s="64">
        <v>3.07</v>
      </c>
      <c r="G30" s="64">
        <v>128.36000000000001</v>
      </c>
      <c r="H30" s="64">
        <v>59.4</v>
      </c>
      <c r="I30" s="64">
        <v>0.1</v>
      </c>
      <c r="J30" s="64">
        <v>0.6</v>
      </c>
      <c r="K30" s="64">
        <v>219.75</v>
      </c>
      <c r="L30" s="64">
        <v>11.72</v>
      </c>
      <c r="M30" s="64">
        <v>98.03</v>
      </c>
      <c r="N30" s="64">
        <v>32.799999999999997</v>
      </c>
      <c r="O30" s="64">
        <v>0</v>
      </c>
      <c r="P30" s="64">
        <v>2.35</v>
      </c>
      <c r="Q30" s="64">
        <v>9.7899999999999991</v>
      </c>
      <c r="R30" s="198"/>
      <c r="S30" s="198"/>
      <c r="T30" s="198"/>
      <c r="U30" s="198"/>
    </row>
    <row r="31" spans="1:21" s="12" customFormat="1" x14ac:dyDescent="0.25">
      <c r="A31" s="214" t="s">
        <v>1421</v>
      </c>
      <c r="B31" s="64">
        <v>96.2</v>
      </c>
      <c r="C31" s="64">
        <v>34.93</v>
      </c>
      <c r="D31" s="64">
        <v>66.680000000000007</v>
      </c>
      <c r="E31" s="64">
        <v>6.5</v>
      </c>
      <c r="F31" s="64">
        <v>3.33</v>
      </c>
      <c r="G31" s="64">
        <v>128.36000000000001</v>
      </c>
      <c r="H31" s="64">
        <v>59.4</v>
      </c>
      <c r="I31" s="64">
        <v>0.1</v>
      </c>
      <c r="J31" s="64">
        <v>0.82</v>
      </c>
      <c r="K31" s="64">
        <v>305.23</v>
      </c>
      <c r="L31" s="64">
        <v>11.56</v>
      </c>
      <c r="M31" s="64">
        <v>98.07</v>
      </c>
      <c r="N31" s="64">
        <v>32.9</v>
      </c>
      <c r="O31" s="64">
        <v>0</v>
      </c>
      <c r="P31" s="64">
        <v>2.31</v>
      </c>
      <c r="Q31" s="64">
        <v>9.81</v>
      </c>
      <c r="R31" s="198"/>
      <c r="S31" s="198"/>
      <c r="T31" s="198"/>
      <c r="U31" s="198"/>
    </row>
    <row r="32" spans="1:21" s="12" customFormat="1" x14ac:dyDescent="0.25">
      <c r="A32" s="214" t="s">
        <v>1422</v>
      </c>
      <c r="B32" s="64">
        <v>98.63</v>
      </c>
      <c r="C32" s="64">
        <v>34.93</v>
      </c>
      <c r="D32" s="64">
        <v>67.760000000000005</v>
      </c>
      <c r="E32" s="64">
        <v>6.67</v>
      </c>
      <c r="F32" s="64">
        <v>3.27</v>
      </c>
      <c r="G32" s="64">
        <v>132.4</v>
      </c>
      <c r="H32" s="64">
        <v>59.11</v>
      </c>
      <c r="I32" s="64">
        <v>0.1</v>
      </c>
      <c r="J32" s="64">
        <v>0.81</v>
      </c>
      <c r="K32" s="64">
        <v>305.51</v>
      </c>
      <c r="L32" s="64">
        <v>11.45</v>
      </c>
      <c r="M32" s="64">
        <v>98.08</v>
      </c>
      <c r="N32" s="64">
        <v>32.9</v>
      </c>
      <c r="O32" s="64">
        <v>0</v>
      </c>
      <c r="P32" s="64">
        <v>2.2999999999999998</v>
      </c>
      <c r="Q32" s="64">
        <v>9.81</v>
      </c>
      <c r="R32" s="198"/>
      <c r="S32" s="198"/>
      <c r="T32" s="198"/>
      <c r="U32" s="198"/>
    </row>
    <row r="33" spans="1:21" s="12" customFormat="1" x14ac:dyDescent="0.25">
      <c r="A33" s="214" t="s">
        <v>1423</v>
      </c>
      <c r="B33" s="64">
        <v>101.13</v>
      </c>
      <c r="C33" s="64">
        <v>34.93</v>
      </c>
      <c r="D33" s="64">
        <v>69.03</v>
      </c>
      <c r="E33" s="64">
        <v>6.55</v>
      </c>
      <c r="F33" s="64">
        <v>3.2</v>
      </c>
      <c r="G33" s="64">
        <v>148.54</v>
      </c>
      <c r="H33" s="64">
        <v>57.81</v>
      </c>
      <c r="I33" s="64">
        <v>0.1</v>
      </c>
      <c r="J33" s="64">
        <v>0.73</v>
      </c>
      <c r="K33" s="64">
        <v>322.68</v>
      </c>
      <c r="L33" s="64">
        <v>11.41</v>
      </c>
      <c r="M33" s="64">
        <v>98</v>
      </c>
      <c r="N33" s="64">
        <v>33.200000000000003</v>
      </c>
      <c r="O33" s="64">
        <v>0</v>
      </c>
      <c r="P33" s="64">
        <v>2.29</v>
      </c>
      <c r="Q33" s="64">
        <v>9.81</v>
      </c>
      <c r="R33" s="198"/>
      <c r="S33" s="198"/>
      <c r="T33" s="198"/>
      <c r="U33" s="198"/>
    </row>
    <row r="34" spans="1:21" s="12" customFormat="1" x14ac:dyDescent="0.25">
      <c r="A34" s="214" t="s">
        <v>1424</v>
      </c>
      <c r="B34" s="64">
        <v>103.17</v>
      </c>
      <c r="C34" s="64">
        <v>34.93</v>
      </c>
      <c r="D34" s="64">
        <v>70.010000000000005</v>
      </c>
      <c r="E34" s="64">
        <v>6.8</v>
      </c>
      <c r="F34" s="64">
        <v>3.21</v>
      </c>
      <c r="G34" s="64">
        <v>148.54</v>
      </c>
      <c r="H34" s="64">
        <v>57.81</v>
      </c>
      <c r="I34" s="64">
        <v>0.1</v>
      </c>
      <c r="J34" s="64">
        <v>0.79</v>
      </c>
      <c r="K34" s="64">
        <v>338.22</v>
      </c>
      <c r="L34" s="64">
        <v>11.22</v>
      </c>
      <c r="M34" s="64">
        <v>97.99</v>
      </c>
      <c r="N34" s="64">
        <v>35.1</v>
      </c>
      <c r="O34" s="64">
        <v>0</v>
      </c>
      <c r="P34" s="64">
        <v>2.25</v>
      </c>
      <c r="Q34" s="64">
        <v>9.81</v>
      </c>
      <c r="R34" s="198"/>
      <c r="S34" s="198"/>
      <c r="T34" s="198"/>
      <c r="U34" s="198"/>
    </row>
    <row r="35" spans="1:21" s="12" customFormat="1" x14ac:dyDescent="0.25">
      <c r="A35" s="214" t="s">
        <v>1425</v>
      </c>
      <c r="B35" s="64">
        <v>104.02</v>
      </c>
      <c r="C35" s="64">
        <v>34.93</v>
      </c>
      <c r="D35" s="64">
        <v>70.3</v>
      </c>
      <c r="E35" s="64">
        <v>6.44</v>
      </c>
      <c r="F35" s="64">
        <v>3.2</v>
      </c>
      <c r="G35" s="64">
        <v>148.54</v>
      </c>
      <c r="H35" s="64">
        <v>57.81</v>
      </c>
      <c r="I35" s="64">
        <v>0.1</v>
      </c>
      <c r="J35" s="64">
        <v>0.79</v>
      </c>
      <c r="K35" s="64">
        <v>321.24</v>
      </c>
      <c r="L35" s="64">
        <v>11.29</v>
      </c>
      <c r="M35" s="64">
        <v>97.98</v>
      </c>
      <c r="N35" s="64">
        <v>41.2</v>
      </c>
      <c r="O35" s="64">
        <v>0</v>
      </c>
      <c r="P35" s="64">
        <v>2.1800000000000002</v>
      </c>
      <c r="Q35" s="64">
        <v>9.82</v>
      </c>
      <c r="R35" s="198"/>
      <c r="S35" s="198"/>
      <c r="T35" s="198"/>
      <c r="U35" s="198"/>
    </row>
    <row r="36" spans="1:21" s="12" customFormat="1" x14ac:dyDescent="0.25">
      <c r="A36" s="214" t="s">
        <v>1426</v>
      </c>
      <c r="B36" s="64">
        <v>106.69</v>
      </c>
      <c r="C36" s="64">
        <v>34.93</v>
      </c>
      <c r="D36" s="64">
        <v>71.52</v>
      </c>
      <c r="E36" s="64">
        <v>6.82</v>
      </c>
      <c r="F36" s="64">
        <v>3.34</v>
      </c>
      <c r="G36" s="64">
        <v>150.37</v>
      </c>
      <c r="H36" s="64">
        <v>59.39</v>
      </c>
      <c r="I36" s="64">
        <v>0.1</v>
      </c>
      <c r="J36" s="64">
        <v>0.79</v>
      </c>
      <c r="K36" s="64">
        <v>312.83999999999997</v>
      </c>
      <c r="L36" s="64">
        <v>11.66</v>
      </c>
      <c r="M36" s="64">
        <v>97.98</v>
      </c>
      <c r="N36" s="64">
        <v>51.3</v>
      </c>
      <c r="O36" s="64">
        <v>0</v>
      </c>
      <c r="P36" s="64">
        <v>2.13</v>
      </c>
      <c r="Q36" s="64">
        <v>9.8000000000000007</v>
      </c>
      <c r="R36" s="198"/>
      <c r="S36" s="198"/>
      <c r="T36" s="198"/>
      <c r="U36" s="198"/>
    </row>
    <row r="37" spans="1:21" s="12" customFormat="1" x14ac:dyDescent="0.25">
      <c r="A37" s="214" t="s">
        <v>1427</v>
      </c>
      <c r="B37" s="64">
        <v>109.78</v>
      </c>
      <c r="C37" s="64">
        <v>34.93</v>
      </c>
      <c r="D37" s="64">
        <v>73.010000000000005</v>
      </c>
      <c r="E37" s="64">
        <v>6.51</v>
      </c>
      <c r="F37" s="64">
        <v>3.27</v>
      </c>
      <c r="G37" s="64">
        <v>157.69</v>
      </c>
      <c r="H37" s="64">
        <v>64.040000000000006</v>
      </c>
      <c r="I37" s="64">
        <v>0.1</v>
      </c>
      <c r="J37" s="64">
        <v>0.77</v>
      </c>
      <c r="K37" s="64">
        <v>294.02999999999997</v>
      </c>
      <c r="L37" s="64">
        <v>12.18</v>
      </c>
      <c r="M37" s="64">
        <v>97.97</v>
      </c>
      <c r="N37" s="64">
        <v>63</v>
      </c>
      <c r="O37" s="64">
        <v>0</v>
      </c>
      <c r="P37" s="64">
        <v>2.3199999999999998</v>
      </c>
      <c r="Q37" s="64">
        <v>9.8000000000000007</v>
      </c>
      <c r="R37" s="198"/>
      <c r="S37" s="198"/>
      <c r="T37" s="198"/>
      <c r="U37" s="198"/>
    </row>
    <row r="38" spans="1:21" s="12" customFormat="1" x14ac:dyDescent="0.25">
      <c r="A38" s="214" t="s">
        <v>1428</v>
      </c>
      <c r="B38" s="64">
        <v>111.57</v>
      </c>
      <c r="C38" s="64">
        <v>34.93</v>
      </c>
      <c r="D38" s="64">
        <v>74.010000000000005</v>
      </c>
      <c r="E38" s="64">
        <v>6.82</v>
      </c>
      <c r="F38" s="64">
        <v>3.05</v>
      </c>
      <c r="G38" s="64">
        <v>157.69</v>
      </c>
      <c r="H38" s="64">
        <v>64.040000000000006</v>
      </c>
      <c r="I38" s="64">
        <v>0.1</v>
      </c>
      <c r="J38" s="64">
        <v>0.75</v>
      </c>
      <c r="K38" s="64">
        <v>287.82</v>
      </c>
      <c r="L38" s="64">
        <v>12.92</v>
      </c>
      <c r="M38" s="64">
        <v>97.93</v>
      </c>
      <c r="N38" s="64">
        <v>78.7</v>
      </c>
      <c r="O38" s="64">
        <v>0</v>
      </c>
      <c r="P38" s="64">
        <v>2.4300000000000002</v>
      </c>
      <c r="Q38" s="64">
        <v>9.82</v>
      </c>
      <c r="R38" s="198"/>
      <c r="S38" s="198"/>
      <c r="T38" s="198"/>
      <c r="U38" s="198"/>
    </row>
    <row r="39" spans="1:21" s="12" customFormat="1" x14ac:dyDescent="0.25">
      <c r="A39" s="214" t="s">
        <v>1429</v>
      </c>
      <c r="B39" s="64">
        <v>112.34</v>
      </c>
      <c r="C39" s="64">
        <v>34.93</v>
      </c>
      <c r="D39" s="64">
        <v>74.5</v>
      </c>
      <c r="E39" s="64">
        <v>6.41</v>
      </c>
      <c r="F39" s="64">
        <v>3.14</v>
      </c>
      <c r="G39" s="64">
        <v>157.69</v>
      </c>
      <c r="H39" s="64">
        <v>64.040000000000006</v>
      </c>
      <c r="I39" s="64">
        <v>0.1</v>
      </c>
      <c r="J39" s="64">
        <v>0.95</v>
      </c>
      <c r="K39" s="64">
        <v>341.56</v>
      </c>
      <c r="L39" s="64">
        <v>14.54</v>
      </c>
      <c r="M39" s="64">
        <v>93.9</v>
      </c>
      <c r="N39" s="64">
        <v>148.5</v>
      </c>
      <c r="O39" s="64">
        <v>0</v>
      </c>
      <c r="P39" s="64">
        <v>2.42</v>
      </c>
      <c r="Q39" s="64">
        <v>9.81</v>
      </c>
      <c r="R39" s="198"/>
      <c r="S39" s="198"/>
      <c r="T39" s="198"/>
      <c r="U39" s="198"/>
    </row>
    <row r="40" spans="1:21" s="12" customFormat="1" x14ac:dyDescent="0.25">
      <c r="A40" s="214" t="s">
        <v>1430</v>
      </c>
      <c r="B40" s="64">
        <v>111.81</v>
      </c>
      <c r="C40" s="64">
        <v>34.93</v>
      </c>
      <c r="D40" s="64">
        <v>74.44</v>
      </c>
      <c r="E40" s="64">
        <v>5.17</v>
      </c>
      <c r="F40" s="64">
        <v>3.44</v>
      </c>
      <c r="G40" s="64">
        <v>162.97999999999999</v>
      </c>
      <c r="H40" s="64">
        <v>65.73</v>
      </c>
      <c r="I40" s="64">
        <v>0.1</v>
      </c>
      <c r="J40" s="64">
        <v>0.79</v>
      </c>
      <c r="K40" s="64">
        <v>347.24</v>
      </c>
      <c r="L40" s="64">
        <v>17.14</v>
      </c>
      <c r="M40" s="64">
        <v>76.53</v>
      </c>
      <c r="N40" s="64">
        <v>188.6</v>
      </c>
      <c r="O40" s="64">
        <v>0</v>
      </c>
      <c r="P40" s="64">
        <v>2.4700000000000002</v>
      </c>
      <c r="Q40" s="64">
        <v>9.81</v>
      </c>
      <c r="R40" s="198"/>
      <c r="S40" s="198"/>
      <c r="T40" s="198"/>
      <c r="U40" s="198"/>
    </row>
    <row r="41" spans="1:21" s="12" customFormat="1" x14ac:dyDescent="0.25">
      <c r="A41" s="214" t="s">
        <v>1431</v>
      </c>
      <c r="B41" s="64">
        <v>110.28</v>
      </c>
      <c r="C41" s="64">
        <v>34.93</v>
      </c>
      <c r="D41" s="64">
        <v>74.09</v>
      </c>
      <c r="E41" s="64">
        <v>6.06</v>
      </c>
      <c r="F41" s="64">
        <v>3.47</v>
      </c>
      <c r="G41" s="64">
        <v>184.14</v>
      </c>
      <c r="H41" s="64">
        <v>70.7</v>
      </c>
      <c r="I41" s="64">
        <v>0.1</v>
      </c>
      <c r="J41" s="64">
        <v>0.79</v>
      </c>
      <c r="K41" s="64">
        <v>308.51</v>
      </c>
      <c r="L41" s="64">
        <v>19.2</v>
      </c>
      <c r="M41" s="64">
        <v>64.38</v>
      </c>
      <c r="N41" s="64">
        <v>209.1</v>
      </c>
      <c r="O41" s="64">
        <v>0</v>
      </c>
      <c r="P41" s="64">
        <v>2.54</v>
      </c>
      <c r="Q41" s="64">
        <v>9.7899999999999991</v>
      </c>
      <c r="R41" s="198"/>
      <c r="S41" s="198"/>
      <c r="T41" s="198"/>
      <c r="U41" s="198"/>
    </row>
    <row r="42" spans="1:21" s="12" customFormat="1" x14ac:dyDescent="0.25">
      <c r="A42" s="214" t="s">
        <v>1432</v>
      </c>
      <c r="B42" s="64">
        <v>108.3</v>
      </c>
      <c r="C42" s="64">
        <v>34.93</v>
      </c>
      <c r="D42" s="64">
        <v>73.56</v>
      </c>
      <c r="E42" s="64">
        <v>6.31</v>
      </c>
      <c r="F42" s="64">
        <v>3.28</v>
      </c>
      <c r="G42" s="64">
        <v>184.14</v>
      </c>
      <c r="H42" s="64">
        <v>70.7</v>
      </c>
      <c r="I42" s="64">
        <v>0.1</v>
      </c>
      <c r="J42" s="64">
        <v>1.0900000000000001</v>
      </c>
      <c r="K42" s="64">
        <v>328.64</v>
      </c>
      <c r="L42" s="64">
        <v>20.83</v>
      </c>
      <c r="M42" s="64">
        <v>54.37</v>
      </c>
      <c r="N42" s="64">
        <v>230.4</v>
      </c>
      <c r="O42" s="64">
        <v>0</v>
      </c>
      <c r="P42" s="64">
        <v>2.63</v>
      </c>
      <c r="Q42" s="64">
        <v>9.8000000000000007</v>
      </c>
      <c r="R42" s="198"/>
      <c r="S42" s="198"/>
      <c r="T42" s="198"/>
      <c r="U42" s="198"/>
    </row>
    <row r="43" spans="1:21" s="12" customFormat="1" x14ac:dyDescent="0.25">
      <c r="A43" s="214" t="s">
        <v>1433</v>
      </c>
      <c r="B43" s="64">
        <v>105.14</v>
      </c>
      <c r="C43" s="64">
        <v>34.93</v>
      </c>
      <c r="D43" s="64">
        <v>72.5</v>
      </c>
      <c r="E43" s="64">
        <v>6.26</v>
      </c>
      <c r="F43" s="64">
        <v>3.06</v>
      </c>
      <c r="G43" s="64">
        <v>184.14</v>
      </c>
      <c r="H43" s="64">
        <v>70.7</v>
      </c>
      <c r="I43" s="64">
        <v>0.1</v>
      </c>
      <c r="J43" s="64">
        <v>1.25</v>
      </c>
      <c r="K43" s="64">
        <v>331.53</v>
      </c>
      <c r="L43" s="64">
        <v>21.85</v>
      </c>
      <c r="M43" s="64">
        <v>49.5</v>
      </c>
      <c r="N43" s="64">
        <v>251.5</v>
      </c>
      <c r="O43" s="64">
        <v>0</v>
      </c>
      <c r="P43" s="64">
        <v>2.67</v>
      </c>
      <c r="Q43" s="64">
        <v>9.81</v>
      </c>
      <c r="R43" s="198"/>
      <c r="S43" s="198"/>
      <c r="T43" s="198"/>
      <c r="U43" s="198"/>
    </row>
    <row r="44" spans="1:21" s="12" customFormat="1" x14ac:dyDescent="0.25">
      <c r="A44" s="214" t="s">
        <v>1434</v>
      </c>
      <c r="B44" s="64">
        <v>100.28</v>
      </c>
      <c r="C44" s="64">
        <v>34.93</v>
      </c>
      <c r="D44" s="64">
        <v>70.73</v>
      </c>
      <c r="E44" s="64">
        <v>6.34</v>
      </c>
      <c r="F44" s="64">
        <v>3.02</v>
      </c>
      <c r="G44" s="64">
        <v>214.52</v>
      </c>
      <c r="H44" s="64">
        <v>76.709999999999994</v>
      </c>
      <c r="I44" s="64">
        <v>0.1</v>
      </c>
      <c r="J44" s="64">
        <v>1.37</v>
      </c>
      <c r="K44" s="64">
        <v>343.49</v>
      </c>
      <c r="L44" s="64">
        <v>23.05</v>
      </c>
      <c r="M44" s="64">
        <v>43.69</v>
      </c>
      <c r="N44" s="64">
        <v>300.7</v>
      </c>
      <c r="O44" s="64">
        <v>0</v>
      </c>
      <c r="P44" s="64">
        <v>2.69</v>
      </c>
      <c r="Q44" s="64">
        <v>9.8000000000000007</v>
      </c>
      <c r="R44" s="198"/>
      <c r="S44" s="198"/>
      <c r="T44" s="198"/>
      <c r="U44" s="198"/>
    </row>
    <row r="45" spans="1:21" s="12" customFormat="1" x14ac:dyDescent="0.25">
      <c r="A45" s="214" t="s">
        <v>1435</v>
      </c>
      <c r="B45" s="64">
        <v>96.14</v>
      </c>
      <c r="C45" s="64">
        <v>34.93</v>
      </c>
      <c r="D45" s="64">
        <v>69.13</v>
      </c>
      <c r="E45" s="64">
        <v>6.18</v>
      </c>
      <c r="F45" s="64">
        <v>3.23</v>
      </c>
      <c r="G45" s="64">
        <v>336.04</v>
      </c>
      <c r="H45" s="64">
        <v>94.4</v>
      </c>
      <c r="I45" s="64">
        <v>0.1</v>
      </c>
      <c r="J45" s="64">
        <v>1.29</v>
      </c>
      <c r="K45" s="64">
        <v>340.28</v>
      </c>
      <c r="L45" s="64">
        <v>24.08</v>
      </c>
      <c r="M45" s="64">
        <v>35.46</v>
      </c>
      <c r="N45" s="64">
        <v>358.2</v>
      </c>
      <c r="O45" s="64">
        <v>0</v>
      </c>
      <c r="P45" s="64">
        <v>2.7</v>
      </c>
      <c r="Q45" s="64">
        <v>9.8000000000000007</v>
      </c>
      <c r="R45" s="198"/>
      <c r="S45" s="198"/>
      <c r="T45" s="198"/>
      <c r="U45" s="198"/>
    </row>
    <row r="46" spans="1:21" s="12" customFormat="1" x14ac:dyDescent="0.25">
      <c r="A46" s="214" t="s">
        <v>1436</v>
      </c>
      <c r="B46" s="64">
        <v>90.57</v>
      </c>
      <c r="C46" s="64">
        <v>34.93</v>
      </c>
      <c r="D46" s="64">
        <v>66.900000000000006</v>
      </c>
      <c r="E46" s="64">
        <v>6.42</v>
      </c>
      <c r="F46" s="64">
        <v>3.41</v>
      </c>
      <c r="G46" s="64">
        <v>336.04</v>
      </c>
      <c r="H46" s="64">
        <v>94.4</v>
      </c>
      <c r="I46" s="64">
        <v>0.1</v>
      </c>
      <c r="J46" s="64">
        <v>1.31</v>
      </c>
      <c r="K46" s="64">
        <v>344.06</v>
      </c>
      <c r="L46" s="64">
        <v>25.36</v>
      </c>
      <c r="M46" s="64">
        <v>32.07</v>
      </c>
      <c r="N46" s="64">
        <v>383.3</v>
      </c>
      <c r="O46" s="64">
        <v>0</v>
      </c>
      <c r="P46" s="64">
        <v>2.67</v>
      </c>
      <c r="Q46" s="64">
        <v>9.8000000000000007</v>
      </c>
      <c r="R46" s="198"/>
      <c r="S46" s="198"/>
      <c r="T46" s="198"/>
      <c r="U46" s="198"/>
    </row>
    <row r="47" spans="1:21" s="12" customFormat="1" x14ac:dyDescent="0.25">
      <c r="A47" s="214" t="s">
        <v>1437</v>
      </c>
      <c r="B47" s="64">
        <v>86.54</v>
      </c>
      <c r="C47" s="64">
        <v>1.3</v>
      </c>
      <c r="D47" s="64">
        <v>65.41</v>
      </c>
      <c r="E47" s="64">
        <v>5.7</v>
      </c>
      <c r="F47" s="64">
        <v>3.35</v>
      </c>
      <c r="G47" s="64">
        <v>336.04</v>
      </c>
      <c r="H47" s="64">
        <v>94.4</v>
      </c>
      <c r="I47" s="64">
        <v>0.1</v>
      </c>
      <c r="J47" s="64">
        <v>1.42</v>
      </c>
      <c r="K47" s="64">
        <v>340.91</v>
      </c>
      <c r="L47" s="64">
        <v>26.04</v>
      </c>
      <c r="M47" s="64">
        <v>31.4</v>
      </c>
      <c r="N47" s="64">
        <v>403.6</v>
      </c>
      <c r="O47" s="64">
        <v>0</v>
      </c>
      <c r="P47" s="64">
        <v>2.65</v>
      </c>
      <c r="Q47" s="64">
        <v>9.7899999999999991</v>
      </c>
      <c r="R47" s="198"/>
      <c r="S47" s="198"/>
      <c r="T47" s="198"/>
      <c r="U47" s="198"/>
    </row>
    <row r="48" spans="1:21" s="12" customFormat="1" x14ac:dyDescent="0.25">
      <c r="A48" s="214" t="s">
        <v>1438</v>
      </c>
      <c r="B48" s="64">
        <v>80.540000000000006</v>
      </c>
      <c r="C48" s="64">
        <v>1.3</v>
      </c>
      <c r="D48" s="64">
        <v>62.08</v>
      </c>
      <c r="E48" s="64">
        <v>6.39</v>
      </c>
      <c r="F48" s="64">
        <v>3.43</v>
      </c>
      <c r="G48" s="64">
        <v>291.32</v>
      </c>
      <c r="H48" s="64">
        <v>89.27</v>
      </c>
      <c r="I48" s="64">
        <v>0.1</v>
      </c>
      <c r="J48" s="64">
        <v>1.38</v>
      </c>
      <c r="K48" s="64">
        <v>340.13</v>
      </c>
      <c r="L48" s="64">
        <v>26.65</v>
      </c>
      <c r="M48" s="64">
        <v>30.73</v>
      </c>
      <c r="N48" s="64">
        <v>437.6</v>
      </c>
      <c r="O48" s="64">
        <v>0</v>
      </c>
      <c r="P48" s="64">
        <v>2.57</v>
      </c>
      <c r="Q48" s="64">
        <v>9.7799999999999994</v>
      </c>
      <c r="R48" s="198"/>
      <c r="S48" s="198"/>
      <c r="T48" s="198"/>
      <c r="U48" s="198"/>
    </row>
    <row r="49" spans="1:21" s="12" customFormat="1" x14ac:dyDescent="0.25">
      <c r="A49" s="214" t="s">
        <v>1439</v>
      </c>
      <c r="B49" s="64">
        <v>79.2</v>
      </c>
      <c r="C49" s="64">
        <v>1.3</v>
      </c>
      <c r="D49" s="64">
        <v>61.59</v>
      </c>
      <c r="E49" s="64">
        <v>7.05</v>
      </c>
      <c r="F49" s="64">
        <v>3.25</v>
      </c>
      <c r="G49" s="64">
        <v>112.45</v>
      </c>
      <c r="H49" s="64">
        <v>63.63</v>
      </c>
      <c r="I49" s="64">
        <v>0.1</v>
      </c>
      <c r="J49" s="64">
        <v>1.3</v>
      </c>
      <c r="K49" s="64">
        <v>331.69</v>
      </c>
      <c r="L49" s="64">
        <v>27.75</v>
      </c>
      <c r="M49" s="64">
        <v>28.58</v>
      </c>
      <c r="N49" s="64">
        <v>461.6</v>
      </c>
      <c r="O49" s="64">
        <v>0</v>
      </c>
      <c r="P49" s="64">
        <v>2.5499999999999998</v>
      </c>
      <c r="Q49" s="64">
        <v>9.7799999999999994</v>
      </c>
      <c r="R49" s="198"/>
      <c r="S49" s="198"/>
      <c r="T49" s="198"/>
      <c r="U49" s="198"/>
    </row>
    <row r="50" spans="1:21" s="12" customFormat="1" x14ac:dyDescent="0.25">
      <c r="A50" s="214" t="s">
        <v>1440</v>
      </c>
      <c r="B50" s="64">
        <v>74.78</v>
      </c>
      <c r="C50" s="64">
        <v>0.3</v>
      </c>
      <c r="D50" s="64">
        <v>59.33</v>
      </c>
      <c r="E50" s="64">
        <v>6.12</v>
      </c>
      <c r="F50" s="64">
        <v>3.29</v>
      </c>
      <c r="G50" s="64">
        <v>112.45</v>
      </c>
      <c r="H50" s="64">
        <v>63.63</v>
      </c>
      <c r="I50" s="64">
        <v>0.1</v>
      </c>
      <c r="J50" s="64">
        <v>0.39</v>
      </c>
      <c r="K50" s="64">
        <v>347.35</v>
      </c>
      <c r="L50" s="64">
        <v>27.7</v>
      </c>
      <c r="M50" s="64">
        <v>29.08</v>
      </c>
      <c r="N50" s="64">
        <v>482.3</v>
      </c>
      <c r="O50" s="64">
        <v>0</v>
      </c>
      <c r="P50" s="64">
        <v>2.5</v>
      </c>
      <c r="Q50" s="64">
        <v>9.77</v>
      </c>
      <c r="R50" s="198"/>
      <c r="S50" s="198"/>
      <c r="T50" s="198"/>
      <c r="U50" s="198"/>
    </row>
    <row r="51" spans="1:21" s="12" customFormat="1" x14ac:dyDescent="0.25">
      <c r="A51" s="214" t="s">
        <v>1441</v>
      </c>
      <c r="B51" s="64">
        <v>71.44</v>
      </c>
      <c r="C51" s="64">
        <v>2.5</v>
      </c>
      <c r="D51" s="64">
        <v>58.13</v>
      </c>
      <c r="E51" s="64">
        <v>6.16</v>
      </c>
      <c r="F51" s="64">
        <v>3.23</v>
      </c>
      <c r="G51" s="64">
        <v>112.45</v>
      </c>
      <c r="H51" s="64">
        <v>63.63</v>
      </c>
      <c r="I51" s="64">
        <v>0.1</v>
      </c>
      <c r="J51" s="64">
        <v>1.28</v>
      </c>
      <c r="K51" s="64">
        <v>116.26</v>
      </c>
      <c r="L51" s="64">
        <v>24.97</v>
      </c>
      <c r="M51" s="64">
        <v>31.59</v>
      </c>
      <c r="N51" s="64">
        <v>517.6</v>
      </c>
      <c r="O51" s="64">
        <v>0</v>
      </c>
      <c r="P51" s="64">
        <v>2.44</v>
      </c>
      <c r="Q51" s="64">
        <v>9.75</v>
      </c>
      <c r="R51" s="198"/>
      <c r="S51" s="198"/>
      <c r="T51" s="198"/>
      <c r="U51" s="198"/>
    </row>
    <row r="52" spans="1:21" s="12" customFormat="1" x14ac:dyDescent="0.25">
      <c r="A52" s="214" t="s">
        <v>1442</v>
      </c>
      <c r="B52" s="64">
        <v>68.680000000000007</v>
      </c>
      <c r="C52" s="64">
        <v>3.3</v>
      </c>
      <c r="D52" s="64">
        <v>56.34</v>
      </c>
      <c r="E52" s="64">
        <v>6.27</v>
      </c>
      <c r="F52" s="64">
        <v>4.4800000000000004</v>
      </c>
      <c r="G52" s="64">
        <v>104.44</v>
      </c>
      <c r="H52" s="64">
        <v>58.81</v>
      </c>
      <c r="I52" s="64">
        <v>0.1</v>
      </c>
      <c r="J52" s="64">
        <v>0.02</v>
      </c>
      <c r="K52" s="64">
        <v>73.7</v>
      </c>
      <c r="L52" s="64">
        <v>25.46</v>
      </c>
      <c r="M52" s="64">
        <v>31.37</v>
      </c>
      <c r="N52" s="64">
        <v>519.5</v>
      </c>
      <c r="O52" s="64">
        <v>0</v>
      </c>
      <c r="P52" s="64">
        <v>2.34</v>
      </c>
      <c r="Q52" s="64">
        <v>9.74</v>
      </c>
      <c r="R52" s="198"/>
      <c r="S52" s="198"/>
      <c r="T52" s="198"/>
      <c r="U52" s="198"/>
    </row>
    <row r="53" spans="1:21" s="12" customFormat="1" x14ac:dyDescent="0.25">
      <c r="A53" s="214" t="s">
        <v>1443</v>
      </c>
      <c r="B53" s="64">
        <v>66.52</v>
      </c>
      <c r="C53" s="64">
        <v>3.99</v>
      </c>
      <c r="D53" s="64">
        <v>54.97</v>
      </c>
      <c r="E53" s="64">
        <v>6.07</v>
      </c>
      <c r="F53" s="64">
        <v>3.4</v>
      </c>
      <c r="G53" s="64">
        <v>72.36</v>
      </c>
      <c r="H53" s="64">
        <v>44.66</v>
      </c>
      <c r="I53" s="64">
        <v>0.1</v>
      </c>
      <c r="J53" s="64">
        <v>1.79</v>
      </c>
      <c r="K53" s="64">
        <v>130.28</v>
      </c>
      <c r="L53" s="64">
        <v>24.41</v>
      </c>
      <c r="M53" s="64">
        <v>31.88</v>
      </c>
      <c r="N53" s="64">
        <v>531.70000000000005</v>
      </c>
      <c r="O53" s="64">
        <v>0</v>
      </c>
      <c r="P53" s="64">
        <v>2.25</v>
      </c>
      <c r="Q53" s="64">
        <v>9.74</v>
      </c>
      <c r="R53" s="198"/>
      <c r="S53" s="198"/>
      <c r="T53" s="198"/>
      <c r="U53" s="198"/>
    </row>
    <row r="54" spans="1:21" s="12" customFormat="1" x14ac:dyDescent="0.25">
      <c r="A54" s="214" t="s">
        <v>1444</v>
      </c>
      <c r="B54" s="64">
        <v>62.42</v>
      </c>
      <c r="C54" s="64">
        <v>5.55</v>
      </c>
      <c r="D54" s="64">
        <v>52.5</v>
      </c>
      <c r="E54" s="64">
        <v>6.1</v>
      </c>
      <c r="F54" s="64">
        <v>3.25</v>
      </c>
      <c r="G54" s="64">
        <v>72.36</v>
      </c>
      <c r="H54" s="64">
        <v>44.66</v>
      </c>
      <c r="I54" s="64">
        <v>0.1</v>
      </c>
      <c r="J54" s="64">
        <v>0.21</v>
      </c>
      <c r="K54" s="64">
        <v>4.7699999999999996</v>
      </c>
      <c r="L54" s="64">
        <v>26.06</v>
      </c>
      <c r="M54" s="64">
        <v>28.11</v>
      </c>
      <c r="N54" s="64">
        <v>513.20000000000005</v>
      </c>
      <c r="O54" s="64">
        <v>0</v>
      </c>
      <c r="P54" s="64">
        <v>2.12</v>
      </c>
      <c r="Q54" s="64">
        <v>9.74</v>
      </c>
      <c r="R54" s="198"/>
      <c r="S54" s="198"/>
      <c r="T54" s="198"/>
      <c r="U54" s="198"/>
    </row>
    <row r="55" spans="1:21" s="12" customFormat="1" x14ac:dyDescent="0.25">
      <c r="A55" s="214" t="s">
        <v>1445</v>
      </c>
      <c r="B55" s="64">
        <v>59.07</v>
      </c>
      <c r="C55" s="64">
        <v>6.96</v>
      </c>
      <c r="D55" s="64">
        <v>50.55</v>
      </c>
      <c r="E55" s="64">
        <v>6.19</v>
      </c>
      <c r="F55" s="64">
        <v>3.17</v>
      </c>
      <c r="G55" s="64">
        <v>72.36</v>
      </c>
      <c r="H55" s="64">
        <v>44.66</v>
      </c>
      <c r="I55" s="64">
        <v>0.1</v>
      </c>
      <c r="J55" s="64">
        <v>0.79</v>
      </c>
      <c r="K55" s="64">
        <v>115.16</v>
      </c>
      <c r="L55" s="64">
        <v>25.51</v>
      </c>
      <c r="M55" s="64">
        <v>28.13</v>
      </c>
      <c r="N55" s="64">
        <v>525.29999999999995</v>
      </c>
      <c r="O55" s="64">
        <v>0</v>
      </c>
      <c r="P55" s="64">
        <v>2.0299999999999998</v>
      </c>
      <c r="Q55" s="64">
        <v>9.73</v>
      </c>
      <c r="R55" s="198"/>
      <c r="S55" s="198"/>
      <c r="T55" s="198"/>
      <c r="U55" s="198"/>
    </row>
    <row r="56" spans="1:21" s="12" customFormat="1" x14ac:dyDescent="0.25">
      <c r="A56" s="214" t="s">
        <v>1446</v>
      </c>
      <c r="B56" s="64">
        <v>55.89</v>
      </c>
      <c r="C56" s="64">
        <v>8.5299999999999994</v>
      </c>
      <c r="D56" s="64">
        <v>48.81</v>
      </c>
      <c r="E56" s="64">
        <v>6.34</v>
      </c>
      <c r="F56" s="64">
        <v>2.99</v>
      </c>
      <c r="G56" s="64">
        <v>67.37</v>
      </c>
      <c r="H56" s="64">
        <v>40</v>
      </c>
      <c r="I56" s="64">
        <v>0.1</v>
      </c>
      <c r="J56" s="64">
        <v>0.38</v>
      </c>
      <c r="K56" s="64">
        <v>45.36</v>
      </c>
      <c r="L56" s="64">
        <v>26.78</v>
      </c>
      <c r="M56" s="64">
        <v>25.91</v>
      </c>
      <c r="N56" s="64">
        <v>525</v>
      </c>
      <c r="O56" s="64">
        <v>0</v>
      </c>
      <c r="P56" s="64">
        <v>1.94</v>
      </c>
      <c r="Q56" s="64">
        <v>9.7200000000000006</v>
      </c>
      <c r="R56" s="198"/>
      <c r="S56" s="198"/>
      <c r="T56" s="198"/>
      <c r="U56" s="198"/>
    </row>
    <row r="57" spans="1:21" s="12" customFormat="1" x14ac:dyDescent="0.25">
      <c r="A57" s="214" t="s">
        <v>1447</v>
      </c>
      <c r="B57" s="64">
        <v>51.89</v>
      </c>
      <c r="C57" s="64">
        <v>10.53</v>
      </c>
      <c r="D57" s="64">
        <v>46.65</v>
      </c>
      <c r="E57" s="64">
        <v>6.1</v>
      </c>
      <c r="F57" s="64">
        <v>3.35</v>
      </c>
      <c r="G57" s="64">
        <v>47.43</v>
      </c>
      <c r="H57" s="64">
        <v>26.31</v>
      </c>
      <c r="I57" s="64">
        <v>0.1</v>
      </c>
      <c r="J57" s="64">
        <v>0.8</v>
      </c>
      <c r="K57" s="64">
        <v>346.64</v>
      </c>
      <c r="L57" s="64">
        <v>27.97</v>
      </c>
      <c r="M57" s="64">
        <v>23.12</v>
      </c>
      <c r="N57" s="64">
        <v>510.2</v>
      </c>
      <c r="O57" s="64">
        <v>0</v>
      </c>
      <c r="P57" s="64">
        <v>1.86</v>
      </c>
      <c r="Q57" s="64">
        <v>9.7100000000000009</v>
      </c>
      <c r="R57" s="198"/>
      <c r="S57" s="198"/>
      <c r="T57" s="198"/>
      <c r="U57" s="198"/>
    </row>
    <row r="58" spans="1:21" s="12" customFormat="1" x14ac:dyDescent="0.25">
      <c r="A58" s="214" t="s">
        <v>1448</v>
      </c>
      <c r="B58" s="64">
        <v>48.96</v>
      </c>
      <c r="C58" s="64">
        <v>12.71</v>
      </c>
      <c r="D58" s="64">
        <v>45.45</v>
      </c>
      <c r="E58" s="64">
        <v>6.29</v>
      </c>
      <c r="F58" s="64">
        <v>3.39</v>
      </c>
      <c r="G58" s="64">
        <v>47.43</v>
      </c>
      <c r="H58" s="64">
        <v>26.31</v>
      </c>
      <c r="I58" s="64">
        <v>0.1</v>
      </c>
      <c r="J58" s="64">
        <v>0.65</v>
      </c>
      <c r="K58" s="64">
        <v>152.16</v>
      </c>
      <c r="L58" s="64">
        <v>27.09</v>
      </c>
      <c r="M58" s="64">
        <v>24.58</v>
      </c>
      <c r="N58" s="64">
        <v>502.7</v>
      </c>
      <c r="O58" s="64">
        <v>0</v>
      </c>
      <c r="P58" s="64">
        <v>1.8</v>
      </c>
      <c r="Q58" s="64">
        <v>9.69</v>
      </c>
      <c r="R58" s="198"/>
      <c r="S58" s="198"/>
      <c r="T58" s="198"/>
      <c r="U58" s="198"/>
    </row>
    <row r="59" spans="1:21" s="12" customFormat="1" x14ac:dyDescent="0.25">
      <c r="A59" s="214" t="s">
        <v>1449</v>
      </c>
      <c r="B59" s="64">
        <v>45.99</v>
      </c>
      <c r="C59" s="64">
        <v>13.87</v>
      </c>
      <c r="D59" s="64">
        <v>43.67</v>
      </c>
      <c r="E59" s="64">
        <v>5.78</v>
      </c>
      <c r="F59" s="64">
        <v>3.26</v>
      </c>
      <c r="G59" s="64">
        <v>47.43</v>
      </c>
      <c r="H59" s="64">
        <v>26.31</v>
      </c>
      <c r="I59" s="64">
        <v>0.1</v>
      </c>
      <c r="J59" s="64">
        <v>0.84</v>
      </c>
      <c r="K59" s="64">
        <v>318.42</v>
      </c>
      <c r="L59" s="64">
        <v>27.73</v>
      </c>
      <c r="M59" s="64">
        <v>23.65</v>
      </c>
      <c r="N59" s="64">
        <v>486.7</v>
      </c>
      <c r="O59" s="64">
        <v>0</v>
      </c>
      <c r="P59" s="64">
        <v>1.74</v>
      </c>
      <c r="Q59" s="64">
        <v>9.69</v>
      </c>
      <c r="R59" s="198"/>
      <c r="S59" s="198"/>
      <c r="T59" s="198"/>
      <c r="U59" s="198"/>
    </row>
    <row r="60" spans="1:21" s="12" customFormat="1" x14ac:dyDescent="0.25">
      <c r="A60" s="214" t="s">
        <v>1450</v>
      </c>
      <c r="B60" s="64">
        <v>40.659999999999997</v>
      </c>
      <c r="C60" s="64">
        <v>16.170000000000002</v>
      </c>
      <c r="D60" s="64">
        <v>40.590000000000003</v>
      </c>
      <c r="E60" s="64">
        <v>6.8</v>
      </c>
      <c r="F60" s="64">
        <v>4.24</v>
      </c>
      <c r="G60" s="64">
        <v>46.23</v>
      </c>
      <c r="H60" s="64">
        <v>23.92</v>
      </c>
      <c r="I60" s="64">
        <v>0.1</v>
      </c>
      <c r="J60" s="64">
        <v>1.65</v>
      </c>
      <c r="K60" s="64">
        <v>134.46</v>
      </c>
      <c r="L60" s="64">
        <v>26.97</v>
      </c>
      <c r="M60" s="64">
        <v>23.99</v>
      </c>
      <c r="N60" s="64">
        <v>460.4</v>
      </c>
      <c r="O60" s="64">
        <v>0</v>
      </c>
      <c r="P60" s="64">
        <v>1.62</v>
      </c>
      <c r="Q60" s="64">
        <v>9.69</v>
      </c>
      <c r="R60" s="198"/>
      <c r="S60" s="198"/>
      <c r="T60" s="198"/>
      <c r="U60" s="198"/>
    </row>
    <row r="61" spans="1:21" s="12" customFormat="1" x14ac:dyDescent="0.25">
      <c r="A61" s="214" t="s">
        <v>1451</v>
      </c>
      <c r="B61" s="64">
        <v>37.58</v>
      </c>
      <c r="C61" s="64">
        <v>18.75</v>
      </c>
      <c r="D61" s="64">
        <v>39.47</v>
      </c>
      <c r="E61" s="64">
        <v>8.0399999999999991</v>
      </c>
      <c r="F61" s="64">
        <v>5.39</v>
      </c>
      <c r="G61" s="64">
        <v>41.41</v>
      </c>
      <c r="H61" s="64">
        <v>16.88</v>
      </c>
      <c r="I61" s="64">
        <v>0.1</v>
      </c>
      <c r="J61" s="64">
        <v>0.45</v>
      </c>
      <c r="K61" s="64">
        <v>96.79</v>
      </c>
      <c r="L61" s="64">
        <v>25.93</v>
      </c>
      <c r="M61" s="64">
        <v>26.13</v>
      </c>
      <c r="N61" s="64">
        <v>409.6</v>
      </c>
      <c r="O61" s="64">
        <v>0</v>
      </c>
      <c r="P61" s="64">
        <v>1.57</v>
      </c>
      <c r="Q61" s="64">
        <v>9.69</v>
      </c>
      <c r="R61" s="198"/>
      <c r="S61" s="198"/>
      <c r="T61" s="198"/>
      <c r="U61" s="198"/>
    </row>
    <row r="62" spans="1:21" s="12" customFormat="1" x14ac:dyDescent="0.25">
      <c r="A62" s="214" t="s">
        <v>1452</v>
      </c>
      <c r="B62" s="64">
        <v>34.54</v>
      </c>
      <c r="C62" s="64">
        <v>22.06</v>
      </c>
      <c r="D62" s="64">
        <v>38.76</v>
      </c>
      <c r="E62" s="64">
        <v>16.95</v>
      </c>
      <c r="F62" s="64">
        <v>5.97</v>
      </c>
      <c r="G62" s="64">
        <v>41.41</v>
      </c>
      <c r="H62" s="64">
        <v>16.88</v>
      </c>
      <c r="I62" s="64">
        <v>0.1</v>
      </c>
      <c r="J62" s="64">
        <v>0.84</v>
      </c>
      <c r="K62" s="64">
        <v>342.19</v>
      </c>
      <c r="L62" s="64">
        <v>27.04</v>
      </c>
      <c r="M62" s="64">
        <v>24.73</v>
      </c>
      <c r="N62" s="64">
        <v>367</v>
      </c>
      <c r="O62" s="64">
        <v>0</v>
      </c>
      <c r="P62" s="64">
        <v>1.6</v>
      </c>
      <c r="Q62" s="64">
        <v>9.67</v>
      </c>
      <c r="R62" s="198"/>
      <c r="S62" s="198"/>
      <c r="T62" s="198"/>
      <c r="U62" s="198"/>
    </row>
    <row r="63" spans="1:21" s="12" customFormat="1" x14ac:dyDescent="0.25">
      <c r="A63" s="214" t="s">
        <v>1453</v>
      </c>
      <c r="B63" s="64">
        <v>29.81</v>
      </c>
      <c r="C63" s="64">
        <v>26.21</v>
      </c>
      <c r="D63" s="64">
        <v>37.14</v>
      </c>
      <c r="E63" s="64">
        <v>19.329999999999998</v>
      </c>
      <c r="F63" s="64">
        <v>8.9499999999999993</v>
      </c>
      <c r="G63" s="64">
        <v>41.41</v>
      </c>
      <c r="H63" s="64">
        <v>16.88</v>
      </c>
      <c r="I63" s="64">
        <v>0.1</v>
      </c>
      <c r="J63" s="64">
        <v>0.63</v>
      </c>
      <c r="K63" s="64">
        <v>323.52</v>
      </c>
      <c r="L63" s="64">
        <v>27.08</v>
      </c>
      <c r="M63" s="64">
        <v>25.1</v>
      </c>
      <c r="N63" s="64">
        <v>312</v>
      </c>
      <c r="O63" s="64">
        <v>0</v>
      </c>
      <c r="P63" s="64">
        <v>1.49</v>
      </c>
      <c r="Q63" s="64">
        <v>9.68</v>
      </c>
      <c r="R63" s="198"/>
      <c r="S63" s="198"/>
      <c r="T63" s="198"/>
      <c r="U63" s="198"/>
    </row>
    <row r="64" spans="1:21" s="12" customFormat="1" x14ac:dyDescent="0.25">
      <c r="A64" s="214" t="s">
        <v>1454</v>
      </c>
      <c r="B64" s="64">
        <v>29.34</v>
      </c>
      <c r="C64" s="64">
        <v>22.87</v>
      </c>
      <c r="D64" s="64">
        <v>35.020000000000003</v>
      </c>
      <c r="E64" s="64">
        <v>22.79</v>
      </c>
      <c r="F64" s="64">
        <v>6.52</v>
      </c>
      <c r="G64" s="64">
        <v>43.92</v>
      </c>
      <c r="H64" s="64">
        <v>18.100000000000001</v>
      </c>
      <c r="I64" s="64">
        <v>0.1</v>
      </c>
      <c r="J64" s="64">
        <v>0.26</v>
      </c>
      <c r="K64" s="64">
        <v>168.45</v>
      </c>
      <c r="L64" s="64">
        <v>26.31</v>
      </c>
      <c r="M64" s="64">
        <v>26.76</v>
      </c>
      <c r="N64" s="64">
        <v>218.4</v>
      </c>
      <c r="O64" s="64">
        <v>0</v>
      </c>
      <c r="P64" s="64">
        <v>1.47</v>
      </c>
      <c r="Q64" s="64">
        <v>9.68</v>
      </c>
      <c r="R64" s="198"/>
      <c r="S64" s="198"/>
      <c r="T64" s="198"/>
      <c r="U64" s="198"/>
    </row>
    <row r="65" spans="1:21" s="12" customFormat="1" x14ac:dyDescent="0.25">
      <c r="A65" s="214" t="s">
        <v>1455</v>
      </c>
      <c r="B65" s="64">
        <v>29.32</v>
      </c>
      <c r="C65" s="64">
        <v>26.39</v>
      </c>
      <c r="D65" s="64">
        <v>36.840000000000003</v>
      </c>
      <c r="E65" s="64">
        <v>22.58</v>
      </c>
      <c r="F65" s="64">
        <v>6.64</v>
      </c>
      <c r="G65" s="64">
        <v>53.94</v>
      </c>
      <c r="H65" s="64">
        <v>24.22</v>
      </c>
      <c r="I65" s="64">
        <v>0.1</v>
      </c>
      <c r="J65" s="64">
        <v>1.32</v>
      </c>
      <c r="K65" s="64">
        <v>335.51</v>
      </c>
      <c r="L65" s="64">
        <v>26.13</v>
      </c>
      <c r="M65" s="64">
        <v>26.59</v>
      </c>
      <c r="N65" s="64">
        <v>147.9</v>
      </c>
      <c r="O65" s="64">
        <v>0</v>
      </c>
      <c r="P65" s="64">
        <v>1.52</v>
      </c>
      <c r="Q65" s="64">
        <v>9.68</v>
      </c>
      <c r="R65" s="198"/>
      <c r="S65" s="198"/>
      <c r="T65" s="198"/>
      <c r="U65" s="198"/>
    </row>
    <row r="66" spans="1:21" s="12" customFormat="1" x14ac:dyDescent="0.25">
      <c r="A66" s="214" t="s">
        <v>1456</v>
      </c>
      <c r="B66" s="64">
        <v>30.37</v>
      </c>
      <c r="C66" s="64">
        <v>25.66</v>
      </c>
      <c r="D66" s="64">
        <v>37.29</v>
      </c>
      <c r="E66" s="64">
        <v>15.87</v>
      </c>
      <c r="F66" s="64">
        <v>5.0999999999999996</v>
      </c>
      <c r="G66" s="64">
        <v>53.94</v>
      </c>
      <c r="H66" s="64">
        <v>24.22</v>
      </c>
      <c r="I66" s="64">
        <v>0.1</v>
      </c>
      <c r="J66" s="64">
        <v>1.47</v>
      </c>
      <c r="K66" s="64">
        <v>326.85000000000002</v>
      </c>
      <c r="L66" s="64">
        <v>26.31</v>
      </c>
      <c r="M66" s="64">
        <v>24.68</v>
      </c>
      <c r="N66" s="64">
        <v>120.7</v>
      </c>
      <c r="O66" s="64">
        <v>0</v>
      </c>
      <c r="P66" s="64">
        <v>1.48</v>
      </c>
      <c r="Q66" s="64">
        <v>9.69</v>
      </c>
      <c r="R66" s="198"/>
      <c r="S66" s="198"/>
      <c r="T66" s="198"/>
      <c r="U66" s="198"/>
    </row>
    <row r="67" spans="1:21" s="12" customFormat="1" x14ac:dyDescent="0.25">
      <c r="A67" s="214" t="s">
        <v>1457</v>
      </c>
      <c r="B67" s="64">
        <v>28.25</v>
      </c>
      <c r="C67" s="64">
        <v>26.82</v>
      </c>
      <c r="D67" s="64">
        <v>36.21</v>
      </c>
      <c r="E67" s="64">
        <v>6.85</v>
      </c>
      <c r="F67" s="64">
        <v>3.96</v>
      </c>
      <c r="G67" s="64">
        <v>53.94</v>
      </c>
      <c r="H67" s="64">
        <v>24.22</v>
      </c>
      <c r="I67" s="64">
        <v>0.1</v>
      </c>
      <c r="J67" s="64">
        <v>1.82</v>
      </c>
      <c r="K67" s="64">
        <v>331.25</v>
      </c>
      <c r="L67" s="64">
        <v>26.07</v>
      </c>
      <c r="M67" s="64">
        <v>24.98</v>
      </c>
      <c r="N67" s="64">
        <v>103.9</v>
      </c>
      <c r="O67" s="64">
        <v>0</v>
      </c>
      <c r="P67" s="64">
        <v>1.48</v>
      </c>
      <c r="Q67" s="64">
        <v>9.66</v>
      </c>
      <c r="R67" s="198"/>
      <c r="S67" s="198"/>
      <c r="T67" s="198"/>
      <c r="U67" s="198"/>
    </row>
    <row r="68" spans="1:21" s="12" customFormat="1" x14ac:dyDescent="0.25">
      <c r="A68" s="214" t="s">
        <v>1458</v>
      </c>
      <c r="B68" s="64">
        <v>24.66</v>
      </c>
      <c r="C68" s="64">
        <v>28.09</v>
      </c>
      <c r="D68" s="64">
        <v>33.99</v>
      </c>
      <c r="E68" s="64">
        <v>6.67</v>
      </c>
      <c r="F68" s="64">
        <v>3.49</v>
      </c>
      <c r="G68" s="64">
        <v>54.74</v>
      </c>
      <c r="H68" s="64">
        <v>23.64</v>
      </c>
      <c r="I68" s="64">
        <v>0.1</v>
      </c>
      <c r="J68" s="64">
        <v>1.87</v>
      </c>
      <c r="K68" s="64">
        <v>339.25</v>
      </c>
      <c r="L68" s="64">
        <v>25.73</v>
      </c>
      <c r="M68" s="64">
        <v>23.94</v>
      </c>
      <c r="N68" s="64">
        <v>92.3</v>
      </c>
      <c r="O68" s="64">
        <v>0</v>
      </c>
      <c r="P68" s="64">
        <v>1.42</v>
      </c>
      <c r="Q68" s="64">
        <v>9.65</v>
      </c>
      <c r="R68" s="198"/>
      <c r="S68" s="198"/>
      <c r="T68" s="198"/>
      <c r="U68" s="198"/>
    </row>
    <row r="69" spans="1:21" s="12" customFormat="1" x14ac:dyDescent="0.25">
      <c r="A69" s="214" t="s">
        <v>1459</v>
      </c>
      <c r="B69" s="64">
        <v>22.57</v>
      </c>
      <c r="C69" s="64">
        <v>30.49</v>
      </c>
      <c r="D69" s="64">
        <v>33.57</v>
      </c>
      <c r="E69" s="64">
        <v>6.2</v>
      </c>
      <c r="F69" s="64">
        <v>4.3099999999999996</v>
      </c>
      <c r="G69" s="64">
        <v>57.93</v>
      </c>
      <c r="H69" s="64">
        <v>21.92</v>
      </c>
      <c r="I69" s="64">
        <v>0.1</v>
      </c>
      <c r="J69" s="64">
        <v>1.65</v>
      </c>
      <c r="K69" s="64">
        <v>337.44</v>
      </c>
      <c r="L69" s="64">
        <v>25.42</v>
      </c>
      <c r="M69" s="64">
        <v>23.94</v>
      </c>
      <c r="N69" s="64">
        <v>87.2</v>
      </c>
      <c r="O69" s="64">
        <v>0</v>
      </c>
      <c r="P69" s="64">
        <v>1.38</v>
      </c>
      <c r="Q69" s="64">
        <v>9.65</v>
      </c>
      <c r="R69" s="198"/>
      <c r="S69" s="198"/>
      <c r="T69" s="198"/>
      <c r="U69" s="198"/>
    </row>
    <row r="70" spans="1:21" s="12" customFormat="1" x14ac:dyDescent="0.25">
      <c r="A70" s="214" t="s">
        <v>1460</v>
      </c>
      <c r="B70" s="64">
        <v>20.05</v>
      </c>
      <c r="C70" s="64">
        <v>30.91</v>
      </c>
      <c r="D70" s="64">
        <v>31.77</v>
      </c>
      <c r="E70" s="64">
        <v>6.15</v>
      </c>
      <c r="F70" s="64">
        <v>5.15</v>
      </c>
      <c r="G70" s="64">
        <v>57.93</v>
      </c>
      <c r="H70" s="64">
        <v>21.92</v>
      </c>
      <c r="I70" s="64">
        <v>0.1</v>
      </c>
      <c r="J70" s="64">
        <v>1.74</v>
      </c>
      <c r="K70" s="64">
        <v>342.86</v>
      </c>
      <c r="L70" s="64">
        <v>25.15</v>
      </c>
      <c r="M70" s="64">
        <v>23.23</v>
      </c>
      <c r="N70" s="64">
        <v>81.400000000000006</v>
      </c>
      <c r="O70" s="64">
        <v>0</v>
      </c>
      <c r="P70" s="64">
        <v>1.31</v>
      </c>
      <c r="Q70" s="64">
        <v>9.65</v>
      </c>
      <c r="R70" s="198"/>
      <c r="S70" s="198"/>
      <c r="T70" s="198"/>
      <c r="U70" s="198"/>
    </row>
    <row r="71" spans="1:21" s="12" customFormat="1" x14ac:dyDescent="0.25">
      <c r="A71" s="214" t="s">
        <v>1461</v>
      </c>
      <c r="B71" s="64">
        <v>18.75</v>
      </c>
      <c r="C71" s="64">
        <v>32.14</v>
      </c>
      <c r="D71" s="64">
        <v>31.37</v>
      </c>
      <c r="E71" s="64">
        <v>5.87</v>
      </c>
      <c r="F71" s="64">
        <v>4.25</v>
      </c>
      <c r="G71" s="64">
        <v>57.93</v>
      </c>
      <c r="H71" s="64">
        <v>21.92</v>
      </c>
      <c r="I71" s="64">
        <v>0.1</v>
      </c>
      <c r="J71" s="64">
        <v>1.56</v>
      </c>
      <c r="K71" s="64">
        <v>326.42</v>
      </c>
      <c r="L71" s="64">
        <v>24.93</v>
      </c>
      <c r="M71" s="64">
        <v>24.43</v>
      </c>
      <c r="N71" s="64">
        <v>74</v>
      </c>
      <c r="O71" s="64">
        <v>0</v>
      </c>
      <c r="P71" s="64">
        <v>1.28</v>
      </c>
      <c r="Q71" s="64">
        <v>9.65</v>
      </c>
      <c r="R71" s="198"/>
      <c r="S71" s="198"/>
      <c r="T71" s="198"/>
      <c r="U71" s="198"/>
    </row>
    <row r="72" spans="1:21" s="12" customFormat="1" x14ac:dyDescent="0.25">
      <c r="A72" s="214" t="s">
        <v>1462</v>
      </c>
      <c r="B72" s="64">
        <v>17.02</v>
      </c>
      <c r="C72" s="64">
        <v>33.549999999999997</v>
      </c>
      <c r="D72" s="64">
        <v>30.72</v>
      </c>
      <c r="E72" s="64">
        <v>7.43</v>
      </c>
      <c r="F72" s="64">
        <v>7.3</v>
      </c>
      <c r="G72" s="64">
        <v>56.36</v>
      </c>
      <c r="H72" s="64">
        <v>21.06</v>
      </c>
      <c r="I72" s="64">
        <v>0.1</v>
      </c>
      <c r="J72" s="64">
        <v>1.46</v>
      </c>
      <c r="K72" s="64">
        <v>348.13</v>
      </c>
      <c r="L72" s="64">
        <v>24.64</v>
      </c>
      <c r="M72" s="64">
        <v>25.63</v>
      </c>
      <c r="N72" s="64">
        <v>66.5</v>
      </c>
      <c r="O72" s="64">
        <v>0</v>
      </c>
      <c r="P72" s="64">
        <v>1.21</v>
      </c>
      <c r="Q72" s="64">
        <v>9.65</v>
      </c>
      <c r="R72" s="198"/>
      <c r="S72" s="198"/>
      <c r="T72" s="198"/>
      <c r="U72" s="198"/>
    </row>
    <row r="73" spans="1:21" s="12" customFormat="1" x14ac:dyDescent="0.25">
      <c r="A73" s="214" t="s">
        <v>1463</v>
      </c>
      <c r="B73" s="64">
        <v>16.52</v>
      </c>
      <c r="C73" s="64">
        <v>35.479999999999997</v>
      </c>
      <c r="D73" s="64">
        <v>31.33</v>
      </c>
      <c r="E73" s="64">
        <v>10.7</v>
      </c>
      <c r="F73" s="64">
        <v>6.45</v>
      </c>
      <c r="G73" s="64">
        <v>50.07</v>
      </c>
      <c r="H73" s="64">
        <v>18.55</v>
      </c>
      <c r="I73" s="64">
        <v>0.1</v>
      </c>
      <c r="J73" s="64">
        <v>1.1399999999999999</v>
      </c>
      <c r="K73" s="64">
        <v>350.26</v>
      </c>
      <c r="L73" s="64">
        <v>24.28</v>
      </c>
      <c r="M73" s="64">
        <v>27.04</v>
      </c>
      <c r="N73" s="64">
        <v>60.8</v>
      </c>
      <c r="O73" s="64">
        <v>0</v>
      </c>
      <c r="P73" s="64">
        <v>1.18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4" t="s">
        <v>1464</v>
      </c>
      <c r="B74" s="64">
        <v>17.559999999999999</v>
      </c>
      <c r="C74" s="64">
        <v>34.93</v>
      </c>
      <c r="D74" s="64">
        <v>31.87</v>
      </c>
      <c r="E74" s="64">
        <v>10.48</v>
      </c>
      <c r="F74" s="64">
        <v>6.53</v>
      </c>
      <c r="G74" s="64">
        <v>50.07</v>
      </c>
      <c r="H74" s="64">
        <v>18.55</v>
      </c>
      <c r="I74" s="64">
        <v>0.1</v>
      </c>
      <c r="J74" s="64">
        <v>1.28</v>
      </c>
      <c r="K74" s="64">
        <v>350.01</v>
      </c>
      <c r="L74" s="64">
        <v>23.92</v>
      </c>
      <c r="M74" s="64">
        <v>28.8</v>
      </c>
      <c r="N74" s="64">
        <v>54.5</v>
      </c>
      <c r="O74" s="64">
        <v>0</v>
      </c>
      <c r="P74" s="64">
        <v>1.19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4" t="s">
        <v>1465</v>
      </c>
      <c r="B75" s="64">
        <v>13.91</v>
      </c>
      <c r="C75" s="64">
        <v>40.51</v>
      </c>
      <c r="D75" s="64">
        <v>31.86</v>
      </c>
      <c r="E75" s="64">
        <v>12.33</v>
      </c>
      <c r="F75" s="64">
        <v>8.09</v>
      </c>
      <c r="G75" s="64">
        <v>50.07</v>
      </c>
      <c r="H75" s="64">
        <v>18.55</v>
      </c>
      <c r="I75" s="64">
        <v>0.1</v>
      </c>
      <c r="J75" s="64">
        <v>0.91</v>
      </c>
      <c r="K75" s="64">
        <v>347.6</v>
      </c>
      <c r="L75" s="64">
        <v>23.26</v>
      </c>
      <c r="M75" s="64">
        <v>32.659999999999997</v>
      </c>
      <c r="N75" s="64">
        <v>48.7</v>
      </c>
      <c r="O75" s="64">
        <v>0</v>
      </c>
      <c r="P75" s="64">
        <v>1.21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4" t="s">
        <v>1466</v>
      </c>
      <c r="B76" s="64">
        <v>16.47</v>
      </c>
      <c r="C76" s="64">
        <v>42.78</v>
      </c>
      <c r="D76" s="64">
        <v>35.1</v>
      </c>
      <c r="E76" s="64">
        <v>12.01</v>
      </c>
      <c r="F76" s="64">
        <v>7.27</v>
      </c>
      <c r="G76" s="64">
        <v>51.74</v>
      </c>
      <c r="H76" s="64">
        <v>18.27</v>
      </c>
      <c r="I76" s="64">
        <v>0.1</v>
      </c>
      <c r="J76" s="64">
        <v>0.84</v>
      </c>
      <c r="K76" s="64">
        <v>342.3</v>
      </c>
      <c r="L76" s="64">
        <v>22.63</v>
      </c>
      <c r="M76" s="64">
        <v>31.73</v>
      </c>
      <c r="N76" s="64">
        <v>42.2</v>
      </c>
      <c r="O76" s="64">
        <v>0</v>
      </c>
      <c r="P76" s="64">
        <v>1.36</v>
      </c>
      <c r="Q76" s="64">
        <v>9.64</v>
      </c>
      <c r="R76" s="198"/>
      <c r="S76" s="198"/>
      <c r="T76" s="198"/>
      <c r="U76" s="198"/>
    </row>
    <row r="77" spans="1:21" s="12" customFormat="1" x14ac:dyDescent="0.25">
      <c r="A77" s="214" t="s">
        <v>1467</v>
      </c>
      <c r="B77" s="64">
        <v>14.55</v>
      </c>
      <c r="C77" s="64">
        <v>49.34</v>
      </c>
      <c r="D77" s="64">
        <v>36.979999999999997</v>
      </c>
      <c r="E77" s="64">
        <v>11.3</v>
      </c>
      <c r="F77" s="64">
        <v>5.64</v>
      </c>
      <c r="G77" s="64">
        <v>58.38</v>
      </c>
      <c r="H77" s="64">
        <v>17.5</v>
      </c>
      <c r="I77" s="64">
        <v>0.1</v>
      </c>
      <c r="J77" s="64">
        <v>0.5</v>
      </c>
      <c r="K77" s="64">
        <v>99.86</v>
      </c>
      <c r="L77" s="64">
        <v>21.85</v>
      </c>
      <c r="M77" s="64">
        <v>34.5</v>
      </c>
      <c r="N77" s="64">
        <v>36.9</v>
      </c>
      <c r="O77" s="64">
        <v>0</v>
      </c>
      <c r="P77" s="64">
        <v>1.41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4" t="s">
        <v>1468</v>
      </c>
      <c r="B78" s="64">
        <v>25.11</v>
      </c>
      <c r="C78" s="64">
        <v>40.39</v>
      </c>
      <c r="D78" s="64">
        <v>40.78</v>
      </c>
      <c r="E78" s="64">
        <v>10.210000000000001</v>
      </c>
      <c r="F78" s="64">
        <v>3.92</v>
      </c>
      <c r="G78" s="64">
        <v>58.38</v>
      </c>
      <c r="H78" s="64">
        <v>17.5</v>
      </c>
      <c r="I78" s="64">
        <v>0.1</v>
      </c>
      <c r="J78" s="64">
        <v>0.45</v>
      </c>
      <c r="K78" s="64">
        <v>27.68</v>
      </c>
      <c r="L78" s="64">
        <v>21.03</v>
      </c>
      <c r="M78" s="64">
        <v>39.880000000000003</v>
      </c>
      <c r="N78" s="64">
        <v>34.299999999999997</v>
      </c>
      <c r="O78" s="64">
        <v>0</v>
      </c>
      <c r="P78" s="64">
        <v>1.57</v>
      </c>
      <c r="Q78" s="64">
        <v>9.65</v>
      </c>
      <c r="R78" s="198"/>
      <c r="S78" s="198"/>
      <c r="T78" s="198"/>
      <c r="U78" s="198"/>
    </row>
    <row r="79" spans="1:21" s="12" customFormat="1" x14ac:dyDescent="0.25">
      <c r="A79" s="214" t="s">
        <v>1469</v>
      </c>
      <c r="B79" s="64">
        <v>22.46</v>
      </c>
      <c r="C79" s="64">
        <v>37.03</v>
      </c>
      <c r="D79" s="64">
        <v>36.9</v>
      </c>
      <c r="E79" s="64">
        <v>7.69</v>
      </c>
      <c r="F79" s="64">
        <v>3.49</v>
      </c>
      <c r="G79" s="64">
        <v>58.38</v>
      </c>
      <c r="H79" s="64">
        <v>17.5</v>
      </c>
      <c r="I79" s="64">
        <v>0.1</v>
      </c>
      <c r="J79" s="64">
        <v>0.48</v>
      </c>
      <c r="K79" s="64">
        <v>32.409999999999997</v>
      </c>
      <c r="L79" s="64">
        <v>20.059999999999999</v>
      </c>
      <c r="M79" s="64">
        <v>45.32</v>
      </c>
      <c r="N79" s="64">
        <v>33.6</v>
      </c>
      <c r="O79" s="64">
        <v>0</v>
      </c>
      <c r="P79" s="64">
        <v>1.56</v>
      </c>
      <c r="Q79" s="64">
        <v>9.65</v>
      </c>
      <c r="R79" s="198"/>
      <c r="S79" s="198"/>
      <c r="T79" s="198"/>
      <c r="U79" s="198"/>
    </row>
    <row r="80" spans="1:21" s="12" customFormat="1" x14ac:dyDescent="0.25">
      <c r="A80" s="214" t="s">
        <v>1470</v>
      </c>
      <c r="B80" s="64">
        <v>34.31</v>
      </c>
      <c r="C80" s="64">
        <v>31.13</v>
      </c>
      <c r="D80" s="64">
        <v>43.22</v>
      </c>
      <c r="E80" s="64">
        <v>7.45</v>
      </c>
      <c r="F80" s="64">
        <v>3.26</v>
      </c>
      <c r="G80" s="64">
        <v>63.69</v>
      </c>
      <c r="H80" s="64">
        <v>19.309999999999999</v>
      </c>
      <c r="I80" s="64">
        <v>0.1</v>
      </c>
      <c r="J80" s="64">
        <v>0.6</v>
      </c>
      <c r="K80" s="64">
        <v>342.23</v>
      </c>
      <c r="L80" s="64">
        <v>19.16</v>
      </c>
      <c r="M80" s="64">
        <v>50.96</v>
      </c>
      <c r="N80" s="64">
        <v>33.299999999999997</v>
      </c>
      <c r="O80" s="64">
        <v>0</v>
      </c>
      <c r="P80" s="64">
        <v>1.71</v>
      </c>
      <c r="Q80" s="64">
        <v>9.68</v>
      </c>
      <c r="R80" s="198"/>
      <c r="S80" s="198"/>
      <c r="T80" s="198"/>
      <c r="U80" s="198"/>
    </row>
    <row r="81" spans="1:26" s="12" customFormat="1" x14ac:dyDescent="0.25">
      <c r="A81" s="214" t="s">
        <v>1471</v>
      </c>
      <c r="B81" s="64">
        <v>30.57</v>
      </c>
      <c r="C81" s="64">
        <v>29.98</v>
      </c>
      <c r="D81" s="64">
        <v>39.72</v>
      </c>
      <c r="E81" s="64">
        <v>7.07</v>
      </c>
      <c r="F81" s="64">
        <v>3.29</v>
      </c>
      <c r="G81" s="64">
        <v>84.93</v>
      </c>
      <c r="H81" s="64">
        <v>28.38</v>
      </c>
      <c r="I81" s="64">
        <v>0.1</v>
      </c>
      <c r="J81" s="64">
        <v>0.63</v>
      </c>
      <c r="K81" s="64">
        <v>122.04</v>
      </c>
      <c r="L81" s="64">
        <v>18.63</v>
      </c>
      <c r="M81" s="64">
        <v>51.96</v>
      </c>
      <c r="N81" s="64">
        <v>33.1</v>
      </c>
      <c r="O81" s="64">
        <v>0</v>
      </c>
      <c r="P81" s="64">
        <v>1.63</v>
      </c>
      <c r="Q81" s="64">
        <v>9.67</v>
      </c>
      <c r="R81" s="198"/>
      <c r="S81" s="198"/>
      <c r="T81" s="198"/>
      <c r="U81" s="198"/>
    </row>
    <row r="82" spans="1:26" s="12" customFormat="1" x14ac:dyDescent="0.25">
      <c r="A82" s="214" t="s">
        <v>1472</v>
      </c>
      <c r="B82" s="64">
        <v>33.04</v>
      </c>
      <c r="C82" s="64">
        <v>26.02</v>
      </c>
      <c r="D82" s="64">
        <v>39.619999999999997</v>
      </c>
      <c r="E82" s="64">
        <v>6.27</v>
      </c>
      <c r="F82" s="64">
        <v>2.98</v>
      </c>
      <c r="G82" s="64">
        <v>84.93</v>
      </c>
      <c r="H82" s="64">
        <v>28.38</v>
      </c>
      <c r="I82" s="64">
        <v>0.1</v>
      </c>
      <c r="J82" s="64">
        <v>0.5</v>
      </c>
      <c r="K82" s="64">
        <v>13.94</v>
      </c>
      <c r="L82" s="64">
        <v>18.28</v>
      </c>
      <c r="M82" s="64">
        <v>58.28</v>
      </c>
      <c r="N82" s="64">
        <v>33</v>
      </c>
      <c r="O82" s="64">
        <v>0</v>
      </c>
      <c r="P82" s="64">
        <v>1.61</v>
      </c>
      <c r="Q82" s="64">
        <v>9.68</v>
      </c>
      <c r="R82" s="198"/>
      <c r="S82" s="198"/>
      <c r="T82" s="198"/>
      <c r="U82" s="198"/>
    </row>
    <row r="83" spans="1:26" s="12" customFormat="1" x14ac:dyDescent="0.25">
      <c r="A83" s="214" t="s">
        <v>1473</v>
      </c>
      <c r="B83" s="64">
        <v>30.48</v>
      </c>
      <c r="C83" s="64">
        <v>24.74</v>
      </c>
      <c r="D83" s="64">
        <v>36.909999999999997</v>
      </c>
      <c r="E83" s="64">
        <v>5.98</v>
      </c>
      <c r="F83" s="64">
        <v>2.79</v>
      </c>
      <c r="G83" s="64">
        <v>84.93</v>
      </c>
      <c r="H83" s="64">
        <v>28.38</v>
      </c>
      <c r="I83" s="64">
        <v>0.1</v>
      </c>
      <c r="J83" s="64">
        <v>0.43</v>
      </c>
      <c r="K83" s="64">
        <v>110.39</v>
      </c>
      <c r="L83" s="64">
        <v>17.71</v>
      </c>
      <c r="M83" s="64">
        <v>59.45</v>
      </c>
      <c r="N83" s="64">
        <v>33</v>
      </c>
      <c r="O83" s="64">
        <v>0</v>
      </c>
      <c r="P83" s="64">
        <v>1.56</v>
      </c>
      <c r="Q83" s="64">
        <v>9.68</v>
      </c>
      <c r="R83" s="198"/>
      <c r="S83" s="198"/>
      <c r="T83" s="198"/>
      <c r="U83" s="198"/>
    </row>
    <row r="84" spans="1:26" s="12" customFormat="1" x14ac:dyDescent="0.25">
      <c r="A84" s="214" t="s">
        <v>1474</v>
      </c>
      <c r="B84" s="64">
        <v>31.56</v>
      </c>
      <c r="C84" s="64">
        <v>24.08</v>
      </c>
      <c r="D84" s="64">
        <v>37.43</v>
      </c>
      <c r="E84" s="64">
        <v>5.86</v>
      </c>
      <c r="F84" s="64">
        <v>2.91</v>
      </c>
      <c r="G84" s="64">
        <v>90.54</v>
      </c>
      <c r="H84" s="64">
        <v>29.53</v>
      </c>
      <c r="I84" s="64">
        <v>0.1</v>
      </c>
      <c r="J84" s="64">
        <v>0.84</v>
      </c>
      <c r="K84" s="64">
        <v>128.99</v>
      </c>
      <c r="L84" s="64">
        <v>17.43</v>
      </c>
      <c r="M84" s="64">
        <v>62.63</v>
      </c>
      <c r="N84" s="64">
        <v>33</v>
      </c>
      <c r="O84" s="64">
        <v>0</v>
      </c>
      <c r="P84" s="64">
        <v>1.57</v>
      </c>
      <c r="Q84" s="64">
        <v>9.68</v>
      </c>
      <c r="R84" s="198"/>
      <c r="S84" s="198"/>
      <c r="T84" s="198"/>
      <c r="U84" s="198"/>
    </row>
    <row r="85" spans="1:26" s="12" customFormat="1" x14ac:dyDescent="0.25">
      <c r="A85" s="214" t="s">
        <v>1475</v>
      </c>
      <c r="B85" s="64">
        <v>32.700000000000003</v>
      </c>
      <c r="C85" s="64">
        <v>23.1</v>
      </c>
      <c r="D85" s="64">
        <v>37.83</v>
      </c>
      <c r="E85" s="64">
        <v>5.85</v>
      </c>
      <c r="F85" s="64">
        <v>2.91</v>
      </c>
      <c r="G85" s="64">
        <v>112.96</v>
      </c>
      <c r="H85" s="64">
        <v>32.92</v>
      </c>
      <c r="I85" s="64">
        <v>0.1</v>
      </c>
      <c r="J85" s="64">
        <v>0.23</v>
      </c>
      <c r="K85" s="64">
        <v>141.86000000000001</v>
      </c>
      <c r="L85" s="64">
        <v>17.239999999999998</v>
      </c>
      <c r="M85" s="64">
        <v>67.650000000000006</v>
      </c>
      <c r="N85" s="64">
        <v>32.9</v>
      </c>
      <c r="O85" s="64">
        <v>0</v>
      </c>
      <c r="P85" s="64">
        <v>1.56</v>
      </c>
      <c r="Q85" s="64">
        <v>9.69</v>
      </c>
      <c r="R85" s="198"/>
      <c r="S85" s="198"/>
      <c r="T85" s="198"/>
      <c r="U85" s="198"/>
    </row>
    <row r="86" spans="1:26" s="12" customFormat="1" x14ac:dyDescent="0.25">
      <c r="A86" s="214" t="s">
        <v>1476</v>
      </c>
      <c r="B86" s="64">
        <v>36.9</v>
      </c>
      <c r="C86" s="64">
        <v>20.83</v>
      </c>
      <c r="D86" s="64">
        <v>40.020000000000003</v>
      </c>
      <c r="E86" s="64">
        <v>5.59</v>
      </c>
      <c r="F86" s="64">
        <v>3.17</v>
      </c>
      <c r="G86" s="64">
        <v>112.96</v>
      </c>
      <c r="H86" s="64">
        <v>32.92</v>
      </c>
      <c r="I86" s="64">
        <v>0.1</v>
      </c>
      <c r="J86" s="64">
        <v>0.74</v>
      </c>
      <c r="K86" s="64">
        <v>356.26</v>
      </c>
      <c r="L86" s="64">
        <v>16.989999999999998</v>
      </c>
      <c r="M86" s="64">
        <v>69.790000000000006</v>
      </c>
      <c r="N86" s="64">
        <v>33.1</v>
      </c>
      <c r="O86" s="64">
        <v>0</v>
      </c>
      <c r="P86" s="64">
        <v>1.69</v>
      </c>
      <c r="Q86" s="64">
        <v>9.69</v>
      </c>
      <c r="R86" s="198"/>
      <c r="S86" s="198"/>
      <c r="T86" s="198"/>
      <c r="U86" s="198"/>
    </row>
    <row r="87" spans="1:26" s="12" customFormat="1" x14ac:dyDescent="0.25">
      <c r="A87" s="214" t="s">
        <v>1477</v>
      </c>
      <c r="B87" s="64">
        <v>42.57</v>
      </c>
      <c r="C87" s="64">
        <v>17.13</v>
      </c>
      <c r="D87" s="64">
        <v>42.62</v>
      </c>
      <c r="E87" s="64">
        <v>5.18</v>
      </c>
      <c r="F87" s="64">
        <v>3.1</v>
      </c>
      <c r="G87" s="64">
        <v>112.96</v>
      </c>
      <c r="H87" s="64">
        <v>32.92</v>
      </c>
      <c r="I87" s="64">
        <v>0.1</v>
      </c>
      <c r="J87" s="64">
        <v>0.28000000000000003</v>
      </c>
      <c r="K87" s="64">
        <v>85.15</v>
      </c>
      <c r="L87" s="64">
        <v>16.78</v>
      </c>
      <c r="M87" s="64">
        <v>74.3</v>
      </c>
      <c r="N87" s="64">
        <v>33</v>
      </c>
      <c r="O87" s="64">
        <v>0</v>
      </c>
      <c r="P87" s="64">
        <v>1.82</v>
      </c>
      <c r="Q87" s="64">
        <v>9.6999999999999993</v>
      </c>
      <c r="R87" s="198"/>
      <c r="S87" s="198"/>
      <c r="T87" s="198"/>
      <c r="U87" s="198"/>
    </row>
    <row r="88" spans="1:26" s="12" customFormat="1" x14ac:dyDescent="0.25">
      <c r="A88" s="214" t="s">
        <v>1478</v>
      </c>
      <c r="B88" s="64">
        <v>48.68</v>
      </c>
      <c r="C88" s="64">
        <v>14.39</v>
      </c>
      <c r="D88" s="64">
        <v>46.09</v>
      </c>
      <c r="E88" s="64">
        <v>5.36</v>
      </c>
      <c r="F88" s="64">
        <v>3</v>
      </c>
      <c r="G88" s="64">
        <v>122.91</v>
      </c>
      <c r="H88" s="64">
        <v>36.17</v>
      </c>
      <c r="I88" s="64">
        <v>0.1</v>
      </c>
      <c r="J88" s="64">
        <v>0.7</v>
      </c>
      <c r="K88" s="64">
        <v>292.58</v>
      </c>
      <c r="L88" s="64">
        <v>16.54</v>
      </c>
      <c r="M88" s="64">
        <v>73.260000000000005</v>
      </c>
      <c r="N88" s="64">
        <v>32.9</v>
      </c>
      <c r="O88" s="64">
        <v>0</v>
      </c>
      <c r="P88" s="64">
        <v>1.96</v>
      </c>
      <c r="Q88" s="64">
        <v>9.73</v>
      </c>
      <c r="R88" s="198"/>
      <c r="S88" s="198"/>
      <c r="T88" s="198"/>
      <c r="U88" s="198"/>
    </row>
    <row r="89" spans="1:26" s="12" customFormat="1" x14ac:dyDescent="0.25">
      <c r="A89" s="214" t="s">
        <v>1479</v>
      </c>
      <c r="B89" s="64">
        <v>55.42</v>
      </c>
      <c r="C89" s="64">
        <v>10.98</v>
      </c>
      <c r="D89" s="64">
        <v>49.72</v>
      </c>
      <c r="E89" s="64">
        <v>5.61</v>
      </c>
      <c r="F89" s="64">
        <v>3</v>
      </c>
      <c r="G89" s="64">
        <v>162.69999999999999</v>
      </c>
      <c r="H89" s="64">
        <v>45.76</v>
      </c>
      <c r="I89" s="64">
        <v>0.1</v>
      </c>
      <c r="J89" s="64">
        <v>0.78</v>
      </c>
      <c r="K89" s="64">
        <v>313.94</v>
      </c>
      <c r="L89" s="64">
        <v>16.37</v>
      </c>
      <c r="M89" s="64">
        <v>76.400000000000006</v>
      </c>
      <c r="N89" s="64">
        <v>33</v>
      </c>
      <c r="O89" s="64">
        <v>0</v>
      </c>
      <c r="P89" s="64">
        <v>2.1</v>
      </c>
      <c r="Q89" s="64">
        <v>9.7200000000000006</v>
      </c>
      <c r="R89" s="198"/>
      <c r="S89" s="198"/>
      <c r="T89" s="198"/>
      <c r="U89" s="198"/>
    </row>
    <row r="90" spans="1:26" s="12" customFormat="1" x14ac:dyDescent="0.25">
      <c r="A90" s="214" t="s">
        <v>1480</v>
      </c>
      <c r="B90" s="64">
        <v>65.39</v>
      </c>
      <c r="C90" s="64">
        <v>5.77</v>
      </c>
      <c r="D90" s="64">
        <v>54.99</v>
      </c>
      <c r="E90" s="64">
        <v>6.14</v>
      </c>
      <c r="F90" s="64">
        <v>2.81</v>
      </c>
      <c r="G90" s="64">
        <v>162.69999999999999</v>
      </c>
      <c r="H90" s="64">
        <v>45.76</v>
      </c>
      <c r="I90" s="64">
        <v>0.1</v>
      </c>
      <c r="J90" s="64">
        <v>0.8</v>
      </c>
      <c r="K90" s="64">
        <v>311.10000000000002</v>
      </c>
      <c r="L90" s="64">
        <v>16.23</v>
      </c>
      <c r="M90" s="64">
        <v>75.569999999999993</v>
      </c>
      <c r="N90" s="64">
        <v>33</v>
      </c>
      <c r="O90" s="64">
        <v>0</v>
      </c>
      <c r="P90" s="64">
        <v>2.2599999999999998</v>
      </c>
      <c r="Q90" s="64">
        <v>9.75</v>
      </c>
      <c r="R90" s="198"/>
      <c r="S90" s="198"/>
      <c r="T90" s="198"/>
      <c r="U90" s="198"/>
    </row>
    <row r="91" spans="1:26" s="12" customFormat="1" x14ac:dyDescent="0.25">
      <c r="A91" s="214" t="s">
        <v>1481</v>
      </c>
      <c r="B91" s="64">
        <v>70.650000000000006</v>
      </c>
      <c r="C91" s="64">
        <v>2.95</v>
      </c>
      <c r="D91" s="64">
        <v>58.96</v>
      </c>
      <c r="E91" s="64">
        <v>6.01</v>
      </c>
      <c r="F91" s="64">
        <v>2.66</v>
      </c>
      <c r="G91" s="64">
        <v>162.69999999999999</v>
      </c>
      <c r="H91" s="64">
        <v>45.76</v>
      </c>
      <c r="I91" s="64">
        <v>0.1</v>
      </c>
      <c r="J91" s="64">
        <v>0.4</v>
      </c>
      <c r="K91" s="64">
        <v>306.89999999999998</v>
      </c>
      <c r="L91" s="64">
        <v>15.97</v>
      </c>
      <c r="M91" s="64">
        <v>77.03</v>
      </c>
      <c r="N91" s="64">
        <v>33</v>
      </c>
      <c r="O91" s="64">
        <v>0</v>
      </c>
      <c r="P91" s="64">
        <v>2.37</v>
      </c>
      <c r="Q91" s="64">
        <v>9.75</v>
      </c>
      <c r="R91" s="198"/>
      <c r="S91" s="198"/>
      <c r="T91" s="198"/>
      <c r="U91" s="198"/>
    </row>
    <row r="92" spans="1:26" s="12" customFormat="1" x14ac:dyDescent="0.25">
      <c r="A92" s="214" t="s">
        <v>1482</v>
      </c>
      <c r="B92" s="64">
        <v>78.760000000000005</v>
      </c>
      <c r="C92" s="64">
        <v>2.95</v>
      </c>
      <c r="D92" s="64">
        <v>62.18</v>
      </c>
      <c r="E92" s="64">
        <v>6.26</v>
      </c>
      <c r="F92" s="64">
        <v>2.79</v>
      </c>
      <c r="G92" s="64">
        <v>157.30000000000001</v>
      </c>
      <c r="H92" s="64">
        <v>45.02</v>
      </c>
      <c r="I92" s="64">
        <v>0.1</v>
      </c>
      <c r="J92" s="64">
        <v>0.79</v>
      </c>
      <c r="K92" s="64">
        <v>294.48</v>
      </c>
      <c r="L92" s="64">
        <v>15.85</v>
      </c>
      <c r="M92" s="64">
        <v>79.09</v>
      </c>
      <c r="N92" s="64">
        <v>33</v>
      </c>
      <c r="O92" s="64">
        <v>0</v>
      </c>
      <c r="P92" s="64">
        <v>2.4700000000000002</v>
      </c>
      <c r="Q92" s="64">
        <v>9.75</v>
      </c>
      <c r="R92" s="198"/>
      <c r="S92" s="198"/>
      <c r="T92" s="198"/>
      <c r="U92" s="198"/>
    </row>
    <row r="93" spans="1:26" s="12" customFormat="1" x14ac:dyDescent="0.25">
      <c r="A93" s="214" t="s">
        <v>1483</v>
      </c>
      <c r="B93" s="64">
        <v>84.67</v>
      </c>
      <c r="C93" s="64">
        <v>2.95</v>
      </c>
      <c r="D93" s="64">
        <v>65.13</v>
      </c>
      <c r="E93" s="64">
        <v>6</v>
      </c>
      <c r="F93" s="64">
        <v>2.79</v>
      </c>
      <c r="G93" s="64">
        <v>135.72999999999999</v>
      </c>
      <c r="H93" s="64">
        <v>42.87</v>
      </c>
      <c r="I93" s="64">
        <v>0.1</v>
      </c>
      <c r="J93" s="64">
        <v>0.24</v>
      </c>
      <c r="K93" s="64">
        <v>286.89999999999998</v>
      </c>
      <c r="L93" s="64">
        <v>15.63</v>
      </c>
      <c r="M93" s="64">
        <v>81.849999999999994</v>
      </c>
      <c r="N93" s="64">
        <v>33</v>
      </c>
      <c r="O93" s="64">
        <v>0</v>
      </c>
      <c r="P93" s="64">
        <v>2.63</v>
      </c>
      <c r="Q93" s="64">
        <v>9.76</v>
      </c>
      <c r="R93" s="198"/>
      <c r="S93" s="198"/>
      <c r="T93" s="198"/>
      <c r="U93" s="198"/>
    </row>
    <row r="94" spans="1:26" s="12" customFormat="1" x14ac:dyDescent="0.25">
      <c r="A94" s="214" t="s">
        <v>1484</v>
      </c>
      <c r="B94" s="64">
        <v>91.52</v>
      </c>
      <c r="C94" s="64">
        <v>2.95</v>
      </c>
      <c r="D94" s="64">
        <v>68.84</v>
      </c>
      <c r="E94" s="64">
        <v>6.2</v>
      </c>
      <c r="F94" s="64">
        <v>2.75</v>
      </c>
      <c r="G94" s="64">
        <v>135.72999999999999</v>
      </c>
      <c r="H94" s="64">
        <v>42.87</v>
      </c>
      <c r="I94" s="64">
        <v>0.1</v>
      </c>
      <c r="J94" s="64">
        <v>0.65</v>
      </c>
      <c r="K94" s="64">
        <v>151.53</v>
      </c>
      <c r="L94" s="64">
        <v>15.43</v>
      </c>
      <c r="M94" s="64">
        <v>85.13</v>
      </c>
      <c r="N94" s="64">
        <v>32.9</v>
      </c>
      <c r="O94" s="64">
        <v>0</v>
      </c>
      <c r="P94" s="64">
        <v>2.79</v>
      </c>
      <c r="Q94" s="64">
        <v>9.77</v>
      </c>
      <c r="R94" s="198"/>
      <c r="S94" s="198"/>
      <c r="T94" s="198"/>
      <c r="U94" s="198"/>
    </row>
    <row r="95" spans="1:26" s="12" customFormat="1" x14ac:dyDescent="0.25">
      <c r="A95" s="214" t="s">
        <v>1485</v>
      </c>
      <c r="B95" s="64">
        <v>100.21</v>
      </c>
      <c r="C95" s="64">
        <v>2.95</v>
      </c>
      <c r="D95" s="64">
        <v>73.5</v>
      </c>
      <c r="E95" s="64">
        <v>6.18</v>
      </c>
      <c r="F95" s="64">
        <v>2.72</v>
      </c>
      <c r="G95" s="64">
        <v>135.72999999999999</v>
      </c>
      <c r="H95" s="64">
        <v>42.87</v>
      </c>
      <c r="I95" s="64">
        <v>0.1</v>
      </c>
      <c r="J95" s="64">
        <v>0.76</v>
      </c>
      <c r="K95" s="64">
        <v>289.98</v>
      </c>
      <c r="L95" s="64">
        <v>15.29</v>
      </c>
      <c r="M95" s="64">
        <v>87.86</v>
      </c>
      <c r="N95" s="64">
        <v>33</v>
      </c>
      <c r="O95" s="64">
        <v>0</v>
      </c>
      <c r="P95" s="64">
        <v>2.93</v>
      </c>
      <c r="Q95" s="64">
        <v>9.7899999999999991</v>
      </c>
      <c r="R95" s="198"/>
      <c r="S95" s="198"/>
      <c r="T95" s="198"/>
      <c r="U95" s="198"/>
    </row>
    <row r="96" spans="1:26" s="12" customFormat="1" x14ac:dyDescent="0.25">
      <c r="A96" s="214" t="s">
        <v>1486</v>
      </c>
      <c r="B96" s="64">
        <v>109.83</v>
      </c>
      <c r="C96" s="64">
        <v>2.95</v>
      </c>
      <c r="D96" s="64">
        <v>78.63</v>
      </c>
      <c r="E96" s="64">
        <v>6.34</v>
      </c>
      <c r="F96" s="64">
        <v>2.87</v>
      </c>
      <c r="G96" s="64">
        <v>141.63999999999999</v>
      </c>
      <c r="H96" s="64">
        <v>43.97</v>
      </c>
      <c r="I96" s="64">
        <v>0.1</v>
      </c>
      <c r="J96" s="64">
        <v>0.75</v>
      </c>
      <c r="K96" s="64">
        <v>304.86</v>
      </c>
      <c r="L96" s="64">
        <v>15.17</v>
      </c>
      <c r="M96" s="64">
        <v>91.85</v>
      </c>
      <c r="N96" s="64">
        <v>32.9</v>
      </c>
      <c r="O96" s="64">
        <v>0</v>
      </c>
      <c r="P96" s="64">
        <v>3.07</v>
      </c>
      <c r="Q96" s="64">
        <v>9.83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1487</v>
      </c>
      <c r="B97" s="64">
        <v>118.05</v>
      </c>
      <c r="C97" s="64">
        <v>2.95</v>
      </c>
      <c r="D97" s="64">
        <v>82.8</v>
      </c>
      <c r="E97" s="64">
        <v>6.69</v>
      </c>
      <c r="F97" s="64">
        <v>2.8</v>
      </c>
      <c r="G97" s="64">
        <v>165.26</v>
      </c>
      <c r="H97" s="64">
        <v>48.96</v>
      </c>
      <c r="I97" s="64">
        <v>0.1</v>
      </c>
      <c r="J97" s="64">
        <v>0.69</v>
      </c>
      <c r="K97" s="64">
        <v>330.92</v>
      </c>
      <c r="L97" s="64">
        <v>14.9</v>
      </c>
      <c r="M97" s="64">
        <v>93</v>
      </c>
      <c r="N97" s="64">
        <v>33.200000000000003</v>
      </c>
      <c r="O97" s="64">
        <v>0</v>
      </c>
      <c r="P97" s="64">
        <v>3.2</v>
      </c>
      <c r="Q97" s="64">
        <v>9.85</v>
      </c>
      <c r="R97" s="198"/>
      <c r="S97" s="198"/>
      <c r="T97" s="198"/>
      <c r="U97" s="198"/>
    </row>
    <row r="98" spans="1:33" s="12" customFormat="1" x14ac:dyDescent="0.25">
      <c r="A98" s="214" t="s">
        <v>1488</v>
      </c>
      <c r="B98" s="64">
        <v>124.71</v>
      </c>
      <c r="C98" s="64">
        <v>2.95</v>
      </c>
      <c r="D98" s="64">
        <v>86.13</v>
      </c>
      <c r="E98" s="64">
        <v>6.99</v>
      </c>
      <c r="F98" s="64">
        <v>3.09</v>
      </c>
      <c r="G98" s="64">
        <v>165.26</v>
      </c>
      <c r="H98" s="64">
        <v>48.96</v>
      </c>
      <c r="I98" s="64">
        <v>0.1</v>
      </c>
      <c r="J98" s="64">
        <v>0.78</v>
      </c>
      <c r="K98" s="64">
        <v>117.24</v>
      </c>
      <c r="L98" s="64">
        <v>14.78</v>
      </c>
      <c r="M98" s="64">
        <v>95.08</v>
      </c>
      <c r="N98" s="64">
        <v>32.799999999999997</v>
      </c>
      <c r="O98" s="64">
        <v>0</v>
      </c>
      <c r="P98" s="64">
        <v>3.31</v>
      </c>
      <c r="Q98" s="64">
        <v>9.85</v>
      </c>
      <c r="R98" s="198"/>
      <c r="S98" s="198"/>
      <c r="T98" s="198"/>
      <c r="U98" s="198"/>
    </row>
    <row r="99" spans="1:33" s="12" customFormat="1" x14ac:dyDescent="0.25">
      <c r="A99" s="214" t="s">
        <v>1489</v>
      </c>
      <c r="B99" s="64">
        <v>136.76</v>
      </c>
      <c r="C99" s="64">
        <v>2.95</v>
      </c>
      <c r="D99" s="64">
        <v>92.48</v>
      </c>
      <c r="E99" s="64">
        <v>6.87</v>
      </c>
      <c r="F99" s="64">
        <v>3.29</v>
      </c>
      <c r="G99" s="64">
        <v>165.26</v>
      </c>
      <c r="H99" s="64">
        <v>48.96</v>
      </c>
      <c r="I99" s="64">
        <v>0.1</v>
      </c>
      <c r="J99" s="64">
        <v>0.75</v>
      </c>
      <c r="K99" s="64">
        <v>320.82</v>
      </c>
      <c r="L99" s="64">
        <v>14.75</v>
      </c>
      <c r="M99" s="64">
        <v>96.54</v>
      </c>
      <c r="N99" s="64">
        <v>32.9</v>
      </c>
      <c r="O99" s="64">
        <v>0</v>
      </c>
      <c r="P99" s="64">
        <v>3.42</v>
      </c>
      <c r="Q99" s="64">
        <v>9.84</v>
      </c>
      <c r="R99" s="198"/>
      <c r="S99" s="198"/>
      <c r="T99" s="198"/>
      <c r="U99" s="198"/>
    </row>
    <row r="100" spans="1:33" s="12" customFormat="1" x14ac:dyDescent="0.25">
      <c r="A100" s="214" t="s">
        <v>1490</v>
      </c>
      <c r="B100" s="64">
        <v>145.84</v>
      </c>
      <c r="C100" s="64">
        <v>2.95</v>
      </c>
      <c r="D100" s="64">
        <v>97.13</v>
      </c>
      <c r="E100" s="64">
        <v>6.98</v>
      </c>
      <c r="F100" s="64">
        <v>3.31</v>
      </c>
      <c r="G100" s="64">
        <v>164.96</v>
      </c>
      <c r="H100" s="64">
        <v>50.84</v>
      </c>
      <c r="I100" s="64">
        <v>0.1</v>
      </c>
      <c r="J100" s="64">
        <v>0.8</v>
      </c>
      <c r="K100" s="64">
        <v>285.97000000000003</v>
      </c>
      <c r="L100" s="64">
        <v>14.74</v>
      </c>
      <c r="M100" s="64">
        <v>97.91</v>
      </c>
      <c r="N100" s="64">
        <v>32.9</v>
      </c>
      <c r="O100" s="64">
        <v>0</v>
      </c>
      <c r="P100" s="64">
        <v>3.5</v>
      </c>
      <c r="Q100" s="64">
        <v>9.8699999999999992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1491</v>
      </c>
      <c r="B101" s="64">
        <v>151.43</v>
      </c>
      <c r="C101" s="64">
        <v>2.95</v>
      </c>
      <c r="D101" s="64">
        <v>99.7</v>
      </c>
      <c r="E101" s="64">
        <v>6.85</v>
      </c>
      <c r="F101" s="64">
        <v>3.45</v>
      </c>
      <c r="G101" s="64">
        <v>163.77000000000001</v>
      </c>
      <c r="H101" s="64">
        <v>56.38</v>
      </c>
      <c r="I101" s="64">
        <v>0.1</v>
      </c>
      <c r="J101" s="64">
        <v>0.78</v>
      </c>
      <c r="K101" s="64">
        <v>269.91000000000003</v>
      </c>
      <c r="L101" s="64">
        <v>14.5</v>
      </c>
      <c r="M101" s="64">
        <v>97.58</v>
      </c>
      <c r="N101" s="64">
        <v>33</v>
      </c>
      <c r="O101" s="64">
        <v>0</v>
      </c>
      <c r="P101" s="64">
        <v>3.55</v>
      </c>
      <c r="Q101" s="64">
        <v>9.89</v>
      </c>
      <c r="R101" s="198"/>
      <c r="S101" s="198"/>
      <c r="T101" s="198"/>
      <c r="U101" s="198"/>
    </row>
    <row r="102" spans="1:33" s="12" customFormat="1" x14ac:dyDescent="0.25">
      <c r="A102" s="214" t="s">
        <v>1492</v>
      </c>
      <c r="B102" s="64">
        <v>154.94</v>
      </c>
      <c r="C102" s="64">
        <v>2.2999999999999998</v>
      </c>
      <c r="D102" s="64">
        <v>101.29</v>
      </c>
      <c r="E102" s="64">
        <v>7.19</v>
      </c>
      <c r="F102" s="64">
        <v>3.22</v>
      </c>
      <c r="G102" s="64">
        <v>163.77000000000001</v>
      </c>
      <c r="H102" s="64">
        <v>56.38</v>
      </c>
      <c r="I102" s="64">
        <v>0.1</v>
      </c>
      <c r="J102" s="64">
        <v>0.26</v>
      </c>
      <c r="K102" s="64">
        <v>348.87</v>
      </c>
      <c r="L102" s="64">
        <v>14.39</v>
      </c>
      <c r="M102" s="64">
        <v>97.89</v>
      </c>
      <c r="N102" s="64">
        <v>33</v>
      </c>
      <c r="O102" s="64">
        <v>0</v>
      </c>
      <c r="P102" s="64">
        <v>3.56</v>
      </c>
      <c r="Q102" s="64">
        <v>9.91</v>
      </c>
      <c r="R102" s="198"/>
      <c r="S102" s="198"/>
      <c r="T102" s="198"/>
      <c r="U102" s="198"/>
    </row>
    <row r="103" spans="1:33" s="12" customFormat="1" x14ac:dyDescent="0.25">
      <c r="A103" s="214" t="s">
        <v>1493</v>
      </c>
      <c r="B103" s="64">
        <v>158.59</v>
      </c>
      <c r="C103" s="64">
        <v>6.5</v>
      </c>
      <c r="D103" s="64">
        <v>102.94</v>
      </c>
      <c r="E103" s="64">
        <v>6.82</v>
      </c>
      <c r="F103" s="64">
        <v>2.99</v>
      </c>
      <c r="G103" s="64">
        <v>163.77000000000001</v>
      </c>
      <c r="H103" s="64">
        <v>56.38</v>
      </c>
      <c r="I103" s="64">
        <v>0.1</v>
      </c>
      <c r="J103" s="64">
        <v>0.78</v>
      </c>
      <c r="K103" s="64">
        <v>333.06</v>
      </c>
      <c r="L103" s="64">
        <v>14.46</v>
      </c>
      <c r="M103" s="64">
        <v>97.9</v>
      </c>
      <c r="N103" s="64">
        <v>33</v>
      </c>
      <c r="O103" s="64">
        <v>0</v>
      </c>
      <c r="P103" s="64">
        <v>3.61</v>
      </c>
      <c r="Q103" s="64">
        <v>9.92</v>
      </c>
      <c r="R103" s="198"/>
      <c r="S103" s="198"/>
      <c r="T103" s="198"/>
      <c r="U103" s="198"/>
    </row>
    <row r="104" spans="1:33" s="12" customFormat="1" x14ac:dyDescent="0.25">
      <c r="A104" s="214" t="s">
        <v>1494</v>
      </c>
      <c r="B104" s="64">
        <v>163.51</v>
      </c>
      <c r="C104" s="64">
        <v>2.6</v>
      </c>
      <c r="D104" s="64">
        <v>105.37</v>
      </c>
      <c r="E104" s="64">
        <v>6.12</v>
      </c>
      <c r="F104" s="64">
        <v>3.12</v>
      </c>
      <c r="G104" s="64">
        <v>157.85</v>
      </c>
      <c r="H104" s="64">
        <v>56.04</v>
      </c>
      <c r="I104" s="64">
        <v>0.1</v>
      </c>
      <c r="J104" s="64">
        <v>0.72</v>
      </c>
      <c r="K104" s="64">
        <v>331.16</v>
      </c>
      <c r="L104" s="64">
        <v>14.19</v>
      </c>
      <c r="M104" s="64">
        <v>97.15</v>
      </c>
      <c r="N104" s="64">
        <v>33.1</v>
      </c>
      <c r="O104" s="64">
        <v>0</v>
      </c>
      <c r="P104" s="64">
        <v>3.69</v>
      </c>
      <c r="Q104" s="64">
        <v>9.92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13.91</v>
      </c>
      <c r="C106" s="67">
        <f>MIN(C9:C104)</f>
        <v>0.3</v>
      </c>
      <c r="D106" s="67">
        <f t="shared" ref="D106:Q106" si="0">MIN(D9:D104)</f>
        <v>30.72</v>
      </c>
      <c r="E106" s="67">
        <f t="shared" si="0"/>
        <v>5.17</v>
      </c>
      <c r="F106" s="67">
        <f t="shared" si="0"/>
        <v>2.66</v>
      </c>
      <c r="G106" s="67">
        <f t="shared" si="0"/>
        <v>41.41</v>
      </c>
      <c r="H106" s="67">
        <f t="shared" si="0"/>
        <v>16.88</v>
      </c>
      <c r="I106" s="67">
        <f t="shared" si="0"/>
        <v>0.1</v>
      </c>
      <c r="J106" s="67">
        <f t="shared" si="0"/>
        <v>0.02</v>
      </c>
      <c r="K106" s="67">
        <f t="shared" si="0"/>
        <v>4.7699999999999996</v>
      </c>
      <c r="L106" s="67">
        <f t="shared" si="0"/>
        <v>11.22</v>
      </c>
      <c r="M106" s="67">
        <f t="shared" si="0"/>
        <v>23.12</v>
      </c>
      <c r="N106" s="67">
        <f t="shared" si="0"/>
        <v>32.5</v>
      </c>
      <c r="O106" s="67">
        <f t="shared" si="0"/>
        <v>0</v>
      </c>
      <c r="P106" s="67">
        <f t="shared" si="0"/>
        <v>1.18</v>
      </c>
      <c r="Q106" s="67">
        <f t="shared" si="0"/>
        <v>9.6300000000000008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173.99</v>
      </c>
      <c r="C107" s="66">
        <f t="shared" ref="C107:Q107" si="1">MAX(C9:C104)</f>
        <v>49.34</v>
      </c>
      <c r="D107" s="66">
        <f t="shared" si="1"/>
        <v>110.49</v>
      </c>
      <c r="E107" s="66">
        <f t="shared" si="1"/>
        <v>22.79</v>
      </c>
      <c r="F107" s="66">
        <f t="shared" si="1"/>
        <v>8.9499999999999993</v>
      </c>
      <c r="G107" s="66">
        <f t="shared" si="1"/>
        <v>336.04</v>
      </c>
      <c r="H107" s="66">
        <f t="shared" si="1"/>
        <v>94.88</v>
      </c>
      <c r="I107" s="66">
        <f t="shared" si="1"/>
        <v>0.1</v>
      </c>
      <c r="J107" s="66">
        <f t="shared" si="1"/>
        <v>1.87</v>
      </c>
      <c r="K107" s="66">
        <f t="shared" si="1"/>
        <v>356.26</v>
      </c>
      <c r="L107" s="66">
        <f t="shared" si="1"/>
        <v>27.97</v>
      </c>
      <c r="M107" s="66">
        <f t="shared" si="1"/>
        <v>101.55</v>
      </c>
      <c r="N107" s="66">
        <f t="shared" si="1"/>
        <v>531.70000000000005</v>
      </c>
      <c r="O107" s="66">
        <f t="shared" si="1"/>
        <v>0</v>
      </c>
      <c r="P107" s="66">
        <f t="shared" si="1"/>
        <v>4.09</v>
      </c>
      <c r="Q107" s="66">
        <f t="shared" si="1"/>
        <v>9.94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81.988229166666699</v>
      </c>
      <c r="C108" s="67">
        <f t="shared" ref="C108:Q108" si="2">AVERAGE(C9:C104)</f>
        <v>21.698333333333313</v>
      </c>
      <c r="D108" s="67">
        <f t="shared" si="2"/>
        <v>62.595208333333339</v>
      </c>
      <c r="E108" s="67">
        <f t="shared" si="2"/>
        <v>7.4847916666666707</v>
      </c>
      <c r="F108" s="67">
        <f t="shared" si="2"/>
        <v>3.6715625000000021</v>
      </c>
      <c r="G108" s="67">
        <f t="shared" si="2"/>
        <v>126.93656249999994</v>
      </c>
      <c r="H108" s="67">
        <f t="shared" si="2"/>
        <v>49.79864583333336</v>
      </c>
      <c r="I108" s="67">
        <f t="shared" si="2"/>
        <v>9.9999999999999811E-2</v>
      </c>
      <c r="J108" s="67">
        <f t="shared" si="2"/>
        <v>0.77239583333333373</v>
      </c>
      <c r="K108" s="67">
        <f t="shared" si="2"/>
        <v>256.68875000000008</v>
      </c>
      <c r="L108" s="67">
        <f t="shared" si="2"/>
        <v>18.524166666666677</v>
      </c>
      <c r="M108" s="67">
        <f t="shared" si="2"/>
        <v>65.871874999999989</v>
      </c>
      <c r="N108" s="67">
        <f t="shared" si="2"/>
        <v>138.06354166666665</v>
      </c>
      <c r="O108" s="67">
        <f t="shared" si="2"/>
        <v>0</v>
      </c>
      <c r="P108" s="67">
        <f t="shared" si="2"/>
        <v>2.3545833333333337</v>
      </c>
      <c r="Q108" s="67">
        <f t="shared" si="2"/>
        <v>9.7669791666666637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44.742822511603123</v>
      </c>
      <c r="C109" s="67">
        <f t="shared" ref="C109:Q109" si="3">STDEV(C9:C104)</f>
        <v>13.877190422959837</v>
      </c>
      <c r="D109" s="67">
        <f t="shared" si="3"/>
        <v>21.942690617494634</v>
      </c>
      <c r="E109" s="67">
        <f t="shared" si="3"/>
        <v>3.168376964270383</v>
      </c>
      <c r="F109" s="67">
        <f t="shared" si="3"/>
        <v>1.2527152220802509</v>
      </c>
      <c r="G109" s="67">
        <f t="shared" si="3"/>
        <v>64.785526434749627</v>
      </c>
      <c r="H109" s="67">
        <f t="shared" si="3"/>
        <v>22.478425709053827</v>
      </c>
      <c r="I109" s="67">
        <f t="shared" si="3"/>
        <v>1.9530892623466312E-16</v>
      </c>
      <c r="J109" s="67">
        <f t="shared" si="3"/>
        <v>0.42734860610554265</v>
      </c>
      <c r="K109" s="67">
        <f t="shared" si="3"/>
        <v>102.95408893237176</v>
      </c>
      <c r="L109" s="67">
        <f t="shared" si="3"/>
        <v>5.7723704273787764</v>
      </c>
      <c r="M109" s="67">
        <f t="shared" si="3"/>
        <v>31.331249989763489</v>
      </c>
      <c r="N109" s="67">
        <f t="shared" si="3"/>
        <v>170.52610858584046</v>
      </c>
      <c r="O109" s="67">
        <f t="shared" si="3"/>
        <v>0</v>
      </c>
      <c r="P109" s="67">
        <f t="shared" si="3"/>
        <v>0.74553536633491546</v>
      </c>
      <c r="Q109" s="67">
        <f t="shared" si="3"/>
        <v>8.4131723682714085E-2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215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1" sqref="C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1495</v>
      </c>
      <c r="B9" s="64">
        <v>167.77</v>
      </c>
      <c r="C9" s="6" t="s">
        <v>42</v>
      </c>
      <c r="D9" s="64">
        <v>107.45</v>
      </c>
      <c r="E9" s="64">
        <v>6.57</v>
      </c>
      <c r="F9" s="64">
        <v>3.13</v>
      </c>
      <c r="G9" s="64">
        <v>134.18</v>
      </c>
      <c r="H9" s="64">
        <v>55.02</v>
      </c>
      <c r="I9" s="64">
        <v>0.1</v>
      </c>
      <c r="J9" s="64">
        <v>0.67</v>
      </c>
      <c r="K9" s="64">
        <v>323.95</v>
      </c>
      <c r="L9" s="64">
        <v>14.14</v>
      </c>
      <c r="M9" s="64">
        <v>97.8</v>
      </c>
      <c r="N9" s="64">
        <v>32.9</v>
      </c>
      <c r="O9" s="64">
        <v>0</v>
      </c>
      <c r="P9" s="64">
        <v>3.77</v>
      </c>
      <c r="Q9" s="64">
        <v>9.92</v>
      </c>
      <c r="R9" s="198"/>
      <c r="S9" s="198"/>
      <c r="T9" s="198"/>
      <c r="U9" s="198"/>
    </row>
    <row r="10" spans="1:21" s="12" customFormat="1" x14ac:dyDescent="0.25">
      <c r="A10" s="214" t="s">
        <v>1496</v>
      </c>
      <c r="B10" s="64">
        <v>169.53</v>
      </c>
      <c r="C10" s="6" t="s">
        <v>42</v>
      </c>
      <c r="D10" s="64">
        <v>108.14</v>
      </c>
      <c r="E10" s="64">
        <v>6.63</v>
      </c>
      <c r="F10" s="64">
        <v>3.16</v>
      </c>
      <c r="G10" s="64">
        <v>134.18</v>
      </c>
      <c r="H10" s="64">
        <v>55.02</v>
      </c>
      <c r="I10" s="64">
        <v>0.1</v>
      </c>
      <c r="J10" s="64">
        <v>0.09</v>
      </c>
      <c r="K10" s="64">
        <v>190.62</v>
      </c>
      <c r="L10" s="64">
        <v>14.34</v>
      </c>
      <c r="M10" s="64">
        <v>95.88</v>
      </c>
      <c r="N10" s="64">
        <v>32.799999999999997</v>
      </c>
      <c r="O10" s="64">
        <v>0</v>
      </c>
      <c r="P10" s="64">
        <v>3.8</v>
      </c>
      <c r="Q10" s="64">
        <v>9.92</v>
      </c>
      <c r="R10" s="198"/>
      <c r="S10" s="198"/>
      <c r="T10" s="198"/>
      <c r="U10" s="198"/>
    </row>
    <row r="11" spans="1:21" s="12" customFormat="1" x14ac:dyDescent="0.25">
      <c r="A11" s="214" t="s">
        <v>1497</v>
      </c>
      <c r="B11" s="64">
        <v>167.02</v>
      </c>
      <c r="C11" s="6" t="s">
        <v>42</v>
      </c>
      <c r="D11" s="64">
        <v>106.55</v>
      </c>
      <c r="E11" s="64">
        <v>6.75</v>
      </c>
      <c r="F11" s="64">
        <v>3.26</v>
      </c>
      <c r="G11" s="64">
        <v>134.18</v>
      </c>
      <c r="H11" s="64">
        <v>55.02</v>
      </c>
      <c r="I11" s="64">
        <v>0.1</v>
      </c>
      <c r="J11" s="64">
        <v>0.52</v>
      </c>
      <c r="K11" s="64">
        <v>249.56</v>
      </c>
      <c r="L11" s="64">
        <v>14.32</v>
      </c>
      <c r="M11" s="64">
        <v>94.82</v>
      </c>
      <c r="N11" s="64">
        <v>33</v>
      </c>
      <c r="O11" s="64">
        <v>0</v>
      </c>
      <c r="P11" s="64">
        <v>3.8</v>
      </c>
      <c r="Q11" s="64">
        <v>9.92</v>
      </c>
      <c r="R11" s="198"/>
      <c r="S11" s="198"/>
      <c r="T11" s="198"/>
      <c r="U11" s="198"/>
    </row>
    <row r="12" spans="1:21" s="12" customFormat="1" x14ac:dyDescent="0.25">
      <c r="A12" s="214" t="s">
        <v>1498</v>
      </c>
      <c r="B12" s="64">
        <v>163.41</v>
      </c>
      <c r="C12" s="6" t="s">
        <v>42</v>
      </c>
      <c r="D12" s="64">
        <v>104.38</v>
      </c>
      <c r="E12" s="64">
        <v>6.79</v>
      </c>
      <c r="F12" s="64">
        <v>3.56</v>
      </c>
      <c r="G12" s="64">
        <v>128.85</v>
      </c>
      <c r="H12" s="64">
        <v>53.23</v>
      </c>
      <c r="I12" s="64">
        <v>0.1</v>
      </c>
      <c r="J12" s="64">
        <v>0.59</v>
      </c>
      <c r="K12" s="64">
        <v>231.58</v>
      </c>
      <c r="L12" s="64">
        <v>14.08</v>
      </c>
      <c r="M12" s="64">
        <v>95.1</v>
      </c>
      <c r="N12" s="64">
        <v>33.1</v>
      </c>
      <c r="O12" s="64">
        <v>0</v>
      </c>
      <c r="P12" s="64">
        <v>3.78</v>
      </c>
      <c r="Q12" s="64">
        <v>9.93</v>
      </c>
      <c r="R12" s="198"/>
      <c r="S12" s="198"/>
      <c r="T12" s="198"/>
      <c r="U12" s="198"/>
    </row>
    <row r="13" spans="1:21" s="12" customFormat="1" x14ac:dyDescent="0.25">
      <c r="A13" s="214" t="s">
        <v>1499</v>
      </c>
      <c r="B13" s="64">
        <v>160.16</v>
      </c>
      <c r="C13" s="6" t="s">
        <v>42</v>
      </c>
      <c r="D13" s="64">
        <v>102.39</v>
      </c>
      <c r="E13" s="64">
        <v>6.7</v>
      </c>
      <c r="F13" s="64">
        <v>3.34</v>
      </c>
      <c r="G13" s="64">
        <v>107.53</v>
      </c>
      <c r="H13" s="64">
        <v>47.94</v>
      </c>
      <c r="I13" s="64">
        <v>0.1</v>
      </c>
      <c r="J13" s="64">
        <v>0.16</v>
      </c>
      <c r="K13" s="64">
        <v>280.19</v>
      </c>
      <c r="L13" s="64">
        <v>13.71</v>
      </c>
      <c r="M13" s="64">
        <v>96.79</v>
      </c>
      <c r="N13" s="64">
        <v>33.1</v>
      </c>
      <c r="O13" s="64">
        <v>0</v>
      </c>
      <c r="P13" s="64">
        <v>3.24</v>
      </c>
      <c r="Q13" s="64">
        <v>9.91</v>
      </c>
      <c r="R13" s="198"/>
      <c r="S13" s="198"/>
      <c r="T13" s="198"/>
      <c r="U13" s="198"/>
    </row>
    <row r="14" spans="1:21" s="12" customFormat="1" x14ac:dyDescent="0.25">
      <c r="A14" s="214" t="s">
        <v>1500</v>
      </c>
      <c r="B14" s="64">
        <v>157.01</v>
      </c>
      <c r="C14" s="6" t="s">
        <v>42</v>
      </c>
      <c r="D14" s="64">
        <v>100.24</v>
      </c>
      <c r="E14" s="64">
        <v>6.37</v>
      </c>
      <c r="F14" s="64">
        <v>3.27</v>
      </c>
      <c r="G14" s="64">
        <v>107.53</v>
      </c>
      <c r="H14" s="64">
        <v>47.94</v>
      </c>
      <c r="I14" s="64">
        <v>0.1</v>
      </c>
      <c r="J14" s="64">
        <v>0.95</v>
      </c>
      <c r="K14" s="64">
        <v>190.75</v>
      </c>
      <c r="L14" s="64">
        <v>13.89</v>
      </c>
      <c r="M14" s="64">
        <v>97.59</v>
      </c>
      <c r="N14" s="64">
        <v>32.4</v>
      </c>
      <c r="O14" s="64">
        <v>0</v>
      </c>
      <c r="P14" s="64">
        <v>3.38</v>
      </c>
      <c r="Q14" s="64">
        <v>9.91</v>
      </c>
      <c r="R14" s="198"/>
      <c r="S14" s="198"/>
      <c r="T14" s="198"/>
      <c r="U14" s="198"/>
    </row>
    <row r="15" spans="1:21" s="12" customFormat="1" x14ac:dyDescent="0.25">
      <c r="A15" s="214" t="s">
        <v>1501</v>
      </c>
      <c r="B15" s="64">
        <v>153.76</v>
      </c>
      <c r="C15" s="6" t="s">
        <v>42</v>
      </c>
      <c r="D15" s="64">
        <v>98.35</v>
      </c>
      <c r="E15" s="64">
        <v>6.23</v>
      </c>
      <c r="F15" s="64">
        <v>3.18</v>
      </c>
      <c r="G15" s="64">
        <v>107.53</v>
      </c>
      <c r="H15" s="64">
        <v>47.94</v>
      </c>
      <c r="I15" s="64">
        <v>0.1</v>
      </c>
      <c r="J15" s="64">
        <v>0.26</v>
      </c>
      <c r="K15" s="64">
        <v>300.79000000000002</v>
      </c>
      <c r="L15" s="64">
        <v>13.84</v>
      </c>
      <c r="M15" s="64">
        <v>97.89</v>
      </c>
      <c r="N15" s="64">
        <v>33.200000000000003</v>
      </c>
      <c r="O15" s="64">
        <v>0</v>
      </c>
      <c r="P15" s="64">
        <v>3.4</v>
      </c>
      <c r="Q15" s="64">
        <v>9.91</v>
      </c>
      <c r="R15" s="198"/>
      <c r="S15" s="198"/>
      <c r="T15" s="198"/>
      <c r="U15" s="198"/>
    </row>
    <row r="16" spans="1:21" s="12" customFormat="1" x14ac:dyDescent="0.25">
      <c r="A16" s="214" t="s">
        <v>1502</v>
      </c>
      <c r="B16" s="64">
        <v>150.80000000000001</v>
      </c>
      <c r="C16" s="6" t="s">
        <v>42</v>
      </c>
      <c r="D16" s="64">
        <v>96.9</v>
      </c>
      <c r="E16" s="64">
        <v>6.3</v>
      </c>
      <c r="F16" s="64">
        <v>2.82</v>
      </c>
      <c r="G16" s="64">
        <v>107.36</v>
      </c>
      <c r="H16" s="64">
        <v>47.63</v>
      </c>
      <c r="I16" s="64">
        <v>0.1</v>
      </c>
      <c r="J16" s="64">
        <v>0.38</v>
      </c>
      <c r="K16" s="64">
        <v>240.51</v>
      </c>
      <c r="L16" s="64">
        <v>13.58</v>
      </c>
      <c r="M16" s="64">
        <v>97.9</v>
      </c>
      <c r="N16" s="64">
        <v>32.9</v>
      </c>
      <c r="O16" s="64">
        <v>0</v>
      </c>
      <c r="P16" s="64">
        <v>3.41</v>
      </c>
      <c r="Q16" s="64">
        <v>9.9</v>
      </c>
      <c r="R16" s="198"/>
      <c r="S16" s="198"/>
      <c r="T16" s="198"/>
      <c r="U16" s="198"/>
    </row>
    <row r="17" spans="1:21" s="12" customFormat="1" x14ac:dyDescent="0.25">
      <c r="A17" s="214" t="s">
        <v>1503</v>
      </c>
      <c r="B17" s="64">
        <v>148.38</v>
      </c>
      <c r="C17" s="6" t="s">
        <v>42</v>
      </c>
      <c r="D17" s="64">
        <v>95.54</v>
      </c>
      <c r="E17" s="64">
        <v>6.51</v>
      </c>
      <c r="F17" s="64">
        <v>3.11</v>
      </c>
      <c r="G17" s="64">
        <v>106.67</v>
      </c>
      <c r="H17" s="64">
        <v>46.23</v>
      </c>
      <c r="I17" s="64">
        <v>0.1</v>
      </c>
      <c r="J17" s="64">
        <v>0.75</v>
      </c>
      <c r="K17" s="64">
        <v>304.89999999999998</v>
      </c>
      <c r="L17" s="64">
        <v>13.28</v>
      </c>
      <c r="M17" s="64">
        <v>97.93</v>
      </c>
      <c r="N17" s="64">
        <v>33.299999999999997</v>
      </c>
      <c r="O17" s="64">
        <v>0</v>
      </c>
      <c r="P17" s="64">
        <v>3.41</v>
      </c>
      <c r="Q17" s="64">
        <v>9.8800000000000008</v>
      </c>
      <c r="R17" s="198"/>
      <c r="S17" s="198"/>
      <c r="T17" s="198"/>
      <c r="U17" s="198"/>
    </row>
    <row r="18" spans="1:21" s="12" customFormat="1" x14ac:dyDescent="0.25">
      <c r="A18" s="214" t="s">
        <v>1504</v>
      </c>
      <c r="B18" s="64">
        <v>146.06</v>
      </c>
      <c r="C18" s="6" t="s">
        <v>42</v>
      </c>
      <c r="D18" s="64">
        <v>94.15</v>
      </c>
      <c r="E18" s="64">
        <v>6.62</v>
      </c>
      <c r="F18" s="64">
        <v>3.04</v>
      </c>
      <c r="G18" s="64">
        <v>106.67</v>
      </c>
      <c r="H18" s="64">
        <v>46.23</v>
      </c>
      <c r="I18" s="64">
        <v>0.1</v>
      </c>
      <c r="J18" s="64">
        <v>0.79</v>
      </c>
      <c r="K18" s="64">
        <v>333.4</v>
      </c>
      <c r="L18" s="64">
        <v>12.93</v>
      </c>
      <c r="M18" s="64">
        <v>97.93</v>
      </c>
      <c r="N18" s="64">
        <v>33.1</v>
      </c>
      <c r="O18" s="64">
        <v>0</v>
      </c>
      <c r="P18" s="64">
        <v>3.38</v>
      </c>
      <c r="Q18" s="64">
        <v>9.8800000000000008</v>
      </c>
      <c r="R18" s="198"/>
      <c r="S18" s="198"/>
      <c r="T18" s="198"/>
      <c r="U18" s="198"/>
    </row>
    <row r="19" spans="1:21" s="12" customFormat="1" x14ac:dyDescent="0.25">
      <c r="A19" s="214" t="s">
        <v>1505</v>
      </c>
      <c r="B19" s="64">
        <v>143.44999999999999</v>
      </c>
      <c r="C19" s="6" t="s">
        <v>42</v>
      </c>
      <c r="D19" s="64">
        <v>92.55</v>
      </c>
      <c r="E19" s="64">
        <v>6.4</v>
      </c>
      <c r="F19" s="64">
        <v>3.21</v>
      </c>
      <c r="G19" s="64">
        <v>106.67</v>
      </c>
      <c r="H19" s="64">
        <v>46.23</v>
      </c>
      <c r="I19" s="64">
        <v>0.1</v>
      </c>
      <c r="J19" s="64">
        <v>0.66</v>
      </c>
      <c r="K19" s="64">
        <v>341.39</v>
      </c>
      <c r="L19" s="64">
        <v>12.77</v>
      </c>
      <c r="M19" s="64">
        <v>97.95</v>
      </c>
      <c r="N19" s="64">
        <v>33</v>
      </c>
      <c r="O19" s="64">
        <v>0</v>
      </c>
      <c r="P19" s="64">
        <v>3.34</v>
      </c>
      <c r="Q19" s="64">
        <v>9.8699999999999992</v>
      </c>
      <c r="R19" s="198"/>
      <c r="S19" s="198"/>
      <c r="T19" s="198"/>
      <c r="U19" s="198"/>
    </row>
    <row r="20" spans="1:21" s="12" customFormat="1" x14ac:dyDescent="0.25">
      <c r="A20" s="214" t="s">
        <v>1506</v>
      </c>
      <c r="B20" s="64">
        <v>140.46</v>
      </c>
      <c r="C20" s="6" t="s">
        <v>42</v>
      </c>
      <c r="D20" s="64">
        <v>90.61</v>
      </c>
      <c r="E20" s="64">
        <v>6.69</v>
      </c>
      <c r="F20" s="64">
        <v>3.17</v>
      </c>
      <c r="G20" s="64">
        <v>104.74</v>
      </c>
      <c r="H20" s="64">
        <v>45.53</v>
      </c>
      <c r="I20" s="64">
        <v>0.1</v>
      </c>
      <c r="J20" s="64">
        <v>0.76</v>
      </c>
      <c r="K20" s="64">
        <v>235.29</v>
      </c>
      <c r="L20" s="64">
        <v>12.83</v>
      </c>
      <c r="M20" s="64">
        <v>97.95</v>
      </c>
      <c r="N20" s="64">
        <v>32.799999999999997</v>
      </c>
      <c r="O20" s="64">
        <v>0</v>
      </c>
      <c r="P20" s="64">
        <v>3.29</v>
      </c>
      <c r="Q20" s="64">
        <v>9.8800000000000008</v>
      </c>
      <c r="R20" s="198"/>
      <c r="S20" s="198"/>
      <c r="T20" s="198"/>
      <c r="U20" s="198"/>
    </row>
    <row r="21" spans="1:21" s="12" customFormat="1" x14ac:dyDescent="0.25">
      <c r="A21" s="214" t="s">
        <v>1507</v>
      </c>
      <c r="B21" s="64">
        <v>136.5</v>
      </c>
      <c r="C21" s="6" t="s">
        <v>42</v>
      </c>
      <c r="D21" s="64">
        <v>88.42</v>
      </c>
      <c r="E21" s="64">
        <v>6.44</v>
      </c>
      <c r="F21" s="64">
        <v>3.1</v>
      </c>
      <c r="G21" s="64">
        <v>97.04</v>
      </c>
      <c r="H21" s="64">
        <v>43.47</v>
      </c>
      <c r="I21" s="64">
        <v>0.1</v>
      </c>
      <c r="J21" s="64">
        <v>0.52</v>
      </c>
      <c r="K21" s="64">
        <v>349.89</v>
      </c>
      <c r="L21" s="64">
        <v>12.88</v>
      </c>
      <c r="M21" s="64">
        <v>97.95</v>
      </c>
      <c r="N21" s="64">
        <v>33.1</v>
      </c>
      <c r="O21" s="64">
        <v>0</v>
      </c>
      <c r="P21" s="64">
        <v>3.25</v>
      </c>
      <c r="Q21" s="64">
        <v>9.8699999999999992</v>
      </c>
      <c r="R21" s="198"/>
      <c r="S21" s="198"/>
      <c r="T21" s="198"/>
      <c r="U21" s="198"/>
    </row>
    <row r="22" spans="1:21" s="12" customFormat="1" x14ac:dyDescent="0.25">
      <c r="A22" s="214" t="s">
        <v>1508</v>
      </c>
      <c r="B22" s="64">
        <v>132.94999999999999</v>
      </c>
      <c r="C22" s="6" t="s">
        <v>42</v>
      </c>
      <c r="D22" s="64">
        <v>86.32</v>
      </c>
      <c r="E22" s="64">
        <v>6.4</v>
      </c>
      <c r="F22" s="64">
        <v>3.28</v>
      </c>
      <c r="G22" s="64">
        <v>97.04</v>
      </c>
      <c r="H22" s="64">
        <v>43.47</v>
      </c>
      <c r="I22" s="64">
        <v>0.1</v>
      </c>
      <c r="J22" s="64">
        <v>0.71</v>
      </c>
      <c r="K22" s="64">
        <v>303.52999999999997</v>
      </c>
      <c r="L22" s="64">
        <v>12.65</v>
      </c>
      <c r="M22" s="64">
        <v>97.95</v>
      </c>
      <c r="N22" s="64">
        <v>33</v>
      </c>
      <c r="O22" s="64">
        <v>0</v>
      </c>
      <c r="P22" s="64">
        <v>3.17</v>
      </c>
      <c r="Q22" s="64">
        <v>9.86</v>
      </c>
      <c r="R22" s="198"/>
      <c r="S22" s="198"/>
      <c r="T22" s="198"/>
      <c r="U22" s="198"/>
    </row>
    <row r="23" spans="1:21" s="12" customFormat="1" x14ac:dyDescent="0.25">
      <c r="A23" s="214" t="s">
        <v>1509</v>
      </c>
      <c r="B23" s="64">
        <v>129.15</v>
      </c>
      <c r="C23" s="6" t="s">
        <v>42</v>
      </c>
      <c r="D23" s="64">
        <v>84.05</v>
      </c>
      <c r="E23" s="64">
        <v>6.08</v>
      </c>
      <c r="F23" s="64">
        <v>3.22</v>
      </c>
      <c r="G23" s="64">
        <v>97.04</v>
      </c>
      <c r="H23" s="64">
        <v>43.47</v>
      </c>
      <c r="I23" s="64">
        <v>0.1</v>
      </c>
      <c r="J23" s="64">
        <v>0.82</v>
      </c>
      <c r="K23" s="64">
        <v>338.13</v>
      </c>
      <c r="L23" s="64">
        <v>12.5</v>
      </c>
      <c r="M23" s="64">
        <v>97.95</v>
      </c>
      <c r="N23" s="64">
        <v>32.9</v>
      </c>
      <c r="O23" s="64">
        <v>0</v>
      </c>
      <c r="P23" s="64">
        <v>3.06</v>
      </c>
      <c r="Q23" s="64">
        <v>9.85</v>
      </c>
      <c r="R23" s="198"/>
      <c r="S23" s="198"/>
      <c r="T23" s="198"/>
      <c r="U23" s="198"/>
    </row>
    <row r="24" spans="1:21" s="12" customFormat="1" x14ac:dyDescent="0.25">
      <c r="A24" s="214" t="s">
        <v>1510</v>
      </c>
      <c r="B24" s="64">
        <v>124.96</v>
      </c>
      <c r="C24" s="6" t="s">
        <v>42</v>
      </c>
      <c r="D24" s="64">
        <v>81.5</v>
      </c>
      <c r="E24" s="64">
        <v>6.35</v>
      </c>
      <c r="F24" s="64">
        <v>3.12</v>
      </c>
      <c r="G24" s="64">
        <v>97.11</v>
      </c>
      <c r="H24" s="64">
        <v>42.6</v>
      </c>
      <c r="I24" s="64">
        <v>0.1</v>
      </c>
      <c r="J24" s="64">
        <v>0.78</v>
      </c>
      <c r="K24" s="64">
        <v>290.25</v>
      </c>
      <c r="L24" s="64">
        <v>12.43</v>
      </c>
      <c r="M24" s="64">
        <v>97.94</v>
      </c>
      <c r="N24" s="64">
        <v>32.9</v>
      </c>
      <c r="O24" s="64">
        <v>0</v>
      </c>
      <c r="P24" s="64">
        <v>2.95</v>
      </c>
      <c r="Q24" s="64">
        <v>9.82</v>
      </c>
      <c r="R24" s="198"/>
      <c r="S24" s="198"/>
      <c r="T24" s="198"/>
      <c r="U24" s="198"/>
    </row>
    <row r="25" spans="1:21" s="12" customFormat="1" x14ac:dyDescent="0.25">
      <c r="A25" s="214" t="s">
        <v>1511</v>
      </c>
      <c r="B25" s="64">
        <v>119.65</v>
      </c>
      <c r="C25" s="6" t="s">
        <v>42</v>
      </c>
      <c r="D25" s="64">
        <v>78.73</v>
      </c>
      <c r="E25" s="64">
        <v>6.18</v>
      </c>
      <c r="F25" s="64">
        <v>3.3</v>
      </c>
      <c r="G25" s="64">
        <v>97.41</v>
      </c>
      <c r="H25" s="64">
        <v>40.04</v>
      </c>
      <c r="I25" s="64">
        <v>0.1</v>
      </c>
      <c r="J25" s="64">
        <v>0.66</v>
      </c>
      <c r="K25" s="64">
        <v>230.76</v>
      </c>
      <c r="L25" s="64">
        <v>12.57</v>
      </c>
      <c r="M25" s="64">
        <v>97.86</v>
      </c>
      <c r="N25" s="64">
        <v>32.700000000000003</v>
      </c>
      <c r="O25" s="64">
        <v>0</v>
      </c>
      <c r="P25" s="64">
        <v>2.86</v>
      </c>
      <c r="Q25" s="64">
        <v>9.82</v>
      </c>
      <c r="R25" s="198"/>
      <c r="S25" s="198"/>
      <c r="T25" s="198"/>
      <c r="U25" s="198"/>
    </row>
    <row r="26" spans="1:21" s="12" customFormat="1" x14ac:dyDescent="0.25">
      <c r="A26" s="214" t="s">
        <v>1512</v>
      </c>
      <c r="B26" s="64">
        <v>114.06</v>
      </c>
      <c r="C26" s="6" t="s">
        <v>42</v>
      </c>
      <c r="D26" s="64">
        <v>75.819999999999993</v>
      </c>
      <c r="E26" s="64">
        <v>5.67</v>
      </c>
      <c r="F26" s="64">
        <v>3.09</v>
      </c>
      <c r="G26" s="64">
        <v>97.41</v>
      </c>
      <c r="H26" s="64">
        <v>40.04</v>
      </c>
      <c r="I26" s="64">
        <v>0.1</v>
      </c>
      <c r="J26" s="64">
        <v>1.1100000000000001</v>
      </c>
      <c r="K26" s="64">
        <v>162</v>
      </c>
      <c r="L26" s="64">
        <v>12.97</v>
      </c>
      <c r="M26" s="64">
        <v>96.02</v>
      </c>
      <c r="N26" s="64">
        <v>32.299999999999997</v>
      </c>
      <c r="O26" s="64">
        <v>0</v>
      </c>
      <c r="P26" s="64">
        <v>2.73</v>
      </c>
      <c r="Q26" s="64">
        <v>9.82</v>
      </c>
      <c r="R26" s="198"/>
      <c r="S26" s="198"/>
      <c r="T26" s="198"/>
      <c r="U26" s="198"/>
    </row>
    <row r="27" spans="1:21" s="12" customFormat="1" x14ac:dyDescent="0.25">
      <c r="A27" s="214" t="s">
        <v>1513</v>
      </c>
      <c r="B27" s="64">
        <v>108.37</v>
      </c>
      <c r="C27" s="6" t="s">
        <v>42</v>
      </c>
      <c r="D27" s="64">
        <v>72.790000000000006</v>
      </c>
      <c r="E27" s="64">
        <v>5.87</v>
      </c>
      <c r="F27" s="64">
        <v>2.88</v>
      </c>
      <c r="G27" s="64">
        <v>97.41</v>
      </c>
      <c r="H27" s="64">
        <v>40.04</v>
      </c>
      <c r="I27" s="64">
        <v>0.1</v>
      </c>
      <c r="J27" s="64">
        <v>0.31</v>
      </c>
      <c r="K27" s="64">
        <v>280.52</v>
      </c>
      <c r="L27" s="64">
        <v>12.69</v>
      </c>
      <c r="M27" s="64">
        <v>97.69</v>
      </c>
      <c r="N27" s="64">
        <v>33.299999999999997</v>
      </c>
      <c r="O27" s="64">
        <v>0</v>
      </c>
      <c r="P27" s="64">
        <v>2.61</v>
      </c>
      <c r="Q27" s="64">
        <v>9.81</v>
      </c>
      <c r="R27" s="198"/>
      <c r="S27" s="198"/>
      <c r="T27" s="198"/>
      <c r="U27" s="198"/>
    </row>
    <row r="28" spans="1:21" s="12" customFormat="1" x14ac:dyDescent="0.25">
      <c r="A28" s="214" t="s">
        <v>1514</v>
      </c>
      <c r="B28" s="64">
        <v>103.22</v>
      </c>
      <c r="C28" s="6" t="s">
        <v>42</v>
      </c>
      <c r="D28" s="64">
        <v>70.03</v>
      </c>
      <c r="E28" s="64">
        <v>5.62</v>
      </c>
      <c r="F28" s="64">
        <v>2.88</v>
      </c>
      <c r="G28" s="64">
        <v>90.21</v>
      </c>
      <c r="H28" s="64">
        <v>38.65</v>
      </c>
      <c r="I28" s="64">
        <v>0.1</v>
      </c>
      <c r="J28" s="64">
        <v>0.44</v>
      </c>
      <c r="K28" s="64">
        <v>331.15</v>
      </c>
      <c r="L28" s="64">
        <v>12.23</v>
      </c>
      <c r="M28" s="64">
        <v>97.87</v>
      </c>
      <c r="N28" s="64">
        <v>33.299999999999997</v>
      </c>
      <c r="O28" s="64">
        <v>0</v>
      </c>
      <c r="P28" s="64">
        <v>2.5</v>
      </c>
      <c r="Q28" s="64">
        <v>9.7899999999999991</v>
      </c>
      <c r="R28" s="198"/>
      <c r="S28" s="198"/>
      <c r="T28" s="198"/>
      <c r="U28" s="198"/>
    </row>
    <row r="29" spans="1:21" s="12" customFormat="1" x14ac:dyDescent="0.25">
      <c r="A29" s="214" t="s">
        <v>1515</v>
      </c>
      <c r="B29" s="64">
        <v>98.72</v>
      </c>
      <c r="C29" s="6" t="s">
        <v>42</v>
      </c>
      <c r="D29" s="64">
        <v>67.42</v>
      </c>
      <c r="E29" s="64">
        <v>5.97</v>
      </c>
      <c r="F29" s="64">
        <v>2.82</v>
      </c>
      <c r="G29" s="64">
        <v>61.38</v>
      </c>
      <c r="H29" s="64">
        <v>34.58</v>
      </c>
      <c r="I29" s="64">
        <v>0.1</v>
      </c>
      <c r="J29" s="64">
        <v>0.56000000000000005</v>
      </c>
      <c r="K29" s="64">
        <v>271.85000000000002</v>
      </c>
      <c r="L29" s="64">
        <v>11.91</v>
      </c>
      <c r="M29" s="64">
        <v>97.88</v>
      </c>
      <c r="N29" s="64">
        <v>33.1</v>
      </c>
      <c r="O29" s="64">
        <v>0</v>
      </c>
      <c r="P29" s="64">
        <v>2.42</v>
      </c>
      <c r="Q29" s="64">
        <v>9.7899999999999991</v>
      </c>
      <c r="R29" s="198"/>
      <c r="S29" s="198"/>
      <c r="T29" s="198"/>
      <c r="U29" s="198"/>
    </row>
    <row r="30" spans="1:21" s="12" customFormat="1" x14ac:dyDescent="0.25">
      <c r="A30" s="214" t="s">
        <v>1516</v>
      </c>
      <c r="B30" s="64">
        <v>95.46</v>
      </c>
      <c r="C30" s="6" t="s">
        <v>42</v>
      </c>
      <c r="D30" s="64">
        <v>65.489999999999995</v>
      </c>
      <c r="E30" s="64">
        <v>5.44</v>
      </c>
      <c r="F30" s="64">
        <v>2.82</v>
      </c>
      <c r="G30" s="64">
        <v>61.38</v>
      </c>
      <c r="H30" s="64">
        <v>34.58</v>
      </c>
      <c r="I30" s="64">
        <v>0.1</v>
      </c>
      <c r="J30" s="64">
        <v>0.56999999999999995</v>
      </c>
      <c r="K30" s="64">
        <v>293.62</v>
      </c>
      <c r="L30" s="64">
        <v>11.61</v>
      </c>
      <c r="M30" s="64">
        <v>97.88</v>
      </c>
      <c r="N30" s="64">
        <v>33.200000000000003</v>
      </c>
      <c r="O30" s="64">
        <v>0</v>
      </c>
      <c r="P30" s="64">
        <v>2.34</v>
      </c>
      <c r="Q30" s="64">
        <v>9.7899999999999991</v>
      </c>
      <c r="R30" s="198"/>
      <c r="S30" s="198"/>
      <c r="T30" s="198"/>
      <c r="U30" s="198"/>
    </row>
    <row r="31" spans="1:21" s="12" customFormat="1" x14ac:dyDescent="0.25">
      <c r="A31" s="214" t="s">
        <v>1517</v>
      </c>
      <c r="B31" s="64">
        <v>92.71</v>
      </c>
      <c r="C31" s="6" t="s">
        <v>42</v>
      </c>
      <c r="D31" s="64">
        <v>63.96</v>
      </c>
      <c r="E31" s="64">
        <v>5.76</v>
      </c>
      <c r="F31" s="64">
        <v>2.95</v>
      </c>
      <c r="G31" s="64">
        <v>61.38</v>
      </c>
      <c r="H31" s="64">
        <v>34.58</v>
      </c>
      <c r="I31" s="64">
        <v>0.1</v>
      </c>
      <c r="J31" s="64">
        <v>0.4</v>
      </c>
      <c r="K31" s="64">
        <v>252.16</v>
      </c>
      <c r="L31" s="64">
        <v>11.58</v>
      </c>
      <c r="M31" s="64">
        <v>97.88</v>
      </c>
      <c r="N31" s="64">
        <v>32.9</v>
      </c>
      <c r="O31" s="64">
        <v>0</v>
      </c>
      <c r="P31" s="64">
        <v>2.25</v>
      </c>
      <c r="Q31" s="64">
        <v>9.7799999999999994</v>
      </c>
      <c r="R31" s="198"/>
      <c r="S31" s="198"/>
      <c r="T31" s="198"/>
      <c r="U31" s="198"/>
    </row>
    <row r="32" spans="1:21" s="12" customFormat="1" x14ac:dyDescent="0.25">
      <c r="A32" s="214" t="s">
        <v>1518</v>
      </c>
      <c r="B32" s="64">
        <v>90.07</v>
      </c>
      <c r="C32" s="6" t="s">
        <v>42</v>
      </c>
      <c r="D32" s="64">
        <v>62.3</v>
      </c>
      <c r="E32" s="64">
        <v>5.29</v>
      </c>
      <c r="F32" s="64">
        <v>2.79</v>
      </c>
      <c r="G32" s="64">
        <v>62.87</v>
      </c>
      <c r="H32" s="64">
        <v>34.479999999999997</v>
      </c>
      <c r="I32" s="64">
        <v>0.1</v>
      </c>
      <c r="J32" s="64">
        <v>0.54</v>
      </c>
      <c r="K32" s="64">
        <v>245</v>
      </c>
      <c r="L32" s="64">
        <v>11.63</v>
      </c>
      <c r="M32" s="64">
        <v>97.87</v>
      </c>
      <c r="N32" s="64">
        <v>32.9</v>
      </c>
      <c r="O32" s="64">
        <v>0</v>
      </c>
      <c r="P32" s="64">
        <v>2.19</v>
      </c>
      <c r="Q32" s="64">
        <v>9.7799999999999994</v>
      </c>
      <c r="R32" s="198"/>
      <c r="S32" s="198"/>
      <c r="T32" s="198"/>
      <c r="U32" s="198"/>
    </row>
    <row r="33" spans="1:21" s="12" customFormat="1" x14ac:dyDescent="0.25">
      <c r="A33" s="214" t="s">
        <v>1519</v>
      </c>
      <c r="B33" s="64">
        <v>87.82</v>
      </c>
      <c r="C33" s="6" t="s">
        <v>42</v>
      </c>
      <c r="D33" s="64">
        <v>61.42</v>
      </c>
      <c r="E33" s="64">
        <v>5.44</v>
      </c>
      <c r="F33" s="64">
        <v>2.78</v>
      </c>
      <c r="G33" s="64">
        <v>68.8</v>
      </c>
      <c r="H33" s="64">
        <v>34.049999999999997</v>
      </c>
      <c r="I33" s="64">
        <v>0.1</v>
      </c>
      <c r="J33" s="64">
        <v>0.39</v>
      </c>
      <c r="K33" s="64">
        <v>280.69</v>
      </c>
      <c r="L33" s="64">
        <v>11.52</v>
      </c>
      <c r="M33" s="64">
        <v>97.88</v>
      </c>
      <c r="N33" s="64">
        <v>33.200000000000003</v>
      </c>
      <c r="O33" s="64">
        <v>0</v>
      </c>
      <c r="P33" s="64">
        <v>2.2000000000000002</v>
      </c>
      <c r="Q33" s="64">
        <v>9.77</v>
      </c>
      <c r="R33" s="198"/>
      <c r="S33" s="198"/>
      <c r="T33" s="198"/>
      <c r="U33" s="198"/>
    </row>
    <row r="34" spans="1:21" s="12" customFormat="1" x14ac:dyDescent="0.25">
      <c r="A34" s="214" t="s">
        <v>1520</v>
      </c>
      <c r="B34" s="64">
        <v>87.61</v>
      </c>
      <c r="C34" s="6" t="s">
        <v>42</v>
      </c>
      <c r="D34" s="64">
        <v>61.57</v>
      </c>
      <c r="E34" s="64">
        <v>5.53</v>
      </c>
      <c r="F34" s="64">
        <v>3.08</v>
      </c>
      <c r="G34" s="64">
        <v>68.8</v>
      </c>
      <c r="H34" s="64">
        <v>34.049999999999997</v>
      </c>
      <c r="I34" s="64">
        <v>0.1</v>
      </c>
      <c r="J34" s="64">
        <v>0.8</v>
      </c>
      <c r="K34" s="64">
        <v>316.22000000000003</v>
      </c>
      <c r="L34" s="64">
        <v>11.43</v>
      </c>
      <c r="M34" s="64">
        <v>97.88</v>
      </c>
      <c r="N34" s="64">
        <v>35</v>
      </c>
      <c r="O34" s="64">
        <v>0</v>
      </c>
      <c r="P34" s="64">
        <v>2.19</v>
      </c>
      <c r="Q34" s="64">
        <v>9.77</v>
      </c>
      <c r="R34" s="198"/>
      <c r="S34" s="198"/>
      <c r="T34" s="198"/>
      <c r="U34" s="198"/>
    </row>
    <row r="35" spans="1:21" s="12" customFormat="1" x14ac:dyDescent="0.25">
      <c r="A35" s="214" t="s">
        <v>1521</v>
      </c>
      <c r="B35" s="64">
        <v>89.6</v>
      </c>
      <c r="C35" s="6" t="s">
        <v>42</v>
      </c>
      <c r="D35" s="64">
        <v>62.72</v>
      </c>
      <c r="E35" s="64">
        <v>5.54</v>
      </c>
      <c r="F35" s="64">
        <v>3.42</v>
      </c>
      <c r="G35" s="64">
        <v>68.8</v>
      </c>
      <c r="H35" s="64">
        <v>34.049999999999997</v>
      </c>
      <c r="I35" s="64">
        <v>0.1</v>
      </c>
      <c r="J35" s="64">
        <v>0.41</v>
      </c>
      <c r="K35" s="64">
        <v>21.2</v>
      </c>
      <c r="L35" s="64">
        <v>11.39</v>
      </c>
      <c r="M35" s="64">
        <v>97.9</v>
      </c>
      <c r="N35" s="64">
        <v>41.2</v>
      </c>
      <c r="O35" s="64">
        <v>0</v>
      </c>
      <c r="P35" s="64">
        <v>2.16</v>
      </c>
      <c r="Q35" s="64">
        <v>9.7899999999999991</v>
      </c>
      <c r="R35" s="198"/>
      <c r="S35" s="198"/>
      <c r="T35" s="198"/>
      <c r="U35" s="198"/>
    </row>
    <row r="36" spans="1:21" s="12" customFormat="1" x14ac:dyDescent="0.25">
      <c r="A36" s="214" t="s">
        <v>1522</v>
      </c>
      <c r="B36" s="64">
        <v>92.05</v>
      </c>
      <c r="C36" s="6" t="s">
        <v>42</v>
      </c>
      <c r="D36" s="64">
        <v>64.069999999999993</v>
      </c>
      <c r="E36" s="64">
        <v>5.57</v>
      </c>
      <c r="F36" s="64">
        <v>3.25</v>
      </c>
      <c r="G36" s="64">
        <v>72.34</v>
      </c>
      <c r="H36" s="64">
        <v>33.880000000000003</v>
      </c>
      <c r="I36" s="64">
        <v>0.1</v>
      </c>
      <c r="J36" s="64">
        <v>0.73</v>
      </c>
      <c r="K36" s="64">
        <v>113.99</v>
      </c>
      <c r="L36" s="64">
        <v>11.63</v>
      </c>
      <c r="M36" s="64">
        <v>97.9</v>
      </c>
      <c r="N36" s="64">
        <v>51.9</v>
      </c>
      <c r="O36" s="64">
        <v>0</v>
      </c>
      <c r="P36" s="64">
        <v>2.15</v>
      </c>
      <c r="Q36" s="64">
        <v>9.7799999999999994</v>
      </c>
      <c r="R36" s="198"/>
      <c r="S36" s="198"/>
      <c r="T36" s="198"/>
      <c r="U36" s="198"/>
    </row>
    <row r="37" spans="1:21" s="12" customFormat="1" x14ac:dyDescent="0.25">
      <c r="A37" s="214" t="s">
        <v>1523</v>
      </c>
      <c r="B37" s="64">
        <v>94.59</v>
      </c>
      <c r="C37" s="6" t="s">
        <v>42</v>
      </c>
      <c r="D37" s="64">
        <v>65.44</v>
      </c>
      <c r="E37" s="64">
        <v>5.77</v>
      </c>
      <c r="F37" s="64">
        <v>3.47</v>
      </c>
      <c r="G37" s="64">
        <v>86.52</v>
      </c>
      <c r="H37" s="64">
        <v>33.369999999999997</v>
      </c>
      <c r="I37" s="64">
        <v>0.1</v>
      </c>
      <c r="J37" s="64">
        <v>0.14000000000000001</v>
      </c>
      <c r="K37" s="64">
        <v>298.77</v>
      </c>
      <c r="L37" s="64">
        <v>12.26</v>
      </c>
      <c r="M37" s="64">
        <v>97.85</v>
      </c>
      <c r="N37" s="64">
        <v>64.3</v>
      </c>
      <c r="O37" s="64">
        <v>0</v>
      </c>
      <c r="P37" s="64">
        <v>2.13</v>
      </c>
      <c r="Q37" s="64">
        <v>9.7799999999999994</v>
      </c>
      <c r="R37" s="198"/>
      <c r="S37" s="198"/>
      <c r="T37" s="198"/>
      <c r="U37" s="198"/>
    </row>
    <row r="38" spans="1:21" s="12" customFormat="1" x14ac:dyDescent="0.25">
      <c r="A38" s="214" t="s">
        <v>1524</v>
      </c>
      <c r="B38" s="64">
        <v>97.39</v>
      </c>
      <c r="C38" s="6" t="s">
        <v>42</v>
      </c>
      <c r="D38" s="64">
        <v>66.97</v>
      </c>
      <c r="E38" s="64">
        <v>5.73</v>
      </c>
      <c r="F38" s="64">
        <v>3.51</v>
      </c>
      <c r="G38" s="64">
        <v>86.52</v>
      </c>
      <c r="H38" s="64">
        <v>33.369999999999997</v>
      </c>
      <c r="I38" s="64">
        <v>0.1</v>
      </c>
      <c r="J38" s="64">
        <v>0.82</v>
      </c>
      <c r="K38" s="64">
        <v>337.75</v>
      </c>
      <c r="L38" s="64">
        <v>13.12</v>
      </c>
      <c r="M38" s="64">
        <v>97.84</v>
      </c>
      <c r="N38" s="64">
        <v>80.2</v>
      </c>
      <c r="O38" s="64">
        <v>0</v>
      </c>
      <c r="P38" s="64">
        <v>2.2400000000000002</v>
      </c>
      <c r="Q38" s="64">
        <v>9.7899999999999991</v>
      </c>
      <c r="R38" s="198"/>
      <c r="S38" s="198"/>
      <c r="T38" s="198"/>
      <c r="U38" s="198"/>
    </row>
    <row r="39" spans="1:21" s="12" customFormat="1" x14ac:dyDescent="0.25">
      <c r="A39" s="214" t="s">
        <v>1525</v>
      </c>
      <c r="B39" s="64">
        <v>98.98</v>
      </c>
      <c r="C39" s="6" t="s">
        <v>42</v>
      </c>
      <c r="D39" s="64">
        <v>67.86</v>
      </c>
      <c r="E39" s="64">
        <v>5.74</v>
      </c>
      <c r="F39" s="64">
        <v>3.65</v>
      </c>
      <c r="G39" s="64">
        <v>86.52</v>
      </c>
      <c r="H39" s="64">
        <v>33.369999999999997</v>
      </c>
      <c r="I39" s="64">
        <v>0.1</v>
      </c>
      <c r="J39" s="64">
        <v>0.47</v>
      </c>
      <c r="K39" s="64">
        <v>340.82</v>
      </c>
      <c r="L39" s="64">
        <v>14.4</v>
      </c>
      <c r="M39" s="64">
        <v>95.31</v>
      </c>
      <c r="N39" s="64">
        <v>140.4</v>
      </c>
      <c r="O39" s="64">
        <v>0</v>
      </c>
      <c r="P39" s="64">
        <v>2.23</v>
      </c>
      <c r="Q39" s="64">
        <v>9.81</v>
      </c>
      <c r="R39" s="198"/>
      <c r="S39" s="198"/>
      <c r="T39" s="198"/>
      <c r="U39" s="198"/>
    </row>
    <row r="40" spans="1:21" s="12" customFormat="1" x14ac:dyDescent="0.25">
      <c r="A40" s="214" t="s">
        <v>1526</v>
      </c>
      <c r="B40" s="64">
        <v>98.67</v>
      </c>
      <c r="C40" s="6" t="s">
        <v>42</v>
      </c>
      <c r="D40" s="64">
        <v>67.53</v>
      </c>
      <c r="E40" s="64">
        <v>5.74</v>
      </c>
      <c r="F40" s="64">
        <v>3.54</v>
      </c>
      <c r="G40" s="64">
        <v>88.56</v>
      </c>
      <c r="H40" s="64">
        <v>33.74</v>
      </c>
      <c r="I40" s="64">
        <v>0.1</v>
      </c>
      <c r="J40" s="64">
        <v>1.1599999999999999</v>
      </c>
      <c r="K40" s="64">
        <v>349.89</v>
      </c>
      <c r="L40" s="64">
        <v>17.11</v>
      </c>
      <c r="M40" s="64">
        <v>75.59</v>
      </c>
      <c r="N40" s="64">
        <v>185.7</v>
      </c>
      <c r="O40" s="64">
        <v>0</v>
      </c>
      <c r="P40" s="64">
        <v>2.1800000000000002</v>
      </c>
      <c r="Q40" s="64">
        <v>9.81</v>
      </c>
      <c r="R40" s="198"/>
      <c r="S40" s="198"/>
      <c r="T40" s="198"/>
      <c r="U40" s="198"/>
    </row>
    <row r="41" spans="1:21" s="12" customFormat="1" x14ac:dyDescent="0.25">
      <c r="A41" s="214" t="s">
        <v>1527</v>
      </c>
      <c r="B41" s="64">
        <v>96.51</v>
      </c>
      <c r="C41" s="6" t="s">
        <v>42</v>
      </c>
      <c r="D41" s="64">
        <v>66.52</v>
      </c>
      <c r="E41" s="64">
        <v>6.01</v>
      </c>
      <c r="F41" s="64">
        <v>3.2</v>
      </c>
      <c r="G41" s="64">
        <v>96.72</v>
      </c>
      <c r="H41" s="64">
        <v>34.82</v>
      </c>
      <c r="I41" s="64">
        <v>0.1</v>
      </c>
      <c r="J41" s="64">
        <v>1.43</v>
      </c>
      <c r="K41" s="64">
        <v>351.3</v>
      </c>
      <c r="L41" s="64">
        <v>19.37</v>
      </c>
      <c r="M41" s="64">
        <v>52.61</v>
      </c>
      <c r="N41" s="64">
        <v>229.6</v>
      </c>
      <c r="O41" s="64">
        <v>0</v>
      </c>
      <c r="P41" s="64">
        <v>2.1</v>
      </c>
      <c r="Q41" s="64">
        <v>9.8000000000000007</v>
      </c>
      <c r="R41" s="198"/>
      <c r="S41" s="198"/>
      <c r="T41" s="198"/>
      <c r="U41" s="198"/>
    </row>
    <row r="42" spans="1:21" s="12" customFormat="1" x14ac:dyDescent="0.25">
      <c r="A42" s="214" t="s">
        <v>1528</v>
      </c>
      <c r="B42" s="64">
        <v>92.31</v>
      </c>
      <c r="C42" s="6" t="s">
        <v>42</v>
      </c>
      <c r="D42" s="64">
        <v>64.239999999999995</v>
      </c>
      <c r="E42" s="64">
        <v>6.01</v>
      </c>
      <c r="F42" s="64">
        <v>2.96</v>
      </c>
      <c r="G42" s="64">
        <v>96.72</v>
      </c>
      <c r="H42" s="64">
        <v>34.82</v>
      </c>
      <c r="I42" s="64">
        <v>0.1</v>
      </c>
      <c r="J42" s="64">
        <v>1.56</v>
      </c>
      <c r="K42" s="64">
        <v>345.15</v>
      </c>
      <c r="L42" s="64">
        <v>20.79</v>
      </c>
      <c r="M42" s="64">
        <v>47.09</v>
      </c>
      <c r="N42" s="64">
        <v>267.7</v>
      </c>
      <c r="O42" s="64">
        <v>0</v>
      </c>
      <c r="P42" s="64">
        <v>2</v>
      </c>
      <c r="Q42" s="64">
        <v>9.7799999999999994</v>
      </c>
      <c r="R42" s="198"/>
      <c r="S42" s="198"/>
      <c r="T42" s="198"/>
      <c r="U42" s="198"/>
    </row>
    <row r="43" spans="1:21" s="12" customFormat="1" x14ac:dyDescent="0.25">
      <c r="A43" s="214" t="s">
        <v>1529</v>
      </c>
      <c r="B43" s="64">
        <v>87.41</v>
      </c>
      <c r="C43" s="6" t="s">
        <v>42</v>
      </c>
      <c r="D43" s="64">
        <v>61.78</v>
      </c>
      <c r="E43" s="64">
        <v>5.92</v>
      </c>
      <c r="F43" s="64">
        <v>2.88</v>
      </c>
      <c r="G43" s="64">
        <v>96.72</v>
      </c>
      <c r="H43" s="64">
        <v>34.82</v>
      </c>
      <c r="I43" s="64">
        <v>0.1</v>
      </c>
      <c r="J43" s="64">
        <v>1.39</v>
      </c>
      <c r="K43" s="64">
        <v>344.14</v>
      </c>
      <c r="L43" s="64">
        <v>22.11</v>
      </c>
      <c r="M43" s="64">
        <v>42.5</v>
      </c>
      <c r="N43" s="64">
        <v>297.39999999999998</v>
      </c>
      <c r="O43" s="64">
        <v>0</v>
      </c>
      <c r="P43" s="64">
        <v>1.91</v>
      </c>
      <c r="Q43" s="64">
        <v>9.77</v>
      </c>
      <c r="R43" s="198"/>
      <c r="S43" s="198"/>
      <c r="T43" s="198"/>
      <c r="U43" s="198"/>
    </row>
    <row r="44" spans="1:21" s="12" customFormat="1" x14ac:dyDescent="0.25">
      <c r="A44" s="214" t="s">
        <v>1530</v>
      </c>
      <c r="B44" s="64">
        <v>84.04</v>
      </c>
      <c r="C44" s="6" t="s">
        <v>42</v>
      </c>
      <c r="D44" s="64">
        <v>60.84</v>
      </c>
      <c r="E44" s="64">
        <v>5.93</v>
      </c>
      <c r="F44" s="64">
        <v>2.83</v>
      </c>
      <c r="G44" s="64">
        <v>93.06</v>
      </c>
      <c r="H44" s="64">
        <v>33.729999999999997</v>
      </c>
      <c r="I44" s="64">
        <v>0.1</v>
      </c>
      <c r="J44" s="64">
        <v>1.02</v>
      </c>
      <c r="K44" s="64">
        <v>334.97</v>
      </c>
      <c r="L44" s="64">
        <v>23.11</v>
      </c>
      <c r="M44" s="64">
        <v>39.92</v>
      </c>
      <c r="N44" s="64">
        <v>327.2</v>
      </c>
      <c r="O44" s="64">
        <v>0</v>
      </c>
      <c r="P44" s="64">
        <v>1.86</v>
      </c>
      <c r="Q44" s="64">
        <v>9.76</v>
      </c>
      <c r="R44" s="198"/>
      <c r="S44" s="198"/>
      <c r="T44" s="198"/>
      <c r="U44" s="198"/>
    </row>
    <row r="45" spans="1:21" s="12" customFormat="1" x14ac:dyDescent="0.25">
      <c r="A45" s="214" t="s">
        <v>1531</v>
      </c>
      <c r="B45" s="64">
        <v>80.95</v>
      </c>
      <c r="C45" s="6" t="s">
        <v>42</v>
      </c>
      <c r="D45" s="64">
        <v>59.7</v>
      </c>
      <c r="E45" s="64">
        <v>6.21</v>
      </c>
      <c r="F45" s="64">
        <v>2.76</v>
      </c>
      <c r="G45" s="64">
        <v>78.430000000000007</v>
      </c>
      <c r="H45" s="64">
        <v>30.51</v>
      </c>
      <c r="I45" s="64">
        <v>0.1</v>
      </c>
      <c r="J45" s="64">
        <v>1.19</v>
      </c>
      <c r="K45" s="64">
        <v>336.95</v>
      </c>
      <c r="L45" s="64">
        <v>23.73</v>
      </c>
      <c r="M45" s="64">
        <v>37.69</v>
      </c>
      <c r="N45" s="64">
        <v>351.2</v>
      </c>
      <c r="O45" s="64">
        <v>0</v>
      </c>
      <c r="P45" s="64">
        <v>1.82</v>
      </c>
      <c r="Q45" s="64">
        <v>9.76</v>
      </c>
      <c r="R45" s="198"/>
      <c r="S45" s="198"/>
      <c r="T45" s="198"/>
      <c r="U45" s="198"/>
    </row>
    <row r="46" spans="1:21" s="12" customFormat="1" x14ac:dyDescent="0.25">
      <c r="A46" s="214" t="s">
        <v>1532</v>
      </c>
      <c r="B46" s="64">
        <v>77.38</v>
      </c>
      <c r="C46" s="6" t="s">
        <v>42</v>
      </c>
      <c r="D46" s="64">
        <v>58.29</v>
      </c>
      <c r="E46" s="64">
        <v>6.12</v>
      </c>
      <c r="F46" s="64">
        <v>2.78</v>
      </c>
      <c r="G46" s="64">
        <v>78.430000000000007</v>
      </c>
      <c r="H46" s="64">
        <v>30.51</v>
      </c>
      <c r="I46" s="64">
        <v>0.1</v>
      </c>
      <c r="J46" s="64">
        <v>1.63</v>
      </c>
      <c r="K46" s="64">
        <v>340.36</v>
      </c>
      <c r="L46" s="64">
        <v>24.47</v>
      </c>
      <c r="M46" s="64">
        <v>35.89</v>
      </c>
      <c r="N46" s="64">
        <v>366.3</v>
      </c>
      <c r="O46" s="64">
        <v>0</v>
      </c>
      <c r="P46" s="64">
        <v>1.76</v>
      </c>
      <c r="Q46" s="64">
        <v>9.75</v>
      </c>
      <c r="R46" s="198"/>
      <c r="S46" s="198"/>
      <c r="T46" s="198"/>
      <c r="U46" s="198"/>
    </row>
    <row r="47" spans="1:21" s="12" customFormat="1" x14ac:dyDescent="0.25">
      <c r="A47" s="214" t="s">
        <v>1533</v>
      </c>
      <c r="B47" s="64">
        <v>73.62</v>
      </c>
      <c r="C47" s="6" t="s">
        <v>42</v>
      </c>
      <c r="D47" s="64">
        <v>56.77</v>
      </c>
      <c r="E47" s="64">
        <v>6.22</v>
      </c>
      <c r="F47" s="64">
        <v>2.83</v>
      </c>
      <c r="G47" s="64">
        <v>78.430000000000007</v>
      </c>
      <c r="H47" s="64">
        <v>30.51</v>
      </c>
      <c r="I47" s="64">
        <v>0.1</v>
      </c>
      <c r="J47" s="64">
        <v>1.43</v>
      </c>
      <c r="K47" s="64">
        <v>339.83</v>
      </c>
      <c r="L47" s="64">
        <v>25.26</v>
      </c>
      <c r="M47" s="64">
        <v>33.729999999999997</v>
      </c>
      <c r="N47" s="64">
        <v>386.1</v>
      </c>
      <c r="O47" s="64">
        <v>0</v>
      </c>
      <c r="P47" s="64">
        <v>1.71</v>
      </c>
      <c r="Q47" s="64">
        <v>9.75</v>
      </c>
      <c r="R47" s="198"/>
      <c r="S47" s="198"/>
      <c r="T47" s="198"/>
      <c r="U47" s="198"/>
    </row>
    <row r="48" spans="1:21" s="12" customFormat="1" x14ac:dyDescent="0.25">
      <c r="A48" s="214" t="s">
        <v>1534</v>
      </c>
      <c r="B48" s="64">
        <v>70.31</v>
      </c>
      <c r="C48" s="64">
        <v>0.02</v>
      </c>
      <c r="D48" s="64">
        <v>55.45</v>
      </c>
      <c r="E48" s="64">
        <v>5.97</v>
      </c>
      <c r="F48" s="64">
        <v>2.78</v>
      </c>
      <c r="G48" s="64">
        <v>78.540000000000006</v>
      </c>
      <c r="H48" s="64">
        <v>30.61</v>
      </c>
      <c r="I48" s="64">
        <v>0.1</v>
      </c>
      <c r="J48" s="64">
        <v>1.48</v>
      </c>
      <c r="K48" s="64">
        <v>341.42</v>
      </c>
      <c r="L48" s="64">
        <v>25.57</v>
      </c>
      <c r="M48" s="64">
        <v>32.94</v>
      </c>
      <c r="N48" s="64">
        <v>413</v>
      </c>
      <c r="O48" s="64">
        <v>0</v>
      </c>
      <c r="P48" s="64">
        <v>1.67</v>
      </c>
      <c r="Q48" s="64">
        <v>9.74</v>
      </c>
      <c r="R48" s="198"/>
      <c r="S48" s="198"/>
      <c r="T48" s="198"/>
      <c r="U48" s="198"/>
    </row>
    <row r="49" spans="1:21" s="12" customFormat="1" x14ac:dyDescent="0.25">
      <c r="A49" s="214" t="s">
        <v>1535</v>
      </c>
      <c r="B49" s="64">
        <v>66.319999999999993</v>
      </c>
      <c r="C49" s="64">
        <v>1.65</v>
      </c>
      <c r="D49" s="64">
        <v>53.58</v>
      </c>
      <c r="E49" s="64">
        <v>6.1</v>
      </c>
      <c r="F49" s="64">
        <v>2.91</v>
      </c>
      <c r="G49" s="64">
        <v>79</v>
      </c>
      <c r="H49" s="64">
        <v>31.09</v>
      </c>
      <c r="I49" s="64">
        <v>0.1</v>
      </c>
      <c r="J49" s="64">
        <v>1.46</v>
      </c>
      <c r="K49" s="64">
        <v>339.69</v>
      </c>
      <c r="L49" s="64">
        <v>26.01</v>
      </c>
      <c r="M49" s="64">
        <v>31.8</v>
      </c>
      <c r="N49" s="64">
        <v>426.3</v>
      </c>
      <c r="O49" s="64">
        <v>0</v>
      </c>
      <c r="P49" s="64">
        <v>1.65</v>
      </c>
      <c r="Q49" s="64">
        <v>9.74</v>
      </c>
      <c r="R49" s="198"/>
      <c r="S49" s="198"/>
      <c r="T49" s="198"/>
      <c r="U49" s="198"/>
    </row>
    <row r="50" spans="1:21" s="12" customFormat="1" x14ac:dyDescent="0.25">
      <c r="A50" s="214" t="s">
        <v>1536</v>
      </c>
      <c r="B50" s="64">
        <v>62.2</v>
      </c>
      <c r="C50" s="64">
        <v>3.75</v>
      </c>
      <c r="D50" s="64">
        <v>51.35</v>
      </c>
      <c r="E50" s="64">
        <v>6.55</v>
      </c>
      <c r="F50" s="64">
        <v>3.18</v>
      </c>
      <c r="G50" s="64">
        <v>79</v>
      </c>
      <c r="H50" s="64">
        <v>31.09</v>
      </c>
      <c r="I50" s="64">
        <v>0.1</v>
      </c>
      <c r="J50" s="64">
        <v>1.69</v>
      </c>
      <c r="K50" s="64">
        <v>339.71</v>
      </c>
      <c r="L50" s="64">
        <v>26.46</v>
      </c>
      <c r="M50" s="64">
        <v>31.61</v>
      </c>
      <c r="N50" s="64">
        <v>437.6</v>
      </c>
      <c r="O50" s="64">
        <v>0</v>
      </c>
      <c r="P50" s="64">
        <v>1.64</v>
      </c>
      <c r="Q50" s="64">
        <v>9.73</v>
      </c>
      <c r="R50" s="198"/>
      <c r="S50" s="198"/>
      <c r="T50" s="198"/>
      <c r="U50" s="198"/>
    </row>
    <row r="51" spans="1:21" s="12" customFormat="1" x14ac:dyDescent="0.25">
      <c r="A51" s="214" t="s">
        <v>1537</v>
      </c>
      <c r="B51" s="64">
        <v>59.72</v>
      </c>
      <c r="C51" s="64">
        <v>6.59</v>
      </c>
      <c r="D51" s="64">
        <v>50.87</v>
      </c>
      <c r="E51" s="64">
        <v>6.26</v>
      </c>
      <c r="F51" s="64">
        <v>2.81</v>
      </c>
      <c r="G51" s="64">
        <v>79</v>
      </c>
      <c r="H51" s="64">
        <v>31.09</v>
      </c>
      <c r="I51" s="64">
        <v>0.1</v>
      </c>
      <c r="J51" s="64">
        <v>1.46</v>
      </c>
      <c r="K51" s="64">
        <v>333.52</v>
      </c>
      <c r="L51" s="64">
        <v>26.69</v>
      </c>
      <c r="M51" s="64">
        <v>32.08</v>
      </c>
      <c r="N51" s="64">
        <v>443.6</v>
      </c>
      <c r="O51" s="64">
        <v>0</v>
      </c>
      <c r="P51" s="64">
        <v>1.64</v>
      </c>
      <c r="Q51" s="64">
        <v>9.7200000000000006</v>
      </c>
      <c r="R51" s="198"/>
      <c r="S51" s="198"/>
      <c r="T51" s="198"/>
      <c r="U51" s="198"/>
    </row>
    <row r="52" spans="1:21" s="12" customFormat="1" x14ac:dyDescent="0.25">
      <c r="A52" s="214" t="s">
        <v>1538</v>
      </c>
      <c r="B52" s="64">
        <v>55.77</v>
      </c>
      <c r="C52" s="64">
        <v>8.69</v>
      </c>
      <c r="D52" s="64">
        <v>48.81</v>
      </c>
      <c r="E52" s="64">
        <v>6.42</v>
      </c>
      <c r="F52" s="64">
        <v>2.86</v>
      </c>
      <c r="G52" s="64">
        <v>79.510000000000005</v>
      </c>
      <c r="H52" s="64">
        <v>30.43</v>
      </c>
      <c r="I52" s="64">
        <v>0.1</v>
      </c>
      <c r="J52" s="64">
        <v>1.89</v>
      </c>
      <c r="K52" s="64">
        <v>342.12</v>
      </c>
      <c r="L52" s="64">
        <v>27.21</v>
      </c>
      <c r="M52" s="64">
        <v>30.24</v>
      </c>
      <c r="N52" s="64">
        <v>458.3</v>
      </c>
      <c r="O52" s="64">
        <v>0</v>
      </c>
      <c r="P52" s="64">
        <v>1.63</v>
      </c>
      <c r="Q52" s="64">
        <v>9.7100000000000009</v>
      </c>
      <c r="R52" s="198"/>
      <c r="S52" s="198"/>
      <c r="T52" s="198"/>
      <c r="U52" s="198"/>
    </row>
    <row r="53" spans="1:21" s="12" customFormat="1" x14ac:dyDescent="0.25">
      <c r="A53" s="214" t="s">
        <v>1539</v>
      </c>
      <c r="B53" s="64">
        <v>52.34</v>
      </c>
      <c r="C53" s="64">
        <v>11.68</v>
      </c>
      <c r="D53" s="64">
        <v>47.62</v>
      </c>
      <c r="E53" s="64">
        <v>7.36</v>
      </c>
      <c r="F53" s="64">
        <v>3.21</v>
      </c>
      <c r="G53" s="64">
        <v>81.569999999999993</v>
      </c>
      <c r="H53" s="64">
        <v>28.46</v>
      </c>
      <c r="I53" s="64">
        <v>0.1</v>
      </c>
      <c r="J53" s="64">
        <v>1.34</v>
      </c>
      <c r="K53" s="64">
        <v>334.26</v>
      </c>
      <c r="L53" s="64">
        <v>27.76</v>
      </c>
      <c r="M53" s="64">
        <v>28.73</v>
      </c>
      <c r="N53" s="64">
        <v>470</v>
      </c>
      <c r="O53" s="64">
        <v>0</v>
      </c>
      <c r="P53" s="64">
        <v>1.6</v>
      </c>
      <c r="Q53" s="64">
        <v>9.7100000000000009</v>
      </c>
      <c r="R53" s="198"/>
      <c r="S53" s="198"/>
      <c r="T53" s="198"/>
      <c r="U53" s="198"/>
    </row>
    <row r="54" spans="1:21" s="12" customFormat="1" x14ac:dyDescent="0.25">
      <c r="A54" s="214" t="s">
        <v>1540</v>
      </c>
      <c r="B54" s="64">
        <v>49.71</v>
      </c>
      <c r="C54" s="64">
        <v>12.72</v>
      </c>
      <c r="D54" s="64">
        <v>46.05</v>
      </c>
      <c r="E54" s="64">
        <v>7.2</v>
      </c>
      <c r="F54" s="64">
        <v>3.38</v>
      </c>
      <c r="G54" s="64">
        <v>81.569999999999993</v>
      </c>
      <c r="H54" s="64">
        <v>28.46</v>
      </c>
      <c r="I54" s="64">
        <v>0.1</v>
      </c>
      <c r="J54" s="64">
        <v>1.33</v>
      </c>
      <c r="K54" s="64">
        <v>342.59</v>
      </c>
      <c r="L54" s="64">
        <v>28.05</v>
      </c>
      <c r="M54" s="64">
        <v>27.77</v>
      </c>
      <c r="N54" s="64">
        <v>468.1</v>
      </c>
      <c r="O54" s="64">
        <v>0</v>
      </c>
      <c r="P54" s="64">
        <v>1.55</v>
      </c>
      <c r="Q54" s="64">
        <v>9.7200000000000006</v>
      </c>
      <c r="R54" s="198"/>
      <c r="S54" s="198"/>
      <c r="T54" s="198"/>
      <c r="U54" s="198"/>
    </row>
    <row r="55" spans="1:21" s="12" customFormat="1" x14ac:dyDescent="0.25">
      <c r="A55" s="214" t="s">
        <v>1541</v>
      </c>
      <c r="B55" s="64">
        <v>47.36</v>
      </c>
      <c r="C55" s="64">
        <v>14.15</v>
      </c>
      <c r="D55" s="64">
        <v>44.91</v>
      </c>
      <c r="E55" s="64">
        <v>7.72</v>
      </c>
      <c r="F55" s="64">
        <v>3.5</v>
      </c>
      <c r="G55" s="64">
        <v>81.569999999999993</v>
      </c>
      <c r="H55" s="64">
        <v>28.46</v>
      </c>
      <c r="I55" s="64">
        <v>0.1</v>
      </c>
      <c r="J55" s="64">
        <v>0.26</v>
      </c>
      <c r="K55" s="64">
        <v>335.3</v>
      </c>
      <c r="L55" s="64">
        <v>26.78</v>
      </c>
      <c r="M55" s="64">
        <v>29.43</v>
      </c>
      <c r="N55" s="64">
        <v>468.5</v>
      </c>
      <c r="O55" s="64">
        <v>0</v>
      </c>
      <c r="P55" s="64">
        <v>1.51</v>
      </c>
      <c r="Q55" s="64">
        <v>9.7200000000000006</v>
      </c>
      <c r="R55" s="198"/>
      <c r="S55" s="198"/>
      <c r="T55" s="198"/>
      <c r="U55" s="198"/>
    </row>
    <row r="56" spans="1:21" s="12" customFormat="1" x14ac:dyDescent="0.25">
      <c r="A56" s="214" t="s">
        <v>1542</v>
      </c>
      <c r="B56" s="64">
        <v>44.53</v>
      </c>
      <c r="C56" s="64">
        <v>16.399999999999999</v>
      </c>
      <c r="D56" s="64">
        <v>43.82</v>
      </c>
      <c r="E56" s="64">
        <v>7.92</v>
      </c>
      <c r="F56" s="64">
        <v>4.6100000000000003</v>
      </c>
      <c r="G56" s="64">
        <v>75.84</v>
      </c>
      <c r="H56" s="64">
        <v>28.05</v>
      </c>
      <c r="I56" s="64">
        <v>0.1</v>
      </c>
      <c r="J56" s="64">
        <v>0.45</v>
      </c>
      <c r="K56" s="64">
        <v>21.07</v>
      </c>
      <c r="L56" s="64">
        <v>26.85</v>
      </c>
      <c r="M56" s="64">
        <v>26.64</v>
      </c>
      <c r="N56" s="64">
        <v>483.9</v>
      </c>
      <c r="O56" s="64">
        <v>0</v>
      </c>
      <c r="P56" s="64">
        <v>1.49</v>
      </c>
      <c r="Q56" s="64">
        <v>9.7100000000000009</v>
      </c>
      <c r="R56" s="198"/>
      <c r="S56" s="198"/>
      <c r="T56" s="198"/>
      <c r="U56" s="198"/>
    </row>
    <row r="57" spans="1:21" s="12" customFormat="1" x14ac:dyDescent="0.25">
      <c r="A57" s="214" t="s">
        <v>1543</v>
      </c>
      <c r="B57" s="64">
        <v>44.54</v>
      </c>
      <c r="C57" s="64">
        <v>15.79</v>
      </c>
      <c r="D57" s="64">
        <v>43.51</v>
      </c>
      <c r="E57" s="64">
        <v>6.17</v>
      </c>
      <c r="F57" s="64">
        <v>3.77</v>
      </c>
      <c r="G57" s="64">
        <v>52.91</v>
      </c>
      <c r="H57" s="64">
        <v>26.84</v>
      </c>
      <c r="I57" s="64">
        <v>0.1</v>
      </c>
      <c r="J57" s="64">
        <v>1</v>
      </c>
      <c r="K57" s="64">
        <v>125.55</v>
      </c>
      <c r="L57" s="64">
        <v>25.72</v>
      </c>
      <c r="M57" s="64">
        <v>28.69</v>
      </c>
      <c r="N57" s="64">
        <v>486.9</v>
      </c>
      <c r="O57" s="64">
        <v>0</v>
      </c>
      <c r="P57" s="64">
        <v>1.46</v>
      </c>
      <c r="Q57" s="64">
        <v>9.69</v>
      </c>
      <c r="R57" s="198"/>
      <c r="S57" s="198"/>
      <c r="T57" s="198"/>
      <c r="U57" s="198"/>
    </row>
    <row r="58" spans="1:21" s="12" customFormat="1" x14ac:dyDescent="0.25">
      <c r="A58" s="214" t="s">
        <v>1544</v>
      </c>
      <c r="B58" s="64">
        <v>39.86</v>
      </c>
      <c r="C58" s="64">
        <v>17.04</v>
      </c>
      <c r="D58" s="64">
        <v>40.409999999999997</v>
      </c>
      <c r="E58" s="64">
        <v>6.45</v>
      </c>
      <c r="F58" s="64">
        <v>4.09</v>
      </c>
      <c r="G58" s="64">
        <v>52.91</v>
      </c>
      <c r="H58" s="64">
        <v>26.84</v>
      </c>
      <c r="I58" s="64">
        <v>0.1</v>
      </c>
      <c r="J58" s="64">
        <v>0.71</v>
      </c>
      <c r="K58" s="64">
        <v>107.71</v>
      </c>
      <c r="L58" s="64">
        <v>24.98</v>
      </c>
      <c r="M58" s="64">
        <v>28.5</v>
      </c>
      <c r="N58" s="64">
        <v>481.2</v>
      </c>
      <c r="O58" s="64">
        <v>0</v>
      </c>
      <c r="P58" s="64">
        <v>1.35</v>
      </c>
      <c r="Q58" s="64">
        <v>9.69</v>
      </c>
      <c r="R58" s="198"/>
      <c r="S58" s="198"/>
      <c r="T58" s="198"/>
      <c r="U58" s="198"/>
    </row>
    <row r="59" spans="1:21" s="12" customFormat="1" x14ac:dyDescent="0.25">
      <c r="A59" s="214" t="s">
        <v>1545</v>
      </c>
      <c r="B59" s="64">
        <v>37.9</v>
      </c>
      <c r="C59" s="64">
        <v>19.12</v>
      </c>
      <c r="D59" s="64">
        <v>39.93</v>
      </c>
      <c r="E59" s="64">
        <v>6.31</v>
      </c>
      <c r="F59" s="64">
        <v>4.6100000000000003</v>
      </c>
      <c r="G59" s="64">
        <v>52.91</v>
      </c>
      <c r="H59" s="64">
        <v>26.84</v>
      </c>
      <c r="I59" s="64">
        <v>0.1</v>
      </c>
      <c r="J59" s="64">
        <v>1.1499999999999999</v>
      </c>
      <c r="K59" s="64">
        <v>122.89</v>
      </c>
      <c r="L59" s="64">
        <v>25.16</v>
      </c>
      <c r="M59" s="64">
        <v>27.99</v>
      </c>
      <c r="N59" s="64">
        <v>470.4</v>
      </c>
      <c r="O59" s="64">
        <v>0</v>
      </c>
      <c r="P59" s="64">
        <v>1.27</v>
      </c>
      <c r="Q59" s="64">
        <v>9.7100000000000009</v>
      </c>
      <c r="R59" s="198"/>
      <c r="S59" s="198"/>
      <c r="T59" s="198"/>
      <c r="U59" s="198"/>
    </row>
    <row r="60" spans="1:21" s="12" customFormat="1" x14ac:dyDescent="0.25">
      <c r="A60" s="214" t="s">
        <v>1546</v>
      </c>
      <c r="B60" s="64">
        <v>34.1</v>
      </c>
      <c r="C60" s="64">
        <v>21.36</v>
      </c>
      <c r="D60" s="64">
        <v>38.04</v>
      </c>
      <c r="E60" s="64">
        <v>10.82</v>
      </c>
      <c r="F60" s="64">
        <v>5.2</v>
      </c>
      <c r="G60" s="64">
        <v>53.76</v>
      </c>
      <c r="H60" s="64">
        <v>25.52</v>
      </c>
      <c r="I60" s="64">
        <v>0.1</v>
      </c>
      <c r="J60" s="64">
        <v>0.28999999999999998</v>
      </c>
      <c r="K60" s="64">
        <v>6.09</v>
      </c>
      <c r="L60" s="64">
        <v>26.64</v>
      </c>
      <c r="M60" s="64">
        <v>24.66</v>
      </c>
      <c r="N60" s="64">
        <v>463.9</v>
      </c>
      <c r="O60" s="64">
        <v>0</v>
      </c>
      <c r="P60" s="64">
        <v>1.1499999999999999</v>
      </c>
      <c r="Q60" s="64">
        <v>9.6999999999999993</v>
      </c>
      <c r="R60" s="198"/>
      <c r="S60" s="198"/>
      <c r="T60" s="198"/>
      <c r="U60" s="198"/>
    </row>
    <row r="61" spans="1:21" s="12" customFormat="1" x14ac:dyDescent="0.25">
      <c r="A61" s="214" t="s">
        <v>1547</v>
      </c>
      <c r="B61" s="64">
        <v>32.64</v>
      </c>
      <c r="C61" s="64">
        <v>20.78</v>
      </c>
      <c r="D61" s="64">
        <v>36.57</v>
      </c>
      <c r="E61" s="64">
        <v>8.02</v>
      </c>
      <c r="F61" s="64">
        <v>4.5599999999999996</v>
      </c>
      <c r="G61" s="64">
        <v>57.18</v>
      </c>
      <c r="H61" s="64">
        <v>21.65</v>
      </c>
      <c r="I61" s="64">
        <v>0.1</v>
      </c>
      <c r="J61" s="64">
        <v>0.81</v>
      </c>
      <c r="K61" s="64">
        <v>332.8</v>
      </c>
      <c r="L61" s="64">
        <v>26.95</v>
      </c>
      <c r="M61" s="64">
        <v>24.51</v>
      </c>
      <c r="N61" s="64">
        <v>443.9</v>
      </c>
      <c r="O61" s="64">
        <v>0</v>
      </c>
      <c r="P61" s="64">
        <v>1.3</v>
      </c>
      <c r="Q61" s="64">
        <v>9.69</v>
      </c>
      <c r="R61" s="198"/>
      <c r="S61" s="198"/>
      <c r="T61" s="198"/>
      <c r="U61" s="198"/>
    </row>
    <row r="62" spans="1:21" s="12" customFormat="1" x14ac:dyDescent="0.25">
      <c r="A62" s="214" t="s">
        <v>1548</v>
      </c>
      <c r="B62" s="64">
        <v>30.47</v>
      </c>
      <c r="C62" s="64">
        <v>24.29</v>
      </c>
      <c r="D62" s="64">
        <v>36.67</v>
      </c>
      <c r="E62" s="64">
        <v>6.57</v>
      </c>
      <c r="F62" s="64">
        <v>4.08</v>
      </c>
      <c r="G62" s="64">
        <v>57.18</v>
      </c>
      <c r="H62" s="64">
        <v>21.65</v>
      </c>
      <c r="I62" s="64">
        <v>0.1</v>
      </c>
      <c r="J62" s="64">
        <v>1.02</v>
      </c>
      <c r="K62" s="64">
        <v>330.06</v>
      </c>
      <c r="L62" s="64">
        <v>28.33</v>
      </c>
      <c r="M62" s="64">
        <v>21.85</v>
      </c>
      <c r="N62" s="64">
        <v>406.7</v>
      </c>
      <c r="O62" s="64">
        <v>0</v>
      </c>
      <c r="P62" s="64">
        <v>1.35</v>
      </c>
      <c r="Q62" s="64">
        <v>9.67</v>
      </c>
      <c r="R62" s="198"/>
      <c r="S62" s="198"/>
      <c r="T62" s="198"/>
      <c r="U62" s="198"/>
    </row>
    <row r="63" spans="1:21" s="12" customFormat="1" x14ac:dyDescent="0.25">
      <c r="A63" s="214" t="s">
        <v>1549</v>
      </c>
      <c r="B63" s="64">
        <v>28.38</v>
      </c>
      <c r="C63" s="64">
        <v>26.26</v>
      </c>
      <c r="D63" s="64">
        <v>36.020000000000003</v>
      </c>
      <c r="E63" s="64">
        <v>11.87</v>
      </c>
      <c r="F63" s="64">
        <v>5.63</v>
      </c>
      <c r="G63" s="64">
        <v>57.18</v>
      </c>
      <c r="H63" s="64">
        <v>21.65</v>
      </c>
      <c r="I63" s="64">
        <v>0.1</v>
      </c>
      <c r="J63" s="64">
        <v>0.54</v>
      </c>
      <c r="K63" s="64">
        <v>353.68</v>
      </c>
      <c r="L63" s="64">
        <v>27.48</v>
      </c>
      <c r="M63" s="64">
        <v>23.13</v>
      </c>
      <c r="N63" s="64">
        <v>377.2</v>
      </c>
      <c r="O63" s="64">
        <v>0</v>
      </c>
      <c r="P63" s="64">
        <v>1.29</v>
      </c>
      <c r="Q63" s="64">
        <v>9.68</v>
      </c>
      <c r="R63" s="198"/>
      <c r="S63" s="198"/>
      <c r="T63" s="198"/>
      <c r="U63" s="198"/>
    </row>
    <row r="64" spans="1:21" s="12" customFormat="1" x14ac:dyDescent="0.25">
      <c r="A64" s="214" t="s">
        <v>1550</v>
      </c>
      <c r="B64" s="64">
        <v>26.21</v>
      </c>
      <c r="C64" s="64">
        <v>26.64</v>
      </c>
      <c r="D64" s="64">
        <v>34.47</v>
      </c>
      <c r="E64" s="64">
        <v>8.93</v>
      </c>
      <c r="F64" s="64">
        <v>4.6500000000000004</v>
      </c>
      <c r="G64" s="64">
        <v>54.39</v>
      </c>
      <c r="H64" s="64">
        <v>21.08</v>
      </c>
      <c r="I64" s="64">
        <v>0.1</v>
      </c>
      <c r="J64" s="64">
        <v>0.1</v>
      </c>
      <c r="K64" s="64">
        <v>231.28</v>
      </c>
      <c r="L64" s="64">
        <v>26.46</v>
      </c>
      <c r="M64" s="64">
        <v>25.22</v>
      </c>
      <c r="N64" s="64">
        <v>247.1</v>
      </c>
      <c r="O64" s="64">
        <v>0</v>
      </c>
      <c r="P64" s="64">
        <v>1.28</v>
      </c>
      <c r="Q64" s="64">
        <v>9.68</v>
      </c>
      <c r="R64" s="198"/>
      <c r="S64" s="198"/>
      <c r="T64" s="198"/>
      <c r="U64" s="198"/>
    </row>
    <row r="65" spans="1:21" s="12" customFormat="1" x14ac:dyDescent="0.25">
      <c r="A65" s="214" t="s">
        <v>1551</v>
      </c>
      <c r="B65" s="64">
        <v>23.82</v>
      </c>
      <c r="C65" s="64">
        <v>28.16</v>
      </c>
      <c r="D65" s="64">
        <v>33.35</v>
      </c>
      <c r="E65" s="64">
        <v>8.2100000000000009</v>
      </c>
      <c r="F65" s="64">
        <v>7.09</v>
      </c>
      <c r="G65" s="64">
        <v>43.25</v>
      </c>
      <c r="H65" s="64">
        <v>18.489999999999998</v>
      </c>
      <c r="I65" s="64">
        <v>0.1</v>
      </c>
      <c r="J65" s="64">
        <v>1.1000000000000001</v>
      </c>
      <c r="K65" s="64">
        <v>330.6</v>
      </c>
      <c r="L65" s="64">
        <v>25.98</v>
      </c>
      <c r="M65" s="64">
        <v>26.44</v>
      </c>
      <c r="N65" s="64">
        <v>154.30000000000001</v>
      </c>
      <c r="O65" s="64">
        <v>0</v>
      </c>
      <c r="P65" s="64">
        <v>1.23</v>
      </c>
      <c r="Q65" s="64">
        <v>9.67</v>
      </c>
      <c r="R65" s="198"/>
      <c r="S65" s="198"/>
      <c r="T65" s="198"/>
      <c r="U65" s="198"/>
    </row>
    <row r="66" spans="1:21" s="12" customFormat="1" x14ac:dyDescent="0.25">
      <c r="A66" s="214" t="s">
        <v>1552</v>
      </c>
      <c r="B66" s="64">
        <v>18.149999999999999</v>
      </c>
      <c r="C66" s="64">
        <v>29.4</v>
      </c>
      <c r="D66" s="64">
        <v>29.46</v>
      </c>
      <c r="E66" s="64">
        <v>19.079999999999998</v>
      </c>
      <c r="F66" s="64">
        <v>8.48</v>
      </c>
      <c r="G66" s="64">
        <v>43.25</v>
      </c>
      <c r="H66" s="64">
        <v>18.489999999999998</v>
      </c>
      <c r="I66" s="64">
        <v>0.1</v>
      </c>
      <c r="J66" s="64">
        <v>0.42</v>
      </c>
      <c r="K66" s="64">
        <v>27.77</v>
      </c>
      <c r="L66" s="64">
        <v>25.78</v>
      </c>
      <c r="M66" s="64">
        <v>26.11</v>
      </c>
      <c r="N66" s="64">
        <v>123.1</v>
      </c>
      <c r="O66" s="64">
        <v>0</v>
      </c>
      <c r="P66" s="64">
        <v>1.1399999999999999</v>
      </c>
      <c r="Q66" s="64">
        <v>9.67</v>
      </c>
      <c r="R66" s="198"/>
      <c r="S66" s="198"/>
      <c r="T66" s="198"/>
      <c r="U66" s="198"/>
    </row>
    <row r="67" spans="1:21" s="12" customFormat="1" x14ac:dyDescent="0.25">
      <c r="A67" s="214" t="s">
        <v>1553</v>
      </c>
      <c r="B67" s="64">
        <v>18.41</v>
      </c>
      <c r="C67" s="64">
        <v>30.66</v>
      </c>
      <c r="D67" s="64">
        <v>30.32</v>
      </c>
      <c r="E67" s="64">
        <v>15.79</v>
      </c>
      <c r="F67" s="64">
        <v>9.36</v>
      </c>
      <c r="G67" s="64">
        <v>43.25</v>
      </c>
      <c r="H67" s="64">
        <v>18.489999999999998</v>
      </c>
      <c r="I67" s="64">
        <v>0.1</v>
      </c>
      <c r="J67" s="64">
        <v>0.76</v>
      </c>
      <c r="K67" s="64">
        <v>124.52</v>
      </c>
      <c r="L67" s="64">
        <v>24.37</v>
      </c>
      <c r="M67" s="64">
        <v>28.56</v>
      </c>
      <c r="N67" s="64">
        <v>108.4</v>
      </c>
      <c r="O67" s="64">
        <v>0</v>
      </c>
      <c r="P67" s="64">
        <v>1.17</v>
      </c>
      <c r="Q67" s="64">
        <v>9.67</v>
      </c>
      <c r="R67" s="198"/>
      <c r="S67" s="198"/>
      <c r="T67" s="198"/>
      <c r="U67" s="198"/>
    </row>
    <row r="68" spans="1:21" s="12" customFormat="1" x14ac:dyDescent="0.25">
      <c r="A68" s="214" t="s">
        <v>1554</v>
      </c>
      <c r="B68" s="64">
        <v>16.45</v>
      </c>
      <c r="C68" s="64">
        <v>29.21</v>
      </c>
      <c r="D68" s="64">
        <v>27.99</v>
      </c>
      <c r="E68" s="64">
        <v>12.77</v>
      </c>
      <c r="F68" s="64">
        <v>8.74</v>
      </c>
      <c r="G68" s="64">
        <v>42.91</v>
      </c>
      <c r="H68" s="64">
        <v>18.45</v>
      </c>
      <c r="I68" s="64">
        <v>0.1</v>
      </c>
      <c r="J68" s="64">
        <v>1.62</v>
      </c>
      <c r="K68" s="64">
        <v>127.64</v>
      </c>
      <c r="L68" s="64">
        <v>23.99</v>
      </c>
      <c r="M68" s="64">
        <v>28.6</v>
      </c>
      <c r="N68" s="64">
        <v>100</v>
      </c>
      <c r="O68" s="64">
        <v>0</v>
      </c>
      <c r="P68" s="64">
        <v>1.1299999999999999</v>
      </c>
      <c r="Q68" s="64">
        <v>9.66</v>
      </c>
      <c r="R68" s="198"/>
      <c r="S68" s="198"/>
      <c r="T68" s="198"/>
      <c r="U68" s="198"/>
    </row>
    <row r="69" spans="1:21" s="12" customFormat="1" x14ac:dyDescent="0.25">
      <c r="A69" s="214" t="s">
        <v>1555</v>
      </c>
      <c r="B69" s="64">
        <v>13.7</v>
      </c>
      <c r="C69" s="64">
        <v>28.65</v>
      </c>
      <c r="D69" s="64">
        <v>25.5</v>
      </c>
      <c r="E69" s="64">
        <v>23.34</v>
      </c>
      <c r="F69" s="64">
        <v>14.51</v>
      </c>
      <c r="G69" s="64">
        <v>41.54</v>
      </c>
      <c r="H69" s="64">
        <v>18.34</v>
      </c>
      <c r="I69" s="64">
        <v>0.1</v>
      </c>
      <c r="J69" s="64">
        <v>0.62</v>
      </c>
      <c r="K69" s="64">
        <v>133.97999999999999</v>
      </c>
      <c r="L69" s="64">
        <v>23.79</v>
      </c>
      <c r="M69" s="64">
        <v>29.26</v>
      </c>
      <c r="N69" s="64">
        <v>91.2</v>
      </c>
      <c r="O69" s="64">
        <v>0</v>
      </c>
      <c r="P69" s="64">
        <v>1.03</v>
      </c>
      <c r="Q69" s="64">
        <v>9.66</v>
      </c>
      <c r="R69" s="198"/>
      <c r="S69" s="198"/>
      <c r="T69" s="198"/>
      <c r="U69" s="198"/>
    </row>
    <row r="70" spans="1:21" s="12" customFormat="1" x14ac:dyDescent="0.25">
      <c r="A70" s="214" t="s">
        <v>1556</v>
      </c>
      <c r="B70" s="64">
        <v>14.85</v>
      </c>
      <c r="C70" s="64">
        <v>33.659999999999997</v>
      </c>
      <c r="D70" s="64">
        <v>29.04</v>
      </c>
      <c r="E70" s="64">
        <v>20.58</v>
      </c>
      <c r="F70" s="64">
        <v>9.75</v>
      </c>
      <c r="G70" s="64">
        <v>41.54</v>
      </c>
      <c r="H70" s="64">
        <v>18.34</v>
      </c>
      <c r="I70" s="64">
        <v>0.1</v>
      </c>
      <c r="J70" s="64">
        <v>1.04</v>
      </c>
      <c r="K70" s="64">
        <v>343.67</v>
      </c>
      <c r="L70" s="64">
        <v>23.97</v>
      </c>
      <c r="M70" s="64">
        <v>31.14</v>
      </c>
      <c r="N70" s="64">
        <v>84.1</v>
      </c>
      <c r="O70" s="64">
        <v>0</v>
      </c>
      <c r="P70" s="64">
        <v>1.18</v>
      </c>
      <c r="Q70" s="64">
        <v>9.66</v>
      </c>
      <c r="R70" s="198"/>
      <c r="S70" s="198"/>
      <c r="T70" s="198"/>
      <c r="U70" s="198"/>
    </row>
    <row r="71" spans="1:21" s="12" customFormat="1" x14ac:dyDescent="0.25">
      <c r="A71" s="214" t="s">
        <v>1557</v>
      </c>
      <c r="B71" s="64">
        <v>15.34</v>
      </c>
      <c r="C71" s="64">
        <v>30.85</v>
      </c>
      <c r="D71" s="64">
        <v>27.96</v>
      </c>
      <c r="E71" s="64">
        <v>13.74</v>
      </c>
      <c r="F71" s="64">
        <v>8.58</v>
      </c>
      <c r="G71" s="64">
        <v>41.54</v>
      </c>
      <c r="H71" s="64">
        <v>18.34</v>
      </c>
      <c r="I71" s="64">
        <v>0.1</v>
      </c>
      <c r="J71" s="64">
        <v>1.59</v>
      </c>
      <c r="K71" s="64">
        <v>340.12</v>
      </c>
      <c r="L71" s="64">
        <v>24.22</v>
      </c>
      <c r="M71" s="64">
        <v>30.42</v>
      </c>
      <c r="N71" s="64">
        <v>77.5</v>
      </c>
      <c r="O71" s="64">
        <v>0</v>
      </c>
      <c r="P71" s="64">
        <v>1.19</v>
      </c>
      <c r="Q71" s="64">
        <v>9.65</v>
      </c>
      <c r="R71" s="198"/>
      <c r="S71" s="198"/>
      <c r="T71" s="198"/>
      <c r="U71" s="198"/>
    </row>
    <row r="72" spans="1:21" s="12" customFormat="1" x14ac:dyDescent="0.25">
      <c r="A72" s="214" t="s">
        <v>1558</v>
      </c>
      <c r="B72" s="64">
        <v>14.08</v>
      </c>
      <c r="C72" s="64">
        <v>32.14</v>
      </c>
      <c r="D72" s="64">
        <v>27.62</v>
      </c>
      <c r="E72" s="64">
        <v>9.2799999999999994</v>
      </c>
      <c r="F72" s="64">
        <v>5.49</v>
      </c>
      <c r="G72" s="64">
        <v>42.61</v>
      </c>
      <c r="H72" s="64">
        <v>18.3</v>
      </c>
      <c r="I72" s="64">
        <v>0.1</v>
      </c>
      <c r="J72" s="64">
        <v>1.64</v>
      </c>
      <c r="K72" s="64">
        <v>341.38</v>
      </c>
      <c r="L72" s="64">
        <v>24.05</v>
      </c>
      <c r="M72" s="64">
        <v>30.05</v>
      </c>
      <c r="N72" s="64">
        <v>69.7</v>
      </c>
      <c r="O72" s="64">
        <v>0</v>
      </c>
      <c r="P72" s="64">
        <v>1.2</v>
      </c>
      <c r="Q72" s="64">
        <v>9.65</v>
      </c>
      <c r="R72" s="198"/>
      <c r="S72" s="198"/>
      <c r="T72" s="198"/>
      <c r="U72" s="198"/>
    </row>
    <row r="73" spans="1:21" s="12" customFormat="1" x14ac:dyDescent="0.25">
      <c r="A73" s="214" t="s">
        <v>1559</v>
      </c>
      <c r="B73" s="64">
        <v>12.63</v>
      </c>
      <c r="C73" s="64">
        <v>33.9</v>
      </c>
      <c r="D73" s="64">
        <v>27.38</v>
      </c>
      <c r="E73" s="64">
        <v>13.43</v>
      </c>
      <c r="F73" s="64">
        <v>5.1100000000000003</v>
      </c>
      <c r="G73" s="64">
        <v>46.9</v>
      </c>
      <c r="H73" s="64">
        <v>18.190000000000001</v>
      </c>
      <c r="I73" s="64">
        <v>0.1</v>
      </c>
      <c r="J73" s="64">
        <v>1.59</v>
      </c>
      <c r="K73" s="64">
        <v>337.01</v>
      </c>
      <c r="L73" s="64">
        <v>23.7</v>
      </c>
      <c r="M73" s="64">
        <v>31.52</v>
      </c>
      <c r="N73" s="64">
        <v>62.1</v>
      </c>
      <c r="O73" s="64">
        <v>0</v>
      </c>
      <c r="P73" s="64">
        <v>1.2</v>
      </c>
      <c r="Q73" s="64">
        <v>9.64</v>
      </c>
      <c r="R73" s="198"/>
      <c r="S73" s="198"/>
      <c r="T73" s="198"/>
      <c r="U73" s="198"/>
    </row>
    <row r="74" spans="1:21" s="12" customFormat="1" x14ac:dyDescent="0.25">
      <c r="A74" s="214" t="s">
        <v>1560</v>
      </c>
      <c r="B74" s="64">
        <v>14.14</v>
      </c>
      <c r="C74" s="64">
        <v>34.99</v>
      </c>
      <c r="D74" s="64">
        <v>29.16</v>
      </c>
      <c r="E74" s="64">
        <v>13.82</v>
      </c>
      <c r="F74" s="64">
        <v>5.67</v>
      </c>
      <c r="G74" s="64">
        <v>46.9</v>
      </c>
      <c r="H74" s="64">
        <v>18.190000000000001</v>
      </c>
      <c r="I74" s="64">
        <v>0.1</v>
      </c>
      <c r="J74" s="64">
        <v>1.47</v>
      </c>
      <c r="K74" s="64">
        <v>346.22</v>
      </c>
      <c r="L74" s="64">
        <v>23.25</v>
      </c>
      <c r="M74" s="64">
        <v>33.159999999999997</v>
      </c>
      <c r="N74" s="64">
        <v>55.1</v>
      </c>
      <c r="O74" s="64">
        <v>0</v>
      </c>
      <c r="P74" s="64">
        <v>1.2</v>
      </c>
      <c r="Q74" s="64">
        <v>9.64</v>
      </c>
      <c r="R74" s="198"/>
      <c r="S74" s="198"/>
      <c r="T74" s="198"/>
      <c r="U74" s="198"/>
    </row>
    <row r="75" spans="1:21" s="12" customFormat="1" x14ac:dyDescent="0.25">
      <c r="A75" s="214" t="s">
        <v>1561</v>
      </c>
      <c r="B75" s="64">
        <v>13.87</v>
      </c>
      <c r="C75" s="64">
        <v>34.4</v>
      </c>
      <c r="D75" s="64">
        <v>28.63</v>
      </c>
      <c r="E75" s="64">
        <v>7.65</v>
      </c>
      <c r="F75" s="64">
        <v>3.07</v>
      </c>
      <c r="G75" s="64">
        <v>46.9</v>
      </c>
      <c r="H75" s="64">
        <v>18.190000000000001</v>
      </c>
      <c r="I75" s="64">
        <v>0.1</v>
      </c>
      <c r="J75" s="64">
        <v>1.38</v>
      </c>
      <c r="K75" s="64">
        <v>346.76</v>
      </c>
      <c r="L75" s="64">
        <v>22.73</v>
      </c>
      <c r="M75" s="64">
        <v>34.700000000000003</v>
      </c>
      <c r="N75" s="64">
        <v>48.4</v>
      </c>
      <c r="O75" s="64">
        <v>0</v>
      </c>
      <c r="P75" s="64">
        <v>1.19</v>
      </c>
      <c r="Q75" s="64">
        <v>9.66</v>
      </c>
      <c r="R75" s="198"/>
      <c r="S75" s="198"/>
      <c r="T75" s="198"/>
      <c r="U75" s="198"/>
    </row>
    <row r="76" spans="1:21" s="12" customFormat="1" x14ac:dyDescent="0.25">
      <c r="A76" s="214" t="s">
        <v>1562</v>
      </c>
      <c r="B76" s="64">
        <v>12.89</v>
      </c>
      <c r="C76" s="64">
        <v>36.93</v>
      </c>
      <c r="D76" s="64">
        <v>29.17</v>
      </c>
      <c r="E76" s="64">
        <v>13.47</v>
      </c>
      <c r="F76" s="64">
        <v>6.86</v>
      </c>
      <c r="G76" s="64">
        <v>48.09</v>
      </c>
      <c r="H76" s="64">
        <v>17.89</v>
      </c>
      <c r="I76" s="64">
        <v>0.1</v>
      </c>
      <c r="J76" s="64">
        <v>1.17</v>
      </c>
      <c r="K76" s="64">
        <v>348.28</v>
      </c>
      <c r="L76" s="64">
        <v>22.1</v>
      </c>
      <c r="M76" s="64">
        <v>37.47</v>
      </c>
      <c r="N76" s="64">
        <v>41.8</v>
      </c>
      <c r="O76" s="64">
        <v>0</v>
      </c>
      <c r="P76" s="64">
        <v>1.18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4" t="s">
        <v>1563</v>
      </c>
      <c r="B77" s="64">
        <v>18.84</v>
      </c>
      <c r="C77" s="64">
        <v>36.729999999999997</v>
      </c>
      <c r="D77" s="64">
        <v>33.840000000000003</v>
      </c>
      <c r="E77" s="64">
        <v>10.34</v>
      </c>
      <c r="F77" s="64">
        <v>3.97</v>
      </c>
      <c r="G77" s="64">
        <v>52.87</v>
      </c>
      <c r="H77" s="64">
        <v>16.989999999999998</v>
      </c>
      <c r="I77" s="64">
        <v>0.1</v>
      </c>
      <c r="J77" s="64">
        <v>0.87</v>
      </c>
      <c r="K77" s="64">
        <v>6.97</v>
      </c>
      <c r="L77" s="64">
        <v>21.29</v>
      </c>
      <c r="M77" s="64">
        <v>40.44</v>
      </c>
      <c r="N77" s="64">
        <v>36.9</v>
      </c>
      <c r="O77" s="64">
        <v>0</v>
      </c>
      <c r="P77" s="64">
        <v>1.25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4" t="s">
        <v>1564</v>
      </c>
      <c r="B78" s="64">
        <v>14.35</v>
      </c>
      <c r="C78" s="64">
        <v>36.83</v>
      </c>
      <c r="D78" s="64">
        <v>30.29</v>
      </c>
      <c r="E78" s="64">
        <v>8.17</v>
      </c>
      <c r="F78" s="64">
        <v>4.08</v>
      </c>
      <c r="G78" s="64">
        <v>52.87</v>
      </c>
      <c r="H78" s="64">
        <v>16.989999999999998</v>
      </c>
      <c r="I78" s="64">
        <v>0.1</v>
      </c>
      <c r="J78" s="64">
        <v>0.74</v>
      </c>
      <c r="K78" s="64">
        <v>21.4</v>
      </c>
      <c r="L78" s="64">
        <v>20.62</v>
      </c>
      <c r="M78" s="64">
        <v>42.77</v>
      </c>
      <c r="N78" s="64">
        <v>34.4</v>
      </c>
      <c r="O78" s="64">
        <v>0</v>
      </c>
      <c r="P78" s="64">
        <v>1.21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4" t="s">
        <v>1565</v>
      </c>
      <c r="B79" s="64">
        <v>15.1</v>
      </c>
      <c r="C79" s="64">
        <v>38.24</v>
      </c>
      <c r="D79" s="64">
        <v>31.63</v>
      </c>
      <c r="E79" s="64">
        <v>7.84</v>
      </c>
      <c r="F79" s="64">
        <v>3.72</v>
      </c>
      <c r="G79" s="64">
        <v>52.87</v>
      </c>
      <c r="H79" s="64">
        <v>16.989999999999998</v>
      </c>
      <c r="I79" s="64">
        <v>0.1</v>
      </c>
      <c r="J79" s="64">
        <v>0.76</v>
      </c>
      <c r="K79" s="64">
        <v>8.59</v>
      </c>
      <c r="L79" s="64">
        <v>20.100000000000001</v>
      </c>
      <c r="M79" s="64">
        <v>45.28</v>
      </c>
      <c r="N79" s="64">
        <v>33.700000000000003</v>
      </c>
      <c r="O79" s="64">
        <v>0</v>
      </c>
      <c r="P79" s="64">
        <v>1.26</v>
      </c>
      <c r="Q79" s="64">
        <v>9.64</v>
      </c>
      <c r="R79" s="198"/>
      <c r="S79" s="198"/>
      <c r="T79" s="198"/>
      <c r="U79" s="198"/>
    </row>
    <row r="80" spans="1:21" s="12" customFormat="1" x14ac:dyDescent="0.25">
      <c r="A80" s="214" t="s">
        <v>1566</v>
      </c>
      <c r="B80" s="64">
        <v>18.25</v>
      </c>
      <c r="C80" s="64">
        <v>35.619999999999997</v>
      </c>
      <c r="D80" s="64">
        <v>32.79</v>
      </c>
      <c r="E80" s="64">
        <v>7.82</v>
      </c>
      <c r="F80" s="64">
        <v>3.61</v>
      </c>
      <c r="G80" s="64">
        <v>56.07</v>
      </c>
      <c r="H80" s="64">
        <v>18.420000000000002</v>
      </c>
      <c r="I80" s="64">
        <v>0.1</v>
      </c>
      <c r="J80" s="64">
        <v>0.82</v>
      </c>
      <c r="K80" s="64">
        <v>40.28</v>
      </c>
      <c r="L80" s="64">
        <v>19.54</v>
      </c>
      <c r="M80" s="64">
        <v>49.38</v>
      </c>
      <c r="N80" s="64">
        <v>33.6</v>
      </c>
      <c r="O80" s="64">
        <v>0</v>
      </c>
      <c r="P80" s="64">
        <v>1.35</v>
      </c>
      <c r="Q80" s="64">
        <v>9.66</v>
      </c>
      <c r="R80" s="198"/>
      <c r="S80" s="198"/>
      <c r="T80" s="198"/>
      <c r="U80" s="198"/>
    </row>
    <row r="81" spans="1:26" s="12" customFormat="1" x14ac:dyDescent="0.25">
      <c r="A81" s="214" t="s">
        <v>1567</v>
      </c>
      <c r="B81" s="64">
        <v>17.66</v>
      </c>
      <c r="C81" s="64">
        <v>34.78</v>
      </c>
      <c r="D81" s="64">
        <v>31.87</v>
      </c>
      <c r="E81" s="64">
        <v>7.72</v>
      </c>
      <c r="F81" s="64">
        <v>3.1</v>
      </c>
      <c r="G81" s="64">
        <v>68.849999999999994</v>
      </c>
      <c r="H81" s="64">
        <v>24.95</v>
      </c>
      <c r="I81" s="64">
        <v>0.1</v>
      </c>
      <c r="J81" s="64">
        <v>0.72</v>
      </c>
      <c r="K81" s="64">
        <v>63.87</v>
      </c>
      <c r="L81" s="64">
        <v>19.45</v>
      </c>
      <c r="M81" s="64">
        <v>46.78</v>
      </c>
      <c r="N81" s="64">
        <v>33.299999999999997</v>
      </c>
      <c r="O81" s="64">
        <v>0</v>
      </c>
      <c r="P81" s="64">
        <v>1.36</v>
      </c>
      <c r="Q81" s="64">
        <v>9.66</v>
      </c>
      <c r="R81" s="198"/>
      <c r="S81" s="198"/>
      <c r="T81" s="198"/>
      <c r="U81" s="198"/>
    </row>
    <row r="82" spans="1:26" s="12" customFormat="1" x14ac:dyDescent="0.25">
      <c r="A82" s="214" t="s">
        <v>1568</v>
      </c>
      <c r="B82" s="64">
        <v>17.16</v>
      </c>
      <c r="C82" s="64">
        <v>33.74</v>
      </c>
      <c r="D82" s="64">
        <v>30.93</v>
      </c>
      <c r="E82" s="64">
        <v>7.93</v>
      </c>
      <c r="F82" s="64">
        <v>3.55</v>
      </c>
      <c r="G82" s="64">
        <v>68.849999999999994</v>
      </c>
      <c r="H82" s="64">
        <v>24.95</v>
      </c>
      <c r="I82" s="64">
        <v>0.1</v>
      </c>
      <c r="J82" s="64">
        <v>0.79</v>
      </c>
      <c r="K82" s="64">
        <v>92.71</v>
      </c>
      <c r="L82" s="64">
        <v>19.149999999999999</v>
      </c>
      <c r="M82" s="64">
        <v>46.75</v>
      </c>
      <c r="N82" s="64">
        <v>33.5</v>
      </c>
      <c r="O82" s="64">
        <v>0</v>
      </c>
      <c r="P82" s="64">
        <v>1.39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4" t="s">
        <v>1569</v>
      </c>
      <c r="B83" s="64">
        <v>17.09</v>
      </c>
      <c r="C83" s="64">
        <v>32.93</v>
      </c>
      <c r="D83" s="64">
        <v>30.45</v>
      </c>
      <c r="E83" s="64">
        <v>6.75</v>
      </c>
      <c r="F83" s="64">
        <v>3.01</v>
      </c>
      <c r="G83" s="64">
        <v>68.849999999999994</v>
      </c>
      <c r="H83" s="64">
        <v>24.95</v>
      </c>
      <c r="I83" s="64">
        <v>0.1</v>
      </c>
      <c r="J83" s="64">
        <v>0.78</v>
      </c>
      <c r="K83" s="64">
        <v>64.349999999999994</v>
      </c>
      <c r="L83" s="64">
        <v>18.97</v>
      </c>
      <c r="M83" s="64">
        <v>48.64</v>
      </c>
      <c r="N83" s="64">
        <v>33.5</v>
      </c>
      <c r="O83" s="64">
        <v>0</v>
      </c>
      <c r="P83" s="64">
        <v>1.39</v>
      </c>
      <c r="Q83" s="64">
        <v>9.65</v>
      </c>
      <c r="R83" s="198"/>
      <c r="S83" s="198"/>
      <c r="T83" s="198"/>
      <c r="U83" s="198"/>
    </row>
    <row r="84" spans="1:26" s="12" customFormat="1" x14ac:dyDescent="0.25">
      <c r="A84" s="214" t="s">
        <v>1570</v>
      </c>
      <c r="B84" s="64">
        <v>17.010000000000002</v>
      </c>
      <c r="C84" s="64">
        <v>32.54</v>
      </c>
      <c r="D84" s="64">
        <v>30.18</v>
      </c>
      <c r="E84" s="64">
        <v>6.9</v>
      </c>
      <c r="F84" s="64">
        <v>2.81</v>
      </c>
      <c r="G84" s="64">
        <v>71.69</v>
      </c>
      <c r="H84" s="64">
        <v>26.29</v>
      </c>
      <c r="I84" s="64">
        <v>0.1</v>
      </c>
      <c r="J84" s="64">
        <v>0.72</v>
      </c>
      <c r="K84" s="64">
        <v>99.38</v>
      </c>
      <c r="L84" s="64">
        <v>18.309999999999999</v>
      </c>
      <c r="M84" s="64">
        <v>53.92</v>
      </c>
      <c r="N84" s="64">
        <v>33.4</v>
      </c>
      <c r="O84" s="64">
        <v>0</v>
      </c>
      <c r="P84" s="64">
        <v>1.42</v>
      </c>
      <c r="Q84" s="64">
        <v>9.66</v>
      </c>
      <c r="R84" s="198"/>
      <c r="S84" s="198"/>
      <c r="T84" s="198"/>
      <c r="U84" s="198"/>
    </row>
    <row r="85" spans="1:26" s="12" customFormat="1" x14ac:dyDescent="0.25">
      <c r="A85" s="214" t="s">
        <v>1571</v>
      </c>
      <c r="B85" s="64">
        <v>18.13</v>
      </c>
      <c r="C85" s="64">
        <v>32.69</v>
      </c>
      <c r="D85" s="64">
        <v>31.15</v>
      </c>
      <c r="E85" s="64">
        <v>7.22</v>
      </c>
      <c r="F85" s="64">
        <v>2.69</v>
      </c>
      <c r="G85" s="64">
        <v>83.09</v>
      </c>
      <c r="H85" s="64">
        <v>30.03</v>
      </c>
      <c r="I85" s="64">
        <v>0.1</v>
      </c>
      <c r="J85" s="64">
        <v>0.21</v>
      </c>
      <c r="K85" s="64">
        <v>321.68</v>
      </c>
      <c r="L85" s="64">
        <v>17.96</v>
      </c>
      <c r="M85" s="64">
        <v>61.69</v>
      </c>
      <c r="N85" s="64">
        <v>33.299999999999997</v>
      </c>
      <c r="O85" s="64">
        <v>0</v>
      </c>
      <c r="P85" s="64">
        <v>1.46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4" t="s">
        <v>1572</v>
      </c>
      <c r="B86" s="64">
        <v>18.82</v>
      </c>
      <c r="C86" s="64">
        <v>32.229999999999997</v>
      </c>
      <c r="D86" s="64">
        <v>31.47</v>
      </c>
      <c r="E86" s="64">
        <v>6.84</v>
      </c>
      <c r="F86" s="64">
        <v>2.62</v>
      </c>
      <c r="G86" s="64">
        <v>83.09</v>
      </c>
      <c r="H86" s="64">
        <v>30.03</v>
      </c>
      <c r="I86" s="64">
        <v>0.1</v>
      </c>
      <c r="J86" s="64">
        <v>0.6</v>
      </c>
      <c r="K86" s="64">
        <v>80.319999999999993</v>
      </c>
      <c r="L86" s="64">
        <v>17.920000000000002</v>
      </c>
      <c r="M86" s="64">
        <v>56.62</v>
      </c>
      <c r="N86" s="64">
        <v>33.1</v>
      </c>
      <c r="O86" s="64">
        <v>0</v>
      </c>
      <c r="P86" s="64">
        <v>1.59</v>
      </c>
      <c r="Q86" s="64">
        <v>9.65</v>
      </c>
      <c r="R86" s="198"/>
      <c r="S86" s="198"/>
      <c r="T86" s="198"/>
      <c r="U86" s="198"/>
    </row>
    <row r="87" spans="1:26" s="12" customFormat="1" x14ac:dyDescent="0.25">
      <c r="A87" s="214" t="s">
        <v>1573</v>
      </c>
      <c r="B87" s="64">
        <v>18.61</v>
      </c>
      <c r="C87" s="64">
        <v>31.58</v>
      </c>
      <c r="D87" s="64">
        <v>30.96</v>
      </c>
      <c r="E87" s="64">
        <v>6.67</v>
      </c>
      <c r="F87" s="64">
        <v>3.05</v>
      </c>
      <c r="G87" s="64">
        <v>83.09</v>
      </c>
      <c r="H87" s="64">
        <v>30.03</v>
      </c>
      <c r="I87" s="64">
        <v>0.1</v>
      </c>
      <c r="J87" s="64">
        <v>0.37</v>
      </c>
      <c r="K87" s="64">
        <v>292.29000000000002</v>
      </c>
      <c r="L87" s="64">
        <v>18.059999999999999</v>
      </c>
      <c r="M87" s="64">
        <v>57.96</v>
      </c>
      <c r="N87" s="64">
        <v>33.200000000000003</v>
      </c>
      <c r="O87" s="64">
        <v>0</v>
      </c>
      <c r="P87" s="64">
        <v>1.62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4" t="s">
        <v>1574</v>
      </c>
      <c r="B88" s="64">
        <v>19.96</v>
      </c>
      <c r="C88" s="64">
        <v>30.42</v>
      </c>
      <c r="D88" s="64">
        <v>31.44</v>
      </c>
      <c r="E88" s="64">
        <v>6.72</v>
      </c>
      <c r="F88" s="64">
        <v>2.4900000000000002</v>
      </c>
      <c r="G88" s="64">
        <v>84.68</v>
      </c>
      <c r="H88" s="64">
        <v>30.82</v>
      </c>
      <c r="I88" s="64">
        <v>0.1</v>
      </c>
      <c r="J88" s="64">
        <v>0.45</v>
      </c>
      <c r="K88" s="64">
        <v>303.95</v>
      </c>
      <c r="L88" s="64">
        <v>17.55</v>
      </c>
      <c r="M88" s="64">
        <v>62.93</v>
      </c>
      <c r="N88" s="64">
        <v>33.4</v>
      </c>
      <c r="O88" s="64">
        <v>0</v>
      </c>
      <c r="P88" s="64">
        <v>1.68</v>
      </c>
      <c r="Q88" s="64">
        <v>9.66</v>
      </c>
      <c r="R88" s="198"/>
      <c r="S88" s="198"/>
      <c r="T88" s="198"/>
      <c r="U88" s="198"/>
    </row>
    <row r="89" spans="1:26" s="12" customFormat="1" x14ac:dyDescent="0.25">
      <c r="A89" s="214" t="s">
        <v>1575</v>
      </c>
      <c r="B89" s="64">
        <v>22.59</v>
      </c>
      <c r="C89" s="64">
        <v>28.88</v>
      </c>
      <c r="D89" s="64">
        <v>32.74</v>
      </c>
      <c r="E89" s="64">
        <v>6.7</v>
      </c>
      <c r="F89" s="64">
        <v>2.52</v>
      </c>
      <c r="G89" s="64">
        <v>91.05</v>
      </c>
      <c r="H89" s="64">
        <v>33.15</v>
      </c>
      <c r="I89" s="64">
        <v>0.1</v>
      </c>
      <c r="J89" s="64">
        <v>0.62</v>
      </c>
      <c r="K89" s="64">
        <v>286.27</v>
      </c>
      <c r="L89" s="64">
        <v>17.12</v>
      </c>
      <c r="M89" s="64">
        <v>65.239999999999995</v>
      </c>
      <c r="N89" s="64">
        <v>33.299999999999997</v>
      </c>
      <c r="O89" s="64">
        <v>0</v>
      </c>
      <c r="P89" s="64">
        <v>1.82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14" t="s">
        <v>1576</v>
      </c>
      <c r="B90" s="64">
        <v>24.28</v>
      </c>
      <c r="C90" s="64">
        <v>27.99</v>
      </c>
      <c r="D90" s="64">
        <v>33.64</v>
      </c>
      <c r="E90" s="64">
        <v>6.45</v>
      </c>
      <c r="F90" s="64">
        <v>2.8</v>
      </c>
      <c r="G90" s="64">
        <v>91.05</v>
      </c>
      <c r="H90" s="64">
        <v>33.15</v>
      </c>
      <c r="I90" s="64">
        <v>0.1</v>
      </c>
      <c r="J90" s="64">
        <v>0.66</v>
      </c>
      <c r="K90" s="64">
        <v>304.27999999999997</v>
      </c>
      <c r="L90" s="64">
        <v>16.89</v>
      </c>
      <c r="M90" s="64">
        <v>68.55</v>
      </c>
      <c r="N90" s="64">
        <v>33.200000000000003</v>
      </c>
      <c r="O90" s="64">
        <v>0</v>
      </c>
      <c r="P90" s="64">
        <v>1.93</v>
      </c>
      <c r="Q90" s="64">
        <v>9.67</v>
      </c>
      <c r="R90" s="198"/>
      <c r="S90" s="198"/>
      <c r="T90" s="198"/>
      <c r="U90" s="198"/>
    </row>
    <row r="91" spans="1:26" s="12" customFormat="1" x14ac:dyDescent="0.25">
      <c r="A91" s="214" t="s">
        <v>1577</v>
      </c>
      <c r="B91" s="64">
        <v>27.41</v>
      </c>
      <c r="C91" s="64">
        <v>26.39</v>
      </c>
      <c r="D91" s="64">
        <v>35.31</v>
      </c>
      <c r="E91" s="64">
        <v>6.85</v>
      </c>
      <c r="F91" s="64">
        <v>2.94</v>
      </c>
      <c r="G91" s="64">
        <v>91.05</v>
      </c>
      <c r="H91" s="64">
        <v>33.15</v>
      </c>
      <c r="I91" s="64">
        <v>0.1</v>
      </c>
      <c r="J91" s="64">
        <v>0.82</v>
      </c>
      <c r="K91" s="64">
        <v>348.55</v>
      </c>
      <c r="L91" s="64">
        <v>16.53</v>
      </c>
      <c r="M91" s="64">
        <v>73.260000000000005</v>
      </c>
      <c r="N91" s="64">
        <v>33.5</v>
      </c>
      <c r="O91" s="64">
        <v>0</v>
      </c>
      <c r="P91" s="64">
        <v>2.02</v>
      </c>
      <c r="Q91" s="64">
        <v>9.67</v>
      </c>
      <c r="R91" s="198"/>
      <c r="S91" s="198"/>
      <c r="T91" s="198"/>
      <c r="U91" s="198"/>
    </row>
    <row r="92" spans="1:26" s="12" customFormat="1" x14ac:dyDescent="0.25">
      <c r="A92" s="214" t="s">
        <v>1578</v>
      </c>
      <c r="B92" s="64">
        <v>31.6</v>
      </c>
      <c r="C92" s="64">
        <v>24.34</v>
      </c>
      <c r="D92" s="64">
        <v>37.6</v>
      </c>
      <c r="E92" s="64">
        <v>6.56</v>
      </c>
      <c r="F92" s="64">
        <v>3.08</v>
      </c>
      <c r="G92" s="64">
        <v>94.62</v>
      </c>
      <c r="H92" s="64">
        <v>34.299999999999997</v>
      </c>
      <c r="I92" s="64">
        <v>0.1</v>
      </c>
      <c r="J92" s="64">
        <v>0.77</v>
      </c>
      <c r="K92" s="64">
        <v>311.08999999999997</v>
      </c>
      <c r="L92" s="64">
        <v>16.309999999999999</v>
      </c>
      <c r="M92" s="64">
        <v>74.87</v>
      </c>
      <c r="N92" s="64">
        <v>33.299999999999997</v>
      </c>
      <c r="O92" s="64">
        <v>0</v>
      </c>
      <c r="P92" s="64">
        <v>2.13</v>
      </c>
      <c r="Q92" s="64">
        <v>9.68</v>
      </c>
      <c r="R92" s="198"/>
      <c r="S92" s="198"/>
      <c r="T92" s="198"/>
      <c r="U92" s="198"/>
    </row>
    <row r="93" spans="1:26" s="12" customFormat="1" x14ac:dyDescent="0.25">
      <c r="A93" s="214" t="s">
        <v>1579</v>
      </c>
      <c r="B93" s="64">
        <v>35.659999999999997</v>
      </c>
      <c r="C93" s="64">
        <v>22.78</v>
      </c>
      <c r="D93" s="64">
        <v>40.03</v>
      </c>
      <c r="E93" s="64">
        <v>6.89</v>
      </c>
      <c r="F93" s="64">
        <v>2.7</v>
      </c>
      <c r="G93" s="64">
        <v>108.93</v>
      </c>
      <c r="H93" s="64">
        <v>37.71</v>
      </c>
      <c r="I93" s="64">
        <v>0.1</v>
      </c>
      <c r="J93" s="64">
        <v>0.82</v>
      </c>
      <c r="K93" s="64">
        <v>346.32</v>
      </c>
      <c r="L93" s="64">
        <v>16.16</v>
      </c>
      <c r="M93" s="64">
        <v>75.319999999999993</v>
      </c>
      <c r="N93" s="64">
        <v>33.299999999999997</v>
      </c>
      <c r="O93" s="64">
        <v>0</v>
      </c>
      <c r="P93" s="64">
        <v>2.2200000000000002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4" t="s">
        <v>1580</v>
      </c>
      <c r="B94" s="64">
        <v>39.75</v>
      </c>
      <c r="C94" s="64">
        <v>20.65</v>
      </c>
      <c r="D94" s="64">
        <v>42.21</v>
      </c>
      <c r="E94" s="64">
        <v>6.84</v>
      </c>
      <c r="F94" s="64">
        <v>3.13</v>
      </c>
      <c r="G94" s="64">
        <v>108.93</v>
      </c>
      <c r="H94" s="64">
        <v>37.71</v>
      </c>
      <c r="I94" s="64">
        <v>0.1</v>
      </c>
      <c r="J94" s="64">
        <v>0.4</v>
      </c>
      <c r="K94" s="64">
        <v>27.27</v>
      </c>
      <c r="L94" s="64">
        <v>15.9</v>
      </c>
      <c r="M94" s="64">
        <v>77.92</v>
      </c>
      <c r="N94" s="64">
        <v>33.299999999999997</v>
      </c>
      <c r="O94" s="64">
        <v>0</v>
      </c>
      <c r="P94" s="64">
        <v>2.3199999999999998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14" t="s">
        <v>1581</v>
      </c>
      <c r="B95" s="64">
        <v>44.46</v>
      </c>
      <c r="C95" s="64">
        <v>17.72</v>
      </c>
      <c r="D95" s="64">
        <v>44.45</v>
      </c>
      <c r="E95" s="64">
        <v>6.76</v>
      </c>
      <c r="F95" s="64">
        <v>3.14</v>
      </c>
      <c r="G95" s="64">
        <v>108.93</v>
      </c>
      <c r="H95" s="64">
        <v>37.71</v>
      </c>
      <c r="I95" s="64">
        <v>0.1</v>
      </c>
      <c r="J95" s="64">
        <v>0.23</v>
      </c>
      <c r="K95" s="64">
        <v>319.39</v>
      </c>
      <c r="L95" s="64">
        <v>15.75</v>
      </c>
      <c r="M95" s="64">
        <v>77.91</v>
      </c>
      <c r="N95" s="64">
        <v>33.200000000000003</v>
      </c>
      <c r="O95" s="64">
        <v>0</v>
      </c>
      <c r="P95" s="64">
        <v>2.42</v>
      </c>
      <c r="Q95" s="64">
        <v>9.6999999999999993</v>
      </c>
      <c r="R95" s="198"/>
      <c r="S95" s="198"/>
      <c r="T95" s="198"/>
      <c r="U95" s="198"/>
    </row>
    <row r="96" spans="1:26" s="12" customFormat="1" x14ac:dyDescent="0.25">
      <c r="A96" s="214" t="s">
        <v>1582</v>
      </c>
      <c r="B96" s="64">
        <v>48.71</v>
      </c>
      <c r="C96" s="64">
        <v>15.23</v>
      </c>
      <c r="D96" s="64">
        <v>46.55</v>
      </c>
      <c r="E96" s="64">
        <v>7.18</v>
      </c>
      <c r="F96" s="64">
        <v>2.92</v>
      </c>
      <c r="G96" s="64">
        <v>110.34</v>
      </c>
      <c r="H96" s="64">
        <v>38.04</v>
      </c>
      <c r="I96" s="64">
        <v>0.1</v>
      </c>
      <c r="J96" s="64">
        <v>0.79</v>
      </c>
      <c r="K96" s="64">
        <v>263.08</v>
      </c>
      <c r="L96" s="64">
        <v>15.71</v>
      </c>
      <c r="M96" s="64">
        <v>75.66</v>
      </c>
      <c r="N96" s="64">
        <v>33.299999999999997</v>
      </c>
      <c r="O96" s="64">
        <v>0</v>
      </c>
      <c r="P96" s="64">
        <v>2.46</v>
      </c>
      <c r="Q96" s="64">
        <v>9.7200000000000006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1583</v>
      </c>
      <c r="B97" s="64">
        <v>50.59</v>
      </c>
      <c r="C97" s="64">
        <v>13.63</v>
      </c>
      <c r="D97" s="64">
        <v>47.23</v>
      </c>
      <c r="E97" s="64">
        <v>7.32</v>
      </c>
      <c r="F97" s="64">
        <v>3.04</v>
      </c>
      <c r="G97" s="64">
        <v>115.99</v>
      </c>
      <c r="H97" s="64">
        <v>39.54</v>
      </c>
      <c r="I97" s="64">
        <v>0.1</v>
      </c>
      <c r="J97" s="64">
        <v>0.18</v>
      </c>
      <c r="K97" s="64">
        <v>279.43</v>
      </c>
      <c r="L97" s="64">
        <v>15.62</v>
      </c>
      <c r="M97" s="64">
        <v>75.569999999999993</v>
      </c>
      <c r="N97" s="64">
        <v>33.4</v>
      </c>
      <c r="O97" s="64">
        <v>0</v>
      </c>
      <c r="P97" s="64">
        <v>2.4700000000000002</v>
      </c>
      <c r="Q97" s="64">
        <v>9.73</v>
      </c>
      <c r="R97" s="198"/>
      <c r="S97" s="198"/>
      <c r="T97" s="198"/>
      <c r="U97" s="198"/>
    </row>
    <row r="98" spans="1:33" s="12" customFormat="1" x14ac:dyDescent="0.25">
      <c r="A98" s="214" t="s">
        <v>1584</v>
      </c>
      <c r="B98" s="64">
        <v>52.1</v>
      </c>
      <c r="C98" s="64">
        <v>12.67</v>
      </c>
      <c r="D98" s="64">
        <v>47.94</v>
      </c>
      <c r="E98" s="64">
        <v>7.31</v>
      </c>
      <c r="F98" s="64">
        <v>3.25</v>
      </c>
      <c r="G98" s="64">
        <v>115.99</v>
      </c>
      <c r="H98" s="64">
        <v>39.54</v>
      </c>
      <c r="I98" s="64">
        <v>0.1</v>
      </c>
      <c r="J98" s="64">
        <v>0.11</v>
      </c>
      <c r="K98" s="64">
        <v>15.61</v>
      </c>
      <c r="L98" s="64">
        <v>15.4</v>
      </c>
      <c r="M98" s="64">
        <v>78.92</v>
      </c>
      <c r="N98" s="64">
        <v>33.299999999999997</v>
      </c>
      <c r="O98" s="64">
        <v>0</v>
      </c>
      <c r="P98" s="64">
        <v>2.46</v>
      </c>
      <c r="Q98" s="64">
        <v>9.7200000000000006</v>
      </c>
      <c r="R98" s="198"/>
      <c r="S98" s="198"/>
      <c r="T98" s="198"/>
      <c r="U98" s="198"/>
    </row>
    <row r="99" spans="1:33" s="12" customFormat="1" x14ac:dyDescent="0.25">
      <c r="A99" s="214" t="s">
        <v>1585</v>
      </c>
      <c r="B99" s="64">
        <v>54.59</v>
      </c>
      <c r="C99" s="64">
        <v>11.57</v>
      </c>
      <c r="D99" s="64">
        <v>49.36</v>
      </c>
      <c r="E99" s="64">
        <v>6.99</v>
      </c>
      <c r="F99" s="64">
        <v>3.25</v>
      </c>
      <c r="G99" s="64">
        <v>115.99</v>
      </c>
      <c r="H99" s="64">
        <v>39.54</v>
      </c>
      <c r="I99" s="64">
        <v>0.1</v>
      </c>
      <c r="J99" s="64">
        <v>0.77</v>
      </c>
      <c r="K99" s="64">
        <v>313.7</v>
      </c>
      <c r="L99" s="64">
        <v>15.12</v>
      </c>
      <c r="M99" s="64">
        <v>83.54</v>
      </c>
      <c r="N99" s="64">
        <v>33.299999999999997</v>
      </c>
      <c r="O99" s="64">
        <v>0</v>
      </c>
      <c r="P99" s="64">
        <v>2.48</v>
      </c>
      <c r="Q99" s="64">
        <v>9.7100000000000009</v>
      </c>
      <c r="R99" s="198"/>
      <c r="S99" s="198"/>
      <c r="T99" s="198"/>
      <c r="U99" s="198"/>
    </row>
    <row r="100" spans="1:33" s="12" customFormat="1" x14ac:dyDescent="0.25">
      <c r="A100" s="214" t="s">
        <v>1586</v>
      </c>
      <c r="B100" s="64">
        <v>58.48</v>
      </c>
      <c r="C100" s="64">
        <v>9.7799999999999994</v>
      </c>
      <c r="D100" s="64">
        <v>51.55</v>
      </c>
      <c r="E100" s="64">
        <v>7.3</v>
      </c>
      <c r="F100" s="64">
        <v>3.19</v>
      </c>
      <c r="G100" s="64">
        <v>115.67</v>
      </c>
      <c r="H100" s="64">
        <v>39.909999999999997</v>
      </c>
      <c r="I100" s="64">
        <v>0.1</v>
      </c>
      <c r="J100" s="64">
        <v>0.79</v>
      </c>
      <c r="K100" s="64">
        <v>269.55</v>
      </c>
      <c r="L100" s="64">
        <v>14.89</v>
      </c>
      <c r="M100" s="64">
        <v>87.23</v>
      </c>
      <c r="N100" s="64">
        <v>33.5</v>
      </c>
      <c r="O100" s="64">
        <v>0</v>
      </c>
      <c r="P100" s="64">
        <v>2.52</v>
      </c>
      <c r="Q100" s="64">
        <v>9.73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1587</v>
      </c>
      <c r="B101" s="64">
        <v>63.37</v>
      </c>
      <c r="C101" s="64">
        <v>7.34</v>
      </c>
      <c r="D101" s="64">
        <v>54.19</v>
      </c>
      <c r="E101" s="64">
        <v>6.82</v>
      </c>
      <c r="F101" s="64">
        <v>2.88</v>
      </c>
      <c r="G101" s="64">
        <v>114.4</v>
      </c>
      <c r="H101" s="64">
        <v>41</v>
      </c>
      <c r="I101" s="64">
        <v>0.1</v>
      </c>
      <c r="J101" s="64">
        <v>0.4</v>
      </c>
      <c r="K101" s="64">
        <v>235</v>
      </c>
      <c r="L101" s="64">
        <v>14.73</v>
      </c>
      <c r="M101" s="64">
        <v>89.47</v>
      </c>
      <c r="N101" s="64">
        <v>33.299999999999997</v>
      </c>
      <c r="O101" s="64">
        <v>0</v>
      </c>
      <c r="P101" s="64">
        <v>2.56</v>
      </c>
      <c r="Q101" s="64">
        <v>9.74</v>
      </c>
      <c r="R101" s="198"/>
      <c r="S101" s="198"/>
      <c r="T101" s="198"/>
      <c r="U101" s="198"/>
    </row>
    <row r="102" spans="1:33" s="12" customFormat="1" x14ac:dyDescent="0.25">
      <c r="A102" s="214" t="s">
        <v>1588</v>
      </c>
      <c r="B102" s="64">
        <v>71.84</v>
      </c>
      <c r="C102" s="64">
        <v>3.05</v>
      </c>
      <c r="D102" s="64">
        <v>58.75</v>
      </c>
      <c r="E102" s="64">
        <v>7.23</v>
      </c>
      <c r="F102" s="64">
        <v>2.93</v>
      </c>
      <c r="G102" s="64">
        <v>114.4</v>
      </c>
      <c r="H102" s="64">
        <v>41</v>
      </c>
      <c r="I102" s="64">
        <v>0.1</v>
      </c>
      <c r="J102" s="64">
        <v>0.47</v>
      </c>
      <c r="K102" s="64">
        <v>102.94</v>
      </c>
      <c r="L102" s="64">
        <v>14.69</v>
      </c>
      <c r="M102" s="64">
        <v>89.25</v>
      </c>
      <c r="N102" s="64">
        <v>33.1</v>
      </c>
      <c r="O102" s="64">
        <v>0</v>
      </c>
      <c r="P102" s="64">
        <v>2.61</v>
      </c>
      <c r="Q102" s="64">
        <v>9.75</v>
      </c>
      <c r="R102" s="198"/>
      <c r="S102" s="198"/>
      <c r="T102" s="198"/>
      <c r="U102" s="198"/>
    </row>
    <row r="103" spans="1:33" s="12" customFormat="1" x14ac:dyDescent="0.25">
      <c r="A103" s="214" t="s">
        <v>1589</v>
      </c>
      <c r="B103" s="64">
        <v>77.16</v>
      </c>
      <c r="C103" s="64">
        <v>0.3</v>
      </c>
      <c r="D103" s="64">
        <v>61.55</v>
      </c>
      <c r="E103" s="64">
        <v>7.05</v>
      </c>
      <c r="F103" s="64">
        <v>3.04</v>
      </c>
      <c r="G103" s="64">
        <v>114.4</v>
      </c>
      <c r="H103" s="64">
        <v>41</v>
      </c>
      <c r="I103" s="64">
        <v>0.1</v>
      </c>
      <c r="J103" s="64">
        <v>0.3</v>
      </c>
      <c r="K103" s="64">
        <v>301.73</v>
      </c>
      <c r="L103" s="64">
        <v>15.08</v>
      </c>
      <c r="M103" s="64">
        <v>81.93</v>
      </c>
      <c r="N103" s="64">
        <v>32.9</v>
      </c>
      <c r="O103" s="64">
        <v>0</v>
      </c>
      <c r="P103" s="64">
        <v>2.63</v>
      </c>
      <c r="Q103" s="64">
        <v>9.76</v>
      </c>
      <c r="R103" s="198"/>
      <c r="S103" s="198"/>
      <c r="T103" s="198"/>
      <c r="U103" s="198"/>
    </row>
    <row r="104" spans="1:33" s="12" customFormat="1" x14ac:dyDescent="0.25">
      <c r="A104" s="214" t="s">
        <v>1590</v>
      </c>
      <c r="B104" s="64">
        <v>76.88</v>
      </c>
      <c r="C104" s="64">
        <v>0.2</v>
      </c>
      <c r="D104" s="64">
        <v>61.26</v>
      </c>
      <c r="E104" s="64">
        <v>5.72</v>
      </c>
      <c r="F104" s="64">
        <v>2.94</v>
      </c>
      <c r="G104" s="64">
        <v>113.52</v>
      </c>
      <c r="H104" s="64">
        <v>41.29</v>
      </c>
      <c r="I104" s="64">
        <v>0.1</v>
      </c>
      <c r="J104" s="64">
        <v>0.39</v>
      </c>
      <c r="K104" s="64">
        <v>338.65</v>
      </c>
      <c r="L104" s="64">
        <v>15.32</v>
      </c>
      <c r="M104" s="64">
        <v>75.66</v>
      </c>
      <c r="N104" s="64">
        <v>32.9</v>
      </c>
      <c r="O104" s="64">
        <v>0</v>
      </c>
      <c r="P104" s="64">
        <v>2.6</v>
      </c>
      <c r="Q104" s="64">
        <v>9.74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12.63</v>
      </c>
      <c r="C106" s="67">
        <f>MIN(C9:C104)</f>
        <v>0.02</v>
      </c>
      <c r="D106" s="67">
        <f t="shared" ref="D106:Q106" si="0">MIN(D9:D104)</f>
        <v>25.5</v>
      </c>
      <c r="E106" s="67">
        <f t="shared" si="0"/>
        <v>5.29</v>
      </c>
      <c r="F106" s="67">
        <f t="shared" si="0"/>
        <v>2.4900000000000002</v>
      </c>
      <c r="G106" s="67">
        <f t="shared" si="0"/>
        <v>41.54</v>
      </c>
      <c r="H106" s="67">
        <f t="shared" si="0"/>
        <v>16.989999999999998</v>
      </c>
      <c r="I106" s="67">
        <f t="shared" si="0"/>
        <v>0.1</v>
      </c>
      <c r="J106" s="67">
        <f t="shared" si="0"/>
        <v>0.09</v>
      </c>
      <c r="K106" s="67">
        <f t="shared" si="0"/>
        <v>6.09</v>
      </c>
      <c r="L106" s="67">
        <f t="shared" si="0"/>
        <v>11.39</v>
      </c>
      <c r="M106" s="67">
        <f t="shared" si="0"/>
        <v>21.85</v>
      </c>
      <c r="N106" s="67">
        <f t="shared" si="0"/>
        <v>32.299999999999997</v>
      </c>
      <c r="O106" s="67">
        <f t="shared" si="0"/>
        <v>0</v>
      </c>
      <c r="P106" s="67">
        <f t="shared" si="0"/>
        <v>1.03</v>
      </c>
      <c r="Q106" s="67">
        <f t="shared" si="0"/>
        <v>9.6300000000000008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169.53</v>
      </c>
      <c r="C107" s="66">
        <f t="shared" ref="C107:Q107" si="1">MAX(C9:C104)</f>
        <v>38.24</v>
      </c>
      <c r="D107" s="66">
        <f t="shared" si="1"/>
        <v>108.14</v>
      </c>
      <c r="E107" s="66">
        <f t="shared" si="1"/>
        <v>23.34</v>
      </c>
      <c r="F107" s="66">
        <f t="shared" si="1"/>
        <v>14.51</v>
      </c>
      <c r="G107" s="66">
        <f t="shared" si="1"/>
        <v>134.18</v>
      </c>
      <c r="H107" s="66">
        <f t="shared" si="1"/>
        <v>55.02</v>
      </c>
      <c r="I107" s="66">
        <f t="shared" si="1"/>
        <v>0.1</v>
      </c>
      <c r="J107" s="66">
        <f t="shared" si="1"/>
        <v>1.89</v>
      </c>
      <c r="K107" s="66">
        <f t="shared" si="1"/>
        <v>353.68</v>
      </c>
      <c r="L107" s="66">
        <f t="shared" si="1"/>
        <v>28.33</v>
      </c>
      <c r="M107" s="66">
        <f t="shared" si="1"/>
        <v>97.95</v>
      </c>
      <c r="N107" s="66">
        <f t="shared" si="1"/>
        <v>486.9</v>
      </c>
      <c r="O107" s="66">
        <f t="shared" si="1"/>
        <v>0</v>
      </c>
      <c r="P107" s="66">
        <f t="shared" si="1"/>
        <v>3.8</v>
      </c>
      <c r="Q107" s="66">
        <f t="shared" si="1"/>
        <v>9.93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67.851041666666688</v>
      </c>
      <c r="C108" s="67">
        <f t="shared" ref="C108:Q108" si="2">AVERAGE(C9:C104)</f>
        <v>22.468947368421052</v>
      </c>
      <c r="D108" s="67">
        <f t="shared" si="2"/>
        <v>54.737708333333323</v>
      </c>
      <c r="E108" s="67">
        <f t="shared" si="2"/>
        <v>7.6645833333333337</v>
      </c>
      <c r="F108" s="67">
        <f t="shared" si="2"/>
        <v>3.8169791666666684</v>
      </c>
      <c r="G108" s="67">
        <f t="shared" si="2"/>
        <v>82.124687500000007</v>
      </c>
      <c r="H108" s="67">
        <f t="shared" si="2"/>
        <v>32.731770833333321</v>
      </c>
      <c r="I108" s="67">
        <f t="shared" si="2"/>
        <v>9.9999999999999811E-2</v>
      </c>
      <c r="J108" s="67">
        <f t="shared" si="2"/>
        <v>0.7947916666666669</v>
      </c>
      <c r="K108" s="67">
        <f t="shared" si="2"/>
        <v>249.68916666666658</v>
      </c>
      <c r="L108" s="67">
        <f t="shared" si="2"/>
        <v>18.689895833333335</v>
      </c>
      <c r="M108" s="67">
        <f t="shared" si="2"/>
        <v>63.463854166666671</v>
      </c>
      <c r="N108" s="67">
        <f t="shared" si="2"/>
        <v>135.91979166666664</v>
      </c>
      <c r="O108" s="67">
        <f t="shared" si="2"/>
        <v>0</v>
      </c>
      <c r="P108" s="67">
        <f t="shared" si="2"/>
        <v>2.067395833333332</v>
      </c>
      <c r="Q108" s="67">
        <f t="shared" si="2"/>
        <v>9.7432291666666604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47.313555918366056</v>
      </c>
      <c r="C109" s="67">
        <f t="shared" ref="C109:Q109" si="3">STDEV(C9:C104)</f>
        <v>11.349691261409841</v>
      </c>
      <c r="D109" s="67">
        <f t="shared" si="3"/>
        <v>23.246582520953734</v>
      </c>
      <c r="E109" s="67">
        <f t="shared" si="3"/>
        <v>3.1706313223798386</v>
      </c>
      <c r="F109" s="67">
        <f t="shared" si="3"/>
        <v>1.8662775332571353</v>
      </c>
      <c r="G109" s="67">
        <f t="shared" si="3"/>
        <v>25.029215474515723</v>
      </c>
      <c r="H109" s="67">
        <f t="shared" si="3"/>
        <v>9.867147083528371</v>
      </c>
      <c r="I109" s="67">
        <f t="shared" si="3"/>
        <v>1.9530892623466312E-16</v>
      </c>
      <c r="J109" s="67">
        <f t="shared" si="3"/>
        <v>0.43651967862235108</v>
      </c>
      <c r="K109" s="67">
        <f t="shared" si="3"/>
        <v>112.11037437948747</v>
      </c>
      <c r="L109" s="67">
        <f t="shared" si="3"/>
        <v>5.4788910700484097</v>
      </c>
      <c r="M109" s="67">
        <f t="shared" si="3"/>
        <v>29.177358827469796</v>
      </c>
      <c r="N109" s="67">
        <f t="shared" si="3"/>
        <v>162.06057647149078</v>
      </c>
      <c r="O109" s="67">
        <f t="shared" si="3"/>
        <v>0</v>
      </c>
      <c r="P109" s="67">
        <f t="shared" si="3"/>
        <v>0.76667188451695367</v>
      </c>
      <c r="Q109" s="67">
        <f t="shared" si="3"/>
        <v>8.3546328675099202E-2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COUNT(C9:C104)+39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0" sqref="G110: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1591</v>
      </c>
      <c r="B9" s="64">
        <v>73.849999999999994</v>
      </c>
      <c r="C9" s="64">
        <v>1.1499999999999999</v>
      </c>
      <c r="D9" s="64">
        <v>59.36</v>
      </c>
      <c r="E9" s="64">
        <v>5.55</v>
      </c>
      <c r="F9" s="64">
        <v>2.91</v>
      </c>
      <c r="G9" s="64">
        <v>110.01</v>
      </c>
      <c r="H9" s="64">
        <v>42.07</v>
      </c>
      <c r="I9" s="64">
        <v>0.1</v>
      </c>
      <c r="J9" s="64">
        <v>0.18</v>
      </c>
      <c r="K9" s="64">
        <v>10.99</v>
      </c>
      <c r="L9" s="64">
        <v>15.55</v>
      </c>
      <c r="M9" s="64">
        <v>71.22</v>
      </c>
      <c r="N9" s="64">
        <v>33</v>
      </c>
      <c r="O9" s="64">
        <v>0</v>
      </c>
      <c r="P9" s="64">
        <v>2.58</v>
      </c>
      <c r="Q9" s="64">
        <v>9.77</v>
      </c>
      <c r="R9" s="198"/>
      <c r="S9" s="198"/>
      <c r="T9" s="198"/>
      <c r="U9" s="198"/>
    </row>
    <row r="10" spans="1:21" s="12" customFormat="1" x14ac:dyDescent="0.25">
      <c r="A10" s="214" t="s">
        <v>1592</v>
      </c>
      <c r="B10" s="64">
        <v>70.37</v>
      </c>
      <c r="C10" s="64">
        <v>2.17</v>
      </c>
      <c r="D10" s="64">
        <v>57.11</v>
      </c>
      <c r="E10" s="64">
        <v>5.4</v>
      </c>
      <c r="F10" s="64">
        <v>2.88</v>
      </c>
      <c r="G10" s="64">
        <v>110.01</v>
      </c>
      <c r="H10" s="64">
        <v>42.07</v>
      </c>
      <c r="I10" s="64">
        <v>0.1</v>
      </c>
      <c r="J10" s="64">
        <v>0.11</v>
      </c>
      <c r="K10" s="64">
        <v>105.96</v>
      </c>
      <c r="L10" s="64">
        <v>15.53</v>
      </c>
      <c r="M10" s="64">
        <v>70.209999999999994</v>
      </c>
      <c r="N10" s="64">
        <v>33.200000000000003</v>
      </c>
      <c r="O10" s="64">
        <v>0</v>
      </c>
      <c r="P10" s="64">
        <v>2.56</v>
      </c>
      <c r="Q10" s="64">
        <v>9.74</v>
      </c>
      <c r="R10" s="198"/>
      <c r="S10" s="198"/>
      <c r="T10" s="198"/>
      <c r="U10" s="198"/>
    </row>
    <row r="11" spans="1:21" s="12" customFormat="1" x14ac:dyDescent="0.25">
      <c r="A11" s="214" t="s">
        <v>1593</v>
      </c>
      <c r="B11" s="64">
        <v>67.349999999999994</v>
      </c>
      <c r="C11" s="64">
        <v>4.0599999999999996</v>
      </c>
      <c r="D11" s="64">
        <v>55.67</v>
      </c>
      <c r="E11" s="64">
        <v>5.7</v>
      </c>
      <c r="F11" s="64">
        <v>2.85</v>
      </c>
      <c r="G11" s="64">
        <v>110.01</v>
      </c>
      <c r="H11" s="64">
        <v>42.07</v>
      </c>
      <c r="I11" s="64">
        <v>0.1</v>
      </c>
      <c r="J11" s="64">
        <v>0.78</v>
      </c>
      <c r="K11" s="64">
        <v>264.45</v>
      </c>
      <c r="L11" s="64">
        <v>15.35</v>
      </c>
      <c r="M11" s="64">
        <v>73.39</v>
      </c>
      <c r="N11" s="64">
        <v>33.5</v>
      </c>
      <c r="O11" s="64">
        <v>0</v>
      </c>
      <c r="P11" s="64">
        <v>2.56</v>
      </c>
      <c r="Q11" s="64">
        <v>9.74</v>
      </c>
      <c r="R11" s="198"/>
      <c r="S11" s="198"/>
      <c r="T11" s="198"/>
      <c r="U11" s="198"/>
    </row>
    <row r="12" spans="1:21" s="12" customFormat="1" x14ac:dyDescent="0.25">
      <c r="A12" s="214" t="s">
        <v>1594</v>
      </c>
      <c r="B12" s="64">
        <v>64.069999999999993</v>
      </c>
      <c r="C12" s="64">
        <v>5.76</v>
      </c>
      <c r="D12" s="64">
        <v>53.93</v>
      </c>
      <c r="E12" s="64">
        <v>5.17</v>
      </c>
      <c r="F12" s="64">
        <v>2.83</v>
      </c>
      <c r="G12" s="64">
        <v>108.27</v>
      </c>
      <c r="H12" s="64">
        <v>41.32</v>
      </c>
      <c r="I12" s="64">
        <v>0.1</v>
      </c>
      <c r="J12" s="64">
        <v>0.4</v>
      </c>
      <c r="K12" s="64">
        <v>226.84</v>
      </c>
      <c r="L12" s="64">
        <v>14.94</v>
      </c>
      <c r="M12" s="64">
        <v>77.989999999999995</v>
      </c>
      <c r="N12" s="64">
        <v>33.6</v>
      </c>
      <c r="O12" s="64">
        <v>0</v>
      </c>
      <c r="P12" s="64">
        <v>2.5499999999999998</v>
      </c>
      <c r="Q12" s="64">
        <v>9.74</v>
      </c>
      <c r="R12" s="198"/>
      <c r="S12" s="198"/>
      <c r="T12" s="198"/>
      <c r="U12" s="198"/>
    </row>
    <row r="13" spans="1:21" s="12" customFormat="1" x14ac:dyDescent="0.25">
      <c r="A13" s="214" t="s">
        <v>1595</v>
      </c>
      <c r="B13" s="64">
        <v>61.01</v>
      </c>
      <c r="C13" s="64">
        <v>6.89</v>
      </c>
      <c r="D13" s="64">
        <v>52.07</v>
      </c>
      <c r="E13" s="64">
        <v>5.45</v>
      </c>
      <c r="F13" s="64">
        <v>3</v>
      </c>
      <c r="G13" s="64">
        <v>101.32</v>
      </c>
      <c r="H13" s="64">
        <v>39.119999999999997</v>
      </c>
      <c r="I13" s="64">
        <v>0.1</v>
      </c>
      <c r="J13" s="64">
        <v>0.11</v>
      </c>
      <c r="K13" s="64">
        <v>69.56</v>
      </c>
      <c r="L13" s="64">
        <v>14.58</v>
      </c>
      <c r="M13" s="64">
        <v>81.150000000000006</v>
      </c>
      <c r="N13" s="64">
        <v>33.5</v>
      </c>
      <c r="O13" s="64">
        <v>0</v>
      </c>
      <c r="P13" s="64">
        <v>2.13</v>
      </c>
      <c r="Q13" s="64">
        <v>9.74</v>
      </c>
      <c r="R13" s="198"/>
      <c r="S13" s="198"/>
      <c r="T13" s="198"/>
      <c r="U13" s="198"/>
    </row>
    <row r="14" spans="1:21" s="12" customFormat="1" x14ac:dyDescent="0.25">
      <c r="A14" s="214" t="s">
        <v>1596</v>
      </c>
      <c r="B14" s="64">
        <v>57.9</v>
      </c>
      <c r="C14" s="64">
        <v>8.01</v>
      </c>
      <c r="D14" s="64">
        <v>50.16</v>
      </c>
      <c r="E14" s="64">
        <v>5.17</v>
      </c>
      <c r="F14" s="64">
        <v>2.96</v>
      </c>
      <c r="G14" s="64">
        <v>101.32</v>
      </c>
      <c r="H14" s="64">
        <v>39.119999999999997</v>
      </c>
      <c r="I14" s="64">
        <v>0.1</v>
      </c>
      <c r="J14" s="64">
        <v>0.78</v>
      </c>
      <c r="K14" s="64">
        <v>352.47</v>
      </c>
      <c r="L14" s="64">
        <v>14.1</v>
      </c>
      <c r="M14" s="64">
        <v>86.49</v>
      </c>
      <c r="N14" s="64">
        <v>33.6</v>
      </c>
      <c r="O14" s="64">
        <v>0</v>
      </c>
      <c r="P14" s="64">
        <v>2.19</v>
      </c>
      <c r="Q14" s="64">
        <v>9.7200000000000006</v>
      </c>
      <c r="R14" s="198"/>
      <c r="S14" s="198"/>
      <c r="T14" s="198"/>
      <c r="U14" s="198"/>
    </row>
    <row r="15" spans="1:21" s="12" customFormat="1" x14ac:dyDescent="0.25">
      <c r="A15" s="214" t="s">
        <v>1597</v>
      </c>
      <c r="B15" s="64">
        <v>54.97</v>
      </c>
      <c r="C15" s="64">
        <v>9.32</v>
      </c>
      <c r="D15" s="64">
        <v>48.49</v>
      </c>
      <c r="E15" s="64">
        <v>5.5</v>
      </c>
      <c r="F15" s="64">
        <v>2.91</v>
      </c>
      <c r="G15" s="64">
        <v>101.32</v>
      </c>
      <c r="H15" s="64">
        <v>39.119999999999997</v>
      </c>
      <c r="I15" s="64">
        <v>0.1</v>
      </c>
      <c r="J15" s="64">
        <v>0.68</v>
      </c>
      <c r="K15" s="64">
        <v>248.23</v>
      </c>
      <c r="L15" s="64">
        <v>13.83</v>
      </c>
      <c r="M15" s="64">
        <v>91.44</v>
      </c>
      <c r="N15" s="64">
        <v>33.4</v>
      </c>
      <c r="O15" s="64">
        <v>0</v>
      </c>
      <c r="P15" s="64">
        <v>2.16</v>
      </c>
      <c r="Q15" s="64">
        <v>9.7200000000000006</v>
      </c>
      <c r="R15" s="198"/>
      <c r="S15" s="198"/>
      <c r="T15" s="198"/>
      <c r="U15" s="198"/>
    </row>
    <row r="16" spans="1:21" s="12" customFormat="1" x14ac:dyDescent="0.25">
      <c r="A16" s="214" t="s">
        <v>1598</v>
      </c>
      <c r="B16" s="64">
        <v>52.23</v>
      </c>
      <c r="C16" s="64">
        <v>10.28</v>
      </c>
      <c r="D16" s="64">
        <v>46.8</v>
      </c>
      <c r="E16" s="64">
        <v>5.25</v>
      </c>
      <c r="F16" s="64">
        <v>2.86</v>
      </c>
      <c r="G16" s="64">
        <v>99.6</v>
      </c>
      <c r="H16" s="64">
        <v>38.9</v>
      </c>
      <c r="I16" s="64">
        <v>0.1</v>
      </c>
      <c r="J16" s="64">
        <v>0.47</v>
      </c>
      <c r="K16" s="64">
        <v>287.58</v>
      </c>
      <c r="L16" s="64">
        <v>13.7</v>
      </c>
      <c r="M16" s="64">
        <v>93.39</v>
      </c>
      <c r="N16" s="64">
        <v>33.299999999999997</v>
      </c>
      <c r="O16" s="64">
        <v>0</v>
      </c>
      <c r="P16" s="64">
        <v>2.13</v>
      </c>
      <c r="Q16" s="64">
        <v>9.7200000000000006</v>
      </c>
      <c r="R16" s="198"/>
      <c r="S16" s="198"/>
      <c r="T16" s="198"/>
      <c r="U16" s="198"/>
    </row>
    <row r="17" spans="1:21" s="12" customFormat="1" x14ac:dyDescent="0.25">
      <c r="A17" s="214" t="s">
        <v>1599</v>
      </c>
      <c r="B17" s="64">
        <v>49.83</v>
      </c>
      <c r="C17" s="64">
        <v>11.31</v>
      </c>
      <c r="D17" s="64">
        <v>45.41</v>
      </c>
      <c r="E17" s="64">
        <v>5.52</v>
      </c>
      <c r="F17" s="64">
        <v>3.35</v>
      </c>
      <c r="G17" s="64">
        <v>92.73</v>
      </c>
      <c r="H17" s="64">
        <v>37.89</v>
      </c>
      <c r="I17" s="64">
        <v>0.1</v>
      </c>
      <c r="J17" s="64">
        <v>0.71</v>
      </c>
      <c r="K17" s="64">
        <v>305.89999999999998</v>
      </c>
      <c r="L17" s="64">
        <v>13.76</v>
      </c>
      <c r="M17" s="64">
        <v>92.61</v>
      </c>
      <c r="N17" s="64">
        <v>33.299999999999997</v>
      </c>
      <c r="O17" s="64">
        <v>0</v>
      </c>
      <c r="P17" s="64">
        <v>2.09</v>
      </c>
      <c r="Q17" s="64">
        <v>9.7200000000000006</v>
      </c>
      <c r="R17" s="198"/>
      <c r="S17" s="198"/>
      <c r="T17" s="198"/>
      <c r="U17" s="198"/>
    </row>
    <row r="18" spans="1:21" s="12" customFormat="1" x14ac:dyDescent="0.25">
      <c r="A18" s="214" t="s">
        <v>1600</v>
      </c>
      <c r="B18" s="64">
        <v>47.65</v>
      </c>
      <c r="C18" s="64">
        <v>11.77</v>
      </c>
      <c r="D18" s="64">
        <v>43.9</v>
      </c>
      <c r="E18" s="64">
        <v>5.43</v>
      </c>
      <c r="F18" s="64">
        <v>3.43</v>
      </c>
      <c r="G18" s="64">
        <v>92.73</v>
      </c>
      <c r="H18" s="64">
        <v>37.89</v>
      </c>
      <c r="I18" s="64">
        <v>0.1</v>
      </c>
      <c r="J18" s="64">
        <v>0.39</v>
      </c>
      <c r="K18" s="64">
        <v>274.7</v>
      </c>
      <c r="L18" s="64">
        <v>13.5</v>
      </c>
      <c r="M18" s="64">
        <v>94.15</v>
      </c>
      <c r="N18" s="64">
        <v>33.6</v>
      </c>
      <c r="O18" s="64">
        <v>0</v>
      </c>
      <c r="P18" s="64">
        <v>2.02</v>
      </c>
      <c r="Q18" s="64">
        <v>9.6999999999999993</v>
      </c>
      <c r="R18" s="198"/>
      <c r="S18" s="198"/>
      <c r="T18" s="198"/>
      <c r="U18" s="198"/>
    </row>
    <row r="19" spans="1:21" s="12" customFormat="1" x14ac:dyDescent="0.25">
      <c r="A19" s="214" t="s">
        <v>1601</v>
      </c>
      <c r="B19" s="64">
        <v>45.24</v>
      </c>
      <c r="C19" s="64">
        <v>12.48</v>
      </c>
      <c r="D19" s="64">
        <v>42.34</v>
      </c>
      <c r="E19" s="64">
        <v>5.04</v>
      </c>
      <c r="F19" s="64">
        <v>3.29</v>
      </c>
      <c r="G19" s="64">
        <v>92.73</v>
      </c>
      <c r="H19" s="64">
        <v>37.89</v>
      </c>
      <c r="I19" s="64">
        <v>0.1</v>
      </c>
      <c r="J19" s="64">
        <v>0.84</v>
      </c>
      <c r="K19" s="64">
        <v>339.53</v>
      </c>
      <c r="L19" s="64">
        <v>13.21</v>
      </c>
      <c r="M19" s="64">
        <v>95.91</v>
      </c>
      <c r="N19" s="64">
        <v>33.4</v>
      </c>
      <c r="O19" s="64">
        <v>0</v>
      </c>
      <c r="P19" s="64">
        <v>1.92</v>
      </c>
      <c r="Q19" s="64">
        <v>9.6999999999999993</v>
      </c>
      <c r="R19" s="198"/>
      <c r="S19" s="198"/>
      <c r="T19" s="198"/>
      <c r="U19" s="198"/>
    </row>
    <row r="20" spans="1:21" s="12" customFormat="1" x14ac:dyDescent="0.25">
      <c r="A20" s="214" t="s">
        <v>1602</v>
      </c>
      <c r="B20" s="64">
        <v>42.7</v>
      </c>
      <c r="C20" s="64">
        <v>13.47</v>
      </c>
      <c r="D20" s="64">
        <v>40.81</v>
      </c>
      <c r="E20" s="64">
        <v>4.97</v>
      </c>
      <c r="F20" s="64">
        <v>2.58</v>
      </c>
      <c r="G20" s="64">
        <v>89.92</v>
      </c>
      <c r="H20" s="64">
        <v>37.25</v>
      </c>
      <c r="I20" s="64">
        <v>0.1</v>
      </c>
      <c r="J20" s="64">
        <v>0.47</v>
      </c>
      <c r="K20" s="64">
        <v>222.22</v>
      </c>
      <c r="L20" s="64">
        <v>13.27</v>
      </c>
      <c r="M20" s="64">
        <v>96.52</v>
      </c>
      <c r="N20" s="64">
        <v>32.9</v>
      </c>
      <c r="O20" s="64">
        <v>0</v>
      </c>
      <c r="P20" s="64">
        <v>1.84</v>
      </c>
      <c r="Q20" s="64">
        <v>9.6999999999999993</v>
      </c>
      <c r="R20" s="198"/>
      <c r="S20" s="198"/>
      <c r="T20" s="198"/>
      <c r="U20" s="198"/>
    </row>
    <row r="21" spans="1:21" s="12" customFormat="1" x14ac:dyDescent="0.25">
      <c r="A21" s="214" t="s">
        <v>1603</v>
      </c>
      <c r="B21" s="64">
        <v>40.42</v>
      </c>
      <c r="C21" s="64">
        <v>14.31</v>
      </c>
      <c r="D21" s="64">
        <v>39.43</v>
      </c>
      <c r="E21" s="64">
        <v>5.15</v>
      </c>
      <c r="F21" s="64">
        <v>2.95</v>
      </c>
      <c r="G21" s="64">
        <v>78.709999999999994</v>
      </c>
      <c r="H21" s="64">
        <v>35.36</v>
      </c>
      <c r="I21" s="64">
        <v>0.1</v>
      </c>
      <c r="J21" s="64">
        <v>0.65</v>
      </c>
      <c r="K21" s="64">
        <v>299.70999999999998</v>
      </c>
      <c r="L21" s="64">
        <v>13.55</v>
      </c>
      <c r="M21" s="64">
        <v>92.62</v>
      </c>
      <c r="N21" s="64">
        <v>33.200000000000003</v>
      </c>
      <c r="O21" s="64">
        <v>0</v>
      </c>
      <c r="P21" s="64">
        <v>1.79</v>
      </c>
      <c r="Q21" s="64">
        <v>9.69</v>
      </c>
      <c r="R21" s="198"/>
      <c r="S21" s="198"/>
      <c r="T21" s="198"/>
      <c r="U21" s="198"/>
    </row>
    <row r="22" spans="1:21" s="12" customFormat="1" x14ac:dyDescent="0.25">
      <c r="A22" s="214" t="s">
        <v>1604</v>
      </c>
      <c r="B22" s="64">
        <v>38.25</v>
      </c>
      <c r="C22" s="64">
        <v>15.31</v>
      </c>
      <c r="D22" s="64">
        <v>38.21</v>
      </c>
      <c r="E22" s="64">
        <v>4.9000000000000004</v>
      </c>
      <c r="F22" s="64">
        <v>3.15</v>
      </c>
      <c r="G22" s="64">
        <v>78.709999999999994</v>
      </c>
      <c r="H22" s="64">
        <v>35.36</v>
      </c>
      <c r="I22" s="64">
        <v>0.1</v>
      </c>
      <c r="J22" s="64">
        <v>0.8</v>
      </c>
      <c r="K22" s="64">
        <v>278.29000000000002</v>
      </c>
      <c r="L22" s="64">
        <v>13.47</v>
      </c>
      <c r="M22" s="64">
        <v>95.11</v>
      </c>
      <c r="N22" s="64">
        <v>33.200000000000003</v>
      </c>
      <c r="O22" s="64">
        <v>0</v>
      </c>
      <c r="P22" s="64">
        <v>1.72</v>
      </c>
      <c r="Q22" s="64">
        <v>9.68</v>
      </c>
      <c r="R22" s="198"/>
      <c r="S22" s="198"/>
      <c r="T22" s="198"/>
      <c r="U22" s="198"/>
    </row>
    <row r="23" spans="1:21" s="12" customFormat="1" x14ac:dyDescent="0.25">
      <c r="A23" s="214" t="s">
        <v>1605</v>
      </c>
      <c r="B23" s="64">
        <v>36.21</v>
      </c>
      <c r="C23" s="64">
        <v>16.04</v>
      </c>
      <c r="D23" s="64">
        <v>36.96</v>
      </c>
      <c r="E23" s="64">
        <v>4.95</v>
      </c>
      <c r="F23" s="64">
        <v>3.34</v>
      </c>
      <c r="G23" s="64">
        <v>78.709999999999994</v>
      </c>
      <c r="H23" s="64">
        <v>35.36</v>
      </c>
      <c r="I23" s="64">
        <v>0.1</v>
      </c>
      <c r="J23" s="64">
        <v>0.88</v>
      </c>
      <c r="K23" s="64">
        <v>345.29</v>
      </c>
      <c r="L23" s="64">
        <v>13.19</v>
      </c>
      <c r="M23" s="64">
        <v>96.45</v>
      </c>
      <c r="N23" s="64">
        <v>33.5</v>
      </c>
      <c r="O23" s="64">
        <v>0</v>
      </c>
      <c r="P23" s="64">
        <v>1.66</v>
      </c>
      <c r="Q23" s="64">
        <v>9.68</v>
      </c>
      <c r="R23" s="198"/>
      <c r="S23" s="198"/>
      <c r="T23" s="198"/>
      <c r="U23" s="198"/>
    </row>
    <row r="24" spans="1:21" s="12" customFormat="1" x14ac:dyDescent="0.25">
      <c r="A24" s="214" t="s">
        <v>1606</v>
      </c>
      <c r="B24" s="64">
        <v>34.65</v>
      </c>
      <c r="C24" s="64">
        <v>16.66</v>
      </c>
      <c r="D24" s="64">
        <v>36.03</v>
      </c>
      <c r="E24" s="64">
        <v>5.03</v>
      </c>
      <c r="F24" s="64">
        <v>3.04</v>
      </c>
      <c r="G24" s="64">
        <v>78.77</v>
      </c>
      <c r="H24" s="64">
        <v>34.950000000000003</v>
      </c>
      <c r="I24" s="64">
        <v>0.1</v>
      </c>
      <c r="J24" s="64">
        <v>0.57999999999999996</v>
      </c>
      <c r="K24" s="64">
        <v>170.3</v>
      </c>
      <c r="L24" s="64">
        <v>13.01</v>
      </c>
      <c r="M24" s="64">
        <v>97.93</v>
      </c>
      <c r="N24" s="64">
        <v>33.200000000000003</v>
      </c>
      <c r="O24" s="64">
        <v>0</v>
      </c>
      <c r="P24" s="64">
        <v>1.61</v>
      </c>
      <c r="Q24" s="64">
        <v>9.69</v>
      </c>
      <c r="R24" s="198"/>
      <c r="S24" s="198"/>
      <c r="T24" s="198"/>
      <c r="U24" s="198"/>
    </row>
    <row r="25" spans="1:21" s="12" customFormat="1" x14ac:dyDescent="0.25">
      <c r="A25" s="214" t="s">
        <v>1607</v>
      </c>
      <c r="B25" s="64">
        <v>33.229999999999997</v>
      </c>
      <c r="C25" s="64">
        <v>17.18</v>
      </c>
      <c r="D25" s="64">
        <v>35.159999999999997</v>
      </c>
      <c r="E25" s="64">
        <v>4.8499999999999996</v>
      </c>
      <c r="F25" s="64">
        <v>2.76</v>
      </c>
      <c r="G25" s="64">
        <v>79.040000000000006</v>
      </c>
      <c r="H25" s="64">
        <v>33.74</v>
      </c>
      <c r="I25" s="64">
        <v>0.1</v>
      </c>
      <c r="J25" s="64">
        <v>0.32</v>
      </c>
      <c r="K25" s="64">
        <v>1.49</v>
      </c>
      <c r="L25" s="64">
        <v>13.15</v>
      </c>
      <c r="M25" s="64">
        <v>94.94</v>
      </c>
      <c r="N25" s="64">
        <v>33.299999999999997</v>
      </c>
      <c r="O25" s="64">
        <v>0</v>
      </c>
      <c r="P25" s="64">
        <v>1.57</v>
      </c>
      <c r="Q25" s="64">
        <v>9.68</v>
      </c>
      <c r="R25" s="198"/>
      <c r="S25" s="198"/>
      <c r="T25" s="198"/>
      <c r="U25" s="198"/>
    </row>
    <row r="26" spans="1:21" s="12" customFormat="1" x14ac:dyDescent="0.25">
      <c r="A26" s="214" t="s">
        <v>1608</v>
      </c>
      <c r="B26" s="64">
        <v>31.9</v>
      </c>
      <c r="C26" s="64">
        <v>17.809999999999999</v>
      </c>
      <c r="D26" s="64">
        <v>34.42</v>
      </c>
      <c r="E26" s="64">
        <v>4.63</v>
      </c>
      <c r="F26" s="64">
        <v>2.77</v>
      </c>
      <c r="G26" s="64">
        <v>79.040000000000006</v>
      </c>
      <c r="H26" s="64">
        <v>33.74</v>
      </c>
      <c r="I26" s="64">
        <v>0.1</v>
      </c>
      <c r="J26" s="64">
        <v>0.56000000000000005</v>
      </c>
      <c r="K26" s="64">
        <v>87.76</v>
      </c>
      <c r="L26" s="64">
        <v>13.17</v>
      </c>
      <c r="M26" s="64">
        <v>93.12</v>
      </c>
      <c r="N26" s="64">
        <v>33.200000000000003</v>
      </c>
      <c r="O26" s="64">
        <v>0</v>
      </c>
      <c r="P26" s="64">
        <v>1.51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4" t="s">
        <v>1609</v>
      </c>
      <c r="B27" s="64">
        <v>30.38</v>
      </c>
      <c r="C27" s="64">
        <v>18.239999999999998</v>
      </c>
      <c r="D27" s="64">
        <v>33.44</v>
      </c>
      <c r="E27" s="64">
        <v>4.6500000000000004</v>
      </c>
      <c r="F27" s="64">
        <v>2.33</v>
      </c>
      <c r="G27" s="64">
        <v>79.040000000000006</v>
      </c>
      <c r="H27" s="64">
        <v>33.74</v>
      </c>
      <c r="I27" s="64">
        <v>0.1</v>
      </c>
      <c r="J27" s="64">
        <v>0.61</v>
      </c>
      <c r="K27" s="64">
        <v>90.1</v>
      </c>
      <c r="L27" s="64">
        <v>13.3</v>
      </c>
      <c r="M27" s="64">
        <v>90.9</v>
      </c>
      <c r="N27" s="64">
        <v>33.200000000000003</v>
      </c>
      <c r="O27" s="64">
        <v>0</v>
      </c>
      <c r="P27" s="64">
        <v>1.45</v>
      </c>
      <c r="Q27" s="64">
        <v>9.67</v>
      </c>
      <c r="R27" s="198"/>
      <c r="S27" s="198"/>
      <c r="T27" s="198"/>
      <c r="U27" s="198"/>
    </row>
    <row r="28" spans="1:21" s="12" customFormat="1" x14ac:dyDescent="0.25">
      <c r="A28" s="214" t="s">
        <v>1610</v>
      </c>
      <c r="B28" s="64">
        <v>28.65</v>
      </c>
      <c r="C28" s="64">
        <v>18.82</v>
      </c>
      <c r="D28" s="64">
        <v>32.35</v>
      </c>
      <c r="E28" s="64">
        <v>4.78</v>
      </c>
      <c r="F28" s="64">
        <v>3.02</v>
      </c>
      <c r="G28" s="64">
        <v>76.83</v>
      </c>
      <c r="H28" s="64">
        <v>32.81</v>
      </c>
      <c r="I28" s="64">
        <v>0.1</v>
      </c>
      <c r="J28" s="64">
        <v>0.56999999999999995</v>
      </c>
      <c r="K28" s="64">
        <v>22.69</v>
      </c>
      <c r="L28" s="64">
        <v>13.21</v>
      </c>
      <c r="M28" s="64">
        <v>91.92</v>
      </c>
      <c r="N28" s="64">
        <v>33.299999999999997</v>
      </c>
      <c r="O28" s="64">
        <v>0</v>
      </c>
      <c r="P28" s="64">
        <v>1.43</v>
      </c>
      <c r="Q28" s="64">
        <v>9.67</v>
      </c>
      <c r="R28" s="198"/>
      <c r="S28" s="198"/>
      <c r="T28" s="198"/>
      <c r="U28" s="198"/>
    </row>
    <row r="29" spans="1:21" s="12" customFormat="1" x14ac:dyDescent="0.25">
      <c r="A29" s="214" t="s">
        <v>1611</v>
      </c>
      <c r="B29" s="64">
        <v>27.35</v>
      </c>
      <c r="C29" s="64">
        <v>19.88</v>
      </c>
      <c r="D29" s="64">
        <v>31.86</v>
      </c>
      <c r="E29" s="64">
        <v>4.72</v>
      </c>
      <c r="F29" s="64">
        <v>2.58</v>
      </c>
      <c r="G29" s="64">
        <v>68.02</v>
      </c>
      <c r="H29" s="64">
        <v>30.07</v>
      </c>
      <c r="I29" s="64">
        <v>0.1</v>
      </c>
      <c r="J29" s="64">
        <v>0.51</v>
      </c>
      <c r="K29" s="64">
        <v>340.63</v>
      </c>
      <c r="L29" s="64">
        <v>13.15</v>
      </c>
      <c r="M29" s="64">
        <v>93.06</v>
      </c>
      <c r="N29" s="64">
        <v>33</v>
      </c>
      <c r="O29" s="64">
        <v>0</v>
      </c>
      <c r="P29" s="64">
        <v>1.45</v>
      </c>
      <c r="Q29" s="64">
        <v>9.66</v>
      </c>
      <c r="R29" s="198"/>
      <c r="S29" s="198"/>
      <c r="T29" s="198"/>
      <c r="U29" s="198"/>
    </row>
    <row r="30" spans="1:21" s="12" customFormat="1" x14ac:dyDescent="0.25">
      <c r="A30" s="214" t="s">
        <v>1612</v>
      </c>
      <c r="B30" s="64">
        <v>26.35</v>
      </c>
      <c r="C30" s="64">
        <v>20.52</v>
      </c>
      <c r="D30" s="64">
        <v>31.39</v>
      </c>
      <c r="E30" s="64">
        <v>4.72</v>
      </c>
      <c r="F30" s="64">
        <v>2.34</v>
      </c>
      <c r="G30" s="64">
        <v>68.02</v>
      </c>
      <c r="H30" s="64">
        <v>30.07</v>
      </c>
      <c r="I30" s="64">
        <v>0.1</v>
      </c>
      <c r="J30" s="64">
        <v>0.31</v>
      </c>
      <c r="K30" s="64">
        <v>30.56</v>
      </c>
      <c r="L30" s="64">
        <v>13.2</v>
      </c>
      <c r="M30" s="64">
        <v>92.11</v>
      </c>
      <c r="N30" s="64">
        <v>33.200000000000003</v>
      </c>
      <c r="O30" s="64">
        <v>0</v>
      </c>
      <c r="P30" s="64">
        <v>1.43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4" t="s">
        <v>1613</v>
      </c>
      <c r="B31" s="64">
        <v>25.21</v>
      </c>
      <c r="C31" s="64">
        <v>21.04</v>
      </c>
      <c r="D31" s="64">
        <v>30.75</v>
      </c>
      <c r="E31" s="64">
        <v>4.9400000000000004</v>
      </c>
      <c r="F31" s="64">
        <v>2.78</v>
      </c>
      <c r="G31" s="64">
        <v>68.02</v>
      </c>
      <c r="H31" s="64">
        <v>30.07</v>
      </c>
      <c r="I31" s="64">
        <v>0.1</v>
      </c>
      <c r="J31" s="64">
        <v>0.54</v>
      </c>
      <c r="K31" s="64">
        <v>304.10000000000002</v>
      </c>
      <c r="L31" s="64">
        <v>13.07</v>
      </c>
      <c r="M31" s="64">
        <v>93.81</v>
      </c>
      <c r="N31" s="64">
        <v>33.200000000000003</v>
      </c>
      <c r="O31" s="64">
        <v>0</v>
      </c>
      <c r="P31" s="64">
        <v>1.4</v>
      </c>
      <c r="Q31" s="64">
        <v>9.67</v>
      </c>
      <c r="R31" s="198"/>
      <c r="S31" s="198"/>
      <c r="T31" s="198"/>
      <c r="U31" s="198"/>
    </row>
    <row r="32" spans="1:21" s="12" customFormat="1" x14ac:dyDescent="0.25">
      <c r="A32" s="214" t="s">
        <v>1614</v>
      </c>
      <c r="B32" s="64">
        <v>24.3</v>
      </c>
      <c r="C32" s="64">
        <v>21.47</v>
      </c>
      <c r="D32" s="64">
        <v>30.24</v>
      </c>
      <c r="E32" s="64">
        <v>4.84</v>
      </c>
      <c r="F32" s="64">
        <v>2.95</v>
      </c>
      <c r="G32" s="64">
        <v>68.13</v>
      </c>
      <c r="H32" s="64">
        <v>30.13</v>
      </c>
      <c r="I32" s="64">
        <v>0.1</v>
      </c>
      <c r="J32" s="64">
        <v>0.34</v>
      </c>
      <c r="K32" s="64">
        <v>352.83</v>
      </c>
      <c r="L32" s="64">
        <v>12.98</v>
      </c>
      <c r="M32" s="64">
        <v>95.19</v>
      </c>
      <c r="N32" s="64">
        <v>33.200000000000003</v>
      </c>
      <c r="O32" s="64">
        <v>0</v>
      </c>
      <c r="P32" s="64">
        <v>1.37</v>
      </c>
      <c r="Q32" s="64">
        <v>9.67</v>
      </c>
      <c r="R32" s="198"/>
      <c r="S32" s="198"/>
      <c r="T32" s="198"/>
      <c r="U32" s="198"/>
    </row>
    <row r="33" spans="1:21" s="12" customFormat="1" x14ac:dyDescent="0.25">
      <c r="A33" s="214" t="s">
        <v>1615</v>
      </c>
      <c r="B33" s="64">
        <v>23.62</v>
      </c>
      <c r="C33" s="64">
        <v>21.73</v>
      </c>
      <c r="D33" s="64">
        <v>29.84</v>
      </c>
      <c r="E33" s="64">
        <v>4.79</v>
      </c>
      <c r="F33" s="64">
        <v>2.62</v>
      </c>
      <c r="G33" s="64">
        <v>68.58</v>
      </c>
      <c r="H33" s="64">
        <v>30.42</v>
      </c>
      <c r="I33" s="64">
        <v>0.1</v>
      </c>
      <c r="J33" s="64">
        <v>0.39</v>
      </c>
      <c r="K33" s="64">
        <v>8.75</v>
      </c>
      <c r="L33" s="64">
        <v>12.96</v>
      </c>
      <c r="M33" s="64">
        <v>94.42</v>
      </c>
      <c r="N33" s="64">
        <v>33.4</v>
      </c>
      <c r="O33" s="64">
        <v>0</v>
      </c>
      <c r="P33" s="64">
        <v>1.37</v>
      </c>
      <c r="Q33" s="64">
        <v>9.68</v>
      </c>
      <c r="R33" s="198"/>
      <c r="S33" s="198"/>
      <c r="T33" s="198"/>
      <c r="U33" s="198"/>
    </row>
    <row r="34" spans="1:21" s="12" customFormat="1" x14ac:dyDescent="0.25">
      <c r="A34" s="214" t="s">
        <v>1616</v>
      </c>
      <c r="B34" s="64">
        <v>23.21</v>
      </c>
      <c r="C34" s="64">
        <v>21.76</v>
      </c>
      <c r="D34" s="64">
        <v>29.52</v>
      </c>
      <c r="E34" s="64">
        <v>4.82</v>
      </c>
      <c r="F34" s="64">
        <v>3.3</v>
      </c>
      <c r="G34" s="64">
        <v>68.58</v>
      </c>
      <c r="H34" s="64">
        <v>30.42</v>
      </c>
      <c r="I34" s="64">
        <v>0.1</v>
      </c>
      <c r="J34" s="64">
        <v>0.6</v>
      </c>
      <c r="K34" s="64">
        <v>356.4</v>
      </c>
      <c r="L34" s="64">
        <v>12.88</v>
      </c>
      <c r="M34" s="64">
        <v>95.25</v>
      </c>
      <c r="N34" s="64">
        <v>35</v>
      </c>
      <c r="O34" s="64">
        <v>0</v>
      </c>
      <c r="P34" s="64">
        <v>1.34</v>
      </c>
      <c r="Q34" s="64">
        <v>9.67</v>
      </c>
      <c r="R34" s="198"/>
      <c r="S34" s="198"/>
      <c r="T34" s="198"/>
      <c r="U34" s="198"/>
    </row>
    <row r="35" spans="1:21" s="12" customFormat="1" x14ac:dyDescent="0.25">
      <c r="A35" s="214" t="s">
        <v>1617</v>
      </c>
      <c r="B35" s="64">
        <v>22.7</v>
      </c>
      <c r="C35" s="64">
        <v>22.18</v>
      </c>
      <c r="D35" s="64">
        <v>29.34</v>
      </c>
      <c r="E35" s="64">
        <v>4.6900000000000004</v>
      </c>
      <c r="F35" s="64">
        <v>3.2</v>
      </c>
      <c r="G35" s="64">
        <v>68.58</v>
      </c>
      <c r="H35" s="64">
        <v>30.42</v>
      </c>
      <c r="I35" s="64">
        <v>0.1</v>
      </c>
      <c r="J35" s="64">
        <v>0.67</v>
      </c>
      <c r="K35" s="64">
        <v>304.55</v>
      </c>
      <c r="L35" s="64">
        <v>12.85</v>
      </c>
      <c r="M35" s="64">
        <v>96.46</v>
      </c>
      <c r="N35" s="64">
        <v>40.5</v>
      </c>
      <c r="O35" s="64">
        <v>0</v>
      </c>
      <c r="P35" s="64">
        <v>1.3</v>
      </c>
      <c r="Q35" s="64">
        <v>9.67</v>
      </c>
      <c r="R35" s="198"/>
      <c r="S35" s="198"/>
      <c r="T35" s="198"/>
      <c r="U35" s="198"/>
    </row>
    <row r="36" spans="1:21" s="12" customFormat="1" x14ac:dyDescent="0.25">
      <c r="A36" s="214" t="s">
        <v>1618</v>
      </c>
      <c r="B36" s="64">
        <v>22.61</v>
      </c>
      <c r="C36" s="64">
        <v>22.01</v>
      </c>
      <c r="D36" s="64">
        <v>29.17</v>
      </c>
      <c r="E36" s="64">
        <v>4.78</v>
      </c>
      <c r="F36" s="64">
        <v>3.14</v>
      </c>
      <c r="G36" s="64">
        <v>90.51</v>
      </c>
      <c r="H36" s="64">
        <v>30.14</v>
      </c>
      <c r="I36" s="64">
        <v>0.1</v>
      </c>
      <c r="J36" s="64">
        <v>0.53</v>
      </c>
      <c r="K36" s="64">
        <v>145.16999999999999</v>
      </c>
      <c r="L36" s="64">
        <v>12.86</v>
      </c>
      <c r="M36" s="64">
        <v>97.53</v>
      </c>
      <c r="N36" s="64">
        <v>50.5</v>
      </c>
      <c r="O36" s="64">
        <v>0</v>
      </c>
      <c r="P36" s="64">
        <v>1.23</v>
      </c>
      <c r="Q36" s="64">
        <v>9.67</v>
      </c>
      <c r="R36" s="198"/>
      <c r="S36" s="198"/>
      <c r="T36" s="198"/>
      <c r="U36" s="198"/>
    </row>
    <row r="37" spans="1:21" s="12" customFormat="1" x14ac:dyDescent="0.25">
      <c r="A37" s="214" t="s">
        <v>1619</v>
      </c>
      <c r="B37" s="64">
        <v>22.74</v>
      </c>
      <c r="C37" s="64">
        <v>21.84</v>
      </c>
      <c r="D37" s="64">
        <v>29.19</v>
      </c>
      <c r="E37" s="64">
        <v>4.66</v>
      </c>
      <c r="F37" s="64">
        <v>3.2</v>
      </c>
      <c r="G37" s="64">
        <v>178.23</v>
      </c>
      <c r="H37" s="64">
        <v>29.33</v>
      </c>
      <c r="I37" s="64">
        <v>0.1</v>
      </c>
      <c r="J37" s="64">
        <v>0.44</v>
      </c>
      <c r="K37" s="64">
        <v>78.47</v>
      </c>
      <c r="L37" s="64">
        <v>13.2</v>
      </c>
      <c r="M37" s="64">
        <v>95.53</v>
      </c>
      <c r="N37" s="64">
        <v>62.3</v>
      </c>
      <c r="O37" s="64">
        <v>0</v>
      </c>
      <c r="P37" s="64">
        <v>1.31</v>
      </c>
      <c r="Q37" s="64">
        <v>9.66</v>
      </c>
      <c r="R37" s="198"/>
      <c r="S37" s="198"/>
      <c r="T37" s="198"/>
      <c r="U37" s="198"/>
    </row>
    <row r="38" spans="1:21" s="12" customFormat="1" x14ac:dyDescent="0.25">
      <c r="A38" s="214" t="s">
        <v>1620</v>
      </c>
      <c r="B38" s="64">
        <v>23.09</v>
      </c>
      <c r="C38" s="64">
        <v>21.74</v>
      </c>
      <c r="D38" s="64">
        <v>29.42</v>
      </c>
      <c r="E38" s="64">
        <v>4.87</v>
      </c>
      <c r="F38" s="64">
        <v>3.16</v>
      </c>
      <c r="G38" s="64">
        <v>178.23</v>
      </c>
      <c r="H38" s="64">
        <v>29.33</v>
      </c>
      <c r="I38" s="64">
        <v>0.1</v>
      </c>
      <c r="J38" s="64">
        <v>0.88</v>
      </c>
      <c r="K38" s="64">
        <v>350.11</v>
      </c>
      <c r="L38" s="64">
        <v>13.82</v>
      </c>
      <c r="M38" s="64">
        <v>92.92</v>
      </c>
      <c r="N38" s="64">
        <v>77.3</v>
      </c>
      <c r="O38" s="64">
        <v>0</v>
      </c>
      <c r="P38" s="64">
        <v>1.37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4" t="s">
        <v>1621</v>
      </c>
      <c r="B39" s="64">
        <v>23.82</v>
      </c>
      <c r="C39" s="64">
        <v>21.54</v>
      </c>
      <c r="D39" s="64">
        <v>29.9</v>
      </c>
      <c r="E39" s="64">
        <v>4.8</v>
      </c>
      <c r="F39" s="64">
        <v>2.94</v>
      </c>
      <c r="G39" s="64">
        <v>178.23</v>
      </c>
      <c r="H39" s="64">
        <v>29.33</v>
      </c>
      <c r="I39" s="64">
        <v>0.1</v>
      </c>
      <c r="J39" s="64">
        <v>1.18</v>
      </c>
      <c r="K39" s="64">
        <v>346.12</v>
      </c>
      <c r="L39" s="64">
        <v>14.84</v>
      </c>
      <c r="M39" s="64">
        <v>88.36</v>
      </c>
      <c r="N39" s="64">
        <v>123.9</v>
      </c>
      <c r="O39" s="64">
        <v>0</v>
      </c>
      <c r="P39" s="64">
        <v>1.38</v>
      </c>
      <c r="Q39" s="64">
        <v>9.67</v>
      </c>
      <c r="R39" s="198"/>
      <c r="S39" s="198"/>
      <c r="T39" s="198"/>
      <c r="U39" s="198"/>
    </row>
    <row r="40" spans="1:21" s="12" customFormat="1" x14ac:dyDescent="0.25">
      <c r="A40" s="214" t="s">
        <v>1622</v>
      </c>
      <c r="B40" s="64">
        <v>25.09</v>
      </c>
      <c r="C40" s="64">
        <v>21.25</v>
      </c>
      <c r="D40" s="64">
        <v>30.76</v>
      </c>
      <c r="E40" s="64">
        <v>5.63</v>
      </c>
      <c r="F40" s="64">
        <v>2.74</v>
      </c>
      <c r="G40" s="64">
        <v>163.58000000000001</v>
      </c>
      <c r="H40" s="64">
        <v>30.31</v>
      </c>
      <c r="I40" s="64">
        <v>0.1</v>
      </c>
      <c r="J40" s="64">
        <v>1.2</v>
      </c>
      <c r="K40" s="64">
        <v>344.51</v>
      </c>
      <c r="L40" s="64">
        <v>16.64</v>
      </c>
      <c r="M40" s="64">
        <v>76.739999999999995</v>
      </c>
      <c r="N40" s="64">
        <v>158.9</v>
      </c>
      <c r="O40" s="64">
        <v>0</v>
      </c>
      <c r="P40" s="64">
        <v>1.4</v>
      </c>
      <c r="Q40" s="64">
        <v>9.65</v>
      </c>
      <c r="R40" s="198"/>
      <c r="S40" s="198"/>
      <c r="T40" s="198"/>
      <c r="U40" s="198"/>
    </row>
    <row r="41" spans="1:21" s="12" customFormat="1" x14ac:dyDescent="0.25">
      <c r="A41" s="214" t="s">
        <v>1623</v>
      </c>
      <c r="B41" s="64">
        <v>26.13</v>
      </c>
      <c r="C41" s="64">
        <v>21.03</v>
      </c>
      <c r="D41" s="64">
        <v>31.48</v>
      </c>
      <c r="E41" s="64">
        <v>5.72</v>
      </c>
      <c r="F41" s="64">
        <v>2.7</v>
      </c>
      <c r="G41" s="64">
        <v>104.95</v>
      </c>
      <c r="H41" s="64">
        <v>33.19</v>
      </c>
      <c r="I41" s="64">
        <v>0.1</v>
      </c>
      <c r="J41" s="64">
        <v>1.48</v>
      </c>
      <c r="K41" s="64">
        <v>348.4</v>
      </c>
      <c r="L41" s="64">
        <v>18.22</v>
      </c>
      <c r="M41" s="64">
        <v>68.77</v>
      </c>
      <c r="N41" s="64">
        <v>193.8</v>
      </c>
      <c r="O41" s="64">
        <v>0</v>
      </c>
      <c r="P41" s="64">
        <v>1.44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4" t="s">
        <v>1624</v>
      </c>
      <c r="B42" s="64">
        <v>26.68</v>
      </c>
      <c r="C42" s="64">
        <v>21.24</v>
      </c>
      <c r="D42" s="64">
        <v>32.03</v>
      </c>
      <c r="E42" s="64">
        <v>5.64</v>
      </c>
      <c r="F42" s="64">
        <v>2.75</v>
      </c>
      <c r="G42" s="64">
        <v>104.95</v>
      </c>
      <c r="H42" s="64">
        <v>33.19</v>
      </c>
      <c r="I42" s="64">
        <v>0.1</v>
      </c>
      <c r="J42" s="64">
        <v>1.47</v>
      </c>
      <c r="K42" s="64">
        <v>344.25</v>
      </c>
      <c r="L42" s="64">
        <v>19.260000000000002</v>
      </c>
      <c r="M42" s="64">
        <v>63.22</v>
      </c>
      <c r="N42" s="64">
        <v>224.9</v>
      </c>
      <c r="O42" s="64">
        <v>0</v>
      </c>
      <c r="P42" s="64">
        <v>1.44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4" t="s">
        <v>1625</v>
      </c>
      <c r="B43" s="64">
        <v>26.23</v>
      </c>
      <c r="C43" s="64">
        <v>22.11</v>
      </c>
      <c r="D43" s="64">
        <v>32.119999999999997</v>
      </c>
      <c r="E43" s="64">
        <v>5.71</v>
      </c>
      <c r="F43" s="64">
        <v>2.73</v>
      </c>
      <c r="G43" s="64">
        <v>104.95</v>
      </c>
      <c r="H43" s="64">
        <v>33.19</v>
      </c>
      <c r="I43" s="64">
        <v>0.1</v>
      </c>
      <c r="J43" s="64">
        <v>0.48</v>
      </c>
      <c r="K43" s="64">
        <v>77.73</v>
      </c>
      <c r="L43" s="64">
        <v>19.64</v>
      </c>
      <c r="M43" s="64">
        <v>62.09</v>
      </c>
      <c r="N43" s="64">
        <v>258.2</v>
      </c>
      <c r="O43" s="64">
        <v>0</v>
      </c>
      <c r="P43" s="64">
        <v>1.42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4" t="s">
        <v>1626</v>
      </c>
      <c r="B44" s="64">
        <v>25.85</v>
      </c>
      <c r="C44" s="64">
        <v>22.52</v>
      </c>
      <c r="D44" s="64">
        <v>32.03</v>
      </c>
      <c r="E44" s="64">
        <v>5.67</v>
      </c>
      <c r="F44" s="64">
        <v>2.66</v>
      </c>
      <c r="G44" s="64">
        <v>99.51</v>
      </c>
      <c r="H44" s="64">
        <v>33.119999999999997</v>
      </c>
      <c r="I44" s="64">
        <v>0.1</v>
      </c>
      <c r="J44" s="64">
        <v>0.51</v>
      </c>
      <c r="K44" s="64">
        <v>3.6</v>
      </c>
      <c r="L44" s="64">
        <v>19.45</v>
      </c>
      <c r="M44" s="64">
        <v>63.52</v>
      </c>
      <c r="N44" s="64">
        <v>289.10000000000002</v>
      </c>
      <c r="O44" s="64">
        <v>0</v>
      </c>
      <c r="P44" s="64">
        <v>1.4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4" t="s">
        <v>1627</v>
      </c>
      <c r="B45" s="64">
        <v>25.5</v>
      </c>
      <c r="C45" s="64">
        <v>22.66</v>
      </c>
      <c r="D45" s="64">
        <v>31.83</v>
      </c>
      <c r="E45" s="64">
        <v>5.64</v>
      </c>
      <c r="F45" s="64">
        <v>2.79</v>
      </c>
      <c r="G45" s="64">
        <v>77.75</v>
      </c>
      <c r="H45" s="64">
        <v>32.92</v>
      </c>
      <c r="I45" s="64">
        <v>0.1</v>
      </c>
      <c r="J45" s="64">
        <v>0.87</v>
      </c>
      <c r="K45" s="64">
        <v>341.09</v>
      </c>
      <c r="L45" s="64">
        <v>21.74</v>
      </c>
      <c r="M45" s="64">
        <v>53.18</v>
      </c>
      <c r="N45" s="64">
        <v>320.10000000000002</v>
      </c>
      <c r="O45" s="64">
        <v>0</v>
      </c>
      <c r="P45" s="64">
        <v>1.43</v>
      </c>
      <c r="Q45" s="64">
        <v>9.66</v>
      </c>
      <c r="R45" s="198"/>
      <c r="S45" s="198"/>
      <c r="T45" s="198"/>
      <c r="U45" s="198"/>
    </row>
    <row r="46" spans="1:21" s="12" customFormat="1" x14ac:dyDescent="0.25">
      <c r="A46" s="214" t="s">
        <v>1628</v>
      </c>
      <c r="B46" s="64">
        <v>25.18</v>
      </c>
      <c r="C46" s="64">
        <v>23.3</v>
      </c>
      <c r="D46" s="64">
        <v>31.9</v>
      </c>
      <c r="E46" s="64">
        <v>5.78</v>
      </c>
      <c r="F46" s="64">
        <v>2.7</v>
      </c>
      <c r="G46" s="64">
        <v>77.75</v>
      </c>
      <c r="H46" s="64">
        <v>32.92</v>
      </c>
      <c r="I46" s="64">
        <v>0.1</v>
      </c>
      <c r="J46" s="64">
        <v>1.27</v>
      </c>
      <c r="K46" s="64">
        <v>336.75</v>
      </c>
      <c r="L46" s="64">
        <v>23.02</v>
      </c>
      <c r="M46" s="64">
        <v>48.85</v>
      </c>
      <c r="N46" s="64">
        <v>344.6</v>
      </c>
      <c r="O46" s="64">
        <v>0</v>
      </c>
      <c r="P46" s="64">
        <v>1.46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4" t="s">
        <v>1629</v>
      </c>
      <c r="B47" s="64">
        <v>24.67</v>
      </c>
      <c r="C47" s="64">
        <v>24.29</v>
      </c>
      <c r="D47" s="64">
        <v>32.020000000000003</v>
      </c>
      <c r="E47" s="64">
        <v>6.01</v>
      </c>
      <c r="F47" s="64">
        <v>2.7</v>
      </c>
      <c r="G47" s="64">
        <v>77.75</v>
      </c>
      <c r="H47" s="64">
        <v>32.92</v>
      </c>
      <c r="I47" s="64">
        <v>0.1</v>
      </c>
      <c r="J47" s="64">
        <v>1.51</v>
      </c>
      <c r="K47" s="64">
        <v>341.16</v>
      </c>
      <c r="L47" s="64">
        <v>23.98</v>
      </c>
      <c r="M47" s="64">
        <v>46.01</v>
      </c>
      <c r="N47" s="64">
        <v>365.2</v>
      </c>
      <c r="O47" s="64">
        <v>0</v>
      </c>
      <c r="P47" s="64">
        <v>1.49</v>
      </c>
      <c r="Q47" s="64">
        <v>9.66</v>
      </c>
      <c r="R47" s="198"/>
      <c r="S47" s="198"/>
      <c r="T47" s="198"/>
      <c r="U47" s="198"/>
    </row>
    <row r="48" spans="1:21" s="12" customFormat="1" x14ac:dyDescent="0.25">
      <c r="A48" s="214" t="s">
        <v>1630</v>
      </c>
      <c r="B48" s="64">
        <v>24.02</v>
      </c>
      <c r="C48" s="64">
        <v>25.29</v>
      </c>
      <c r="D48" s="64">
        <v>32.020000000000003</v>
      </c>
      <c r="E48" s="64">
        <v>6.34</v>
      </c>
      <c r="F48" s="64">
        <v>2.85</v>
      </c>
      <c r="G48" s="64">
        <v>77.77</v>
      </c>
      <c r="H48" s="64">
        <v>32.76</v>
      </c>
      <c r="I48" s="64">
        <v>0.1</v>
      </c>
      <c r="J48" s="64">
        <v>0.88</v>
      </c>
      <c r="K48" s="64">
        <v>326.75</v>
      </c>
      <c r="L48" s="64">
        <v>24.17</v>
      </c>
      <c r="M48" s="64">
        <v>45.06</v>
      </c>
      <c r="N48" s="64">
        <v>383.2</v>
      </c>
      <c r="O48" s="64">
        <v>0</v>
      </c>
      <c r="P48" s="64">
        <v>1.52</v>
      </c>
      <c r="Q48" s="64">
        <v>9.66</v>
      </c>
      <c r="R48" s="198"/>
      <c r="S48" s="198"/>
      <c r="T48" s="198"/>
      <c r="U48" s="198"/>
    </row>
    <row r="49" spans="1:21" s="12" customFormat="1" x14ac:dyDescent="0.25">
      <c r="A49" s="214" t="s">
        <v>1631</v>
      </c>
      <c r="B49" s="64">
        <v>23.3</v>
      </c>
      <c r="C49" s="64">
        <v>25.83</v>
      </c>
      <c r="D49" s="64">
        <v>31.72</v>
      </c>
      <c r="E49" s="64">
        <v>6.41</v>
      </c>
      <c r="F49" s="64">
        <v>2.93</v>
      </c>
      <c r="G49" s="64">
        <v>77.849999999999994</v>
      </c>
      <c r="H49" s="64">
        <v>32.03</v>
      </c>
      <c r="I49" s="64">
        <v>0.1</v>
      </c>
      <c r="J49" s="64">
        <v>0.53</v>
      </c>
      <c r="K49" s="64">
        <v>334.19</v>
      </c>
      <c r="L49" s="64">
        <v>24.47</v>
      </c>
      <c r="M49" s="64">
        <v>44.77</v>
      </c>
      <c r="N49" s="64">
        <v>401.9</v>
      </c>
      <c r="O49" s="64">
        <v>0</v>
      </c>
      <c r="P49" s="64">
        <v>1.52</v>
      </c>
      <c r="Q49" s="64">
        <v>9.68</v>
      </c>
      <c r="R49" s="198"/>
      <c r="S49" s="198"/>
      <c r="T49" s="198"/>
      <c r="U49" s="198"/>
    </row>
    <row r="50" spans="1:21" s="12" customFormat="1" x14ac:dyDescent="0.25">
      <c r="A50" s="214" t="s">
        <v>1632</v>
      </c>
      <c r="B50" s="64">
        <v>23.27</v>
      </c>
      <c r="C50" s="64">
        <v>25.36</v>
      </c>
      <c r="D50" s="64">
        <v>31.45</v>
      </c>
      <c r="E50" s="64">
        <v>6.67</v>
      </c>
      <c r="F50" s="64">
        <v>3.04</v>
      </c>
      <c r="G50" s="64">
        <v>77.849999999999994</v>
      </c>
      <c r="H50" s="64">
        <v>32.03</v>
      </c>
      <c r="I50" s="64">
        <v>0.1</v>
      </c>
      <c r="J50" s="64">
        <v>1.1299999999999999</v>
      </c>
      <c r="K50" s="64">
        <v>345.76</v>
      </c>
      <c r="L50" s="64">
        <v>24.99</v>
      </c>
      <c r="M50" s="64">
        <v>43.08</v>
      </c>
      <c r="N50" s="64">
        <v>418.1</v>
      </c>
      <c r="O50" s="64">
        <v>0</v>
      </c>
      <c r="P50" s="64">
        <v>1.53</v>
      </c>
      <c r="Q50" s="64">
        <v>9.67</v>
      </c>
      <c r="R50" s="198"/>
      <c r="S50" s="198"/>
      <c r="T50" s="198"/>
      <c r="U50" s="198"/>
    </row>
    <row r="51" spans="1:21" s="12" customFormat="1" x14ac:dyDescent="0.25">
      <c r="A51" s="214" t="s">
        <v>1633</v>
      </c>
      <c r="B51" s="64">
        <v>23.4</v>
      </c>
      <c r="C51" s="64">
        <v>24.85</v>
      </c>
      <c r="D51" s="64">
        <v>31.29</v>
      </c>
      <c r="E51" s="64">
        <v>6.47</v>
      </c>
      <c r="F51" s="64">
        <v>3.14</v>
      </c>
      <c r="G51" s="64">
        <v>77.849999999999994</v>
      </c>
      <c r="H51" s="64">
        <v>32.03</v>
      </c>
      <c r="I51" s="64">
        <v>0.1</v>
      </c>
      <c r="J51" s="64">
        <v>1.33</v>
      </c>
      <c r="K51" s="64">
        <v>336.73</v>
      </c>
      <c r="L51" s="64">
        <v>26.37</v>
      </c>
      <c r="M51" s="64">
        <v>38.520000000000003</v>
      </c>
      <c r="N51" s="64">
        <v>423.5</v>
      </c>
      <c r="O51" s="64">
        <v>0</v>
      </c>
      <c r="P51" s="64">
        <v>1.54</v>
      </c>
      <c r="Q51" s="64">
        <v>9.67</v>
      </c>
      <c r="R51" s="198"/>
      <c r="S51" s="198"/>
      <c r="T51" s="198"/>
      <c r="U51" s="198"/>
    </row>
    <row r="52" spans="1:21" s="12" customFormat="1" x14ac:dyDescent="0.25">
      <c r="A52" s="214" t="s">
        <v>1634</v>
      </c>
      <c r="B52" s="64">
        <v>23.35</v>
      </c>
      <c r="C52" s="64">
        <v>24.72</v>
      </c>
      <c r="D52" s="64">
        <v>31.18</v>
      </c>
      <c r="E52" s="64">
        <v>6.06</v>
      </c>
      <c r="F52" s="64">
        <v>3.24</v>
      </c>
      <c r="G52" s="64">
        <v>77.849999999999994</v>
      </c>
      <c r="H52" s="64">
        <v>32.03</v>
      </c>
      <c r="I52" s="64">
        <v>0.1</v>
      </c>
      <c r="J52" s="64">
        <v>1.28</v>
      </c>
      <c r="K52" s="64">
        <v>333.71</v>
      </c>
      <c r="L52" s="64">
        <v>27.22</v>
      </c>
      <c r="M52" s="64">
        <v>36.29</v>
      </c>
      <c r="N52" s="64">
        <v>429.4</v>
      </c>
      <c r="O52" s="64">
        <v>0</v>
      </c>
      <c r="P52" s="64">
        <v>1.54</v>
      </c>
      <c r="Q52" s="64">
        <v>9.67</v>
      </c>
      <c r="R52" s="198"/>
      <c r="S52" s="198"/>
      <c r="T52" s="198"/>
      <c r="U52" s="198"/>
    </row>
    <row r="53" spans="1:21" s="12" customFormat="1" x14ac:dyDescent="0.25">
      <c r="A53" s="214" t="s">
        <v>1635</v>
      </c>
      <c r="B53" s="64">
        <v>23.3</v>
      </c>
      <c r="C53" s="64">
        <v>24.99</v>
      </c>
      <c r="D53" s="64">
        <v>31.28</v>
      </c>
      <c r="E53" s="64">
        <v>6.15</v>
      </c>
      <c r="F53" s="64">
        <v>3.05</v>
      </c>
      <c r="G53" s="64">
        <v>77.849999999999994</v>
      </c>
      <c r="H53" s="64">
        <v>32.03</v>
      </c>
      <c r="I53" s="64">
        <v>0.1</v>
      </c>
      <c r="J53" s="64">
        <v>0.19</v>
      </c>
      <c r="K53" s="64">
        <v>359.9</v>
      </c>
      <c r="L53" s="64">
        <v>26.89</v>
      </c>
      <c r="M53" s="64">
        <v>36.71</v>
      </c>
      <c r="N53" s="64">
        <v>451.7</v>
      </c>
      <c r="O53" s="64">
        <v>0</v>
      </c>
      <c r="P53" s="64">
        <v>1.5</v>
      </c>
      <c r="Q53" s="64">
        <v>9.67</v>
      </c>
      <c r="R53" s="198"/>
      <c r="S53" s="198"/>
      <c r="T53" s="198"/>
      <c r="U53" s="198"/>
    </row>
    <row r="54" spans="1:21" s="12" customFormat="1" x14ac:dyDescent="0.25">
      <c r="A54" s="214" t="s">
        <v>1636</v>
      </c>
      <c r="B54" s="64">
        <v>23.03</v>
      </c>
      <c r="C54" s="64">
        <v>24.9</v>
      </c>
      <c r="D54" s="64">
        <v>31.02</v>
      </c>
      <c r="E54" s="64">
        <v>6.3</v>
      </c>
      <c r="F54" s="64">
        <v>3.05</v>
      </c>
      <c r="G54" s="64">
        <v>77.849999999999994</v>
      </c>
      <c r="H54" s="64">
        <v>32.03</v>
      </c>
      <c r="I54" s="64">
        <v>0.1</v>
      </c>
      <c r="J54" s="64">
        <v>0.15</v>
      </c>
      <c r="K54" s="64">
        <v>275.08999999999997</v>
      </c>
      <c r="L54" s="64">
        <v>25.18</v>
      </c>
      <c r="M54" s="64">
        <v>41.31</v>
      </c>
      <c r="N54" s="64">
        <v>453.7</v>
      </c>
      <c r="O54" s="64">
        <v>0</v>
      </c>
      <c r="P54" s="64">
        <v>1.43</v>
      </c>
      <c r="Q54" s="64">
        <v>9.69</v>
      </c>
      <c r="R54" s="198"/>
      <c r="S54" s="198"/>
      <c r="T54" s="198"/>
      <c r="U54" s="198"/>
    </row>
    <row r="55" spans="1:21" s="12" customFormat="1" x14ac:dyDescent="0.25">
      <c r="A55" s="214" t="s">
        <v>1637</v>
      </c>
      <c r="B55" s="64">
        <v>21.35</v>
      </c>
      <c r="C55" s="64">
        <v>27.17</v>
      </c>
      <c r="D55" s="64">
        <v>30.85</v>
      </c>
      <c r="E55" s="64">
        <v>6.33</v>
      </c>
      <c r="F55" s="64">
        <v>2.94</v>
      </c>
      <c r="G55" s="64">
        <v>77.849999999999994</v>
      </c>
      <c r="H55" s="64">
        <v>32.03</v>
      </c>
      <c r="I55" s="64">
        <v>0.1</v>
      </c>
      <c r="J55" s="64">
        <v>0.44</v>
      </c>
      <c r="K55" s="64">
        <v>30.07</v>
      </c>
      <c r="L55" s="64">
        <v>26.37</v>
      </c>
      <c r="M55" s="64">
        <v>36.64</v>
      </c>
      <c r="N55" s="64">
        <v>439</v>
      </c>
      <c r="O55" s="64">
        <v>0</v>
      </c>
      <c r="P55" s="64">
        <v>1.41</v>
      </c>
      <c r="Q55" s="64">
        <v>9.68</v>
      </c>
      <c r="R55" s="198"/>
      <c r="S55" s="198"/>
      <c r="T55" s="198"/>
      <c r="U55" s="198"/>
    </row>
    <row r="56" spans="1:21" s="12" customFormat="1" x14ac:dyDescent="0.25">
      <c r="A56" s="214" t="s">
        <v>1638</v>
      </c>
      <c r="B56" s="64">
        <v>18.96</v>
      </c>
      <c r="C56" s="64">
        <v>28.85</v>
      </c>
      <c r="D56" s="64">
        <v>29.81</v>
      </c>
      <c r="E56" s="64">
        <v>7.05</v>
      </c>
      <c r="F56" s="64">
        <v>3.93</v>
      </c>
      <c r="G56" s="64">
        <v>77.849999999999994</v>
      </c>
      <c r="H56" s="64">
        <v>32.03</v>
      </c>
      <c r="I56" s="64">
        <v>0.1</v>
      </c>
      <c r="J56" s="64">
        <v>1.39</v>
      </c>
      <c r="K56" s="64">
        <v>333.35</v>
      </c>
      <c r="L56" s="64">
        <v>27.12</v>
      </c>
      <c r="M56" s="64">
        <v>34.5</v>
      </c>
      <c r="N56" s="64">
        <v>433.7</v>
      </c>
      <c r="O56" s="64">
        <v>0</v>
      </c>
      <c r="P56" s="64">
        <v>1.38</v>
      </c>
      <c r="Q56" s="64">
        <v>9.65</v>
      </c>
      <c r="R56" s="198"/>
      <c r="S56" s="198"/>
      <c r="T56" s="198"/>
      <c r="U56" s="198"/>
    </row>
    <row r="57" spans="1:21" s="12" customFormat="1" x14ac:dyDescent="0.25">
      <c r="A57" s="214" t="s">
        <v>1639</v>
      </c>
      <c r="B57" s="64">
        <v>16.559999999999999</v>
      </c>
      <c r="C57" s="64">
        <v>34.950000000000003</v>
      </c>
      <c r="D57" s="64">
        <v>31.08</v>
      </c>
      <c r="E57" s="64">
        <v>8.2200000000000006</v>
      </c>
      <c r="F57" s="64">
        <v>5.7</v>
      </c>
      <c r="G57" s="26" t="s">
        <v>40</v>
      </c>
      <c r="H57" s="26" t="s">
        <v>40</v>
      </c>
      <c r="I57" s="64">
        <v>0.1</v>
      </c>
      <c r="J57" s="64">
        <v>1.48</v>
      </c>
      <c r="K57" s="64">
        <v>333.61</v>
      </c>
      <c r="L57" s="64">
        <v>28.15</v>
      </c>
      <c r="M57" s="64">
        <v>31.87</v>
      </c>
      <c r="N57" s="64">
        <v>432.4</v>
      </c>
      <c r="O57" s="64">
        <v>0</v>
      </c>
      <c r="P57" s="64">
        <v>1.37</v>
      </c>
      <c r="Q57" s="64">
        <v>9.65</v>
      </c>
      <c r="R57" s="198"/>
      <c r="S57" s="198"/>
      <c r="T57" s="198"/>
      <c r="U57" s="198"/>
    </row>
    <row r="58" spans="1:21" s="12" customFormat="1" x14ac:dyDescent="0.25">
      <c r="A58" s="214" t="s">
        <v>1640</v>
      </c>
      <c r="B58" s="64">
        <v>10.93</v>
      </c>
      <c r="C58" s="64">
        <v>38.49</v>
      </c>
      <c r="D58" s="64">
        <v>28.41</v>
      </c>
      <c r="E58" s="64">
        <v>7.28</v>
      </c>
      <c r="F58" s="64">
        <v>4.8499999999999996</v>
      </c>
      <c r="G58" s="26" t="s">
        <v>40</v>
      </c>
      <c r="H58" s="26" t="s">
        <v>40</v>
      </c>
      <c r="I58" s="64">
        <v>0.1</v>
      </c>
      <c r="J58" s="64">
        <v>1.45</v>
      </c>
      <c r="K58" s="64">
        <v>334.59</v>
      </c>
      <c r="L58" s="64">
        <v>28.49</v>
      </c>
      <c r="M58" s="64">
        <v>30.27</v>
      </c>
      <c r="N58" s="64">
        <v>412.8</v>
      </c>
      <c r="O58" s="64">
        <v>0</v>
      </c>
      <c r="P58" s="64">
        <v>1.32</v>
      </c>
      <c r="Q58" s="64">
        <v>9.64</v>
      </c>
      <c r="R58" s="198"/>
      <c r="S58" s="198"/>
      <c r="T58" s="198"/>
      <c r="U58" s="198"/>
    </row>
    <row r="59" spans="1:21" s="12" customFormat="1" x14ac:dyDescent="0.25">
      <c r="A59" s="214" t="s">
        <v>1641</v>
      </c>
      <c r="B59" s="64">
        <v>7.57</v>
      </c>
      <c r="C59" s="64">
        <v>39.9</v>
      </c>
      <c r="D59" s="64">
        <v>24.56</v>
      </c>
      <c r="E59" s="64">
        <v>7.96</v>
      </c>
      <c r="F59" s="64">
        <v>7.26</v>
      </c>
      <c r="G59" s="26" t="s">
        <v>40</v>
      </c>
      <c r="H59" s="26" t="s">
        <v>40</v>
      </c>
      <c r="I59" s="64">
        <v>0.1</v>
      </c>
      <c r="J59" s="64">
        <v>0.93</v>
      </c>
      <c r="K59" s="64">
        <v>331</v>
      </c>
      <c r="L59" s="64">
        <v>28.31</v>
      </c>
      <c r="M59" s="64">
        <v>28.09</v>
      </c>
      <c r="N59" s="64">
        <v>404.2</v>
      </c>
      <c r="O59" s="64">
        <v>0</v>
      </c>
      <c r="P59" s="64">
        <v>1.25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4" t="s">
        <v>1642</v>
      </c>
      <c r="B60" s="64">
        <v>4.72</v>
      </c>
      <c r="C60" s="64">
        <v>41</v>
      </c>
      <c r="D60" s="64">
        <v>24.75</v>
      </c>
      <c r="E60" s="64">
        <v>7.75</v>
      </c>
      <c r="F60" s="64">
        <v>5.95</v>
      </c>
      <c r="G60" s="26" t="s">
        <v>40</v>
      </c>
      <c r="H60" s="26" t="s">
        <v>40</v>
      </c>
      <c r="I60" s="64">
        <v>0.1</v>
      </c>
      <c r="J60" s="64">
        <v>1.07</v>
      </c>
      <c r="K60" s="64">
        <v>131.24</v>
      </c>
      <c r="L60" s="64">
        <v>25.93</v>
      </c>
      <c r="M60" s="64">
        <v>32.29</v>
      </c>
      <c r="N60" s="64">
        <v>409.1</v>
      </c>
      <c r="O60" s="64">
        <v>0</v>
      </c>
      <c r="P60" s="64">
        <v>1.19</v>
      </c>
      <c r="Q60" s="64">
        <v>9.64</v>
      </c>
      <c r="R60" s="198"/>
      <c r="S60" s="198"/>
      <c r="T60" s="198"/>
      <c r="U60" s="198"/>
    </row>
    <row r="61" spans="1:21" s="12" customFormat="1" x14ac:dyDescent="0.25">
      <c r="A61" s="214" t="s">
        <v>1643</v>
      </c>
      <c r="B61" s="64">
        <v>3.33</v>
      </c>
      <c r="C61" s="64">
        <v>38.380000000000003</v>
      </c>
      <c r="D61" s="64">
        <v>22.26</v>
      </c>
      <c r="E61" s="64">
        <v>8.27</v>
      </c>
      <c r="F61" s="64">
        <v>9.6300000000000008</v>
      </c>
      <c r="G61" s="64">
        <v>22.93</v>
      </c>
      <c r="H61" s="64">
        <v>11.7</v>
      </c>
      <c r="I61" s="64">
        <v>0.1</v>
      </c>
      <c r="J61" s="64">
        <v>1.26</v>
      </c>
      <c r="K61" s="64">
        <v>122.62</v>
      </c>
      <c r="L61" s="64">
        <v>24.94</v>
      </c>
      <c r="M61" s="64">
        <v>33.65</v>
      </c>
      <c r="N61" s="64">
        <v>395.1</v>
      </c>
      <c r="O61" s="64">
        <v>0</v>
      </c>
      <c r="P61" s="64">
        <v>1.07</v>
      </c>
      <c r="Q61" s="64">
        <v>9.65</v>
      </c>
      <c r="R61" s="198"/>
      <c r="S61" s="198"/>
      <c r="T61" s="198"/>
      <c r="U61" s="198"/>
    </row>
    <row r="62" spans="1:21" s="12" customFormat="1" x14ac:dyDescent="0.25">
      <c r="A62" s="214" t="s">
        <v>1644</v>
      </c>
      <c r="B62" s="64">
        <v>3.31</v>
      </c>
      <c r="C62" s="64">
        <v>37.9</v>
      </c>
      <c r="D62" s="64">
        <v>22</v>
      </c>
      <c r="E62" s="64">
        <v>9.06</v>
      </c>
      <c r="F62" s="64">
        <v>8.17</v>
      </c>
      <c r="G62" s="64">
        <v>43.91</v>
      </c>
      <c r="H62" s="64">
        <v>16.93</v>
      </c>
      <c r="I62" s="64">
        <v>0.1</v>
      </c>
      <c r="J62" s="64">
        <v>0.5</v>
      </c>
      <c r="K62" s="64">
        <v>28.39</v>
      </c>
      <c r="L62" s="64">
        <v>24.98</v>
      </c>
      <c r="M62" s="64">
        <v>32.770000000000003</v>
      </c>
      <c r="N62" s="64">
        <v>416</v>
      </c>
      <c r="O62" s="64">
        <v>0</v>
      </c>
      <c r="P62" s="64">
        <v>1.1499999999999999</v>
      </c>
      <c r="Q62" s="64">
        <v>9.6300000000000008</v>
      </c>
      <c r="R62" s="198"/>
      <c r="S62" s="198"/>
      <c r="T62" s="198"/>
      <c r="U62" s="198"/>
    </row>
    <row r="63" spans="1:21" s="12" customFormat="1" x14ac:dyDescent="0.25">
      <c r="A63" s="214" t="s">
        <v>1645</v>
      </c>
      <c r="B63" s="64">
        <v>5.63</v>
      </c>
      <c r="C63" s="64">
        <v>37.82</v>
      </c>
      <c r="D63" s="64">
        <v>23.81</v>
      </c>
      <c r="E63" s="64">
        <v>26.31</v>
      </c>
      <c r="F63" s="64">
        <v>21.5</v>
      </c>
      <c r="G63" s="64">
        <v>43.91</v>
      </c>
      <c r="H63" s="64">
        <v>16.93</v>
      </c>
      <c r="I63" s="64">
        <v>0.1</v>
      </c>
      <c r="J63" s="64">
        <v>1.08</v>
      </c>
      <c r="K63" s="64">
        <v>343.55</v>
      </c>
      <c r="L63" s="64">
        <v>26.81</v>
      </c>
      <c r="M63" s="64">
        <v>28.79</v>
      </c>
      <c r="N63" s="64">
        <v>387.4</v>
      </c>
      <c r="O63" s="64">
        <v>0</v>
      </c>
      <c r="P63" s="64">
        <v>1.04</v>
      </c>
      <c r="Q63" s="64">
        <v>9.6300000000000008</v>
      </c>
      <c r="R63" s="198"/>
      <c r="S63" s="198"/>
      <c r="T63" s="198"/>
      <c r="U63" s="198"/>
    </row>
    <row r="64" spans="1:21" s="12" customFormat="1" x14ac:dyDescent="0.25">
      <c r="A64" s="214" t="s">
        <v>1646</v>
      </c>
      <c r="B64" s="64">
        <v>4.9800000000000004</v>
      </c>
      <c r="C64" s="64">
        <v>41.17</v>
      </c>
      <c r="D64" s="64">
        <v>25.04</v>
      </c>
      <c r="E64" s="64">
        <v>17.8</v>
      </c>
      <c r="F64" s="64">
        <v>15.29</v>
      </c>
      <c r="G64" s="64">
        <v>43.91</v>
      </c>
      <c r="H64" s="64">
        <v>16.93</v>
      </c>
      <c r="I64" s="64">
        <v>0.1</v>
      </c>
      <c r="J64" s="64">
        <v>0.25</v>
      </c>
      <c r="K64" s="64">
        <v>36.78</v>
      </c>
      <c r="L64" s="64">
        <v>26.16</v>
      </c>
      <c r="M64" s="64">
        <v>29.72</v>
      </c>
      <c r="N64" s="64">
        <v>281.89999999999998</v>
      </c>
      <c r="O64" s="64">
        <v>0</v>
      </c>
      <c r="P64" s="64">
        <v>1.08</v>
      </c>
      <c r="Q64" s="64">
        <v>9.64</v>
      </c>
      <c r="R64" s="198"/>
      <c r="S64" s="198"/>
      <c r="T64" s="198"/>
      <c r="U64" s="198"/>
    </row>
    <row r="65" spans="1:21" s="12" customFormat="1" x14ac:dyDescent="0.25">
      <c r="A65" s="214" t="s">
        <v>1647</v>
      </c>
      <c r="B65" s="64">
        <v>3.21</v>
      </c>
      <c r="C65" s="64">
        <v>34.69</v>
      </c>
      <c r="D65" s="64">
        <v>20.23</v>
      </c>
      <c r="E65" s="64">
        <v>13.12</v>
      </c>
      <c r="F65" s="64">
        <v>14.68</v>
      </c>
      <c r="G65" s="64">
        <v>46.44</v>
      </c>
      <c r="H65" s="64">
        <v>17.41</v>
      </c>
      <c r="I65" s="64">
        <v>0.1</v>
      </c>
      <c r="J65" s="64">
        <v>1.48</v>
      </c>
      <c r="K65" s="64">
        <v>125.53</v>
      </c>
      <c r="L65" s="64">
        <v>24.42</v>
      </c>
      <c r="M65" s="64">
        <v>32.450000000000003</v>
      </c>
      <c r="N65" s="64">
        <v>183.5</v>
      </c>
      <c r="O65" s="64">
        <v>0</v>
      </c>
      <c r="P65" s="64">
        <v>1.06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4" t="s">
        <v>1648</v>
      </c>
      <c r="B66" s="64">
        <v>3.42</v>
      </c>
      <c r="C66" s="64">
        <v>34.33</v>
      </c>
      <c r="D66" s="64">
        <v>20.22</v>
      </c>
      <c r="E66" s="64">
        <v>17.559999999999999</v>
      </c>
      <c r="F66" s="64">
        <v>21.5</v>
      </c>
      <c r="G66" s="64">
        <v>48.75</v>
      </c>
      <c r="H66" s="64">
        <v>17.63</v>
      </c>
      <c r="I66" s="64">
        <v>0.1</v>
      </c>
      <c r="J66" s="64">
        <v>0.91</v>
      </c>
      <c r="K66" s="64">
        <v>105.43</v>
      </c>
      <c r="L66" s="64">
        <v>24.16</v>
      </c>
      <c r="M66" s="64">
        <v>34.869999999999997</v>
      </c>
      <c r="N66" s="64">
        <v>151.5</v>
      </c>
      <c r="O66" s="64">
        <v>0</v>
      </c>
      <c r="P66" s="64">
        <v>1.1000000000000001</v>
      </c>
      <c r="Q66" s="64">
        <v>9.64</v>
      </c>
      <c r="R66" s="198"/>
      <c r="S66" s="198"/>
      <c r="T66" s="198"/>
      <c r="U66" s="198"/>
    </row>
    <row r="67" spans="1:21" s="12" customFormat="1" x14ac:dyDescent="0.25">
      <c r="A67" s="214" t="s">
        <v>1649</v>
      </c>
      <c r="B67" s="64">
        <v>3.84</v>
      </c>
      <c r="C67" s="64">
        <v>35.65</v>
      </c>
      <c r="D67" s="64">
        <v>21.24</v>
      </c>
      <c r="E67" s="64">
        <v>27.26</v>
      </c>
      <c r="F67" s="64">
        <v>24.25</v>
      </c>
      <c r="G67" s="64">
        <v>48.75</v>
      </c>
      <c r="H67" s="64">
        <v>17.63</v>
      </c>
      <c r="I67" s="64">
        <v>0.1</v>
      </c>
      <c r="J67" s="64">
        <v>0.42</v>
      </c>
      <c r="K67" s="64">
        <v>34.090000000000003</v>
      </c>
      <c r="L67" s="64">
        <v>24.53</v>
      </c>
      <c r="M67" s="64">
        <v>33.89</v>
      </c>
      <c r="N67" s="64">
        <v>134.4</v>
      </c>
      <c r="O67" s="64">
        <v>0</v>
      </c>
      <c r="P67" s="64">
        <v>1.1100000000000001</v>
      </c>
      <c r="Q67" s="64">
        <v>9.65</v>
      </c>
      <c r="R67" s="198"/>
      <c r="S67" s="198"/>
      <c r="T67" s="198"/>
      <c r="U67" s="198"/>
    </row>
    <row r="68" spans="1:21" s="12" customFormat="1" x14ac:dyDescent="0.25">
      <c r="A68" s="214" t="s">
        <v>1650</v>
      </c>
      <c r="B68" s="64">
        <v>3.77</v>
      </c>
      <c r="C68" s="64">
        <v>35.44</v>
      </c>
      <c r="D68" s="64">
        <v>21.08</v>
      </c>
      <c r="E68" s="64">
        <v>35.29</v>
      </c>
      <c r="F68" s="64">
        <v>24.92</v>
      </c>
      <c r="G68" s="64">
        <v>48.75</v>
      </c>
      <c r="H68" s="64">
        <v>17.63</v>
      </c>
      <c r="I68" s="64">
        <v>0.1</v>
      </c>
      <c r="J68" s="64">
        <v>0.4</v>
      </c>
      <c r="K68" s="64">
        <v>57.62</v>
      </c>
      <c r="L68" s="64">
        <v>24.52</v>
      </c>
      <c r="M68" s="64">
        <v>33.19</v>
      </c>
      <c r="N68" s="64">
        <v>124.1</v>
      </c>
      <c r="O68" s="64">
        <v>0</v>
      </c>
      <c r="P68" s="64">
        <v>1.1299999999999999</v>
      </c>
      <c r="Q68" s="64">
        <v>9.65</v>
      </c>
      <c r="R68" s="198"/>
      <c r="S68" s="198"/>
      <c r="T68" s="198"/>
      <c r="U68" s="198"/>
    </row>
    <row r="69" spans="1:21" s="12" customFormat="1" x14ac:dyDescent="0.25">
      <c r="A69" s="214" t="s">
        <v>1651</v>
      </c>
      <c r="B69" s="64">
        <v>3.31</v>
      </c>
      <c r="C69" s="64">
        <v>34.72</v>
      </c>
      <c r="D69" s="64">
        <v>20.34</v>
      </c>
      <c r="E69" s="64">
        <v>31.16</v>
      </c>
      <c r="F69" s="64">
        <v>23.86</v>
      </c>
      <c r="G69" s="64">
        <v>50.15</v>
      </c>
      <c r="H69" s="64">
        <v>20.43</v>
      </c>
      <c r="I69" s="64">
        <v>0.1</v>
      </c>
      <c r="J69" s="64">
        <v>0.71</v>
      </c>
      <c r="K69" s="64">
        <v>139.52000000000001</v>
      </c>
      <c r="L69" s="64">
        <v>23.88</v>
      </c>
      <c r="M69" s="64">
        <v>35.119999999999997</v>
      </c>
      <c r="N69" s="64">
        <v>115.8</v>
      </c>
      <c r="O69" s="64">
        <v>0</v>
      </c>
      <c r="P69" s="64">
        <v>1.07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4" t="s">
        <v>1652</v>
      </c>
      <c r="B70" s="64">
        <v>4.2</v>
      </c>
      <c r="C70" s="64">
        <v>36.409999999999997</v>
      </c>
      <c r="D70" s="64">
        <v>21.93</v>
      </c>
      <c r="E70" s="64">
        <v>20</v>
      </c>
      <c r="F70" s="64">
        <v>12.77</v>
      </c>
      <c r="G70" s="64">
        <v>51.43</v>
      </c>
      <c r="H70" s="64">
        <v>21.69</v>
      </c>
      <c r="I70" s="64">
        <v>0.1</v>
      </c>
      <c r="J70" s="64">
        <v>0.23</v>
      </c>
      <c r="K70" s="64">
        <v>68.930000000000007</v>
      </c>
      <c r="L70" s="64">
        <v>23.77</v>
      </c>
      <c r="M70" s="64">
        <v>37.33</v>
      </c>
      <c r="N70" s="64">
        <v>107.5</v>
      </c>
      <c r="O70" s="64">
        <v>0</v>
      </c>
      <c r="P70" s="64">
        <v>1.1200000000000001</v>
      </c>
      <c r="Q70" s="64">
        <v>9.64</v>
      </c>
      <c r="R70" s="198"/>
      <c r="S70" s="198"/>
      <c r="T70" s="198"/>
      <c r="U70" s="198"/>
    </row>
    <row r="71" spans="1:21" s="12" customFormat="1" x14ac:dyDescent="0.25">
      <c r="A71" s="214" t="s">
        <v>1653</v>
      </c>
      <c r="B71" s="64">
        <v>5.25</v>
      </c>
      <c r="C71" s="64">
        <v>38.880000000000003</v>
      </c>
      <c r="D71" s="64">
        <v>24.06</v>
      </c>
      <c r="E71" s="64">
        <v>12.16</v>
      </c>
      <c r="F71" s="64">
        <v>6.58</v>
      </c>
      <c r="G71" s="64">
        <v>51.43</v>
      </c>
      <c r="H71" s="64">
        <v>21.69</v>
      </c>
      <c r="I71" s="64">
        <v>0.1</v>
      </c>
      <c r="J71" s="64">
        <v>1.01</v>
      </c>
      <c r="K71" s="64">
        <v>338.42</v>
      </c>
      <c r="L71" s="64">
        <v>24</v>
      </c>
      <c r="M71" s="64">
        <v>39.19</v>
      </c>
      <c r="N71" s="64">
        <v>98.9</v>
      </c>
      <c r="O71" s="64">
        <v>0</v>
      </c>
      <c r="P71" s="64">
        <v>1.1200000000000001</v>
      </c>
      <c r="Q71" s="64">
        <v>9.66</v>
      </c>
      <c r="R71" s="198"/>
      <c r="S71" s="198"/>
      <c r="T71" s="198"/>
      <c r="U71" s="198"/>
    </row>
    <row r="72" spans="1:21" s="12" customFormat="1" x14ac:dyDescent="0.25">
      <c r="A72" s="214" t="s">
        <v>1654</v>
      </c>
      <c r="B72" s="64">
        <v>4.7</v>
      </c>
      <c r="C72" s="64">
        <v>41.98</v>
      </c>
      <c r="D72" s="64">
        <v>25.24</v>
      </c>
      <c r="E72" s="64">
        <v>10.91</v>
      </c>
      <c r="F72" s="64">
        <v>8.08</v>
      </c>
      <c r="G72" s="64">
        <v>51.43</v>
      </c>
      <c r="H72" s="64">
        <v>21.69</v>
      </c>
      <c r="I72" s="64">
        <v>0.1</v>
      </c>
      <c r="J72" s="64">
        <v>0.84</v>
      </c>
      <c r="K72" s="64">
        <v>350.24</v>
      </c>
      <c r="L72" s="64">
        <v>23.84</v>
      </c>
      <c r="M72" s="64">
        <v>39.9</v>
      </c>
      <c r="N72" s="64">
        <v>91.5</v>
      </c>
      <c r="O72" s="64">
        <v>0</v>
      </c>
      <c r="P72" s="64">
        <v>1.1299999999999999</v>
      </c>
      <c r="Q72" s="64">
        <v>9.65</v>
      </c>
      <c r="R72" s="198"/>
      <c r="S72" s="198"/>
      <c r="T72" s="198"/>
      <c r="U72" s="198"/>
    </row>
    <row r="73" spans="1:21" s="12" customFormat="1" x14ac:dyDescent="0.25">
      <c r="A73" s="214" t="s">
        <v>1655</v>
      </c>
      <c r="B73" s="64">
        <v>5.75</v>
      </c>
      <c r="C73" s="64">
        <v>43.68</v>
      </c>
      <c r="D73" s="64">
        <v>26.97</v>
      </c>
      <c r="E73" s="64">
        <v>17.45</v>
      </c>
      <c r="F73" s="64">
        <v>8.26</v>
      </c>
      <c r="G73" s="64">
        <v>54.96</v>
      </c>
      <c r="H73" s="64">
        <v>21.44</v>
      </c>
      <c r="I73" s="64">
        <v>0.1</v>
      </c>
      <c r="J73" s="64">
        <v>1.3</v>
      </c>
      <c r="K73" s="64">
        <v>342.63</v>
      </c>
      <c r="L73" s="64">
        <v>23.66</v>
      </c>
      <c r="M73" s="64">
        <v>41.46</v>
      </c>
      <c r="N73" s="64">
        <v>84.4</v>
      </c>
      <c r="O73" s="64">
        <v>0</v>
      </c>
      <c r="P73" s="64">
        <v>1.2</v>
      </c>
      <c r="Q73" s="64">
        <v>9.64</v>
      </c>
      <c r="R73" s="198"/>
      <c r="S73" s="198"/>
      <c r="T73" s="198"/>
      <c r="U73" s="198"/>
    </row>
    <row r="74" spans="1:21" s="12" customFormat="1" x14ac:dyDescent="0.25">
      <c r="A74" s="214" t="s">
        <v>1656</v>
      </c>
      <c r="B74" s="64">
        <v>5.79</v>
      </c>
      <c r="C74" s="64">
        <v>43.75</v>
      </c>
      <c r="D74" s="64">
        <v>27.04</v>
      </c>
      <c r="E74" s="64">
        <v>9.9700000000000006</v>
      </c>
      <c r="F74" s="64">
        <v>7.33</v>
      </c>
      <c r="G74" s="64">
        <v>58.2</v>
      </c>
      <c r="H74" s="64">
        <v>21.21</v>
      </c>
      <c r="I74" s="64">
        <v>0.1</v>
      </c>
      <c r="J74" s="64">
        <v>1.23</v>
      </c>
      <c r="K74" s="64">
        <v>344.55</v>
      </c>
      <c r="L74" s="64">
        <v>23.32</v>
      </c>
      <c r="M74" s="64">
        <v>42.38</v>
      </c>
      <c r="N74" s="64">
        <v>76.8</v>
      </c>
      <c r="O74" s="64">
        <v>0</v>
      </c>
      <c r="P74" s="64">
        <v>1.17</v>
      </c>
      <c r="Q74" s="64">
        <v>9.64</v>
      </c>
      <c r="R74" s="198"/>
      <c r="S74" s="198"/>
      <c r="T74" s="198"/>
      <c r="U74" s="198"/>
    </row>
    <row r="75" spans="1:21" s="12" customFormat="1" x14ac:dyDescent="0.25">
      <c r="A75" s="214" t="s">
        <v>1657</v>
      </c>
      <c r="B75" s="64">
        <v>7.79</v>
      </c>
      <c r="C75" s="64">
        <v>44.62</v>
      </c>
      <c r="D75" s="64">
        <v>29.1</v>
      </c>
      <c r="E75" s="64">
        <v>9.07</v>
      </c>
      <c r="F75" s="64">
        <v>6.44</v>
      </c>
      <c r="G75" s="64">
        <v>58.2</v>
      </c>
      <c r="H75" s="64">
        <v>21.21</v>
      </c>
      <c r="I75" s="64">
        <v>0.1</v>
      </c>
      <c r="J75" s="64">
        <v>1.23</v>
      </c>
      <c r="K75" s="64">
        <v>348.49</v>
      </c>
      <c r="L75" s="64">
        <v>22.86</v>
      </c>
      <c r="M75" s="64">
        <v>43.23</v>
      </c>
      <c r="N75" s="64">
        <v>69.2</v>
      </c>
      <c r="O75" s="64">
        <v>0</v>
      </c>
      <c r="P75" s="64">
        <v>1.22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4" t="s">
        <v>1658</v>
      </c>
      <c r="B76" s="64">
        <v>16.34</v>
      </c>
      <c r="C76" s="64">
        <v>45.16</v>
      </c>
      <c r="D76" s="64">
        <v>36.24</v>
      </c>
      <c r="E76" s="64">
        <v>9.5399999999999991</v>
      </c>
      <c r="F76" s="64">
        <v>4.32</v>
      </c>
      <c r="G76" s="64">
        <v>58.2</v>
      </c>
      <c r="H76" s="64">
        <v>21.21</v>
      </c>
      <c r="I76" s="64">
        <v>0.1</v>
      </c>
      <c r="J76" s="64">
        <v>1</v>
      </c>
      <c r="K76" s="64">
        <v>357.7</v>
      </c>
      <c r="L76" s="64">
        <v>22.23</v>
      </c>
      <c r="M76" s="64">
        <v>46.27</v>
      </c>
      <c r="N76" s="64">
        <v>62.9</v>
      </c>
      <c r="O76" s="64">
        <v>0</v>
      </c>
      <c r="P76" s="64">
        <v>1.34</v>
      </c>
      <c r="Q76" s="64">
        <v>9.64</v>
      </c>
      <c r="R76" s="198"/>
      <c r="S76" s="198"/>
      <c r="T76" s="198"/>
      <c r="U76" s="198"/>
    </row>
    <row r="77" spans="1:21" s="12" customFormat="1" x14ac:dyDescent="0.25">
      <c r="A77" s="214" t="s">
        <v>1659</v>
      </c>
      <c r="B77" s="64">
        <v>18.29</v>
      </c>
      <c r="C77" s="64">
        <v>46.8</v>
      </c>
      <c r="D77" s="64">
        <v>38.659999999999997</v>
      </c>
      <c r="E77" s="64">
        <v>10.71</v>
      </c>
      <c r="F77" s="64">
        <v>4.9400000000000004</v>
      </c>
      <c r="G77" s="64">
        <v>62.86</v>
      </c>
      <c r="H77" s="64">
        <v>23.07</v>
      </c>
      <c r="I77" s="64">
        <v>0.1</v>
      </c>
      <c r="J77" s="64">
        <v>0.88</v>
      </c>
      <c r="K77" s="64">
        <v>4.9000000000000004</v>
      </c>
      <c r="L77" s="64">
        <v>21.5</v>
      </c>
      <c r="M77" s="64">
        <v>49.93</v>
      </c>
      <c r="N77" s="64">
        <v>57.7</v>
      </c>
      <c r="O77" s="64">
        <v>0</v>
      </c>
      <c r="P77" s="64">
        <v>1.49</v>
      </c>
      <c r="Q77" s="64">
        <v>9.65</v>
      </c>
      <c r="R77" s="198"/>
      <c r="S77" s="198"/>
      <c r="T77" s="198"/>
      <c r="U77" s="198"/>
    </row>
    <row r="78" spans="1:21" s="12" customFormat="1" x14ac:dyDescent="0.25">
      <c r="A78" s="214" t="s">
        <v>1660</v>
      </c>
      <c r="B78" s="64">
        <v>15.76</v>
      </c>
      <c r="C78" s="64">
        <v>43.68</v>
      </c>
      <c r="D78" s="64">
        <v>34.99</v>
      </c>
      <c r="E78" s="64">
        <v>7.3</v>
      </c>
      <c r="F78" s="64">
        <v>4.13</v>
      </c>
      <c r="G78" s="64">
        <v>67.12</v>
      </c>
      <c r="H78" s="64">
        <v>23.92</v>
      </c>
      <c r="I78" s="64">
        <v>0.1</v>
      </c>
      <c r="J78" s="64">
        <v>0.66</v>
      </c>
      <c r="K78" s="64">
        <v>17.61</v>
      </c>
      <c r="L78" s="64">
        <v>20.76</v>
      </c>
      <c r="M78" s="64">
        <v>49.44</v>
      </c>
      <c r="N78" s="64">
        <v>55.3</v>
      </c>
      <c r="O78" s="64">
        <v>0</v>
      </c>
      <c r="P78" s="64">
        <v>1.46</v>
      </c>
      <c r="Q78" s="64">
        <v>9.66</v>
      </c>
      <c r="R78" s="198"/>
      <c r="S78" s="198"/>
      <c r="T78" s="198"/>
      <c r="U78" s="198"/>
    </row>
    <row r="79" spans="1:21" s="12" customFormat="1" x14ac:dyDescent="0.25">
      <c r="A79" s="214" t="s">
        <v>1661</v>
      </c>
      <c r="B79" s="64">
        <v>16.670000000000002</v>
      </c>
      <c r="C79" s="64">
        <v>42.52</v>
      </c>
      <c r="D79" s="64">
        <v>35.119999999999997</v>
      </c>
      <c r="E79" s="64">
        <v>6.23</v>
      </c>
      <c r="F79" s="64">
        <v>4.41</v>
      </c>
      <c r="G79" s="64">
        <v>67.12</v>
      </c>
      <c r="H79" s="64">
        <v>23.92</v>
      </c>
      <c r="I79" s="64">
        <v>0.1</v>
      </c>
      <c r="J79" s="64">
        <v>0.81</v>
      </c>
      <c r="K79" s="64">
        <v>1.64</v>
      </c>
      <c r="L79" s="64">
        <v>20.399999999999999</v>
      </c>
      <c r="M79" s="64">
        <v>54.37</v>
      </c>
      <c r="N79" s="64">
        <v>54.8</v>
      </c>
      <c r="O79" s="64">
        <v>0</v>
      </c>
      <c r="P79" s="64">
        <v>1.5</v>
      </c>
      <c r="Q79" s="64">
        <v>9.67</v>
      </c>
      <c r="R79" s="198"/>
      <c r="S79" s="198"/>
      <c r="T79" s="198"/>
      <c r="U79" s="198"/>
    </row>
    <row r="80" spans="1:21" s="12" customFormat="1" x14ac:dyDescent="0.25">
      <c r="A80" s="214" t="s">
        <v>1662</v>
      </c>
      <c r="B80" s="64">
        <v>19.8</v>
      </c>
      <c r="C80" s="64">
        <v>40.46</v>
      </c>
      <c r="D80" s="64">
        <v>36.56</v>
      </c>
      <c r="E80" s="64">
        <v>6.1</v>
      </c>
      <c r="F80" s="64">
        <v>4.41</v>
      </c>
      <c r="G80" s="64">
        <v>67.12</v>
      </c>
      <c r="H80" s="64">
        <v>23.92</v>
      </c>
      <c r="I80" s="64">
        <v>0.1</v>
      </c>
      <c r="J80" s="64">
        <v>0.65</v>
      </c>
      <c r="K80" s="64">
        <v>29.65</v>
      </c>
      <c r="L80" s="64">
        <v>19.989999999999998</v>
      </c>
      <c r="M80" s="64">
        <v>54.98</v>
      </c>
      <c r="N80" s="64">
        <v>54.6</v>
      </c>
      <c r="O80" s="64">
        <v>0</v>
      </c>
      <c r="P80" s="64">
        <v>1.62</v>
      </c>
      <c r="Q80" s="64">
        <v>9.68</v>
      </c>
      <c r="R80" s="198"/>
      <c r="S80" s="198"/>
      <c r="T80" s="198"/>
      <c r="U80" s="198"/>
    </row>
    <row r="81" spans="1:26" s="12" customFormat="1" x14ac:dyDescent="0.25">
      <c r="A81" s="214" t="s">
        <v>1663</v>
      </c>
      <c r="B81" s="64">
        <v>25.59</v>
      </c>
      <c r="C81" s="64">
        <v>40.68</v>
      </c>
      <c r="D81" s="64">
        <v>41.32</v>
      </c>
      <c r="E81" s="64">
        <v>6.47</v>
      </c>
      <c r="F81" s="64">
        <v>3.9</v>
      </c>
      <c r="G81" s="64">
        <v>76.569999999999993</v>
      </c>
      <c r="H81" s="64">
        <v>29.81</v>
      </c>
      <c r="I81" s="64">
        <v>0.1</v>
      </c>
      <c r="J81" s="64">
        <v>0.53</v>
      </c>
      <c r="K81" s="64">
        <v>351.89</v>
      </c>
      <c r="L81" s="64">
        <v>19.670000000000002</v>
      </c>
      <c r="M81" s="64">
        <v>57.99</v>
      </c>
      <c r="N81" s="64">
        <v>54.7</v>
      </c>
      <c r="O81" s="64">
        <v>0</v>
      </c>
      <c r="P81" s="64">
        <v>1.88</v>
      </c>
      <c r="Q81" s="64">
        <v>9.68</v>
      </c>
      <c r="R81" s="198"/>
      <c r="S81" s="198"/>
      <c r="T81" s="198"/>
      <c r="U81" s="198"/>
    </row>
    <row r="82" spans="1:26" s="12" customFormat="1" x14ac:dyDescent="0.25">
      <c r="A82" s="214" t="s">
        <v>1664</v>
      </c>
      <c r="B82" s="64">
        <v>24.04</v>
      </c>
      <c r="C82" s="64">
        <v>42.95</v>
      </c>
      <c r="D82" s="64">
        <v>41.26</v>
      </c>
      <c r="E82" s="64">
        <v>7.02</v>
      </c>
      <c r="F82" s="64">
        <v>3.82</v>
      </c>
      <c r="G82" s="64">
        <v>85.2</v>
      </c>
      <c r="H82" s="64">
        <v>32.44</v>
      </c>
      <c r="I82" s="64">
        <v>0.1</v>
      </c>
      <c r="J82" s="64">
        <v>0.78</v>
      </c>
      <c r="K82" s="64">
        <v>342.8</v>
      </c>
      <c r="L82" s="64">
        <v>19.350000000000001</v>
      </c>
      <c r="M82" s="64">
        <v>56.31</v>
      </c>
      <c r="N82" s="64">
        <v>54.6</v>
      </c>
      <c r="O82" s="64">
        <v>0</v>
      </c>
      <c r="P82" s="64">
        <v>2.1</v>
      </c>
      <c r="Q82" s="64">
        <v>9.68</v>
      </c>
      <c r="R82" s="198"/>
      <c r="S82" s="198"/>
      <c r="T82" s="198"/>
      <c r="U82" s="198"/>
    </row>
    <row r="83" spans="1:26" s="12" customFormat="1" x14ac:dyDescent="0.25">
      <c r="A83" s="214" t="s">
        <v>1665</v>
      </c>
      <c r="B83" s="64">
        <v>22.54</v>
      </c>
      <c r="C83" s="64">
        <v>41.44</v>
      </c>
      <c r="D83" s="64">
        <v>39.26</v>
      </c>
      <c r="E83" s="64">
        <v>7.48</v>
      </c>
      <c r="F83" s="64">
        <v>4.92</v>
      </c>
      <c r="G83" s="64">
        <v>85.2</v>
      </c>
      <c r="H83" s="64">
        <v>32.44</v>
      </c>
      <c r="I83" s="64">
        <v>0.1</v>
      </c>
      <c r="J83" s="64">
        <v>0.69</v>
      </c>
      <c r="K83" s="64">
        <v>45.14</v>
      </c>
      <c r="L83" s="64">
        <v>19.350000000000001</v>
      </c>
      <c r="M83" s="64">
        <v>55.01</v>
      </c>
      <c r="N83" s="64">
        <v>54.6</v>
      </c>
      <c r="O83" s="64">
        <v>0</v>
      </c>
      <c r="P83" s="64">
        <v>2.14</v>
      </c>
      <c r="Q83" s="64">
        <v>9.68</v>
      </c>
      <c r="R83" s="198"/>
      <c r="S83" s="198"/>
      <c r="T83" s="198"/>
      <c r="U83" s="198"/>
    </row>
    <row r="84" spans="1:26" s="12" customFormat="1" x14ac:dyDescent="0.25">
      <c r="A84" s="214" t="s">
        <v>1666</v>
      </c>
      <c r="B84" s="64">
        <v>24.81</v>
      </c>
      <c r="C84" s="64">
        <v>39.119999999999997</v>
      </c>
      <c r="D84" s="64">
        <v>39.869999999999997</v>
      </c>
      <c r="E84" s="64">
        <v>7.4</v>
      </c>
      <c r="F84" s="64">
        <v>5.46</v>
      </c>
      <c r="G84" s="64">
        <v>85.2</v>
      </c>
      <c r="H84" s="64">
        <v>32.44</v>
      </c>
      <c r="I84" s="64">
        <v>0.1</v>
      </c>
      <c r="J84" s="64">
        <v>0.45</v>
      </c>
      <c r="K84" s="64">
        <v>98.41</v>
      </c>
      <c r="L84" s="64">
        <v>19.36</v>
      </c>
      <c r="M84" s="64">
        <v>54.05</v>
      </c>
      <c r="N84" s="64">
        <v>54.6</v>
      </c>
      <c r="O84" s="64">
        <v>0</v>
      </c>
      <c r="P84" s="64">
        <v>2.2400000000000002</v>
      </c>
      <c r="Q84" s="64">
        <v>9.69</v>
      </c>
      <c r="R84" s="198"/>
      <c r="S84" s="198"/>
      <c r="T84" s="198"/>
      <c r="U84" s="198"/>
    </row>
    <row r="85" spans="1:26" s="12" customFormat="1" x14ac:dyDescent="0.25">
      <c r="A85" s="214" t="s">
        <v>1667</v>
      </c>
      <c r="B85" s="64">
        <v>21.87</v>
      </c>
      <c r="C85" s="64">
        <v>42.1</v>
      </c>
      <c r="D85" s="64">
        <v>39.07</v>
      </c>
      <c r="E85" s="64">
        <v>7.47</v>
      </c>
      <c r="F85" s="64">
        <v>4.29</v>
      </c>
      <c r="G85" s="64">
        <v>119.85</v>
      </c>
      <c r="H85" s="64">
        <v>38.65</v>
      </c>
      <c r="I85" s="64">
        <v>0.1</v>
      </c>
      <c r="J85" s="64">
        <v>0.89</v>
      </c>
      <c r="K85" s="64">
        <v>87.14</v>
      </c>
      <c r="L85" s="64">
        <v>19.27</v>
      </c>
      <c r="M85" s="64">
        <v>53.65</v>
      </c>
      <c r="N85" s="64">
        <v>54.5</v>
      </c>
      <c r="O85" s="64">
        <v>0</v>
      </c>
      <c r="P85" s="64">
        <v>1.9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4" t="s">
        <v>1668</v>
      </c>
      <c r="B86" s="64">
        <v>22.38</v>
      </c>
      <c r="C86" s="64">
        <v>41.9</v>
      </c>
      <c r="D86" s="64">
        <v>39.380000000000003</v>
      </c>
      <c r="E86" s="64">
        <v>6.9</v>
      </c>
      <c r="F86" s="64">
        <v>4.0599999999999996</v>
      </c>
      <c r="G86" s="64">
        <v>151.54</v>
      </c>
      <c r="H86" s="64">
        <v>41.42</v>
      </c>
      <c r="I86" s="64">
        <v>0.1</v>
      </c>
      <c r="J86" s="64">
        <v>0.76</v>
      </c>
      <c r="K86" s="64">
        <v>71.040000000000006</v>
      </c>
      <c r="L86" s="64">
        <v>18.940000000000001</v>
      </c>
      <c r="M86" s="64">
        <v>55.17</v>
      </c>
      <c r="N86" s="64">
        <v>54.7</v>
      </c>
      <c r="O86" s="64">
        <v>0</v>
      </c>
      <c r="P86" s="64">
        <v>2.0499999999999998</v>
      </c>
      <c r="Q86" s="64">
        <v>9.69</v>
      </c>
      <c r="R86" s="198"/>
      <c r="S86" s="198"/>
      <c r="T86" s="198"/>
      <c r="U86" s="198"/>
    </row>
    <row r="87" spans="1:26" s="12" customFormat="1" x14ac:dyDescent="0.25">
      <c r="A87" s="214" t="s">
        <v>1669</v>
      </c>
      <c r="B87" s="64">
        <v>23.83</v>
      </c>
      <c r="C87" s="64">
        <v>38.76</v>
      </c>
      <c r="D87" s="64">
        <v>38.9</v>
      </c>
      <c r="E87" s="64">
        <v>6.17</v>
      </c>
      <c r="F87" s="64">
        <v>3.61</v>
      </c>
      <c r="G87" s="64">
        <v>151.54</v>
      </c>
      <c r="H87" s="64">
        <v>41.42</v>
      </c>
      <c r="I87" s="64">
        <v>0.1</v>
      </c>
      <c r="J87" s="64">
        <v>0.36</v>
      </c>
      <c r="K87" s="64">
        <v>84.25</v>
      </c>
      <c r="L87" s="64">
        <v>18.559999999999999</v>
      </c>
      <c r="M87" s="64">
        <v>57.66</v>
      </c>
      <c r="N87" s="64">
        <v>54.8</v>
      </c>
      <c r="O87" s="64">
        <v>0</v>
      </c>
      <c r="P87" s="64">
        <v>2.0099999999999998</v>
      </c>
      <c r="Q87" s="64">
        <v>9.68</v>
      </c>
      <c r="R87" s="198"/>
      <c r="S87" s="198"/>
      <c r="T87" s="198"/>
      <c r="U87" s="198"/>
    </row>
    <row r="88" spans="1:26" s="12" customFormat="1" x14ac:dyDescent="0.25">
      <c r="A88" s="214" t="s">
        <v>1670</v>
      </c>
      <c r="B88" s="64">
        <v>24.49</v>
      </c>
      <c r="C88" s="64">
        <v>35.15</v>
      </c>
      <c r="D88" s="64">
        <v>37.54</v>
      </c>
      <c r="E88" s="64">
        <v>5.68</v>
      </c>
      <c r="F88" s="64">
        <v>3.78</v>
      </c>
      <c r="G88" s="64">
        <v>151.54</v>
      </c>
      <c r="H88" s="64">
        <v>41.42</v>
      </c>
      <c r="I88" s="64">
        <v>0.1</v>
      </c>
      <c r="J88" s="64">
        <v>0.77</v>
      </c>
      <c r="K88" s="64">
        <v>314.64999999999998</v>
      </c>
      <c r="L88" s="64">
        <v>18.260000000000002</v>
      </c>
      <c r="M88" s="64">
        <v>62.95</v>
      </c>
      <c r="N88" s="64">
        <v>55</v>
      </c>
      <c r="O88" s="64">
        <v>0</v>
      </c>
      <c r="P88" s="64">
        <v>2.0099999999999998</v>
      </c>
      <c r="Q88" s="64">
        <v>9.6999999999999993</v>
      </c>
      <c r="R88" s="198"/>
      <c r="S88" s="198"/>
      <c r="T88" s="198"/>
      <c r="U88" s="198"/>
    </row>
    <row r="89" spans="1:26" s="12" customFormat="1" x14ac:dyDescent="0.25">
      <c r="A89" s="214" t="s">
        <v>1671</v>
      </c>
      <c r="B89" s="64">
        <v>27.95</v>
      </c>
      <c r="C89" s="64">
        <v>32.31</v>
      </c>
      <c r="D89" s="64">
        <v>38.83</v>
      </c>
      <c r="E89" s="64">
        <v>5.83</v>
      </c>
      <c r="F89" s="64">
        <v>3.45</v>
      </c>
      <c r="G89" s="64">
        <v>144.52000000000001</v>
      </c>
      <c r="H89" s="64">
        <v>44.6</v>
      </c>
      <c r="I89" s="64">
        <v>0.1</v>
      </c>
      <c r="J89" s="64">
        <v>0.64</v>
      </c>
      <c r="K89" s="64">
        <v>307.45999999999998</v>
      </c>
      <c r="L89" s="64">
        <v>17.600000000000001</v>
      </c>
      <c r="M89" s="64">
        <v>68.680000000000007</v>
      </c>
      <c r="N89" s="64">
        <v>55.3</v>
      </c>
      <c r="O89" s="64">
        <v>0</v>
      </c>
      <c r="P89" s="64">
        <v>2.0299999999999998</v>
      </c>
      <c r="Q89" s="64">
        <v>9.6999999999999993</v>
      </c>
      <c r="R89" s="198"/>
      <c r="S89" s="198"/>
      <c r="T89" s="198"/>
      <c r="U89" s="198"/>
    </row>
    <row r="90" spans="1:26" s="12" customFormat="1" x14ac:dyDescent="0.25">
      <c r="A90" s="214" t="s">
        <v>1672</v>
      </c>
      <c r="B90" s="64">
        <v>32.94</v>
      </c>
      <c r="C90" s="64">
        <v>29.06</v>
      </c>
      <c r="D90" s="64">
        <v>41.13</v>
      </c>
      <c r="E90" s="64">
        <v>5.5</v>
      </c>
      <c r="F90" s="64">
        <v>3.12</v>
      </c>
      <c r="G90" s="64">
        <v>138.1</v>
      </c>
      <c r="H90" s="64">
        <v>47.38</v>
      </c>
      <c r="I90" s="64">
        <v>0.1</v>
      </c>
      <c r="J90" s="64">
        <v>0.41</v>
      </c>
      <c r="K90" s="64">
        <v>342.86</v>
      </c>
      <c r="L90" s="64">
        <v>17.04</v>
      </c>
      <c r="M90" s="64">
        <v>78.28</v>
      </c>
      <c r="N90" s="64">
        <v>55.4</v>
      </c>
      <c r="O90" s="64">
        <v>0</v>
      </c>
      <c r="P90" s="64">
        <v>2.1</v>
      </c>
      <c r="Q90" s="64">
        <v>9.6999999999999993</v>
      </c>
      <c r="R90" s="198"/>
      <c r="S90" s="198"/>
      <c r="T90" s="198"/>
      <c r="U90" s="198"/>
    </row>
    <row r="91" spans="1:26" s="12" customFormat="1" x14ac:dyDescent="0.25">
      <c r="A91" s="214" t="s">
        <v>1673</v>
      </c>
      <c r="B91" s="64">
        <v>37.99</v>
      </c>
      <c r="C91" s="64">
        <v>26.53</v>
      </c>
      <c r="D91" s="64">
        <v>43.86</v>
      </c>
      <c r="E91" s="64">
        <v>5.2</v>
      </c>
      <c r="F91" s="64">
        <v>3.39</v>
      </c>
      <c r="G91" s="64">
        <v>138.1</v>
      </c>
      <c r="H91" s="64">
        <v>47.38</v>
      </c>
      <c r="I91" s="64">
        <v>0.1</v>
      </c>
      <c r="J91" s="64">
        <v>0.08</v>
      </c>
      <c r="K91" s="64">
        <v>83.4</v>
      </c>
      <c r="L91" s="64">
        <v>16.68</v>
      </c>
      <c r="M91" s="64">
        <v>80.349999999999994</v>
      </c>
      <c r="N91" s="64">
        <v>55.5</v>
      </c>
      <c r="O91" s="64">
        <v>0</v>
      </c>
      <c r="P91" s="64">
        <v>2.2000000000000002</v>
      </c>
      <c r="Q91" s="64">
        <v>9.6999999999999993</v>
      </c>
      <c r="R91" s="198"/>
      <c r="S91" s="198"/>
      <c r="T91" s="198"/>
      <c r="U91" s="198"/>
    </row>
    <row r="92" spans="1:26" s="12" customFormat="1" x14ac:dyDescent="0.25">
      <c r="A92" s="214" t="s">
        <v>1674</v>
      </c>
      <c r="B92" s="64">
        <v>43.73</v>
      </c>
      <c r="C92" s="64">
        <v>23.53</v>
      </c>
      <c r="D92" s="64">
        <v>46.9</v>
      </c>
      <c r="E92" s="64">
        <v>5.21</v>
      </c>
      <c r="F92" s="64">
        <v>3.37</v>
      </c>
      <c r="G92" s="64">
        <v>138.1</v>
      </c>
      <c r="H92" s="64">
        <v>47.38</v>
      </c>
      <c r="I92" s="64">
        <v>0.1</v>
      </c>
      <c r="J92" s="64">
        <v>0.16</v>
      </c>
      <c r="K92" s="64">
        <v>352.43</v>
      </c>
      <c r="L92" s="64">
        <v>16.62</v>
      </c>
      <c r="M92" s="64">
        <v>80.14</v>
      </c>
      <c r="N92" s="64">
        <v>55.8</v>
      </c>
      <c r="O92" s="64">
        <v>0</v>
      </c>
      <c r="P92" s="64">
        <v>2.2999999999999998</v>
      </c>
      <c r="Q92" s="64">
        <v>9.7100000000000009</v>
      </c>
      <c r="R92" s="198"/>
      <c r="S92" s="198"/>
      <c r="T92" s="198"/>
      <c r="U92" s="198"/>
    </row>
    <row r="93" spans="1:26" s="12" customFormat="1" x14ac:dyDescent="0.25">
      <c r="A93" s="214" t="s">
        <v>1675</v>
      </c>
      <c r="B93" s="64">
        <v>47.82</v>
      </c>
      <c r="C93" s="64">
        <v>21.16</v>
      </c>
      <c r="D93" s="64">
        <v>48.94</v>
      </c>
      <c r="E93" s="64">
        <v>4.96</v>
      </c>
      <c r="F93" s="64">
        <v>3.32</v>
      </c>
      <c r="G93" s="64">
        <v>132.88999999999999</v>
      </c>
      <c r="H93" s="64">
        <v>47.86</v>
      </c>
      <c r="I93" s="64">
        <v>0.1</v>
      </c>
      <c r="J93" s="64">
        <v>0.79</v>
      </c>
      <c r="K93" s="64">
        <v>146.5</v>
      </c>
      <c r="L93" s="64">
        <v>16.72</v>
      </c>
      <c r="M93" s="64">
        <v>75.67</v>
      </c>
      <c r="N93" s="64">
        <v>55.5</v>
      </c>
      <c r="O93" s="64">
        <v>0</v>
      </c>
      <c r="P93" s="64">
        <v>2.39</v>
      </c>
      <c r="Q93" s="64">
        <v>9.7100000000000009</v>
      </c>
      <c r="R93" s="198"/>
      <c r="S93" s="198"/>
      <c r="T93" s="198"/>
      <c r="U93" s="198"/>
    </row>
    <row r="94" spans="1:26" s="12" customFormat="1" x14ac:dyDescent="0.25">
      <c r="A94" s="214" t="s">
        <v>1676</v>
      </c>
      <c r="B94" s="64">
        <v>49.52</v>
      </c>
      <c r="C94" s="64">
        <v>19.86</v>
      </c>
      <c r="D94" s="64">
        <v>49.62</v>
      </c>
      <c r="E94" s="64">
        <v>4.79</v>
      </c>
      <c r="F94" s="64">
        <v>3.16</v>
      </c>
      <c r="G94" s="64">
        <v>128.12</v>
      </c>
      <c r="H94" s="64">
        <v>48.08</v>
      </c>
      <c r="I94" s="64">
        <v>0.1</v>
      </c>
      <c r="J94" s="64">
        <v>0.24</v>
      </c>
      <c r="K94" s="64">
        <v>211.65</v>
      </c>
      <c r="L94" s="64">
        <v>17.2</v>
      </c>
      <c r="M94" s="64">
        <v>70.739999999999995</v>
      </c>
      <c r="N94" s="64">
        <v>55.6</v>
      </c>
      <c r="O94" s="64">
        <v>0</v>
      </c>
      <c r="P94" s="64">
        <v>2.42</v>
      </c>
      <c r="Q94" s="64">
        <v>9.7200000000000006</v>
      </c>
      <c r="R94" s="198"/>
      <c r="S94" s="198"/>
      <c r="T94" s="198"/>
      <c r="U94" s="198"/>
    </row>
    <row r="95" spans="1:26" s="12" customFormat="1" x14ac:dyDescent="0.25">
      <c r="A95" s="214" t="s">
        <v>1677</v>
      </c>
      <c r="B95" s="64">
        <v>51.07</v>
      </c>
      <c r="C95" s="64">
        <v>18.73</v>
      </c>
      <c r="D95" s="64">
        <v>50.28</v>
      </c>
      <c r="E95" s="64">
        <v>4.5</v>
      </c>
      <c r="F95" s="64">
        <v>2.99</v>
      </c>
      <c r="G95" s="64">
        <v>128.12</v>
      </c>
      <c r="H95" s="64">
        <v>48.08</v>
      </c>
      <c r="I95" s="64">
        <v>0.1</v>
      </c>
      <c r="J95" s="64">
        <v>0.73</v>
      </c>
      <c r="K95" s="64">
        <v>331.19</v>
      </c>
      <c r="L95" s="64">
        <v>16.72</v>
      </c>
      <c r="M95" s="64">
        <v>77.650000000000006</v>
      </c>
      <c r="N95" s="64">
        <v>56.4</v>
      </c>
      <c r="O95" s="64">
        <v>0</v>
      </c>
      <c r="P95" s="64">
        <v>2.44</v>
      </c>
      <c r="Q95" s="64">
        <v>9.74</v>
      </c>
      <c r="R95" s="198"/>
      <c r="S95" s="198"/>
      <c r="T95" s="198"/>
      <c r="U95" s="198"/>
    </row>
    <row r="96" spans="1:26" s="12" customFormat="1" x14ac:dyDescent="0.25">
      <c r="A96" s="214" t="s">
        <v>1678</v>
      </c>
      <c r="B96" s="64">
        <v>55.38</v>
      </c>
      <c r="C96" s="64">
        <v>16.3</v>
      </c>
      <c r="D96" s="64">
        <v>52.46</v>
      </c>
      <c r="E96" s="64">
        <v>4.92</v>
      </c>
      <c r="F96" s="64">
        <v>2.75</v>
      </c>
      <c r="G96" s="64">
        <v>128.12</v>
      </c>
      <c r="H96" s="64">
        <v>48.08</v>
      </c>
      <c r="I96" s="64">
        <v>0.1</v>
      </c>
      <c r="J96" s="64">
        <v>0.94</v>
      </c>
      <c r="K96" s="64">
        <v>343.32</v>
      </c>
      <c r="L96" s="64">
        <v>16.190000000000001</v>
      </c>
      <c r="M96" s="64">
        <v>85.65</v>
      </c>
      <c r="N96" s="64">
        <v>56.6</v>
      </c>
      <c r="O96" s="64">
        <v>0</v>
      </c>
      <c r="P96" s="64">
        <v>2.52</v>
      </c>
      <c r="Q96" s="64">
        <v>9.74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1679</v>
      </c>
      <c r="B97" s="64">
        <v>59.3</v>
      </c>
      <c r="C97" s="64">
        <v>13.87</v>
      </c>
      <c r="D97" s="64">
        <v>54.34</v>
      </c>
      <c r="E97" s="64">
        <v>5.19</v>
      </c>
      <c r="F97" s="64">
        <v>2.5299999999999998</v>
      </c>
      <c r="G97" s="64">
        <v>129.32</v>
      </c>
      <c r="H97" s="64">
        <v>49.97</v>
      </c>
      <c r="I97" s="64">
        <v>0.1</v>
      </c>
      <c r="J97" s="64">
        <v>0.77</v>
      </c>
      <c r="K97" s="64">
        <v>316.89999999999998</v>
      </c>
      <c r="L97" s="64">
        <v>15.67</v>
      </c>
      <c r="M97" s="64">
        <v>92.3</v>
      </c>
      <c r="N97" s="64">
        <v>56.7</v>
      </c>
      <c r="O97" s="64">
        <v>0</v>
      </c>
      <c r="P97" s="64">
        <v>2.61</v>
      </c>
      <c r="Q97" s="64">
        <v>9.74</v>
      </c>
      <c r="R97" s="198"/>
      <c r="S97" s="198"/>
      <c r="T97" s="198"/>
      <c r="U97" s="198"/>
    </row>
    <row r="98" spans="1:33" s="12" customFormat="1" x14ac:dyDescent="0.25">
      <c r="A98" s="214" t="s">
        <v>1680</v>
      </c>
      <c r="B98" s="64">
        <v>61.92</v>
      </c>
      <c r="C98" s="64">
        <v>11.22</v>
      </c>
      <c r="D98" s="64">
        <v>55.05</v>
      </c>
      <c r="E98" s="64">
        <v>5.03</v>
      </c>
      <c r="F98" s="64">
        <v>2.79</v>
      </c>
      <c r="G98" s="64">
        <v>130.47999999999999</v>
      </c>
      <c r="H98" s="64">
        <v>50.82</v>
      </c>
      <c r="I98" s="64">
        <v>0.1</v>
      </c>
      <c r="J98" s="64">
        <v>0.84</v>
      </c>
      <c r="K98" s="64">
        <v>332.8</v>
      </c>
      <c r="L98" s="64">
        <v>15.44</v>
      </c>
      <c r="M98" s="64">
        <v>89.08</v>
      </c>
      <c r="N98" s="64">
        <v>56.3</v>
      </c>
      <c r="O98" s="64">
        <v>0</v>
      </c>
      <c r="P98" s="64">
        <v>2.67</v>
      </c>
      <c r="Q98" s="64">
        <v>9.74</v>
      </c>
      <c r="R98" s="198"/>
      <c r="S98" s="198"/>
      <c r="T98" s="198"/>
      <c r="U98" s="198"/>
    </row>
    <row r="99" spans="1:33" s="12" customFormat="1" x14ac:dyDescent="0.25">
      <c r="A99" s="214" t="s">
        <v>1681</v>
      </c>
      <c r="B99" s="64">
        <v>63.22</v>
      </c>
      <c r="C99" s="64">
        <v>10.36</v>
      </c>
      <c r="D99" s="64">
        <v>55.65</v>
      </c>
      <c r="E99" s="64">
        <v>4.96</v>
      </c>
      <c r="F99" s="64">
        <v>3.07</v>
      </c>
      <c r="G99" s="64">
        <v>130.47999999999999</v>
      </c>
      <c r="H99" s="64">
        <v>50.82</v>
      </c>
      <c r="I99" s="64">
        <v>0.1</v>
      </c>
      <c r="J99" s="64">
        <v>0.78</v>
      </c>
      <c r="K99" s="64">
        <v>309.83</v>
      </c>
      <c r="L99" s="64">
        <v>15.28</v>
      </c>
      <c r="M99" s="64">
        <v>92.12</v>
      </c>
      <c r="N99" s="64">
        <v>56.3</v>
      </c>
      <c r="O99" s="64">
        <v>0</v>
      </c>
      <c r="P99" s="64">
        <v>2.73</v>
      </c>
      <c r="Q99" s="64">
        <v>9.73</v>
      </c>
      <c r="R99" s="198"/>
      <c r="S99" s="198"/>
      <c r="T99" s="198"/>
      <c r="U99" s="198"/>
    </row>
    <row r="100" spans="1:33" s="12" customFormat="1" x14ac:dyDescent="0.25">
      <c r="A100" s="214" t="s">
        <v>1682</v>
      </c>
      <c r="B100" s="64">
        <v>62.79</v>
      </c>
      <c r="C100" s="64">
        <v>10.86</v>
      </c>
      <c r="D100" s="64">
        <v>55.56</v>
      </c>
      <c r="E100" s="64">
        <v>5.0199999999999996</v>
      </c>
      <c r="F100" s="64">
        <v>2.94</v>
      </c>
      <c r="G100" s="64">
        <v>130.47999999999999</v>
      </c>
      <c r="H100" s="64">
        <v>50.82</v>
      </c>
      <c r="I100" s="64">
        <v>0.1</v>
      </c>
      <c r="J100" s="64">
        <v>0.82</v>
      </c>
      <c r="K100" s="64">
        <v>274.38</v>
      </c>
      <c r="L100" s="64">
        <v>15.15</v>
      </c>
      <c r="M100" s="64">
        <v>93.8</v>
      </c>
      <c r="N100" s="64">
        <v>56.3</v>
      </c>
      <c r="O100" s="64">
        <v>0</v>
      </c>
      <c r="P100" s="64">
        <v>2.78</v>
      </c>
      <c r="Q100" s="64">
        <v>9.74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1683</v>
      </c>
      <c r="B101" s="64">
        <v>61.93</v>
      </c>
      <c r="C101" s="64">
        <v>10.97</v>
      </c>
      <c r="D101" s="64">
        <v>54.93</v>
      </c>
      <c r="E101" s="64">
        <v>5.13</v>
      </c>
      <c r="F101" s="64">
        <v>2.68</v>
      </c>
      <c r="G101" s="64">
        <v>118.14</v>
      </c>
      <c r="H101" s="64">
        <v>47.63</v>
      </c>
      <c r="I101" s="64">
        <v>0.1</v>
      </c>
      <c r="J101" s="64">
        <v>0.55000000000000004</v>
      </c>
      <c r="K101" s="64">
        <v>219.48</v>
      </c>
      <c r="L101" s="64">
        <v>15.01</v>
      </c>
      <c r="M101" s="64">
        <v>93.44</v>
      </c>
      <c r="N101" s="64">
        <v>56.1</v>
      </c>
      <c r="O101" s="64">
        <v>0</v>
      </c>
      <c r="P101" s="64">
        <v>2.8</v>
      </c>
      <c r="Q101" s="64">
        <v>9.74</v>
      </c>
      <c r="R101" s="198"/>
      <c r="S101" s="198"/>
      <c r="T101" s="198"/>
      <c r="U101" s="198"/>
    </row>
    <row r="102" spans="1:33" s="12" customFormat="1" x14ac:dyDescent="0.25">
      <c r="A102" s="214" t="s">
        <v>1684</v>
      </c>
      <c r="B102" s="64">
        <v>61.31</v>
      </c>
      <c r="C102" s="64">
        <v>11.18</v>
      </c>
      <c r="D102" s="64">
        <v>54.55</v>
      </c>
      <c r="E102" s="64">
        <v>5.1100000000000003</v>
      </c>
      <c r="F102" s="64">
        <v>2.76</v>
      </c>
      <c r="G102" s="64">
        <v>106.85</v>
      </c>
      <c r="H102" s="64">
        <v>46.21</v>
      </c>
      <c r="I102" s="64">
        <v>0.1</v>
      </c>
      <c r="J102" s="64">
        <v>0.26</v>
      </c>
      <c r="K102" s="64">
        <v>317.37</v>
      </c>
      <c r="L102" s="64">
        <v>14.86</v>
      </c>
      <c r="M102" s="64">
        <v>95.62</v>
      </c>
      <c r="N102" s="64">
        <v>56.2</v>
      </c>
      <c r="O102" s="64">
        <v>0</v>
      </c>
      <c r="P102" s="64">
        <v>2.82</v>
      </c>
      <c r="Q102" s="64">
        <v>9.75</v>
      </c>
      <c r="R102" s="198"/>
      <c r="S102" s="198"/>
      <c r="T102" s="198"/>
      <c r="U102" s="198"/>
    </row>
    <row r="103" spans="1:33" s="12" customFormat="1" x14ac:dyDescent="0.25">
      <c r="A103" s="214" t="s">
        <v>1685</v>
      </c>
      <c r="B103" s="64">
        <v>61.37</v>
      </c>
      <c r="C103" s="64">
        <v>10.78</v>
      </c>
      <c r="D103" s="64">
        <v>54.38</v>
      </c>
      <c r="E103" s="64">
        <v>5.47</v>
      </c>
      <c r="F103" s="64">
        <v>2.84</v>
      </c>
      <c r="G103" s="64">
        <v>106.85</v>
      </c>
      <c r="H103" s="64">
        <v>46.21</v>
      </c>
      <c r="I103" s="64">
        <v>0.1</v>
      </c>
      <c r="J103" s="64">
        <v>0.3</v>
      </c>
      <c r="K103" s="64">
        <v>297.95999999999998</v>
      </c>
      <c r="L103" s="64">
        <v>14.63</v>
      </c>
      <c r="M103" s="64">
        <v>98.12</v>
      </c>
      <c r="N103" s="64">
        <v>56.1</v>
      </c>
      <c r="O103" s="64">
        <v>0</v>
      </c>
      <c r="P103" s="64">
        <v>2.83</v>
      </c>
      <c r="Q103" s="64">
        <v>9.74</v>
      </c>
      <c r="R103" s="198"/>
      <c r="S103" s="198"/>
      <c r="T103" s="198"/>
      <c r="U103" s="198"/>
    </row>
    <row r="104" spans="1:33" s="12" customFormat="1" x14ac:dyDescent="0.25">
      <c r="A104" s="214" t="s">
        <v>1686</v>
      </c>
      <c r="B104" s="64">
        <v>62.39</v>
      </c>
      <c r="C104" s="64">
        <v>9.8699999999999992</v>
      </c>
      <c r="D104" s="64">
        <v>54.73</v>
      </c>
      <c r="E104" s="64">
        <v>5.51</v>
      </c>
      <c r="F104" s="64">
        <v>3.29</v>
      </c>
      <c r="G104" s="64">
        <v>106.85</v>
      </c>
      <c r="H104" s="64">
        <v>46.21</v>
      </c>
      <c r="I104" s="64">
        <v>0.1</v>
      </c>
      <c r="J104" s="64">
        <v>0.28999999999999998</v>
      </c>
      <c r="K104" s="64">
        <v>10.029999999999999</v>
      </c>
      <c r="L104" s="64">
        <v>14.42</v>
      </c>
      <c r="M104" s="64">
        <v>98.22</v>
      </c>
      <c r="N104" s="64">
        <v>56.1</v>
      </c>
      <c r="O104" s="64">
        <v>0</v>
      </c>
      <c r="P104" s="64">
        <v>2.83</v>
      </c>
      <c r="Q104" s="64">
        <v>9.74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3.21</v>
      </c>
      <c r="C106" s="67">
        <f>MIN(C9:C104)</f>
        <v>1.1499999999999999</v>
      </c>
      <c r="D106" s="67">
        <f t="shared" ref="D106:Q106" si="0">MIN(D9:D104)</f>
        <v>20.22</v>
      </c>
      <c r="E106" s="67">
        <f t="shared" si="0"/>
        <v>4.5</v>
      </c>
      <c r="F106" s="67">
        <f t="shared" si="0"/>
        <v>2.33</v>
      </c>
      <c r="G106" s="67">
        <f t="shared" si="0"/>
        <v>22.93</v>
      </c>
      <c r="H106" s="67">
        <f t="shared" si="0"/>
        <v>11.7</v>
      </c>
      <c r="I106" s="67">
        <f t="shared" si="0"/>
        <v>0.1</v>
      </c>
      <c r="J106" s="67">
        <f t="shared" si="0"/>
        <v>0.08</v>
      </c>
      <c r="K106" s="67">
        <f t="shared" si="0"/>
        <v>1.49</v>
      </c>
      <c r="L106" s="67">
        <f t="shared" si="0"/>
        <v>12.85</v>
      </c>
      <c r="M106" s="67">
        <f t="shared" si="0"/>
        <v>28.09</v>
      </c>
      <c r="N106" s="67">
        <f t="shared" si="0"/>
        <v>32.9</v>
      </c>
      <c r="O106" s="67">
        <f t="shared" si="0"/>
        <v>0</v>
      </c>
      <c r="P106" s="67">
        <f t="shared" si="0"/>
        <v>1.04</v>
      </c>
      <c r="Q106" s="67">
        <f t="shared" si="0"/>
        <v>9.6300000000000008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73.849999999999994</v>
      </c>
      <c r="C107" s="66">
        <f t="shared" ref="C107:Q107" si="1">MAX(C9:C104)</f>
        <v>46.8</v>
      </c>
      <c r="D107" s="66">
        <f t="shared" si="1"/>
        <v>59.36</v>
      </c>
      <c r="E107" s="66">
        <f t="shared" si="1"/>
        <v>35.29</v>
      </c>
      <c r="F107" s="66">
        <f t="shared" si="1"/>
        <v>24.92</v>
      </c>
      <c r="G107" s="66">
        <f t="shared" si="1"/>
        <v>178.23</v>
      </c>
      <c r="H107" s="66">
        <f t="shared" si="1"/>
        <v>50.82</v>
      </c>
      <c r="I107" s="66">
        <f t="shared" si="1"/>
        <v>0.1</v>
      </c>
      <c r="J107" s="66">
        <f t="shared" si="1"/>
        <v>1.51</v>
      </c>
      <c r="K107" s="66">
        <f t="shared" si="1"/>
        <v>359.9</v>
      </c>
      <c r="L107" s="66">
        <f t="shared" si="1"/>
        <v>28.49</v>
      </c>
      <c r="M107" s="66">
        <f t="shared" si="1"/>
        <v>98.22</v>
      </c>
      <c r="N107" s="66">
        <f t="shared" si="1"/>
        <v>453.7</v>
      </c>
      <c r="O107" s="66">
        <f t="shared" si="1"/>
        <v>0</v>
      </c>
      <c r="P107" s="66">
        <f t="shared" si="1"/>
        <v>2.83</v>
      </c>
      <c r="Q107" s="66">
        <f t="shared" si="1"/>
        <v>9.77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29.794479166666658</v>
      </c>
      <c r="C108" s="67">
        <f t="shared" ref="C108:Q108" si="2">AVERAGE(C9:C104)</f>
        <v>25.29354166666668</v>
      </c>
      <c r="D108" s="67">
        <f t="shared" si="2"/>
        <v>36.627083333333331</v>
      </c>
      <c r="E108" s="67">
        <f t="shared" si="2"/>
        <v>7.6322916666666698</v>
      </c>
      <c r="F108" s="67">
        <f t="shared" si="2"/>
        <v>5.0299999999999994</v>
      </c>
      <c r="G108" s="67">
        <f t="shared" si="2"/>
        <v>91.754782608695663</v>
      </c>
      <c r="H108" s="67">
        <f t="shared" si="2"/>
        <v>33.543695652173938</v>
      </c>
      <c r="I108" s="67">
        <f t="shared" si="2"/>
        <v>9.9999999999999811E-2</v>
      </c>
      <c r="J108" s="67">
        <f t="shared" si="2"/>
        <v>0.71874999999999967</v>
      </c>
      <c r="K108" s="67">
        <f t="shared" si="2"/>
        <v>222.46250000000001</v>
      </c>
      <c r="L108" s="67">
        <f t="shared" si="2"/>
        <v>18.828229166666667</v>
      </c>
      <c r="M108" s="67">
        <f t="shared" si="2"/>
        <v>66.556874999999977</v>
      </c>
      <c r="N108" s="67">
        <f t="shared" si="2"/>
        <v>137.56666666666663</v>
      </c>
      <c r="O108" s="67">
        <f t="shared" si="2"/>
        <v>0</v>
      </c>
      <c r="P108" s="67">
        <f t="shared" si="2"/>
        <v>1.7227083333333331</v>
      </c>
      <c r="Q108" s="67">
        <f t="shared" si="2"/>
        <v>9.6810416666666672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18.941380257036894</v>
      </c>
      <c r="C109" s="67">
        <f t="shared" ref="C109:Q109" si="3">STDEV(C9:C104)</f>
        <v>11.963277493111676</v>
      </c>
      <c r="D109" s="67">
        <f t="shared" si="3"/>
        <v>10.39638752205653</v>
      </c>
      <c r="E109" s="67">
        <f t="shared" si="3"/>
        <v>5.5811837037574445</v>
      </c>
      <c r="F109" s="67">
        <f t="shared" si="3"/>
        <v>4.8937358455801219</v>
      </c>
      <c r="G109" s="67">
        <f t="shared" si="3"/>
        <v>33.906693769369511</v>
      </c>
      <c r="H109" s="67">
        <f t="shared" si="3"/>
        <v>9.4786562683539639</v>
      </c>
      <c r="I109" s="67">
        <f t="shared" si="3"/>
        <v>1.9530892623466312E-16</v>
      </c>
      <c r="J109" s="67">
        <f t="shared" si="3"/>
        <v>0.37156638565318162</v>
      </c>
      <c r="K109" s="67">
        <f t="shared" si="3"/>
        <v>130.93333851520325</v>
      </c>
      <c r="L109" s="67">
        <f t="shared" si="3"/>
        <v>4.9649779762678392</v>
      </c>
      <c r="M109" s="67">
        <f t="shared" si="3"/>
        <v>24.390077460980617</v>
      </c>
      <c r="N109" s="67">
        <f t="shared" si="3"/>
        <v>144.57540350365832</v>
      </c>
      <c r="O109" s="67">
        <f t="shared" si="3"/>
        <v>0</v>
      </c>
      <c r="P109" s="67">
        <f t="shared" si="3"/>
        <v>0.52172281240373086</v>
      </c>
      <c r="Q109" s="67">
        <f t="shared" si="3"/>
        <v>3.4350489666828195E-2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1687</v>
      </c>
      <c r="B9" s="64">
        <v>63.93</v>
      </c>
      <c r="C9" s="64">
        <v>8.49</v>
      </c>
      <c r="D9" s="64">
        <v>55.24</v>
      </c>
      <c r="E9" s="64">
        <v>6</v>
      </c>
      <c r="F9" s="64">
        <v>3.69</v>
      </c>
      <c r="G9" s="64">
        <v>113.84</v>
      </c>
      <c r="H9" s="64">
        <v>47.6</v>
      </c>
      <c r="I9" s="64">
        <v>0.1</v>
      </c>
      <c r="J9" s="64">
        <v>0.77</v>
      </c>
      <c r="K9" s="64">
        <v>319.04000000000002</v>
      </c>
      <c r="L9" s="64">
        <v>14.21</v>
      </c>
      <c r="M9" s="64">
        <v>98.24</v>
      </c>
      <c r="N9" s="64">
        <v>56.4</v>
      </c>
      <c r="O9" s="64">
        <v>0</v>
      </c>
      <c r="P9" s="64">
        <v>2.86</v>
      </c>
      <c r="Q9" s="64">
        <v>9.74</v>
      </c>
      <c r="R9" s="198"/>
      <c r="S9" s="198"/>
      <c r="T9" s="198"/>
      <c r="U9" s="198"/>
    </row>
    <row r="10" spans="1:21" s="12" customFormat="1" x14ac:dyDescent="0.25">
      <c r="A10" s="214" t="s">
        <v>1688</v>
      </c>
      <c r="B10" s="64">
        <v>64.989999999999995</v>
      </c>
      <c r="C10" s="64">
        <v>7.34</v>
      </c>
      <c r="D10" s="64">
        <v>55.49</v>
      </c>
      <c r="E10" s="64">
        <v>5.65</v>
      </c>
      <c r="F10" s="64">
        <v>3.73</v>
      </c>
      <c r="G10" s="64">
        <v>120.23</v>
      </c>
      <c r="H10" s="64">
        <v>48.81</v>
      </c>
      <c r="I10" s="64">
        <v>0.1</v>
      </c>
      <c r="J10" s="64">
        <v>0.8</v>
      </c>
      <c r="K10" s="64">
        <v>319.05</v>
      </c>
      <c r="L10" s="64">
        <v>14.04</v>
      </c>
      <c r="M10" s="64">
        <v>98.25</v>
      </c>
      <c r="N10" s="64">
        <v>56.2</v>
      </c>
      <c r="O10" s="64">
        <v>0</v>
      </c>
      <c r="P10" s="64">
        <v>2.84</v>
      </c>
      <c r="Q10" s="64">
        <v>9.76</v>
      </c>
      <c r="R10" s="198"/>
      <c r="S10" s="198"/>
      <c r="T10" s="198"/>
      <c r="U10" s="198"/>
    </row>
    <row r="11" spans="1:21" s="12" customFormat="1" x14ac:dyDescent="0.25">
      <c r="A11" s="214" t="s">
        <v>1689</v>
      </c>
      <c r="B11" s="64">
        <v>65.72</v>
      </c>
      <c r="C11" s="64">
        <v>5.99</v>
      </c>
      <c r="D11" s="64">
        <v>55.38</v>
      </c>
      <c r="E11" s="64">
        <v>5.76</v>
      </c>
      <c r="F11" s="64">
        <v>3.83</v>
      </c>
      <c r="G11" s="64">
        <v>120.23</v>
      </c>
      <c r="H11" s="64">
        <v>48.81</v>
      </c>
      <c r="I11" s="64">
        <v>0.1</v>
      </c>
      <c r="J11" s="64">
        <v>0.67</v>
      </c>
      <c r="K11" s="64">
        <v>276.73</v>
      </c>
      <c r="L11" s="64">
        <v>13.98</v>
      </c>
      <c r="M11" s="64">
        <v>98.26</v>
      </c>
      <c r="N11" s="64">
        <v>55.9</v>
      </c>
      <c r="O11" s="64">
        <v>0</v>
      </c>
      <c r="P11" s="64">
        <v>2.79</v>
      </c>
      <c r="Q11" s="64">
        <v>9.75</v>
      </c>
      <c r="R11" s="198"/>
      <c r="S11" s="198"/>
      <c r="T11" s="198"/>
      <c r="U11" s="198"/>
    </row>
    <row r="12" spans="1:21" s="12" customFormat="1" x14ac:dyDescent="0.25">
      <c r="A12" s="214" t="s">
        <v>1690</v>
      </c>
      <c r="B12" s="64">
        <v>66.19</v>
      </c>
      <c r="C12" s="64">
        <v>4.75</v>
      </c>
      <c r="D12" s="64">
        <v>55.1</v>
      </c>
      <c r="E12" s="64">
        <v>5.55</v>
      </c>
      <c r="F12" s="64">
        <v>3.68</v>
      </c>
      <c r="G12" s="64">
        <v>120.23</v>
      </c>
      <c r="H12" s="64">
        <v>48.81</v>
      </c>
      <c r="I12" s="64">
        <v>0.1</v>
      </c>
      <c r="J12" s="64">
        <v>0.7</v>
      </c>
      <c r="K12" s="64">
        <v>312.06</v>
      </c>
      <c r="L12" s="64">
        <v>13.89</v>
      </c>
      <c r="M12" s="64">
        <v>98.22</v>
      </c>
      <c r="N12" s="64">
        <v>56.4</v>
      </c>
      <c r="O12" s="64">
        <v>0</v>
      </c>
      <c r="P12" s="64">
        <v>2.75</v>
      </c>
      <c r="Q12" s="64">
        <v>9.77</v>
      </c>
      <c r="R12" s="198"/>
      <c r="S12" s="198"/>
      <c r="T12" s="198"/>
      <c r="U12" s="198"/>
    </row>
    <row r="13" spans="1:21" s="12" customFormat="1" x14ac:dyDescent="0.25">
      <c r="A13" s="214" t="s">
        <v>1691</v>
      </c>
      <c r="B13" s="64">
        <v>66.31</v>
      </c>
      <c r="C13" s="64">
        <v>3.77</v>
      </c>
      <c r="D13" s="64">
        <v>54.68</v>
      </c>
      <c r="E13" s="64">
        <v>5.57</v>
      </c>
      <c r="F13" s="64">
        <v>3.53</v>
      </c>
      <c r="G13" s="64">
        <v>119.35</v>
      </c>
      <c r="H13" s="64">
        <v>49.18</v>
      </c>
      <c r="I13" s="64">
        <v>0.1</v>
      </c>
      <c r="J13" s="64">
        <v>0.54</v>
      </c>
      <c r="K13" s="64">
        <v>280.93</v>
      </c>
      <c r="L13" s="64">
        <v>13.59</v>
      </c>
      <c r="M13" s="64">
        <v>98.17</v>
      </c>
      <c r="N13" s="64">
        <v>56.2</v>
      </c>
      <c r="O13" s="64">
        <v>0</v>
      </c>
      <c r="P13" s="64">
        <v>2.5299999999999998</v>
      </c>
      <c r="Q13" s="64">
        <v>9.77</v>
      </c>
      <c r="R13" s="198"/>
      <c r="S13" s="198"/>
      <c r="T13" s="198"/>
      <c r="U13" s="198"/>
    </row>
    <row r="14" spans="1:21" s="12" customFormat="1" x14ac:dyDescent="0.25">
      <c r="A14" s="214" t="s">
        <v>1692</v>
      </c>
      <c r="B14" s="64">
        <v>65.900000000000006</v>
      </c>
      <c r="C14" s="64">
        <v>3.12</v>
      </c>
      <c r="D14" s="64">
        <v>54.01</v>
      </c>
      <c r="E14" s="64">
        <v>5.21</v>
      </c>
      <c r="F14" s="64">
        <v>3.54</v>
      </c>
      <c r="G14" s="64">
        <v>118.54</v>
      </c>
      <c r="H14" s="64">
        <v>49.4</v>
      </c>
      <c r="I14" s="64">
        <v>0.1</v>
      </c>
      <c r="J14" s="64">
        <v>0.87</v>
      </c>
      <c r="K14" s="64">
        <v>334.64</v>
      </c>
      <c r="L14" s="64">
        <v>13.44</v>
      </c>
      <c r="M14" s="64">
        <v>98.18</v>
      </c>
      <c r="N14" s="64">
        <v>56.2</v>
      </c>
      <c r="O14" s="64">
        <v>0</v>
      </c>
      <c r="P14" s="64">
        <v>2.63</v>
      </c>
      <c r="Q14" s="64">
        <v>9.75</v>
      </c>
      <c r="R14" s="198"/>
      <c r="S14" s="198"/>
      <c r="T14" s="198"/>
      <c r="U14" s="198"/>
    </row>
    <row r="15" spans="1:21" s="12" customFormat="1" x14ac:dyDescent="0.25">
      <c r="A15" s="214" t="s">
        <v>1693</v>
      </c>
      <c r="B15" s="64">
        <v>65.98</v>
      </c>
      <c r="C15" s="64">
        <v>2.6</v>
      </c>
      <c r="D15" s="64">
        <v>53.81</v>
      </c>
      <c r="E15" s="64">
        <v>5.43</v>
      </c>
      <c r="F15" s="64">
        <v>3.36</v>
      </c>
      <c r="G15" s="64">
        <v>118.54</v>
      </c>
      <c r="H15" s="64">
        <v>49.4</v>
      </c>
      <c r="I15" s="64">
        <v>0.1</v>
      </c>
      <c r="J15" s="64">
        <v>0.76</v>
      </c>
      <c r="K15" s="64">
        <v>321.83</v>
      </c>
      <c r="L15" s="64">
        <v>13.44</v>
      </c>
      <c r="M15" s="64">
        <v>98.19</v>
      </c>
      <c r="N15" s="64">
        <v>55.5</v>
      </c>
      <c r="O15" s="64">
        <v>0</v>
      </c>
      <c r="P15" s="64">
        <v>2.62</v>
      </c>
      <c r="Q15" s="64">
        <v>9.75</v>
      </c>
      <c r="R15" s="198"/>
      <c r="S15" s="198"/>
      <c r="T15" s="198"/>
      <c r="U15" s="198"/>
    </row>
    <row r="16" spans="1:21" s="12" customFormat="1" x14ac:dyDescent="0.25">
      <c r="A16" s="214" t="s">
        <v>1694</v>
      </c>
      <c r="B16" s="64">
        <v>65.36</v>
      </c>
      <c r="C16" s="64">
        <v>2.5499999999999998</v>
      </c>
      <c r="D16" s="64">
        <v>53.29</v>
      </c>
      <c r="E16" s="64">
        <v>5.38</v>
      </c>
      <c r="F16" s="64">
        <v>3.19</v>
      </c>
      <c r="G16" s="64">
        <v>118.54</v>
      </c>
      <c r="H16" s="64">
        <v>49.4</v>
      </c>
      <c r="I16" s="64">
        <v>0.1</v>
      </c>
      <c r="J16" s="64">
        <v>0.89</v>
      </c>
      <c r="K16" s="64">
        <v>328.95</v>
      </c>
      <c r="L16" s="64">
        <v>13.68</v>
      </c>
      <c r="M16" s="64">
        <v>98.17</v>
      </c>
      <c r="N16" s="64">
        <v>55.2</v>
      </c>
      <c r="O16" s="64">
        <v>0</v>
      </c>
      <c r="P16" s="64">
        <v>2.62</v>
      </c>
      <c r="Q16" s="64">
        <v>9.74</v>
      </c>
      <c r="R16" s="198"/>
      <c r="S16" s="198"/>
      <c r="T16" s="198"/>
      <c r="U16" s="198"/>
    </row>
    <row r="17" spans="1:21" s="12" customFormat="1" x14ac:dyDescent="0.25">
      <c r="A17" s="214" t="s">
        <v>1695</v>
      </c>
      <c r="B17" s="64">
        <v>63.74</v>
      </c>
      <c r="C17" s="64">
        <v>3.32</v>
      </c>
      <c r="D17" s="64">
        <v>52.39</v>
      </c>
      <c r="E17" s="64">
        <v>5.55</v>
      </c>
      <c r="F17" s="64">
        <v>2.98</v>
      </c>
      <c r="G17" s="64">
        <v>123.9</v>
      </c>
      <c r="H17" s="64">
        <v>49.81</v>
      </c>
      <c r="I17" s="64">
        <v>0.1</v>
      </c>
      <c r="J17" s="64">
        <v>0.23</v>
      </c>
      <c r="K17" s="64">
        <v>262.95</v>
      </c>
      <c r="L17" s="64">
        <v>13.65</v>
      </c>
      <c r="M17" s="64">
        <v>98.15</v>
      </c>
      <c r="N17" s="64">
        <v>55.9</v>
      </c>
      <c r="O17" s="64">
        <v>0</v>
      </c>
      <c r="P17" s="64">
        <v>2.62</v>
      </c>
      <c r="Q17" s="64">
        <v>9.74</v>
      </c>
      <c r="R17" s="198"/>
      <c r="S17" s="198"/>
      <c r="T17" s="198"/>
      <c r="U17" s="198"/>
    </row>
    <row r="18" spans="1:21" s="12" customFormat="1" x14ac:dyDescent="0.25">
      <c r="A18" s="214" t="s">
        <v>1696</v>
      </c>
      <c r="B18" s="64">
        <v>62.08</v>
      </c>
      <c r="C18" s="64">
        <v>4.24</v>
      </c>
      <c r="D18" s="64">
        <v>51.54</v>
      </c>
      <c r="E18" s="64">
        <v>5.74</v>
      </c>
      <c r="F18" s="64">
        <v>2.86</v>
      </c>
      <c r="G18" s="64">
        <v>128.79</v>
      </c>
      <c r="H18" s="64">
        <v>49.99</v>
      </c>
      <c r="I18" s="64">
        <v>0.1</v>
      </c>
      <c r="J18" s="64">
        <v>0.42</v>
      </c>
      <c r="K18" s="64">
        <v>254.33</v>
      </c>
      <c r="L18" s="64">
        <v>13.55</v>
      </c>
      <c r="M18" s="64">
        <v>98.15</v>
      </c>
      <c r="N18" s="64">
        <v>56</v>
      </c>
      <c r="O18" s="64">
        <v>0</v>
      </c>
      <c r="P18" s="64">
        <v>2.61</v>
      </c>
      <c r="Q18" s="64">
        <v>9.7200000000000006</v>
      </c>
      <c r="R18" s="198"/>
      <c r="S18" s="198"/>
      <c r="T18" s="198"/>
      <c r="U18" s="198"/>
    </row>
    <row r="19" spans="1:21" s="12" customFormat="1" x14ac:dyDescent="0.25">
      <c r="A19" s="214" t="s">
        <v>1697</v>
      </c>
      <c r="B19" s="64">
        <v>60.61</v>
      </c>
      <c r="C19" s="64">
        <v>4.59</v>
      </c>
      <c r="D19" s="64">
        <v>50.54</v>
      </c>
      <c r="E19" s="64">
        <v>5.48</v>
      </c>
      <c r="F19" s="64">
        <v>3</v>
      </c>
      <c r="G19" s="64">
        <v>128.79</v>
      </c>
      <c r="H19" s="64">
        <v>49.99</v>
      </c>
      <c r="I19" s="64">
        <v>0.1</v>
      </c>
      <c r="J19" s="64">
        <v>0.05</v>
      </c>
      <c r="K19" s="64">
        <v>330</v>
      </c>
      <c r="L19" s="64">
        <v>13.44</v>
      </c>
      <c r="M19" s="64">
        <v>98.15</v>
      </c>
      <c r="N19" s="64">
        <v>55.7</v>
      </c>
      <c r="O19" s="64">
        <v>0</v>
      </c>
      <c r="P19" s="64">
        <v>2.59</v>
      </c>
      <c r="Q19" s="64">
        <v>9.75</v>
      </c>
      <c r="R19" s="198"/>
      <c r="S19" s="198"/>
      <c r="T19" s="198"/>
      <c r="U19" s="198"/>
    </row>
    <row r="20" spans="1:21" s="12" customFormat="1" x14ac:dyDescent="0.25">
      <c r="A20" s="214" t="s">
        <v>1698</v>
      </c>
      <c r="B20" s="64">
        <v>58.76</v>
      </c>
      <c r="C20" s="64">
        <v>4.37</v>
      </c>
      <c r="D20" s="64">
        <v>48.95</v>
      </c>
      <c r="E20" s="64">
        <v>5.13</v>
      </c>
      <c r="F20" s="64">
        <v>3.1</v>
      </c>
      <c r="G20" s="64">
        <v>128.79</v>
      </c>
      <c r="H20" s="64">
        <v>49.99</v>
      </c>
      <c r="I20" s="64">
        <v>0.1</v>
      </c>
      <c r="J20" s="64">
        <v>0.77</v>
      </c>
      <c r="K20" s="64">
        <v>293.97000000000003</v>
      </c>
      <c r="L20" s="64">
        <v>13.4</v>
      </c>
      <c r="M20" s="64">
        <v>98.14</v>
      </c>
      <c r="N20" s="64">
        <v>55.7</v>
      </c>
      <c r="O20" s="64">
        <v>0</v>
      </c>
      <c r="P20" s="64">
        <v>2.59</v>
      </c>
      <c r="Q20" s="64">
        <v>9.73</v>
      </c>
      <c r="R20" s="198"/>
      <c r="S20" s="198"/>
      <c r="T20" s="198"/>
      <c r="U20" s="198"/>
    </row>
    <row r="21" spans="1:21" s="12" customFormat="1" x14ac:dyDescent="0.25">
      <c r="A21" s="214" t="s">
        <v>1699</v>
      </c>
      <c r="B21" s="64">
        <v>56.38</v>
      </c>
      <c r="C21" s="64">
        <v>6.04</v>
      </c>
      <c r="D21" s="64">
        <v>47.91</v>
      </c>
      <c r="E21" s="64">
        <v>5.35</v>
      </c>
      <c r="F21" s="64">
        <v>3.28</v>
      </c>
      <c r="G21" s="64">
        <v>135.03</v>
      </c>
      <c r="H21" s="64">
        <v>52.53</v>
      </c>
      <c r="I21" s="64">
        <v>0.1</v>
      </c>
      <c r="J21" s="64">
        <v>0.76</v>
      </c>
      <c r="K21" s="64">
        <v>206.77</v>
      </c>
      <c r="L21" s="64">
        <v>13.35</v>
      </c>
      <c r="M21" s="64">
        <v>98.13</v>
      </c>
      <c r="N21" s="64">
        <v>55.7</v>
      </c>
      <c r="O21" s="64">
        <v>0</v>
      </c>
      <c r="P21" s="64">
        <v>2.59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4" t="s">
        <v>1700</v>
      </c>
      <c r="B22" s="64">
        <v>53.99</v>
      </c>
      <c r="C22" s="64">
        <v>7.42</v>
      </c>
      <c r="D22" s="64">
        <v>46.71</v>
      </c>
      <c r="E22" s="64">
        <v>5.65</v>
      </c>
      <c r="F22" s="64">
        <v>2.93</v>
      </c>
      <c r="G22" s="64">
        <v>140.74</v>
      </c>
      <c r="H22" s="64">
        <v>53.69</v>
      </c>
      <c r="I22" s="64">
        <v>0.1</v>
      </c>
      <c r="J22" s="64">
        <v>0.78</v>
      </c>
      <c r="K22" s="64">
        <v>237.03</v>
      </c>
      <c r="L22" s="64">
        <v>13.37</v>
      </c>
      <c r="M22" s="64">
        <v>98.14</v>
      </c>
      <c r="N22" s="64">
        <v>55.6</v>
      </c>
      <c r="O22" s="64">
        <v>0</v>
      </c>
      <c r="P22" s="64">
        <v>2.57</v>
      </c>
      <c r="Q22" s="64">
        <v>9.7200000000000006</v>
      </c>
      <c r="R22" s="198"/>
      <c r="S22" s="198"/>
      <c r="T22" s="198"/>
      <c r="U22" s="198"/>
    </row>
    <row r="23" spans="1:21" s="12" customFormat="1" x14ac:dyDescent="0.25">
      <c r="A23" s="214" t="s">
        <v>1701</v>
      </c>
      <c r="B23" s="64">
        <v>51.69</v>
      </c>
      <c r="C23" s="64">
        <v>8.64</v>
      </c>
      <c r="D23" s="64">
        <v>45.51</v>
      </c>
      <c r="E23" s="64">
        <v>5.32</v>
      </c>
      <c r="F23" s="64">
        <v>2.98</v>
      </c>
      <c r="G23" s="64">
        <v>140.74</v>
      </c>
      <c r="H23" s="64">
        <v>53.69</v>
      </c>
      <c r="I23" s="64">
        <v>0.1</v>
      </c>
      <c r="J23" s="64">
        <v>0.65</v>
      </c>
      <c r="K23" s="64">
        <v>336.6</v>
      </c>
      <c r="L23" s="64">
        <v>13.28</v>
      </c>
      <c r="M23" s="64">
        <v>98.16</v>
      </c>
      <c r="N23" s="64">
        <v>55.7</v>
      </c>
      <c r="O23" s="64">
        <v>0</v>
      </c>
      <c r="P23" s="64">
        <v>2.54</v>
      </c>
      <c r="Q23" s="64">
        <v>9.7200000000000006</v>
      </c>
      <c r="R23" s="198"/>
      <c r="S23" s="198"/>
      <c r="T23" s="198"/>
      <c r="U23" s="198"/>
    </row>
    <row r="24" spans="1:21" s="12" customFormat="1" x14ac:dyDescent="0.25">
      <c r="A24" s="214" t="s">
        <v>1702</v>
      </c>
      <c r="B24" s="64">
        <v>50.16</v>
      </c>
      <c r="C24" s="64">
        <v>9.1300000000000008</v>
      </c>
      <c r="D24" s="64">
        <v>44.53</v>
      </c>
      <c r="E24" s="64">
        <v>5.74</v>
      </c>
      <c r="F24" s="64">
        <v>3.64</v>
      </c>
      <c r="G24" s="64">
        <v>140.74</v>
      </c>
      <c r="H24" s="64">
        <v>53.69</v>
      </c>
      <c r="I24" s="64">
        <v>0.1</v>
      </c>
      <c r="J24" s="64">
        <v>0.56999999999999995</v>
      </c>
      <c r="K24" s="64">
        <v>20.54</v>
      </c>
      <c r="L24" s="64">
        <v>12.93</v>
      </c>
      <c r="M24" s="64">
        <v>98.17</v>
      </c>
      <c r="N24" s="64">
        <v>55.6</v>
      </c>
      <c r="O24" s="64">
        <v>0</v>
      </c>
      <c r="P24" s="64">
        <v>2.5099999999999998</v>
      </c>
      <c r="Q24" s="64">
        <v>9.7200000000000006</v>
      </c>
      <c r="R24" s="198"/>
      <c r="S24" s="198"/>
      <c r="T24" s="198"/>
      <c r="U24" s="198"/>
    </row>
    <row r="25" spans="1:21" s="12" customFormat="1" x14ac:dyDescent="0.25">
      <c r="A25" s="214" t="s">
        <v>1703</v>
      </c>
      <c r="B25" s="64">
        <v>49.29</v>
      </c>
      <c r="C25" s="64">
        <v>9.57</v>
      </c>
      <c r="D25" s="64">
        <v>44.07</v>
      </c>
      <c r="E25" s="64">
        <v>5.51</v>
      </c>
      <c r="F25" s="64">
        <v>3.15</v>
      </c>
      <c r="G25" s="64">
        <v>131.54</v>
      </c>
      <c r="H25" s="64">
        <v>52.9</v>
      </c>
      <c r="I25" s="64">
        <v>0.1</v>
      </c>
      <c r="J25" s="64">
        <v>0.41</v>
      </c>
      <c r="K25" s="64">
        <v>19.43</v>
      </c>
      <c r="L25" s="64">
        <v>13.1</v>
      </c>
      <c r="M25" s="64">
        <v>98.14</v>
      </c>
      <c r="N25" s="64">
        <v>55.1</v>
      </c>
      <c r="O25" s="64">
        <v>0</v>
      </c>
      <c r="P25" s="64">
        <v>2.4900000000000002</v>
      </c>
      <c r="Q25" s="64">
        <v>9.7200000000000006</v>
      </c>
      <c r="R25" s="198"/>
      <c r="S25" s="198"/>
      <c r="T25" s="198"/>
      <c r="U25" s="198"/>
    </row>
    <row r="26" spans="1:21" s="12" customFormat="1" x14ac:dyDescent="0.25">
      <c r="A26" s="214" t="s">
        <v>1704</v>
      </c>
      <c r="B26" s="64">
        <v>47.8</v>
      </c>
      <c r="C26" s="64">
        <v>10.26</v>
      </c>
      <c r="D26" s="64">
        <v>43.23</v>
      </c>
      <c r="E26" s="64">
        <v>5.5</v>
      </c>
      <c r="F26" s="64">
        <v>3.44</v>
      </c>
      <c r="G26" s="64">
        <v>123.13</v>
      </c>
      <c r="H26" s="64">
        <v>52.19</v>
      </c>
      <c r="I26" s="64">
        <v>0.1</v>
      </c>
      <c r="J26" s="64">
        <v>0.56000000000000005</v>
      </c>
      <c r="K26" s="64">
        <v>100.86</v>
      </c>
      <c r="L26" s="64">
        <v>13.38</v>
      </c>
      <c r="M26" s="64">
        <v>97.74</v>
      </c>
      <c r="N26" s="64">
        <v>55.4</v>
      </c>
      <c r="O26" s="64">
        <v>0</v>
      </c>
      <c r="P26" s="64">
        <v>2.4700000000000002</v>
      </c>
      <c r="Q26" s="64">
        <v>9.73</v>
      </c>
      <c r="R26" s="198"/>
      <c r="S26" s="198"/>
      <c r="T26" s="198"/>
      <c r="U26" s="198"/>
    </row>
    <row r="27" spans="1:21" s="12" customFormat="1" x14ac:dyDescent="0.25">
      <c r="A27" s="214" t="s">
        <v>1705</v>
      </c>
      <c r="B27" s="64">
        <v>45.81</v>
      </c>
      <c r="C27" s="64">
        <v>11.26</v>
      </c>
      <c r="D27" s="64">
        <v>42.16</v>
      </c>
      <c r="E27" s="64">
        <v>5.34</v>
      </c>
      <c r="F27" s="64">
        <v>3.38</v>
      </c>
      <c r="G27" s="64">
        <v>123.13</v>
      </c>
      <c r="H27" s="64">
        <v>52.19</v>
      </c>
      <c r="I27" s="64">
        <v>0.1</v>
      </c>
      <c r="J27" s="64">
        <v>0.61</v>
      </c>
      <c r="K27" s="64">
        <v>251</v>
      </c>
      <c r="L27" s="64">
        <v>13.3</v>
      </c>
      <c r="M27" s="64">
        <v>98.07</v>
      </c>
      <c r="N27" s="64">
        <v>55.5</v>
      </c>
      <c r="O27" s="64">
        <v>0</v>
      </c>
      <c r="P27" s="64">
        <v>2.44</v>
      </c>
      <c r="Q27" s="64">
        <v>9.7200000000000006</v>
      </c>
      <c r="R27" s="198"/>
      <c r="S27" s="198"/>
      <c r="T27" s="198"/>
      <c r="U27" s="198"/>
    </row>
    <row r="28" spans="1:21" s="12" customFormat="1" x14ac:dyDescent="0.25">
      <c r="A28" s="214" t="s">
        <v>1706</v>
      </c>
      <c r="B28" s="64">
        <v>44.25</v>
      </c>
      <c r="C28" s="64">
        <v>11.96</v>
      </c>
      <c r="D28" s="64">
        <v>41.27</v>
      </c>
      <c r="E28" s="64">
        <v>5.54</v>
      </c>
      <c r="F28" s="64">
        <v>3.28</v>
      </c>
      <c r="G28" s="64">
        <v>123.13</v>
      </c>
      <c r="H28" s="64">
        <v>52.19</v>
      </c>
      <c r="I28" s="64">
        <v>0.1</v>
      </c>
      <c r="J28" s="64">
        <v>0.71</v>
      </c>
      <c r="K28" s="64">
        <v>321.44</v>
      </c>
      <c r="L28" s="64">
        <v>12.99</v>
      </c>
      <c r="M28" s="64">
        <v>98.15</v>
      </c>
      <c r="N28" s="64">
        <v>55.7</v>
      </c>
      <c r="O28" s="64">
        <v>0</v>
      </c>
      <c r="P28" s="64">
        <v>2.38</v>
      </c>
      <c r="Q28" s="64">
        <v>9.7200000000000006</v>
      </c>
      <c r="R28" s="198"/>
      <c r="S28" s="198"/>
      <c r="T28" s="198"/>
      <c r="U28" s="198"/>
    </row>
    <row r="29" spans="1:21" s="12" customFormat="1" x14ac:dyDescent="0.25">
      <c r="A29" s="214" t="s">
        <v>1707</v>
      </c>
      <c r="B29" s="64">
        <v>43.65</v>
      </c>
      <c r="C29" s="64">
        <v>12.03</v>
      </c>
      <c r="D29" s="64">
        <v>40.83</v>
      </c>
      <c r="E29" s="64">
        <v>5.21</v>
      </c>
      <c r="F29" s="64">
        <v>3.21</v>
      </c>
      <c r="G29" s="64">
        <v>118.87</v>
      </c>
      <c r="H29" s="64">
        <v>51.03</v>
      </c>
      <c r="I29" s="64">
        <v>0.1</v>
      </c>
      <c r="J29" s="64">
        <v>0.28999999999999998</v>
      </c>
      <c r="K29" s="64">
        <v>302.99</v>
      </c>
      <c r="L29" s="64">
        <v>12.62</v>
      </c>
      <c r="M29" s="64">
        <v>98.18</v>
      </c>
      <c r="N29" s="64">
        <v>55.7</v>
      </c>
      <c r="O29" s="64">
        <v>0</v>
      </c>
      <c r="P29" s="64">
        <v>2.2999999999999998</v>
      </c>
      <c r="Q29" s="64">
        <v>9.7100000000000009</v>
      </c>
      <c r="R29" s="198"/>
      <c r="S29" s="198"/>
      <c r="T29" s="198"/>
      <c r="U29" s="198"/>
    </row>
    <row r="30" spans="1:21" s="12" customFormat="1" x14ac:dyDescent="0.25">
      <c r="A30" s="214" t="s">
        <v>1708</v>
      </c>
      <c r="B30" s="64">
        <v>43.42</v>
      </c>
      <c r="C30" s="64">
        <v>11.93</v>
      </c>
      <c r="D30" s="64">
        <v>40.590000000000003</v>
      </c>
      <c r="E30" s="64">
        <v>4.8499999999999996</v>
      </c>
      <c r="F30" s="64">
        <v>3.09</v>
      </c>
      <c r="G30" s="64">
        <v>114.98</v>
      </c>
      <c r="H30" s="64">
        <v>50.5</v>
      </c>
      <c r="I30" s="64">
        <v>0.1</v>
      </c>
      <c r="J30" s="64">
        <v>0.43</v>
      </c>
      <c r="K30" s="64">
        <v>308.75</v>
      </c>
      <c r="L30" s="64">
        <v>12.7</v>
      </c>
      <c r="M30" s="64">
        <v>98.18</v>
      </c>
      <c r="N30" s="64">
        <v>54.9</v>
      </c>
      <c r="O30" s="64">
        <v>0</v>
      </c>
      <c r="P30" s="64">
        <v>2.2599999999999998</v>
      </c>
      <c r="Q30" s="64">
        <v>9.7100000000000009</v>
      </c>
      <c r="R30" s="198"/>
      <c r="S30" s="198"/>
      <c r="T30" s="198"/>
      <c r="U30" s="198"/>
    </row>
    <row r="31" spans="1:21" s="12" customFormat="1" x14ac:dyDescent="0.25">
      <c r="A31" s="214" t="s">
        <v>1709</v>
      </c>
      <c r="B31" s="64">
        <v>42.74</v>
      </c>
      <c r="C31" s="64">
        <v>12.31</v>
      </c>
      <c r="D31" s="64">
        <v>40.24</v>
      </c>
      <c r="E31" s="64">
        <v>5.0199999999999996</v>
      </c>
      <c r="F31" s="64">
        <v>3</v>
      </c>
      <c r="G31" s="64">
        <v>114.98</v>
      </c>
      <c r="H31" s="64">
        <v>50.5</v>
      </c>
      <c r="I31" s="64">
        <v>0.1</v>
      </c>
      <c r="J31" s="64">
        <v>0.48</v>
      </c>
      <c r="K31" s="64">
        <v>330.12</v>
      </c>
      <c r="L31" s="64">
        <v>13.15</v>
      </c>
      <c r="M31" s="64">
        <v>98.09</v>
      </c>
      <c r="N31" s="64">
        <v>54.8</v>
      </c>
      <c r="O31" s="64">
        <v>0</v>
      </c>
      <c r="P31" s="64">
        <v>2.1800000000000002</v>
      </c>
      <c r="Q31" s="64">
        <v>9.6999999999999993</v>
      </c>
      <c r="R31" s="198"/>
      <c r="S31" s="198"/>
      <c r="T31" s="198"/>
      <c r="U31" s="198"/>
    </row>
    <row r="32" spans="1:21" s="12" customFormat="1" x14ac:dyDescent="0.25">
      <c r="A32" s="214" t="s">
        <v>1710</v>
      </c>
      <c r="B32" s="64">
        <v>41.31</v>
      </c>
      <c r="C32" s="64">
        <v>13.17</v>
      </c>
      <c r="D32" s="64">
        <v>39.54</v>
      </c>
      <c r="E32" s="64">
        <v>4.82</v>
      </c>
      <c r="F32" s="64">
        <v>2.92</v>
      </c>
      <c r="G32" s="64">
        <v>114.98</v>
      </c>
      <c r="H32" s="64">
        <v>50.5</v>
      </c>
      <c r="I32" s="64">
        <v>0.1</v>
      </c>
      <c r="J32" s="64">
        <v>0.25</v>
      </c>
      <c r="K32" s="64">
        <v>353.51</v>
      </c>
      <c r="L32" s="64">
        <v>13.41</v>
      </c>
      <c r="M32" s="64">
        <v>95.53</v>
      </c>
      <c r="N32" s="64">
        <v>54.9</v>
      </c>
      <c r="O32" s="64">
        <v>0</v>
      </c>
      <c r="P32" s="64">
        <v>2.09</v>
      </c>
      <c r="Q32" s="64">
        <v>9.69</v>
      </c>
      <c r="R32" s="198"/>
      <c r="S32" s="198"/>
      <c r="T32" s="198"/>
      <c r="U32" s="198"/>
    </row>
    <row r="33" spans="1:21" s="12" customFormat="1" x14ac:dyDescent="0.25">
      <c r="A33" s="214" t="s">
        <v>1711</v>
      </c>
      <c r="B33" s="64">
        <v>39.659999999999997</v>
      </c>
      <c r="C33" s="64">
        <v>14.04</v>
      </c>
      <c r="D33" s="64">
        <v>38.68</v>
      </c>
      <c r="E33" s="64">
        <v>4.74</v>
      </c>
      <c r="F33" s="64">
        <v>2.89</v>
      </c>
      <c r="G33" s="64">
        <v>113.13</v>
      </c>
      <c r="H33" s="64">
        <v>47.68</v>
      </c>
      <c r="I33" s="64">
        <v>0.1</v>
      </c>
      <c r="J33" s="64">
        <v>0.3</v>
      </c>
      <c r="K33" s="64">
        <v>281.25</v>
      </c>
      <c r="L33" s="64">
        <v>13.36</v>
      </c>
      <c r="M33" s="64">
        <v>96.73</v>
      </c>
      <c r="N33" s="64">
        <v>55.5</v>
      </c>
      <c r="O33" s="64">
        <v>0</v>
      </c>
      <c r="P33" s="64">
        <v>2.0099999999999998</v>
      </c>
      <c r="Q33" s="64">
        <v>9.69</v>
      </c>
      <c r="R33" s="198"/>
      <c r="S33" s="198"/>
      <c r="T33" s="198"/>
      <c r="U33" s="198"/>
    </row>
    <row r="34" spans="1:21" s="12" customFormat="1" x14ac:dyDescent="0.25">
      <c r="A34" s="214" t="s">
        <v>1712</v>
      </c>
      <c r="B34" s="64">
        <v>38.56</v>
      </c>
      <c r="C34" s="64">
        <v>14.65</v>
      </c>
      <c r="D34" s="64">
        <v>38.11</v>
      </c>
      <c r="E34" s="64">
        <v>4.8</v>
      </c>
      <c r="F34" s="64">
        <v>2.98</v>
      </c>
      <c r="G34" s="64">
        <v>111.45</v>
      </c>
      <c r="H34" s="64">
        <v>46.42</v>
      </c>
      <c r="I34" s="64">
        <v>0.1</v>
      </c>
      <c r="J34" s="64">
        <v>0.65</v>
      </c>
      <c r="K34" s="64">
        <v>270.45999999999998</v>
      </c>
      <c r="L34" s="64">
        <v>13.26</v>
      </c>
      <c r="M34" s="64">
        <v>97.94</v>
      </c>
      <c r="N34" s="64">
        <v>57</v>
      </c>
      <c r="O34" s="64">
        <v>0</v>
      </c>
      <c r="P34" s="64">
        <v>1.94</v>
      </c>
      <c r="Q34" s="64">
        <v>9.69</v>
      </c>
      <c r="R34" s="198"/>
      <c r="S34" s="198"/>
      <c r="T34" s="198"/>
      <c r="U34" s="198"/>
    </row>
    <row r="35" spans="1:21" s="12" customFormat="1" x14ac:dyDescent="0.25">
      <c r="A35" s="214" t="s">
        <v>1713</v>
      </c>
      <c r="B35" s="64">
        <v>37.51</v>
      </c>
      <c r="C35" s="64">
        <v>15.14</v>
      </c>
      <c r="D35" s="64">
        <v>37.53</v>
      </c>
      <c r="E35" s="64">
        <v>4.49</v>
      </c>
      <c r="F35" s="64">
        <v>2.78</v>
      </c>
      <c r="G35" s="64">
        <v>111.45</v>
      </c>
      <c r="H35" s="64">
        <v>46.42</v>
      </c>
      <c r="I35" s="64">
        <v>0.1</v>
      </c>
      <c r="J35" s="64">
        <v>0.81</v>
      </c>
      <c r="K35" s="64">
        <v>288.58</v>
      </c>
      <c r="L35" s="64">
        <v>13.03</v>
      </c>
      <c r="M35" s="64">
        <v>98.15</v>
      </c>
      <c r="N35" s="64">
        <v>62.8</v>
      </c>
      <c r="O35" s="64">
        <v>0</v>
      </c>
      <c r="P35" s="64">
        <v>1.88</v>
      </c>
      <c r="Q35" s="64">
        <v>9.69</v>
      </c>
      <c r="R35" s="198"/>
      <c r="S35" s="198"/>
      <c r="T35" s="198"/>
      <c r="U35" s="198"/>
    </row>
    <row r="36" spans="1:21" s="12" customFormat="1" x14ac:dyDescent="0.25">
      <c r="A36" s="214" t="s">
        <v>1714</v>
      </c>
      <c r="B36" s="64">
        <v>37.479999999999997</v>
      </c>
      <c r="C36" s="64">
        <v>15.31</v>
      </c>
      <c r="D36" s="64">
        <v>37.590000000000003</v>
      </c>
      <c r="E36" s="64">
        <v>4.71</v>
      </c>
      <c r="F36" s="64">
        <v>2.83</v>
      </c>
      <c r="G36" s="64">
        <v>111.45</v>
      </c>
      <c r="H36" s="64">
        <v>46.42</v>
      </c>
      <c r="I36" s="64">
        <v>0.1</v>
      </c>
      <c r="J36" s="64">
        <v>0.76</v>
      </c>
      <c r="K36" s="64">
        <v>329.05</v>
      </c>
      <c r="L36" s="64">
        <v>12.9</v>
      </c>
      <c r="M36" s="64">
        <v>98.17</v>
      </c>
      <c r="N36" s="64">
        <v>73.2</v>
      </c>
      <c r="O36" s="64">
        <v>0</v>
      </c>
      <c r="P36" s="64">
        <v>1.82</v>
      </c>
      <c r="Q36" s="64">
        <v>9.7100000000000009</v>
      </c>
      <c r="R36" s="198"/>
      <c r="S36" s="198"/>
      <c r="T36" s="198"/>
      <c r="U36" s="198"/>
    </row>
    <row r="37" spans="1:21" s="12" customFormat="1" x14ac:dyDescent="0.25">
      <c r="A37" s="214" t="s">
        <v>1715</v>
      </c>
      <c r="B37" s="64">
        <v>40.9</v>
      </c>
      <c r="C37" s="64">
        <v>13.28</v>
      </c>
      <c r="D37" s="64">
        <v>39.28</v>
      </c>
      <c r="E37" s="64">
        <v>4.5199999999999996</v>
      </c>
      <c r="F37" s="64">
        <v>2.81</v>
      </c>
      <c r="G37" s="64">
        <v>102.73</v>
      </c>
      <c r="H37" s="64">
        <v>44.31</v>
      </c>
      <c r="I37" s="64">
        <v>0.1</v>
      </c>
      <c r="J37" s="64">
        <v>0.77</v>
      </c>
      <c r="K37" s="64">
        <v>326.17</v>
      </c>
      <c r="L37" s="64">
        <v>13.19</v>
      </c>
      <c r="M37" s="64">
        <v>98.18</v>
      </c>
      <c r="N37" s="64">
        <v>85.9</v>
      </c>
      <c r="O37" s="64">
        <v>0</v>
      </c>
      <c r="P37" s="64">
        <v>1.89</v>
      </c>
      <c r="Q37" s="64">
        <v>9.7100000000000009</v>
      </c>
      <c r="R37" s="198"/>
      <c r="S37" s="198"/>
      <c r="T37" s="198"/>
      <c r="U37" s="198"/>
    </row>
    <row r="38" spans="1:21" s="12" customFormat="1" x14ac:dyDescent="0.25">
      <c r="A38" s="214" t="s">
        <v>1716</v>
      </c>
      <c r="B38" s="64">
        <v>45.57</v>
      </c>
      <c r="C38" s="64">
        <v>10.71</v>
      </c>
      <c r="D38" s="64">
        <v>41.68</v>
      </c>
      <c r="E38" s="64">
        <v>4.5</v>
      </c>
      <c r="F38" s="64">
        <v>2.64</v>
      </c>
      <c r="G38" s="64">
        <v>94.75</v>
      </c>
      <c r="H38" s="64">
        <v>43.36</v>
      </c>
      <c r="I38" s="64">
        <v>0.1</v>
      </c>
      <c r="J38" s="64">
        <v>0.44</v>
      </c>
      <c r="K38" s="64">
        <v>79.5</v>
      </c>
      <c r="L38" s="64">
        <v>13.94</v>
      </c>
      <c r="M38" s="64">
        <v>97.25</v>
      </c>
      <c r="N38" s="64">
        <v>102</v>
      </c>
      <c r="O38" s="64">
        <v>0</v>
      </c>
      <c r="P38" s="64">
        <v>2.0299999999999998</v>
      </c>
      <c r="Q38" s="64">
        <v>9.7100000000000009</v>
      </c>
      <c r="R38" s="198"/>
      <c r="S38" s="198"/>
      <c r="T38" s="198"/>
      <c r="U38" s="198"/>
    </row>
    <row r="39" spans="1:21" s="12" customFormat="1" x14ac:dyDescent="0.25">
      <c r="A39" s="214" t="s">
        <v>1717</v>
      </c>
      <c r="B39" s="64">
        <v>46.44</v>
      </c>
      <c r="C39" s="64">
        <v>10.77</v>
      </c>
      <c r="D39" s="64">
        <v>42.4</v>
      </c>
      <c r="E39" s="64">
        <v>4.72</v>
      </c>
      <c r="F39" s="64">
        <v>2.68</v>
      </c>
      <c r="G39" s="64">
        <v>94.75</v>
      </c>
      <c r="H39" s="64">
        <v>43.36</v>
      </c>
      <c r="I39" s="64">
        <v>0.1</v>
      </c>
      <c r="J39" s="64">
        <v>1.37</v>
      </c>
      <c r="K39" s="64">
        <v>120.81</v>
      </c>
      <c r="L39" s="64">
        <v>14.57</v>
      </c>
      <c r="M39" s="64">
        <v>94.22</v>
      </c>
      <c r="N39" s="64">
        <v>148.30000000000001</v>
      </c>
      <c r="O39" s="64">
        <v>0</v>
      </c>
      <c r="P39" s="64">
        <v>2.04</v>
      </c>
      <c r="Q39" s="64">
        <v>9.7200000000000006</v>
      </c>
      <c r="R39" s="198"/>
      <c r="S39" s="198"/>
      <c r="T39" s="198"/>
      <c r="U39" s="198"/>
    </row>
    <row r="40" spans="1:21" s="12" customFormat="1" x14ac:dyDescent="0.25">
      <c r="A40" s="214" t="s">
        <v>1718</v>
      </c>
      <c r="B40" s="64">
        <v>44.96</v>
      </c>
      <c r="C40" s="64">
        <v>11.66</v>
      </c>
      <c r="D40" s="64">
        <v>41.68</v>
      </c>
      <c r="E40" s="64">
        <v>5.0999999999999996</v>
      </c>
      <c r="F40" s="64">
        <v>2.54</v>
      </c>
      <c r="G40" s="64">
        <v>94.75</v>
      </c>
      <c r="H40" s="64">
        <v>43.36</v>
      </c>
      <c r="I40" s="64">
        <v>0.1</v>
      </c>
      <c r="J40" s="64">
        <v>0.69</v>
      </c>
      <c r="K40" s="64">
        <v>123.03</v>
      </c>
      <c r="L40" s="64">
        <v>15.74</v>
      </c>
      <c r="M40" s="64">
        <v>89.64</v>
      </c>
      <c r="N40" s="64">
        <v>185.3</v>
      </c>
      <c r="O40" s="64">
        <v>0</v>
      </c>
      <c r="P40" s="64">
        <v>2.02</v>
      </c>
      <c r="Q40" s="64">
        <v>9.7100000000000009</v>
      </c>
      <c r="R40" s="198"/>
      <c r="S40" s="198"/>
      <c r="T40" s="198"/>
      <c r="U40" s="198"/>
    </row>
    <row r="41" spans="1:21" s="12" customFormat="1" x14ac:dyDescent="0.25">
      <c r="A41" s="214" t="s">
        <v>1719</v>
      </c>
      <c r="B41" s="64">
        <v>43.48</v>
      </c>
      <c r="C41" s="64">
        <v>12.47</v>
      </c>
      <c r="D41" s="64">
        <v>40.92</v>
      </c>
      <c r="E41" s="64">
        <v>5.29</v>
      </c>
      <c r="F41" s="64">
        <v>2.41</v>
      </c>
      <c r="G41" s="64">
        <v>84.32</v>
      </c>
      <c r="H41" s="64">
        <v>40.72</v>
      </c>
      <c r="I41" s="64">
        <v>0.1</v>
      </c>
      <c r="J41" s="64">
        <v>0.82</v>
      </c>
      <c r="K41" s="64">
        <v>126.93</v>
      </c>
      <c r="L41" s="64">
        <v>16.53</v>
      </c>
      <c r="M41" s="64">
        <v>85.75</v>
      </c>
      <c r="N41" s="64">
        <v>222</v>
      </c>
      <c r="O41" s="64">
        <v>0</v>
      </c>
      <c r="P41" s="64">
        <v>2</v>
      </c>
      <c r="Q41" s="64">
        <v>9.6999999999999993</v>
      </c>
      <c r="R41" s="198"/>
      <c r="S41" s="198"/>
      <c r="T41" s="198"/>
      <c r="U41" s="198"/>
    </row>
    <row r="42" spans="1:21" s="12" customFormat="1" x14ac:dyDescent="0.25">
      <c r="A42" s="214" t="s">
        <v>1720</v>
      </c>
      <c r="B42" s="64">
        <v>42.28</v>
      </c>
      <c r="C42" s="64">
        <v>13.16</v>
      </c>
      <c r="D42" s="64">
        <v>40.32</v>
      </c>
      <c r="E42" s="64">
        <v>5.4</v>
      </c>
      <c r="F42" s="64">
        <v>2.85</v>
      </c>
      <c r="G42" s="64">
        <v>74.77</v>
      </c>
      <c r="H42" s="64">
        <v>38.32</v>
      </c>
      <c r="I42" s="64">
        <v>0.1</v>
      </c>
      <c r="J42" s="64">
        <v>1.24</v>
      </c>
      <c r="K42" s="64">
        <v>118.83</v>
      </c>
      <c r="L42" s="64">
        <v>17.27</v>
      </c>
      <c r="M42" s="64">
        <v>79.75</v>
      </c>
      <c r="N42" s="64">
        <v>259.60000000000002</v>
      </c>
      <c r="O42" s="64">
        <v>0</v>
      </c>
      <c r="P42" s="64">
        <v>1.97</v>
      </c>
      <c r="Q42" s="64">
        <v>9.69</v>
      </c>
      <c r="R42" s="198"/>
      <c r="S42" s="198"/>
      <c r="T42" s="198"/>
      <c r="U42" s="198"/>
    </row>
    <row r="43" spans="1:21" s="12" customFormat="1" x14ac:dyDescent="0.25">
      <c r="A43" s="214" t="s">
        <v>1721</v>
      </c>
      <c r="B43" s="64">
        <v>40.81</v>
      </c>
      <c r="C43" s="64">
        <v>13.74</v>
      </c>
      <c r="D43" s="64">
        <v>39.450000000000003</v>
      </c>
      <c r="E43" s="64">
        <v>5.35</v>
      </c>
      <c r="F43" s="64">
        <v>3.07</v>
      </c>
      <c r="G43" s="64">
        <v>74.77</v>
      </c>
      <c r="H43" s="64">
        <v>38.32</v>
      </c>
      <c r="I43" s="64">
        <v>0.1</v>
      </c>
      <c r="J43" s="64">
        <v>1.92</v>
      </c>
      <c r="K43" s="64">
        <v>121.84</v>
      </c>
      <c r="L43" s="64">
        <v>17.16</v>
      </c>
      <c r="M43" s="64">
        <v>78.540000000000006</v>
      </c>
      <c r="N43" s="64">
        <v>296.3</v>
      </c>
      <c r="O43" s="64">
        <v>0</v>
      </c>
      <c r="P43" s="64">
        <v>1.93</v>
      </c>
      <c r="Q43" s="64">
        <v>9.6999999999999993</v>
      </c>
      <c r="R43" s="198"/>
      <c r="S43" s="198"/>
      <c r="T43" s="198"/>
      <c r="U43" s="198"/>
    </row>
    <row r="44" spans="1:21" s="12" customFormat="1" x14ac:dyDescent="0.25">
      <c r="A44" s="214" t="s">
        <v>1722</v>
      </c>
      <c r="B44" s="64">
        <v>38.130000000000003</v>
      </c>
      <c r="C44" s="64">
        <v>15.73</v>
      </c>
      <c r="D44" s="64">
        <v>38.33</v>
      </c>
      <c r="E44" s="64">
        <v>5.44</v>
      </c>
      <c r="F44" s="64">
        <v>3.25</v>
      </c>
      <c r="G44" s="64">
        <v>74.77</v>
      </c>
      <c r="H44" s="64">
        <v>38.32</v>
      </c>
      <c r="I44" s="64">
        <v>0.1</v>
      </c>
      <c r="J44" s="64">
        <v>1.87</v>
      </c>
      <c r="K44" s="64">
        <v>122.39</v>
      </c>
      <c r="L44" s="64">
        <v>17.489999999999998</v>
      </c>
      <c r="M44" s="64">
        <v>74.87</v>
      </c>
      <c r="N44" s="64">
        <v>327.5</v>
      </c>
      <c r="O44" s="64">
        <v>0</v>
      </c>
      <c r="P44" s="64">
        <v>1.89</v>
      </c>
      <c r="Q44" s="64">
        <v>9.7100000000000009</v>
      </c>
      <c r="R44" s="198"/>
      <c r="S44" s="198"/>
      <c r="T44" s="198"/>
      <c r="U44" s="198"/>
    </row>
    <row r="45" spans="1:21" s="12" customFormat="1" x14ac:dyDescent="0.25">
      <c r="A45" s="214" t="s">
        <v>1723</v>
      </c>
      <c r="B45" s="64">
        <v>36.619999999999997</v>
      </c>
      <c r="C45" s="64">
        <v>15.63</v>
      </c>
      <c r="D45" s="64">
        <v>37.07</v>
      </c>
      <c r="E45" s="64">
        <v>5.37</v>
      </c>
      <c r="F45" s="64">
        <v>3.48</v>
      </c>
      <c r="G45" s="64">
        <v>70.099999999999994</v>
      </c>
      <c r="H45" s="64">
        <v>33.11</v>
      </c>
      <c r="I45" s="64">
        <v>0.1</v>
      </c>
      <c r="J45" s="64">
        <v>1.35</v>
      </c>
      <c r="K45" s="64">
        <v>125.2</v>
      </c>
      <c r="L45" s="64">
        <v>18.489999999999998</v>
      </c>
      <c r="M45" s="64">
        <v>69.37</v>
      </c>
      <c r="N45" s="64">
        <v>344.2</v>
      </c>
      <c r="O45" s="64">
        <v>0</v>
      </c>
      <c r="P45" s="64">
        <v>1.82</v>
      </c>
      <c r="Q45" s="64">
        <v>9.69</v>
      </c>
      <c r="R45" s="198"/>
      <c r="S45" s="198"/>
      <c r="T45" s="198"/>
      <c r="U45" s="198"/>
    </row>
    <row r="46" spans="1:21" s="12" customFormat="1" x14ac:dyDescent="0.25">
      <c r="A46" s="214" t="s">
        <v>1724</v>
      </c>
      <c r="B46" s="64">
        <v>35.61</v>
      </c>
      <c r="C46" s="64">
        <v>15.95</v>
      </c>
      <c r="D46" s="64">
        <v>36.43</v>
      </c>
      <c r="E46" s="64">
        <v>6.04</v>
      </c>
      <c r="F46" s="64">
        <v>3.66</v>
      </c>
      <c r="G46" s="64">
        <v>65.819999999999993</v>
      </c>
      <c r="H46" s="64">
        <v>30.74</v>
      </c>
      <c r="I46" s="64">
        <v>0.1</v>
      </c>
      <c r="J46" s="64">
        <v>1.71</v>
      </c>
      <c r="K46" s="64">
        <v>116.49</v>
      </c>
      <c r="L46" s="64">
        <v>18.86</v>
      </c>
      <c r="M46" s="64">
        <v>66.39</v>
      </c>
      <c r="N46" s="64">
        <v>367.1</v>
      </c>
      <c r="O46" s="64">
        <v>0</v>
      </c>
      <c r="P46" s="64">
        <v>1.74</v>
      </c>
      <c r="Q46" s="64">
        <v>9.69</v>
      </c>
      <c r="R46" s="198"/>
      <c r="S46" s="198"/>
      <c r="T46" s="198"/>
      <c r="U46" s="198"/>
    </row>
    <row r="47" spans="1:21" s="12" customFormat="1" x14ac:dyDescent="0.25">
      <c r="A47" s="214" t="s">
        <v>1725</v>
      </c>
      <c r="B47" s="64">
        <v>33.74</v>
      </c>
      <c r="C47" s="64">
        <v>17.29</v>
      </c>
      <c r="D47" s="64">
        <v>35.619999999999997</v>
      </c>
      <c r="E47" s="64">
        <v>5.39</v>
      </c>
      <c r="F47" s="64">
        <v>3.54</v>
      </c>
      <c r="G47" s="64">
        <v>65.819999999999993</v>
      </c>
      <c r="H47" s="64">
        <v>30.74</v>
      </c>
      <c r="I47" s="64">
        <v>0.1</v>
      </c>
      <c r="J47" s="64">
        <v>1.66</v>
      </c>
      <c r="K47" s="64">
        <v>115.95</v>
      </c>
      <c r="L47" s="64">
        <v>19.21</v>
      </c>
      <c r="M47" s="64">
        <v>65.430000000000007</v>
      </c>
      <c r="N47" s="64">
        <v>387.9</v>
      </c>
      <c r="O47" s="64">
        <v>0</v>
      </c>
      <c r="P47" s="64">
        <v>1.65</v>
      </c>
      <c r="Q47" s="64">
        <v>9.68</v>
      </c>
      <c r="R47" s="198"/>
      <c r="S47" s="198"/>
      <c r="T47" s="198"/>
      <c r="U47" s="198"/>
    </row>
    <row r="48" spans="1:21" s="12" customFormat="1" x14ac:dyDescent="0.25">
      <c r="A48" s="214" t="s">
        <v>1726</v>
      </c>
      <c r="B48" s="64">
        <v>31.78</v>
      </c>
      <c r="C48" s="64">
        <v>18.68</v>
      </c>
      <c r="D48" s="64">
        <v>34.78</v>
      </c>
      <c r="E48" s="64">
        <v>5.37</v>
      </c>
      <c r="F48" s="64">
        <v>3.21</v>
      </c>
      <c r="G48" s="64">
        <v>65.819999999999993</v>
      </c>
      <c r="H48" s="64">
        <v>30.74</v>
      </c>
      <c r="I48" s="64">
        <v>0.1</v>
      </c>
      <c r="J48" s="64">
        <v>1.2</v>
      </c>
      <c r="K48" s="64">
        <v>136.46</v>
      </c>
      <c r="L48" s="64">
        <v>20.23</v>
      </c>
      <c r="M48" s="64">
        <v>60.13</v>
      </c>
      <c r="N48" s="64">
        <v>411</v>
      </c>
      <c r="O48" s="64">
        <v>0</v>
      </c>
      <c r="P48" s="64">
        <v>1.58</v>
      </c>
      <c r="Q48" s="64">
        <v>9.69</v>
      </c>
      <c r="R48" s="198"/>
      <c r="S48" s="198"/>
      <c r="T48" s="198"/>
      <c r="U48" s="198"/>
    </row>
    <row r="49" spans="1:21" s="12" customFormat="1" x14ac:dyDescent="0.25">
      <c r="A49" s="214" t="s">
        <v>1727</v>
      </c>
      <c r="B49" s="64">
        <v>29.97</v>
      </c>
      <c r="C49" s="64">
        <v>19.920000000000002</v>
      </c>
      <c r="D49" s="64">
        <v>33.979999999999997</v>
      </c>
      <c r="E49" s="64">
        <v>5.03</v>
      </c>
      <c r="F49" s="64">
        <v>2.92</v>
      </c>
      <c r="G49" s="64">
        <v>65.069999999999993</v>
      </c>
      <c r="H49" s="64">
        <v>30.79</v>
      </c>
      <c r="I49" s="64">
        <v>0.1</v>
      </c>
      <c r="J49" s="64">
        <v>1.76</v>
      </c>
      <c r="K49" s="64">
        <v>116.59</v>
      </c>
      <c r="L49" s="64">
        <v>20.53</v>
      </c>
      <c r="M49" s="64">
        <v>57.09</v>
      </c>
      <c r="N49" s="64">
        <v>438.8</v>
      </c>
      <c r="O49" s="64">
        <v>0</v>
      </c>
      <c r="P49" s="64">
        <v>1.53</v>
      </c>
      <c r="Q49" s="64">
        <v>9.69</v>
      </c>
      <c r="R49" s="198"/>
      <c r="S49" s="198"/>
      <c r="T49" s="198"/>
      <c r="U49" s="198"/>
    </row>
    <row r="50" spans="1:21" s="12" customFormat="1" x14ac:dyDescent="0.25">
      <c r="A50" s="214" t="s">
        <v>1728</v>
      </c>
      <c r="B50" s="64">
        <v>28.21</v>
      </c>
      <c r="C50" s="64">
        <v>21</v>
      </c>
      <c r="D50" s="64">
        <v>33.130000000000003</v>
      </c>
      <c r="E50" s="64">
        <v>5.19</v>
      </c>
      <c r="F50" s="64">
        <v>2.89</v>
      </c>
      <c r="G50" s="64">
        <v>64.38</v>
      </c>
      <c r="H50" s="64">
        <v>30.81</v>
      </c>
      <c r="I50" s="64">
        <v>0.1</v>
      </c>
      <c r="J50" s="64">
        <v>1.54</v>
      </c>
      <c r="K50" s="64">
        <v>115.08</v>
      </c>
      <c r="L50" s="64">
        <v>21.25</v>
      </c>
      <c r="M50" s="64">
        <v>52.99</v>
      </c>
      <c r="N50" s="64">
        <v>467</v>
      </c>
      <c r="O50" s="64">
        <v>0</v>
      </c>
      <c r="P50" s="64">
        <v>1.49</v>
      </c>
      <c r="Q50" s="64">
        <v>9.68</v>
      </c>
      <c r="R50" s="198"/>
      <c r="S50" s="198"/>
      <c r="T50" s="198"/>
      <c r="U50" s="198"/>
    </row>
    <row r="51" spans="1:21" s="12" customFormat="1" x14ac:dyDescent="0.25">
      <c r="A51" s="214" t="s">
        <v>1729</v>
      </c>
      <c r="B51" s="64">
        <v>25.14</v>
      </c>
      <c r="C51" s="64">
        <v>22.31</v>
      </c>
      <c r="D51" s="64">
        <v>31.36</v>
      </c>
      <c r="E51" s="64">
        <v>5.7</v>
      </c>
      <c r="F51" s="64">
        <v>3.2</v>
      </c>
      <c r="G51" s="64">
        <v>64.38</v>
      </c>
      <c r="H51" s="64">
        <v>30.81</v>
      </c>
      <c r="I51" s="64">
        <v>0.1</v>
      </c>
      <c r="J51" s="64">
        <v>0.65</v>
      </c>
      <c r="K51" s="64">
        <v>116.64</v>
      </c>
      <c r="L51" s="64">
        <v>22.82</v>
      </c>
      <c r="M51" s="64">
        <v>47.07</v>
      </c>
      <c r="N51" s="64">
        <v>459</v>
      </c>
      <c r="O51" s="64">
        <v>0</v>
      </c>
      <c r="P51" s="64">
        <v>1.44</v>
      </c>
      <c r="Q51" s="64">
        <v>9.68</v>
      </c>
      <c r="R51" s="198"/>
      <c r="S51" s="198"/>
      <c r="T51" s="198"/>
      <c r="U51" s="198"/>
    </row>
    <row r="52" spans="1:21" s="12" customFormat="1" x14ac:dyDescent="0.25">
      <c r="A52" s="214" t="s">
        <v>1730</v>
      </c>
      <c r="B52" s="64">
        <v>24.6</v>
      </c>
      <c r="C52" s="64">
        <v>23.33</v>
      </c>
      <c r="D52" s="64">
        <v>31.46</v>
      </c>
      <c r="E52" s="64">
        <v>5.17</v>
      </c>
      <c r="F52" s="64">
        <v>2.76</v>
      </c>
      <c r="G52" s="64">
        <v>64.38</v>
      </c>
      <c r="H52" s="64">
        <v>30.81</v>
      </c>
      <c r="I52" s="64">
        <v>0.1</v>
      </c>
      <c r="J52" s="64">
        <v>0.35</v>
      </c>
      <c r="K52" s="64">
        <v>24.69</v>
      </c>
      <c r="L52" s="64">
        <v>24.12</v>
      </c>
      <c r="M52" s="64">
        <v>42.65</v>
      </c>
      <c r="N52" s="64">
        <v>463.9</v>
      </c>
      <c r="O52" s="64">
        <v>0</v>
      </c>
      <c r="P52" s="64">
        <v>1.41</v>
      </c>
      <c r="Q52" s="64">
        <v>9.67</v>
      </c>
      <c r="R52" s="198"/>
      <c r="S52" s="198"/>
      <c r="T52" s="198"/>
      <c r="U52" s="198"/>
    </row>
    <row r="53" spans="1:21" s="12" customFormat="1" x14ac:dyDescent="0.25">
      <c r="A53" s="214" t="s">
        <v>1731</v>
      </c>
      <c r="B53" s="64">
        <v>23.31</v>
      </c>
      <c r="C53" s="64">
        <v>24.53</v>
      </c>
      <c r="D53" s="64">
        <v>31.04</v>
      </c>
      <c r="E53" s="64">
        <v>5.32</v>
      </c>
      <c r="F53" s="64">
        <v>2.67</v>
      </c>
      <c r="G53" s="64">
        <v>61.88</v>
      </c>
      <c r="H53" s="64">
        <v>28.49</v>
      </c>
      <c r="I53" s="64">
        <v>0.1</v>
      </c>
      <c r="J53" s="64">
        <v>1.0900000000000001</v>
      </c>
      <c r="K53" s="64">
        <v>123.59</v>
      </c>
      <c r="L53" s="64">
        <v>24.25</v>
      </c>
      <c r="M53" s="64">
        <v>41.8</v>
      </c>
      <c r="N53" s="64">
        <v>469.9</v>
      </c>
      <c r="O53" s="64">
        <v>0</v>
      </c>
      <c r="P53" s="64">
        <v>1.39</v>
      </c>
      <c r="Q53" s="64">
        <v>9.66</v>
      </c>
      <c r="R53" s="198"/>
      <c r="S53" s="198"/>
      <c r="T53" s="198"/>
      <c r="U53" s="198"/>
    </row>
    <row r="54" spans="1:21" s="12" customFormat="1" x14ac:dyDescent="0.25">
      <c r="A54" s="214" t="s">
        <v>1732</v>
      </c>
      <c r="B54" s="64">
        <v>21.83</v>
      </c>
      <c r="C54" s="64">
        <v>25.46</v>
      </c>
      <c r="D54" s="64">
        <v>30.35</v>
      </c>
      <c r="E54" s="64">
        <v>5.52</v>
      </c>
      <c r="F54" s="64">
        <v>2.66</v>
      </c>
      <c r="G54" s="64">
        <v>59.6</v>
      </c>
      <c r="H54" s="64">
        <v>27.46</v>
      </c>
      <c r="I54" s="64">
        <v>0.1</v>
      </c>
      <c r="J54" s="64">
        <v>0.88</v>
      </c>
      <c r="K54" s="64">
        <v>123.53</v>
      </c>
      <c r="L54" s="64">
        <v>24.04</v>
      </c>
      <c r="M54" s="64">
        <v>42.25</v>
      </c>
      <c r="N54" s="64">
        <v>469.8</v>
      </c>
      <c r="O54" s="64">
        <v>0</v>
      </c>
      <c r="P54" s="64">
        <v>1.35</v>
      </c>
      <c r="Q54" s="64">
        <v>9.66</v>
      </c>
      <c r="R54" s="198"/>
      <c r="S54" s="198"/>
      <c r="T54" s="198"/>
      <c r="U54" s="198"/>
    </row>
    <row r="55" spans="1:21" s="12" customFormat="1" x14ac:dyDescent="0.25">
      <c r="A55" s="214" t="s">
        <v>1733</v>
      </c>
      <c r="B55" s="64">
        <v>20.399999999999999</v>
      </c>
      <c r="C55" s="64">
        <v>25.93</v>
      </c>
      <c r="D55" s="64">
        <v>29.44</v>
      </c>
      <c r="E55" s="64">
        <v>5.34</v>
      </c>
      <c r="F55" s="64">
        <v>2.57</v>
      </c>
      <c r="G55" s="64">
        <v>59.6</v>
      </c>
      <c r="H55" s="64">
        <v>27.46</v>
      </c>
      <c r="I55" s="64">
        <v>0.1</v>
      </c>
      <c r="J55" s="64">
        <v>1.36</v>
      </c>
      <c r="K55" s="64">
        <v>129.02000000000001</v>
      </c>
      <c r="L55" s="64">
        <v>24.54</v>
      </c>
      <c r="M55" s="64">
        <v>40.4</v>
      </c>
      <c r="N55" s="64">
        <v>467.9</v>
      </c>
      <c r="O55" s="64">
        <v>0</v>
      </c>
      <c r="P55" s="64">
        <v>1.33</v>
      </c>
      <c r="Q55" s="64">
        <v>9.66</v>
      </c>
      <c r="R55" s="198"/>
      <c r="S55" s="198"/>
      <c r="T55" s="198"/>
      <c r="U55" s="198"/>
    </row>
    <row r="56" spans="1:21" s="12" customFormat="1" x14ac:dyDescent="0.25">
      <c r="A56" s="214" t="s">
        <v>1734</v>
      </c>
      <c r="B56" s="64">
        <v>19.079999999999998</v>
      </c>
      <c r="C56" s="64">
        <v>27</v>
      </c>
      <c r="D56" s="64">
        <v>28.95</v>
      </c>
      <c r="E56" s="64">
        <v>5</v>
      </c>
      <c r="F56" s="64">
        <v>2.68</v>
      </c>
      <c r="G56" s="64">
        <v>59.6</v>
      </c>
      <c r="H56" s="64">
        <v>27.46</v>
      </c>
      <c r="I56" s="64">
        <v>0.1</v>
      </c>
      <c r="J56" s="64">
        <v>0.49</v>
      </c>
      <c r="K56" s="64">
        <v>114.88</v>
      </c>
      <c r="L56" s="64">
        <v>24.78</v>
      </c>
      <c r="M56" s="64">
        <v>39.26</v>
      </c>
      <c r="N56" s="64">
        <v>450</v>
      </c>
      <c r="O56" s="64">
        <v>0</v>
      </c>
      <c r="P56" s="64">
        <v>1.35</v>
      </c>
      <c r="Q56" s="64">
        <v>9.66</v>
      </c>
      <c r="R56" s="198"/>
      <c r="S56" s="198"/>
      <c r="T56" s="198"/>
      <c r="U56" s="198"/>
    </row>
    <row r="57" spans="1:21" s="12" customFormat="1" x14ac:dyDescent="0.25">
      <c r="A57" s="214" t="s">
        <v>1735</v>
      </c>
      <c r="B57" s="64">
        <v>17.059999999999999</v>
      </c>
      <c r="C57" s="64">
        <v>27.2</v>
      </c>
      <c r="D57" s="64">
        <v>27.43</v>
      </c>
      <c r="E57" s="64">
        <v>6.36</v>
      </c>
      <c r="F57" s="64">
        <v>4.29</v>
      </c>
      <c r="G57" s="64">
        <v>54.11</v>
      </c>
      <c r="H57" s="64">
        <v>26.21</v>
      </c>
      <c r="I57" s="64">
        <v>0.1</v>
      </c>
      <c r="J57" s="64">
        <v>0.88</v>
      </c>
      <c r="K57" s="64">
        <v>117.82</v>
      </c>
      <c r="L57" s="64">
        <v>24.46</v>
      </c>
      <c r="M57" s="64">
        <v>40.94</v>
      </c>
      <c r="N57" s="64">
        <v>446.6</v>
      </c>
      <c r="O57" s="64">
        <v>0</v>
      </c>
      <c r="P57" s="64">
        <v>1.35</v>
      </c>
      <c r="Q57" s="64">
        <v>9.67</v>
      </c>
      <c r="R57" s="198"/>
      <c r="S57" s="198"/>
      <c r="T57" s="198"/>
      <c r="U57" s="198"/>
    </row>
    <row r="58" spans="1:21" s="12" customFormat="1" x14ac:dyDescent="0.25">
      <c r="A58" s="214" t="s">
        <v>1736</v>
      </c>
      <c r="B58" s="64">
        <v>15.51</v>
      </c>
      <c r="C58" s="64">
        <v>28.79</v>
      </c>
      <c r="D58" s="64">
        <v>27.02</v>
      </c>
      <c r="E58" s="64">
        <v>9.49</v>
      </c>
      <c r="F58" s="64">
        <v>5.04</v>
      </c>
      <c r="G58" s="64">
        <v>49.09</v>
      </c>
      <c r="H58" s="64">
        <v>25.12</v>
      </c>
      <c r="I58" s="64">
        <v>0.1</v>
      </c>
      <c r="J58" s="64">
        <v>1.1499999999999999</v>
      </c>
      <c r="K58" s="64">
        <v>340.68</v>
      </c>
      <c r="L58" s="64">
        <v>26.54</v>
      </c>
      <c r="M58" s="64">
        <v>34.51</v>
      </c>
      <c r="N58" s="64">
        <v>458.4</v>
      </c>
      <c r="O58" s="64">
        <v>0</v>
      </c>
      <c r="P58" s="64">
        <v>1.34</v>
      </c>
      <c r="Q58" s="64">
        <v>9.66</v>
      </c>
      <c r="R58" s="198"/>
      <c r="S58" s="198"/>
      <c r="T58" s="198"/>
      <c r="U58" s="198"/>
    </row>
    <row r="59" spans="1:21" s="12" customFormat="1" x14ac:dyDescent="0.25">
      <c r="A59" s="214" t="s">
        <v>1737</v>
      </c>
      <c r="B59" s="64">
        <v>15.7</v>
      </c>
      <c r="C59" s="64">
        <v>29.74</v>
      </c>
      <c r="D59" s="64">
        <v>27.67</v>
      </c>
      <c r="E59" s="64">
        <v>6.43</v>
      </c>
      <c r="F59" s="64">
        <v>3.41</v>
      </c>
      <c r="G59" s="64">
        <v>49.09</v>
      </c>
      <c r="H59" s="64">
        <v>25.12</v>
      </c>
      <c r="I59" s="64">
        <v>0.1</v>
      </c>
      <c r="J59" s="64">
        <v>0.91</v>
      </c>
      <c r="K59" s="64">
        <v>305.79000000000002</v>
      </c>
      <c r="L59" s="64">
        <v>27.77</v>
      </c>
      <c r="M59" s="64">
        <v>31.92</v>
      </c>
      <c r="N59" s="64">
        <v>440.6</v>
      </c>
      <c r="O59" s="64">
        <v>0</v>
      </c>
      <c r="P59" s="64">
        <v>1.36</v>
      </c>
      <c r="Q59" s="64">
        <v>9.66</v>
      </c>
      <c r="R59" s="198"/>
      <c r="S59" s="198"/>
      <c r="T59" s="198"/>
      <c r="U59" s="198"/>
    </row>
    <row r="60" spans="1:21" s="12" customFormat="1" x14ac:dyDescent="0.25">
      <c r="A60" s="214" t="s">
        <v>1738</v>
      </c>
      <c r="B60" s="64">
        <v>14.01</v>
      </c>
      <c r="C60" s="64">
        <v>31.28</v>
      </c>
      <c r="D60" s="64">
        <v>27.12</v>
      </c>
      <c r="E60" s="64">
        <v>7.21</v>
      </c>
      <c r="F60" s="64">
        <v>5.53</v>
      </c>
      <c r="G60" s="64">
        <v>49.09</v>
      </c>
      <c r="H60" s="64">
        <v>25.12</v>
      </c>
      <c r="I60" s="64">
        <v>0.1</v>
      </c>
      <c r="J60" s="64">
        <v>1.05</v>
      </c>
      <c r="K60" s="64">
        <v>323.98</v>
      </c>
      <c r="L60" s="64">
        <v>28.04</v>
      </c>
      <c r="M60" s="64">
        <v>31.4</v>
      </c>
      <c r="N60" s="64">
        <v>433.4</v>
      </c>
      <c r="O60" s="64">
        <v>0</v>
      </c>
      <c r="P60" s="64">
        <v>1.33</v>
      </c>
      <c r="Q60" s="64">
        <v>9.64</v>
      </c>
      <c r="R60" s="198"/>
      <c r="S60" s="198"/>
      <c r="T60" s="198"/>
      <c r="U60" s="198"/>
    </row>
    <row r="61" spans="1:21" s="12" customFormat="1" x14ac:dyDescent="0.25">
      <c r="A61" s="214" t="s">
        <v>1739</v>
      </c>
      <c r="B61" s="64">
        <v>10.81</v>
      </c>
      <c r="C61" s="64">
        <v>31.18</v>
      </c>
      <c r="D61" s="64">
        <v>24.5</v>
      </c>
      <c r="E61" s="64">
        <v>14.87</v>
      </c>
      <c r="F61" s="64">
        <v>8.98</v>
      </c>
      <c r="G61" s="64">
        <v>47.48</v>
      </c>
      <c r="H61" s="64">
        <v>23.95</v>
      </c>
      <c r="I61" s="64">
        <v>0.1</v>
      </c>
      <c r="J61" s="64">
        <v>1.1599999999999999</v>
      </c>
      <c r="K61" s="64">
        <v>332.39</v>
      </c>
      <c r="L61" s="64">
        <v>28.05</v>
      </c>
      <c r="M61" s="64">
        <v>30.76</v>
      </c>
      <c r="N61" s="64">
        <v>418.3</v>
      </c>
      <c r="O61" s="64">
        <v>0</v>
      </c>
      <c r="P61" s="64">
        <v>1.28</v>
      </c>
      <c r="Q61" s="64">
        <v>9.65</v>
      </c>
      <c r="R61" s="198"/>
      <c r="S61" s="198"/>
      <c r="T61" s="198"/>
      <c r="U61" s="198"/>
    </row>
    <row r="62" spans="1:21" s="12" customFormat="1" x14ac:dyDescent="0.25">
      <c r="A62" s="214" t="s">
        <v>1740</v>
      </c>
      <c r="B62" s="64">
        <v>12</v>
      </c>
      <c r="C62" s="64">
        <v>33.89</v>
      </c>
      <c r="D62" s="64">
        <v>26.87</v>
      </c>
      <c r="E62" s="64">
        <v>12.34</v>
      </c>
      <c r="F62" s="64">
        <v>6.52</v>
      </c>
      <c r="G62" s="64">
        <v>46.01</v>
      </c>
      <c r="H62" s="64">
        <v>23.43</v>
      </c>
      <c r="I62" s="64">
        <v>0.1</v>
      </c>
      <c r="J62" s="64">
        <v>1.27</v>
      </c>
      <c r="K62" s="64">
        <v>328.54</v>
      </c>
      <c r="L62" s="64">
        <v>28.12</v>
      </c>
      <c r="M62" s="64">
        <v>29.9</v>
      </c>
      <c r="N62" s="64">
        <v>402.9</v>
      </c>
      <c r="O62" s="64">
        <v>0</v>
      </c>
      <c r="P62" s="64">
        <v>1.31</v>
      </c>
      <c r="Q62" s="64">
        <v>9.67</v>
      </c>
      <c r="R62" s="198"/>
      <c r="S62" s="198"/>
      <c r="T62" s="198"/>
      <c r="U62" s="198"/>
    </row>
    <row r="63" spans="1:21" s="12" customFormat="1" x14ac:dyDescent="0.25">
      <c r="A63" s="214" t="s">
        <v>1741</v>
      </c>
      <c r="B63" s="64">
        <v>11.42</v>
      </c>
      <c r="C63" s="64">
        <v>32.99</v>
      </c>
      <c r="D63" s="64">
        <v>25.93</v>
      </c>
      <c r="E63" s="64">
        <v>7.58</v>
      </c>
      <c r="F63" s="64">
        <v>3.96</v>
      </c>
      <c r="G63" s="64">
        <v>46.01</v>
      </c>
      <c r="H63" s="64">
        <v>23.43</v>
      </c>
      <c r="I63" s="64">
        <v>0.1</v>
      </c>
      <c r="J63" s="64">
        <v>1.03</v>
      </c>
      <c r="K63" s="64">
        <v>307.73</v>
      </c>
      <c r="L63" s="64">
        <v>28.17</v>
      </c>
      <c r="M63" s="64">
        <v>29.54</v>
      </c>
      <c r="N63" s="64">
        <v>386.5</v>
      </c>
      <c r="O63" s="64">
        <v>0</v>
      </c>
      <c r="P63" s="64">
        <v>1.26</v>
      </c>
      <c r="Q63" s="64">
        <v>9.66</v>
      </c>
      <c r="R63" s="198"/>
      <c r="S63" s="198"/>
      <c r="T63" s="198"/>
      <c r="U63" s="198"/>
    </row>
    <row r="64" spans="1:21" s="12" customFormat="1" x14ac:dyDescent="0.25">
      <c r="A64" s="214" t="s">
        <v>1742</v>
      </c>
      <c r="B64" s="64">
        <v>10.29</v>
      </c>
      <c r="C64" s="64">
        <v>34.15</v>
      </c>
      <c r="D64" s="64">
        <v>25.64</v>
      </c>
      <c r="E64" s="64">
        <v>6.85</v>
      </c>
      <c r="F64" s="64">
        <v>6.18</v>
      </c>
      <c r="G64" s="64">
        <v>46.01</v>
      </c>
      <c r="H64" s="64">
        <v>23.43</v>
      </c>
      <c r="I64" s="64">
        <v>0.1</v>
      </c>
      <c r="J64" s="64">
        <v>1.0900000000000001</v>
      </c>
      <c r="K64" s="64">
        <v>324.76</v>
      </c>
      <c r="L64" s="64">
        <v>27.65</v>
      </c>
      <c r="M64" s="64">
        <v>29.19</v>
      </c>
      <c r="N64" s="64">
        <v>291</v>
      </c>
      <c r="O64" s="64">
        <v>0</v>
      </c>
      <c r="P64" s="64">
        <v>1.1599999999999999</v>
      </c>
      <c r="Q64" s="64">
        <v>9.66</v>
      </c>
      <c r="R64" s="198"/>
      <c r="S64" s="198"/>
      <c r="T64" s="198"/>
      <c r="U64" s="198"/>
    </row>
    <row r="65" spans="1:21" s="12" customFormat="1" x14ac:dyDescent="0.25">
      <c r="A65" s="214" t="s">
        <v>1743</v>
      </c>
      <c r="B65" s="64">
        <v>9.11</v>
      </c>
      <c r="C65" s="64">
        <v>33.97</v>
      </c>
      <c r="D65" s="64">
        <v>24.59</v>
      </c>
      <c r="E65" s="64">
        <v>6.74</v>
      </c>
      <c r="F65" s="64">
        <v>5.0199999999999996</v>
      </c>
      <c r="G65" s="64">
        <v>48.54</v>
      </c>
      <c r="H65" s="64">
        <v>22.53</v>
      </c>
      <c r="I65" s="64">
        <v>0.1</v>
      </c>
      <c r="J65" s="64">
        <v>1.2</v>
      </c>
      <c r="K65" s="64">
        <v>332.31</v>
      </c>
      <c r="L65" s="64">
        <v>26.52</v>
      </c>
      <c r="M65" s="64">
        <v>31.7</v>
      </c>
      <c r="N65" s="64">
        <v>174.4</v>
      </c>
      <c r="O65" s="64">
        <v>0</v>
      </c>
      <c r="P65" s="64">
        <v>1.1399999999999999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4" t="s">
        <v>1744</v>
      </c>
      <c r="B66" s="64">
        <v>9.07</v>
      </c>
      <c r="C66" s="64">
        <v>36.83</v>
      </c>
      <c r="D66" s="64">
        <v>26.06</v>
      </c>
      <c r="E66" s="64">
        <v>6.39</v>
      </c>
      <c r="F66" s="64">
        <v>3.78</v>
      </c>
      <c r="G66" s="64">
        <v>50.85</v>
      </c>
      <c r="H66" s="64">
        <v>22.13</v>
      </c>
      <c r="I66" s="64">
        <v>0.1</v>
      </c>
      <c r="J66" s="64">
        <v>0.67</v>
      </c>
      <c r="K66" s="64">
        <v>338.67</v>
      </c>
      <c r="L66" s="64">
        <v>25.97</v>
      </c>
      <c r="M66" s="64">
        <v>32.700000000000003</v>
      </c>
      <c r="N66" s="64">
        <v>145.6</v>
      </c>
      <c r="O66" s="64">
        <v>0</v>
      </c>
      <c r="P66" s="64">
        <v>1.1200000000000001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4" t="s">
        <v>1745</v>
      </c>
      <c r="B67" s="64">
        <v>8.23</v>
      </c>
      <c r="C67" s="64">
        <v>37.119999999999997</v>
      </c>
      <c r="D67" s="64">
        <v>25.53</v>
      </c>
      <c r="E67" s="64">
        <v>6.55</v>
      </c>
      <c r="F67" s="64">
        <v>4.9000000000000004</v>
      </c>
      <c r="G67" s="64">
        <v>50.85</v>
      </c>
      <c r="H67" s="64">
        <v>22.13</v>
      </c>
      <c r="I67" s="64">
        <v>0.1</v>
      </c>
      <c r="J67" s="64">
        <v>0.49</v>
      </c>
      <c r="K67" s="64">
        <v>130.55000000000001</v>
      </c>
      <c r="L67" s="64">
        <v>25.21</v>
      </c>
      <c r="M67" s="64">
        <v>33.89</v>
      </c>
      <c r="N67" s="64">
        <v>131.30000000000001</v>
      </c>
      <c r="O67" s="64">
        <v>0</v>
      </c>
      <c r="P67" s="64">
        <v>1.1000000000000001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4" t="s">
        <v>1746</v>
      </c>
      <c r="B68" s="64">
        <v>6.7</v>
      </c>
      <c r="C68" s="64">
        <v>36.19</v>
      </c>
      <c r="D68" s="64">
        <v>23.82</v>
      </c>
      <c r="E68" s="64">
        <v>9.09</v>
      </c>
      <c r="F68" s="64">
        <v>10.32</v>
      </c>
      <c r="G68" s="64">
        <v>50.85</v>
      </c>
      <c r="H68" s="64">
        <v>22.13</v>
      </c>
      <c r="I68" s="64">
        <v>0.1</v>
      </c>
      <c r="J68" s="64">
        <v>0.12</v>
      </c>
      <c r="K68" s="64">
        <v>320.18</v>
      </c>
      <c r="L68" s="64">
        <v>24.52</v>
      </c>
      <c r="M68" s="64">
        <v>35.07</v>
      </c>
      <c r="N68" s="64">
        <v>121.3</v>
      </c>
      <c r="O68" s="64">
        <v>0</v>
      </c>
      <c r="P68" s="64">
        <v>1.04</v>
      </c>
      <c r="Q68" s="64">
        <v>9.61</v>
      </c>
      <c r="R68" s="198"/>
      <c r="S68" s="198"/>
      <c r="T68" s="198"/>
      <c r="U68" s="198"/>
    </row>
    <row r="69" spans="1:21" s="12" customFormat="1" x14ac:dyDescent="0.25">
      <c r="A69" s="214" t="s">
        <v>1747</v>
      </c>
      <c r="B69" s="64">
        <v>6.93</v>
      </c>
      <c r="C69" s="64">
        <v>37.57</v>
      </c>
      <c r="D69" s="64">
        <v>24.73</v>
      </c>
      <c r="E69" s="64">
        <v>13.46</v>
      </c>
      <c r="F69" s="64">
        <v>10.82</v>
      </c>
      <c r="G69" s="64">
        <v>51.54</v>
      </c>
      <c r="H69" s="64">
        <v>21.57</v>
      </c>
      <c r="I69" s="64">
        <v>0.1</v>
      </c>
      <c r="J69" s="64">
        <v>0.56000000000000005</v>
      </c>
      <c r="K69" s="64">
        <v>348.79</v>
      </c>
      <c r="L69" s="64">
        <v>24.63</v>
      </c>
      <c r="M69" s="64">
        <v>34.57</v>
      </c>
      <c r="N69" s="64">
        <v>113.6</v>
      </c>
      <c r="O69" s="64">
        <v>0</v>
      </c>
      <c r="P69" s="64">
        <v>1.03</v>
      </c>
      <c r="Q69" s="64">
        <v>9.59</v>
      </c>
      <c r="R69" s="198"/>
      <c r="S69" s="198"/>
      <c r="T69" s="198"/>
      <c r="U69" s="198"/>
    </row>
    <row r="70" spans="1:21" s="12" customFormat="1" x14ac:dyDescent="0.25">
      <c r="A70" s="214" t="s">
        <v>1748</v>
      </c>
      <c r="B70" s="64">
        <v>6.25</v>
      </c>
      <c r="C70" s="64">
        <v>36.630000000000003</v>
      </c>
      <c r="D70" s="64">
        <v>23.69</v>
      </c>
      <c r="E70" s="64">
        <v>11.94</v>
      </c>
      <c r="F70" s="64">
        <v>6.94</v>
      </c>
      <c r="G70" s="64">
        <v>52.16</v>
      </c>
      <c r="H70" s="64">
        <v>21.33</v>
      </c>
      <c r="I70" s="64">
        <v>0.1</v>
      </c>
      <c r="J70" s="64">
        <v>0.91</v>
      </c>
      <c r="K70" s="64">
        <v>328.84</v>
      </c>
      <c r="L70" s="64">
        <v>24.64</v>
      </c>
      <c r="M70" s="64">
        <v>34.32</v>
      </c>
      <c r="N70" s="64">
        <v>105.5</v>
      </c>
      <c r="O70" s="64">
        <v>0</v>
      </c>
      <c r="P70" s="64">
        <v>1.03</v>
      </c>
      <c r="Q70" s="64">
        <v>9.6</v>
      </c>
      <c r="R70" s="198"/>
      <c r="S70" s="198"/>
      <c r="T70" s="198"/>
      <c r="U70" s="198"/>
    </row>
    <row r="71" spans="1:21" s="12" customFormat="1" x14ac:dyDescent="0.25">
      <c r="A71" s="214" t="s">
        <v>1749</v>
      </c>
      <c r="B71" s="64">
        <v>6.2</v>
      </c>
      <c r="C71" s="64">
        <v>39.340000000000003</v>
      </c>
      <c r="D71" s="64">
        <v>25.07</v>
      </c>
      <c r="E71" s="64">
        <v>13.21</v>
      </c>
      <c r="F71" s="64">
        <v>11.4</v>
      </c>
      <c r="G71" s="64">
        <v>52.16</v>
      </c>
      <c r="H71" s="64">
        <v>21.33</v>
      </c>
      <c r="I71" s="64">
        <v>0.1</v>
      </c>
      <c r="J71" s="64">
        <v>0.25</v>
      </c>
      <c r="K71" s="64">
        <v>26.38</v>
      </c>
      <c r="L71" s="64">
        <v>24.52</v>
      </c>
      <c r="M71" s="64">
        <v>34.090000000000003</v>
      </c>
      <c r="N71" s="64">
        <v>97.5</v>
      </c>
      <c r="O71" s="64">
        <v>0</v>
      </c>
      <c r="P71" s="64">
        <v>1.03</v>
      </c>
      <c r="Q71" s="64">
        <v>9.59</v>
      </c>
      <c r="R71" s="198"/>
      <c r="S71" s="198"/>
      <c r="T71" s="198"/>
      <c r="U71" s="198"/>
    </row>
    <row r="72" spans="1:21" s="12" customFormat="1" x14ac:dyDescent="0.25">
      <c r="A72" s="214" t="s">
        <v>1750</v>
      </c>
      <c r="B72" s="64">
        <v>7.81</v>
      </c>
      <c r="C72" s="64">
        <v>40.619999999999997</v>
      </c>
      <c r="D72" s="64">
        <v>27.03</v>
      </c>
      <c r="E72" s="64">
        <v>15.92</v>
      </c>
      <c r="F72" s="64">
        <v>9.2200000000000006</v>
      </c>
      <c r="G72" s="64">
        <v>52.16</v>
      </c>
      <c r="H72" s="64">
        <v>21.33</v>
      </c>
      <c r="I72" s="64">
        <v>0.1</v>
      </c>
      <c r="J72" s="64">
        <v>0.87</v>
      </c>
      <c r="K72" s="64">
        <v>333.58</v>
      </c>
      <c r="L72" s="64">
        <v>24.15</v>
      </c>
      <c r="M72" s="64">
        <v>37.44</v>
      </c>
      <c r="N72" s="64">
        <v>89.4</v>
      </c>
      <c r="O72" s="64">
        <v>0</v>
      </c>
      <c r="P72" s="64">
        <v>1.0900000000000001</v>
      </c>
      <c r="Q72" s="64">
        <v>9.58</v>
      </c>
      <c r="R72" s="198"/>
      <c r="S72" s="198"/>
      <c r="T72" s="198"/>
      <c r="U72" s="198"/>
    </row>
    <row r="73" spans="1:21" s="12" customFormat="1" x14ac:dyDescent="0.25">
      <c r="A73" s="214" t="s">
        <v>1751</v>
      </c>
      <c r="B73" s="64">
        <v>8.6199999999999992</v>
      </c>
      <c r="C73" s="64">
        <v>48.74</v>
      </c>
      <c r="D73" s="64">
        <v>31.91</v>
      </c>
      <c r="E73" s="64">
        <v>29.36</v>
      </c>
      <c r="F73" s="64">
        <v>11.75</v>
      </c>
      <c r="G73" s="64">
        <v>53.62</v>
      </c>
      <c r="H73" s="64">
        <v>22.04</v>
      </c>
      <c r="I73" s="64">
        <v>0.1</v>
      </c>
      <c r="J73" s="64">
        <v>0.84</v>
      </c>
      <c r="K73" s="64">
        <v>334.35</v>
      </c>
      <c r="L73" s="64">
        <v>23.88</v>
      </c>
      <c r="M73" s="64">
        <v>38.619999999999997</v>
      </c>
      <c r="N73" s="64">
        <v>81.5</v>
      </c>
      <c r="O73" s="64">
        <v>0</v>
      </c>
      <c r="P73" s="64">
        <v>1.29</v>
      </c>
      <c r="Q73" s="64">
        <v>9.59</v>
      </c>
      <c r="R73" s="198"/>
      <c r="S73" s="198"/>
      <c r="T73" s="198"/>
      <c r="U73" s="198"/>
    </row>
    <row r="74" spans="1:21" s="12" customFormat="1" x14ac:dyDescent="0.25">
      <c r="A74" s="214" t="s">
        <v>1752</v>
      </c>
      <c r="B74" s="64">
        <v>9.75</v>
      </c>
      <c r="C74" s="64">
        <v>48.56</v>
      </c>
      <c r="D74" s="64">
        <v>32.729999999999997</v>
      </c>
      <c r="E74" s="64">
        <v>24.2</v>
      </c>
      <c r="F74" s="64">
        <v>8.9600000000000009</v>
      </c>
      <c r="G74" s="64">
        <v>54.96</v>
      </c>
      <c r="H74" s="64">
        <v>22.67</v>
      </c>
      <c r="I74" s="64">
        <v>0.1</v>
      </c>
      <c r="J74" s="64">
        <v>0.67</v>
      </c>
      <c r="K74" s="64">
        <v>303.39</v>
      </c>
      <c r="L74" s="64">
        <v>23.37</v>
      </c>
      <c r="M74" s="64">
        <v>41.33</v>
      </c>
      <c r="N74" s="64">
        <v>73.599999999999994</v>
      </c>
      <c r="O74" s="64">
        <v>0</v>
      </c>
      <c r="P74" s="64">
        <v>1.25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4" t="s">
        <v>1753</v>
      </c>
      <c r="B75" s="64">
        <v>6.68</v>
      </c>
      <c r="C75" s="64">
        <v>43.31</v>
      </c>
      <c r="D75" s="64">
        <v>27.53</v>
      </c>
      <c r="E75" s="64">
        <v>23.67</v>
      </c>
      <c r="F75" s="64">
        <v>14.2</v>
      </c>
      <c r="G75" s="64">
        <v>54.96</v>
      </c>
      <c r="H75" s="64">
        <v>22.67</v>
      </c>
      <c r="I75" s="64">
        <v>0.1</v>
      </c>
      <c r="J75" s="64">
        <v>0.26</v>
      </c>
      <c r="K75" s="64">
        <v>155.78</v>
      </c>
      <c r="L75" s="64">
        <v>22.88</v>
      </c>
      <c r="M75" s="64">
        <v>40.92</v>
      </c>
      <c r="N75" s="64">
        <v>66.400000000000006</v>
      </c>
      <c r="O75" s="64">
        <v>0</v>
      </c>
      <c r="P75" s="64">
        <v>1.2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4" t="s">
        <v>1754</v>
      </c>
      <c r="B76" s="64">
        <v>6.17</v>
      </c>
      <c r="C76" s="64">
        <v>45.18</v>
      </c>
      <c r="D76" s="64">
        <v>25.59</v>
      </c>
      <c r="E76" s="64">
        <v>14.01</v>
      </c>
      <c r="F76" s="64">
        <v>10.82</v>
      </c>
      <c r="G76" s="64">
        <v>54.96</v>
      </c>
      <c r="H76" s="64">
        <v>22.67</v>
      </c>
      <c r="I76" s="64">
        <v>0.1</v>
      </c>
      <c r="J76" s="64">
        <v>0.77</v>
      </c>
      <c r="K76" s="64">
        <v>259.11</v>
      </c>
      <c r="L76" s="64">
        <v>21.85</v>
      </c>
      <c r="M76" s="64">
        <v>47.91</v>
      </c>
      <c r="N76" s="64">
        <v>57.3</v>
      </c>
      <c r="O76" s="64">
        <v>0</v>
      </c>
      <c r="P76" s="64">
        <v>1.26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4" t="s">
        <v>1755</v>
      </c>
      <c r="B77" s="64">
        <v>11.22</v>
      </c>
      <c r="C77" s="64">
        <v>51.95</v>
      </c>
      <c r="D77" s="64">
        <v>35.68</v>
      </c>
      <c r="E77" s="64">
        <v>14.76</v>
      </c>
      <c r="F77" s="64">
        <v>3.73</v>
      </c>
      <c r="G77" s="64">
        <v>62.12</v>
      </c>
      <c r="H77" s="64">
        <v>23.2</v>
      </c>
      <c r="I77" s="64">
        <v>0.1</v>
      </c>
      <c r="J77" s="64">
        <v>0.51</v>
      </c>
      <c r="K77" s="64">
        <v>238.56</v>
      </c>
      <c r="L77" s="64">
        <v>21.34</v>
      </c>
      <c r="M77" s="64">
        <v>52.76</v>
      </c>
      <c r="N77" s="64">
        <v>54.5</v>
      </c>
      <c r="O77" s="64">
        <v>0</v>
      </c>
      <c r="P77" s="64">
        <v>1.42</v>
      </c>
      <c r="Q77" s="64">
        <v>9.64</v>
      </c>
      <c r="R77" s="198"/>
      <c r="S77" s="198"/>
      <c r="T77" s="198"/>
      <c r="U77" s="198"/>
    </row>
    <row r="78" spans="1:21" s="12" customFormat="1" x14ac:dyDescent="0.25">
      <c r="A78" s="214" t="s">
        <v>1756</v>
      </c>
      <c r="B78" s="64">
        <v>32.340000000000003</v>
      </c>
      <c r="C78" s="64">
        <v>42.51</v>
      </c>
      <c r="D78" s="64">
        <v>47.68</v>
      </c>
      <c r="E78" s="64">
        <v>12.15</v>
      </c>
      <c r="F78" s="64">
        <v>3.44</v>
      </c>
      <c r="G78" s="64">
        <v>68.67</v>
      </c>
      <c r="H78" s="64">
        <v>23.45</v>
      </c>
      <c r="I78" s="64">
        <v>0.1</v>
      </c>
      <c r="J78" s="64">
        <v>0.77</v>
      </c>
      <c r="K78" s="64">
        <v>124.56</v>
      </c>
      <c r="L78" s="64">
        <v>20.51</v>
      </c>
      <c r="M78" s="64">
        <v>59.56</v>
      </c>
      <c r="N78" s="64">
        <v>52</v>
      </c>
      <c r="O78" s="64">
        <v>0</v>
      </c>
      <c r="P78" s="64">
        <v>1.59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4" t="s">
        <v>1757</v>
      </c>
      <c r="B79" s="64">
        <v>30.89</v>
      </c>
      <c r="C79" s="64">
        <v>33.770000000000003</v>
      </c>
      <c r="D79" s="64">
        <v>41.85</v>
      </c>
      <c r="E79" s="64">
        <v>10.3</v>
      </c>
      <c r="F79" s="64">
        <v>3.39</v>
      </c>
      <c r="G79" s="64">
        <v>68.67</v>
      </c>
      <c r="H79" s="64">
        <v>23.45</v>
      </c>
      <c r="I79" s="64">
        <v>0.1</v>
      </c>
      <c r="J79" s="64">
        <v>0.68</v>
      </c>
      <c r="K79" s="64">
        <v>325.85000000000002</v>
      </c>
      <c r="L79" s="64">
        <v>19.809999999999999</v>
      </c>
      <c r="M79" s="64">
        <v>67.760000000000005</v>
      </c>
      <c r="N79" s="64">
        <v>51.4</v>
      </c>
      <c r="O79" s="64">
        <v>0</v>
      </c>
      <c r="P79" s="64">
        <v>1.71</v>
      </c>
      <c r="Q79" s="64">
        <v>9.66</v>
      </c>
      <c r="R79" s="198"/>
      <c r="S79" s="198"/>
      <c r="T79" s="198"/>
      <c r="U79" s="198"/>
    </row>
    <row r="80" spans="1:21" s="12" customFormat="1" x14ac:dyDescent="0.25">
      <c r="A80" s="214" t="s">
        <v>1758</v>
      </c>
      <c r="B80" s="64">
        <v>16.28</v>
      </c>
      <c r="C80" s="64">
        <v>34.549999999999997</v>
      </c>
      <c r="D80" s="64">
        <v>30.64</v>
      </c>
      <c r="E80" s="64">
        <v>7.67</v>
      </c>
      <c r="F80" s="64">
        <v>2.79</v>
      </c>
      <c r="G80" s="64">
        <v>68.67</v>
      </c>
      <c r="H80" s="64">
        <v>23.45</v>
      </c>
      <c r="I80" s="64">
        <v>0.1</v>
      </c>
      <c r="J80" s="64">
        <v>0.68</v>
      </c>
      <c r="K80" s="64">
        <v>2.38</v>
      </c>
      <c r="L80" s="64">
        <v>19.27</v>
      </c>
      <c r="M80" s="64">
        <v>69.33</v>
      </c>
      <c r="N80" s="64">
        <v>51.3</v>
      </c>
      <c r="O80" s="64">
        <v>0</v>
      </c>
      <c r="P80" s="64">
        <v>1.4</v>
      </c>
      <c r="Q80" s="64">
        <v>9.66</v>
      </c>
      <c r="R80" s="198"/>
      <c r="S80" s="198"/>
      <c r="T80" s="198"/>
      <c r="U80" s="198"/>
    </row>
    <row r="81" spans="1:26" s="12" customFormat="1" x14ac:dyDescent="0.25">
      <c r="A81" s="214" t="s">
        <v>1759</v>
      </c>
      <c r="B81" s="64">
        <v>17.27</v>
      </c>
      <c r="C81" s="64">
        <v>34.07</v>
      </c>
      <c r="D81" s="64">
        <v>31.19</v>
      </c>
      <c r="E81" s="64">
        <v>6.98</v>
      </c>
      <c r="F81" s="64">
        <v>3.13</v>
      </c>
      <c r="G81" s="64">
        <v>101.24</v>
      </c>
      <c r="H81" s="64">
        <v>29.78</v>
      </c>
      <c r="I81" s="64">
        <v>0.1</v>
      </c>
      <c r="J81" s="64">
        <v>0.84</v>
      </c>
      <c r="K81" s="64">
        <v>357.86</v>
      </c>
      <c r="L81" s="64">
        <v>19.059999999999999</v>
      </c>
      <c r="M81" s="64">
        <v>68.97</v>
      </c>
      <c r="N81" s="64">
        <v>51.4</v>
      </c>
      <c r="O81" s="64">
        <v>0</v>
      </c>
      <c r="P81" s="64">
        <v>1.42</v>
      </c>
      <c r="Q81" s="64">
        <v>9.66</v>
      </c>
      <c r="R81" s="198"/>
      <c r="S81" s="198"/>
      <c r="T81" s="198"/>
      <c r="U81" s="198"/>
    </row>
    <row r="82" spans="1:26" s="12" customFormat="1" x14ac:dyDescent="0.25">
      <c r="A82" s="214" t="s">
        <v>1760</v>
      </c>
      <c r="B82" s="64">
        <v>18.97</v>
      </c>
      <c r="C82" s="64">
        <v>34.78</v>
      </c>
      <c r="D82" s="64">
        <v>32.92</v>
      </c>
      <c r="E82" s="64">
        <v>6.81</v>
      </c>
      <c r="F82" s="64">
        <v>3.58</v>
      </c>
      <c r="G82" s="64">
        <v>131.03</v>
      </c>
      <c r="H82" s="64">
        <v>32.67</v>
      </c>
      <c r="I82" s="64">
        <v>0.1</v>
      </c>
      <c r="J82" s="64">
        <v>0.85</v>
      </c>
      <c r="K82" s="64">
        <v>354.16</v>
      </c>
      <c r="L82" s="64">
        <v>18.72</v>
      </c>
      <c r="M82" s="64">
        <v>74.290000000000006</v>
      </c>
      <c r="N82" s="64">
        <v>51.7</v>
      </c>
      <c r="O82" s="64">
        <v>0</v>
      </c>
      <c r="P82" s="64">
        <v>1.45</v>
      </c>
      <c r="Q82" s="64">
        <v>9.67</v>
      </c>
      <c r="R82" s="198"/>
      <c r="S82" s="198"/>
      <c r="T82" s="198"/>
      <c r="U82" s="198"/>
    </row>
    <row r="83" spans="1:26" s="12" customFormat="1" x14ac:dyDescent="0.25">
      <c r="A83" s="214" t="s">
        <v>1761</v>
      </c>
      <c r="B83" s="64">
        <v>19.63</v>
      </c>
      <c r="C83" s="64">
        <v>34.28</v>
      </c>
      <c r="D83" s="64">
        <v>33.19</v>
      </c>
      <c r="E83" s="64">
        <v>6.83</v>
      </c>
      <c r="F83" s="64">
        <v>3.35</v>
      </c>
      <c r="G83" s="64">
        <v>131.03</v>
      </c>
      <c r="H83" s="64">
        <v>32.67</v>
      </c>
      <c r="I83" s="64">
        <v>0.1</v>
      </c>
      <c r="J83" s="64">
        <v>0.85</v>
      </c>
      <c r="K83" s="64">
        <v>352.37</v>
      </c>
      <c r="L83" s="64">
        <v>18.57</v>
      </c>
      <c r="M83" s="64">
        <v>73.31</v>
      </c>
      <c r="N83" s="64">
        <v>51.4</v>
      </c>
      <c r="O83" s="64">
        <v>0</v>
      </c>
      <c r="P83" s="64">
        <v>1.52</v>
      </c>
      <c r="Q83" s="64">
        <v>9.67</v>
      </c>
      <c r="R83" s="198"/>
      <c r="S83" s="198"/>
      <c r="T83" s="198"/>
      <c r="U83" s="198"/>
    </row>
    <row r="84" spans="1:26" s="12" customFormat="1" x14ac:dyDescent="0.25">
      <c r="A84" s="214" t="s">
        <v>1762</v>
      </c>
      <c r="B84" s="64">
        <v>20.51</v>
      </c>
      <c r="C84" s="64">
        <v>36.159999999999997</v>
      </c>
      <c r="D84" s="64">
        <v>34.869999999999997</v>
      </c>
      <c r="E84" s="64">
        <v>6.67</v>
      </c>
      <c r="F84" s="64">
        <v>3.37</v>
      </c>
      <c r="G84" s="64">
        <v>131.03</v>
      </c>
      <c r="H84" s="64">
        <v>32.67</v>
      </c>
      <c r="I84" s="64">
        <v>0.1</v>
      </c>
      <c r="J84" s="64">
        <v>0.79</v>
      </c>
      <c r="K84" s="64">
        <v>1.02</v>
      </c>
      <c r="L84" s="64">
        <v>18.670000000000002</v>
      </c>
      <c r="M84" s="64">
        <v>68.91</v>
      </c>
      <c r="N84" s="64">
        <v>51.8</v>
      </c>
      <c r="O84" s="64">
        <v>0</v>
      </c>
      <c r="P84" s="64">
        <v>1.61</v>
      </c>
      <c r="Q84" s="64">
        <v>9.68</v>
      </c>
      <c r="R84" s="198"/>
      <c r="S84" s="198"/>
      <c r="T84" s="198"/>
      <c r="U84" s="198"/>
    </row>
    <row r="85" spans="1:26" s="12" customFormat="1" x14ac:dyDescent="0.25">
      <c r="A85" s="214" t="s">
        <v>1763</v>
      </c>
      <c r="B85" s="64">
        <v>21.36</v>
      </c>
      <c r="C85" s="64">
        <v>33.65</v>
      </c>
      <c r="D85" s="64">
        <v>34.25</v>
      </c>
      <c r="E85" s="64">
        <v>6.74</v>
      </c>
      <c r="F85" s="64">
        <v>3.05</v>
      </c>
      <c r="G85" s="64">
        <v>126.39</v>
      </c>
      <c r="H85" s="64">
        <v>37.83</v>
      </c>
      <c r="I85" s="64">
        <v>0.1</v>
      </c>
      <c r="J85" s="64">
        <v>0.3</v>
      </c>
      <c r="K85" s="64">
        <v>300.27</v>
      </c>
      <c r="L85" s="64">
        <v>18.57</v>
      </c>
      <c r="M85" s="64">
        <v>72.17</v>
      </c>
      <c r="N85" s="64">
        <v>51.8</v>
      </c>
      <c r="O85" s="64">
        <v>0</v>
      </c>
      <c r="P85" s="64">
        <v>1.68</v>
      </c>
      <c r="Q85" s="64">
        <v>9.67</v>
      </c>
      <c r="R85" s="198"/>
      <c r="S85" s="198"/>
      <c r="T85" s="198"/>
      <c r="U85" s="198"/>
    </row>
    <row r="86" spans="1:26" s="12" customFormat="1" x14ac:dyDescent="0.25">
      <c r="A86" s="214" t="s">
        <v>1764</v>
      </c>
      <c r="B86" s="64">
        <v>21.78</v>
      </c>
      <c r="C86" s="64">
        <v>31.32</v>
      </c>
      <c r="D86" s="64">
        <v>33.369999999999997</v>
      </c>
      <c r="E86" s="64">
        <v>6.08</v>
      </c>
      <c r="F86" s="64">
        <v>2.98</v>
      </c>
      <c r="G86" s="64">
        <v>122.14</v>
      </c>
      <c r="H86" s="64">
        <v>40.130000000000003</v>
      </c>
      <c r="I86" s="64">
        <v>0.1</v>
      </c>
      <c r="J86" s="64">
        <v>0.28999999999999998</v>
      </c>
      <c r="K86" s="64">
        <v>180.27</v>
      </c>
      <c r="L86" s="64">
        <v>18.34</v>
      </c>
      <c r="M86" s="64">
        <v>72.319999999999993</v>
      </c>
      <c r="N86" s="64">
        <v>51.8</v>
      </c>
      <c r="O86" s="64">
        <v>0</v>
      </c>
      <c r="P86" s="64">
        <v>1.82</v>
      </c>
      <c r="Q86" s="64">
        <v>9.68</v>
      </c>
      <c r="R86" s="198"/>
      <c r="S86" s="198"/>
      <c r="T86" s="198"/>
      <c r="U86" s="198"/>
    </row>
    <row r="87" spans="1:26" s="12" customFormat="1" x14ac:dyDescent="0.25">
      <c r="A87" s="214" t="s">
        <v>1765</v>
      </c>
      <c r="B87" s="64">
        <v>22.4</v>
      </c>
      <c r="C87" s="64">
        <v>30.72</v>
      </c>
      <c r="D87" s="64">
        <v>33.56</v>
      </c>
      <c r="E87" s="64">
        <v>5.8</v>
      </c>
      <c r="F87" s="64">
        <v>2.97</v>
      </c>
      <c r="G87" s="64">
        <v>122.14</v>
      </c>
      <c r="H87" s="64">
        <v>40.130000000000003</v>
      </c>
      <c r="I87" s="64">
        <v>0.1</v>
      </c>
      <c r="J87" s="64">
        <v>0.39</v>
      </c>
      <c r="K87" s="64">
        <v>292.39</v>
      </c>
      <c r="L87" s="64">
        <v>17.989999999999998</v>
      </c>
      <c r="M87" s="64">
        <v>72.930000000000007</v>
      </c>
      <c r="N87" s="64">
        <v>52</v>
      </c>
      <c r="O87" s="64">
        <v>0</v>
      </c>
      <c r="P87" s="64">
        <v>1.91</v>
      </c>
      <c r="Q87" s="64">
        <v>9.69</v>
      </c>
      <c r="R87" s="198"/>
      <c r="S87" s="198"/>
      <c r="T87" s="198"/>
      <c r="U87" s="198"/>
    </row>
    <row r="88" spans="1:26" s="12" customFormat="1" x14ac:dyDescent="0.25">
      <c r="A88" s="214" t="s">
        <v>1766</v>
      </c>
      <c r="B88" s="64">
        <v>23.32</v>
      </c>
      <c r="C88" s="64">
        <v>30.2</v>
      </c>
      <c r="D88" s="64">
        <v>34.020000000000003</v>
      </c>
      <c r="E88" s="64">
        <v>5.77</v>
      </c>
      <c r="F88" s="64">
        <v>2.94</v>
      </c>
      <c r="G88" s="64">
        <v>122.14</v>
      </c>
      <c r="H88" s="64">
        <v>40.130000000000003</v>
      </c>
      <c r="I88" s="64">
        <v>0.1</v>
      </c>
      <c r="J88" s="64">
        <v>0.6</v>
      </c>
      <c r="K88" s="64">
        <v>10.68</v>
      </c>
      <c r="L88" s="64">
        <v>17.440000000000001</v>
      </c>
      <c r="M88" s="64">
        <v>76.28</v>
      </c>
      <c r="N88" s="64">
        <v>52</v>
      </c>
      <c r="O88" s="64">
        <v>0</v>
      </c>
      <c r="P88" s="64">
        <v>2</v>
      </c>
      <c r="Q88" s="64">
        <v>9.69</v>
      </c>
      <c r="R88" s="198"/>
      <c r="S88" s="198"/>
      <c r="T88" s="198"/>
      <c r="U88" s="198"/>
    </row>
    <row r="89" spans="1:26" s="12" customFormat="1" x14ac:dyDescent="0.25">
      <c r="A89" s="214" t="s">
        <v>1767</v>
      </c>
      <c r="B89" s="64">
        <v>24.94</v>
      </c>
      <c r="C89" s="64">
        <v>29.23</v>
      </c>
      <c r="D89" s="64">
        <v>34.81</v>
      </c>
      <c r="E89" s="64">
        <v>5.85</v>
      </c>
      <c r="F89" s="64">
        <v>2.82</v>
      </c>
      <c r="G89" s="64">
        <v>133.02000000000001</v>
      </c>
      <c r="H89" s="64">
        <v>43.08</v>
      </c>
      <c r="I89" s="64">
        <v>0.1</v>
      </c>
      <c r="J89" s="64">
        <v>0.81</v>
      </c>
      <c r="K89" s="64">
        <v>16.11</v>
      </c>
      <c r="L89" s="64">
        <v>17.059999999999999</v>
      </c>
      <c r="M89" s="64">
        <v>82.6</v>
      </c>
      <c r="N89" s="64">
        <v>52</v>
      </c>
      <c r="O89" s="64">
        <v>0</v>
      </c>
      <c r="P89" s="64">
        <v>2.09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14" t="s">
        <v>1768</v>
      </c>
      <c r="B90" s="64">
        <v>27.1</v>
      </c>
      <c r="C90" s="64">
        <v>27.52</v>
      </c>
      <c r="D90" s="64">
        <v>35.65</v>
      </c>
      <c r="E90" s="64">
        <v>5.92</v>
      </c>
      <c r="F90" s="64">
        <v>2.67</v>
      </c>
      <c r="G90" s="64">
        <v>142.96</v>
      </c>
      <c r="H90" s="64">
        <v>45.65</v>
      </c>
      <c r="I90" s="64">
        <v>0.1</v>
      </c>
      <c r="J90" s="64">
        <v>0.45</v>
      </c>
      <c r="K90" s="64">
        <v>97.98</v>
      </c>
      <c r="L90" s="64">
        <v>16.77</v>
      </c>
      <c r="M90" s="64">
        <v>85.58</v>
      </c>
      <c r="N90" s="64">
        <v>52</v>
      </c>
      <c r="O90" s="64">
        <v>0</v>
      </c>
      <c r="P90" s="64">
        <v>2.21</v>
      </c>
      <c r="Q90" s="64">
        <v>9.69</v>
      </c>
      <c r="R90" s="198"/>
      <c r="S90" s="198"/>
      <c r="T90" s="198"/>
      <c r="U90" s="198"/>
    </row>
    <row r="91" spans="1:26" s="12" customFormat="1" x14ac:dyDescent="0.25">
      <c r="A91" s="214" t="s">
        <v>1769</v>
      </c>
      <c r="B91" s="64">
        <v>30.15</v>
      </c>
      <c r="C91" s="64">
        <v>25.79</v>
      </c>
      <c r="D91" s="64">
        <v>37.19</v>
      </c>
      <c r="E91" s="64">
        <v>6.05</v>
      </c>
      <c r="F91" s="64">
        <v>2.96</v>
      </c>
      <c r="G91" s="64">
        <v>142.96</v>
      </c>
      <c r="H91" s="64">
        <v>45.65</v>
      </c>
      <c r="I91" s="64">
        <v>0.1</v>
      </c>
      <c r="J91" s="64">
        <v>0.77</v>
      </c>
      <c r="K91" s="64">
        <v>132.38999999999999</v>
      </c>
      <c r="L91" s="64">
        <v>16.5</v>
      </c>
      <c r="M91" s="64">
        <v>90.38</v>
      </c>
      <c r="N91" s="64">
        <v>52</v>
      </c>
      <c r="O91" s="64">
        <v>0</v>
      </c>
      <c r="P91" s="64">
        <v>2.37</v>
      </c>
      <c r="Q91" s="64">
        <v>9.6999999999999993</v>
      </c>
      <c r="R91" s="198"/>
      <c r="S91" s="198"/>
      <c r="T91" s="198"/>
      <c r="U91" s="198"/>
    </row>
    <row r="92" spans="1:26" s="12" customFormat="1" x14ac:dyDescent="0.25">
      <c r="A92" s="214" t="s">
        <v>1770</v>
      </c>
      <c r="B92" s="64">
        <v>37.01</v>
      </c>
      <c r="C92" s="64">
        <v>22.8</v>
      </c>
      <c r="D92" s="64">
        <v>41.13</v>
      </c>
      <c r="E92" s="64">
        <v>5.86</v>
      </c>
      <c r="F92" s="64">
        <v>3.12</v>
      </c>
      <c r="G92" s="64">
        <v>142.96</v>
      </c>
      <c r="H92" s="64">
        <v>45.65</v>
      </c>
      <c r="I92" s="64">
        <v>0.1</v>
      </c>
      <c r="J92" s="64">
        <v>0.81</v>
      </c>
      <c r="K92" s="64">
        <v>132.72999999999999</v>
      </c>
      <c r="L92" s="64">
        <v>16.25</v>
      </c>
      <c r="M92" s="64">
        <v>94.71</v>
      </c>
      <c r="N92" s="64">
        <v>51.9</v>
      </c>
      <c r="O92" s="64">
        <v>0</v>
      </c>
      <c r="P92" s="64">
        <v>2.5499999999999998</v>
      </c>
      <c r="Q92" s="64">
        <v>9.7100000000000009</v>
      </c>
      <c r="R92" s="198"/>
      <c r="S92" s="198"/>
      <c r="T92" s="198"/>
      <c r="U92" s="198"/>
    </row>
    <row r="93" spans="1:26" s="12" customFormat="1" x14ac:dyDescent="0.25">
      <c r="A93" s="214" t="s">
        <v>1771</v>
      </c>
      <c r="B93" s="64">
        <v>47.12</v>
      </c>
      <c r="C93" s="64">
        <v>17.77</v>
      </c>
      <c r="D93" s="64">
        <v>46.61</v>
      </c>
      <c r="E93" s="64">
        <v>6.09</v>
      </c>
      <c r="F93" s="64">
        <v>2.99</v>
      </c>
      <c r="G93" s="64">
        <v>141.63</v>
      </c>
      <c r="H93" s="64">
        <v>43.31</v>
      </c>
      <c r="I93" s="64">
        <v>0.1</v>
      </c>
      <c r="J93" s="64">
        <v>0.52</v>
      </c>
      <c r="K93" s="64">
        <v>130.94999999999999</v>
      </c>
      <c r="L93" s="64">
        <v>16.149999999999999</v>
      </c>
      <c r="M93" s="64">
        <v>97.41</v>
      </c>
      <c r="N93" s="64">
        <v>51.7</v>
      </c>
      <c r="O93" s="64">
        <v>0</v>
      </c>
      <c r="P93" s="64">
        <v>2.73</v>
      </c>
      <c r="Q93" s="64">
        <v>9.73</v>
      </c>
      <c r="R93" s="198"/>
      <c r="S93" s="198"/>
      <c r="T93" s="198"/>
      <c r="U93" s="198"/>
    </row>
    <row r="94" spans="1:26" s="12" customFormat="1" x14ac:dyDescent="0.25">
      <c r="A94" s="214" t="s">
        <v>1772</v>
      </c>
      <c r="B94" s="64">
        <v>56.5</v>
      </c>
      <c r="C94" s="64">
        <v>12.93</v>
      </c>
      <c r="D94" s="64">
        <v>51.6</v>
      </c>
      <c r="E94" s="64">
        <v>6.53</v>
      </c>
      <c r="F94" s="64">
        <v>3.15</v>
      </c>
      <c r="G94" s="64">
        <v>140.41</v>
      </c>
      <c r="H94" s="64">
        <v>42.26</v>
      </c>
      <c r="I94" s="64">
        <v>0.1</v>
      </c>
      <c r="J94" s="64">
        <v>0.82</v>
      </c>
      <c r="K94" s="64">
        <v>15.89</v>
      </c>
      <c r="L94" s="64">
        <v>15.98</v>
      </c>
      <c r="M94" s="64">
        <v>98.15</v>
      </c>
      <c r="N94" s="64">
        <v>51.9</v>
      </c>
      <c r="O94" s="64">
        <v>0</v>
      </c>
      <c r="P94" s="64">
        <v>2.89</v>
      </c>
      <c r="Q94" s="64">
        <v>9.74</v>
      </c>
      <c r="R94" s="198"/>
      <c r="S94" s="198"/>
      <c r="T94" s="198"/>
      <c r="U94" s="198"/>
    </row>
    <row r="95" spans="1:26" s="12" customFormat="1" x14ac:dyDescent="0.25">
      <c r="A95" s="214" t="s">
        <v>1773</v>
      </c>
      <c r="B95" s="64">
        <v>65.010000000000005</v>
      </c>
      <c r="C95" s="64">
        <v>8.19</v>
      </c>
      <c r="D95" s="64">
        <v>55.95</v>
      </c>
      <c r="E95" s="64">
        <v>6.76</v>
      </c>
      <c r="F95" s="64">
        <v>3.37</v>
      </c>
      <c r="G95" s="64">
        <v>140.41</v>
      </c>
      <c r="H95" s="64">
        <v>42.26</v>
      </c>
      <c r="I95" s="64">
        <v>0.1</v>
      </c>
      <c r="J95" s="64">
        <v>0.65</v>
      </c>
      <c r="K95" s="64">
        <v>305.62</v>
      </c>
      <c r="L95" s="64">
        <v>15.86</v>
      </c>
      <c r="M95" s="64">
        <v>98.14</v>
      </c>
      <c r="N95" s="64">
        <v>52.2</v>
      </c>
      <c r="O95" s="64">
        <v>0</v>
      </c>
      <c r="P95" s="64">
        <v>3.04</v>
      </c>
      <c r="Q95" s="64">
        <v>9.75</v>
      </c>
      <c r="R95" s="198"/>
      <c r="S95" s="198"/>
      <c r="T95" s="198"/>
      <c r="U95" s="198"/>
    </row>
    <row r="96" spans="1:26" s="12" customFormat="1" x14ac:dyDescent="0.25">
      <c r="A96" s="214" t="s">
        <v>1774</v>
      </c>
      <c r="B96" s="64">
        <v>73.48</v>
      </c>
      <c r="C96" s="64">
        <v>3.57</v>
      </c>
      <c r="D96" s="64">
        <v>60.33</v>
      </c>
      <c r="E96" s="64">
        <v>6.78</v>
      </c>
      <c r="F96" s="64">
        <v>3.21</v>
      </c>
      <c r="G96" s="64">
        <v>140.41</v>
      </c>
      <c r="H96" s="64">
        <v>42.26</v>
      </c>
      <c r="I96" s="64">
        <v>0.1</v>
      </c>
      <c r="J96" s="64">
        <v>0.82</v>
      </c>
      <c r="K96" s="64">
        <v>319.85000000000002</v>
      </c>
      <c r="L96" s="64">
        <v>15.71</v>
      </c>
      <c r="M96" s="64">
        <v>98.15</v>
      </c>
      <c r="N96" s="64">
        <v>52.4</v>
      </c>
      <c r="O96" s="64">
        <v>0</v>
      </c>
      <c r="P96" s="64">
        <v>3.22</v>
      </c>
      <c r="Q96" s="64">
        <v>9.76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1775</v>
      </c>
      <c r="B97" s="64">
        <v>79.91</v>
      </c>
      <c r="C97" s="64">
        <v>0.39</v>
      </c>
      <c r="D97" s="64">
        <v>63.72</v>
      </c>
      <c r="E97" s="64">
        <v>6.65</v>
      </c>
      <c r="F97" s="64">
        <v>3.53</v>
      </c>
      <c r="G97" s="64">
        <v>143.83000000000001</v>
      </c>
      <c r="H97" s="64">
        <v>48.59</v>
      </c>
      <c r="I97" s="64">
        <v>0.1</v>
      </c>
      <c r="J97" s="64">
        <v>0.61</v>
      </c>
      <c r="K97" s="64">
        <v>286.7</v>
      </c>
      <c r="L97" s="64">
        <v>15.52</v>
      </c>
      <c r="M97" s="64">
        <v>98.12</v>
      </c>
      <c r="N97" s="64">
        <v>52.6</v>
      </c>
      <c r="O97" s="64">
        <v>0</v>
      </c>
      <c r="P97" s="64">
        <v>3.39</v>
      </c>
      <c r="Q97" s="64">
        <v>9.7799999999999994</v>
      </c>
      <c r="R97" s="198"/>
      <c r="S97" s="198"/>
      <c r="T97" s="198"/>
      <c r="U97" s="198"/>
    </row>
    <row r="98" spans="1:33" s="12" customFormat="1" x14ac:dyDescent="0.25">
      <c r="A98" s="214" t="s">
        <v>1776</v>
      </c>
      <c r="B98" s="64">
        <v>84.78</v>
      </c>
      <c r="C98" s="64">
        <v>0</v>
      </c>
      <c r="D98" s="64">
        <v>66.31</v>
      </c>
      <c r="E98" s="64">
        <v>7.08</v>
      </c>
      <c r="F98" s="64">
        <v>3.75</v>
      </c>
      <c r="G98" s="64">
        <v>146.96</v>
      </c>
      <c r="H98" s="64">
        <v>51.42</v>
      </c>
      <c r="I98" s="64">
        <v>0.1</v>
      </c>
      <c r="J98" s="64">
        <v>0.37</v>
      </c>
      <c r="K98" s="64">
        <v>241.32</v>
      </c>
      <c r="L98" s="64">
        <v>15.43</v>
      </c>
      <c r="M98" s="64">
        <v>98.13</v>
      </c>
      <c r="N98" s="64">
        <v>52.8</v>
      </c>
      <c r="O98" s="64">
        <v>0</v>
      </c>
      <c r="P98" s="64">
        <v>3.49</v>
      </c>
      <c r="Q98" s="64">
        <v>9.7899999999999991</v>
      </c>
      <c r="R98" s="198"/>
      <c r="S98" s="198"/>
      <c r="T98" s="198"/>
      <c r="U98" s="198"/>
    </row>
    <row r="99" spans="1:33" s="12" customFormat="1" x14ac:dyDescent="0.25">
      <c r="A99" s="214" t="s">
        <v>1777</v>
      </c>
      <c r="B99" s="64">
        <v>89.04</v>
      </c>
      <c r="C99" s="64">
        <v>0</v>
      </c>
      <c r="D99" s="64">
        <v>68.069999999999993</v>
      </c>
      <c r="E99" s="64">
        <v>6.79</v>
      </c>
      <c r="F99" s="64">
        <v>3.87</v>
      </c>
      <c r="G99" s="64">
        <v>146.96</v>
      </c>
      <c r="H99" s="64">
        <v>51.42</v>
      </c>
      <c r="I99" s="64">
        <v>0.1</v>
      </c>
      <c r="J99" s="64">
        <v>0.67</v>
      </c>
      <c r="K99" s="64">
        <v>247.23</v>
      </c>
      <c r="L99" s="64">
        <v>15.36</v>
      </c>
      <c r="M99" s="64">
        <v>98.15</v>
      </c>
      <c r="N99" s="64">
        <v>52.7</v>
      </c>
      <c r="O99" s="64">
        <v>0</v>
      </c>
      <c r="P99" s="64">
        <v>3.54</v>
      </c>
      <c r="Q99" s="64">
        <v>9.8000000000000007</v>
      </c>
      <c r="R99" s="198"/>
      <c r="S99" s="198"/>
      <c r="T99" s="198"/>
      <c r="U99" s="198"/>
    </row>
    <row r="100" spans="1:33" s="12" customFormat="1" x14ac:dyDescent="0.25">
      <c r="A100" s="214" t="s">
        <v>1778</v>
      </c>
      <c r="B100" s="64">
        <v>91.58</v>
      </c>
      <c r="C100" s="64">
        <v>0</v>
      </c>
      <c r="D100" s="64">
        <v>68.86</v>
      </c>
      <c r="E100" s="64">
        <v>6.73</v>
      </c>
      <c r="F100" s="64">
        <v>3.9</v>
      </c>
      <c r="G100" s="64">
        <v>146.96</v>
      </c>
      <c r="H100" s="64">
        <v>51.42</v>
      </c>
      <c r="I100" s="64">
        <v>0.1</v>
      </c>
      <c r="J100" s="64">
        <v>0.5</v>
      </c>
      <c r="K100" s="64">
        <v>195.09</v>
      </c>
      <c r="L100" s="64">
        <v>15.18</v>
      </c>
      <c r="M100" s="64">
        <v>98.14</v>
      </c>
      <c r="N100" s="64">
        <v>52.8</v>
      </c>
      <c r="O100" s="64">
        <v>0</v>
      </c>
      <c r="P100" s="64">
        <v>3.55</v>
      </c>
      <c r="Q100" s="64">
        <v>9.7899999999999991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1779</v>
      </c>
      <c r="B101" s="64">
        <v>92.87</v>
      </c>
      <c r="C101" s="64">
        <v>0</v>
      </c>
      <c r="D101" s="64">
        <v>69.22</v>
      </c>
      <c r="E101" s="64">
        <v>7.15</v>
      </c>
      <c r="F101" s="64">
        <v>3.77</v>
      </c>
      <c r="G101" s="64">
        <v>145.13999999999999</v>
      </c>
      <c r="H101" s="64">
        <v>50.54</v>
      </c>
      <c r="I101" s="64">
        <v>0.1</v>
      </c>
      <c r="J101" s="64">
        <v>0.51</v>
      </c>
      <c r="K101" s="64">
        <v>309.95999999999998</v>
      </c>
      <c r="L101" s="64">
        <v>15.05</v>
      </c>
      <c r="M101" s="64">
        <v>98.13</v>
      </c>
      <c r="N101" s="64">
        <v>52.9</v>
      </c>
      <c r="O101" s="64">
        <v>0</v>
      </c>
      <c r="P101" s="64">
        <v>3.56</v>
      </c>
      <c r="Q101" s="64">
        <v>9.7899999999999991</v>
      </c>
      <c r="R101" s="198"/>
      <c r="S101" s="198"/>
      <c r="T101" s="198"/>
      <c r="U101" s="198"/>
    </row>
    <row r="102" spans="1:33" s="12" customFormat="1" x14ac:dyDescent="0.25">
      <c r="A102" s="214" t="s">
        <v>1780</v>
      </c>
      <c r="B102" s="64">
        <v>95.47</v>
      </c>
      <c r="C102" s="64">
        <v>0</v>
      </c>
      <c r="D102" s="64">
        <v>70.27</v>
      </c>
      <c r="E102" s="64">
        <v>6.83</v>
      </c>
      <c r="F102" s="64">
        <v>3.48</v>
      </c>
      <c r="G102" s="64">
        <v>143.47999999999999</v>
      </c>
      <c r="H102" s="64">
        <v>50.14</v>
      </c>
      <c r="I102" s="64">
        <v>0.1</v>
      </c>
      <c r="J102" s="64">
        <v>0.66</v>
      </c>
      <c r="K102" s="64">
        <v>330.92</v>
      </c>
      <c r="L102" s="64">
        <v>14.77</v>
      </c>
      <c r="M102" s="64">
        <v>98.17</v>
      </c>
      <c r="N102" s="64">
        <v>52.8</v>
      </c>
      <c r="O102" s="64">
        <v>0</v>
      </c>
      <c r="P102" s="64">
        <v>3.63</v>
      </c>
      <c r="Q102" s="64">
        <v>9.8000000000000007</v>
      </c>
      <c r="R102" s="198"/>
      <c r="S102" s="198"/>
      <c r="T102" s="198"/>
      <c r="U102" s="198"/>
    </row>
    <row r="103" spans="1:33" s="12" customFormat="1" x14ac:dyDescent="0.25">
      <c r="A103" s="214" t="s">
        <v>1781</v>
      </c>
      <c r="B103" s="64">
        <v>97.05</v>
      </c>
      <c r="C103" s="64">
        <v>0</v>
      </c>
      <c r="D103" s="64">
        <v>70.77</v>
      </c>
      <c r="E103" s="64">
        <v>6.81</v>
      </c>
      <c r="F103" s="64">
        <v>3.15</v>
      </c>
      <c r="G103" s="64">
        <v>143.47999999999999</v>
      </c>
      <c r="H103" s="64">
        <v>50.14</v>
      </c>
      <c r="I103" s="64">
        <v>0.1</v>
      </c>
      <c r="J103" s="64">
        <v>0.75</v>
      </c>
      <c r="K103" s="64">
        <v>289.44</v>
      </c>
      <c r="L103" s="64">
        <v>14.65</v>
      </c>
      <c r="M103" s="64">
        <v>98.15</v>
      </c>
      <c r="N103" s="64">
        <v>52.5</v>
      </c>
      <c r="O103" s="64">
        <v>0</v>
      </c>
      <c r="P103" s="64">
        <v>3.64</v>
      </c>
      <c r="Q103" s="64">
        <v>9.81</v>
      </c>
      <c r="R103" s="198"/>
      <c r="S103" s="198"/>
      <c r="T103" s="198"/>
      <c r="U103" s="198"/>
    </row>
    <row r="104" spans="1:33" s="12" customFormat="1" x14ac:dyDescent="0.25">
      <c r="A104" s="214" t="s">
        <v>1782</v>
      </c>
      <c r="B104" s="64">
        <v>95.88</v>
      </c>
      <c r="C104" s="64">
        <v>0</v>
      </c>
      <c r="D104" s="64">
        <v>69.86</v>
      </c>
      <c r="E104" s="64">
        <v>4.9000000000000004</v>
      </c>
      <c r="F104" s="64">
        <v>3.14</v>
      </c>
      <c r="G104" s="64">
        <v>143.47999999999999</v>
      </c>
      <c r="H104" s="64">
        <v>50.14</v>
      </c>
      <c r="I104" s="64">
        <v>0.1</v>
      </c>
      <c r="J104" s="64">
        <v>0.82</v>
      </c>
      <c r="K104" s="64">
        <v>270.39</v>
      </c>
      <c r="L104" s="64">
        <v>14.45</v>
      </c>
      <c r="M104" s="64">
        <v>98.14</v>
      </c>
      <c r="N104" s="64">
        <v>52.4</v>
      </c>
      <c r="O104" s="64">
        <v>0</v>
      </c>
      <c r="P104" s="64">
        <v>3.59</v>
      </c>
      <c r="Q104" s="64">
        <v>9.7899999999999991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6.17</v>
      </c>
      <c r="C106" s="67">
        <f>MIN(C9:C104)</f>
        <v>0</v>
      </c>
      <c r="D106" s="67">
        <f t="shared" ref="D106:Q106" si="0">MIN(D9:D104)</f>
        <v>23.69</v>
      </c>
      <c r="E106" s="67">
        <f t="shared" si="0"/>
        <v>4.49</v>
      </c>
      <c r="F106" s="67">
        <f t="shared" si="0"/>
        <v>2.41</v>
      </c>
      <c r="G106" s="67">
        <f t="shared" si="0"/>
        <v>46.01</v>
      </c>
      <c r="H106" s="67">
        <f t="shared" si="0"/>
        <v>21.33</v>
      </c>
      <c r="I106" s="67">
        <f t="shared" si="0"/>
        <v>0.1</v>
      </c>
      <c r="J106" s="67">
        <f t="shared" si="0"/>
        <v>0.05</v>
      </c>
      <c r="K106" s="67">
        <f t="shared" si="0"/>
        <v>1.02</v>
      </c>
      <c r="L106" s="67">
        <f t="shared" si="0"/>
        <v>12.62</v>
      </c>
      <c r="M106" s="67">
        <f t="shared" si="0"/>
        <v>29.19</v>
      </c>
      <c r="N106" s="67">
        <f t="shared" si="0"/>
        <v>51.3</v>
      </c>
      <c r="O106" s="67">
        <f t="shared" si="0"/>
        <v>0</v>
      </c>
      <c r="P106" s="67">
        <f t="shared" si="0"/>
        <v>1.03</v>
      </c>
      <c r="Q106" s="67">
        <f t="shared" si="0"/>
        <v>9.58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97.05</v>
      </c>
      <c r="C107" s="66">
        <f t="shared" ref="C107:Q107" si="1">MAX(C9:C104)</f>
        <v>51.95</v>
      </c>
      <c r="D107" s="66">
        <f t="shared" si="1"/>
        <v>70.77</v>
      </c>
      <c r="E107" s="66">
        <f t="shared" si="1"/>
        <v>29.36</v>
      </c>
      <c r="F107" s="66">
        <f t="shared" si="1"/>
        <v>14.2</v>
      </c>
      <c r="G107" s="66">
        <f t="shared" si="1"/>
        <v>146.96</v>
      </c>
      <c r="H107" s="66">
        <f t="shared" si="1"/>
        <v>53.69</v>
      </c>
      <c r="I107" s="66">
        <f t="shared" si="1"/>
        <v>0.1</v>
      </c>
      <c r="J107" s="66">
        <f t="shared" si="1"/>
        <v>1.92</v>
      </c>
      <c r="K107" s="66">
        <f t="shared" si="1"/>
        <v>357.86</v>
      </c>
      <c r="L107" s="66">
        <f t="shared" si="1"/>
        <v>28.17</v>
      </c>
      <c r="M107" s="66">
        <f t="shared" si="1"/>
        <v>98.26</v>
      </c>
      <c r="N107" s="66">
        <f t="shared" si="1"/>
        <v>469.9</v>
      </c>
      <c r="O107" s="66">
        <f t="shared" si="1"/>
        <v>0</v>
      </c>
      <c r="P107" s="66">
        <f t="shared" si="1"/>
        <v>3.64</v>
      </c>
      <c r="Q107" s="66">
        <f t="shared" si="1"/>
        <v>9.81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38.628229166666678</v>
      </c>
      <c r="C108" s="67">
        <f t="shared" ref="C108:Q108" si="2">AVERAGE(C9:C104)</f>
        <v>19.853854166666668</v>
      </c>
      <c r="D108" s="67">
        <f t="shared" si="2"/>
        <v>40.527291666666663</v>
      </c>
      <c r="E108" s="67">
        <f t="shared" si="2"/>
        <v>7.2792708333333307</v>
      </c>
      <c r="F108" s="67">
        <f t="shared" si="2"/>
        <v>4.0874999999999986</v>
      </c>
      <c r="G108" s="67">
        <f t="shared" si="2"/>
        <v>98.397083333333327</v>
      </c>
      <c r="H108" s="67">
        <f t="shared" si="2"/>
        <v>38.406770833333333</v>
      </c>
      <c r="I108" s="67">
        <f t="shared" si="2"/>
        <v>9.9999999999999811E-2</v>
      </c>
      <c r="J108" s="67">
        <f t="shared" si="2"/>
        <v>0.76968750000000019</v>
      </c>
      <c r="K108" s="67">
        <f t="shared" si="2"/>
        <v>224.44833333333327</v>
      </c>
      <c r="L108" s="67">
        <f t="shared" si="2"/>
        <v>18.264270833333331</v>
      </c>
      <c r="M108" s="67">
        <f t="shared" si="2"/>
        <v>74.234687499999993</v>
      </c>
      <c r="N108" s="67">
        <f t="shared" si="2"/>
        <v>150.03749999999991</v>
      </c>
      <c r="O108" s="67">
        <f t="shared" si="2"/>
        <v>0</v>
      </c>
      <c r="P108" s="67">
        <f t="shared" si="2"/>
        <v>2.0349999999999997</v>
      </c>
      <c r="Q108" s="67">
        <f t="shared" si="2"/>
        <v>9.6958333333333311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24.401721336814759</v>
      </c>
      <c r="C109" s="67">
        <f t="shared" ref="C109:Q109" si="3">STDEV(C9:C104)</f>
        <v>13.86680173119213</v>
      </c>
      <c r="D109" s="67">
        <f t="shared" si="3"/>
        <v>12.457759575475466</v>
      </c>
      <c r="E109" s="67">
        <f t="shared" si="3"/>
        <v>4.1831361301984922</v>
      </c>
      <c r="F109" s="67">
        <f t="shared" si="3"/>
        <v>2.3311673154519799</v>
      </c>
      <c r="G109" s="67">
        <f t="shared" si="3"/>
        <v>35.79626322505171</v>
      </c>
      <c r="H109" s="67">
        <f t="shared" si="3"/>
        <v>11.362576662451522</v>
      </c>
      <c r="I109" s="67">
        <f t="shared" si="3"/>
        <v>1.9530892623466312E-16</v>
      </c>
      <c r="J109" s="67">
        <f t="shared" si="3"/>
        <v>0.37501285065700607</v>
      </c>
      <c r="K109" s="67">
        <f t="shared" si="3"/>
        <v>109.84422959873864</v>
      </c>
      <c r="L109" s="67">
        <f t="shared" si="3"/>
        <v>4.8550574271180453</v>
      </c>
      <c r="M109" s="67">
        <f t="shared" si="3"/>
        <v>26.100915852175905</v>
      </c>
      <c r="N109" s="67">
        <f t="shared" si="3"/>
        <v>151.1647078346559</v>
      </c>
      <c r="O109" s="67">
        <f t="shared" si="3"/>
        <v>0</v>
      </c>
      <c r="P109" s="67">
        <f t="shared" si="3"/>
        <v>0.72384354226877801</v>
      </c>
      <c r="Q109" s="67">
        <f t="shared" si="3"/>
        <v>5.1843218440270594E-2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1" sqref="C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1783</v>
      </c>
      <c r="B9" s="64">
        <v>93.21</v>
      </c>
      <c r="C9" s="6" t="s">
        <v>42</v>
      </c>
      <c r="D9" s="64">
        <v>68.16</v>
      </c>
      <c r="E9" s="64">
        <v>5.91</v>
      </c>
      <c r="F9" s="64">
        <v>3.04</v>
      </c>
      <c r="G9" s="64">
        <v>121.78</v>
      </c>
      <c r="H9" s="64">
        <v>47.26</v>
      </c>
      <c r="I9" s="64">
        <v>0.1</v>
      </c>
      <c r="J9" s="64">
        <v>0.77</v>
      </c>
      <c r="K9" s="64">
        <v>250.81</v>
      </c>
      <c r="L9" s="64">
        <v>14.35</v>
      </c>
      <c r="M9" s="64">
        <v>98.12</v>
      </c>
      <c r="N9" s="64">
        <v>52.4</v>
      </c>
      <c r="O9" s="64">
        <v>0</v>
      </c>
      <c r="P9" s="64">
        <v>3.52</v>
      </c>
      <c r="Q9" s="64">
        <v>9.7899999999999991</v>
      </c>
      <c r="R9" s="198"/>
      <c r="S9" s="198"/>
      <c r="T9" s="198"/>
      <c r="U9" s="198"/>
    </row>
    <row r="10" spans="1:21" s="12" customFormat="1" x14ac:dyDescent="0.25">
      <c r="A10" s="214" t="s">
        <v>1784</v>
      </c>
      <c r="B10" s="64">
        <v>90.26</v>
      </c>
      <c r="C10" s="6" t="s">
        <v>42</v>
      </c>
      <c r="D10" s="64">
        <v>66.37</v>
      </c>
      <c r="E10" s="64">
        <v>5.83</v>
      </c>
      <c r="F10" s="64">
        <v>3.21</v>
      </c>
      <c r="G10" s="64">
        <v>99.57</v>
      </c>
      <c r="H10" s="64">
        <v>44.64</v>
      </c>
      <c r="I10" s="64">
        <v>0.1</v>
      </c>
      <c r="J10" s="64">
        <v>0.79</v>
      </c>
      <c r="K10" s="64">
        <v>215.2</v>
      </c>
      <c r="L10" s="64">
        <v>14.16</v>
      </c>
      <c r="M10" s="64">
        <v>98.14</v>
      </c>
      <c r="N10" s="64">
        <v>52.3</v>
      </c>
      <c r="O10" s="64">
        <v>0</v>
      </c>
      <c r="P10" s="64">
        <v>3.47</v>
      </c>
      <c r="Q10" s="64">
        <v>9.7899999999999991</v>
      </c>
      <c r="R10" s="198"/>
      <c r="S10" s="198"/>
      <c r="T10" s="198"/>
      <c r="U10" s="198"/>
    </row>
    <row r="11" spans="1:21" s="12" customFormat="1" x14ac:dyDescent="0.25">
      <c r="A11" s="214" t="s">
        <v>1785</v>
      </c>
      <c r="B11" s="64">
        <v>87.16</v>
      </c>
      <c r="C11" s="6" t="s">
        <v>42</v>
      </c>
      <c r="D11" s="64">
        <v>64.489999999999995</v>
      </c>
      <c r="E11" s="64">
        <v>5.49</v>
      </c>
      <c r="F11" s="64">
        <v>3.27</v>
      </c>
      <c r="G11" s="64">
        <v>99.57</v>
      </c>
      <c r="H11" s="64">
        <v>44.64</v>
      </c>
      <c r="I11" s="64">
        <v>0.1</v>
      </c>
      <c r="J11" s="64">
        <v>0.8</v>
      </c>
      <c r="K11" s="64">
        <v>215.57</v>
      </c>
      <c r="L11" s="64">
        <v>13.94</v>
      </c>
      <c r="M11" s="64">
        <v>98.14</v>
      </c>
      <c r="N11" s="64">
        <v>52.3</v>
      </c>
      <c r="O11" s="64">
        <v>0</v>
      </c>
      <c r="P11" s="64">
        <v>3.39</v>
      </c>
      <c r="Q11" s="64">
        <v>9.7899999999999991</v>
      </c>
      <c r="R11" s="198"/>
      <c r="S11" s="198"/>
      <c r="T11" s="198"/>
      <c r="U11" s="198"/>
    </row>
    <row r="12" spans="1:21" s="12" customFormat="1" x14ac:dyDescent="0.25">
      <c r="A12" s="214" t="s">
        <v>1786</v>
      </c>
      <c r="B12" s="64">
        <v>84.13</v>
      </c>
      <c r="C12" s="6" t="s">
        <v>42</v>
      </c>
      <c r="D12" s="64">
        <v>62.24</v>
      </c>
      <c r="E12" s="64">
        <v>5.65</v>
      </c>
      <c r="F12" s="64">
        <v>3</v>
      </c>
      <c r="G12" s="64">
        <v>99.57</v>
      </c>
      <c r="H12" s="64">
        <v>44.64</v>
      </c>
      <c r="I12" s="64">
        <v>0.1</v>
      </c>
      <c r="J12" s="64">
        <v>0.48</v>
      </c>
      <c r="K12" s="64">
        <v>236.88</v>
      </c>
      <c r="L12" s="64">
        <v>13.75</v>
      </c>
      <c r="M12" s="64">
        <v>98.16</v>
      </c>
      <c r="N12" s="64">
        <v>52.3</v>
      </c>
      <c r="O12" s="64">
        <v>0</v>
      </c>
      <c r="P12" s="64">
        <v>3.35</v>
      </c>
      <c r="Q12" s="64">
        <v>9.7799999999999994</v>
      </c>
      <c r="R12" s="198"/>
      <c r="S12" s="198"/>
      <c r="T12" s="198"/>
      <c r="U12" s="198"/>
    </row>
    <row r="13" spans="1:21" s="12" customFormat="1" x14ac:dyDescent="0.25">
      <c r="A13" s="214" t="s">
        <v>1787</v>
      </c>
      <c r="B13" s="64">
        <v>81.599999999999994</v>
      </c>
      <c r="C13" s="6" t="s">
        <v>42</v>
      </c>
      <c r="D13" s="64">
        <v>60.97</v>
      </c>
      <c r="E13" s="64">
        <v>5.52</v>
      </c>
      <c r="F13" s="64">
        <v>3.24</v>
      </c>
      <c r="G13" s="64">
        <v>91.19</v>
      </c>
      <c r="H13" s="64">
        <v>39.380000000000003</v>
      </c>
      <c r="I13" s="64">
        <v>0.1</v>
      </c>
      <c r="J13" s="64">
        <v>0.82</v>
      </c>
      <c r="K13" s="64">
        <v>305.87</v>
      </c>
      <c r="L13" s="64">
        <v>13.64</v>
      </c>
      <c r="M13" s="64">
        <v>98.15</v>
      </c>
      <c r="N13" s="64">
        <v>52.3</v>
      </c>
      <c r="O13" s="64">
        <v>0</v>
      </c>
      <c r="P13" s="64">
        <v>2.84</v>
      </c>
      <c r="Q13" s="64">
        <v>9.77</v>
      </c>
      <c r="R13" s="198"/>
      <c r="S13" s="198"/>
      <c r="T13" s="198"/>
      <c r="U13" s="198"/>
    </row>
    <row r="14" spans="1:21" s="12" customFormat="1" x14ac:dyDescent="0.25">
      <c r="A14" s="214" t="s">
        <v>1788</v>
      </c>
      <c r="B14" s="64">
        <v>79.349999999999994</v>
      </c>
      <c r="C14" s="6" t="s">
        <v>42</v>
      </c>
      <c r="D14" s="64">
        <v>59.94</v>
      </c>
      <c r="E14" s="64">
        <v>5.75</v>
      </c>
      <c r="F14" s="64">
        <v>3.15</v>
      </c>
      <c r="G14" s="64">
        <v>83.52</v>
      </c>
      <c r="H14" s="64">
        <v>36.97</v>
      </c>
      <c r="I14" s="64">
        <v>0.1</v>
      </c>
      <c r="J14" s="64">
        <v>0.81</v>
      </c>
      <c r="K14" s="64">
        <v>304.2</v>
      </c>
      <c r="L14" s="64">
        <v>13.44</v>
      </c>
      <c r="M14" s="64">
        <v>98.16</v>
      </c>
      <c r="N14" s="64">
        <v>52.3</v>
      </c>
      <c r="O14" s="64">
        <v>0</v>
      </c>
      <c r="P14" s="64">
        <v>2.96</v>
      </c>
      <c r="Q14" s="64">
        <v>9.76</v>
      </c>
      <c r="R14" s="198"/>
      <c r="S14" s="198"/>
      <c r="T14" s="198"/>
      <c r="U14" s="198"/>
    </row>
    <row r="15" spans="1:21" s="12" customFormat="1" x14ac:dyDescent="0.25">
      <c r="A15" s="214" t="s">
        <v>1789</v>
      </c>
      <c r="B15" s="64">
        <v>76.91</v>
      </c>
      <c r="C15" s="6" t="s">
        <v>42</v>
      </c>
      <c r="D15" s="64">
        <v>58.49</v>
      </c>
      <c r="E15" s="64">
        <v>5.77</v>
      </c>
      <c r="F15" s="64">
        <v>3</v>
      </c>
      <c r="G15" s="64">
        <v>83.52</v>
      </c>
      <c r="H15" s="64">
        <v>36.97</v>
      </c>
      <c r="I15" s="64">
        <v>0.1</v>
      </c>
      <c r="J15" s="64">
        <v>0.79</v>
      </c>
      <c r="K15" s="64">
        <v>304.19</v>
      </c>
      <c r="L15" s="64">
        <v>13.37</v>
      </c>
      <c r="M15" s="64">
        <v>98.18</v>
      </c>
      <c r="N15" s="64">
        <v>52.4</v>
      </c>
      <c r="O15" s="64">
        <v>0</v>
      </c>
      <c r="P15" s="64">
        <v>2.92</v>
      </c>
      <c r="Q15" s="64">
        <v>9.75</v>
      </c>
      <c r="R15" s="198"/>
      <c r="S15" s="198"/>
      <c r="T15" s="198"/>
      <c r="U15" s="198"/>
    </row>
    <row r="16" spans="1:21" s="12" customFormat="1" x14ac:dyDescent="0.25">
      <c r="A16" s="214" t="s">
        <v>1790</v>
      </c>
      <c r="B16" s="64">
        <v>74.86</v>
      </c>
      <c r="C16" s="6" t="s">
        <v>42</v>
      </c>
      <c r="D16" s="64">
        <v>57.33</v>
      </c>
      <c r="E16" s="64">
        <v>5.82</v>
      </c>
      <c r="F16" s="64">
        <v>3.12</v>
      </c>
      <c r="G16" s="64">
        <v>83.52</v>
      </c>
      <c r="H16" s="64">
        <v>36.97</v>
      </c>
      <c r="I16" s="64">
        <v>0.1</v>
      </c>
      <c r="J16" s="64">
        <v>0.79</v>
      </c>
      <c r="K16" s="64">
        <v>304.2</v>
      </c>
      <c r="L16" s="64">
        <v>13.26</v>
      </c>
      <c r="M16" s="64">
        <v>98.17</v>
      </c>
      <c r="N16" s="64">
        <v>52.4</v>
      </c>
      <c r="O16" s="64">
        <v>0</v>
      </c>
      <c r="P16" s="64">
        <v>2.86</v>
      </c>
      <c r="Q16" s="64">
        <v>9.76</v>
      </c>
      <c r="R16" s="198"/>
      <c r="S16" s="198"/>
      <c r="T16" s="198"/>
      <c r="U16" s="198"/>
    </row>
    <row r="17" spans="1:21" s="12" customFormat="1" x14ac:dyDescent="0.25">
      <c r="A17" s="214" t="s">
        <v>1791</v>
      </c>
      <c r="B17" s="64">
        <v>72.94</v>
      </c>
      <c r="C17" s="6" t="s">
        <v>42</v>
      </c>
      <c r="D17" s="64">
        <v>56.01</v>
      </c>
      <c r="E17" s="64">
        <v>5.66</v>
      </c>
      <c r="F17" s="64">
        <v>3.08</v>
      </c>
      <c r="G17" s="64">
        <v>75.319999999999993</v>
      </c>
      <c r="H17" s="64">
        <v>34.67</v>
      </c>
      <c r="I17" s="64">
        <v>0.1</v>
      </c>
      <c r="J17" s="64">
        <v>0.64</v>
      </c>
      <c r="K17" s="64">
        <v>284.04000000000002</v>
      </c>
      <c r="L17" s="64">
        <v>13.02</v>
      </c>
      <c r="M17" s="64">
        <v>98.15</v>
      </c>
      <c r="N17" s="64">
        <v>52.2</v>
      </c>
      <c r="O17" s="64">
        <v>0</v>
      </c>
      <c r="P17" s="64">
        <v>2.79</v>
      </c>
      <c r="Q17" s="64">
        <v>9.75</v>
      </c>
      <c r="R17" s="198"/>
      <c r="S17" s="198"/>
      <c r="T17" s="198"/>
      <c r="U17" s="198"/>
    </row>
    <row r="18" spans="1:21" s="12" customFormat="1" x14ac:dyDescent="0.25">
      <c r="A18" s="214" t="s">
        <v>1792</v>
      </c>
      <c r="B18" s="64">
        <v>70.56</v>
      </c>
      <c r="C18" s="6" t="s">
        <v>42</v>
      </c>
      <c r="D18" s="64">
        <v>54.69</v>
      </c>
      <c r="E18" s="64">
        <v>5.61</v>
      </c>
      <c r="F18" s="64">
        <v>3.29</v>
      </c>
      <c r="G18" s="64">
        <v>67.819999999999993</v>
      </c>
      <c r="H18" s="64">
        <v>33.619999999999997</v>
      </c>
      <c r="I18" s="64">
        <v>0.1</v>
      </c>
      <c r="J18" s="64">
        <v>0.89</v>
      </c>
      <c r="K18" s="64">
        <v>228.36</v>
      </c>
      <c r="L18" s="64">
        <v>13.2</v>
      </c>
      <c r="M18" s="64">
        <v>98.15</v>
      </c>
      <c r="N18" s="64">
        <v>51.7</v>
      </c>
      <c r="O18" s="64">
        <v>0</v>
      </c>
      <c r="P18" s="64">
        <v>2.71</v>
      </c>
      <c r="Q18" s="64">
        <v>9.75</v>
      </c>
      <c r="R18" s="198"/>
      <c r="S18" s="198"/>
      <c r="T18" s="198"/>
      <c r="U18" s="198"/>
    </row>
    <row r="19" spans="1:21" s="12" customFormat="1" x14ac:dyDescent="0.25">
      <c r="A19" s="214" t="s">
        <v>1793</v>
      </c>
      <c r="B19" s="64">
        <v>67.98</v>
      </c>
      <c r="C19" s="6" t="s">
        <v>42</v>
      </c>
      <c r="D19" s="64">
        <v>53.22</v>
      </c>
      <c r="E19" s="64">
        <v>5.76</v>
      </c>
      <c r="F19" s="64">
        <v>3.43</v>
      </c>
      <c r="G19" s="64">
        <v>67.819999999999993</v>
      </c>
      <c r="H19" s="64">
        <v>33.619999999999997</v>
      </c>
      <c r="I19" s="64">
        <v>0.1</v>
      </c>
      <c r="J19" s="64">
        <v>0.83</v>
      </c>
      <c r="K19" s="64">
        <v>240.76</v>
      </c>
      <c r="L19" s="64">
        <v>13.41</v>
      </c>
      <c r="M19" s="64">
        <v>98.12</v>
      </c>
      <c r="N19" s="64">
        <v>52</v>
      </c>
      <c r="O19" s="64">
        <v>0</v>
      </c>
      <c r="P19" s="64">
        <v>2.63</v>
      </c>
      <c r="Q19" s="64">
        <v>9.74</v>
      </c>
      <c r="R19" s="198"/>
      <c r="S19" s="198"/>
      <c r="T19" s="198"/>
      <c r="U19" s="198"/>
    </row>
    <row r="20" spans="1:21" s="12" customFormat="1" x14ac:dyDescent="0.25">
      <c r="A20" s="214" t="s">
        <v>1794</v>
      </c>
      <c r="B20" s="64">
        <v>65.430000000000007</v>
      </c>
      <c r="C20" s="6" t="s">
        <v>42</v>
      </c>
      <c r="D20" s="64">
        <v>51.82</v>
      </c>
      <c r="E20" s="64">
        <v>6.03</v>
      </c>
      <c r="F20" s="64">
        <v>3.54</v>
      </c>
      <c r="G20" s="64">
        <v>67.819999999999993</v>
      </c>
      <c r="H20" s="64">
        <v>33.619999999999997</v>
      </c>
      <c r="I20" s="64">
        <v>0.1</v>
      </c>
      <c r="J20" s="64">
        <v>0.76</v>
      </c>
      <c r="K20" s="64">
        <v>327.87</v>
      </c>
      <c r="L20" s="64">
        <v>13.03</v>
      </c>
      <c r="M20" s="64">
        <v>98.13</v>
      </c>
      <c r="N20" s="64">
        <v>52.4</v>
      </c>
      <c r="O20" s="64">
        <v>0</v>
      </c>
      <c r="P20" s="64">
        <v>2.5099999999999998</v>
      </c>
      <c r="Q20" s="64">
        <v>9.74</v>
      </c>
      <c r="R20" s="198"/>
      <c r="S20" s="198"/>
      <c r="T20" s="198"/>
      <c r="U20" s="198"/>
    </row>
    <row r="21" spans="1:21" s="12" customFormat="1" x14ac:dyDescent="0.25">
      <c r="A21" s="214" t="s">
        <v>1795</v>
      </c>
      <c r="B21" s="64">
        <v>62.78</v>
      </c>
      <c r="C21" s="64">
        <v>0.48</v>
      </c>
      <c r="D21" s="64">
        <v>50.13</v>
      </c>
      <c r="E21" s="64">
        <v>5.58</v>
      </c>
      <c r="F21" s="64">
        <v>3.35</v>
      </c>
      <c r="G21" s="64">
        <v>69.680000000000007</v>
      </c>
      <c r="H21" s="64">
        <v>32.47</v>
      </c>
      <c r="I21" s="64">
        <v>0.1</v>
      </c>
      <c r="J21" s="64">
        <v>0.85</v>
      </c>
      <c r="K21" s="64">
        <v>225.12</v>
      </c>
      <c r="L21" s="64">
        <v>12.81</v>
      </c>
      <c r="M21" s="64">
        <v>98.13</v>
      </c>
      <c r="N21" s="64">
        <v>52</v>
      </c>
      <c r="O21" s="64">
        <v>0</v>
      </c>
      <c r="P21" s="64">
        <v>2.39</v>
      </c>
      <c r="Q21" s="64">
        <v>9.75</v>
      </c>
      <c r="R21" s="198"/>
      <c r="S21" s="198"/>
      <c r="T21" s="198"/>
      <c r="U21" s="198"/>
    </row>
    <row r="22" spans="1:21" s="12" customFormat="1" x14ac:dyDescent="0.25">
      <c r="A22" s="214" t="s">
        <v>1796</v>
      </c>
      <c r="B22" s="64">
        <v>59.72</v>
      </c>
      <c r="C22" s="64">
        <v>1.61</v>
      </c>
      <c r="D22" s="64">
        <v>48.27</v>
      </c>
      <c r="E22" s="64">
        <v>5.37</v>
      </c>
      <c r="F22" s="64">
        <v>3.3</v>
      </c>
      <c r="G22" s="64">
        <v>71.37</v>
      </c>
      <c r="H22" s="64">
        <v>31.96</v>
      </c>
      <c r="I22" s="64">
        <v>0.1</v>
      </c>
      <c r="J22" s="64">
        <v>0.86</v>
      </c>
      <c r="K22" s="64">
        <v>211.92</v>
      </c>
      <c r="L22" s="64">
        <v>12.75</v>
      </c>
      <c r="M22" s="64">
        <v>98.13</v>
      </c>
      <c r="N22" s="64">
        <v>52.1</v>
      </c>
      <c r="O22" s="64">
        <v>0</v>
      </c>
      <c r="P22" s="64">
        <v>2.2599999999999998</v>
      </c>
      <c r="Q22" s="64">
        <v>9.73</v>
      </c>
      <c r="R22" s="198"/>
      <c r="S22" s="198"/>
      <c r="T22" s="198"/>
      <c r="U22" s="198"/>
    </row>
    <row r="23" spans="1:21" s="12" customFormat="1" x14ac:dyDescent="0.25">
      <c r="A23" s="214" t="s">
        <v>1797</v>
      </c>
      <c r="B23" s="64">
        <v>56.6</v>
      </c>
      <c r="C23" s="64">
        <v>3.08</v>
      </c>
      <c r="D23" s="64">
        <v>46.54</v>
      </c>
      <c r="E23" s="64">
        <v>5.08</v>
      </c>
      <c r="F23" s="64">
        <v>3.08</v>
      </c>
      <c r="G23" s="64">
        <v>71.37</v>
      </c>
      <c r="H23" s="64">
        <v>31.96</v>
      </c>
      <c r="I23" s="64">
        <v>0.1</v>
      </c>
      <c r="J23" s="64">
        <v>0.86</v>
      </c>
      <c r="K23" s="64">
        <v>225.38</v>
      </c>
      <c r="L23" s="64">
        <v>12.76</v>
      </c>
      <c r="M23" s="64">
        <v>98.12</v>
      </c>
      <c r="N23" s="64">
        <v>52</v>
      </c>
      <c r="O23" s="64">
        <v>0</v>
      </c>
      <c r="P23" s="64">
        <v>2.16</v>
      </c>
      <c r="Q23" s="64">
        <v>9.7200000000000006</v>
      </c>
      <c r="R23" s="198"/>
      <c r="S23" s="198"/>
      <c r="T23" s="198"/>
      <c r="U23" s="198"/>
    </row>
    <row r="24" spans="1:21" s="12" customFormat="1" x14ac:dyDescent="0.25">
      <c r="A24" s="214" t="s">
        <v>1798</v>
      </c>
      <c r="B24" s="64">
        <v>53.82</v>
      </c>
      <c r="C24" s="64">
        <v>4.5199999999999996</v>
      </c>
      <c r="D24" s="64">
        <v>45.06</v>
      </c>
      <c r="E24" s="64">
        <v>5.12</v>
      </c>
      <c r="F24" s="64">
        <v>3.1</v>
      </c>
      <c r="G24" s="64">
        <v>71.37</v>
      </c>
      <c r="H24" s="64">
        <v>31.96</v>
      </c>
      <c r="I24" s="64">
        <v>0.1</v>
      </c>
      <c r="J24" s="64">
        <v>0.61</v>
      </c>
      <c r="K24" s="64">
        <v>256.62</v>
      </c>
      <c r="L24" s="64">
        <v>12.51</v>
      </c>
      <c r="M24" s="64">
        <v>98.12</v>
      </c>
      <c r="N24" s="64">
        <v>52.2</v>
      </c>
      <c r="O24" s="64">
        <v>0</v>
      </c>
      <c r="P24" s="64">
        <v>2.08</v>
      </c>
      <c r="Q24" s="64">
        <v>9.7200000000000006</v>
      </c>
      <c r="R24" s="198"/>
      <c r="S24" s="198"/>
      <c r="T24" s="198"/>
      <c r="U24" s="198"/>
    </row>
    <row r="25" spans="1:21" s="12" customFormat="1" x14ac:dyDescent="0.25">
      <c r="A25" s="214" t="s">
        <v>1799</v>
      </c>
      <c r="B25" s="64">
        <v>51.5</v>
      </c>
      <c r="C25" s="64">
        <v>5.64</v>
      </c>
      <c r="D25" s="64">
        <v>43.78</v>
      </c>
      <c r="E25" s="64">
        <v>5.22</v>
      </c>
      <c r="F25" s="64">
        <v>2.87</v>
      </c>
      <c r="G25" s="64">
        <v>62.43</v>
      </c>
      <c r="H25" s="64">
        <v>29.74</v>
      </c>
      <c r="I25" s="64">
        <v>0.1</v>
      </c>
      <c r="J25" s="64">
        <v>0.42</v>
      </c>
      <c r="K25" s="64">
        <v>7.88</v>
      </c>
      <c r="L25" s="64">
        <v>12.32</v>
      </c>
      <c r="M25" s="64">
        <v>98.13</v>
      </c>
      <c r="N25" s="64">
        <v>52.3</v>
      </c>
      <c r="O25" s="64">
        <v>0</v>
      </c>
      <c r="P25" s="64">
        <v>2.0099999999999998</v>
      </c>
      <c r="Q25" s="64">
        <v>9.7200000000000006</v>
      </c>
      <c r="R25" s="198"/>
      <c r="S25" s="198"/>
      <c r="T25" s="198"/>
      <c r="U25" s="198"/>
    </row>
    <row r="26" spans="1:21" s="12" customFormat="1" x14ac:dyDescent="0.25">
      <c r="A26" s="214" t="s">
        <v>1800</v>
      </c>
      <c r="B26" s="64">
        <v>49.33</v>
      </c>
      <c r="C26" s="64">
        <v>6.71</v>
      </c>
      <c r="D26" s="64">
        <v>42.61</v>
      </c>
      <c r="E26" s="64">
        <v>5.14</v>
      </c>
      <c r="F26" s="64">
        <v>2.86</v>
      </c>
      <c r="G26" s="64">
        <v>54.25</v>
      </c>
      <c r="H26" s="64">
        <v>27.8</v>
      </c>
      <c r="I26" s="64">
        <v>0.1</v>
      </c>
      <c r="J26" s="64">
        <v>0.46</v>
      </c>
      <c r="K26" s="64">
        <v>220.2</v>
      </c>
      <c r="L26" s="64">
        <v>11.99</v>
      </c>
      <c r="M26" s="64">
        <v>98.14</v>
      </c>
      <c r="N26" s="64">
        <v>52.1</v>
      </c>
      <c r="O26" s="64">
        <v>0</v>
      </c>
      <c r="P26" s="64">
        <v>1.95</v>
      </c>
      <c r="Q26" s="64">
        <v>9.7200000000000006</v>
      </c>
      <c r="R26" s="198"/>
      <c r="S26" s="198"/>
      <c r="T26" s="198"/>
      <c r="U26" s="198"/>
    </row>
    <row r="27" spans="1:21" s="12" customFormat="1" x14ac:dyDescent="0.25">
      <c r="A27" s="214" t="s">
        <v>1801</v>
      </c>
      <c r="B27" s="64">
        <v>46.67</v>
      </c>
      <c r="C27" s="64">
        <v>8.2200000000000006</v>
      </c>
      <c r="D27" s="64">
        <v>41.26</v>
      </c>
      <c r="E27" s="64">
        <v>5.18</v>
      </c>
      <c r="F27" s="64">
        <v>2.8</v>
      </c>
      <c r="G27" s="64">
        <v>54.25</v>
      </c>
      <c r="H27" s="64">
        <v>27.8</v>
      </c>
      <c r="I27" s="64">
        <v>0.1</v>
      </c>
      <c r="J27" s="64">
        <v>0.77</v>
      </c>
      <c r="K27" s="64">
        <v>208.79</v>
      </c>
      <c r="L27" s="64">
        <v>11.97</v>
      </c>
      <c r="M27" s="64">
        <v>98.15</v>
      </c>
      <c r="N27" s="64">
        <v>51.9</v>
      </c>
      <c r="O27" s="64">
        <v>0</v>
      </c>
      <c r="P27" s="64">
        <v>1.87</v>
      </c>
      <c r="Q27" s="64">
        <v>9.69</v>
      </c>
      <c r="R27" s="198"/>
      <c r="S27" s="198"/>
      <c r="T27" s="198"/>
      <c r="U27" s="198"/>
    </row>
    <row r="28" spans="1:21" s="12" customFormat="1" x14ac:dyDescent="0.25">
      <c r="A28" s="214" t="s">
        <v>1802</v>
      </c>
      <c r="B28" s="64">
        <v>44.17</v>
      </c>
      <c r="C28" s="64">
        <v>9.48</v>
      </c>
      <c r="D28" s="64">
        <v>39.909999999999997</v>
      </c>
      <c r="E28" s="64">
        <v>4.9800000000000004</v>
      </c>
      <c r="F28" s="64">
        <v>2.79</v>
      </c>
      <c r="G28" s="64">
        <v>54.25</v>
      </c>
      <c r="H28" s="64">
        <v>27.8</v>
      </c>
      <c r="I28" s="64">
        <v>0.1</v>
      </c>
      <c r="J28" s="64">
        <v>0.77</v>
      </c>
      <c r="K28" s="64">
        <v>233.3</v>
      </c>
      <c r="L28" s="64">
        <v>11.9</v>
      </c>
      <c r="M28" s="64">
        <v>98.16</v>
      </c>
      <c r="N28" s="64">
        <v>52.3</v>
      </c>
      <c r="O28" s="64">
        <v>0</v>
      </c>
      <c r="P28" s="64">
        <v>1.81</v>
      </c>
      <c r="Q28" s="64">
        <v>9.69</v>
      </c>
      <c r="R28" s="198"/>
      <c r="S28" s="198"/>
      <c r="T28" s="198"/>
      <c r="U28" s="198"/>
    </row>
    <row r="29" spans="1:21" s="12" customFormat="1" x14ac:dyDescent="0.25">
      <c r="A29" s="214" t="s">
        <v>1803</v>
      </c>
      <c r="B29" s="64">
        <v>41.8</v>
      </c>
      <c r="C29" s="64">
        <v>10.5</v>
      </c>
      <c r="D29" s="64">
        <v>38.54</v>
      </c>
      <c r="E29" s="64">
        <v>5.01</v>
      </c>
      <c r="F29" s="64">
        <v>2.74</v>
      </c>
      <c r="G29" s="64">
        <v>25.92</v>
      </c>
      <c r="H29" s="64">
        <v>24.95</v>
      </c>
      <c r="I29" s="64">
        <v>0.1</v>
      </c>
      <c r="J29" s="64">
        <v>0.31</v>
      </c>
      <c r="K29" s="64">
        <v>298.49</v>
      </c>
      <c r="L29" s="64">
        <v>11.67</v>
      </c>
      <c r="M29" s="64">
        <v>98.18</v>
      </c>
      <c r="N29" s="64">
        <v>52.3</v>
      </c>
      <c r="O29" s="64">
        <v>0</v>
      </c>
      <c r="P29" s="64">
        <v>1.73</v>
      </c>
      <c r="Q29" s="64">
        <v>9.68</v>
      </c>
      <c r="R29" s="198"/>
      <c r="S29" s="198"/>
      <c r="T29" s="198"/>
      <c r="U29" s="198"/>
    </row>
    <row r="30" spans="1:21" s="12" customFormat="1" x14ac:dyDescent="0.25">
      <c r="A30" s="214" t="s">
        <v>1804</v>
      </c>
      <c r="B30" s="64">
        <v>39.46</v>
      </c>
      <c r="C30" s="64">
        <v>10.99</v>
      </c>
      <c r="D30" s="64">
        <v>36.92</v>
      </c>
      <c r="E30" s="64">
        <v>5.0599999999999996</v>
      </c>
      <c r="F30" s="64">
        <v>3.26</v>
      </c>
      <c r="G30" s="64">
        <v>0</v>
      </c>
      <c r="H30" s="64">
        <v>23.68</v>
      </c>
      <c r="I30" s="64">
        <v>0.1</v>
      </c>
      <c r="J30" s="64">
        <v>0.23</v>
      </c>
      <c r="K30" s="64">
        <v>260.62</v>
      </c>
      <c r="L30" s="64">
        <v>11.51</v>
      </c>
      <c r="M30" s="64">
        <v>98.17</v>
      </c>
      <c r="N30" s="64">
        <v>52.2</v>
      </c>
      <c r="O30" s="64">
        <v>0</v>
      </c>
      <c r="P30" s="64">
        <v>1.71</v>
      </c>
      <c r="Q30" s="64">
        <v>9.69</v>
      </c>
      <c r="R30" s="198"/>
      <c r="S30" s="198"/>
      <c r="T30" s="198"/>
      <c r="U30" s="198"/>
    </row>
    <row r="31" spans="1:21" s="12" customFormat="1" x14ac:dyDescent="0.25">
      <c r="A31" s="214" t="s">
        <v>1805</v>
      </c>
      <c r="B31" s="64">
        <v>37.5</v>
      </c>
      <c r="C31" s="64">
        <v>12.49</v>
      </c>
      <c r="D31" s="64">
        <v>36.14</v>
      </c>
      <c r="E31" s="64">
        <v>4.8899999999999997</v>
      </c>
      <c r="F31" s="64">
        <v>2.9</v>
      </c>
      <c r="G31" s="64">
        <v>0</v>
      </c>
      <c r="H31" s="64">
        <v>23.68</v>
      </c>
      <c r="I31" s="64">
        <v>0.1</v>
      </c>
      <c r="J31" s="64">
        <v>0.65</v>
      </c>
      <c r="K31" s="64">
        <v>307.04000000000002</v>
      </c>
      <c r="L31" s="64">
        <v>11.45</v>
      </c>
      <c r="M31" s="64">
        <v>98.18</v>
      </c>
      <c r="N31" s="64">
        <v>52.3</v>
      </c>
      <c r="O31" s="64">
        <v>0</v>
      </c>
      <c r="P31" s="64">
        <v>1.72</v>
      </c>
      <c r="Q31" s="64">
        <v>9.6999999999999993</v>
      </c>
      <c r="R31" s="198"/>
      <c r="S31" s="198"/>
      <c r="T31" s="198"/>
      <c r="U31" s="198"/>
    </row>
    <row r="32" spans="1:21" s="12" customFormat="1" x14ac:dyDescent="0.25">
      <c r="A32" s="214" t="s">
        <v>1806</v>
      </c>
      <c r="B32" s="64">
        <v>35.85</v>
      </c>
      <c r="C32" s="64">
        <v>13.59</v>
      </c>
      <c r="D32" s="64">
        <v>35.39</v>
      </c>
      <c r="E32" s="64">
        <v>4.76</v>
      </c>
      <c r="F32" s="64">
        <v>2.83</v>
      </c>
      <c r="G32" s="64">
        <v>0</v>
      </c>
      <c r="H32" s="64">
        <v>23.68</v>
      </c>
      <c r="I32" s="64">
        <v>0.1</v>
      </c>
      <c r="J32" s="64">
        <v>0.68</v>
      </c>
      <c r="K32" s="64">
        <v>290.56</v>
      </c>
      <c r="L32" s="64">
        <v>11.26</v>
      </c>
      <c r="M32" s="64">
        <v>98.18</v>
      </c>
      <c r="N32" s="64">
        <v>52.3</v>
      </c>
      <c r="O32" s="64">
        <v>0</v>
      </c>
      <c r="P32" s="64">
        <v>1.7</v>
      </c>
      <c r="Q32" s="64">
        <v>9.69</v>
      </c>
      <c r="R32" s="198"/>
      <c r="S32" s="198"/>
      <c r="T32" s="198"/>
      <c r="U32" s="198"/>
    </row>
    <row r="33" spans="1:21" s="12" customFormat="1" x14ac:dyDescent="0.25">
      <c r="A33" s="214" t="s">
        <v>1807</v>
      </c>
      <c r="B33" s="64">
        <v>34.56</v>
      </c>
      <c r="C33" s="64">
        <v>14.5</v>
      </c>
      <c r="D33" s="64">
        <v>34.82</v>
      </c>
      <c r="E33" s="64">
        <v>5.19</v>
      </c>
      <c r="F33" s="64">
        <v>2.77</v>
      </c>
      <c r="G33" s="64">
        <v>31.34</v>
      </c>
      <c r="H33" s="64">
        <v>23.62</v>
      </c>
      <c r="I33" s="64">
        <v>0.1</v>
      </c>
      <c r="J33" s="64">
        <v>0.82</v>
      </c>
      <c r="K33" s="64">
        <v>223.61</v>
      </c>
      <c r="L33" s="64">
        <v>11.26</v>
      </c>
      <c r="M33" s="64">
        <v>98.2</v>
      </c>
      <c r="N33" s="64">
        <v>52.6</v>
      </c>
      <c r="O33" s="64">
        <v>0</v>
      </c>
      <c r="P33" s="64">
        <v>1.69</v>
      </c>
      <c r="Q33" s="64">
        <v>9.69</v>
      </c>
      <c r="R33" s="198"/>
      <c r="S33" s="198"/>
      <c r="T33" s="198"/>
      <c r="U33" s="198"/>
    </row>
    <row r="34" spans="1:21" s="12" customFormat="1" x14ac:dyDescent="0.25">
      <c r="A34" s="214" t="s">
        <v>1808</v>
      </c>
      <c r="B34" s="64">
        <v>33.78</v>
      </c>
      <c r="C34" s="64">
        <v>14.9</v>
      </c>
      <c r="D34" s="64">
        <v>34.409999999999997</v>
      </c>
      <c r="E34" s="64">
        <v>5.29</v>
      </c>
      <c r="F34" s="64">
        <v>3.33</v>
      </c>
      <c r="G34" s="64">
        <v>60.02</v>
      </c>
      <c r="H34" s="64">
        <v>23.59</v>
      </c>
      <c r="I34" s="64">
        <v>0.1</v>
      </c>
      <c r="J34" s="64">
        <v>0.71</v>
      </c>
      <c r="K34" s="64">
        <v>317.52</v>
      </c>
      <c r="L34" s="64">
        <v>11.12</v>
      </c>
      <c r="M34" s="64">
        <v>98.2</v>
      </c>
      <c r="N34" s="64">
        <v>54.2</v>
      </c>
      <c r="O34" s="64">
        <v>0</v>
      </c>
      <c r="P34" s="64">
        <v>1.66</v>
      </c>
      <c r="Q34" s="64">
        <v>9.69</v>
      </c>
      <c r="R34" s="198"/>
      <c r="S34" s="198"/>
      <c r="T34" s="198"/>
      <c r="U34" s="198"/>
    </row>
    <row r="35" spans="1:21" s="12" customFormat="1" x14ac:dyDescent="0.25">
      <c r="A35" s="214" t="s">
        <v>1809</v>
      </c>
      <c r="B35" s="64">
        <v>32.979999999999997</v>
      </c>
      <c r="C35" s="64">
        <v>15.27</v>
      </c>
      <c r="D35" s="64">
        <v>33.97</v>
      </c>
      <c r="E35" s="64">
        <v>5.07</v>
      </c>
      <c r="F35" s="64">
        <v>3.24</v>
      </c>
      <c r="G35" s="64">
        <v>60.02</v>
      </c>
      <c r="H35" s="64">
        <v>23.59</v>
      </c>
      <c r="I35" s="64">
        <v>0.1</v>
      </c>
      <c r="J35" s="64">
        <v>0.82</v>
      </c>
      <c r="K35" s="64">
        <v>295.57</v>
      </c>
      <c r="L35" s="64">
        <v>11.09</v>
      </c>
      <c r="M35" s="64">
        <v>98.2</v>
      </c>
      <c r="N35" s="64">
        <v>60</v>
      </c>
      <c r="O35" s="64">
        <v>0</v>
      </c>
      <c r="P35" s="64">
        <v>1.64</v>
      </c>
      <c r="Q35" s="64">
        <v>9.69</v>
      </c>
      <c r="R35" s="198"/>
      <c r="S35" s="198"/>
      <c r="T35" s="198"/>
      <c r="U35" s="198"/>
    </row>
    <row r="36" spans="1:21" s="12" customFormat="1" x14ac:dyDescent="0.25">
      <c r="A36" s="214" t="s">
        <v>1810</v>
      </c>
      <c r="B36" s="64">
        <v>32.49</v>
      </c>
      <c r="C36" s="64">
        <v>15.61</v>
      </c>
      <c r="D36" s="64">
        <v>33.75</v>
      </c>
      <c r="E36" s="64">
        <v>5.0199999999999996</v>
      </c>
      <c r="F36" s="64">
        <v>3.34</v>
      </c>
      <c r="G36" s="64">
        <v>60.02</v>
      </c>
      <c r="H36" s="64">
        <v>23.59</v>
      </c>
      <c r="I36" s="64">
        <v>0.1</v>
      </c>
      <c r="J36" s="64">
        <v>0.75</v>
      </c>
      <c r="K36" s="64">
        <v>311.89999999999998</v>
      </c>
      <c r="L36" s="64">
        <v>11.22</v>
      </c>
      <c r="M36" s="64">
        <v>98.2</v>
      </c>
      <c r="N36" s="64">
        <v>71.5</v>
      </c>
      <c r="O36" s="64">
        <v>0</v>
      </c>
      <c r="P36" s="64">
        <v>1.62</v>
      </c>
      <c r="Q36" s="64">
        <v>9.69</v>
      </c>
      <c r="R36" s="198"/>
      <c r="S36" s="198"/>
      <c r="T36" s="198"/>
      <c r="U36" s="198"/>
    </row>
    <row r="37" spans="1:21" s="12" customFormat="1" x14ac:dyDescent="0.25">
      <c r="A37" s="214" t="s">
        <v>1811</v>
      </c>
      <c r="B37" s="64">
        <v>32.14</v>
      </c>
      <c r="C37" s="64">
        <v>16.260000000000002</v>
      </c>
      <c r="D37" s="64">
        <v>33.81</v>
      </c>
      <c r="E37" s="64">
        <v>5.27</v>
      </c>
      <c r="F37" s="64">
        <v>3.31</v>
      </c>
      <c r="G37" s="64">
        <v>78.89</v>
      </c>
      <c r="H37" s="64">
        <v>22.75</v>
      </c>
      <c r="I37" s="64">
        <v>0.1</v>
      </c>
      <c r="J37" s="64">
        <v>0.32</v>
      </c>
      <c r="K37" s="64">
        <v>270.5</v>
      </c>
      <c r="L37" s="64">
        <v>11.74</v>
      </c>
      <c r="M37" s="64">
        <v>98.2</v>
      </c>
      <c r="N37" s="64">
        <v>86.6</v>
      </c>
      <c r="O37" s="64">
        <v>0</v>
      </c>
      <c r="P37" s="64">
        <v>1.64</v>
      </c>
      <c r="Q37" s="64">
        <v>9.68</v>
      </c>
      <c r="R37" s="198"/>
      <c r="S37" s="198"/>
      <c r="T37" s="198"/>
      <c r="U37" s="198"/>
    </row>
    <row r="38" spans="1:21" s="12" customFormat="1" x14ac:dyDescent="0.25">
      <c r="A38" s="214" t="s">
        <v>1812</v>
      </c>
      <c r="B38" s="64">
        <v>31.53</v>
      </c>
      <c r="C38" s="64">
        <v>16.52</v>
      </c>
      <c r="D38" s="64">
        <v>33.450000000000003</v>
      </c>
      <c r="E38" s="64">
        <v>5.23</v>
      </c>
      <c r="F38" s="64">
        <v>3.43</v>
      </c>
      <c r="G38" s="64">
        <v>96.16</v>
      </c>
      <c r="H38" s="64">
        <v>22.38</v>
      </c>
      <c r="I38" s="64">
        <v>0.1</v>
      </c>
      <c r="J38" s="64">
        <v>0.37</v>
      </c>
      <c r="K38" s="64">
        <v>68.900000000000006</v>
      </c>
      <c r="L38" s="64">
        <v>12.41</v>
      </c>
      <c r="M38" s="64">
        <v>98.19</v>
      </c>
      <c r="N38" s="64">
        <v>105.1</v>
      </c>
      <c r="O38" s="64">
        <v>0</v>
      </c>
      <c r="P38" s="64">
        <v>1.67</v>
      </c>
      <c r="Q38" s="64">
        <v>9.67</v>
      </c>
      <c r="R38" s="198"/>
      <c r="S38" s="198"/>
      <c r="T38" s="198"/>
      <c r="U38" s="198"/>
    </row>
    <row r="39" spans="1:21" s="12" customFormat="1" x14ac:dyDescent="0.25">
      <c r="A39" s="214" t="s">
        <v>1813</v>
      </c>
      <c r="B39" s="64">
        <v>30.82</v>
      </c>
      <c r="C39" s="64">
        <v>16.84</v>
      </c>
      <c r="D39" s="64">
        <v>33.049999999999997</v>
      </c>
      <c r="E39" s="64">
        <v>5.0599999999999996</v>
      </c>
      <c r="F39" s="64">
        <v>3.31</v>
      </c>
      <c r="G39" s="64">
        <v>96.16</v>
      </c>
      <c r="H39" s="64">
        <v>22.38</v>
      </c>
      <c r="I39" s="64">
        <v>0.1</v>
      </c>
      <c r="J39" s="64">
        <v>0.95</v>
      </c>
      <c r="K39" s="64">
        <v>178.64</v>
      </c>
      <c r="L39" s="64">
        <v>12.87</v>
      </c>
      <c r="M39" s="64">
        <v>98.13</v>
      </c>
      <c r="N39" s="64">
        <v>156.1</v>
      </c>
      <c r="O39" s="64">
        <v>0</v>
      </c>
      <c r="P39" s="64">
        <v>1.62</v>
      </c>
      <c r="Q39" s="64">
        <v>9.68</v>
      </c>
      <c r="R39" s="198"/>
      <c r="S39" s="198"/>
      <c r="T39" s="198"/>
      <c r="U39" s="198"/>
    </row>
    <row r="40" spans="1:21" s="12" customFormat="1" x14ac:dyDescent="0.25">
      <c r="A40" s="214" t="s">
        <v>1814</v>
      </c>
      <c r="B40" s="64">
        <v>29.64</v>
      </c>
      <c r="C40" s="64">
        <v>17.52</v>
      </c>
      <c r="D40" s="64">
        <v>32.46</v>
      </c>
      <c r="E40" s="64">
        <v>4.8899999999999997</v>
      </c>
      <c r="F40" s="64">
        <v>2.87</v>
      </c>
      <c r="G40" s="64">
        <v>96.16</v>
      </c>
      <c r="H40" s="64">
        <v>22.38</v>
      </c>
      <c r="I40" s="64">
        <v>0.1</v>
      </c>
      <c r="J40" s="64">
        <v>1.08</v>
      </c>
      <c r="K40" s="64">
        <v>129.77000000000001</v>
      </c>
      <c r="L40" s="64">
        <v>14.03</v>
      </c>
      <c r="M40" s="64">
        <v>98.05</v>
      </c>
      <c r="N40" s="64">
        <v>196.1</v>
      </c>
      <c r="O40" s="64">
        <v>0</v>
      </c>
      <c r="P40" s="64">
        <v>1.57</v>
      </c>
      <c r="Q40" s="64">
        <v>9.67</v>
      </c>
      <c r="R40" s="198"/>
      <c r="S40" s="198"/>
      <c r="T40" s="198"/>
      <c r="U40" s="198"/>
    </row>
    <row r="41" spans="1:21" s="12" customFormat="1" x14ac:dyDescent="0.25">
      <c r="A41" s="214" t="s">
        <v>1815</v>
      </c>
      <c r="B41" s="64">
        <v>28.58</v>
      </c>
      <c r="C41" s="64">
        <v>18.27</v>
      </c>
      <c r="D41" s="64">
        <v>32</v>
      </c>
      <c r="E41" s="64">
        <v>4.66</v>
      </c>
      <c r="F41" s="64">
        <v>2.73</v>
      </c>
      <c r="G41" s="64">
        <v>77.260000000000005</v>
      </c>
      <c r="H41" s="64">
        <v>23.54</v>
      </c>
      <c r="I41" s="64">
        <v>0.1</v>
      </c>
      <c r="J41" s="64">
        <v>0.43</v>
      </c>
      <c r="K41" s="64">
        <v>5.0199999999999996</v>
      </c>
      <c r="L41" s="64">
        <v>15.64</v>
      </c>
      <c r="M41" s="64">
        <v>96.64</v>
      </c>
      <c r="N41" s="64">
        <v>231.2</v>
      </c>
      <c r="O41" s="64">
        <v>0</v>
      </c>
      <c r="P41" s="64">
        <v>1.55</v>
      </c>
      <c r="Q41" s="64">
        <v>9.67</v>
      </c>
      <c r="R41" s="198"/>
      <c r="S41" s="198"/>
      <c r="T41" s="198"/>
      <c r="U41" s="198"/>
    </row>
    <row r="42" spans="1:21" s="12" customFormat="1" x14ac:dyDescent="0.25">
      <c r="A42" s="214" t="s">
        <v>1816</v>
      </c>
      <c r="B42" s="64">
        <v>28.69</v>
      </c>
      <c r="C42" s="64">
        <v>18.600000000000001</v>
      </c>
      <c r="D42" s="64">
        <v>32.270000000000003</v>
      </c>
      <c r="E42" s="64">
        <v>4.46</v>
      </c>
      <c r="F42" s="64">
        <v>2.99</v>
      </c>
      <c r="G42" s="64">
        <v>59.97</v>
      </c>
      <c r="H42" s="64">
        <v>24.51</v>
      </c>
      <c r="I42" s="64">
        <v>0.1</v>
      </c>
      <c r="J42" s="64">
        <v>1.05</v>
      </c>
      <c r="K42" s="64">
        <v>353.69</v>
      </c>
      <c r="L42" s="64">
        <v>18.13</v>
      </c>
      <c r="M42" s="64">
        <v>82.59</v>
      </c>
      <c r="N42" s="64">
        <v>267.60000000000002</v>
      </c>
      <c r="O42" s="64">
        <v>0</v>
      </c>
      <c r="P42" s="64">
        <v>1.57</v>
      </c>
      <c r="Q42" s="64">
        <v>9.68</v>
      </c>
      <c r="R42" s="198"/>
      <c r="S42" s="198"/>
      <c r="T42" s="198"/>
      <c r="U42" s="198"/>
    </row>
    <row r="43" spans="1:21" s="12" customFormat="1" x14ac:dyDescent="0.25">
      <c r="A43" s="214" t="s">
        <v>1817</v>
      </c>
      <c r="B43" s="64">
        <v>29.57</v>
      </c>
      <c r="C43" s="64">
        <v>18.95</v>
      </c>
      <c r="D43" s="64">
        <v>33.15</v>
      </c>
      <c r="E43" s="64">
        <v>4.5599999999999996</v>
      </c>
      <c r="F43" s="64">
        <v>2.99</v>
      </c>
      <c r="G43" s="64">
        <v>59.97</v>
      </c>
      <c r="H43" s="64">
        <v>24.51</v>
      </c>
      <c r="I43" s="64">
        <v>0.1</v>
      </c>
      <c r="J43" s="64">
        <v>0.38</v>
      </c>
      <c r="K43" s="64">
        <v>30.69</v>
      </c>
      <c r="L43" s="64">
        <v>19.79</v>
      </c>
      <c r="M43" s="64">
        <v>74.11</v>
      </c>
      <c r="N43" s="64">
        <v>303.39999999999998</v>
      </c>
      <c r="O43" s="64">
        <v>0</v>
      </c>
      <c r="P43" s="64">
        <v>1.59</v>
      </c>
      <c r="Q43" s="64">
        <v>9.69</v>
      </c>
      <c r="R43" s="198"/>
      <c r="S43" s="198"/>
      <c r="T43" s="198"/>
      <c r="U43" s="198"/>
    </row>
    <row r="44" spans="1:21" s="12" customFormat="1" x14ac:dyDescent="0.25">
      <c r="A44" s="214" t="s">
        <v>1818</v>
      </c>
      <c r="B44" s="64">
        <v>29.83</v>
      </c>
      <c r="C44" s="64">
        <v>19.57</v>
      </c>
      <c r="D44" s="64">
        <v>33.68</v>
      </c>
      <c r="E44" s="64">
        <v>4.54</v>
      </c>
      <c r="F44" s="64">
        <v>3.1</v>
      </c>
      <c r="G44" s="64">
        <v>59.97</v>
      </c>
      <c r="H44" s="64">
        <v>24.51</v>
      </c>
      <c r="I44" s="64">
        <v>0.1</v>
      </c>
      <c r="J44" s="64">
        <v>0.84</v>
      </c>
      <c r="K44" s="64">
        <v>329.68</v>
      </c>
      <c r="L44" s="64">
        <v>20.59</v>
      </c>
      <c r="M44" s="64">
        <v>70.790000000000006</v>
      </c>
      <c r="N44" s="64">
        <v>326.3</v>
      </c>
      <c r="O44" s="64">
        <v>0</v>
      </c>
      <c r="P44" s="64">
        <v>1.61</v>
      </c>
      <c r="Q44" s="64">
        <v>9.68</v>
      </c>
      <c r="R44" s="198"/>
      <c r="S44" s="198"/>
      <c r="T44" s="198"/>
      <c r="U44" s="198"/>
    </row>
    <row r="45" spans="1:21" s="12" customFormat="1" x14ac:dyDescent="0.25">
      <c r="A45" s="214" t="s">
        <v>1819</v>
      </c>
      <c r="B45" s="64">
        <v>29.86</v>
      </c>
      <c r="C45" s="64">
        <v>20.420000000000002</v>
      </c>
      <c r="D45" s="64">
        <v>34.159999999999997</v>
      </c>
      <c r="E45" s="64">
        <v>4.87</v>
      </c>
      <c r="F45" s="64">
        <v>3.04</v>
      </c>
      <c r="G45" s="64">
        <v>72.5</v>
      </c>
      <c r="H45" s="64">
        <v>25.61</v>
      </c>
      <c r="I45" s="64">
        <v>0.1</v>
      </c>
      <c r="J45" s="64">
        <v>0.84</v>
      </c>
      <c r="K45" s="64">
        <v>295.39999999999998</v>
      </c>
      <c r="L45" s="64">
        <v>21.62</v>
      </c>
      <c r="M45" s="64">
        <v>64.760000000000005</v>
      </c>
      <c r="N45" s="64">
        <v>348.1</v>
      </c>
      <c r="O45" s="64">
        <v>0</v>
      </c>
      <c r="P45" s="64">
        <v>1.65</v>
      </c>
      <c r="Q45" s="64">
        <v>9.67</v>
      </c>
      <c r="R45" s="198"/>
      <c r="S45" s="198"/>
      <c r="T45" s="198"/>
      <c r="U45" s="198"/>
    </row>
    <row r="46" spans="1:21" s="12" customFormat="1" x14ac:dyDescent="0.25">
      <c r="A46" s="214" t="s">
        <v>1820</v>
      </c>
      <c r="B46" s="64">
        <v>29.26</v>
      </c>
      <c r="C46" s="64">
        <v>21.61</v>
      </c>
      <c r="D46" s="64">
        <v>34.29</v>
      </c>
      <c r="E46" s="64">
        <v>4.6399999999999997</v>
      </c>
      <c r="F46" s="64">
        <v>2.9</v>
      </c>
      <c r="G46" s="64">
        <v>83.97</v>
      </c>
      <c r="H46" s="64">
        <v>26.08</v>
      </c>
      <c r="I46" s="64">
        <v>0.1</v>
      </c>
      <c r="J46" s="64">
        <v>0.7</v>
      </c>
      <c r="K46" s="64">
        <v>289.97000000000003</v>
      </c>
      <c r="L46" s="64">
        <v>21.55</v>
      </c>
      <c r="M46" s="64">
        <v>64.86</v>
      </c>
      <c r="N46" s="64">
        <v>364.9</v>
      </c>
      <c r="O46" s="64">
        <v>0</v>
      </c>
      <c r="P46" s="64">
        <v>1.68</v>
      </c>
      <c r="Q46" s="64">
        <v>9.68</v>
      </c>
      <c r="R46" s="198"/>
      <c r="S46" s="198"/>
      <c r="T46" s="198"/>
      <c r="U46" s="198"/>
    </row>
    <row r="47" spans="1:21" s="12" customFormat="1" x14ac:dyDescent="0.25">
      <c r="A47" s="214" t="s">
        <v>1821</v>
      </c>
      <c r="B47" s="64">
        <v>27.7</v>
      </c>
      <c r="C47" s="64">
        <v>22.61</v>
      </c>
      <c r="D47" s="64">
        <v>33.56</v>
      </c>
      <c r="E47" s="64">
        <v>4.67</v>
      </c>
      <c r="F47" s="64">
        <v>3.17</v>
      </c>
      <c r="G47" s="64">
        <v>83.97</v>
      </c>
      <c r="H47" s="64">
        <v>26.08</v>
      </c>
      <c r="I47" s="64">
        <v>0.1</v>
      </c>
      <c r="J47" s="64">
        <v>1.33</v>
      </c>
      <c r="K47" s="64">
        <v>139.33000000000001</v>
      </c>
      <c r="L47" s="64">
        <v>20.64</v>
      </c>
      <c r="M47" s="64">
        <v>70.209999999999994</v>
      </c>
      <c r="N47" s="64">
        <v>379.9</v>
      </c>
      <c r="O47" s="64">
        <v>0</v>
      </c>
      <c r="P47" s="64">
        <v>1.69</v>
      </c>
      <c r="Q47" s="64">
        <v>9.69</v>
      </c>
      <c r="R47" s="198"/>
      <c r="S47" s="198"/>
      <c r="T47" s="198"/>
      <c r="U47" s="198"/>
    </row>
    <row r="48" spans="1:21" s="12" customFormat="1" x14ac:dyDescent="0.25">
      <c r="A48" s="214" t="s">
        <v>1822</v>
      </c>
      <c r="B48" s="64">
        <v>26.28</v>
      </c>
      <c r="C48" s="64">
        <v>23.5</v>
      </c>
      <c r="D48" s="64">
        <v>32.89</v>
      </c>
      <c r="E48" s="64">
        <v>4.49</v>
      </c>
      <c r="F48" s="64">
        <v>3.29</v>
      </c>
      <c r="G48" s="64">
        <v>83.97</v>
      </c>
      <c r="H48" s="64">
        <v>26.08</v>
      </c>
      <c r="I48" s="64">
        <v>0.1</v>
      </c>
      <c r="J48" s="64">
        <v>1.54</v>
      </c>
      <c r="K48" s="64">
        <v>143.27000000000001</v>
      </c>
      <c r="L48" s="64">
        <v>20.329999999999998</v>
      </c>
      <c r="M48" s="64">
        <v>70.260000000000005</v>
      </c>
      <c r="N48" s="64">
        <v>397.6</v>
      </c>
      <c r="O48" s="64">
        <v>0</v>
      </c>
      <c r="P48" s="64">
        <v>1.74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4" t="s">
        <v>1823</v>
      </c>
      <c r="B49" s="64">
        <v>24.79</v>
      </c>
      <c r="C49" s="64">
        <v>24.98</v>
      </c>
      <c r="D49" s="64">
        <v>32.47</v>
      </c>
      <c r="E49" s="64">
        <v>4.45</v>
      </c>
      <c r="F49" s="64">
        <v>2.83</v>
      </c>
      <c r="G49" s="64">
        <v>80.59</v>
      </c>
      <c r="H49" s="64">
        <v>28.37</v>
      </c>
      <c r="I49" s="64">
        <v>0.1</v>
      </c>
      <c r="J49" s="64">
        <v>0.23</v>
      </c>
      <c r="K49" s="64">
        <v>58.21</v>
      </c>
      <c r="L49" s="64">
        <v>21.99</v>
      </c>
      <c r="M49" s="64">
        <v>62.15</v>
      </c>
      <c r="N49" s="64">
        <v>408.4</v>
      </c>
      <c r="O49" s="64">
        <v>0</v>
      </c>
      <c r="P49" s="64">
        <v>1.77</v>
      </c>
      <c r="Q49" s="64">
        <v>9.67</v>
      </c>
      <c r="R49" s="198"/>
      <c r="S49" s="198"/>
      <c r="T49" s="198"/>
      <c r="U49" s="198"/>
    </row>
    <row r="50" spans="1:21" s="12" customFormat="1" x14ac:dyDescent="0.25">
      <c r="A50" s="214" t="s">
        <v>1824</v>
      </c>
      <c r="B50" s="64">
        <v>23.79</v>
      </c>
      <c r="C50" s="64">
        <v>26.08</v>
      </c>
      <c r="D50" s="64">
        <v>32.24</v>
      </c>
      <c r="E50" s="64">
        <v>4.6900000000000004</v>
      </c>
      <c r="F50" s="64">
        <v>2.87</v>
      </c>
      <c r="G50" s="64">
        <v>77.489999999999995</v>
      </c>
      <c r="H50" s="64">
        <v>29.42</v>
      </c>
      <c r="I50" s="64">
        <v>0.1</v>
      </c>
      <c r="J50" s="64">
        <v>0.38</v>
      </c>
      <c r="K50" s="64">
        <v>138.55000000000001</v>
      </c>
      <c r="L50" s="64">
        <v>23.38</v>
      </c>
      <c r="M50" s="64">
        <v>55.41</v>
      </c>
      <c r="N50" s="64">
        <v>436.3</v>
      </c>
      <c r="O50" s="64">
        <v>0</v>
      </c>
      <c r="P50" s="64">
        <v>1.79</v>
      </c>
      <c r="Q50" s="64">
        <v>9.67</v>
      </c>
      <c r="R50" s="198"/>
      <c r="S50" s="198"/>
      <c r="T50" s="198"/>
      <c r="U50" s="198"/>
    </row>
    <row r="51" spans="1:21" s="12" customFormat="1" x14ac:dyDescent="0.25">
      <c r="A51" s="214" t="s">
        <v>1825</v>
      </c>
      <c r="B51" s="64">
        <v>22.74</v>
      </c>
      <c r="C51" s="64">
        <v>27.2</v>
      </c>
      <c r="D51" s="64">
        <v>31.98</v>
      </c>
      <c r="E51" s="64">
        <v>4.8099999999999996</v>
      </c>
      <c r="F51" s="64">
        <v>3.32</v>
      </c>
      <c r="G51" s="64">
        <v>77.489999999999995</v>
      </c>
      <c r="H51" s="64">
        <v>29.42</v>
      </c>
      <c r="I51" s="64">
        <v>0.1</v>
      </c>
      <c r="J51" s="64">
        <v>1.05</v>
      </c>
      <c r="K51" s="64">
        <v>329.79</v>
      </c>
      <c r="L51" s="64">
        <v>26</v>
      </c>
      <c r="M51" s="64">
        <v>45.24</v>
      </c>
      <c r="N51" s="64">
        <v>441.8</v>
      </c>
      <c r="O51" s="64">
        <v>0</v>
      </c>
      <c r="P51" s="64">
        <v>1.8</v>
      </c>
      <c r="Q51" s="64">
        <v>9.67</v>
      </c>
      <c r="R51" s="198"/>
      <c r="S51" s="198"/>
      <c r="T51" s="198"/>
      <c r="U51" s="198"/>
    </row>
    <row r="52" spans="1:21" s="12" customFormat="1" x14ac:dyDescent="0.25">
      <c r="A52" s="214" t="s">
        <v>1826</v>
      </c>
      <c r="B52" s="64">
        <v>21.45</v>
      </c>
      <c r="C52" s="64">
        <v>28.88</v>
      </c>
      <c r="D52" s="64">
        <v>31.82</v>
      </c>
      <c r="E52" s="64">
        <v>4.9000000000000004</v>
      </c>
      <c r="F52" s="64">
        <v>3.14</v>
      </c>
      <c r="G52" s="64">
        <v>77.489999999999995</v>
      </c>
      <c r="H52" s="64">
        <v>29.42</v>
      </c>
      <c r="I52" s="64">
        <v>0.1</v>
      </c>
      <c r="J52" s="64">
        <v>0.51</v>
      </c>
      <c r="K52" s="64">
        <v>178.42</v>
      </c>
      <c r="L52" s="64">
        <v>26.17</v>
      </c>
      <c r="M52" s="64">
        <v>41.61</v>
      </c>
      <c r="N52" s="64">
        <v>446.1</v>
      </c>
      <c r="O52" s="64">
        <v>0</v>
      </c>
      <c r="P52" s="64">
        <v>1.81</v>
      </c>
      <c r="Q52" s="64">
        <v>9.67</v>
      </c>
      <c r="R52" s="198"/>
      <c r="S52" s="198"/>
      <c r="T52" s="198"/>
      <c r="U52" s="198"/>
    </row>
    <row r="53" spans="1:21" s="12" customFormat="1" x14ac:dyDescent="0.25">
      <c r="A53" s="214" t="s">
        <v>1827</v>
      </c>
      <c r="B53" s="64">
        <v>20.03</v>
      </c>
      <c r="C53" s="64">
        <v>30.21</v>
      </c>
      <c r="D53" s="64">
        <v>31.38</v>
      </c>
      <c r="E53" s="64">
        <v>5.08</v>
      </c>
      <c r="F53" s="64">
        <v>3</v>
      </c>
      <c r="G53" s="64">
        <v>75.42</v>
      </c>
      <c r="H53" s="64">
        <v>27.82</v>
      </c>
      <c r="I53" s="64">
        <v>0.1</v>
      </c>
      <c r="J53" s="64">
        <v>0.79</v>
      </c>
      <c r="K53" s="64">
        <v>315.52999999999997</v>
      </c>
      <c r="L53" s="64">
        <v>25.86</v>
      </c>
      <c r="M53" s="64">
        <v>40.29</v>
      </c>
      <c r="N53" s="64">
        <v>440</v>
      </c>
      <c r="O53" s="64">
        <v>0</v>
      </c>
      <c r="P53" s="64">
        <v>1.78</v>
      </c>
      <c r="Q53" s="64">
        <v>9.67</v>
      </c>
      <c r="R53" s="198"/>
      <c r="S53" s="198"/>
      <c r="T53" s="198"/>
      <c r="U53" s="198"/>
    </row>
    <row r="54" spans="1:21" s="12" customFormat="1" x14ac:dyDescent="0.25">
      <c r="A54" s="214" t="s">
        <v>1828</v>
      </c>
      <c r="B54" s="64">
        <v>18.600000000000001</v>
      </c>
      <c r="C54" s="64">
        <v>31.41</v>
      </c>
      <c r="D54" s="64">
        <v>30.87</v>
      </c>
      <c r="E54" s="64">
        <v>5.34</v>
      </c>
      <c r="F54" s="64">
        <v>3.83</v>
      </c>
      <c r="G54" s="64">
        <v>73.540000000000006</v>
      </c>
      <c r="H54" s="64">
        <v>27.11</v>
      </c>
      <c r="I54" s="64">
        <v>0.1</v>
      </c>
      <c r="J54" s="64">
        <v>1.38</v>
      </c>
      <c r="K54" s="64">
        <v>338.09</v>
      </c>
      <c r="L54" s="64">
        <v>28.1</v>
      </c>
      <c r="M54" s="64">
        <v>34.01</v>
      </c>
      <c r="N54" s="64">
        <v>452</v>
      </c>
      <c r="O54" s="64">
        <v>0</v>
      </c>
      <c r="P54" s="64">
        <v>1.76</v>
      </c>
      <c r="Q54" s="64">
        <v>9.66</v>
      </c>
      <c r="R54" s="198"/>
      <c r="S54" s="198"/>
      <c r="T54" s="198"/>
      <c r="U54" s="198"/>
    </row>
    <row r="55" spans="1:21" s="12" customFormat="1" x14ac:dyDescent="0.25">
      <c r="A55" s="214" t="s">
        <v>1829</v>
      </c>
      <c r="B55" s="64">
        <v>17.25</v>
      </c>
      <c r="C55" s="64">
        <v>32.89</v>
      </c>
      <c r="D55" s="64">
        <v>30.56</v>
      </c>
      <c r="E55" s="64">
        <v>5.23</v>
      </c>
      <c r="F55" s="64">
        <v>3.7</v>
      </c>
      <c r="G55" s="64">
        <v>73.540000000000006</v>
      </c>
      <c r="H55" s="64">
        <v>27.11</v>
      </c>
      <c r="I55" s="64">
        <v>0.1</v>
      </c>
      <c r="J55" s="64">
        <v>0.93</v>
      </c>
      <c r="K55" s="64">
        <v>114.76</v>
      </c>
      <c r="L55" s="64">
        <v>26.54</v>
      </c>
      <c r="M55" s="64">
        <v>35.81</v>
      </c>
      <c r="N55" s="64">
        <v>450.8</v>
      </c>
      <c r="O55" s="64">
        <v>0</v>
      </c>
      <c r="P55" s="64">
        <v>1.72</v>
      </c>
      <c r="Q55" s="64">
        <v>9.66</v>
      </c>
      <c r="R55" s="198"/>
      <c r="S55" s="198"/>
      <c r="T55" s="198"/>
      <c r="U55" s="198"/>
    </row>
    <row r="56" spans="1:21" s="12" customFormat="1" x14ac:dyDescent="0.25">
      <c r="A56" s="214" t="s">
        <v>1830</v>
      </c>
      <c r="B56" s="64">
        <v>15.49</v>
      </c>
      <c r="C56" s="64">
        <v>33.33</v>
      </c>
      <c r="D56" s="64">
        <v>29.38</v>
      </c>
      <c r="E56" s="64">
        <v>5.22</v>
      </c>
      <c r="F56" s="64">
        <v>4.05</v>
      </c>
      <c r="G56" s="64">
        <v>73.540000000000006</v>
      </c>
      <c r="H56" s="64">
        <v>27.11</v>
      </c>
      <c r="I56" s="64">
        <v>0.1</v>
      </c>
      <c r="J56" s="64">
        <v>1.36</v>
      </c>
      <c r="K56" s="64">
        <v>144.31</v>
      </c>
      <c r="L56" s="64">
        <v>25.11</v>
      </c>
      <c r="M56" s="64">
        <v>38.9</v>
      </c>
      <c r="N56" s="64">
        <v>461.8</v>
      </c>
      <c r="O56" s="64">
        <v>0</v>
      </c>
      <c r="P56" s="64">
        <v>1.62</v>
      </c>
      <c r="Q56" s="64">
        <v>9.66</v>
      </c>
      <c r="R56" s="198"/>
      <c r="S56" s="198"/>
      <c r="T56" s="198"/>
      <c r="U56" s="198"/>
    </row>
    <row r="57" spans="1:21" s="12" customFormat="1" x14ac:dyDescent="0.25">
      <c r="A57" s="214" t="s">
        <v>1831</v>
      </c>
      <c r="B57" s="64">
        <v>14.11</v>
      </c>
      <c r="C57" s="64">
        <v>34.6</v>
      </c>
      <c r="D57" s="64">
        <v>28.93</v>
      </c>
      <c r="E57" s="64">
        <v>4.9800000000000004</v>
      </c>
      <c r="F57" s="64">
        <v>3.91</v>
      </c>
      <c r="G57" s="64">
        <v>62.84</v>
      </c>
      <c r="H57" s="64">
        <v>26.4</v>
      </c>
      <c r="I57" s="64">
        <v>0.1</v>
      </c>
      <c r="J57" s="64">
        <v>0.04</v>
      </c>
      <c r="K57" s="64">
        <v>118.13</v>
      </c>
      <c r="L57" s="64">
        <v>25.75</v>
      </c>
      <c r="M57" s="64">
        <v>37.21</v>
      </c>
      <c r="N57" s="64">
        <v>440.1</v>
      </c>
      <c r="O57" s="64">
        <v>0</v>
      </c>
      <c r="P57" s="64">
        <v>1.55</v>
      </c>
      <c r="Q57" s="64">
        <v>9.66</v>
      </c>
      <c r="R57" s="198"/>
      <c r="S57" s="198"/>
      <c r="T57" s="198"/>
      <c r="U57" s="198"/>
    </row>
    <row r="58" spans="1:21" s="12" customFormat="1" x14ac:dyDescent="0.25">
      <c r="A58" s="214" t="s">
        <v>1832</v>
      </c>
      <c r="B58" s="64">
        <v>12.53</v>
      </c>
      <c r="C58" s="64">
        <v>35.19</v>
      </c>
      <c r="D58" s="64">
        <v>27.98</v>
      </c>
      <c r="E58" s="64">
        <v>5.41</v>
      </c>
      <c r="F58" s="64">
        <v>5.82</v>
      </c>
      <c r="G58" s="64">
        <v>53.05</v>
      </c>
      <c r="H58" s="64">
        <v>25.78</v>
      </c>
      <c r="I58" s="64">
        <v>0.1</v>
      </c>
      <c r="J58" s="64">
        <v>0.94</v>
      </c>
      <c r="K58" s="64">
        <v>327.89</v>
      </c>
      <c r="L58" s="64">
        <v>28.09</v>
      </c>
      <c r="M58" s="64">
        <v>30.23</v>
      </c>
      <c r="N58" s="64">
        <v>434.6</v>
      </c>
      <c r="O58" s="64">
        <v>0</v>
      </c>
      <c r="P58" s="64">
        <v>1.51</v>
      </c>
      <c r="Q58" s="64">
        <v>9.66</v>
      </c>
      <c r="R58" s="198"/>
      <c r="S58" s="198"/>
      <c r="T58" s="198"/>
      <c r="U58" s="198"/>
    </row>
    <row r="59" spans="1:21" s="12" customFormat="1" x14ac:dyDescent="0.25">
      <c r="A59" s="214" t="s">
        <v>1833</v>
      </c>
      <c r="B59" s="64">
        <v>11.16</v>
      </c>
      <c r="C59" s="64">
        <v>36.31</v>
      </c>
      <c r="D59" s="64">
        <v>27.46</v>
      </c>
      <c r="E59" s="64">
        <v>5.66</v>
      </c>
      <c r="F59" s="64">
        <v>5.14</v>
      </c>
      <c r="G59" s="64">
        <v>53.05</v>
      </c>
      <c r="H59" s="64">
        <v>25.78</v>
      </c>
      <c r="I59" s="64">
        <v>0.1</v>
      </c>
      <c r="J59" s="64">
        <v>1.1000000000000001</v>
      </c>
      <c r="K59" s="64">
        <v>320.44</v>
      </c>
      <c r="L59" s="64">
        <v>28.73</v>
      </c>
      <c r="M59" s="64">
        <v>28.57</v>
      </c>
      <c r="N59" s="64">
        <v>412.9</v>
      </c>
      <c r="O59" s="64">
        <v>0</v>
      </c>
      <c r="P59" s="64">
        <v>1.49</v>
      </c>
      <c r="Q59" s="64">
        <v>9.65</v>
      </c>
      <c r="R59" s="198"/>
      <c r="S59" s="198"/>
      <c r="T59" s="198"/>
      <c r="U59" s="198"/>
    </row>
    <row r="60" spans="1:21" s="12" customFormat="1" x14ac:dyDescent="0.25">
      <c r="A60" s="214" t="s">
        <v>1834</v>
      </c>
      <c r="B60" s="64">
        <v>9.61</v>
      </c>
      <c r="C60" s="64">
        <v>37.56</v>
      </c>
      <c r="D60" s="64">
        <v>26.87</v>
      </c>
      <c r="E60" s="64">
        <v>5.68</v>
      </c>
      <c r="F60" s="64">
        <v>5.72</v>
      </c>
      <c r="G60" s="64">
        <v>53.05</v>
      </c>
      <c r="H60" s="64">
        <v>25.78</v>
      </c>
      <c r="I60" s="64">
        <v>0.1</v>
      </c>
      <c r="J60" s="64">
        <v>0.9</v>
      </c>
      <c r="K60" s="64">
        <v>296.94</v>
      </c>
      <c r="L60" s="64">
        <v>28.5</v>
      </c>
      <c r="M60" s="64">
        <v>29.61</v>
      </c>
      <c r="N60" s="64">
        <v>384.1</v>
      </c>
      <c r="O60" s="64">
        <v>0</v>
      </c>
      <c r="P60" s="64">
        <v>1.44</v>
      </c>
      <c r="Q60" s="64">
        <v>9.66</v>
      </c>
      <c r="R60" s="198"/>
      <c r="S60" s="198"/>
      <c r="T60" s="198"/>
      <c r="U60" s="198"/>
    </row>
    <row r="61" spans="1:21" s="12" customFormat="1" x14ac:dyDescent="0.25">
      <c r="A61" s="214" t="s">
        <v>1835</v>
      </c>
      <c r="B61" s="64">
        <v>7.95</v>
      </c>
      <c r="C61" s="64">
        <v>38.78</v>
      </c>
      <c r="D61" s="64">
        <v>26.18</v>
      </c>
      <c r="E61" s="64">
        <v>7.98</v>
      </c>
      <c r="F61" s="64">
        <v>8.14</v>
      </c>
      <c r="G61" s="64">
        <v>54.97</v>
      </c>
      <c r="H61" s="64">
        <v>24.19</v>
      </c>
      <c r="I61" s="64">
        <v>0.1</v>
      </c>
      <c r="J61" s="64">
        <v>0.56000000000000005</v>
      </c>
      <c r="K61" s="64">
        <v>348.58</v>
      </c>
      <c r="L61" s="64">
        <v>28.1</v>
      </c>
      <c r="M61" s="64">
        <v>30.07</v>
      </c>
      <c r="N61" s="64">
        <v>362.7</v>
      </c>
      <c r="O61" s="64">
        <v>0</v>
      </c>
      <c r="P61" s="64">
        <v>1.46</v>
      </c>
      <c r="Q61" s="64">
        <v>9.64</v>
      </c>
      <c r="R61" s="198"/>
      <c r="S61" s="198"/>
      <c r="T61" s="198"/>
      <c r="U61" s="198"/>
    </row>
    <row r="62" spans="1:21" s="12" customFormat="1" x14ac:dyDescent="0.25">
      <c r="A62" s="214" t="s">
        <v>1836</v>
      </c>
      <c r="B62" s="64">
        <v>6.41</v>
      </c>
      <c r="C62" s="64">
        <v>38.6</v>
      </c>
      <c r="D62" s="64">
        <v>24.85</v>
      </c>
      <c r="E62" s="64">
        <v>9.9499999999999993</v>
      </c>
      <c r="F62" s="64">
        <v>10.94</v>
      </c>
      <c r="G62" s="64">
        <v>56.74</v>
      </c>
      <c r="H62" s="64">
        <v>23.52</v>
      </c>
      <c r="I62" s="64">
        <v>0.1</v>
      </c>
      <c r="J62" s="64">
        <v>0.63</v>
      </c>
      <c r="K62" s="64">
        <v>146.9</v>
      </c>
      <c r="L62" s="64">
        <v>26.64</v>
      </c>
      <c r="M62" s="64">
        <v>33.08</v>
      </c>
      <c r="N62" s="64">
        <v>321.89999999999998</v>
      </c>
      <c r="O62" s="64">
        <v>0</v>
      </c>
      <c r="P62" s="64">
        <v>1.5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4" t="s">
        <v>1837</v>
      </c>
      <c r="B63" s="64">
        <v>6.22</v>
      </c>
      <c r="C63" s="64">
        <v>42.49</v>
      </c>
      <c r="D63" s="64">
        <v>26.73</v>
      </c>
      <c r="E63" s="64">
        <v>8.0399999999999991</v>
      </c>
      <c r="F63" s="64">
        <v>11.37</v>
      </c>
      <c r="G63" s="64">
        <v>56.74</v>
      </c>
      <c r="H63" s="64">
        <v>23.52</v>
      </c>
      <c r="I63" s="64">
        <v>0.1</v>
      </c>
      <c r="J63" s="64">
        <v>1</v>
      </c>
      <c r="K63" s="64">
        <v>342.45</v>
      </c>
      <c r="L63" s="64">
        <v>27.2</v>
      </c>
      <c r="M63" s="64">
        <v>32.44</v>
      </c>
      <c r="N63" s="64">
        <v>288</v>
      </c>
      <c r="O63" s="64">
        <v>0</v>
      </c>
      <c r="P63" s="64">
        <v>1.49</v>
      </c>
      <c r="Q63" s="64">
        <v>9.61</v>
      </c>
      <c r="R63" s="198"/>
      <c r="S63" s="198"/>
      <c r="T63" s="198"/>
      <c r="U63" s="198"/>
    </row>
    <row r="64" spans="1:21" s="12" customFormat="1" x14ac:dyDescent="0.25">
      <c r="A64" s="214" t="s">
        <v>1838</v>
      </c>
      <c r="B64" s="64">
        <v>5.95</v>
      </c>
      <c r="C64" s="64">
        <v>45.16</v>
      </c>
      <c r="D64" s="64">
        <v>27.9</v>
      </c>
      <c r="E64" s="64">
        <v>11.91</v>
      </c>
      <c r="F64" s="64">
        <v>11.79</v>
      </c>
      <c r="G64" s="64">
        <v>56.74</v>
      </c>
      <c r="H64" s="64">
        <v>23.52</v>
      </c>
      <c r="I64" s="64">
        <v>0.1</v>
      </c>
      <c r="J64" s="64">
        <v>0.78</v>
      </c>
      <c r="K64" s="64">
        <v>323.49</v>
      </c>
      <c r="L64" s="64">
        <v>27.38</v>
      </c>
      <c r="M64" s="64">
        <v>32.409999999999997</v>
      </c>
      <c r="N64" s="64">
        <v>227.4</v>
      </c>
      <c r="O64" s="64">
        <v>0</v>
      </c>
      <c r="P64" s="64">
        <v>1.5</v>
      </c>
      <c r="Q64" s="64">
        <v>9.6</v>
      </c>
      <c r="R64" s="198"/>
      <c r="S64" s="198"/>
      <c r="T64" s="198"/>
      <c r="U64" s="198"/>
    </row>
    <row r="65" spans="1:21" s="12" customFormat="1" x14ac:dyDescent="0.25">
      <c r="A65" s="214" t="s">
        <v>1839</v>
      </c>
      <c r="B65" s="64">
        <v>4.9800000000000004</v>
      </c>
      <c r="C65" s="64">
        <v>43.18</v>
      </c>
      <c r="D65" s="64">
        <v>26.09</v>
      </c>
      <c r="E65" s="64">
        <v>16.73</v>
      </c>
      <c r="F65" s="64">
        <v>19.55</v>
      </c>
      <c r="G65" s="64">
        <v>63.07</v>
      </c>
      <c r="H65" s="64">
        <v>23.88</v>
      </c>
      <c r="I65" s="64">
        <v>0.1</v>
      </c>
      <c r="J65" s="64">
        <v>0.16</v>
      </c>
      <c r="K65" s="64">
        <v>123.9</v>
      </c>
      <c r="L65" s="64">
        <v>26.95</v>
      </c>
      <c r="M65" s="64">
        <v>33.229999999999997</v>
      </c>
      <c r="N65" s="64">
        <v>152.19999999999999</v>
      </c>
      <c r="O65" s="64">
        <v>0</v>
      </c>
      <c r="P65" s="64">
        <v>1.51</v>
      </c>
      <c r="Q65" s="64">
        <v>9.61</v>
      </c>
      <c r="R65" s="198"/>
      <c r="S65" s="198"/>
      <c r="T65" s="198"/>
      <c r="U65" s="198"/>
    </row>
    <row r="66" spans="1:21" s="12" customFormat="1" x14ac:dyDescent="0.25">
      <c r="A66" s="214" t="s">
        <v>1840</v>
      </c>
      <c r="B66" s="64">
        <v>6.28</v>
      </c>
      <c r="C66" s="64">
        <v>45.5</v>
      </c>
      <c r="D66" s="64">
        <v>28.35</v>
      </c>
      <c r="E66" s="64">
        <v>22.67</v>
      </c>
      <c r="F66" s="64">
        <v>19.34</v>
      </c>
      <c r="G66" s="64">
        <v>68.87</v>
      </c>
      <c r="H66" s="64">
        <v>24.04</v>
      </c>
      <c r="I66" s="64">
        <v>0.1</v>
      </c>
      <c r="J66" s="64">
        <v>0.44</v>
      </c>
      <c r="K66" s="64">
        <v>325.04000000000002</v>
      </c>
      <c r="L66" s="64">
        <v>26.47</v>
      </c>
      <c r="M66" s="64">
        <v>34.130000000000003</v>
      </c>
      <c r="N66" s="64">
        <v>135.80000000000001</v>
      </c>
      <c r="O66" s="64">
        <v>0</v>
      </c>
      <c r="P66" s="64">
        <v>1.55</v>
      </c>
      <c r="Q66" s="64">
        <v>9.6</v>
      </c>
      <c r="R66" s="198"/>
      <c r="S66" s="198"/>
      <c r="T66" s="198"/>
      <c r="U66" s="198"/>
    </row>
    <row r="67" spans="1:21" s="12" customFormat="1" x14ac:dyDescent="0.25">
      <c r="A67" s="214" t="s">
        <v>1841</v>
      </c>
      <c r="B67" s="64">
        <v>4.9800000000000004</v>
      </c>
      <c r="C67" s="64">
        <v>47.87</v>
      </c>
      <c r="D67" s="64">
        <v>28.54</v>
      </c>
      <c r="E67" s="64">
        <v>32.86</v>
      </c>
      <c r="F67" s="64">
        <v>21.94</v>
      </c>
      <c r="G67" s="64">
        <v>68.87</v>
      </c>
      <c r="H67" s="64">
        <v>24.04</v>
      </c>
      <c r="I67" s="64">
        <v>0.1</v>
      </c>
      <c r="J67" s="64">
        <v>0.28000000000000003</v>
      </c>
      <c r="K67" s="64">
        <v>335.88</v>
      </c>
      <c r="L67" s="64">
        <v>26.24</v>
      </c>
      <c r="M67" s="64">
        <v>35.18</v>
      </c>
      <c r="N67" s="64">
        <v>120.9</v>
      </c>
      <c r="O67" s="64">
        <v>0</v>
      </c>
      <c r="P67" s="64">
        <v>1.58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4" t="s">
        <v>1842</v>
      </c>
      <c r="B68" s="64">
        <v>9.1</v>
      </c>
      <c r="C68" s="64">
        <v>47.67</v>
      </c>
      <c r="D68" s="64">
        <v>31.75</v>
      </c>
      <c r="E68" s="64">
        <v>28.02</v>
      </c>
      <c r="F68" s="64">
        <v>9.1300000000000008</v>
      </c>
      <c r="G68" s="64">
        <v>68.87</v>
      </c>
      <c r="H68" s="64">
        <v>24.04</v>
      </c>
      <c r="I68" s="64">
        <v>0.1</v>
      </c>
      <c r="J68" s="64">
        <v>1.0900000000000001</v>
      </c>
      <c r="K68" s="64">
        <v>314.38</v>
      </c>
      <c r="L68" s="64">
        <v>26.37</v>
      </c>
      <c r="M68" s="64">
        <v>32.76</v>
      </c>
      <c r="N68" s="64">
        <v>111.4</v>
      </c>
      <c r="O68" s="64">
        <v>0</v>
      </c>
      <c r="P68" s="64">
        <v>1.71</v>
      </c>
      <c r="Q68" s="64">
        <v>9.64</v>
      </c>
      <c r="R68" s="198"/>
      <c r="S68" s="198"/>
      <c r="T68" s="198"/>
      <c r="U68" s="198"/>
    </row>
    <row r="69" spans="1:21" s="12" customFormat="1" x14ac:dyDescent="0.25">
      <c r="A69" s="214" t="s">
        <v>1843</v>
      </c>
      <c r="B69" s="64">
        <v>6.01</v>
      </c>
      <c r="C69" s="64">
        <v>39.4</v>
      </c>
      <c r="D69" s="64">
        <v>24.95</v>
      </c>
      <c r="E69" s="64">
        <v>22.59</v>
      </c>
      <c r="F69" s="64">
        <v>11.75</v>
      </c>
      <c r="G69" s="64">
        <v>72.08</v>
      </c>
      <c r="H69" s="64">
        <v>24.62</v>
      </c>
      <c r="I69" s="64">
        <v>0.1</v>
      </c>
      <c r="J69" s="64">
        <v>0.98</v>
      </c>
      <c r="K69" s="64">
        <v>290.75</v>
      </c>
      <c r="L69" s="64">
        <v>26.28</v>
      </c>
      <c r="M69" s="64">
        <v>29.67</v>
      </c>
      <c r="N69" s="64">
        <v>105.1</v>
      </c>
      <c r="O69" s="64">
        <v>0</v>
      </c>
      <c r="P69" s="64">
        <v>1.53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4" t="s">
        <v>1844</v>
      </c>
      <c r="B70" s="64">
        <v>9.5500000000000007</v>
      </c>
      <c r="C70" s="64">
        <v>43.03</v>
      </c>
      <c r="D70" s="64">
        <v>29.68</v>
      </c>
      <c r="E70" s="64">
        <v>25.59</v>
      </c>
      <c r="F70" s="64">
        <v>12.13</v>
      </c>
      <c r="G70" s="64">
        <v>75.02</v>
      </c>
      <c r="H70" s="64">
        <v>24.87</v>
      </c>
      <c r="I70" s="64">
        <v>0.1</v>
      </c>
      <c r="J70" s="64">
        <v>1.0900000000000001</v>
      </c>
      <c r="K70" s="64">
        <v>317.14999999999998</v>
      </c>
      <c r="L70" s="64">
        <v>26.13</v>
      </c>
      <c r="M70" s="64">
        <v>29.46</v>
      </c>
      <c r="N70" s="64">
        <v>97.3</v>
      </c>
      <c r="O70" s="64">
        <v>0</v>
      </c>
      <c r="P70" s="64">
        <v>1.55</v>
      </c>
      <c r="Q70" s="64">
        <v>9.64</v>
      </c>
      <c r="R70" s="198"/>
      <c r="S70" s="198"/>
      <c r="T70" s="198"/>
      <c r="U70" s="198"/>
    </row>
    <row r="71" spans="1:21" s="12" customFormat="1" x14ac:dyDescent="0.25">
      <c r="A71" s="214" t="s">
        <v>1845</v>
      </c>
      <c r="B71" s="64">
        <v>8.58</v>
      </c>
      <c r="C71" s="64">
        <v>40.69</v>
      </c>
      <c r="D71" s="64">
        <v>0</v>
      </c>
      <c r="E71" s="64">
        <v>0</v>
      </c>
      <c r="F71" s="64">
        <v>10.41</v>
      </c>
      <c r="G71" s="64">
        <v>0</v>
      </c>
      <c r="H71" s="64">
        <v>0</v>
      </c>
      <c r="I71" s="64">
        <v>0</v>
      </c>
      <c r="J71" s="64">
        <v>1.32</v>
      </c>
      <c r="K71" s="64">
        <v>333.07</v>
      </c>
      <c r="L71" s="64">
        <v>-57</v>
      </c>
      <c r="M71" s="64">
        <v>-29.5</v>
      </c>
      <c r="N71" s="64">
        <v>-350</v>
      </c>
      <c r="O71" s="64">
        <v>0</v>
      </c>
      <c r="P71" s="64">
        <v>1.53</v>
      </c>
      <c r="Q71" s="64">
        <v>9.66</v>
      </c>
      <c r="R71" s="198"/>
      <c r="S71" s="198"/>
      <c r="T71" s="198"/>
      <c r="U71" s="198"/>
    </row>
    <row r="72" spans="1:21" s="12" customFormat="1" x14ac:dyDescent="0.25">
      <c r="A72" s="214" t="s">
        <v>1846</v>
      </c>
      <c r="B72" s="64">
        <v>6.76</v>
      </c>
      <c r="C72" s="64">
        <v>38.78</v>
      </c>
      <c r="D72" s="64">
        <v>25.22</v>
      </c>
      <c r="E72" s="64">
        <v>12.84</v>
      </c>
      <c r="F72" s="64">
        <v>8.3800000000000008</v>
      </c>
      <c r="G72" s="64">
        <v>75.02</v>
      </c>
      <c r="H72" s="64">
        <v>24.87</v>
      </c>
      <c r="I72" s="64">
        <v>0.1</v>
      </c>
      <c r="J72" s="64">
        <v>1.36</v>
      </c>
      <c r="K72" s="64">
        <v>337.49</v>
      </c>
      <c r="L72" s="64">
        <v>25.55</v>
      </c>
      <c r="M72" s="64">
        <v>29.63</v>
      </c>
      <c r="N72" s="64">
        <v>81.900000000000006</v>
      </c>
      <c r="O72" s="64">
        <v>0</v>
      </c>
      <c r="P72" s="64">
        <v>1.55</v>
      </c>
      <c r="Q72" s="64">
        <v>9.66</v>
      </c>
      <c r="R72" s="198"/>
      <c r="S72" s="198"/>
      <c r="T72" s="198"/>
      <c r="U72" s="198"/>
    </row>
    <row r="73" spans="1:21" s="12" customFormat="1" x14ac:dyDescent="0.25">
      <c r="A73" s="214" t="s">
        <v>1847</v>
      </c>
      <c r="B73" s="64">
        <v>6.98</v>
      </c>
      <c r="C73" s="64">
        <v>37.64</v>
      </c>
      <c r="D73" s="64">
        <v>24.8</v>
      </c>
      <c r="E73" s="64">
        <v>9.67</v>
      </c>
      <c r="F73" s="64">
        <v>8.0299999999999994</v>
      </c>
      <c r="G73" s="64">
        <v>67.09</v>
      </c>
      <c r="H73" s="64">
        <v>23.75</v>
      </c>
      <c r="I73" s="64">
        <v>0.1</v>
      </c>
      <c r="J73" s="64">
        <v>1.47</v>
      </c>
      <c r="K73" s="64">
        <v>343.93</v>
      </c>
      <c r="L73" s="64">
        <v>25.12</v>
      </c>
      <c r="M73" s="64">
        <v>29.65</v>
      </c>
      <c r="N73" s="64">
        <v>75.900000000000006</v>
      </c>
      <c r="O73" s="64">
        <v>0</v>
      </c>
      <c r="P73" s="64">
        <v>1.5</v>
      </c>
      <c r="Q73" s="64">
        <v>9.64</v>
      </c>
      <c r="R73" s="198"/>
      <c r="S73" s="198"/>
      <c r="T73" s="198"/>
      <c r="U73" s="198"/>
    </row>
    <row r="74" spans="1:21" s="12" customFormat="1" x14ac:dyDescent="0.25">
      <c r="A74" s="214" t="s">
        <v>1848</v>
      </c>
      <c r="B74" s="64">
        <v>11.62</v>
      </c>
      <c r="C74" s="64">
        <v>39.770000000000003</v>
      </c>
      <c r="D74" s="64">
        <v>29.63</v>
      </c>
      <c r="E74" s="64">
        <v>12.39</v>
      </c>
      <c r="F74" s="64">
        <v>7.66</v>
      </c>
      <c r="G74" s="64">
        <v>59.83</v>
      </c>
      <c r="H74" s="64">
        <v>22.77</v>
      </c>
      <c r="I74" s="64">
        <v>0.1</v>
      </c>
      <c r="J74" s="64">
        <v>1.18</v>
      </c>
      <c r="K74" s="64">
        <v>349.84</v>
      </c>
      <c r="L74" s="64">
        <v>24.62</v>
      </c>
      <c r="M74" s="64">
        <v>31.12</v>
      </c>
      <c r="N74" s="64">
        <v>69.5</v>
      </c>
      <c r="O74" s="64">
        <v>0</v>
      </c>
      <c r="P74" s="64">
        <v>1.52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4" t="s">
        <v>1849</v>
      </c>
      <c r="B75" s="64">
        <v>21.89</v>
      </c>
      <c r="C75" s="64">
        <v>42.83</v>
      </c>
      <c r="D75" s="64">
        <v>39.479999999999997</v>
      </c>
      <c r="E75" s="64">
        <v>12.51</v>
      </c>
      <c r="F75" s="64">
        <v>5.5</v>
      </c>
      <c r="G75" s="64">
        <v>59.83</v>
      </c>
      <c r="H75" s="64">
        <v>22.77</v>
      </c>
      <c r="I75" s="64">
        <v>0.1</v>
      </c>
      <c r="J75" s="64">
        <v>0.79</v>
      </c>
      <c r="K75" s="64">
        <v>20.58</v>
      </c>
      <c r="L75" s="64">
        <v>23.86</v>
      </c>
      <c r="M75" s="64">
        <v>35.340000000000003</v>
      </c>
      <c r="N75" s="64">
        <v>63.3</v>
      </c>
      <c r="O75" s="64">
        <v>0</v>
      </c>
      <c r="P75" s="64">
        <v>1.71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4" t="s">
        <v>1850</v>
      </c>
      <c r="B76" s="64">
        <v>14.43</v>
      </c>
      <c r="C76" s="64">
        <v>44.7</v>
      </c>
      <c r="D76" s="64">
        <v>34.46</v>
      </c>
      <c r="E76" s="64">
        <v>10.86</v>
      </c>
      <c r="F76" s="64">
        <v>4.7300000000000004</v>
      </c>
      <c r="G76" s="64">
        <v>59.83</v>
      </c>
      <c r="H76" s="64">
        <v>22.77</v>
      </c>
      <c r="I76" s="64">
        <v>0.1</v>
      </c>
      <c r="J76" s="64">
        <v>0.75</v>
      </c>
      <c r="K76" s="64">
        <v>11.18</v>
      </c>
      <c r="L76" s="64">
        <v>22.93</v>
      </c>
      <c r="M76" s="64">
        <v>39.11</v>
      </c>
      <c r="N76" s="64">
        <v>57.3</v>
      </c>
      <c r="O76" s="64">
        <v>0</v>
      </c>
      <c r="P76" s="64">
        <v>1.72</v>
      </c>
      <c r="Q76" s="64">
        <v>9.66</v>
      </c>
      <c r="R76" s="198"/>
      <c r="S76" s="198"/>
      <c r="T76" s="198"/>
      <c r="U76" s="198"/>
    </row>
    <row r="77" spans="1:21" s="12" customFormat="1" x14ac:dyDescent="0.25">
      <c r="A77" s="214" t="s">
        <v>1851</v>
      </c>
      <c r="B77" s="64">
        <v>17.14</v>
      </c>
      <c r="C77" s="64">
        <v>39.880000000000003</v>
      </c>
      <c r="D77" s="64">
        <v>34.119999999999997</v>
      </c>
      <c r="E77" s="64">
        <v>7.89</v>
      </c>
      <c r="F77" s="64">
        <v>4.25</v>
      </c>
      <c r="G77" s="64">
        <v>62.78</v>
      </c>
      <c r="H77" s="64">
        <v>22.5</v>
      </c>
      <c r="I77" s="64">
        <v>0.1</v>
      </c>
      <c r="J77" s="64">
        <v>0.42</v>
      </c>
      <c r="K77" s="64">
        <v>7.56</v>
      </c>
      <c r="L77" s="64">
        <v>21.89</v>
      </c>
      <c r="M77" s="64">
        <v>42.88</v>
      </c>
      <c r="N77" s="64">
        <v>52.1</v>
      </c>
      <c r="O77" s="64">
        <v>0</v>
      </c>
      <c r="P77" s="64">
        <v>1.67</v>
      </c>
      <c r="Q77" s="64">
        <v>9.67</v>
      </c>
      <c r="R77" s="198"/>
      <c r="S77" s="198"/>
      <c r="T77" s="198"/>
      <c r="U77" s="198"/>
    </row>
    <row r="78" spans="1:21" s="12" customFormat="1" x14ac:dyDescent="0.25">
      <c r="A78" s="214" t="s">
        <v>1852</v>
      </c>
      <c r="B78" s="64">
        <v>23.07</v>
      </c>
      <c r="C78" s="64">
        <v>33.74</v>
      </c>
      <c r="D78" s="64">
        <v>35.67</v>
      </c>
      <c r="E78" s="64">
        <v>5.86</v>
      </c>
      <c r="F78" s="64">
        <v>3.5</v>
      </c>
      <c r="G78" s="64">
        <v>65.47</v>
      </c>
      <c r="H78" s="64">
        <v>22.38</v>
      </c>
      <c r="I78" s="64">
        <v>0.1</v>
      </c>
      <c r="J78" s="64">
        <v>0.78</v>
      </c>
      <c r="K78" s="64">
        <v>111.71</v>
      </c>
      <c r="L78" s="64">
        <v>20.83</v>
      </c>
      <c r="M78" s="64">
        <v>48.45</v>
      </c>
      <c r="N78" s="64">
        <v>49.2</v>
      </c>
      <c r="O78" s="64">
        <v>0</v>
      </c>
      <c r="P78" s="64">
        <v>1.65</v>
      </c>
      <c r="Q78" s="64">
        <v>9.68</v>
      </c>
      <c r="R78" s="198"/>
      <c r="S78" s="198"/>
      <c r="T78" s="198"/>
      <c r="U78" s="198"/>
    </row>
    <row r="79" spans="1:21" s="12" customFormat="1" x14ac:dyDescent="0.25">
      <c r="A79" s="214" t="s">
        <v>1853</v>
      </c>
      <c r="B79" s="64">
        <v>19.760000000000002</v>
      </c>
      <c r="C79" s="64">
        <v>33.69</v>
      </c>
      <c r="D79" s="64">
        <v>32.979999999999997</v>
      </c>
      <c r="E79" s="64">
        <v>5.15</v>
      </c>
      <c r="F79" s="64">
        <v>2.87</v>
      </c>
      <c r="G79" s="64">
        <v>65.47</v>
      </c>
      <c r="H79" s="64">
        <v>22.38</v>
      </c>
      <c r="I79" s="64">
        <v>0.1</v>
      </c>
      <c r="J79" s="64">
        <v>0.45</v>
      </c>
      <c r="K79" s="64">
        <v>192.25</v>
      </c>
      <c r="L79" s="64">
        <v>19.93</v>
      </c>
      <c r="M79" s="64">
        <v>53.9</v>
      </c>
      <c r="N79" s="64">
        <v>48.6</v>
      </c>
      <c r="O79" s="64">
        <v>0</v>
      </c>
      <c r="P79" s="64">
        <v>1.61</v>
      </c>
      <c r="Q79" s="64">
        <v>9.67</v>
      </c>
      <c r="R79" s="198"/>
      <c r="S79" s="198"/>
      <c r="T79" s="198"/>
      <c r="U79" s="198"/>
    </row>
    <row r="80" spans="1:21" s="12" customFormat="1" x14ac:dyDescent="0.25">
      <c r="A80" s="214" t="s">
        <v>1854</v>
      </c>
      <c r="B80" s="64">
        <v>23.44</v>
      </c>
      <c r="C80" s="64">
        <v>29.45</v>
      </c>
      <c r="D80" s="64">
        <v>33.72</v>
      </c>
      <c r="E80" s="64">
        <v>5.09</v>
      </c>
      <c r="F80" s="64">
        <v>2.74</v>
      </c>
      <c r="G80" s="64">
        <v>65.47</v>
      </c>
      <c r="H80" s="64">
        <v>22.38</v>
      </c>
      <c r="I80" s="64">
        <v>0.1</v>
      </c>
      <c r="J80" s="64">
        <v>0.77</v>
      </c>
      <c r="K80" s="64">
        <v>251.91</v>
      </c>
      <c r="L80" s="64">
        <v>19.2</v>
      </c>
      <c r="M80" s="64">
        <v>59.49</v>
      </c>
      <c r="N80" s="64">
        <v>48.7</v>
      </c>
      <c r="O80" s="64">
        <v>0</v>
      </c>
      <c r="P80" s="64">
        <v>1.63</v>
      </c>
      <c r="Q80" s="64">
        <v>9.67</v>
      </c>
      <c r="R80" s="198"/>
      <c r="S80" s="198"/>
      <c r="T80" s="198"/>
      <c r="U80" s="198"/>
    </row>
    <row r="81" spans="1:26" s="12" customFormat="1" x14ac:dyDescent="0.25">
      <c r="A81" s="214" t="s">
        <v>1855</v>
      </c>
      <c r="B81" s="64">
        <v>28.8</v>
      </c>
      <c r="C81" s="64">
        <v>27.41</v>
      </c>
      <c r="D81" s="64">
        <v>36.96</v>
      </c>
      <c r="E81" s="64">
        <v>4.53</v>
      </c>
      <c r="F81" s="64">
        <v>2.46</v>
      </c>
      <c r="G81" s="64">
        <v>75.16</v>
      </c>
      <c r="H81" s="64">
        <v>24.42</v>
      </c>
      <c r="I81" s="64">
        <v>0.1</v>
      </c>
      <c r="J81" s="64">
        <v>0.6</v>
      </c>
      <c r="K81" s="64">
        <v>269.7</v>
      </c>
      <c r="L81" s="64">
        <v>18.59</v>
      </c>
      <c r="M81" s="64">
        <v>62.61</v>
      </c>
      <c r="N81" s="64">
        <v>48.9</v>
      </c>
      <c r="O81" s="64">
        <v>0</v>
      </c>
      <c r="P81" s="64">
        <v>1.69</v>
      </c>
      <c r="Q81" s="64">
        <v>9.68</v>
      </c>
      <c r="R81" s="198"/>
      <c r="S81" s="198"/>
      <c r="T81" s="198"/>
      <c r="U81" s="198"/>
    </row>
    <row r="82" spans="1:26" s="12" customFormat="1" x14ac:dyDescent="0.25">
      <c r="A82" s="214" t="s">
        <v>1856</v>
      </c>
      <c r="B82" s="64">
        <v>34.700000000000003</v>
      </c>
      <c r="C82" s="64">
        <v>24.11</v>
      </c>
      <c r="D82" s="64">
        <v>39.96</v>
      </c>
      <c r="E82" s="64">
        <v>4.63</v>
      </c>
      <c r="F82" s="64">
        <v>2.59</v>
      </c>
      <c r="G82" s="64">
        <v>84.02</v>
      </c>
      <c r="H82" s="64">
        <v>25.33</v>
      </c>
      <c r="I82" s="64">
        <v>0.1</v>
      </c>
      <c r="J82" s="64">
        <v>0.78</v>
      </c>
      <c r="K82" s="64">
        <v>353.11</v>
      </c>
      <c r="L82" s="64">
        <v>18.14</v>
      </c>
      <c r="M82" s="64">
        <v>66.55</v>
      </c>
      <c r="N82" s="64">
        <v>49</v>
      </c>
      <c r="O82" s="64">
        <v>0</v>
      </c>
      <c r="P82" s="64">
        <v>1.76</v>
      </c>
      <c r="Q82" s="64">
        <v>9.68</v>
      </c>
      <c r="R82" s="198"/>
      <c r="S82" s="198"/>
      <c r="T82" s="198"/>
      <c r="U82" s="198"/>
    </row>
    <row r="83" spans="1:26" s="12" customFormat="1" x14ac:dyDescent="0.25">
      <c r="A83" s="214" t="s">
        <v>1857</v>
      </c>
      <c r="B83" s="64">
        <v>38.950000000000003</v>
      </c>
      <c r="C83" s="64">
        <v>20.93</v>
      </c>
      <c r="D83" s="64">
        <v>41.71</v>
      </c>
      <c r="E83" s="64">
        <v>4.67</v>
      </c>
      <c r="F83" s="64">
        <v>2.74</v>
      </c>
      <c r="G83" s="64">
        <v>84.02</v>
      </c>
      <c r="H83" s="64">
        <v>25.33</v>
      </c>
      <c r="I83" s="64">
        <v>0.1</v>
      </c>
      <c r="J83" s="64">
        <v>0.77</v>
      </c>
      <c r="K83" s="64">
        <v>321.63</v>
      </c>
      <c r="L83" s="64">
        <v>17.760000000000002</v>
      </c>
      <c r="M83" s="64">
        <v>71.25</v>
      </c>
      <c r="N83" s="64">
        <v>49</v>
      </c>
      <c r="O83" s="64">
        <v>0</v>
      </c>
      <c r="P83" s="64">
        <v>1.88</v>
      </c>
      <c r="Q83" s="64">
        <v>9.7100000000000009</v>
      </c>
      <c r="R83" s="198"/>
      <c r="S83" s="198"/>
      <c r="T83" s="198"/>
      <c r="U83" s="198"/>
    </row>
    <row r="84" spans="1:26" s="12" customFormat="1" x14ac:dyDescent="0.25">
      <c r="A84" s="214" t="s">
        <v>1858</v>
      </c>
      <c r="B84" s="64">
        <v>45.9</v>
      </c>
      <c r="C84" s="64">
        <v>16.98</v>
      </c>
      <c r="D84" s="64">
        <v>45.22</v>
      </c>
      <c r="E84" s="64">
        <v>4.7</v>
      </c>
      <c r="F84" s="64">
        <v>2.8</v>
      </c>
      <c r="G84" s="64">
        <v>84.02</v>
      </c>
      <c r="H84" s="64">
        <v>25.33</v>
      </c>
      <c r="I84" s="64">
        <v>0.1</v>
      </c>
      <c r="J84" s="64">
        <v>0.42</v>
      </c>
      <c r="K84" s="64">
        <v>65.05</v>
      </c>
      <c r="L84" s="64">
        <v>17.55</v>
      </c>
      <c r="M84" s="64">
        <v>74.09</v>
      </c>
      <c r="N84" s="64">
        <v>49.1</v>
      </c>
      <c r="O84" s="64">
        <v>0</v>
      </c>
      <c r="P84" s="64">
        <v>2.0099999999999998</v>
      </c>
      <c r="Q84" s="64">
        <v>9.7200000000000006</v>
      </c>
      <c r="R84" s="198"/>
      <c r="S84" s="198"/>
      <c r="T84" s="198"/>
      <c r="U84" s="198"/>
    </row>
    <row r="85" spans="1:26" s="12" customFormat="1" x14ac:dyDescent="0.25">
      <c r="A85" s="214" t="s">
        <v>1859</v>
      </c>
      <c r="B85" s="64">
        <v>50.37</v>
      </c>
      <c r="C85" s="64">
        <v>14.56</v>
      </c>
      <c r="D85" s="64">
        <v>47.54</v>
      </c>
      <c r="E85" s="64">
        <v>4.9800000000000004</v>
      </c>
      <c r="F85" s="64">
        <v>2.74</v>
      </c>
      <c r="G85" s="64">
        <v>96.38</v>
      </c>
      <c r="H85" s="64">
        <v>28.51</v>
      </c>
      <c r="I85" s="64">
        <v>0.1</v>
      </c>
      <c r="J85" s="64">
        <v>0.38</v>
      </c>
      <c r="K85" s="64">
        <v>274.54000000000002</v>
      </c>
      <c r="L85" s="64">
        <v>17.28</v>
      </c>
      <c r="M85" s="64">
        <v>76.569999999999993</v>
      </c>
      <c r="N85" s="64">
        <v>49.2</v>
      </c>
      <c r="O85" s="64">
        <v>0</v>
      </c>
      <c r="P85" s="64">
        <v>1.92</v>
      </c>
      <c r="Q85" s="64">
        <v>9.7200000000000006</v>
      </c>
      <c r="R85" s="198"/>
      <c r="S85" s="198"/>
      <c r="T85" s="198"/>
      <c r="U85" s="198"/>
    </row>
    <row r="86" spans="1:26" s="12" customFormat="1" x14ac:dyDescent="0.25">
      <c r="A86" s="214" t="s">
        <v>1860</v>
      </c>
      <c r="B86" s="64">
        <v>56.84</v>
      </c>
      <c r="C86" s="64">
        <v>11.82</v>
      </c>
      <c r="D86" s="64">
        <v>51.3</v>
      </c>
      <c r="E86" s="64">
        <v>4.88</v>
      </c>
      <c r="F86" s="64">
        <v>2.79</v>
      </c>
      <c r="G86" s="64">
        <v>107.69</v>
      </c>
      <c r="H86" s="64">
        <v>29.93</v>
      </c>
      <c r="I86" s="64">
        <v>0.1</v>
      </c>
      <c r="J86" s="64">
        <v>0.35</v>
      </c>
      <c r="K86" s="64">
        <v>327.22000000000003</v>
      </c>
      <c r="L86" s="64">
        <v>16.98</v>
      </c>
      <c r="M86" s="64">
        <v>77.989999999999995</v>
      </c>
      <c r="N86" s="64">
        <v>49.3</v>
      </c>
      <c r="O86" s="64">
        <v>0</v>
      </c>
      <c r="P86" s="64">
        <v>2.15</v>
      </c>
      <c r="Q86" s="64">
        <v>9.7200000000000006</v>
      </c>
      <c r="R86" s="198"/>
      <c r="S86" s="198"/>
      <c r="T86" s="198"/>
      <c r="U86" s="198"/>
    </row>
    <row r="87" spans="1:26" s="12" customFormat="1" x14ac:dyDescent="0.25">
      <c r="A87" s="214" t="s">
        <v>1861</v>
      </c>
      <c r="B87" s="64">
        <v>62.22</v>
      </c>
      <c r="C87" s="64">
        <v>8.68</v>
      </c>
      <c r="D87" s="64">
        <v>53.95</v>
      </c>
      <c r="E87" s="64">
        <v>5.47</v>
      </c>
      <c r="F87" s="64">
        <v>3.03</v>
      </c>
      <c r="G87" s="64">
        <v>107.69</v>
      </c>
      <c r="H87" s="64">
        <v>29.93</v>
      </c>
      <c r="I87" s="64">
        <v>0.1</v>
      </c>
      <c r="J87" s="64">
        <v>0.08</v>
      </c>
      <c r="K87" s="64">
        <v>95.47</v>
      </c>
      <c r="L87" s="64">
        <v>16.87</v>
      </c>
      <c r="M87" s="64">
        <v>84.36</v>
      </c>
      <c r="N87" s="64">
        <v>49</v>
      </c>
      <c r="O87" s="64">
        <v>0</v>
      </c>
      <c r="P87" s="64">
        <v>2.23</v>
      </c>
      <c r="Q87" s="64">
        <v>9.73</v>
      </c>
      <c r="R87" s="198"/>
      <c r="S87" s="198"/>
      <c r="T87" s="198"/>
      <c r="U87" s="198"/>
    </row>
    <row r="88" spans="1:26" s="12" customFormat="1" x14ac:dyDescent="0.25">
      <c r="A88" s="214" t="s">
        <v>1862</v>
      </c>
      <c r="B88" s="64">
        <v>67.760000000000005</v>
      </c>
      <c r="C88" s="64">
        <v>5.46</v>
      </c>
      <c r="D88" s="64">
        <v>56.73</v>
      </c>
      <c r="E88" s="64">
        <v>5.43</v>
      </c>
      <c r="F88" s="64">
        <v>3.08</v>
      </c>
      <c r="G88" s="64">
        <v>107.69</v>
      </c>
      <c r="H88" s="64">
        <v>29.93</v>
      </c>
      <c r="I88" s="64">
        <v>0.1</v>
      </c>
      <c r="J88" s="64">
        <v>0.52</v>
      </c>
      <c r="K88" s="64">
        <v>326.77999999999997</v>
      </c>
      <c r="L88" s="64">
        <v>16.739999999999998</v>
      </c>
      <c r="M88" s="64">
        <v>82.95</v>
      </c>
      <c r="N88" s="64">
        <v>49.1</v>
      </c>
      <c r="O88" s="64">
        <v>0</v>
      </c>
      <c r="P88" s="64">
        <v>2.39</v>
      </c>
      <c r="Q88" s="64">
        <v>9.75</v>
      </c>
      <c r="R88" s="198"/>
      <c r="S88" s="198"/>
      <c r="T88" s="198"/>
      <c r="U88" s="198"/>
    </row>
    <row r="89" spans="1:26" s="12" customFormat="1" x14ac:dyDescent="0.25">
      <c r="A89" s="214" t="s">
        <v>1863</v>
      </c>
      <c r="B89" s="64">
        <v>70.47</v>
      </c>
      <c r="C89" s="64">
        <v>5.0199999999999996</v>
      </c>
      <c r="D89" s="64">
        <v>58.67</v>
      </c>
      <c r="E89" s="64">
        <v>5.5</v>
      </c>
      <c r="F89" s="64">
        <v>3.16</v>
      </c>
      <c r="G89" s="64">
        <v>106.98</v>
      </c>
      <c r="H89" s="64">
        <v>32.65</v>
      </c>
      <c r="I89" s="64">
        <v>0.1</v>
      </c>
      <c r="J89" s="64">
        <v>0.79</v>
      </c>
      <c r="K89" s="64">
        <v>323.74</v>
      </c>
      <c r="L89" s="64">
        <v>16.649999999999999</v>
      </c>
      <c r="M89" s="64">
        <v>83.11</v>
      </c>
      <c r="N89" s="64">
        <v>49.4</v>
      </c>
      <c r="O89" s="64">
        <v>0</v>
      </c>
      <c r="P89" s="64">
        <v>2.52</v>
      </c>
      <c r="Q89" s="64">
        <v>9.76</v>
      </c>
      <c r="R89" s="198"/>
      <c r="S89" s="198"/>
      <c r="T89" s="198"/>
      <c r="U89" s="198"/>
    </row>
    <row r="90" spans="1:26" s="12" customFormat="1" x14ac:dyDescent="0.25">
      <c r="A90" s="214" t="s">
        <v>1864</v>
      </c>
      <c r="B90" s="64">
        <v>72.87</v>
      </c>
      <c r="C90" s="64">
        <v>1.71</v>
      </c>
      <c r="D90" s="64">
        <v>58.85</v>
      </c>
      <c r="E90" s="64">
        <v>5.51</v>
      </c>
      <c r="F90" s="64">
        <v>3.41</v>
      </c>
      <c r="G90" s="64">
        <v>106.33</v>
      </c>
      <c r="H90" s="64">
        <v>35.14</v>
      </c>
      <c r="I90" s="64">
        <v>0.1</v>
      </c>
      <c r="J90" s="64">
        <v>0.82</v>
      </c>
      <c r="K90" s="64">
        <v>320.72000000000003</v>
      </c>
      <c r="L90" s="64">
        <v>16.399999999999999</v>
      </c>
      <c r="M90" s="64">
        <v>82.47</v>
      </c>
      <c r="N90" s="64">
        <v>49.5</v>
      </c>
      <c r="O90" s="64">
        <v>0</v>
      </c>
      <c r="P90" s="64">
        <v>2.57</v>
      </c>
      <c r="Q90" s="64">
        <v>9.75</v>
      </c>
      <c r="R90" s="198"/>
      <c r="S90" s="198"/>
      <c r="T90" s="198"/>
      <c r="U90" s="198"/>
    </row>
    <row r="91" spans="1:26" s="12" customFormat="1" x14ac:dyDescent="0.25">
      <c r="A91" s="214" t="s">
        <v>1865</v>
      </c>
      <c r="B91" s="64">
        <v>77.61</v>
      </c>
      <c r="C91" s="6" t="s">
        <v>42</v>
      </c>
      <c r="D91" s="64">
        <v>60.78</v>
      </c>
      <c r="E91" s="64">
        <v>5.75</v>
      </c>
      <c r="F91" s="64">
        <v>3.67</v>
      </c>
      <c r="G91" s="64">
        <v>106.33</v>
      </c>
      <c r="H91" s="64">
        <v>35.14</v>
      </c>
      <c r="I91" s="64">
        <v>0.1</v>
      </c>
      <c r="J91" s="64">
        <v>0.79</v>
      </c>
      <c r="K91" s="64">
        <v>296.85000000000002</v>
      </c>
      <c r="L91" s="64">
        <v>16.260000000000002</v>
      </c>
      <c r="M91" s="64">
        <v>79.650000000000006</v>
      </c>
      <c r="N91" s="64">
        <v>49.7</v>
      </c>
      <c r="O91" s="64">
        <v>0</v>
      </c>
      <c r="P91" s="64">
        <v>2.67</v>
      </c>
      <c r="Q91" s="64">
        <v>9.76</v>
      </c>
      <c r="R91" s="198"/>
      <c r="S91" s="198"/>
      <c r="T91" s="198"/>
      <c r="U91" s="198"/>
    </row>
    <row r="92" spans="1:26" s="12" customFormat="1" x14ac:dyDescent="0.25">
      <c r="A92" s="214" t="s">
        <v>1866</v>
      </c>
      <c r="B92" s="64">
        <v>83.85</v>
      </c>
      <c r="C92" s="6" t="s">
        <v>42</v>
      </c>
      <c r="D92" s="64">
        <v>64.11</v>
      </c>
      <c r="E92" s="64">
        <v>5.4</v>
      </c>
      <c r="F92" s="64">
        <v>3.47</v>
      </c>
      <c r="G92" s="64">
        <v>106.33</v>
      </c>
      <c r="H92" s="64">
        <v>35.14</v>
      </c>
      <c r="I92" s="64">
        <v>0.1</v>
      </c>
      <c r="J92" s="64">
        <v>0.8</v>
      </c>
      <c r="K92" s="64">
        <v>326.75</v>
      </c>
      <c r="L92" s="64">
        <v>16.149999999999999</v>
      </c>
      <c r="M92" s="64">
        <v>79.95</v>
      </c>
      <c r="N92" s="64">
        <v>49.8</v>
      </c>
      <c r="O92" s="64">
        <v>0</v>
      </c>
      <c r="P92" s="64">
        <v>2.75</v>
      </c>
      <c r="Q92" s="64">
        <v>9.77</v>
      </c>
      <c r="R92" s="198"/>
      <c r="S92" s="198"/>
      <c r="T92" s="198"/>
      <c r="U92" s="198"/>
    </row>
    <row r="93" spans="1:26" s="12" customFormat="1" x14ac:dyDescent="0.25">
      <c r="A93" s="214" t="s">
        <v>1867</v>
      </c>
      <c r="B93" s="64">
        <v>93.28</v>
      </c>
      <c r="C93" s="6" t="s">
        <v>42</v>
      </c>
      <c r="D93" s="64">
        <v>69.08</v>
      </c>
      <c r="E93" s="64">
        <v>5.73</v>
      </c>
      <c r="F93" s="64">
        <v>3.34</v>
      </c>
      <c r="G93" s="64">
        <v>404.81</v>
      </c>
      <c r="H93" s="64">
        <v>35.53</v>
      </c>
      <c r="I93" s="64">
        <v>0.1</v>
      </c>
      <c r="J93" s="64">
        <v>0.47</v>
      </c>
      <c r="K93" s="64">
        <v>70.319999999999993</v>
      </c>
      <c r="L93" s="64">
        <v>15.79</v>
      </c>
      <c r="M93" s="64">
        <v>82.44</v>
      </c>
      <c r="N93" s="64">
        <v>50.1</v>
      </c>
      <c r="O93" s="64">
        <v>0</v>
      </c>
      <c r="P93" s="64">
        <v>2.91</v>
      </c>
      <c r="Q93" s="64">
        <v>9.7899999999999991</v>
      </c>
      <c r="R93" s="198"/>
      <c r="S93" s="198"/>
      <c r="T93" s="198"/>
      <c r="U93" s="198"/>
    </row>
    <row r="94" spans="1:26" s="12" customFormat="1" x14ac:dyDescent="0.25">
      <c r="A94" s="214" t="s">
        <v>1868</v>
      </c>
      <c r="B94" s="64">
        <v>101.65</v>
      </c>
      <c r="C94" s="6" t="s">
        <v>42</v>
      </c>
      <c r="D94" s="64">
        <v>73.45</v>
      </c>
      <c r="E94" s="64">
        <v>5.55</v>
      </c>
      <c r="F94" s="64">
        <v>3.23</v>
      </c>
      <c r="G94" s="64">
        <v>677.88</v>
      </c>
      <c r="H94" s="64">
        <v>35.700000000000003</v>
      </c>
      <c r="I94" s="64">
        <v>0.1</v>
      </c>
      <c r="J94" s="64">
        <v>0.55000000000000004</v>
      </c>
      <c r="K94" s="64">
        <v>320.66000000000003</v>
      </c>
      <c r="L94" s="64">
        <v>15.67</v>
      </c>
      <c r="M94" s="64">
        <v>81.02</v>
      </c>
      <c r="N94" s="64">
        <v>50.1</v>
      </c>
      <c r="O94" s="64">
        <v>0</v>
      </c>
      <c r="P94" s="64">
        <v>3.02</v>
      </c>
      <c r="Q94" s="64">
        <v>9.81</v>
      </c>
      <c r="R94" s="198"/>
      <c r="S94" s="198"/>
      <c r="T94" s="198"/>
      <c r="U94" s="198"/>
    </row>
    <row r="95" spans="1:26" s="12" customFormat="1" x14ac:dyDescent="0.25">
      <c r="A95" s="214" t="s">
        <v>1869</v>
      </c>
      <c r="B95" s="64">
        <v>109.1</v>
      </c>
      <c r="C95" s="6" t="s">
        <v>42</v>
      </c>
      <c r="D95" s="64">
        <v>77.33</v>
      </c>
      <c r="E95" s="64">
        <v>5.42</v>
      </c>
      <c r="F95" s="64">
        <v>3.26</v>
      </c>
      <c r="G95" s="64">
        <v>677.88</v>
      </c>
      <c r="H95" s="64">
        <v>35.700000000000003</v>
      </c>
      <c r="I95" s="64">
        <v>0.1</v>
      </c>
      <c r="J95" s="64">
        <v>0.33</v>
      </c>
      <c r="K95" s="64">
        <v>47.16</v>
      </c>
      <c r="L95" s="64">
        <v>15.46</v>
      </c>
      <c r="M95" s="64">
        <v>77.59</v>
      </c>
      <c r="N95" s="64">
        <v>50.1</v>
      </c>
      <c r="O95" s="64">
        <v>0</v>
      </c>
      <c r="P95" s="64">
        <v>3.11</v>
      </c>
      <c r="Q95" s="64">
        <v>9.82</v>
      </c>
      <c r="R95" s="198"/>
      <c r="S95" s="198"/>
      <c r="T95" s="198"/>
      <c r="U95" s="198"/>
    </row>
    <row r="96" spans="1:26" s="12" customFormat="1" x14ac:dyDescent="0.25">
      <c r="A96" s="214" t="s">
        <v>1870</v>
      </c>
      <c r="B96" s="64">
        <v>113.54</v>
      </c>
      <c r="C96" s="6" t="s">
        <v>42</v>
      </c>
      <c r="D96" s="64">
        <v>79.680000000000007</v>
      </c>
      <c r="E96" s="64">
        <v>5.71</v>
      </c>
      <c r="F96" s="64">
        <v>3.1</v>
      </c>
      <c r="G96" s="64">
        <v>677.88</v>
      </c>
      <c r="H96" s="64">
        <v>35.700000000000003</v>
      </c>
      <c r="I96" s="64">
        <v>0.1</v>
      </c>
      <c r="J96" s="64">
        <v>0.22</v>
      </c>
      <c r="K96" s="64">
        <v>301.76</v>
      </c>
      <c r="L96" s="64">
        <v>15.35</v>
      </c>
      <c r="M96" s="64">
        <v>84.23</v>
      </c>
      <c r="N96" s="64">
        <v>50.1</v>
      </c>
      <c r="O96" s="64">
        <v>0</v>
      </c>
      <c r="P96" s="64">
        <v>3.16</v>
      </c>
      <c r="Q96" s="64">
        <v>9.83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1871</v>
      </c>
      <c r="B97" s="64">
        <v>121.1</v>
      </c>
      <c r="C97" s="6" t="s">
        <v>42</v>
      </c>
      <c r="D97" s="64">
        <v>83.64</v>
      </c>
      <c r="E97" s="64">
        <v>5.86</v>
      </c>
      <c r="F97" s="64">
        <v>3.23</v>
      </c>
      <c r="G97" s="64">
        <v>382.38</v>
      </c>
      <c r="H97" s="64">
        <v>37.06</v>
      </c>
      <c r="I97" s="64">
        <v>0.1</v>
      </c>
      <c r="J97" s="64">
        <v>0.26</v>
      </c>
      <c r="K97" s="64">
        <v>23.36</v>
      </c>
      <c r="L97" s="64">
        <v>15.19</v>
      </c>
      <c r="M97" s="64">
        <v>90.08</v>
      </c>
      <c r="N97" s="64">
        <v>50.3</v>
      </c>
      <c r="O97" s="64">
        <v>0</v>
      </c>
      <c r="P97" s="64">
        <v>3.27</v>
      </c>
      <c r="Q97" s="64">
        <v>9.83</v>
      </c>
      <c r="R97" s="198"/>
      <c r="S97" s="198"/>
      <c r="T97" s="198"/>
      <c r="U97" s="198"/>
    </row>
    <row r="98" spans="1:33" s="12" customFormat="1" x14ac:dyDescent="0.25">
      <c r="A98" s="214" t="s">
        <v>1872</v>
      </c>
      <c r="B98" s="64">
        <v>132.22999999999999</v>
      </c>
      <c r="C98" s="6" t="s">
        <v>42</v>
      </c>
      <c r="D98" s="64">
        <v>89.36</v>
      </c>
      <c r="E98" s="64">
        <v>5.77</v>
      </c>
      <c r="F98" s="64">
        <v>3</v>
      </c>
      <c r="G98" s="64">
        <v>112.03</v>
      </c>
      <c r="H98" s="64">
        <v>37.67</v>
      </c>
      <c r="I98" s="64">
        <v>0.1</v>
      </c>
      <c r="J98" s="64">
        <v>0.16</v>
      </c>
      <c r="K98" s="64">
        <v>294.95</v>
      </c>
      <c r="L98" s="64">
        <v>15</v>
      </c>
      <c r="M98" s="64">
        <v>92.31</v>
      </c>
      <c r="N98" s="64">
        <v>50.5</v>
      </c>
      <c r="O98" s="64">
        <v>0</v>
      </c>
      <c r="P98" s="64">
        <v>3.42</v>
      </c>
      <c r="Q98" s="64">
        <v>9.84</v>
      </c>
      <c r="R98" s="198"/>
      <c r="S98" s="198"/>
      <c r="T98" s="198"/>
      <c r="U98" s="198"/>
    </row>
    <row r="99" spans="1:33" s="12" customFormat="1" x14ac:dyDescent="0.25">
      <c r="A99" s="214" t="s">
        <v>1873</v>
      </c>
      <c r="B99" s="64">
        <v>140.37</v>
      </c>
      <c r="C99" s="6" t="s">
        <v>42</v>
      </c>
      <c r="D99" s="64">
        <v>93.6</v>
      </c>
      <c r="E99" s="64">
        <v>5.95</v>
      </c>
      <c r="F99" s="64">
        <v>2.78</v>
      </c>
      <c r="G99" s="64">
        <v>112.03</v>
      </c>
      <c r="H99" s="64">
        <v>37.67</v>
      </c>
      <c r="I99" s="64">
        <v>0.1</v>
      </c>
      <c r="J99" s="64">
        <v>0.3</v>
      </c>
      <c r="K99" s="64">
        <v>3.52</v>
      </c>
      <c r="L99" s="64">
        <v>14.83</v>
      </c>
      <c r="M99" s="64">
        <v>95.59</v>
      </c>
      <c r="N99" s="64">
        <v>50.7</v>
      </c>
      <c r="O99" s="64">
        <v>0</v>
      </c>
      <c r="P99" s="64">
        <v>3.54</v>
      </c>
      <c r="Q99" s="64">
        <v>9.85</v>
      </c>
      <c r="R99" s="198"/>
      <c r="S99" s="198"/>
      <c r="T99" s="198"/>
      <c r="U99" s="198"/>
    </row>
    <row r="100" spans="1:33" s="12" customFormat="1" x14ac:dyDescent="0.25">
      <c r="A100" s="214" t="s">
        <v>1874</v>
      </c>
      <c r="B100" s="64">
        <v>150.61000000000001</v>
      </c>
      <c r="C100" s="6" t="s">
        <v>42</v>
      </c>
      <c r="D100" s="64">
        <v>98.29</v>
      </c>
      <c r="E100" s="64">
        <v>6.23</v>
      </c>
      <c r="F100" s="64">
        <v>2.91</v>
      </c>
      <c r="G100" s="64">
        <v>112.03</v>
      </c>
      <c r="H100" s="64">
        <v>37.67</v>
      </c>
      <c r="I100" s="64">
        <v>0.1</v>
      </c>
      <c r="J100" s="64">
        <v>0.71</v>
      </c>
      <c r="K100" s="64">
        <v>282.2</v>
      </c>
      <c r="L100" s="64">
        <v>14.76</v>
      </c>
      <c r="M100" s="64">
        <v>97.97</v>
      </c>
      <c r="N100" s="64">
        <v>50.7</v>
      </c>
      <c r="O100" s="64">
        <v>0</v>
      </c>
      <c r="P100" s="64">
        <v>3.68</v>
      </c>
      <c r="Q100" s="64">
        <v>9.86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1875</v>
      </c>
      <c r="B101" s="64">
        <v>159.02000000000001</v>
      </c>
      <c r="C101" s="6" t="s">
        <v>42</v>
      </c>
      <c r="D101" s="64">
        <v>102.76</v>
      </c>
      <c r="E101" s="64">
        <v>6.27</v>
      </c>
      <c r="F101" s="64">
        <v>3.34</v>
      </c>
      <c r="G101" s="64">
        <v>124.62</v>
      </c>
      <c r="H101" s="64">
        <v>41.57</v>
      </c>
      <c r="I101" s="64">
        <v>0.1</v>
      </c>
      <c r="J101" s="64">
        <v>0.71</v>
      </c>
      <c r="K101" s="64">
        <v>265.27999999999997</v>
      </c>
      <c r="L101" s="64">
        <v>14.73</v>
      </c>
      <c r="M101" s="64">
        <v>98</v>
      </c>
      <c r="N101" s="64">
        <v>52</v>
      </c>
      <c r="O101" s="64">
        <v>0</v>
      </c>
      <c r="P101" s="64">
        <v>3.85</v>
      </c>
      <c r="Q101" s="64">
        <v>9.8699999999999992</v>
      </c>
      <c r="R101" s="198"/>
      <c r="S101" s="198"/>
      <c r="T101" s="198"/>
      <c r="U101" s="198"/>
    </row>
    <row r="102" spans="1:33" s="12" customFormat="1" x14ac:dyDescent="0.25">
      <c r="A102" s="214" t="s">
        <v>1876</v>
      </c>
      <c r="B102" s="64">
        <v>163.99</v>
      </c>
      <c r="C102" s="6" t="s">
        <v>42</v>
      </c>
      <c r="D102" s="64">
        <v>105.61</v>
      </c>
      <c r="E102" s="64">
        <v>6.37</v>
      </c>
      <c r="F102" s="64">
        <v>3.43</v>
      </c>
      <c r="G102" s="64">
        <v>136.13</v>
      </c>
      <c r="H102" s="64">
        <v>43.24</v>
      </c>
      <c r="I102" s="64">
        <v>0.1</v>
      </c>
      <c r="J102" s="64">
        <v>0.82</v>
      </c>
      <c r="K102" s="64">
        <v>241.15</v>
      </c>
      <c r="L102" s="64">
        <v>14.7</v>
      </c>
      <c r="M102" s="64">
        <v>98</v>
      </c>
      <c r="N102" s="64">
        <v>53</v>
      </c>
      <c r="O102" s="64">
        <v>0</v>
      </c>
      <c r="P102" s="64">
        <v>3.99</v>
      </c>
      <c r="Q102" s="64">
        <v>9.8699999999999992</v>
      </c>
      <c r="R102" s="198"/>
      <c r="S102" s="198"/>
      <c r="T102" s="198"/>
      <c r="U102" s="198"/>
    </row>
    <row r="103" spans="1:33" s="12" customFormat="1" x14ac:dyDescent="0.25">
      <c r="A103" s="214" t="s">
        <v>1877</v>
      </c>
      <c r="B103" s="64">
        <v>165.81</v>
      </c>
      <c r="C103" s="6" t="s">
        <v>42</v>
      </c>
      <c r="D103" s="64">
        <v>106.44</v>
      </c>
      <c r="E103" s="64">
        <v>6.66</v>
      </c>
      <c r="F103" s="64">
        <v>3.21</v>
      </c>
      <c r="G103" s="64">
        <v>136.13</v>
      </c>
      <c r="H103" s="64">
        <v>43.24</v>
      </c>
      <c r="I103" s="64">
        <v>0.1</v>
      </c>
      <c r="J103" s="64">
        <v>0.59</v>
      </c>
      <c r="K103" s="64">
        <v>281.2</v>
      </c>
      <c r="L103" s="64">
        <v>14.45</v>
      </c>
      <c r="M103" s="64">
        <v>98</v>
      </c>
      <c r="N103" s="64">
        <v>54.4</v>
      </c>
      <c r="O103" s="64">
        <v>0</v>
      </c>
      <c r="P103" s="64">
        <v>4.09</v>
      </c>
      <c r="Q103" s="64">
        <v>9.8699999999999992</v>
      </c>
      <c r="R103" s="198"/>
      <c r="S103" s="198"/>
      <c r="T103" s="198"/>
      <c r="U103" s="198"/>
    </row>
    <row r="104" spans="1:33" s="12" customFormat="1" x14ac:dyDescent="0.25">
      <c r="A104" s="214" t="s">
        <v>1878</v>
      </c>
      <c r="B104" s="64">
        <v>167.77</v>
      </c>
      <c r="C104" s="6" t="s">
        <v>42</v>
      </c>
      <c r="D104" s="64">
        <v>107.34</v>
      </c>
      <c r="E104" s="64">
        <v>7.13</v>
      </c>
      <c r="F104" s="64">
        <v>3</v>
      </c>
      <c r="G104" s="64">
        <v>136.13</v>
      </c>
      <c r="H104" s="64">
        <v>43.24</v>
      </c>
      <c r="I104" s="64">
        <v>0.1</v>
      </c>
      <c r="J104" s="64">
        <v>0.83</v>
      </c>
      <c r="K104" s="64">
        <v>254.52</v>
      </c>
      <c r="L104" s="64">
        <v>14.43</v>
      </c>
      <c r="M104" s="64">
        <v>96.83</v>
      </c>
      <c r="N104" s="64">
        <v>57.1</v>
      </c>
      <c r="O104" s="64">
        <v>0</v>
      </c>
      <c r="P104" s="64">
        <v>4.17</v>
      </c>
      <c r="Q104" s="64">
        <v>9.8800000000000008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4.9800000000000004</v>
      </c>
      <c r="C106" s="67">
        <f>MIN(C9:C104)</f>
        <v>0.48</v>
      </c>
      <c r="D106" s="67">
        <f t="shared" ref="D106:Q106" si="0">MIN(D9:D104)</f>
        <v>0</v>
      </c>
      <c r="E106" s="67">
        <f t="shared" si="0"/>
        <v>0</v>
      </c>
      <c r="F106" s="67">
        <f t="shared" si="0"/>
        <v>2.46</v>
      </c>
      <c r="G106" s="67">
        <f t="shared" si="0"/>
        <v>0</v>
      </c>
      <c r="H106" s="67">
        <f t="shared" si="0"/>
        <v>0</v>
      </c>
      <c r="I106" s="67">
        <f t="shared" si="0"/>
        <v>0</v>
      </c>
      <c r="J106" s="67">
        <f t="shared" si="0"/>
        <v>0.04</v>
      </c>
      <c r="K106" s="67">
        <f t="shared" si="0"/>
        <v>3.52</v>
      </c>
      <c r="L106" s="67">
        <f t="shared" si="0"/>
        <v>-57</v>
      </c>
      <c r="M106" s="67">
        <f t="shared" si="0"/>
        <v>-29.5</v>
      </c>
      <c r="N106" s="67">
        <f t="shared" si="0"/>
        <v>-350</v>
      </c>
      <c r="O106" s="67">
        <f t="shared" si="0"/>
        <v>0</v>
      </c>
      <c r="P106" s="67">
        <f t="shared" si="0"/>
        <v>1.44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167.77</v>
      </c>
      <c r="C107" s="66">
        <f t="shared" ref="C107:Q107" si="1">MAX(C9:C104)</f>
        <v>47.87</v>
      </c>
      <c r="D107" s="66">
        <f t="shared" si="1"/>
        <v>107.34</v>
      </c>
      <c r="E107" s="66">
        <f t="shared" si="1"/>
        <v>32.86</v>
      </c>
      <c r="F107" s="66">
        <f t="shared" si="1"/>
        <v>21.94</v>
      </c>
      <c r="G107" s="66">
        <f t="shared" si="1"/>
        <v>677.88</v>
      </c>
      <c r="H107" s="66">
        <f t="shared" si="1"/>
        <v>47.26</v>
      </c>
      <c r="I107" s="66">
        <f t="shared" si="1"/>
        <v>0.1</v>
      </c>
      <c r="J107" s="66">
        <f t="shared" si="1"/>
        <v>1.54</v>
      </c>
      <c r="K107" s="66">
        <f t="shared" si="1"/>
        <v>353.69</v>
      </c>
      <c r="L107" s="66">
        <f t="shared" si="1"/>
        <v>28.73</v>
      </c>
      <c r="M107" s="66">
        <f t="shared" si="1"/>
        <v>98.2</v>
      </c>
      <c r="N107" s="66">
        <f t="shared" si="1"/>
        <v>461.8</v>
      </c>
      <c r="O107" s="66">
        <f t="shared" si="1"/>
        <v>0</v>
      </c>
      <c r="P107" s="66">
        <f t="shared" si="1"/>
        <v>4.17</v>
      </c>
      <c r="Q107" s="66">
        <f t="shared" si="1"/>
        <v>9.8800000000000008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49.507916666666667</v>
      </c>
      <c r="C108" s="67">
        <f t="shared" ref="C108:Q108" si="2">AVERAGE(C9:C104)</f>
        <v>24.377571428571436</v>
      </c>
      <c r="D108" s="67">
        <f t="shared" si="2"/>
        <v>45.660416666666663</v>
      </c>
      <c r="E108" s="67">
        <f t="shared" si="2"/>
        <v>7.0026041666666652</v>
      </c>
      <c r="F108" s="67">
        <f t="shared" si="2"/>
        <v>4.5761458333333342</v>
      </c>
      <c r="G108" s="67">
        <f t="shared" si="2"/>
        <v>100.54874999999998</v>
      </c>
      <c r="H108" s="67">
        <f t="shared" si="2"/>
        <v>29.028958333333311</v>
      </c>
      <c r="I108" s="67">
        <f t="shared" si="2"/>
        <v>9.8958333333333148E-2</v>
      </c>
      <c r="J108" s="67">
        <f t="shared" si="2"/>
        <v>0.71385416666666668</v>
      </c>
      <c r="K108" s="67">
        <f t="shared" si="2"/>
        <v>234.83406250000004</v>
      </c>
      <c r="L108" s="67">
        <f t="shared" si="2"/>
        <v>17.459791666666668</v>
      </c>
      <c r="M108" s="67">
        <f t="shared" si="2"/>
        <v>71.773958333333283</v>
      </c>
      <c r="N108" s="67">
        <f t="shared" si="2"/>
        <v>137.42083333333335</v>
      </c>
      <c r="O108" s="67">
        <f t="shared" si="2"/>
        <v>0</v>
      </c>
      <c r="P108" s="67">
        <f t="shared" si="2"/>
        <v>2.1436458333333328</v>
      </c>
      <c r="Q108" s="67">
        <f t="shared" si="2"/>
        <v>9.7102083333333358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41.077730217534672</v>
      </c>
      <c r="C109" s="67">
        <f t="shared" ref="C109:Q109" si="3">STDEV(C9:C104)</f>
        <v>13.613633771015929</v>
      </c>
      <c r="D109" s="67">
        <f t="shared" si="3"/>
        <v>21.290756379071709</v>
      </c>
      <c r="E109" s="67">
        <f t="shared" si="3"/>
        <v>5.115894991883871</v>
      </c>
      <c r="F109" s="67">
        <f t="shared" si="3"/>
        <v>3.6492572769326079</v>
      </c>
      <c r="G109" s="67">
        <f t="shared" si="3"/>
        <v>116.84745861930196</v>
      </c>
      <c r="H109" s="67">
        <f t="shared" si="3"/>
        <v>7.1977649278190432</v>
      </c>
      <c r="I109" s="67">
        <f t="shared" si="3"/>
        <v>1.0206207261598805E-2</v>
      </c>
      <c r="J109" s="67">
        <f t="shared" si="3"/>
        <v>0.31761071767567339</v>
      </c>
      <c r="K109" s="67">
        <f t="shared" si="3"/>
        <v>103.70059310167012</v>
      </c>
      <c r="L109" s="67">
        <f t="shared" si="3"/>
        <v>9.5147939081219768</v>
      </c>
      <c r="M109" s="67">
        <f t="shared" si="3"/>
        <v>28.604431658092093</v>
      </c>
      <c r="N109" s="67">
        <f t="shared" si="3"/>
        <v>151.20408718833011</v>
      </c>
      <c r="O109" s="67">
        <f t="shared" si="3"/>
        <v>0</v>
      </c>
      <c r="P109" s="67">
        <f t="shared" si="3"/>
        <v>0.73303136974831529</v>
      </c>
      <c r="Q109" s="67">
        <f t="shared" si="3"/>
        <v>6.7511857308127532E-2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COUNT(C9:C104)+26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100</v>
      </c>
      <c r="H110" s="66">
        <f>COUNT(H9:H104)+4</f>
        <v>100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111" sqref="C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1879</v>
      </c>
      <c r="B9" s="64">
        <v>167.07</v>
      </c>
      <c r="C9" s="6" t="s">
        <v>42</v>
      </c>
      <c r="D9" s="64">
        <v>106.72</v>
      </c>
      <c r="E9" s="64">
        <v>7.41</v>
      </c>
      <c r="F9" s="64">
        <v>3.44</v>
      </c>
      <c r="G9" s="64">
        <v>68.87</v>
      </c>
      <c r="H9" s="64">
        <v>42.7</v>
      </c>
      <c r="I9" s="64">
        <v>0.1</v>
      </c>
      <c r="J9" s="64">
        <v>0.37</v>
      </c>
      <c r="K9" s="64">
        <v>13.67</v>
      </c>
      <c r="L9" s="64">
        <v>14.39</v>
      </c>
      <c r="M9" s="64">
        <v>97.73</v>
      </c>
      <c r="N9" s="64">
        <v>67.599999999999994</v>
      </c>
      <c r="O9" s="64">
        <v>0</v>
      </c>
      <c r="P9" s="64">
        <v>4.1900000000000004</v>
      </c>
      <c r="Q9" s="64">
        <v>9.8800000000000008</v>
      </c>
      <c r="R9" s="198"/>
      <c r="S9" s="198"/>
      <c r="T9" s="198"/>
      <c r="U9" s="198"/>
    </row>
    <row r="10" spans="1:21" s="12" customFormat="1" x14ac:dyDescent="0.25">
      <c r="A10" s="214" t="s">
        <v>1880</v>
      </c>
      <c r="B10" s="64">
        <v>165</v>
      </c>
      <c r="C10" s="6" t="s">
        <v>42</v>
      </c>
      <c r="D10" s="64">
        <v>105.32</v>
      </c>
      <c r="E10" s="64">
        <v>7.22</v>
      </c>
      <c r="F10" s="64">
        <v>3.51</v>
      </c>
      <c r="G10" s="64">
        <v>0</v>
      </c>
      <c r="H10" s="64">
        <v>42.26</v>
      </c>
      <c r="I10" s="64">
        <v>0.1</v>
      </c>
      <c r="J10" s="64">
        <v>0.8</v>
      </c>
      <c r="K10" s="64">
        <v>272.16000000000003</v>
      </c>
      <c r="L10" s="64">
        <v>14.02</v>
      </c>
      <c r="M10" s="64">
        <v>98.01</v>
      </c>
      <c r="N10" s="64">
        <v>80.3</v>
      </c>
      <c r="O10" s="64">
        <v>0</v>
      </c>
      <c r="P10" s="64">
        <v>4.18</v>
      </c>
      <c r="Q10" s="64">
        <v>9.8800000000000008</v>
      </c>
      <c r="R10" s="198"/>
      <c r="S10" s="198"/>
      <c r="T10" s="198"/>
      <c r="U10" s="198"/>
    </row>
    <row r="11" spans="1:21" s="12" customFormat="1" x14ac:dyDescent="0.25">
      <c r="A11" s="214" t="s">
        <v>1881</v>
      </c>
      <c r="B11" s="64">
        <v>162.03</v>
      </c>
      <c r="C11" s="6" t="s">
        <v>42</v>
      </c>
      <c r="D11" s="64">
        <v>103.24</v>
      </c>
      <c r="E11" s="64">
        <v>7.36</v>
      </c>
      <c r="F11" s="64">
        <v>3.32</v>
      </c>
      <c r="G11" s="64">
        <v>0</v>
      </c>
      <c r="H11" s="64">
        <v>42.26</v>
      </c>
      <c r="I11" s="64">
        <v>0.1</v>
      </c>
      <c r="J11" s="64">
        <v>0.79</v>
      </c>
      <c r="K11" s="64">
        <v>272.16000000000003</v>
      </c>
      <c r="L11" s="64">
        <v>13.78</v>
      </c>
      <c r="M11" s="64">
        <v>98</v>
      </c>
      <c r="N11" s="64">
        <v>78.599999999999994</v>
      </c>
      <c r="O11" s="64">
        <v>0</v>
      </c>
      <c r="P11" s="64">
        <v>4.16</v>
      </c>
      <c r="Q11" s="64">
        <v>9.8800000000000008</v>
      </c>
      <c r="R11" s="198"/>
      <c r="S11" s="198"/>
      <c r="T11" s="198"/>
      <c r="U11" s="198"/>
    </row>
    <row r="12" spans="1:21" s="12" customFormat="1" x14ac:dyDescent="0.25">
      <c r="A12" s="214" t="s">
        <v>1882</v>
      </c>
      <c r="B12" s="64">
        <v>159.26</v>
      </c>
      <c r="C12" s="6" t="s">
        <v>42</v>
      </c>
      <c r="D12" s="64">
        <v>100.87</v>
      </c>
      <c r="E12" s="64">
        <v>7.26</v>
      </c>
      <c r="F12" s="64">
        <v>3.54</v>
      </c>
      <c r="G12" s="64">
        <v>0</v>
      </c>
      <c r="H12" s="64">
        <v>42.26</v>
      </c>
      <c r="I12" s="64">
        <v>0.1</v>
      </c>
      <c r="J12" s="64">
        <v>0.51</v>
      </c>
      <c r="K12" s="64">
        <v>317.52999999999997</v>
      </c>
      <c r="L12" s="64">
        <v>13.59</v>
      </c>
      <c r="M12" s="64">
        <v>97.93</v>
      </c>
      <c r="N12" s="64">
        <v>76</v>
      </c>
      <c r="O12" s="64">
        <v>0</v>
      </c>
      <c r="P12" s="64">
        <v>4.09</v>
      </c>
      <c r="Q12" s="64">
        <v>9.86</v>
      </c>
      <c r="R12" s="198"/>
      <c r="S12" s="198"/>
      <c r="T12" s="198"/>
      <c r="U12" s="198"/>
    </row>
    <row r="13" spans="1:21" s="12" customFormat="1" x14ac:dyDescent="0.25">
      <c r="A13" s="214" t="s">
        <v>1883</v>
      </c>
      <c r="B13" s="64">
        <v>155.91</v>
      </c>
      <c r="C13" s="6" t="s">
        <v>42</v>
      </c>
      <c r="D13" s="64">
        <v>98.81</v>
      </c>
      <c r="E13" s="64">
        <v>7.03</v>
      </c>
      <c r="F13" s="64">
        <v>3.58</v>
      </c>
      <c r="G13" s="64">
        <v>56.54</v>
      </c>
      <c r="H13" s="64">
        <v>40.130000000000003</v>
      </c>
      <c r="I13" s="64">
        <v>0.1</v>
      </c>
      <c r="J13" s="64">
        <v>0.75</v>
      </c>
      <c r="K13" s="64">
        <v>357.87</v>
      </c>
      <c r="L13" s="64">
        <v>13.42</v>
      </c>
      <c r="M13" s="64">
        <v>97.95</v>
      </c>
      <c r="N13" s="64">
        <v>82.8</v>
      </c>
      <c r="O13" s="64">
        <v>0</v>
      </c>
      <c r="P13" s="64">
        <v>3.45</v>
      </c>
      <c r="Q13" s="64">
        <v>9.86</v>
      </c>
      <c r="R13" s="198"/>
      <c r="S13" s="198"/>
      <c r="T13" s="198"/>
      <c r="U13" s="198"/>
    </row>
    <row r="14" spans="1:21" s="12" customFormat="1" x14ac:dyDescent="0.25">
      <c r="A14" s="214" t="s">
        <v>1884</v>
      </c>
      <c r="B14" s="64">
        <v>151.9</v>
      </c>
      <c r="C14" s="6" t="s">
        <v>42</v>
      </c>
      <c r="D14" s="64">
        <v>96.68</v>
      </c>
      <c r="E14" s="64">
        <v>6.93</v>
      </c>
      <c r="F14" s="64">
        <v>3.61</v>
      </c>
      <c r="G14" s="64">
        <v>108.27</v>
      </c>
      <c r="H14" s="64">
        <v>39.159999999999997</v>
      </c>
      <c r="I14" s="64">
        <v>0.1</v>
      </c>
      <c r="J14" s="64">
        <v>0.76</v>
      </c>
      <c r="K14" s="64">
        <v>307.66000000000003</v>
      </c>
      <c r="L14" s="64">
        <v>13.36</v>
      </c>
      <c r="M14" s="64">
        <v>97.98</v>
      </c>
      <c r="N14" s="64">
        <v>77.3</v>
      </c>
      <c r="O14" s="64">
        <v>0</v>
      </c>
      <c r="P14" s="64">
        <v>3.55</v>
      </c>
      <c r="Q14" s="64">
        <v>9.86</v>
      </c>
      <c r="R14" s="198"/>
      <c r="S14" s="198"/>
      <c r="T14" s="198"/>
      <c r="U14" s="198"/>
    </row>
    <row r="15" spans="1:21" s="12" customFormat="1" x14ac:dyDescent="0.25">
      <c r="A15" s="214" t="s">
        <v>1885</v>
      </c>
      <c r="B15" s="64">
        <v>147.77000000000001</v>
      </c>
      <c r="C15" s="6" t="s">
        <v>42</v>
      </c>
      <c r="D15" s="64">
        <v>94.37</v>
      </c>
      <c r="E15" s="64">
        <v>6.88</v>
      </c>
      <c r="F15" s="64">
        <v>3.53</v>
      </c>
      <c r="G15" s="64">
        <v>108.27</v>
      </c>
      <c r="H15" s="64">
        <v>39.159999999999997</v>
      </c>
      <c r="I15" s="64">
        <v>0.1</v>
      </c>
      <c r="J15" s="64">
        <v>0.79</v>
      </c>
      <c r="K15" s="64">
        <v>228.74</v>
      </c>
      <c r="L15" s="64">
        <v>13.34</v>
      </c>
      <c r="M15" s="64">
        <v>98</v>
      </c>
      <c r="N15" s="64">
        <v>76.2</v>
      </c>
      <c r="O15" s="64">
        <v>0</v>
      </c>
      <c r="P15" s="64">
        <v>3.51</v>
      </c>
      <c r="Q15" s="64">
        <v>9.86</v>
      </c>
      <c r="R15" s="198"/>
      <c r="S15" s="198"/>
      <c r="T15" s="198"/>
      <c r="U15" s="198"/>
    </row>
    <row r="16" spans="1:21" s="12" customFormat="1" x14ac:dyDescent="0.25">
      <c r="A16" s="214" t="s">
        <v>1886</v>
      </c>
      <c r="B16" s="64">
        <v>143.44999999999999</v>
      </c>
      <c r="C16" s="6" t="s">
        <v>42</v>
      </c>
      <c r="D16" s="64">
        <v>91.97</v>
      </c>
      <c r="E16" s="64">
        <v>6.48</v>
      </c>
      <c r="F16" s="64">
        <v>3.23</v>
      </c>
      <c r="G16" s="64">
        <v>108.27</v>
      </c>
      <c r="H16" s="64">
        <v>39.159999999999997</v>
      </c>
      <c r="I16" s="64">
        <v>0.1</v>
      </c>
      <c r="J16" s="64">
        <v>0.26</v>
      </c>
      <c r="K16" s="64">
        <v>182.81</v>
      </c>
      <c r="L16" s="64">
        <v>13.18</v>
      </c>
      <c r="M16" s="64">
        <v>98.03</v>
      </c>
      <c r="N16" s="64">
        <v>83</v>
      </c>
      <c r="O16" s="64">
        <v>0</v>
      </c>
      <c r="P16" s="64">
        <v>3.46</v>
      </c>
      <c r="Q16" s="64">
        <v>9.83</v>
      </c>
      <c r="R16" s="198"/>
      <c r="S16" s="198"/>
      <c r="T16" s="198"/>
      <c r="U16" s="198"/>
    </row>
    <row r="17" spans="1:21" s="12" customFormat="1" x14ac:dyDescent="0.25">
      <c r="A17" s="214" t="s">
        <v>1887</v>
      </c>
      <c r="B17" s="64">
        <v>139.29</v>
      </c>
      <c r="C17" s="6" t="s">
        <v>42</v>
      </c>
      <c r="D17" s="64">
        <v>89.61</v>
      </c>
      <c r="E17" s="64">
        <v>6.42</v>
      </c>
      <c r="F17" s="64">
        <v>3</v>
      </c>
      <c r="G17" s="64">
        <v>92.93</v>
      </c>
      <c r="H17" s="64">
        <v>37.409999999999997</v>
      </c>
      <c r="I17" s="64">
        <v>0.1</v>
      </c>
      <c r="J17" s="64">
        <v>0.75</v>
      </c>
      <c r="K17" s="64">
        <v>354.32</v>
      </c>
      <c r="L17" s="64">
        <v>12.97</v>
      </c>
      <c r="M17" s="64">
        <v>98.02</v>
      </c>
      <c r="N17" s="64">
        <v>98.6</v>
      </c>
      <c r="O17" s="64">
        <v>0</v>
      </c>
      <c r="P17" s="64">
        <v>3.43</v>
      </c>
      <c r="Q17" s="64">
        <v>9.82</v>
      </c>
      <c r="R17" s="198"/>
      <c r="S17" s="198"/>
      <c r="T17" s="198"/>
      <c r="U17" s="198"/>
    </row>
    <row r="18" spans="1:21" s="12" customFormat="1" x14ac:dyDescent="0.25">
      <c r="A18" s="214" t="s">
        <v>1888</v>
      </c>
      <c r="B18" s="64">
        <v>135.49</v>
      </c>
      <c r="C18" s="6" t="s">
        <v>42</v>
      </c>
      <c r="D18" s="64">
        <v>87.38</v>
      </c>
      <c r="E18" s="64">
        <v>6.42</v>
      </c>
      <c r="F18" s="64">
        <v>3.19</v>
      </c>
      <c r="G18" s="64">
        <v>78.900000000000006</v>
      </c>
      <c r="H18" s="64">
        <v>36.61</v>
      </c>
      <c r="I18" s="64">
        <v>0.1</v>
      </c>
      <c r="J18" s="64">
        <v>0.7</v>
      </c>
      <c r="K18" s="64">
        <v>334.2</v>
      </c>
      <c r="L18" s="64">
        <v>12.67</v>
      </c>
      <c r="M18" s="64">
        <v>98.04</v>
      </c>
      <c r="N18" s="64">
        <v>96.3</v>
      </c>
      <c r="O18" s="64">
        <v>0</v>
      </c>
      <c r="P18" s="64">
        <v>3.39</v>
      </c>
      <c r="Q18" s="64">
        <v>9.82</v>
      </c>
      <c r="R18" s="198"/>
      <c r="S18" s="198"/>
      <c r="T18" s="198"/>
      <c r="U18" s="198"/>
    </row>
    <row r="19" spans="1:21" s="12" customFormat="1" x14ac:dyDescent="0.25">
      <c r="A19" s="214" t="s">
        <v>1889</v>
      </c>
      <c r="B19" s="64">
        <v>131.03</v>
      </c>
      <c r="C19" s="6" t="s">
        <v>42</v>
      </c>
      <c r="D19" s="64">
        <v>84.86</v>
      </c>
      <c r="E19" s="64">
        <v>6.32</v>
      </c>
      <c r="F19" s="64">
        <v>3.11</v>
      </c>
      <c r="G19" s="64">
        <v>78.900000000000006</v>
      </c>
      <c r="H19" s="64">
        <v>36.61</v>
      </c>
      <c r="I19" s="64">
        <v>0.1</v>
      </c>
      <c r="J19" s="64">
        <v>0.78</v>
      </c>
      <c r="K19" s="64">
        <v>227.89</v>
      </c>
      <c r="L19" s="64">
        <v>12.49</v>
      </c>
      <c r="M19" s="64">
        <v>98.02</v>
      </c>
      <c r="N19" s="64">
        <v>90.3</v>
      </c>
      <c r="O19" s="64">
        <v>0</v>
      </c>
      <c r="P19" s="64">
        <v>3.31</v>
      </c>
      <c r="Q19" s="64">
        <v>9.83</v>
      </c>
      <c r="R19" s="198"/>
      <c r="S19" s="198"/>
      <c r="T19" s="198"/>
      <c r="U19" s="198"/>
    </row>
    <row r="20" spans="1:21" s="12" customFormat="1" x14ac:dyDescent="0.25">
      <c r="A20" s="214" t="s">
        <v>1890</v>
      </c>
      <c r="B20" s="64">
        <v>126.05</v>
      </c>
      <c r="C20" s="6" t="s">
        <v>42</v>
      </c>
      <c r="D20" s="64">
        <v>82.26</v>
      </c>
      <c r="E20" s="64">
        <v>6.04</v>
      </c>
      <c r="F20" s="64">
        <v>3.03</v>
      </c>
      <c r="G20" s="64">
        <v>78.900000000000006</v>
      </c>
      <c r="H20" s="64">
        <v>36.61</v>
      </c>
      <c r="I20" s="64">
        <v>0.1</v>
      </c>
      <c r="J20" s="64">
        <v>0.13</v>
      </c>
      <c r="K20" s="64">
        <v>259.10000000000002</v>
      </c>
      <c r="L20" s="64">
        <v>12.54</v>
      </c>
      <c r="M20" s="64">
        <v>97.99</v>
      </c>
      <c r="N20" s="64">
        <v>86.7</v>
      </c>
      <c r="O20" s="64">
        <v>0</v>
      </c>
      <c r="P20" s="64">
        <v>3.22</v>
      </c>
      <c r="Q20" s="64">
        <v>9.82</v>
      </c>
      <c r="R20" s="198"/>
      <c r="S20" s="198"/>
      <c r="T20" s="198"/>
      <c r="U20" s="198"/>
    </row>
    <row r="21" spans="1:21" s="12" customFormat="1" x14ac:dyDescent="0.25">
      <c r="A21" s="214" t="s">
        <v>1891</v>
      </c>
      <c r="B21" s="64">
        <v>121.26</v>
      </c>
      <c r="C21" s="6" t="s">
        <v>42</v>
      </c>
      <c r="D21" s="64">
        <v>79.739999999999995</v>
      </c>
      <c r="E21" s="64">
        <v>6.23</v>
      </c>
      <c r="F21" s="64">
        <v>2.93</v>
      </c>
      <c r="G21" s="64">
        <v>72.540000000000006</v>
      </c>
      <c r="H21" s="64">
        <v>35.549999999999997</v>
      </c>
      <c r="I21" s="64">
        <v>0.1</v>
      </c>
      <c r="J21" s="64">
        <v>0.56999999999999995</v>
      </c>
      <c r="K21" s="64">
        <v>217.77</v>
      </c>
      <c r="L21" s="64">
        <v>12.44</v>
      </c>
      <c r="M21" s="64">
        <v>98.02</v>
      </c>
      <c r="N21" s="64">
        <v>76.8</v>
      </c>
      <c r="O21" s="64">
        <v>0</v>
      </c>
      <c r="P21" s="64">
        <v>3.14</v>
      </c>
      <c r="Q21" s="64">
        <v>9.81</v>
      </c>
      <c r="R21" s="198"/>
      <c r="S21" s="198"/>
      <c r="T21" s="198"/>
      <c r="U21" s="198"/>
    </row>
    <row r="22" spans="1:21" s="12" customFormat="1" x14ac:dyDescent="0.25">
      <c r="A22" s="214" t="s">
        <v>1892</v>
      </c>
      <c r="B22" s="64">
        <v>117.26</v>
      </c>
      <c r="C22" s="6" t="s">
        <v>42</v>
      </c>
      <c r="D22" s="64">
        <v>77.12</v>
      </c>
      <c r="E22" s="64">
        <v>6.15</v>
      </c>
      <c r="F22" s="64">
        <v>2.87</v>
      </c>
      <c r="G22" s="64">
        <v>66.72</v>
      </c>
      <c r="H22" s="64">
        <v>35.07</v>
      </c>
      <c r="I22" s="64">
        <v>0.1</v>
      </c>
      <c r="J22" s="64">
        <v>0.46</v>
      </c>
      <c r="K22" s="64">
        <v>326.55</v>
      </c>
      <c r="L22" s="64">
        <v>12.29</v>
      </c>
      <c r="M22" s="64">
        <v>98.03</v>
      </c>
      <c r="N22" s="64">
        <v>84</v>
      </c>
      <c r="O22" s="64">
        <v>0</v>
      </c>
      <c r="P22" s="64">
        <v>3.09</v>
      </c>
      <c r="Q22" s="64">
        <v>9.7899999999999991</v>
      </c>
      <c r="R22" s="198"/>
      <c r="S22" s="198"/>
      <c r="T22" s="198"/>
      <c r="U22" s="198"/>
    </row>
    <row r="23" spans="1:21" s="12" customFormat="1" x14ac:dyDescent="0.25">
      <c r="A23" s="214" t="s">
        <v>1893</v>
      </c>
      <c r="B23" s="64">
        <v>113.35</v>
      </c>
      <c r="C23" s="6" t="s">
        <v>42</v>
      </c>
      <c r="D23" s="64">
        <v>75.02</v>
      </c>
      <c r="E23" s="64">
        <v>6.23</v>
      </c>
      <c r="F23" s="64">
        <v>3</v>
      </c>
      <c r="G23" s="64">
        <v>66.72</v>
      </c>
      <c r="H23" s="64">
        <v>35.07</v>
      </c>
      <c r="I23" s="64">
        <v>0.1</v>
      </c>
      <c r="J23" s="64">
        <v>0.16</v>
      </c>
      <c r="K23" s="64">
        <v>168.91</v>
      </c>
      <c r="L23" s="64">
        <v>12.12</v>
      </c>
      <c r="M23" s="64">
        <v>98.03</v>
      </c>
      <c r="N23" s="64">
        <v>87.2</v>
      </c>
      <c r="O23" s="64">
        <v>0</v>
      </c>
      <c r="P23" s="64">
        <v>3.08</v>
      </c>
      <c r="Q23" s="64">
        <v>9.7899999999999991</v>
      </c>
      <c r="R23" s="198"/>
      <c r="S23" s="198"/>
      <c r="T23" s="198"/>
      <c r="U23" s="198"/>
    </row>
    <row r="24" spans="1:21" s="12" customFormat="1" x14ac:dyDescent="0.25">
      <c r="A24" s="214" t="s">
        <v>1894</v>
      </c>
      <c r="B24" s="64">
        <v>110.33</v>
      </c>
      <c r="C24" s="6" t="s">
        <v>42</v>
      </c>
      <c r="D24" s="64">
        <v>73.430000000000007</v>
      </c>
      <c r="E24" s="64">
        <v>6.48</v>
      </c>
      <c r="F24" s="64">
        <v>3.03</v>
      </c>
      <c r="G24" s="64">
        <v>66.72</v>
      </c>
      <c r="H24" s="64">
        <v>35.07</v>
      </c>
      <c r="I24" s="64">
        <v>0.1</v>
      </c>
      <c r="J24" s="64">
        <v>0.12</v>
      </c>
      <c r="K24" s="64">
        <v>0.22</v>
      </c>
      <c r="L24" s="64">
        <v>12.05</v>
      </c>
      <c r="M24" s="64">
        <v>98.03</v>
      </c>
      <c r="N24" s="64">
        <v>75.099999999999994</v>
      </c>
      <c r="O24" s="64">
        <v>0</v>
      </c>
      <c r="P24" s="64">
        <v>3.05</v>
      </c>
      <c r="Q24" s="64">
        <v>9.7799999999999994</v>
      </c>
      <c r="R24" s="198"/>
      <c r="S24" s="198"/>
      <c r="T24" s="198"/>
      <c r="U24" s="198"/>
    </row>
    <row r="25" spans="1:21" s="12" customFormat="1" x14ac:dyDescent="0.25">
      <c r="A25" s="214" t="s">
        <v>1895</v>
      </c>
      <c r="B25" s="64">
        <v>108.25</v>
      </c>
      <c r="C25" s="6" t="s">
        <v>42</v>
      </c>
      <c r="D25" s="64">
        <v>72.209999999999994</v>
      </c>
      <c r="E25" s="64">
        <v>6.25</v>
      </c>
      <c r="F25" s="64">
        <v>3.72</v>
      </c>
      <c r="G25" s="64">
        <v>67.95</v>
      </c>
      <c r="H25" s="64">
        <v>34.369999999999997</v>
      </c>
      <c r="I25" s="64">
        <v>0.1</v>
      </c>
      <c r="J25" s="64">
        <v>0.36</v>
      </c>
      <c r="K25" s="64">
        <v>254.43</v>
      </c>
      <c r="L25" s="64">
        <v>12.12</v>
      </c>
      <c r="M25" s="64">
        <v>98.03</v>
      </c>
      <c r="N25" s="64">
        <v>76.400000000000006</v>
      </c>
      <c r="O25" s="64">
        <v>0</v>
      </c>
      <c r="P25" s="64">
        <v>3.03</v>
      </c>
      <c r="Q25" s="64">
        <v>9.76</v>
      </c>
      <c r="R25" s="198"/>
      <c r="S25" s="198"/>
      <c r="T25" s="198"/>
      <c r="U25" s="198"/>
    </row>
    <row r="26" spans="1:21" s="12" customFormat="1" x14ac:dyDescent="0.25">
      <c r="A26" s="214" t="s">
        <v>1896</v>
      </c>
      <c r="B26" s="64">
        <v>106.79</v>
      </c>
      <c r="C26" s="6" t="s">
        <v>42</v>
      </c>
      <c r="D26" s="64">
        <v>71.36</v>
      </c>
      <c r="E26" s="64">
        <v>6.5</v>
      </c>
      <c r="F26" s="64">
        <v>3.48</v>
      </c>
      <c r="G26" s="64">
        <v>69.08</v>
      </c>
      <c r="H26" s="64">
        <v>33.72</v>
      </c>
      <c r="I26" s="64">
        <v>0.1</v>
      </c>
      <c r="J26" s="64">
        <v>0.67</v>
      </c>
      <c r="K26" s="64">
        <v>229.71</v>
      </c>
      <c r="L26" s="64">
        <v>12.1</v>
      </c>
      <c r="M26" s="64">
        <v>98.02</v>
      </c>
      <c r="N26" s="64">
        <v>78</v>
      </c>
      <c r="O26" s="64">
        <v>0</v>
      </c>
      <c r="P26" s="64">
        <v>3.01</v>
      </c>
      <c r="Q26" s="64">
        <v>9.77</v>
      </c>
      <c r="R26" s="198"/>
      <c r="S26" s="198"/>
      <c r="T26" s="198"/>
      <c r="U26" s="198"/>
    </row>
    <row r="27" spans="1:21" s="12" customFormat="1" x14ac:dyDescent="0.25">
      <c r="A27" s="214" t="s">
        <v>1897</v>
      </c>
      <c r="B27" s="64">
        <v>106.29</v>
      </c>
      <c r="C27" s="6" t="s">
        <v>42</v>
      </c>
      <c r="D27" s="64">
        <v>70.97</v>
      </c>
      <c r="E27" s="64">
        <v>6.8</v>
      </c>
      <c r="F27" s="64">
        <v>3.29</v>
      </c>
      <c r="G27" s="64">
        <v>69.08</v>
      </c>
      <c r="H27" s="64">
        <v>33.72</v>
      </c>
      <c r="I27" s="64">
        <v>0.1</v>
      </c>
      <c r="J27" s="64">
        <v>0.36</v>
      </c>
      <c r="K27" s="64">
        <v>262.14999999999998</v>
      </c>
      <c r="L27" s="64">
        <v>11.93</v>
      </c>
      <c r="M27" s="64">
        <v>98.02</v>
      </c>
      <c r="N27" s="64">
        <v>87.9</v>
      </c>
      <c r="O27" s="64">
        <v>0</v>
      </c>
      <c r="P27" s="64">
        <v>2.99</v>
      </c>
      <c r="Q27" s="64">
        <v>9.7799999999999994</v>
      </c>
      <c r="R27" s="198"/>
      <c r="S27" s="198"/>
      <c r="T27" s="198"/>
      <c r="U27" s="198"/>
    </row>
    <row r="28" spans="1:21" s="12" customFormat="1" x14ac:dyDescent="0.25">
      <c r="A28" s="214" t="s">
        <v>1898</v>
      </c>
      <c r="B28" s="64">
        <v>106.02</v>
      </c>
      <c r="C28" s="6" t="s">
        <v>42</v>
      </c>
      <c r="D28" s="64">
        <v>70.63</v>
      </c>
      <c r="E28" s="64">
        <v>6.34</v>
      </c>
      <c r="F28" s="64">
        <v>3.53</v>
      </c>
      <c r="G28" s="64">
        <v>69.08</v>
      </c>
      <c r="H28" s="64">
        <v>33.72</v>
      </c>
      <c r="I28" s="64">
        <v>0.1</v>
      </c>
      <c r="J28" s="64">
        <v>0.91</v>
      </c>
      <c r="K28" s="64">
        <v>234.94</v>
      </c>
      <c r="L28" s="64">
        <v>11.98</v>
      </c>
      <c r="M28" s="64">
        <v>98.03</v>
      </c>
      <c r="N28" s="64">
        <v>70.3</v>
      </c>
      <c r="O28" s="64">
        <v>0</v>
      </c>
      <c r="P28" s="64">
        <v>2.96</v>
      </c>
      <c r="Q28" s="64">
        <v>9.7799999999999994</v>
      </c>
      <c r="R28" s="198"/>
      <c r="S28" s="198"/>
      <c r="T28" s="198"/>
      <c r="U28" s="198"/>
    </row>
    <row r="29" spans="1:21" s="12" customFormat="1" x14ac:dyDescent="0.25">
      <c r="A29" s="214" t="s">
        <v>1899</v>
      </c>
      <c r="B29" s="64">
        <v>105.03</v>
      </c>
      <c r="C29" s="6" t="s">
        <v>42</v>
      </c>
      <c r="D29" s="64">
        <v>69.81</v>
      </c>
      <c r="E29" s="64">
        <v>6.56</v>
      </c>
      <c r="F29" s="64">
        <v>3.51</v>
      </c>
      <c r="G29" s="64">
        <v>82.54</v>
      </c>
      <c r="H29" s="64">
        <v>34.130000000000003</v>
      </c>
      <c r="I29" s="64">
        <v>0.1</v>
      </c>
      <c r="J29" s="64">
        <v>0.66</v>
      </c>
      <c r="K29" s="64">
        <v>278.12</v>
      </c>
      <c r="L29" s="64">
        <v>11.8</v>
      </c>
      <c r="M29" s="64">
        <v>98.03</v>
      </c>
      <c r="N29" s="64">
        <v>66.599999999999994</v>
      </c>
      <c r="O29" s="64">
        <v>0</v>
      </c>
      <c r="P29" s="64">
        <v>2.86</v>
      </c>
      <c r="Q29" s="64">
        <v>9.77</v>
      </c>
      <c r="R29" s="198"/>
      <c r="S29" s="198"/>
      <c r="T29" s="198"/>
      <c r="U29" s="198"/>
    </row>
    <row r="30" spans="1:21" s="12" customFormat="1" x14ac:dyDescent="0.25">
      <c r="A30" s="214" t="s">
        <v>1900</v>
      </c>
      <c r="B30" s="64">
        <v>104.02</v>
      </c>
      <c r="C30" s="6" t="s">
        <v>42</v>
      </c>
      <c r="D30" s="64">
        <v>68.81</v>
      </c>
      <c r="E30" s="64">
        <v>6.69</v>
      </c>
      <c r="F30" s="64">
        <v>3.84</v>
      </c>
      <c r="G30" s="64">
        <v>94.86</v>
      </c>
      <c r="H30" s="64">
        <v>34.32</v>
      </c>
      <c r="I30" s="64">
        <v>0.1</v>
      </c>
      <c r="J30" s="64">
        <v>0.6</v>
      </c>
      <c r="K30" s="64">
        <v>302.49</v>
      </c>
      <c r="L30" s="64">
        <v>11.51</v>
      </c>
      <c r="M30" s="64">
        <v>98.03</v>
      </c>
      <c r="N30" s="64">
        <v>66.099999999999994</v>
      </c>
      <c r="O30" s="64">
        <v>0</v>
      </c>
      <c r="P30" s="64">
        <v>2.75</v>
      </c>
      <c r="Q30" s="64">
        <v>9.7799999999999994</v>
      </c>
      <c r="R30" s="198"/>
      <c r="S30" s="198"/>
      <c r="T30" s="198"/>
      <c r="U30" s="198"/>
    </row>
    <row r="31" spans="1:21" s="12" customFormat="1" x14ac:dyDescent="0.25">
      <c r="A31" s="214" t="s">
        <v>1901</v>
      </c>
      <c r="B31" s="64">
        <v>103.18</v>
      </c>
      <c r="C31" s="6" t="s">
        <v>42</v>
      </c>
      <c r="D31" s="64">
        <v>68.400000000000006</v>
      </c>
      <c r="E31" s="64">
        <v>6.27</v>
      </c>
      <c r="F31" s="64">
        <v>3.39</v>
      </c>
      <c r="G31" s="64">
        <v>94.86</v>
      </c>
      <c r="H31" s="64">
        <v>34.32</v>
      </c>
      <c r="I31" s="64">
        <v>0.1</v>
      </c>
      <c r="J31" s="64">
        <v>0.33</v>
      </c>
      <c r="K31" s="64">
        <v>285.74</v>
      </c>
      <c r="L31" s="64">
        <v>11.38</v>
      </c>
      <c r="M31" s="64">
        <v>98.07</v>
      </c>
      <c r="N31" s="64">
        <v>65.900000000000006</v>
      </c>
      <c r="O31" s="64">
        <v>0</v>
      </c>
      <c r="P31" s="64">
        <v>2.61</v>
      </c>
      <c r="Q31" s="64">
        <v>9.77</v>
      </c>
      <c r="R31" s="198"/>
      <c r="S31" s="198"/>
      <c r="T31" s="198"/>
      <c r="U31" s="198"/>
    </row>
    <row r="32" spans="1:21" s="12" customFormat="1" x14ac:dyDescent="0.25">
      <c r="A32" s="214" t="s">
        <v>1902</v>
      </c>
      <c r="B32" s="64">
        <v>103.39</v>
      </c>
      <c r="C32" s="6" t="s">
        <v>42</v>
      </c>
      <c r="D32" s="64">
        <v>68.5</v>
      </c>
      <c r="E32" s="64">
        <v>6.24</v>
      </c>
      <c r="F32" s="64">
        <v>3.12</v>
      </c>
      <c r="G32" s="64">
        <v>94.86</v>
      </c>
      <c r="H32" s="64">
        <v>34.32</v>
      </c>
      <c r="I32" s="64">
        <v>0.1</v>
      </c>
      <c r="J32" s="64">
        <v>0.8</v>
      </c>
      <c r="K32" s="64">
        <v>342.46</v>
      </c>
      <c r="L32" s="64">
        <v>11.22</v>
      </c>
      <c r="M32" s="64">
        <v>98.07</v>
      </c>
      <c r="N32" s="64">
        <v>66.099999999999994</v>
      </c>
      <c r="O32" s="64">
        <v>0</v>
      </c>
      <c r="P32" s="64">
        <v>2.5099999999999998</v>
      </c>
      <c r="Q32" s="64">
        <v>9.76</v>
      </c>
      <c r="R32" s="198"/>
      <c r="S32" s="198"/>
      <c r="T32" s="198"/>
      <c r="U32" s="198"/>
    </row>
    <row r="33" spans="1:21" s="12" customFormat="1" x14ac:dyDescent="0.25">
      <c r="A33" s="214" t="s">
        <v>1903</v>
      </c>
      <c r="B33" s="64">
        <v>105.18</v>
      </c>
      <c r="C33" s="6" t="s">
        <v>42</v>
      </c>
      <c r="D33" s="64">
        <v>69.42</v>
      </c>
      <c r="E33" s="64">
        <v>6.19</v>
      </c>
      <c r="F33" s="64">
        <v>3.06</v>
      </c>
      <c r="G33" s="64">
        <v>86.1</v>
      </c>
      <c r="H33" s="64">
        <v>32.07</v>
      </c>
      <c r="I33" s="64">
        <v>0.1</v>
      </c>
      <c r="J33" s="64">
        <v>0.82</v>
      </c>
      <c r="K33" s="64">
        <v>312.38</v>
      </c>
      <c r="L33" s="64">
        <v>11.11</v>
      </c>
      <c r="M33" s="64">
        <v>98.08</v>
      </c>
      <c r="N33" s="64">
        <v>66.3</v>
      </c>
      <c r="O33" s="64">
        <v>0</v>
      </c>
      <c r="P33" s="64">
        <v>2.4500000000000002</v>
      </c>
      <c r="Q33" s="64">
        <v>9.7799999999999994</v>
      </c>
      <c r="R33" s="198"/>
      <c r="S33" s="198"/>
      <c r="T33" s="198"/>
      <c r="U33" s="198"/>
    </row>
    <row r="34" spans="1:21" s="12" customFormat="1" x14ac:dyDescent="0.25">
      <c r="A34" s="214" t="s">
        <v>1904</v>
      </c>
      <c r="B34" s="64">
        <v>107.74</v>
      </c>
      <c r="C34" s="6" t="s">
        <v>42</v>
      </c>
      <c r="D34" s="64">
        <v>70.680000000000007</v>
      </c>
      <c r="E34" s="64">
        <v>6.02</v>
      </c>
      <c r="F34" s="64">
        <v>3.14</v>
      </c>
      <c r="G34" s="64">
        <v>78.08</v>
      </c>
      <c r="H34" s="64">
        <v>31.04</v>
      </c>
      <c r="I34" s="64">
        <v>0.1</v>
      </c>
      <c r="J34" s="64">
        <v>0.65</v>
      </c>
      <c r="K34" s="64">
        <v>315.14999999999998</v>
      </c>
      <c r="L34" s="64">
        <v>11.09</v>
      </c>
      <c r="M34" s="64">
        <v>98.1</v>
      </c>
      <c r="N34" s="64">
        <v>68</v>
      </c>
      <c r="O34" s="64">
        <v>0</v>
      </c>
      <c r="P34" s="64">
        <v>2.4</v>
      </c>
      <c r="Q34" s="64">
        <v>9.7799999999999994</v>
      </c>
      <c r="R34" s="198"/>
      <c r="S34" s="198"/>
      <c r="T34" s="198"/>
      <c r="U34" s="198"/>
    </row>
    <row r="35" spans="1:21" s="12" customFormat="1" x14ac:dyDescent="0.25">
      <c r="A35" s="214" t="s">
        <v>1905</v>
      </c>
      <c r="B35" s="64">
        <v>110.63</v>
      </c>
      <c r="C35" s="6" t="s">
        <v>42</v>
      </c>
      <c r="D35" s="64">
        <v>72.12</v>
      </c>
      <c r="E35" s="64">
        <v>6.24</v>
      </c>
      <c r="F35" s="64">
        <v>3.24</v>
      </c>
      <c r="G35" s="64">
        <v>78.08</v>
      </c>
      <c r="H35" s="64">
        <v>31.04</v>
      </c>
      <c r="I35" s="64">
        <v>0.1</v>
      </c>
      <c r="J35" s="64">
        <v>0.81</v>
      </c>
      <c r="K35" s="64">
        <v>300.37</v>
      </c>
      <c r="L35" s="64">
        <v>11.19</v>
      </c>
      <c r="M35" s="64">
        <v>98.1</v>
      </c>
      <c r="N35" s="64">
        <v>74.599999999999994</v>
      </c>
      <c r="O35" s="64">
        <v>0</v>
      </c>
      <c r="P35" s="64">
        <v>2.35</v>
      </c>
      <c r="Q35" s="64">
        <v>9.7799999999999994</v>
      </c>
      <c r="R35" s="198"/>
      <c r="S35" s="198"/>
      <c r="T35" s="198"/>
      <c r="U35" s="198"/>
    </row>
    <row r="36" spans="1:21" s="12" customFormat="1" x14ac:dyDescent="0.25">
      <c r="A36" s="214" t="s">
        <v>1906</v>
      </c>
      <c r="B36" s="64">
        <v>112.28</v>
      </c>
      <c r="C36" s="6" t="s">
        <v>42</v>
      </c>
      <c r="D36" s="64">
        <v>73.05</v>
      </c>
      <c r="E36" s="64">
        <v>5.92</v>
      </c>
      <c r="F36" s="64">
        <v>3.41</v>
      </c>
      <c r="G36" s="64">
        <v>78.08</v>
      </c>
      <c r="H36" s="64">
        <v>31.04</v>
      </c>
      <c r="I36" s="64">
        <v>0.1</v>
      </c>
      <c r="J36" s="64">
        <v>0.64</v>
      </c>
      <c r="K36" s="64">
        <v>329.04</v>
      </c>
      <c r="L36" s="64">
        <v>11.38</v>
      </c>
      <c r="M36" s="64">
        <v>98.1</v>
      </c>
      <c r="N36" s="64">
        <v>85.9</v>
      </c>
      <c r="O36" s="64">
        <v>0</v>
      </c>
      <c r="P36" s="64">
        <v>2.31</v>
      </c>
      <c r="Q36" s="64">
        <v>9.7899999999999991</v>
      </c>
      <c r="R36" s="198"/>
      <c r="S36" s="198"/>
      <c r="T36" s="198"/>
      <c r="U36" s="198"/>
    </row>
    <row r="37" spans="1:21" s="12" customFormat="1" x14ac:dyDescent="0.25">
      <c r="A37" s="214" t="s">
        <v>1907</v>
      </c>
      <c r="B37" s="64">
        <v>114.41</v>
      </c>
      <c r="C37" s="6" t="s">
        <v>42</v>
      </c>
      <c r="D37" s="64">
        <v>74.17</v>
      </c>
      <c r="E37" s="64">
        <v>5.97</v>
      </c>
      <c r="F37" s="64">
        <v>3.21</v>
      </c>
      <c r="G37" s="64">
        <v>78.8</v>
      </c>
      <c r="H37" s="64">
        <v>31.16</v>
      </c>
      <c r="I37" s="64">
        <v>0.1</v>
      </c>
      <c r="J37" s="64">
        <v>0.78</v>
      </c>
      <c r="K37" s="64">
        <v>217.63</v>
      </c>
      <c r="L37" s="64">
        <v>11.88</v>
      </c>
      <c r="M37" s="64">
        <v>98.1</v>
      </c>
      <c r="N37" s="64">
        <v>98.4</v>
      </c>
      <c r="O37" s="64">
        <v>0</v>
      </c>
      <c r="P37" s="64">
        <v>2.42</v>
      </c>
      <c r="Q37" s="64">
        <v>9.8000000000000007</v>
      </c>
      <c r="R37" s="198"/>
      <c r="S37" s="198"/>
      <c r="T37" s="198"/>
      <c r="U37" s="198"/>
    </row>
    <row r="38" spans="1:21" s="12" customFormat="1" x14ac:dyDescent="0.25">
      <c r="A38" s="214" t="s">
        <v>1908</v>
      </c>
      <c r="B38" s="64">
        <v>114.52</v>
      </c>
      <c r="C38" s="6" t="s">
        <v>42</v>
      </c>
      <c r="D38" s="64">
        <v>74.31</v>
      </c>
      <c r="E38" s="64">
        <v>6.13</v>
      </c>
      <c r="F38" s="64">
        <v>3.18</v>
      </c>
      <c r="G38" s="64">
        <v>79.459999999999994</v>
      </c>
      <c r="H38" s="64">
        <v>31.22</v>
      </c>
      <c r="I38" s="64">
        <v>0.1</v>
      </c>
      <c r="J38" s="64">
        <v>0.75</v>
      </c>
      <c r="K38" s="64">
        <v>217.08</v>
      </c>
      <c r="L38" s="64">
        <v>12.58</v>
      </c>
      <c r="M38" s="64">
        <v>98.09</v>
      </c>
      <c r="N38" s="64">
        <v>120.3</v>
      </c>
      <c r="O38" s="64">
        <v>0</v>
      </c>
      <c r="P38" s="64">
        <v>2.5499999999999998</v>
      </c>
      <c r="Q38" s="64">
        <v>9.7799999999999994</v>
      </c>
      <c r="R38" s="198"/>
      <c r="S38" s="198"/>
      <c r="T38" s="198"/>
      <c r="U38" s="198"/>
    </row>
    <row r="39" spans="1:21" s="12" customFormat="1" x14ac:dyDescent="0.25">
      <c r="A39" s="214" t="s">
        <v>1909</v>
      </c>
      <c r="B39" s="64">
        <v>113.38</v>
      </c>
      <c r="C39" s="6" t="s">
        <v>42</v>
      </c>
      <c r="D39" s="64">
        <v>73.59</v>
      </c>
      <c r="E39" s="64">
        <v>6.06</v>
      </c>
      <c r="F39" s="64">
        <v>2.94</v>
      </c>
      <c r="G39" s="64">
        <v>79.459999999999994</v>
      </c>
      <c r="H39" s="64">
        <v>31.22</v>
      </c>
      <c r="I39" s="64">
        <v>0.1</v>
      </c>
      <c r="J39" s="64">
        <v>0.4</v>
      </c>
      <c r="K39" s="64">
        <v>186.84</v>
      </c>
      <c r="L39" s="64">
        <v>14.09</v>
      </c>
      <c r="M39" s="64">
        <v>97.89</v>
      </c>
      <c r="N39" s="64">
        <v>193.9</v>
      </c>
      <c r="O39" s="64">
        <v>0</v>
      </c>
      <c r="P39" s="64">
        <v>2.5099999999999998</v>
      </c>
      <c r="Q39" s="64">
        <v>9.76</v>
      </c>
      <c r="R39" s="198"/>
      <c r="S39" s="198"/>
      <c r="T39" s="198"/>
      <c r="U39" s="198"/>
    </row>
    <row r="40" spans="1:21" s="12" customFormat="1" x14ac:dyDescent="0.25">
      <c r="A40" s="214" t="s">
        <v>1910</v>
      </c>
      <c r="B40" s="64">
        <v>111.96</v>
      </c>
      <c r="C40" s="6" t="s">
        <v>42</v>
      </c>
      <c r="D40" s="64">
        <v>72.89</v>
      </c>
      <c r="E40" s="64">
        <v>4.42</v>
      </c>
      <c r="F40" s="64">
        <v>3.26</v>
      </c>
      <c r="G40" s="64">
        <v>79.459999999999994</v>
      </c>
      <c r="H40" s="64">
        <v>31.22</v>
      </c>
      <c r="I40" s="64">
        <v>0.1</v>
      </c>
      <c r="J40" s="64">
        <v>1.01</v>
      </c>
      <c r="K40" s="64">
        <v>345.71</v>
      </c>
      <c r="L40" s="64">
        <v>17.91</v>
      </c>
      <c r="M40" s="64">
        <v>82.13</v>
      </c>
      <c r="N40" s="64">
        <v>244.5</v>
      </c>
      <c r="O40" s="64">
        <v>0</v>
      </c>
      <c r="P40" s="64">
        <v>2.5299999999999998</v>
      </c>
      <c r="Q40" s="64">
        <v>9.77</v>
      </c>
      <c r="R40" s="198"/>
      <c r="S40" s="198"/>
      <c r="T40" s="198"/>
      <c r="U40" s="198"/>
    </row>
    <row r="41" spans="1:21" s="12" customFormat="1" x14ac:dyDescent="0.25">
      <c r="A41" s="214" t="s">
        <v>1911</v>
      </c>
      <c r="B41" s="64">
        <v>110.68</v>
      </c>
      <c r="C41" s="6" t="s">
        <v>42</v>
      </c>
      <c r="D41" s="64">
        <v>72.94</v>
      </c>
      <c r="E41" s="64">
        <v>5.35</v>
      </c>
      <c r="F41" s="64">
        <v>2.92</v>
      </c>
      <c r="G41" s="64">
        <v>79.78</v>
      </c>
      <c r="H41" s="64">
        <v>31.19</v>
      </c>
      <c r="I41" s="64">
        <v>0.1</v>
      </c>
      <c r="J41" s="64">
        <v>0.88</v>
      </c>
      <c r="K41" s="64">
        <v>335.72</v>
      </c>
      <c r="L41" s="64">
        <v>20.64</v>
      </c>
      <c r="M41" s="64">
        <v>52.51</v>
      </c>
      <c r="N41" s="64">
        <v>286.39999999999998</v>
      </c>
      <c r="O41" s="64">
        <v>0</v>
      </c>
      <c r="P41" s="64">
        <v>2.57</v>
      </c>
      <c r="Q41" s="64">
        <v>9.77</v>
      </c>
      <c r="R41" s="198"/>
      <c r="S41" s="198"/>
      <c r="T41" s="198"/>
      <c r="U41" s="198"/>
    </row>
    <row r="42" spans="1:21" s="12" customFormat="1" x14ac:dyDescent="0.25">
      <c r="A42" s="214" t="s">
        <v>1912</v>
      </c>
      <c r="B42" s="64">
        <v>108.85</v>
      </c>
      <c r="C42" s="6" t="s">
        <v>42</v>
      </c>
      <c r="D42" s="64">
        <v>72.42</v>
      </c>
      <c r="E42" s="64">
        <v>5.72</v>
      </c>
      <c r="F42" s="64">
        <v>2.95</v>
      </c>
      <c r="G42" s="64">
        <v>80.08</v>
      </c>
      <c r="H42" s="64">
        <v>31.16</v>
      </c>
      <c r="I42" s="64">
        <v>0.1</v>
      </c>
      <c r="J42" s="64">
        <v>0.96</v>
      </c>
      <c r="K42" s="64">
        <v>330.73</v>
      </c>
      <c r="L42" s="64">
        <v>22.69</v>
      </c>
      <c r="M42" s="64">
        <v>42.47</v>
      </c>
      <c r="N42" s="64">
        <v>285.89999999999998</v>
      </c>
      <c r="O42" s="64">
        <v>0</v>
      </c>
      <c r="P42" s="64">
        <v>2.57</v>
      </c>
      <c r="Q42" s="64">
        <v>9.77</v>
      </c>
      <c r="R42" s="198"/>
      <c r="S42" s="198"/>
      <c r="T42" s="198"/>
      <c r="U42" s="198"/>
    </row>
    <row r="43" spans="1:21" s="12" customFormat="1" x14ac:dyDescent="0.25">
      <c r="A43" s="214" t="s">
        <v>1913</v>
      </c>
      <c r="B43" s="64">
        <v>105.18</v>
      </c>
      <c r="C43" s="6" t="s">
        <v>42</v>
      </c>
      <c r="D43" s="64">
        <v>70.930000000000007</v>
      </c>
      <c r="E43" s="64">
        <v>5.74</v>
      </c>
      <c r="F43" s="64">
        <v>2.8</v>
      </c>
      <c r="G43" s="64">
        <v>80.08</v>
      </c>
      <c r="H43" s="64">
        <v>31.16</v>
      </c>
      <c r="I43" s="64">
        <v>0.1</v>
      </c>
      <c r="J43" s="64">
        <v>0.64</v>
      </c>
      <c r="K43" s="64">
        <v>345.96</v>
      </c>
      <c r="L43" s="64">
        <v>22.76</v>
      </c>
      <c r="M43" s="64">
        <v>42.82</v>
      </c>
      <c r="N43" s="64">
        <v>321.3</v>
      </c>
      <c r="O43" s="64">
        <v>0</v>
      </c>
      <c r="P43" s="64">
        <v>2.59</v>
      </c>
      <c r="Q43" s="64">
        <v>9.76</v>
      </c>
      <c r="R43" s="198"/>
      <c r="S43" s="198"/>
      <c r="T43" s="198"/>
      <c r="U43" s="198"/>
    </row>
    <row r="44" spans="1:21" s="12" customFormat="1" x14ac:dyDescent="0.25">
      <c r="A44" s="214" t="s">
        <v>1914</v>
      </c>
      <c r="B44" s="64">
        <v>101.44</v>
      </c>
      <c r="C44" s="6" t="s">
        <v>42</v>
      </c>
      <c r="D44" s="64">
        <v>69.83</v>
      </c>
      <c r="E44" s="64">
        <v>6.07</v>
      </c>
      <c r="F44" s="64">
        <v>3</v>
      </c>
      <c r="G44" s="64">
        <v>80.08</v>
      </c>
      <c r="H44" s="64">
        <v>31.16</v>
      </c>
      <c r="I44" s="64">
        <v>0.1</v>
      </c>
      <c r="J44" s="64">
        <v>1.45</v>
      </c>
      <c r="K44" s="64">
        <v>345.32</v>
      </c>
      <c r="L44" s="64">
        <v>23.92</v>
      </c>
      <c r="M44" s="64">
        <v>38.729999999999997</v>
      </c>
      <c r="N44" s="64">
        <v>317</v>
      </c>
      <c r="O44" s="64">
        <v>0</v>
      </c>
      <c r="P44" s="64">
        <v>2.62</v>
      </c>
      <c r="Q44" s="64">
        <v>9.76</v>
      </c>
      <c r="R44" s="198"/>
      <c r="S44" s="198"/>
      <c r="T44" s="198"/>
      <c r="U44" s="198"/>
    </row>
    <row r="45" spans="1:21" s="12" customFormat="1" x14ac:dyDescent="0.25">
      <c r="A45" s="214" t="s">
        <v>1915</v>
      </c>
      <c r="B45" s="64">
        <v>99.29</v>
      </c>
      <c r="C45" s="6" t="s">
        <v>42</v>
      </c>
      <c r="D45" s="64">
        <v>68.790000000000006</v>
      </c>
      <c r="E45" s="64">
        <v>6.11</v>
      </c>
      <c r="F45" s="64">
        <v>3.3</v>
      </c>
      <c r="G45" s="64">
        <v>185.44</v>
      </c>
      <c r="H45" s="64">
        <v>34.369999999999997</v>
      </c>
      <c r="I45" s="64">
        <v>0.1</v>
      </c>
      <c r="J45" s="64">
        <v>0.22</v>
      </c>
      <c r="K45" s="64">
        <v>81.47</v>
      </c>
      <c r="L45" s="64">
        <v>23.02</v>
      </c>
      <c r="M45" s="64">
        <v>41.82</v>
      </c>
      <c r="N45" s="64">
        <v>342.2</v>
      </c>
      <c r="O45" s="64">
        <v>0</v>
      </c>
      <c r="P45" s="64">
        <v>2.73</v>
      </c>
      <c r="Q45" s="64">
        <v>9.77</v>
      </c>
      <c r="R45" s="198"/>
      <c r="S45" s="198"/>
      <c r="T45" s="198"/>
      <c r="U45" s="198"/>
    </row>
    <row r="46" spans="1:21" s="12" customFormat="1" x14ac:dyDescent="0.25">
      <c r="A46" s="214" t="s">
        <v>1916</v>
      </c>
      <c r="B46" s="64">
        <v>96.61</v>
      </c>
      <c r="C46" s="6" t="s">
        <v>42</v>
      </c>
      <c r="D46" s="64">
        <v>67.78</v>
      </c>
      <c r="E46" s="64">
        <v>6.47</v>
      </c>
      <c r="F46" s="64">
        <v>3.17</v>
      </c>
      <c r="G46" s="64">
        <v>281.82</v>
      </c>
      <c r="H46" s="64">
        <v>35.81</v>
      </c>
      <c r="I46" s="64">
        <v>0.1</v>
      </c>
      <c r="J46" s="64">
        <v>0.49</v>
      </c>
      <c r="K46" s="64">
        <v>345.88</v>
      </c>
      <c r="L46" s="64">
        <v>23.53</v>
      </c>
      <c r="M46" s="64">
        <v>38.35</v>
      </c>
      <c r="N46" s="64">
        <v>411.8</v>
      </c>
      <c r="O46" s="64">
        <v>0</v>
      </c>
      <c r="P46" s="64">
        <v>2.78</v>
      </c>
      <c r="Q46" s="64">
        <v>9.75</v>
      </c>
      <c r="R46" s="198"/>
      <c r="S46" s="198"/>
      <c r="T46" s="198"/>
      <c r="U46" s="198"/>
    </row>
    <row r="47" spans="1:21" s="12" customFormat="1" x14ac:dyDescent="0.25">
      <c r="A47" s="214" t="s">
        <v>1917</v>
      </c>
      <c r="B47" s="64">
        <v>93.62</v>
      </c>
      <c r="C47" s="6" t="s">
        <v>42</v>
      </c>
      <c r="D47" s="64">
        <v>66.33</v>
      </c>
      <c r="E47" s="64">
        <v>6.48</v>
      </c>
      <c r="F47" s="64">
        <v>3.44</v>
      </c>
      <c r="G47" s="64">
        <v>281.82</v>
      </c>
      <c r="H47" s="64">
        <v>35.81</v>
      </c>
      <c r="I47" s="64">
        <v>0.1</v>
      </c>
      <c r="J47" s="64">
        <v>0.39</v>
      </c>
      <c r="K47" s="64">
        <v>23.4</v>
      </c>
      <c r="L47" s="64">
        <v>24.13</v>
      </c>
      <c r="M47" s="64">
        <v>33.700000000000003</v>
      </c>
      <c r="N47" s="64">
        <v>454.7</v>
      </c>
      <c r="O47" s="64">
        <v>0</v>
      </c>
      <c r="P47" s="64">
        <v>2.74</v>
      </c>
      <c r="Q47" s="64">
        <v>9.74</v>
      </c>
      <c r="R47" s="198"/>
      <c r="S47" s="198"/>
      <c r="T47" s="198"/>
      <c r="U47" s="198"/>
    </row>
    <row r="48" spans="1:21" s="12" customFormat="1" x14ac:dyDescent="0.25">
      <c r="A48" s="214" t="s">
        <v>1918</v>
      </c>
      <c r="B48" s="64">
        <v>4.1399999999999997</v>
      </c>
      <c r="C48" s="64">
        <v>0.43</v>
      </c>
      <c r="D48" s="64">
        <v>2.41</v>
      </c>
      <c r="E48" s="64">
        <v>8.36</v>
      </c>
      <c r="F48" s="64">
        <v>4.2</v>
      </c>
      <c r="G48" s="64">
        <v>0</v>
      </c>
      <c r="H48" s="64">
        <v>0</v>
      </c>
      <c r="I48" s="64">
        <v>0.1</v>
      </c>
      <c r="J48" s="64">
        <v>1.1200000000000001</v>
      </c>
      <c r="K48" s="64">
        <v>338.47</v>
      </c>
      <c r="L48" s="64">
        <v>26.09</v>
      </c>
      <c r="M48" s="64">
        <v>28.55</v>
      </c>
      <c r="N48" s="64">
        <v>488.4</v>
      </c>
      <c r="O48" s="64">
        <v>0</v>
      </c>
      <c r="P48" s="64">
        <v>2.33</v>
      </c>
      <c r="Q48" s="64">
        <v>9.7200000000000006</v>
      </c>
      <c r="R48" s="198"/>
      <c r="S48" s="198"/>
      <c r="T48" s="198"/>
      <c r="U48" s="198"/>
    </row>
    <row r="49" spans="1:21" s="12" customFormat="1" x14ac:dyDescent="0.25">
      <c r="A49" s="214" t="s">
        <v>1919</v>
      </c>
      <c r="B49" s="6" t="s">
        <v>42</v>
      </c>
      <c r="C49" s="64">
        <v>0.88</v>
      </c>
      <c r="D49" s="6" t="s">
        <v>42</v>
      </c>
      <c r="E49" s="64">
        <v>7.53</v>
      </c>
      <c r="F49" s="64">
        <v>3.81</v>
      </c>
      <c r="G49" s="64">
        <v>0</v>
      </c>
      <c r="H49" s="64">
        <v>0</v>
      </c>
      <c r="I49" s="64">
        <v>0.1</v>
      </c>
      <c r="J49" s="64">
        <v>1.18</v>
      </c>
      <c r="K49" s="64">
        <v>344.9</v>
      </c>
      <c r="L49" s="64">
        <v>26.68</v>
      </c>
      <c r="M49" s="64">
        <v>27.63</v>
      </c>
      <c r="N49" s="64">
        <v>507.3</v>
      </c>
      <c r="O49" s="64">
        <v>0</v>
      </c>
      <c r="P49" s="64">
        <v>2.09</v>
      </c>
      <c r="Q49" s="64">
        <v>9.7200000000000006</v>
      </c>
      <c r="R49" s="198"/>
      <c r="S49" s="198"/>
      <c r="T49" s="198"/>
      <c r="U49" s="198"/>
    </row>
    <row r="50" spans="1:21" s="12" customFormat="1" x14ac:dyDescent="0.25">
      <c r="A50" s="214" t="s">
        <v>1920</v>
      </c>
      <c r="B50" s="6" t="s">
        <v>42</v>
      </c>
      <c r="C50" s="64">
        <v>0.88</v>
      </c>
      <c r="D50" s="6" t="s">
        <v>42</v>
      </c>
      <c r="E50" s="64">
        <v>6.92</v>
      </c>
      <c r="F50" s="64">
        <v>4.28</v>
      </c>
      <c r="G50" s="64">
        <v>0</v>
      </c>
      <c r="H50" s="64">
        <v>0</v>
      </c>
      <c r="I50" s="64">
        <v>0.1</v>
      </c>
      <c r="J50" s="64">
        <v>0.73</v>
      </c>
      <c r="K50" s="64">
        <v>348.13</v>
      </c>
      <c r="L50" s="64">
        <v>27.15</v>
      </c>
      <c r="M50" s="64">
        <v>26.94</v>
      </c>
      <c r="N50" s="64">
        <v>519.6</v>
      </c>
      <c r="O50" s="64">
        <v>0</v>
      </c>
      <c r="P50" s="64">
        <v>1.85</v>
      </c>
      <c r="Q50" s="64">
        <v>9.7200000000000006</v>
      </c>
      <c r="R50" s="198"/>
      <c r="S50" s="198"/>
      <c r="T50" s="198"/>
      <c r="U50" s="198"/>
    </row>
    <row r="51" spans="1:21" s="12" customFormat="1" x14ac:dyDescent="0.25">
      <c r="A51" s="214" t="s">
        <v>1921</v>
      </c>
      <c r="B51" s="6" t="s">
        <v>42</v>
      </c>
      <c r="C51" s="64">
        <v>0.88</v>
      </c>
      <c r="D51" s="6" t="s">
        <v>42</v>
      </c>
      <c r="E51" s="64">
        <v>5.74</v>
      </c>
      <c r="F51" s="64">
        <v>3.6</v>
      </c>
      <c r="G51" s="64">
        <v>0</v>
      </c>
      <c r="H51" s="64">
        <v>0</v>
      </c>
      <c r="I51" s="64">
        <v>0.1</v>
      </c>
      <c r="J51" s="64">
        <v>0.49</v>
      </c>
      <c r="K51" s="64">
        <v>21.98</v>
      </c>
      <c r="L51" s="64">
        <v>25.93</v>
      </c>
      <c r="M51" s="64">
        <v>30.05</v>
      </c>
      <c r="N51" s="64">
        <v>527.9</v>
      </c>
      <c r="O51" s="64">
        <v>0</v>
      </c>
      <c r="P51" s="64">
        <v>1.67</v>
      </c>
      <c r="Q51" s="64">
        <v>9.68</v>
      </c>
      <c r="R51" s="198"/>
      <c r="S51" s="198"/>
      <c r="T51" s="198"/>
      <c r="U51" s="198"/>
    </row>
    <row r="52" spans="1:21" s="12" customFormat="1" x14ac:dyDescent="0.25">
      <c r="A52" s="214" t="s">
        <v>1922</v>
      </c>
      <c r="B52" s="6" t="s">
        <v>42</v>
      </c>
      <c r="C52" s="64">
        <v>0.88</v>
      </c>
      <c r="D52" s="6" t="s">
        <v>42</v>
      </c>
      <c r="E52" s="64">
        <v>6.14</v>
      </c>
      <c r="F52" s="64">
        <v>5.67</v>
      </c>
      <c r="G52" s="64">
        <v>46.87</v>
      </c>
      <c r="H52" s="64">
        <v>11.6</v>
      </c>
      <c r="I52" s="64">
        <v>0.1</v>
      </c>
      <c r="J52" s="64">
        <v>1.57</v>
      </c>
      <c r="K52" s="64">
        <v>339.72</v>
      </c>
      <c r="L52" s="64">
        <v>28.01</v>
      </c>
      <c r="M52" s="64">
        <v>25.28</v>
      </c>
      <c r="N52" s="64">
        <v>523.9</v>
      </c>
      <c r="O52" s="64">
        <v>0</v>
      </c>
      <c r="P52" s="64">
        <v>1.44</v>
      </c>
      <c r="Q52" s="64">
        <v>9.69</v>
      </c>
      <c r="R52" s="198"/>
      <c r="S52" s="198"/>
      <c r="T52" s="198"/>
      <c r="U52" s="198"/>
    </row>
    <row r="53" spans="1:21" s="12" customFormat="1" x14ac:dyDescent="0.25">
      <c r="A53" s="214" t="s">
        <v>1923</v>
      </c>
      <c r="B53" s="6" t="s">
        <v>42</v>
      </c>
      <c r="C53" s="64">
        <v>0.88</v>
      </c>
      <c r="D53" s="6" t="s">
        <v>42</v>
      </c>
      <c r="E53" s="64">
        <v>5.52</v>
      </c>
      <c r="F53" s="64">
        <v>3.15</v>
      </c>
      <c r="G53" s="64">
        <v>46.87</v>
      </c>
      <c r="H53" s="64">
        <v>11.6</v>
      </c>
      <c r="I53" s="64">
        <v>0.1</v>
      </c>
      <c r="J53" s="64">
        <v>0.45</v>
      </c>
      <c r="K53" s="64">
        <v>88.83</v>
      </c>
      <c r="L53" s="64">
        <v>26.52</v>
      </c>
      <c r="M53" s="64">
        <v>29.1</v>
      </c>
      <c r="N53" s="64">
        <v>522</v>
      </c>
      <c r="O53" s="64">
        <v>0</v>
      </c>
      <c r="P53" s="64">
        <v>1.36</v>
      </c>
      <c r="Q53" s="64">
        <v>9.68</v>
      </c>
      <c r="R53" s="198"/>
      <c r="S53" s="198"/>
      <c r="T53" s="198"/>
      <c r="U53" s="198"/>
    </row>
    <row r="54" spans="1:21" s="12" customFormat="1" x14ac:dyDescent="0.25">
      <c r="A54" s="214" t="s">
        <v>1924</v>
      </c>
      <c r="B54" s="6" t="s">
        <v>42</v>
      </c>
      <c r="C54" s="64">
        <v>0.88</v>
      </c>
      <c r="D54" s="6" t="s">
        <v>42</v>
      </c>
      <c r="E54" s="64">
        <v>6.19</v>
      </c>
      <c r="F54" s="64">
        <v>4.6399999999999997</v>
      </c>
      <c r="G54" s="64">
        <v>46.87</v>
      </c>
      <c r="H54" s="64">
        <v>11.6</v>
      </c>
      <c r="I54" s="64">
        <v>0.1</v>
      </c>
      <c r="J54" s="64">
        <v>0.68</v>
      </c>
      <c r="K54" s="64">
        <v>352.6</v>
      </c>
      <c r="L54" s="64">
        <v>26.97</v>
      </c>
      <c r="M54" s="64">
        <v>27.28</v>
      </c>
      <c r="N54" s="64">
        <v>514</v>
      </c>
      <c r="O54" s="64">
        <v>0</v>
      </c>
      <c r="P54" s="64">
        <v>1.21</v>
      </c>
      <c r="Q54" s="64">
        <v>9.69</v>
      </c>
      <c r="R54" s="198"/>
      <c r="S54" s="198"/>
      <c r="T54" s="198"/>
      <c r="U54" s="198"/>
    </row>
    <row r="55" spans="1:21" s="12" customFormat="1" x14ac:dyDescent="0.25">
      <c r="A55" s="214" t="s">
        <v>1925</v>
      </c>
      <c r="B55" s="64">
        <v>0.02</v>
      </c>
      <c r="C55" s="64">
        <v>1.26</v>
      </c>
      <c r="D55" s="64">
        <v>0.21</v>
      </c>
      <c r="E55" s="64">
        <v>6.02</v>
      </c>
      <c r="F55" s="64">
        <v>4.53</v>
      </c>
      <c r="G55" s="64">
        <v>46.87</v>
      </c>
      <c r="H55" s="64">
        <v>11.6</v>
      </c>
      <c r="I55" s="64">
        <v>0.1</v>
      </c>
      <c r="J55" s="64">
        <v>0.46</v>
      </c>
      <c r="K55" s="64">
        <v>81.25</v>
      </c>
      <c r="L55" s="64">
        <v>27.38</v>
      </c>
      <c r="M55" s="64">
        <v>26.09</v>
      </c>
      <c r="N55" s="64">
        <v>531</v>
      </c>
      <c r="O55" s="64">
        <v>0</v>
      </c>
      <c r="P55" s="64">
        <v>1.08</v>
      </c>
      <c r="Q55" s="64">
        <v>9.68</v>
      </c>
      <c r="R55" s="198"/>
      <c r="S55" s="198"/>
      <c r="T55" s="198"/>
      <c r="U55" s="198"/>
    </row>
    <row r="56" spans="1:21" s="12" customFormat="1" x14ac:dyDescent="0.25">
      <c r="A56" s="214" t="s">
        <v>1926</v>
      </c>
      <c r="B56" s="64">
        <v>1.05</v>
      </c>
      <c r="C56" s="64">
        <v>31.26</v>
      </c>
      <c r="D56" s="64">
        <v>16.72</v>
      </c>
      <c r="E56" s="64">
        <v>5.93</v>
      </c>
      <c r="F56" s="64">
        <v>3.88</v>
      </c>
      <c r="G56" s="64">
        <v>37.71</v>
      </c>
      <c r="H56" s="64">
        <v>11.55</v>
      </c>
      <c r="I56" s="64">
        <v>0.1</v>
      </c>
      <c r="J56" s="64">
        <v>0.79</v>
      </c>
      <c r="K56" s="64">
        <v>108.27</v>
      </c>
      <c r="L56" s="64">
        <v>25.5</v>
      </c>
      <c r="M56" s="64">
        <v>29.66</v>
      </c>
      <c r="N56" s="64">
        <v>529.1</v>
      </c>
      <c r="O56" s="64">
        <v>0</v>
      </c>
      <c r="P56" s="64">
        <v>0.97</v>
      </c>
      <c r="Q56" s="64">
        <v>9.66</v>
      </c>
      <c r="R56" s="198"/>
      <c r="S56" s="198"/>
      <c r="T56" s="198"/>
      <c r="U56" s="198"/>
    </row>
    <row r="57" spans="1:21" s="12" customFormat="1" x14ac:dyDescent="0.25">
      <c r="A57" s="214" t="s">
        <v>1927</v>
      </c>
      <c r="B57" s="64">
        <v>2.81</v>
      </c>
      <c r="C57" s="64">
        <v>34.14</v>
      </c>
      <c r="D57" s="64">
        <v>19.64</v>
      </c>
      <c r="E57" s="64">
        <v>6.65</v>
      </c>
      <c r="F57" s="64">
        <v>3.79</v>
      </c>
      <c r="G57" s="64">
        <v>37.61</v>
      </c>
      <c r="H57" s="64">
        <v>11.55</v>
      </c>
      <c r="I57" s="64">
        <v>0.1</v>
      </c>
      <c r="J57" s="64">
        <v>0.18</v>
      </c>
      <c r="K57" s="64">
        <v>340.79</v>
      </c>
      <c r="L57" s="64">
        <v>26.98</v>
      </c>
      <c r="M57" s="64">
        <v>25.72</v>
      </c>
      <c r="N57" s="64">
        <v>481.2</v>
      </c>
      <c r="O57" s="64">
        <v>0</v>
      </c>
      <c r="P57" s="64">
        <v>0.86</v>
      </c>
      <c r="Q57" s="64">
        <v>9.66</v>
      </c>
      <c r="R57" s="198"/>
      <c r="S57" s="198"/>
      <c r="T57" s="198"/>
      <c r="U57" s="198"/>
    </row>
    <row r="58" spans="1:21" s="12" customFormat="1" x14ac:dyDescent="0.25">
      <c r="A58" s="214" t="s">
        <v>1928</v>
      </c>
      <c r="B58" s="64">
        <v>1.1499999999999999</v>
      </c>
      <c r="C58" s="64">
        <v>34.340000000000003</v>
      </c>
      <c r="D58" s="64">
        <v>18.41</v>
      </c>
      <c r="E58" s="64">
        <v>9.61</v>
      </c>
      <c r="F58" s="64">
        <v>7.07</v>
      </c>
      <c r="G58" s="64">
        <v>37.61</v>
      </c>
      <c r="H58" s="64">
        <v>11.55</v>
      </c>
      <c r="I58" s="64">
        <v>0.1</v>
      </c>
      <c r="J58" s="64">
        <v>0.28000000000000003</v>
      </c>
      <c r="K58" s="64">
        <v>357.42</v>
      </c>
      <c r="L58" s="64">
        <v>26.99</v>
      </c>
      <c r="M58" s="64">
        <v>25.79</v>
      </c>
      <c r="N58" s="64">
        <v>488.3</v>
      </c>
      <c r="O58" s="64">
        <v>0</v>
      </c>
      <c r="P58" s="64">
        <v>0.79</v>
      </c>
      <c r="Q58" s="64">
        <v>9.67</v>
      </c>
      <c r="R58" s="198"/>
      <c r="S58" s="198"/>
      <c r="T58" s="198"/>
      <c r="U58" s="198"/>
    </row>
    <row r="59" spans="1:21" s="12" customFormat="1" x14ac:dyDescent="0.25">
      <c r="A59" s="214" t="s">
        <v>1929</v>
      </c>
      <c r="B59" s="64">
        <v>0.6</v>
      </c>
      <c r="C59" s="64">
        <v>31.94</v>
      </c>
      <c r="D59" s="64">
        <v>16.71</v>
      </c>
      <c r="E59" s="64">
        <v>16.04</v>
      </c>
      <c r="F59" s="64">
        <v>6.96</v>
      </c>
      <c r="G59" s="64">
        <v>37.61</v>
      </c>
      <c r="H59" s="64">
        <v>11.55</v>
      </c>
      <c r="I59" s="64">
        <v>0.1</v>
      </c>
      <c r="J59" s="64">
        <v>0.45</v>
      </c>
      <c r="K59" s="64">
        <v>94.02</v>
      </c>
      <c r="L59" s="64">
        <v>26.51</v>
      </c>
      <c r="M59" s="64">
        <v>25</v>
      </c>
      <c r="N59" s="64">
        <v>451</v>
      </c>
      <c r="O59" s="64">
        <v>0</v>
      </c>
      <c r="P59" s="64">
        <v>0.79</v>
      </c>
      <c r="Q59" s="64">
        <v>9.65</v>
      </c>
      <c r="R59" s="198"/>
      <c r="S59" s="198"/>
      <c r="T59" s="198"/>
      <c r="U59" s="198"/>
    </row>
    <row r="60" spans="1:21" s="12" customFormat="1" x14ac:dyDescent="0.25">
      <c r="A60" s="214" t="s">
        <v>1930</v>
      </c>
      <c r="B60" s="64">
        <v>0.39</v>
      </c>
      <c r="C60" s="64">
        <v>34.909999999999997</v>
      </c>
      <c r="D60" s="64">
        <v>18.09</v>
      </c>
      <c r="E60" s="64">
        <v>12.76</v>
      </c>
      <c r="F60" s="64">
        <v>6.35</v>
      </c>
      <c r="G60" s="64">
        <v>39.18</v>
      </c>
      <c r="H60" s="64">
        <v>11.35</v>
      </c>
      <c r="I60" s="64">
        <v>0.1</v>
      </c>
      <c r="J60" s="64">
        <v>1.43</v>
      </c>
      <c r="K60" s="64">
        <v>333.69</v>
      </c>
      <c r="L60" s="64">
        <v>28.15</v>
      </c>
      <c r="M60" s="64">
        <v>22.5</v>
      </c>
      <c r="N60" s="64">
        <v>435.4</v>
      </c>
      <c r="O60" s="64">
        <v>0</v>
      </c>
      <c r="P60" s="64">
        <v>0.81</v>
      </c>
      <c r="Q60" s="64">
        <v>9.65</v>
      </c>
      <c r="R60" s="198"/>
      <c r="S60" s="198"/>
      <c r="T60" s="198"/>
      <c r="U60" s="198"/>
    </row>
    <row r="61" spans="1:21" s="12" customFormat="1" x14ac:dyDescent="0.25">
      <c r="A61" s="214" t="s">
        <v>1931</v>
      </c>
      <c r="B61" s="64">
        <v>0.05</v>
      </c>
      <c r="C61" s="64">
        <v>31.49</v>
      </c>
      <c r="D61" s="64">
        <v>16.03</v>
      </c>
      <c r="E61" s="64">
        <v>19.45</v>
      </c>
      <c r="F61" s="64">
        <v>10.73</v>
      </c>
      <c r="G61" s="64">
        <v>39.18</v>
      </c>
      <c r="H61" s="64">
        <v>11.35</v>
      </c>
      <c r="I61" s="64">
        <v>0.1</v>
      </c>
      <c r="J61" s="64">
        <v>0.52</v>
      </c>
      <c r="K61" s="64">
        <v>352.58</v>
      </c>
      <c r="L61" s="64">
        <v>27.48</v>
      </c>
      <c r="M61" s="64">
        <v>21.46</v>
      </c>
      <c r="N61" s="64">
        <v>441.6</v>
      </c>
      <c r="O61" s="64">
        <v>0</v>
      </c>
      <c r="P61" s="64">
        <v>0.85</v>
      </c>
      <c r="Q61" s="64">
        <v>9.65</v>
      </c>
      <c r="R61" s="198"/>
      <c r="S61" s="198"/>
      <c r="T61" s="198"/>
      <c r="U61" s="198"/>
    </row>
    <row r="62" spans="1:21" s="12" customFormat="1" x14ac:dyDescent="0.25">
      <c r="A62" s="214" t="s">
        <v>1932</v>
      </c>
      <c r="B62" s="64">
        <v>0.52</v>
      </c>
      <c r="C62" s="64">
        <v>29.22</v>
      </c>
      <c r="D62" s="64">
        <v>15.22</v>
      </c>
      <c r="E62" s="64">
        <v>17.05</v>
      </c>
      <c r="F62" s="64">
        <v>6.48</v>
      </c>
      <c r="G62" s="64">
        <v>39.18</v>
      </c>
      <c r="H62" s="64">
        <v>11.35</v>
      </c>
      <c r="I62" s="64">
        <v>0.1</v>
      </c>
      <c r="J62" s="64">
        <v>1.08</v>
      </c>
      <c r="K62" s="64">
        <v>341.16</v>
      </c>
      <c r="L62" s="64">
        <v>27.94</v>
      </c>
      <c r="M62" s="64">
        <v>19.52</v>
      </c>
      <c r="N62" s="64">
        <v>438.8</v>
      </c>
      <c r="O62" s="64">
        <v>0</v>
      </c>
      <c r="P62" s="64">
        <v>0.93</v>
      </c>
      <c r="Q62" s="64">
        <v>9.64</v>
      </c>
      <c r="R62" s="198"/>
      <c r="S62" s="198"/>
      <c r="T62" s="198"/>
      <c r="U62" s="198"/>
    </row>
    <row r="63" spans="1:21" s="12" customFormat="1" x14ac:dyDescent="0.25">
      <c r="A63" s="214" t="s">
        <v>1933</v>
      </c>
      <c r="B63" s="64">
        <v>3.74</v>
      </c>
      <c r="C63" s="64">
        <v>29.36</v>
      </c>
      <c r="D63" s="64">
        <v>17.78</v>
      </c>
      <c r="E63" s="64">
        <v>17.36</v>
      </c>
      <c r="F63" s="64">
        <v>11.65</v>
      </c>
      <c r="G63" s="64">
        <v>39.18</v>
      </c>
      <c r="H63" s="64">
        <v>11.35</v>
      </c>
      <c r="I63" s="64">
        <v>0.1</v>
      </c>
      <c r="J63" s="64">
        <v>1.2</v>
      </c>
      <c r="K63" s="64">
        <v>338.63</v>
      </c>
      <c r="L63" s="64">
        <v>27.43</v>
      </c>
      <c r="M63" s="64">
        <v>20.170000000000002</v>
      </c>
      <c r="N63" s="64">
        <v>437</v>
      </c>
      <c r="O63" s="64">
        <v>0</v>
      </c>
      <c r="P63" s="64">
        <v>0.84</v>
      </c>
      <c r="Q63" s="64">
        <v>9.64</v>
      </c>
      <c r="R63" s="198"/>
      <c r="S63" s="198"/>
      <c r="T63" s="198"/>
      <c r="U63" s="198"/>
    </row>
    <row r="64" spans="1:21" s="12" customFormat="1" x14ac:dyDescent="0.25">
      <c r="A64" s="214" t="s">
        <v>1934</v>
      </c>
      <c r="B64" s="64">
        <v>3.78</v>
      </c>
      <c r="C64" s="64">
        <v>33.35</v>
      </c>
      <c r="D64" s="64">
        <v>19.8</v>
      </c>
      <c r="E64" s="64">
        <v>18.16</v>
      </c>
      <c r="F64" s="64">
        <v>9.56</v>
      </c>
      <c r="G64" s="64">
        <v>31.35</v>
      </c>
      <c r="H64" s="64">
        <v>9.16</v>
      </c>
      <c r="I64" s="64">
        <v>0.1</v>
      </c>
      <c r="J64" s="64">
        <v>0.28000000000000003</v>
      </c>
      <c r="K64" s="64">
        <v>21.58</v>
      </c>
      <c r="L64" s="64">
        <v>27.16</v>
      </c>
      <c r="M64" s="64">
        <v>20.65</v>
      </c>
      <c r="N64" s="64">
        <v>332.8</v>
      </c>
      <c r="O64" s="64">
        <v>0</v>
      </c>
      <c r="P64" s="64">
        <v>0.85</v>
      </c>
      <c r="Q64" s="64">
        <v>9.64</v>
      </c>
      <c r="R64" s="198"/>
      <c r="S64" s="198"/>
      <c r="T64" s="198"/>
      <c r="U64" s="198"/>
    </row>
    <row r="65" spans="1:21" s="12" customFormat="1" x14ac:dyDescent="0.25">
      <c r="A65" s="214" t="s">
        <v>1935</v>
      </c>
      <c r="B65" s="64">
        <v>3.75</v>
      </c>
      <c r="C65" s="64">
        <v>34.1</v>
      </c>
      <c r="D65" s="64">
        <v>20.170000000000002</v>
      </c>
      <c r="E65" s="64">
        <v>9.65</v>
      </c>
      <c r="F65" s="64">
        <v>5.6</v>
      </c>
      <c r="G65" s="64">
        <v>31.26</v>
      </c>
      <c r="H65" s="64">
        <v>9.16</v>
      </c>
      <c r="I65" s="64">
        <v>0.1</v>
      </c>
      <c r="J65" s="64">
        <v>1.1200000000000001</v>
      </c>
      <c r="K65" s="64">
        <v>346.07</v>
      </c>
      <c r="L65" s="64">
        <v>25.75</v>
      </c>
      <c r="M65" s="64">
        <v>22.6</v>
      </c>
      <c r="N65" s="64">
        <v>170.5</v>
      </c>
      <c r="O65" s="64">
        <v>0</v>
      </c>
      <c r="P65" s="64">
        <v>0.79</v>
      </c>
      <c r="Q65" s="64">
        <v>9.6300000000000008</v>
      </c>
      <c r="R65" s="198"/>
      <c r="S65" s="198"/>
      <c r="T65" s="198"/>
      <c r="U65" s="198"/>
    </row>
    <row r="66" spans="1:21" s="12" customFormat="1" x14ac:dyDescent="0.25">
      <c r="A66" s="214" t="s">
        <v>1936</v>
      </c>
      <c r="B66" s="64">
        <v>3.82</v>
      </c>
      <c r="C66" s="64">
        <v>34.549999999999997</v>
      </c>
      <c r="D66" s="64">
        <v>20.46</v>
      </c>
      <c r="E66" s="64">
        <v>9.57</v>
      </c>
      <c r="F66" s="64">
        <v>7.4</v>
      </c>
      <c r="G66" s="64">
        <v>31.26</v>
      </c>
      <c r="H66" s="64">
        <v>9.16</v>
      </c>
      <c r="I66" s="64">
        <v>0.1</v>
      </c>
      <c r="J66" s="64">
        <v>1.21</v>
      </c>
      <c r="K66" s="64">
        <v>341.71</v>
      </c>
      <c r="L66" s="64">
        <v>26.01</v>
      </c>
      <c r="M66" s="64">
        <v>21.03</v>
      </c>
      <c r="N66" s="64">
        <v>129.80000000000001</v>
      </c>
      <c r="O66" s="64">
        <v>0</v>
      </c>
      <c r="P66" s="64">
        <v>0.68</v>
      </c>
      <c r="Q66" s="64">
        <v>9.61</v>
      </c>
      <c r="R66" s="198"/>
      <c r="S66" s="198"/>
      <c r="T66" s="198"/>
      <c r="U66" s="198"/>
    </row>
    <row r="67" spans="1:21" s="12" customFormat="1" x14ac:dyDescent="0.25">
      <c r="A67" s="214" t="s">
        <v>1937</v>
      </c>
      <c r="B67" s="64">
        <v>4.99</v>
      </c>
      <c r="C67" s="64">
        <v>33.26</v>
      </c>
      <c r="D67" s="64">
        <v>20.73</v>
      </c>
      <c r="E67" s="64">
        <v>16.100000000000001</v>
      </c>
      <c r="F67" s="64">
        <v>9.65</v>
      </c>
      <c r="G67" s="64">
        <v>31.26</v>
      </c>
      <c r="H67" s="64">
        <v>9.16</v>
      </c>
      <c r="I67" s="64">
        <v>0.1</v>
      </c>
      <c r="J67" s="64">
        <v>1.74</v>
      </c>
      <c r="K67" s="64">
        <v>341.07</v>
      </c>
      <c r="L67" s="64">
        <v>25.89</v>
      </c>
      <c r="M67" s="64">
        <v>21.47</v>
      </c>
      <c r="N67" s="64">
        <v>111.8</v>
      </c>
      <c r="O67" s="64">
        <v>0</v>
      </c>
      <c r="P67" s="64">
        <v>0.66</v>
      </c>
      <c r="Q67" s="64">
        <v>9.59</v>
      </c>
      <c r="R67" s="198"/>
      <c r="S67" s="198"/>
      <c r="T67" s="198"/>
      <c r="U67" s="198"/>
    </row>
    <row r="68" spans="1:21" s="12" customFormat="1" x14ac:dyDescent="0.25">
      <c r="A68" s="214" t="s">
        <v>1938</v>
      </c>
      <c r="B68" s="64">
        <v>7.32</v>
      </c>
      <c r="C68" s="64">
        <v>33.69</v>
      </c>
      <c r="D68" s="64">
        <v>22.82</v>
      </c>
      <c r="E68" s="64">
        <v>9.2799999999999994</v>
      </c>
      <c r="F68" s="64">
        <v>8.7799999999999994</v>
      </c>
      <c r="G68" s="64">
        <v>23.2</v>
      </c>
      <c r="H68" s="64">
        <v>8.89</v>
      </c>
      <c r="I68" s="64">
        <v>0.1</v>
      </c>
      <c r="J68" s="64">
        <v>1.57</v>
      </c>
      <c r="K68" s="64">
        <v>335.88</v>
      </c>
      <c r="L68" s="64">
        <v>25.8</v>
      </c>
      <c r="M68" s="64">
        <v>20.57</v>
      </c>
      <c r="N68" s="64">
        <v>101</v>
      </c>
      <c r="O68" s="64">
        <v>0</v>
      </c>
      <c r="P68" s="64">
        <v>0.67</v>
      </c>
      <c r="Q68" s="64">
        <v>9.59</v>
      </c>
      <c r="R68" s="198"/>
      <c r="S68" s="198"/>
      <c r="T68" s="198"/>
      <c r="U68" s="198"/>
    </row>
    <row r="69" spans="1:21" s="12" customFormat="1" x14ac:dyDescent="0.25">
      <c r="A69" s="214" t="s">
        <v>1939</v>
      </c>
      <c r="B69" s="64">
        <v>5.03</v>
      </c>
      <c r="C69" s="64">
        <v>34.29</v>
      </c>
      <c r="D69" s="64">
        <v>21.3</v>
      </c>
      <c r="E69" s="64">
        <v>8.07</v>
      </c>
      <c r="F69" s="64">
        <v>4.75</v>
      </c>
      <c r="G69" s="64">
        <v>23.2</v>
      </c>
      <c r="H69" s="64">
        <v>8.89</v>
      </c>
      <c r="I69" s="64">
        <v>0.1</v>
      </c>
      <c r="J69" s="64">
        <v>1.81</v>
      </c>
      <c r="K69" s="64">
        <v>326.89</v>
      </c>
      <c r="L69" s="64">
        <v>25.2</v>
      </c>
      <c r="M69" s="64">
        <v>19.63</v>
      </c>
      <c r="N69" s="64">
        <v>93.6</v>
      </c>
      <c r="O69" s="64">
        <v>0</v>
      </c>
      <c r="P69" s="64">
        <v>0.65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4" t="s">
        <v>1940</v>
      </c>
      <c r="B70" s="64">
        <v>3.72</v>
      </c>
      <c r="C70" s="64">
        <v>34.33</v>
      </c>
      <c r="D70" s="64">
        <v>20.27</v>
      </c>
      <c r="E70" s="64">
        <v>5.83</v>
      </c>
      <c r="F70" s="64">
        <v>4.2699999999999996</v>
      </c>
      <c r="G70" s="64">
        <v>23.2</v>
      </c>
      <c r="H70" s="64">
        <v>8.89</v>
      </c>
      <c r="I70" s="64">
        <v>0.1</v>
      </c>
      <c r="J70" s="64">
        <v>1.99</v>
      </c>
      <c r="K70" s="64">
        <v>333.43</v>
      </c>
      <c r="L70" s="64">
        <v>24.86</v>
      </c>
      <c r="M70" s="64">
        <v>20.23</v>
      </c>
      <c r="N70" s="64">
        <v>89.7</v>
      </c>
      <c r="O70" s="64">
        <v>0</v>
      </c>
      <c r="P70" s="64">
        <v>0.62</v>
      </c>
      <c r="Q70" s="64">
        <v>9.58</v>
      </c>
      <c r="R70" s="198"/>
      <c r="S70" s="198"/>
      <c r="T70" s="198"/>
      <c r="U70" s="198"/>
    </row>
    <row r="71" spans="1:21" s="12" customFormat="1" x14ac:dyDescent="0.25">
      <c r="A71" s="214" t="s">
        <v>1941</v>
      </c>
      <c r="B71" s="64">
        <v>3.9</v>
      </c>
      <c r="C71" s="64">
        <v>34.200000000000003</v>
      </c>
      <c r="D71" s="64">
        <v>20.34</v>
      </c>
      <c r="E71" s="64">
        <v>4.71</v>
      </c>
      <c r="F71" s="64">
        <v>3.69</v>
      </c>
      <c r="G71" s="64">
        <v>23.2</v>
      </c>
      <c r="H71" s="64">
        <v>8.89</v>
      </c>
      <c r="I71" s="64">
        <v>0.1</v>
      </c>
      <c r="J71" s="64">
        <v>2.0499999999999998</v>
      </c>
      <c r="K71" s="64">
        <v>327.08</v>
      </c>
      <c r="L71" s="64">
        <v>24.55</v>
      </c>
      <c r="M71" s="64">
        <v>21.4</v>
      </c>
      <c r="N71" s="64">
        <v>84.5</v>
      </c>
      <c r="O71" s="64">
        <v>0</v>
      </c>
      <c r="P71" s="64">
        <v>0.61</v>
      </c>
      <c r="Q71" s="64">
        <v>9.57</v>
      </c>
      <c r="R71" s="198"/>
      <c r="S71" s="198"/>
      <c r="T71" s="198"/>
      <c r="U71" s="198"/>
    </row>
    <row r="72" spans="1:21" s="12" customFormat="1" x14ac:dyDescent="0.25">
      <c r="A72" s="214" t="s">
        <v>1942</v>
      </c>
      <c r="B72" s="64">
        <v>4.09</v>
      </c>
      <c r="C72" s="64">
        <v>32.659999999999997</v>
      </c>
      <c r="D72" s="64">
        <v>19.68</v>
      </c>
      <c r="E72" s="64">
        <v>5.68</v>
      </c>
      <c r="F72" s="64">
        <v>3.31</v>
      </c>
      <c r="G72" s="64">
        <v>38.68</v>
      </c>
      <c r="H72" s="64">
        <v>8.43</v>
      </c>
      <c r="I72" s="64">
        <v>0.1</v>
      </c>
      <c r="J72" s="64">
        <v>2.0299999999999998</v>
      </c>
      <c r="K72" s="64">
        <v>333.08</v>
      </c>
      <c r="L72" s="64">
        <v>24.27</v>
      </c>
      <c r="M72" s="64">
        <v>22.29</v>
      </c>
      <c r="N72" s="64">
        <v>80.099999999999994</v>
      </c>
      <c r="O72" s="64">
        <v>0</v>
      </c>
      <c r="P72" s="64">
        <v>0.59</v>
      </c>
      <c r="Q72" s="64">
        <v>9.57</v>
      </c>
      <c r="R72" s="198"/>
      <c r="S72" s="198"/>
      <c r="T72" s="198"/>
      <c r="U72" s="198"/>
    </row>
    <row r="73" spans="1:21" s="12" customFormat="1" x14ac:dyDescent="0.25">
      <c r="A73" s="214" t="s">
        <v>1943</v>
      </c>
      <c r="B73" s="64">
        <v>6.17</v>
      </c>
      <c r="C73" s="64">
        <v>29.61</v>
      </c>
      <c r="D73" s="64">
        <v>19.77</v>
      </c>
      <c r="E73" s="64">
        <v>6.71</v>
      </c>
      <c r="F73" s="64">
        <v>4.68</v>
      </c>
      <c r="G73" s="64">
        <v>38.68</v>
      </c>
      <c r="H73" s="64">
        <v>8.43</v>
      </c>
      <c r="I73" s="64">
        <v>0.1</v>
      </c>
      <c r="J73" s="64">
        <v>1.85</v>
      </c>
      <c r="K73" s="64">
        <v>335.28</v>
      </c>
      <c r="L73" s="64">
        <v>24.07</v>
      </c>
      <c r="M73" s="64">
        <v>22.39</v>
      </c>
      <c r="N73" s="64">
        <v>76.3</v>
      </c>
      <c r="O73" s="64">
        <v>0</v>
      </c>
      <c r="P73" s="64">
        <v>0.57999999999999996</v>
      </c>
      <c r="Q73" s="64">
        <v>9.57</v>
      </c>
      <c r="R73" s="198"/>
      <c r="S73" s="198"/>
      <c r="T73" s="198"/>
      <c r="U73" s="198"/>
    </row>
    <row r="74" spans="1:21" s="12" customFormat="1" x14ac:dyDescent="0.25">
      <c r="A74" s="214" t="s">
        <v>1944</v>
      </c>
      <c r="B74" s="64">
        <v>9.8800000000000008</v>
      </c>
      <c r="C74" s="64">
        <v>28.67</v>
      </c>
      <c r="D74" s="64">
        <v>22.25</v>
      </c>
      <c r="E74" s="64">
        <v>7.5</v>
      </c>
      <c r="F74" s="64">
        <v>7.36</v>
      </c>
      <c r="G74" s="64">
        <v>38.68</v>
      </c>
      <c r="H74" s="64">
        <v>8.43</v>
      </c>
      <c r="I74" s="64">
        <v>0.1</v>
      </c>
      <c r="J74" s="64">
        <v>1.6</v>
      </c>
      <c r="K74" s="64">
        <v>343.88</v>
      </c>
      <c r="L74" s="64">
        <v>23.74</v>
      </c>
      <c r="M74" s="64">
        <v>23.81</v>
      </c>
      <c r="N74" s="64">
        <v>72.099999999999994</v>
      </c>
      <c r="O74" s="64">
        <v>0</v>
      </c>
      <c r="P74" s="64">
        <v>0.55000000000000004</v>
      </c>
      <c r="Q74" s="64">
        <v>9.56</v>
      </c>
      <c r="R74" s="198"/>
      <c r="S74" s="198"/>
      <c r="T74" s="198"/>
      <c r="U74" s="198"/>
    </row>
    <row r="75" spans="1:21" s="12" customFormat="1" x14ac:dyDescent="0.25">
      <c r="A75" s="214" t="s">
        <v>1945</v>
      </c>
      <c r="B75" s="64">
        <v>11.91</v>
      </c>
      <c r="C75" s="64">
        <v>30.62</v>
      </c>
      <c r="D75" s="64">
        <v>24.9</v>
      </c>
      <c r="E75" s="64">
        <v>13.92</v>
      </c>
      <c r="F75" s="64">
        <v>11.29</v>
      </c>
      <c r="G75" s="64">
        <v>38.68</v>
      </c>
      <c r="H75" s="64">
        <v>8.43</v>
      </c>
      <c r="I75" s="64">
        <v>0.1</v>
      </c>
      <c r="J75" s="64">
        <v>1.05</v>
      </c>
      <c r="K75" s="64">
        <v>344.29</v>
      </c>
      <c r="L75" s="64">
        <v>23.23</v>
      </c>
      <c r="M75" s="64">
        <v>25.78</v>
      </c>
      <c r="N75" s="64">
        <v>67.900000000000006</v>
      </c>
      <c r="O75" s="64">
        <v>0</v>
      </c>
      <c r="P75" s="64">
        <v>0.72</v>
      </c>
      <c r="Q75" s="64">
        <v>9.57</v>
      </c>
      <c r="R75" s="198"/>
      <c r="S75" s="198"/>
      <c r="T75" s="198"/>
      <c r="U75" s="198"/>
    </row>
    <row r="76" spans="1:21" s="12" customFormat="1" x14ac:dyDescent="0.25">
      <c r="A76" s="214" t="s">
        <v>1946</v>
      </c>
      <c r="B76" s="64">
        <v>21.04</v>
      </c>
      <c r="C76" s="64">
        <v>32.159999999999997</v>
      </c>
      <c r="D76" s="64">
        <v>51.1</v>
      </c>
      <c r="E76" s="64">
        <v>15.98</v>
      </c>
      <c r="F76" s="64">
        <v>10.26</v>
      </c>
      <c r="G76" s="64">
        <v>30.84</v>
      </c>
      <c r="H76" s="64">
        <v>8.4499999999999993</v>
      </c>
      <c r="I76" s="64">
        <v>0.1</v>
      </c>
      <c r="J76" s="64">
        <v>1.06</v>
      </c>
      <c r="K76" s="64">
        <v>343.22</v>
      </c>
      <c r="L76" s="64">
        <v>22.39</v>
      </c>
      <c r="M76" s="64">
        <v>26.6</v>
      </c>
      <c r="N76" s="64">
        <v>60</v>
      </c>
      <c r="O76" s="64">
        <v>0</v>
      </c>
      <c r="P76" s="64">
        <v>0.99</v>
      </c>
      <c r="Q76" s="64">
        <v>9.56</v>
      </c>
      <c r="R76" s="198"/>
      <c r="S76" s="198"/>
      <c r="T76" s="198"/>
      <c r="U76" s="198"/>
    </row>
    <row r="77" spans="1:21" s="12" customFormat="1" x14ac:dyDescent="0.25">
      <c r="A77" s="214" t="s">
        <v>1947</v>
      </c>
      <c r="B77" s="64">
        <v>11.19</v>
      </c>
      <c r="C77" s="64">
        <v>41.92</v>
      </c>
      <c r="D77" s="64">
        <v>30.23</v>
      </c>
      <c r="E77" s="64">
        <v>13.51</v>
      </c>
      <c r="F77" s="64">
        <v>7.18</v>
      </c>
      <c r="G77" s="64">
        <v>30.84</v>
      </c>
      <c r="H77" s="64">
        <v>8.4499999999999993</v>
      </c>
      <c r="I77" s="64">
        <v>0.1</v>
      </c>
      <c r="J77" s="64">
        <v>0.22</v>
      </c>
      <c r="K77" s="64">
        <v>7.11</v>
      </c>
      <c r="L77" s="64">
        <v>22.09</v>
      </c>
      <c r="M77" s="64">
        <v>27.2</v>
      </c>
      <c r="N77" s="64">
        <v>57.2</v>
      </c>
      <c r="O77" s="64">
        <v>0</v>
      </c>
      <c r="P77" s="64">
        <v>0.88</v>
      </c>
      <c r="Q77" s="64">
        <v>9.6</v>
      </c>
      <c r="R77" s="198"/>
      <c r="S77" s="198"/>
      <c r="T77" s="198"/>
      <c r="U77" s="198"/>
    </row>
    <row r="78" spans="1:21" s="12" customFormat="1" x14ac:dyDescent="0.25">
      <c r="A78" s="214" t="s">
        <v>1948</v>
      </c>
      <c r="B78" s="64">
        <v>9.61</v>
      </c>
      <c r="C78" s="64">
        <v>41.1</v>
      </c>
      <c r="D78" s="64">
        <v>28.53</v>
      </c>
      <c r="E78" s="64">
        <v>9.9</v>
      </c>
      <c r="F78" s="64">
        <v>5.5</v>
      </c>
      <c r="G78" s="64">
        <v>30.84</v>
      </c>
      <c r="H78" s="64">
        <v>8.4499999999999993</v>
      </c>
      <c r="I78" s="64">
        <v>0.1</v>
      </c>
      <c r="J78" s="64">
        <v>0.52</v>
      </c>
      <c r="K78" s="64">
        <v>281.39</v>
      </c>
      <c r="L78" s="64">
        <v>21.12</v>
      </c>
      <c r="M78" s="64">
        <v>33.11</v>
      </c>
      <c r="N78" s="64">
        <v>54.3</v>
      </c>
      <c r="O78" s="64">
        <v>0</v>
      </c>
      <c r="P78" s="64">
        <v>0.89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1949</v>
      </c>
      <c r="B79" s="64">
        <v>23.09</v>
      </c>
      <c r="C79" s="64">
        <v>32.229999999999997</v>
      </c>
      <c r="D79" s="64">
        <v>34.700000000000003</v>
      </c>
      <c r="E79" s="64">
        <v>8.02</v>
      </c>
      <c r="F79" s="64">
        <v>3.19</v>
      </c>
      <c r="G79" s="64">
        <v>30.84</v>
      </c>
      <c r="H79" s="64">
        <v>8.4499999999999993</v>
      </c>
      <c r="I79" s="64">
        <v>0.1</v>
      </c>
      <c r="J79" s="64">
        <v>0.49</v>
      </c>
      <c r="K79" s="64">
        <v>33.86</v>
      </c>
      <c r="L79" s="64">
        <v>20.010000000000002</v>
      </c>
      <c r="M79" s="64">
        <v>39.54</v>
      </c>
      <c r="N79" s="64">
        <v>53.3</v>
      </c>
      <c r="O79" s="64">
        <v>0</v>
      </c>
      <c r="P79" s="64">
        <v>1.1299999999999999</v>
      </c>
      <c r="Q79" s="64">
        <v>9.65</v>
      </c>
      <c r="R79" s="198"/>
      <c r="S79" s="198"/>
      <c r="T79" s="198"/>
      <c r="U79" s="198"/>
    </row>
    <row r="80" spans="1:21" s="12" customFormat="1" x14ac:dyDescent="0.25">
      <c r="A80" s="214" t="s">
        <v>1950</v>
      </c>
      <c r="B80" s="64">
        <v>23.48</v>
      </c>
      <c r="C80" s="64">
        <v>31.32</v>
      </c>
      <c r="D80" s="64">
        <v>34.53</v>
      </c>
      <c r="E80" s="64">
        <v>6.82</v>
      </c>
      <c r="F80" s="64">
        <v>2.4700000000000002</v>
      </c>
      <c r="G80" s="64">
        <v>33.090000000000003</v>
      </c>
      <c r="H80" s="64">
        <v>8.7899999999999991</v>
      </c>
      <c r="I80" s="64">
        <v>0.1</v>
      </c>
      <c r="J80" s="64">
        <v>0.56000000000000005</v>
      </c>
      <c r="K80" s="64">
        <v>288.32</v>
      </c>
      <c r="L80" s="64">
        <v>19.260000000000002</v>
      </c>
      <c r="M80" s="64">
        <v>43.29</v>
      </c>
      <c r="N80" s="64">
        <v>53.1</v>
      </c>
      <c r="O80" s="64">
        <v>0</v>
      </c>
      <c r="P80" s="64">
        <v>1.33</v>
      </c>
      <c r="Q80" s="64">
        <v>9.65</v>
      </c>
      <c r="R80" s="198"/>
      <c r="S80" s="198"/>
      <c r="T80" s="198"/>
      <c r="U80" s="198"/>
    </row>
    <row r="81" spans="1:26" s="12" customFormat="1" x14ac:dyDescent="0.25">
      <c r="A81" s="214" t="s">
        <v>1951</v>
      </c>
      <c r="B81" s="64">
        <v>35.42</v>
      </c>
      <c r="C81" s="64">
        <v>24.7</v>
      </c>
      <c r="D81" s="64">
        <v>40.590000000000003</v>
      </c>
      <c r="E81" s="64">
        <v>6.37</v>
      </c>
      <c r="F81" s="64">
        <v>2.4300000000000002</v>
      </c>
      <c r="G81" s="64">
        <v>33.119999999999997</v>
      </c>
      <c r="H81" s="64">
        <v>8.7899999999999991</v>
      </c>
      <c r="I81" s="64">
        <v>0.1</v>
      </c>
      <c r="J81" s="64">
        <v>0.68</v>
      </c>
      <c r="K81" s="64">
        <v>269.97000000000003</v>
      </c>
      <c r="L81" s="64">
        <v>18.64</v>
      </c>
      <c r="M81" s="64">
        <v>46.48</v>
      </c>
      <c r="N81" s="64">
        <v>53</v>
      </c>
      <c r="O81" s="64">
        <v>0</v>
      </c>
      <c r="P81" s="64">
        <v>1.3</v>
      </c>
      <c r="Q81" s="64">
        <v>9.66</v>
      </c>
      <c r="R81" s="198"/>
      <c r="S81" s="198"/>
      <c r="T81" s="198"/>
      <c r="U81" s="198"/>
    </row>
    <row r="82" spans="1:26" s="12" customFormat="1" x14ac:dyDescent="0.25">
      <c r="A82" s="214" t="s">
        <v>1952</v>
      </c>
      <c r="B82" s="64">
        <v>21.35</v>
      </c>
      <c r="C82" s="64">
        <v>26.45</v>
      </c>
      <c r="D82" s="64">
        <v>30.28</v>
      </c>
      <c r="E82" s="64">
        <v>5.91</v>
      </c>
      <c r="F82" s="64">
        <v>2.5499999999999998</v>
      </c>
      <c r="G82" s="64">
        <v>33.119999999999997</v>
      </c>
      <c r="H82" s="64">
        <v>8.7899999999999991</v>
      </c>
      <c r="I82" s="64">
        <v>0.1</v>
      </c>
      <c r="J82" s="64">
        <v>0.34</v>
      </c>
      <c r="K82" s="64">
        <v>250.58</v>
      </c>
      <c r="L82" s="64">
        <v>18.190000000000001</v>
      </c>
      <c r="M82" s="64">
        <v>48.01</v>
      </c>
      <c r="N82" s="64">
        <v>52.9</v>
      </c>
      <c r="O82" s="64">
        <v>0</v>
      </c>
      <c r="P82" s="64">
        <v>1.08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4" t="s">
        <v>1953</v>
      </c>
      <c r="B83" s="64">
        <v>27.64</v>
      </c>
      <c r="C83" s="64">
        <v>24.02</v>
      </c>
      <c r="D83" s="64">
        <v>33.909999999999997</v>
      </c>
      <c r="E83" s="64">
        <v>5.57</v>
      </c>
      <c r="F83" s="64">
        <v>2.4500000000000002</v>
      </c>
      <c r="G83" s="64">
        <v>33.119999999999997</v>
      </c>
      <c r="H83" s="64">
        <v>8.7899999999999991</v>
      </c>
      <c r="I83" s="64">
        <v>0.1</v>
      </c>
      <c r="J83" s="64">
        <v>0.41</v>
      </c>
      <c r="K83" s="64">
        <v>278.64999999999998</v>
      </c>
      <c r="L83" s="64">
        <v>17.73</v>
      </c>
      <c r="M83" s="64">
        <v>54.05</v>
      </c>
      <c r="N83" s="64">
        <v>52.8</v>
      </c>
      <c r="O83" s="64">
        <v>0</v>
      </c>
      <c r="P83" s="64">
        <v>1.07</v>
      </c>
      <c r="Q83" s="64">
        <v>9.67</v>
      </c>
      <c r="R83" s="198"/>
      <c r="S83" s="198"/>
      <c r="T83" s="198"/>
      <c r="U83" s="198"/>
    </row>
    <row r="84" spans="1:26" s="12" customFormat="1" x14ac:dyDescent="0.25">
      <c r="A84" s="214" t="s">
        <v>1954</v>
      </c>
      <c r="B84" s="64">
        <v>32.950000000000003</v>
      </c>
      <c r="C84" s="64">
        <v>19.48</v>
      </c>
      <c r="D84" s="64">
        <v>35.950000000000003</v>
      </c>
      <c r="E84" s="64">
        <v>5.37</v>
      </c>
      <c r="F84" s="64">
        <v>2.7</v>
      </c>
      <c r="G84" s="64">
        <v>73.56</v>
      </c>
      <c r="H84" s="64">
        <v>14.37</v>
      </c>
      <c r="I84" s="64">
        <v>0.1</v>
      </c>
      <c r="J84" s="64">
        <v>0.78</v>
      </c>
      <c r="K84" s="64">
        <v>298.74</v>
      </c>
      <c r="L84" s="64">
        <v>17.43</v>
      </c>
      <c r="M84" s="64">
        <v>57.55</v>
      </c>
      <c r="N84" s="64">
        <v>52.8</v>
      </c>
      <c r="O84" s="64">
        <v>0</v>
      </c>
      <c r="P84" s="64">
        <v>1.1100000000000001</v>
      </c>
      <c r="Q84" s="64">
        <v>9.67</v>
      </c>
      <c r="R84" s="198"/>
      <c r="S84" s="198"/>
      <c r="T84" s="198"/>
      <c r="U84" s="198"/>
    </row>
    <row r="85" spans="1:26" s="12" customFormat="1" x14ac:dyDescent="0.25">
      <c r="A85" s="214" t="s">
        <v>1955</v>
      </c>
      <c r="B85" s="64">
        <v>40.74</v>
      </c>
      <c r="C85" s="64">
        <v>15.52</v>
      </c>
      <c r="D85" s="64">
        <v>40.130000000000003</v>
      </c>
      <c r="E85" s="64">
        <v>5.44</v>
      </c>
      <c r="F85" s="64">
        <v>2.72</v>
      </c>
      <c r="G85" s="64">
        <v>74.010000000000005</v>
      </c>
      <c r="H85" s="64">
        <v>14.37</v>
      </c>
      <c r="I85" s="64">
        <v>0.1</v>
      </c>
      <c r="J85" s="64">
        <v>0.66</v>
      </c>
      <c r="K85" s="64">
        <v>282.05</v>
      </c>
      <c r="L85" s="64">
        <v>17.09</v>
      </c>
      <c r="M85" s="64">
        <v>58.46</v>
      </c>
      <c r="N85" s="64">
        <v>52.8</v>
      </c>
      <c r="O85" s="64">
        <v>0</v>
      </c>
      <c r="P85" s="64">
        <v>1.23</v>
      </c>
      <c r="Q85" s="64">
        <v>9.69</v>
      </c>
      <c r="R85" s="198"/>
      <c r="S85" s="198"/>
      <c r="T85" s="198"/>
      <c r="U85" s="198"/>
    </row>
    <row r="86" spans="1:26" s="12" customFormat="1" x14ac:dyDescent="0.25">
      <c r="A86" s="214" t="s">
        <v>1956</v>
      </c>
      <c r="B86" s="64">
        <v>45.9</v>
      </c>
      <c r="C86" s="64">
        <v>11.68</v>
      </c>
      <c r="D86" s="64">
        <v>42.26</v>
      </c>
      <c r="E86" s="64">
        <v>5.55</v>
      </c>
      <c r="F86" s="64">
        <v>2.38</v>
      </c>
      <c r="G86" s="64">
        <v>74.010000000000005</v>
      </c>
      <c r="H86" s="64">
        <v>14.37</v>
      </c>
      <c r="I86" s="64">
        <v>0.1</v>
      </c>
      <c r="J86" s="64">
        <v>0.35</v>
      </c>
      <c r="K86" s="64">
        <v>324.43</v>
      </c>
      <c r="L86" s="64">
        <v>16.84</v>
      </c>
      <c r="M86" s="64">
        <v>60.52</v>
      </c>
      <c r="N86" s="64">
        <v>52.7</v>
      </c>
      <c r="O86" s="64">
        <v>0</v>
      </c>
      <c r="P86" s="64">
        <v>1.34</v>
      </c>
      <c r="Q86" s="64">
        <v>9.69</v>
      </c>
      <c r="R86" s="198"/>
      <c r="S86" s="198"/>
      <c r="T86" s="198"/>
      <c r="U86" s="198"/>
    </row>
    <row r="87" spans="1:26" s="12" customFormat="1" x14ac:dyDescent="0.25">
      <c r="A87" s="214" t="s">
        <v>1957</v>
      </c>
      <c r="B87" s="64">
        <v>52.56</v>
      </c>
      <c r="C87" s="64">
        <v>7.52</v>
      </c>
      <c r="D87" s="64">
        <v>45.43</v>
      </c>
      <c r="E87" s="64">
        <v>5.37</v>
      </c>
      <c r="F87" s="64">
        <v>2.67</v>
      </c>
      <c r="G87" s="64">
        <v>74.010000000000005</v>
      </c>
      <c r="H87" s="64">
        <v>14.37</v>
      </c>
      <c r="I87" s="64">
        <v>0.1</v>
      </c>
      <c r="J87" s="64">
        <v>0.06</v>
      </c>
      <c r="K87" s="64">
        <v>63.65</v>
      </c>
      <c r="L87" s="64">
        <v>16.72</v>
      </c>
      <c r="M87" s="64">
        <v>64.19</v>
      </c>
      <c r="N87" s="64">
        <v>52.6</v>
      </c>
      <c r="O87" s="64">
        <v>0</v>
      </c>
      <c r="P87" s="64">
        <v>1.43</v>
      </c>
      <c r="Q87" s="64">
        <v>9.7100000000000009</v>
      </c>
      <c r="R87" s="198"/>
      <c r="S87" s="198"/>
      <c r="T87" s="198"/>
      <c r="U87" s="198"/>
    </row>
    <row r="88" spans="1:26" s="12" customFormat="1" x14ac:dyDescent="0.25">
      <c r="A88" s="214" t="s">
        <v>1958</v>
      </c>
      <c r="B88" s="64">
        <v>63.02</v>
      </c>
      <c r="C88" s="64">
        <v>2.11</v>
      </c>
      <c r="D88" s="64">
        <v>50.39</v>
      </c>
      <c r="E88" s="64">
        <v>5.59</v>
      </c>
      <c r="F88" s="64">
        <v>2.5499999999999998</v>
      </c>
      <c r="G88" s="64">
        <v>88.98</v>
      </c>
      <c r="H88" s="64">
        <v>20</v>
      </c>
      <c r="I88" s="64">
        <v>0.1</v>
      </c>
      <c r="J88" s="64">
        <v>0.12</v>
      </c>
      <c r="K88" s="64">
        <v>79.040000000000006</v>
      </c>
      <c r="L88" s="64">
        <v>16.54</v>
      </c>
      <c r="M88" s="64">
        <v>69.38</v>
      </c>
      <c r="N88" s="64">
        <v>52.6</v>
      </c>
      <c r="O88" s="64">
        <v>0</v>
      </c>
      <c r="P88" s="64">
        <v>1.57</v>
      </c>
      <c r="Q88" s="64">
        <v>9.73</v>
      </c>
      <c r="R88" s="198"/>
      <c r="S88" s="198"/>
      <c r="T88" s="198"/>
      <c r="U88" s="198"/>
    </row>
    <row r="89" spans="1:26" s="12" customFormat="1" x14ac:dyDescent="0.25">
      <c r="A89" s="214" t="s">
        <v>1959</v>
      </c>
      <c r="B89" s="64">
        <v>72.94</v>
      </c>
      <c r="C89" s="6" t="s">
        <v>42</v>
      </c>
      <c r="D89" s="64">
        <v>55.33</v>
      </c>
      <c r="E89" s="64">
        <v>5.82</v>
      </c>
      <c r="F89" s="64">
        <v>2.2799999999999998</v>
      </c>
      <c r="G89" s="64">
        <v>89.15</v>
      </c>
      <c r="H89" s="64">
        <v>20</v>
      </c>
      <c r="I89" s="64">
        <v>0.1</v>
      </c>
      <c r="J89" s="64">
        <v>0.15</v>
      </c>
      <c r="K89" s="64">
        <v>57.86</v>
      </c>
      <c r="L89" s="64">
        <v>16.43</v>
      </c>
      <c r="M89" s="64">
        <v>72.78</v>
      </c>
      <c r="N89" s="64">
        <v>52.6</v>
      </c>
      <c r="O89" s="64">
        <v>0</v>
      </c>
      <c r="P89" s="64">
        <v>1.76</v>
      </c>
      <c r="Q89" s="64">
        <v>9.73</v>
      </c>
      <c r="R89" s="198"/>
      <c r="S89" s="198"/>
      <c r="T89" s="198"/>
      <c r="U89" s="198"/>
    </row>
    <row r="90" spans="1:26" s="12" customFormat="1" x14ac:dyDescent="0.25">
      <c r="A90" s="214" t="s">
        <v>1960</v>
      </c>
      <c r="B90" s="64">
        <v>80.349999999999994</v>
      </c>
      <c r="C90" s="6" t="s">
        <v>42</v>
      </c>
      <c r="D90" s="64">
        <v>59.08</v>
      </c>
      <c r="E90" s="64">
        <v>5.78</v>
      </c>
      <c r="F90" s="64">
        <v>2.35</v>
      </c>
      <c r="G90" s="64">
        <v>89.15</v>
      </c>
      <c r="H90" s="64">
        <v>20</v>
      </c>
      <c r="I90" s="64">
        <v>0.1</v>
      </c>
      <c r="J90" s="64">
        <v>0.19</v>
      </c>
      <c r="K90" s="64">
        <v>297.81</v>
      </c>
      <c r="L90" s="64">
        <v>16.32</v>
      </c>
      <c r="M90" s="64">
        <v>72.650000000000006</v>
      </c>
      <c r="N90" s="64">
        <v>52.6</v>
      </c>
      <c r="O90" s="64">
        <v>0</v>
      </c>
      <c r="P90" s="64">
        <v>1.94</v>
      </c>
      <c r="Q90" s="64">
        <v>9.74</v>
      </c>
      <c r="R90" s="198"/>
      <c r="S90" s="198"/>
      <c r="T90" s="198"/>
      <c r="U90" s="198"/>
    </row>
    <row r="91" spans="1:26" s="12" customFormat="1" x14ac:dyDescent="0.25">
      <c r="A91" s="214" t="s">
        <v>1961</v>
      </c>
      <c r="B91" s="64">
        <v>89.56</v>
      </c>
      <c r="C91" s="6" t="s">
        <v>42</v>
      </c>
      <c r="D91" s="64">
        <v>63.67</v>
      </c>
      <c r="E91" s="64">
        <v>6.02</v>
      </c>
      <c r="F91" s="64">
        <v>2.48</v>
      </c>
      <c r="G91" s="64">
        <v>89.15</v>
      </c>
      <c r="H91" s="64">
        <v>20</v>
      </c>
      <c r="I91" s="64">
        <v>0.1</v>
      </c>
      <c r="J91" s="64">
        <v>0.21</v>
      </c>
      <c r="K91" s="64">
        <v>291.66000000000003</v>
      </c>
      <c r="L91" s="64">
        <v>16.13</v>
      </c>
      <c r="M91" s="64">
        <v>77.349999999999994</v>
      </c>
      <c r="N91" s="64">
        <v>52.7</v>
      </c>
      <c r="O91" s="64">
        <v>0</v>
      </c>
      <c r="P91" s="64">
        <v>2.1</v>
      </c>
      <c r="Q91" s="64">
        <v>9.76</v>
      </c>
      <c r="R91" s="198"/>
      <c r="S91" s="198"/>
      <c r="T91" s="198"/>
      <c r="U91" s="198"/>
    </row>
    <row r="92" spans="1:26" s="12" customFormat="1" x14ac:dyDescent="0.25">
      <c r="A92" s="214" t="s">
        <v>1962</v>
      </c>
      <c r="B92" s="64">
        <v>107.71</v>
      </c>
      <c r="C92" s="6" t="s">
        <v>42</v>
      </c>
      <c r="D92" s="64">
        <v>72.760000000000005</v>
      </c>
      <c r="E92" s="64">
        <v>5.99</v>
      </c>
      <c r="F92" s="64">
        <v>2.44</v>
      </c>
      <c r="G92" s="64">
        <v>110.05</v>
      </c>
      <c r="H92" s="64">
        <v>28.82</v>
      </c>
      <c r="I92" s="64">
        <v>0.1</v>
      </c>
      <c r="J92" s="64">
        <v>0.69</v>
      </c>
      <c r="K92" s="64">
        <v>225.63</v>
      </c>
      <c r="L92" s="64">
        <v>16.07</v>
      </c>
      <c r="M92" s="64">
        <v>80.34</v>
      </c>
      <c r="N92" s="64">
        <v>52.6</v>
      </c>
      <c r="O92" s="64">
        <v>0</v>
      </c>
      <c r="P92" s="64">
        <v>2.2599999999999998</v>
      </c>
      <c r="Q92" s="64">
        <v>9.7799999999999994</v>
      </c>
      <c r="R92" s="198"/>
      <c r="S92" s="198"/>
      <c r="T92" s="198"/>
      <c r="U92" s="198"/>
    </row>
    <row r="93" spans="1:26" s="12" customFormat="1" x14ac:dyDescent="0.25">
      <c r="A93" s="214" t="s">
        <v>1963</v>
      </c>
      <c r="B93" s="64">
        <v>116.19</v>
      </c>
      <c r="C93" s="6" t="s">
        <v>42</v>
      </c>
      <c r="D93" s="64">
        <v>77.239999999999995</v>
      </c>
      <c r="E93" s="64">
        <v>5.79</v>
      </c>
      <c r="F93" s="64">
        <v>2.6</v>
      </c>
      <c r="G93" s="64">
        <v>110.28</v>
      </c>
      <c r="H93" s="64">
        <v>28.82</v>
      </c>
      <c r="I93" s="64">
        <v>0.1</v>
      </c>
      <c r="J93" s="64">
        <v>0.56000000000000005</v>
      </c>
      <c r="K93" s="64">
        <v>295.8</v>
      </c>
      <c r="L93" s="64">
        <v>15.95</v>
      </c>
      <c r="M93" s="64">
        <v>84.36</v>
      </c>
      <c r="N93" s="64">
        <v>52.7</v>
      </c>
      <c r="O93" s="64">
        <v>0</v>
      </c>
      <c r="P93" s="64">
        <v>2.41</v>
      </c>
      <c r="Q93" s="64">
        <v>9.77</v>
      </c>
      <c r="R93" s="198"/>
      <c r="S93" s="198"/>
      <c r="T93" s="198"/>
      <c r="U93" s="198"/>
    </row>
    <row r="94" spans="1:26" s="12" customFormat="1" x14ac:dyDescent="0.25">
      <c r="A94" s="214" t="s">
        <v>1964</v>
      </c>
      <c r="B94" s="64">
        <v>128.94999999999999</v>
      </c>
      <c r="C94" s="6" t="s">
        <v>42</v>
      </c>
      <c r="D94" s="64">
        <v>83.4</v>
      </c>
      <c r="E94" s="64">
        <v>6.34</v>
      </c>
      <c r="F94" s="64">
        <v>2.4900000000000002</v>
      </c>
      <c r="G94" s="64">
        <v>110.28</v>
      </c>
      <c r="H94" s="64">
        <v>28.82</v>
      </c>
      <c r="I94" s="64">
        <v>0.1</v>
      </c>
      <c r="J94" s="64">
        <v>0.42</v>
      </c>
      <c r="K94" s="64">
        <v>298.95</v>
      </c>
      <c r="L94" s="64">
        <v>15.71</v>
      </c>
      <c r="M94" s="64">
        <v>85.18</v>
      </c>
      <c r="N94" s="64">
        <v>52.6</v>
      </c>
      <c r="O94" s="64">
        <v>0</v>
      </c>
      <c r="P94" s="64">
        <v>2.6</v>
      </c>
      <c r="Q94" s="64">
        <v>9.7899999999999991</v>
      </c>
      <c r="R94" s="198"/>
      <c r="S94" s="198"/>
      <c r="T94" s="198"/>
      <c r="U94" s="198"/>
    </row>
    <row r="95" spans="1:26" s="12" customFormat="1" x14ac:dyDescent="0.25">
      <c r="A95" s="214" t="s">
        <v>1965</v>
      </c>
      <c r="B95" s="64">
        <v>136.71</v>
      </c>
      <c r="C95" s="6" t="s">
        <v>42</v>
      </c>
      <c r="D95" s="64">
        <v>87.59</v>
      </c>
      <c r="E95" s="64">
        <v>6.43</v>
      </c>
      <c r="F95" s="64">
        <v>2.41</v>
      </c>
      <c r="G95" s="64">
        <v>110.28</v>
      </c>
      <c r="H95" s="64">
        <v>28.82</v>
      </c>
      <c r="I95" s="64">
        <v>0.1</v>
      </c>
      <c r="J95" s="64">
        <v>0.56000000000000005</v>
      </c>
      <c r="K95" s="64">
        <v>352.39</v>
      </c>
      <c r="L95" s="64">
        <v>15.66</v>
      </c>
      <c r="M95" s="64">
        <v>86.8</v>
      </c>
      <c r="N95" s="64">
        <v>52.7</v>
      </c>
      <c r="O95" s="64">
        <v>0</v>
      </c>
      <c r="P95" s="64">
        <v>2.8</v>
      </c>
      <c r="Q95" s="64">
        <v>9.7899999999999991</v>
      </c>
      <c r="R95" s="198"/>
      <c r="S95" s="198"/>
      <c r="T95" s="198"/>
      <c r="U95" s="198"/>
    </row>
    <row r="96" spans="1:26" s="12" customFormat="1" x14ac:dyDescent="0.25">
      <c r="A96" s="214" t="s">
        <v>1966</v>
      </c>
      <c r="B96" s="64">
        <v>145.78</v>
      </c>
      <c r="C96" s="6" t="s">
        <v>42</v>
      </c>
      <c r="D96" s="64">
        <v>92.08</v>
      </c>
      <c r="E96" s="64">
        <v>6.62</v>
      </c>
      <c r="F96" s="64">
        <v>2.42</v>
      </c>
      <c r="G96" s="64">
        <v>110.86</v>
      </c>
      <c r="H96" s="64">
        <v>34.25</v>
      </c>
      <c r="I96" s="64">
        <v>0.1</v>
      </c>
      <c r="J96" s="64">
        <v>0.4</v>
      </c>
      <c r="K96" s="64">
        <v>293.83</v>
      </c>
      <c r="L96" s="64">
        <v>15.61</v>
      </c>
      <c r="M96" s="64">
        <v>85.53</v>
      </c>
      <c r="N96" s="64">
        <v>52.4</v>
      </c>
      <c r="O96" s="64">
        <v>0</v>
      </c>
      <c r="P96" s="64">
        <v>3.03</v>
      </c>
      <c r="Q96" s="64">
        <v>9.81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1967</v>
      </c>
      <c r="B97" s="64">
        <v>141.91</v>
      </c>
      <c r="C97" s="6" t="s">
        <v>42</v>
      </c>
      <c r="D97" s="64">
        <v>90.21</v>
      </c>
      <c r="E97" s="64">
        <v>6.68</v>
      </c>
      <c r="F97" s="64">
        <v>2.63</v>
      </c>
      <c r="G97" s="64">
        <v>110.86</v>
      </c>
      <c r="H97" s="64">
        <v>34.25</v>
      </c>
      <c r="I97" s="64">
        <v>0.1</v>
      </c>
      <c r="J97" s="64">
        <v>0.3</v>
      </c>
      <c r="K97" s="64">
        <v>219.29</v>
      </c>
      <c r="L97" s="64">
        <v>15.73</v>
      </c>
      <c r="M97" s="64">
        <v>71.06</v>
      </c>
      <c r="N97" s="64">
        <v>52.5</v>
      </c>
      <c r="O97" s="64">
        <v>0</v>
      </c>
      <c r="P97" s="64">
        <v>3.04</v>
      </c>
      <c r="Q97" s="64">
        <v>9.81</v>
      </c>
      <c r="R97" s="198"/>
      <c r="S97" s="198"/>
      <c r="T97" s="198"/>
      <c r="U97" s="198"/>
    </row>
    <row r="98" spans="1:33" s="12" customFormat="1" x14ac:dyDescent="0.25">
      <c r="A98" s="214" t="s">
        <v>1968</v>
      </c>
      <c r="B98" s="64">
        <v>141.22999999999999</v>
      </c>
      <c r="C98" s="6" t="s">
        <v>42</v>
      </c>
      <c r="D98" s="64">
        <v>89.42</v>
      </c>
      <c r="E98" s="64">
        <v>6.88</v>
      </c>
      <c r="F98" s="64">
        <v>2.64</v>
      </c>
      <c r="G98" s="64">
        <v>110.86</v>
      </c>
      <c r="H98" s="64">
        <v>34.25</v>
      </c>
      <c r="I98" s="64">
        <v>0.1</v>
      </c>
      <c r="J98" s="64">
        <v>0.59</v>
      </c>
      <c r="K98" s="64">
        <v>256.70999999999998</v>
      </c>
      <c r="L98" s="64">
        <v>15.57</v>
      </c>
      <c r="M98" s="64">
        <v>73.56</v>
      </c>
      <c r="N98" s="64">
        <v>52.8</v>
      </c>
      <c r="O98" s="64">
        <v>0</v>
      </c>
      <c r="P98" s="64">
        <v>3.05</v>
      </c>
      <c r="Q98" s="64">
        <v>9.83</v>
      </c>
      <c r="R98" s="198"/>
      <c r="S98" s="198"/>
      <c r="T98" s="198"/>
      <c r="U98" s="198"/>
    </row>
    <row r="99" spans="1:33" s="12" customFormat="1" x14ac:dyDescent="0.25">
      <c r="A99" s="214" t="s">
        <v>1969</v>
      </c>
      <c r="B99" s="64">
        <v>140.22999999999999</v>
      </c>
      <c r="C99" s="6" t="s">
        <v>42</v>
      </c>
      <c r="D99" s="64">
        <v>88.56</v>
      </c>
      <c r="E99" s="64">
        <v>6.74</v>
      </c>
      <c r="F99" s="64">
        <v>2.62</v>
      </c>
      <c r="G99" s="64">
        <v>110.86</v>
      </c>
      <c r="H99" s="64">
        <v>34.25</v>
      </c>
      <c r="I99" s="64">
        <v>0.1</v>
      </c>
      <c r="J99" s="64">
        <v>0.22</v>
      </c>
      <c r="K99" s="64">
        <v>312.02999999999997</v>
      </c>
      <c r="L99" s="64">
        <v>15.2</v>
      </c>
      <c r="M99" s="64">
        <v>76.59</v>
      </c>
      <c r="N99" s="64">
        <v>52.8</v>
      </c>
      <c r="O99" s="64">
        <v>0</v>
      </c>
      <c r="P99" s="64">
        <v>3.07</v>
      </c>
      <c r="Q99" s="64">
        <v>9.82</v>
      </c>
      <c r="R99" s="198"/>
      <c r="S99" s="198"/>
      <c r="T99" s="198"/>
      <c r="U99" s="198"/>
    </row>
    <row r="100" spans="1:33" s="12" customFormat="1" x14ac:dyDescent="0.25">
      <c r="A100" s="214" t="s">
        <v>1970</v>
      </c>
      <c r="B100" s="64">
        <v>139.27000000000001</v>
      </c>
      <c r="C100" s="6" t="s">
        <v>42</v>
      </c>
      <c r="D100" s="64">
        <v>87.82</v>
      </c>
      <c r="E100" s="64">
        <v>6.63</v>
      </c>
      <c r="F100" s="64">
        <v>2.42</v>
      </c>
      <c r="G100" s="64">
        <v>84.57</v>
      </c>
      <c r="H100" s="64">
        <v>29.39</v>
      </c>
      <c r="I100" s="64">
        <v>0.1</v>
      </c>
      <c r="J100" s="64">
        <v>0.37</v>
      </c>
      <c r="K100" s="64">
        <v>105.32</v>
      </c>
      <c r="L100" s="64">
        <v>14.86</v>
      </c>
      <c r="M100" s="64">
        <v>80.61</v>
      </c>
      <c r="N100" s="64">
        <v>52.8</v>
      </c>
      <c r="O100" s="64">
        <v>0</v>
      </c>
      <c r="P100" s="64">
        <v>3.09</v>
      </c>
      <c r="Q100" s="64">
        <v>9.82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1971</v>
      </c>
      <c r="B101" s="64">
        <v>139.15</v>
      </c>
      <c r="C101" s="6" t="s">
        <v>42</v>
      </c>
      <c r="D101" s="64">
        <v>87.34</v>
      </c>
      <c r="E101" s="64">
        <v>6.72</v>
      </c>
      <c r="F101" s="64">
        <v>2.31</v>
      </c>
      <c r="G101" s="64">
        <v>84.57</v>
      </c>
      <c r="H101" s="64">
        <v>29.39</v>
      </c>
      <c r="I101" s="64">
        <v>0.1</v>
      </c>
      <c r="J101" s="64">
        <v>0.06</v>
      </c>
      <c r="K101" s="64">
        <v>47.9</v>
      </c>
      <c r="L101" s="64">
        <v>14.59</v>
      </c>
      <c r="M101" s="64">
        <v>85.6</v>
      </c>
      <c r="N101" s="64">
        <v>52.8</v>
      </c>
      <c r="O101" s="64">
        <v>0</v>
      </c>
      <c r="P101" s="64">
        <v>3.1</v>
      </c>
      <c r="Q101" s="64">
        <v>9.82</v>
      </c>
      <c r="R101" s="198"/>
      <c r="S101" s="198"/>
      <c r="T101" s="198"/>
      <c r="U101" s="198"/>
    </row>
    <row r="102" spans="1:33" s="12" customFormat="1" x14ac:dyDescent="0.25">
      <c r="A102" s="214" t="s">
        <v>1972</v>
      </c>
      <c r="B102" s="64">
        <v>138.41</v>
      </c>
      <c r="C102" s="6" t="s">
        <v>42</v>
      </c>
      <c r="D102" s="64">
        <v>86.67</v>
      </c>
      <c r="E102" s="64">
        <v>6.29</v>
      </c>
      <c r="F102" s="64">
        <v>2.69</v>
      </c>
      <c r="G102" s="64">
        <v>84.57</v>
      </c>
      <c r="H102" s="64">
        <v>29.39</v>
      </c>
      <c r="I102" s="64">
        <v>0.1</v>
      </c>
      <c r="J102" s="64">
        <v>0.3</v>
      </c>
      <c r="K102" s="64">
        <v>271.60000000000002</v>
      </c>
      <c r="L102" s="64">
        <v>14.41</v>
      </c>
      <c r="M102" s="64">
        <v>89.02</v>
      </c>
      <c r="N102" s="64">
        <v>52.7</v>
      </c>
      <c r="O102" s="64">
        <v>0</v>
      </c>
      <c r="P102" s="64">
        <v>3.12</v>
      </c>
      <c r="Q102" s="64">
        <v>9.81</v>
      </c>
      <c r="R102" s="198"/>
      <c r="S102" s="198"/>
      <c r="T102" s="198"/>
      <c r="U102" s="198"/>
    </row>
    <row r="103" spans="1:33" s="12" customFormat="1" x14ac:dyDescent="0.25">
      <c r="A103" s="214" t="s">
        <v>1973</v>
      </c>
      <c r="B103" s="64">
        <v>138.11000000000001</v>
      </c>
      <c r="C103" s="6" t="s">
        <v>42</v>
      </c>
      <c r="D103" s="64">
        <v>86.37</v>
      </c>
      <c r="E103" s="64">
        <v>6.41</v>
      </c>
      <c r="F103" s="64">
        <v>2.76</v>
      </c>
      <c r="G103" s="64">
        <v>84.57</v>
      </c>
      <c r="H103" s="64">
        <v>29.39</v>
      </c>
      <c r="I103" s="64">
        <v>0.1</v>
      </c>
      <c r="J103" s="64">
        <v>0.51</v>
      </c>
      <c r="K103" s="64">
        <v>332.46</v>
      </c>
      <c r="L103" s="64">
        <v>14.2</v>
      </c>
      <c r="M103" s="64">
        <v>88.62</v>
      </c>
      <c r="N103" s="64">
        <v>52.8</v>
      </c>
      <c r="O103" s="64">
        <v>0</v>
      </c>
      <c r="P103" s="64">
        <v>3.16</v>
      </c>
      <c r="Q103" s="64">
        <v>9.8000000000000007</v>
      </c>
      <c r="R103" s="198"/>
      <c r="S103" s="198"/>
      <c r="T103" s="198"/>
      <c r="U103" s="198"/>
    </row>
    <row r="104" spans="1:33" s="12" customFormat="1" x14ac:dyDescent="0.25">
      <c r="A104" s="214" t="s">
        <v>1974</v>
      </c>
      <c r="B104" s="64">
        <v>136.77000000000001</v>
      </c>
      <c r="C104" s="6" t="s">
        <v>42</v>
      </c>
      <c r="D104" s="64">
        <v>85.35</v>
      </c>
      <c r="E104" s="64">
        <v>5.05</v>
      </c>
      <c r="F104" s="64">
        <v>2.65</v>
      </c>
      <c r="G104" s="64">
        <v>85.13</v>
      </c>
      <c r="H104" s="64">
        <v>30.97</v>
      </c>
      <c r="I104" s="64">
        <v>0.1</v>
      </c>
      <c r="J104" s="64">
        <v>0.7</v>
      </c>
      <c r="K104" s="64">
        <v>339.87</v>
      </c>
      <c r="L104" s="64">
        <v>14.05</v>
      </c>
      <c r="M104" s="64">
        <v>88.61</v>
      </c>
      <c r="N104" s="64">
        <v>52.7</v>
      </c>
      <c r="O104" s="64">
        <v>0</v>
      </c>
      <c r="P104" s="64">
        <v>3.19</v>
      </c>
      <c r="Q104" s="64">
        <v>9.8000000000000007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0.02</v>
      </c>
      <c r="C106" s="67">
        <f>MIN(C9:C104)</f>
        <v>0.43</v>
      </c>
      <c r="D106" s="67">
        <f t="shared" ref="D106:Q106" si="0">MIN(D9:D104)</f>
        <v>0.21</v>
      </c>
      <c r="E106" s="67">
        <f t="shared" si="0"/>
        <v>4.42</v>
      </c>
      <c r="F106" s="67">
        <f t="shared" si="0"/>
        <v>2.2799999999999998</v>
      </c>
      <c r="G106" s="67">
        <f t="shared" si="0"/>
        <v>0</v>
      </c>
      <c r="H106" s="67">
        <f t="shared" si="0"/>
        <v>0</v>
      </c>
      <c r="I106" s="67">
        <f t="shared" si="0"/>
        <v>0.1</v>
      </c>
      <c r="J106" s="67">
        <f t="shared" si="0"/>
        <v>0.06</v>
      </c>
      <c r="K106" s="67">
        <f t="shared" si="0"/>
        <v>0.22</v>
      </c>
      <c r="L106" s="67">
        <f t="shared" si="0"/>
        <v>11.09</v>
      </c>
      <c r="M106" s="67">
        <f t="shared" si="0"/>
        <v>19.52</v>
      </c>
      <c r="N106" s="67">
        <f t="shared" si="0"/>
        <v>52.4</v>
      </c>
      <c r="O106" s="67">
        <f t="shared" si="0"/>
        <v>0</v>
      </c>
      <c r="P106" s="67">
        <f t="shared" si="0"/>
        <v>0.55000000000000004</v>
      </c>
      <c r="Q106" s="67">
        <f t="shared" si="0"/>
        <v>9.56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167.07</v>
      </c>
      <c r="C107" s="66">
        <f t="shared" ref="C107:Q107" si="1">MAX(C9:C104)</f>
        <v>41.92</v>
      </c>
      <c r="D107" s="66">
        <f t="shared" si="1"/>
        <v>106.72</v>
      </c>
      <c r="E107" s="66">
        <f t="shared" si="1"/>
        <v>19.45</v>
      </c>
      <c r="F107" s="66">
        <f t="shared" si="1"/>
        <v>11.65</v>
      </c>
      <c r="G107" s="66">
        <f t="shared" si="1"/>
        <v>281.82</v>
      </c>
      <c r="H107" s="66">
        <f t="shared" si="1"/>
        <v>42.7</v>
      </c>
      <c r="I107" s="66">
        <f t="shared" si="1"/>
        <v>0.1</v>
      </c>
      <c r="J107" s="66">
        <f t="shared" si="1"/>
        <v>2.0499999999999998</v>
      </c>
      <c r="K107" s="66">
        <f t="shared" si="1"/>
        <v>357.87</v>
      </c>
      <c r="L107" s="66">
        <f t="shared" si="1"/>
        <v>28.15</v>
      </c>
      <c r="M107" s="66">
        <f t="shared" si="1"/>
        <v>98.1</v>
      </c>
      <c r="N107" s="66">
        <f t="shared" si="1"/>
        <v>531</v>
      </c>
      <c r="O107" s="66">
        <f t="shared" si="1"/>
        <v>0</v>
      </c>
      <c r="P107" s="66">
        <f t="shared" si="1"/>
        <v>4.1900000000000004</v>
      </c>
      <c r="Q107" s="66">
        <f t="shared" si="1"/>
        <v>9.8800000000000008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79.769777777777762</v>
      </c>
      <c r="C108" s="67">
        <f t="shared" ref="C108:Q108" si="2">AVERAGE(C9:C104)</f>
        <v>23.589512195121952</v>
      </c>
      <c r="D108" s="67">
        <f t="shared" si="2"/>
        <v>58.466333333333345</v>
      </c>
      <c r="E108" s="67">
        <f t="shared" si="2"/>
        <v>7.4941666666666649</v>
      </c>
      <c r="F108" s="67">
        <f t="shared" si="2"/>
        <v>4.0332291666666675</v>
      </c>
      <c r="G108" s="67">
        <f t="shared" si="2"/>
        <v>67.546249999999972</v>
      </c>
      <c r="H108" s="67">
        <f t="shared" si="2"/>
        <v>23.120312499999986</v>
      </c>
      <c r="I108" s="67">
        <f t="shared" si="2"/>
        <v>9.9999999999999811E-2</v>
      </c>
      <c r="J108" s="67">
        <f t="shared" si="2"/>
        <v>0.70489583333333361</v>
      </c>
      <c r="K108" s="67">
        <f t="shared" si="2"/>
        <v>258.09458333333333</v>
      </c>
      <c r="L108" s="67">
        <f t="shared" si="2"/>
        <v>18.618645833333332</v>
      </c>
      <c r="M108" s="67">
        <f t="shared" si="2"/>
        <v>62.61177083333336</v>
      </c>
      <c r="N108" s="67">
        <f t="shared" si="2"/>
        <v>167.23749999999998</v>
      </c>
      <c r="O108" s="67">
        <f t="shared" si="2"/>
        <v>0</v>
      </c>
      <c r="P108" s="67">
        <f t="shared" si="2"/>
        <v>2.1255208333333337</v>
      </c>
      <c r="Q108" s="67">
        <f t="shared" si="2"/>
        <v>9.7313541666666676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56.364571268945937</v>
      </c>
      <c r="C109" s="67">
        <f t="shared" ref="C109:Q109" si="3">STDEV(C9:C104)</f>
        <v>13.785383192211132</v>
      </c>
      <c r="D109" s="67">
        <f t="shared" si="3"/>
        <v>28.982945060535503</v>
      </c>
      <c r="E109" s="67">
        <f t="shared" si="3"/>
        <v>3.1519456536413806</v>
      </c>
      <c r="F109" s="67">
        <f t="shared" si="3"/>
        <v>2.1409980431130755</v>
      </c>
      <c r="G109" s="67">
        <f t="shared" si="3"/>
        <v>46.056922018188338</v>
      </c>
      <c r="H109" s="67">
        <f t="shared" si="3"/>
        <v>12.631735510474364</v>
      </c>
      <c r="I109" s="67">
        <f t="shared" si="3"/>
        <v>1.9530892623466312E-16</v>
      </c>
      <c r="J109" s="67">
        <f t="shared" si="3"/>
        <v>0.46767508917525963</v>
      </c>
      <c r="K109" s="67">
        <f t="shared" si="3"/>
        <v>105.32323810078699</v>
      </c>
      <c r="L109" s="67">
        <f t="shared" si="3"/>
        <v>5.811142947601283</v>
      </c>
      <c r="M109" s="67">
        <f t="shared" si="3"/>
        <v>31.730549450176301</v>
      </c>
      <c r="N109" s="67">
        <f t="shared" si="3"/>
        <v>166.62417607487686</v>
      </c>
      <c r="O109" s="67">
        <f t="shared" si="3"/>
        <v>0</v>
      </c>
      <c r="P109" s="67">
        <f t="shared" si="3"/>
        <v>1.0479381960398699</v>
      </c>
      <c r="Q109" s="67">
        <f t="shared" si="3"/>
        <v>8.6336182470090519E-2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COUNT(B9:B104)+6</f>
        <v>96</v>
      </c>
      <c r="C110" s="66">
        <f>COUNT(C9:C104)+55</f>
        <v>96</v>
      </c>
      <c r="D110" s="66">
        <f>COUNT(D9:D104)+6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1975</v>
      </c>
      <c r="B9" s="64">
        <v>135.13999999999999</v>
      </c>
      <c r="C9" s="212" t="s">
        <v>42</v>
      </c>
      <c r="D9" s="64">
        <v>84.39</v>
      </c>
      <c r="E9" s="64">
        <v>4.8600000000000003</v>
      </c>
      <c r="F9" s="64">
        <v>2.5299999999999998</v>
      </c>
      <c r="G9" s="64">
        <v>85.14</v>
      </c>
      <c r="H9" s="64">
        <v>30.97</v>
      </c>
      <c r="I9" s="64">
        <v>0.1</v>
      </c>
      <c r="J9" s="64">
        <v>0.61</v>
      </c>
      <c r="K9" s="64">
        <v>346.39</v>
      </c>
      <c r="L9" s="64">
        <v>13.88</v>
      </c>
      <c r="M9" s="64">
        <v>87.57</v>
      </c>
      <c r="N9" s="64">
        <v>52.7</v>
      </c>
      <c r="O9" s="64">
        <v>0</v>
      </c>
      <c r="P9" s="64">
        <v>3.22</v>
      </c>
      <c r="Q9" s="64">
        <v>9.7899999999999991</v>
      </c>
      <c r="R9" s="198"/>
      <c r="S9" s="198"/>
      <c r="T9" s="198"/>
      <c r="U9" s="198"/>
    </row>
    <row r="10" spans="1:21" s="12" customFormat="1" x14ac:dyDescent="0.25">
      <c r="A10" s="214" t="s">
        <v>1976</v>
      </c>
      <c r="B10" s="64">
        <v>132.36000000000001</v>
      </c>
      <c r="C10" s="212" t="s">
        <v>42</v>
      </c>
      <c r="D10" s="64">
        <v>82.87</v>
      </c>
      <c r="E10" s="64">
        <v>5.14</v>
      </c>
      <c r="F10" s="64">
        <v>2.3199999999999998</v>
      </c>
      <c r="G10" s="64">
        <v>85.14</v>
      </c>
      <c r="H10" s="64">
        <v>30.97</v>
      </c>
      <c r="I10" s="64">
        <v>0.1</v>
      </c>
      <c r="J10" s="64">
        <v>0.7</v>
      </c>
      <c r="K10" s="64">
        <v>317.58</v>
      </c>
      <c r="L10" s="64">
        <v>13.78</v>
      </c>
      <c r="M10" s="64">
        <v>90.06</v>
      </c>
      <c r="N10" s="64">
        <v>52.7</v>
      </c>
      <c r="O10" s="64">
        <v>0</v>
      </c>
      <c r="P10" s="64">
        <v>3.21</v>
      </c>
      <c r="Q10" s="64">
        <v>9.7799999999999994</v>
      </c>
      <c r="R10" s="198"/>
      <c r="S10" s="198"/>
      <c r="T10" s="198"/>
      <c r="U10" s="198"/>
    </row>
    <row r="11" spans="1:21" s="12" customFormat="1" x14ac:dyDescent="0.25">
      <c r="A11" s="214" t="s">
        <v>1977</v>
      </c>
      <c r="B11" s="64">
        <v>129.58000000000001</v>
      </c>
      <c r="C11" s="212" t="s">
        <v>42</v>
      </c>
      <c r="D11" s="64">
        <v>81.28</v>
      </c>
      <c r="E11" s="64">
        <v>4.87</v>
      </c>
      <c r="F11" s="64">
        <v>2.5</v>
      </c>
      <c r="G11" s="64">
        <v>85.14</v>
      </c>
      <c r="H11" s="64">
        <v>30.97</v>
      </c>
      <c r="I11" s="64">
        <v>0.1</v>
      </c>
      <c r="J11" s="64">
        <v>0.32</v>
      </c>
      <c r="K11" s="64">
        <v>101.29</v>
      </c>
      <c r="L11" s="64">
        <v>13.69</v>
      </c>
      <c r="M11" s="64">
        <v>91.52</v>
      </c>
      <c r="N11" s="64">
        <v>52.6</v>
      </c>
      <c r="O11" s="64">
        <v>0</v>
      </c>
      <c r="P11" s="64">
        <v>3.22</v>
      </c>
      <c r="Q11" s="64">
        <v>9.7799999999999994</v>
      </c>
      <c r="R11" s="198"/>
      <c r="S11" s="198"/>
      <c r="T11" s="198"/>
      <c r="U11" s="198"/>
    </row>
    <row r="12" spans="1:21" s="12" customFormat="1" x14ac:dyDescent="0.25">
      <c r="A12" s="214" t="s">
        <v>1978</v>
      </c>
      <c r="B12" s="64">
        <v>127</v>
      </c>
      <c r="C12" s="212" t="s">
        <v>42</v>
      </c>
      <c r="D12" s="64">
        <v>79.709999999999994</v>
      </c>
      <c r="E12" s="64">
        <v>4.9000000000000004</v>
      </c>
      <c r="F12" s="64">
        <v>2.34</v>
      </c>
      <c r="G12" s="64">
        <v>69.88</v>
      </c>
      <c r="H12" s="64">
        <v>30.66</v>
      </c>
      <c r="I12" s="64">
        <v>0.1</v>
      </c>
      <c r="J12" s="64">
        <v>0.4</v>
      </c>
      <c r="K12" s="64">
        <v>257.08</v>
      </c>
      <c r="L12" s="64">
        <v>13.53</v>
      </c>
      <c r="M12" s="64">
        <v>93.81</v>
      </c>
      <c r="N12" s="64">
        <v>52.6</v>
      </c>
      <c r="O12" s="64">
        <v>0</v>
      </c>
      <c r="P12" s="64">
        <v>3.23</v>
      </c>
      <c r="Q12" s="64">
        <v>9.77</v>
      </c>
      <c r="R12" s="198"/>
      <c r="S12" s="198"/>
      <c r="T12" s="198"/>
      <c r="U12" s="198"/>
    </row>
    <row r="13" spans="1:21" s="12" customFormat="1" x14ac:dyDescent="0.25">
      <c r="A13" s="214" t="s">
        <v>1979</v>
      </c>
      <c r="B13" s="64">
        <v>124.13</v>
      </c>
      <c r="C13" s="212" t="s">
        <v>42</v>
      </c>
      <c r="D13" s="64">
        <v>78.08</v>
      </c>
      <c r="E13" s="64">
        <v>4.7</v>
      </c>
      <c r="F13" s="64">
        <v>2.4900000000000002</v>
      </c>
      <c r="G13" s="64">
        <v>69.88</v>
      </c>
      <c r="H13" s="64">
        <v>30.66</v>
      </c>
      <c r="I13" s="64">
        <v>0.1</v>
      </c>
      <c r="J13" s="64">
        <v>0.54</v>
      </c>
      <c r="K13" s="64">
        <v>4.5599999999999996</v>
      </c>
      <c r="L13" s="64">
        <v>13.32</v>
      </c>
      <c r="M13" s="64">
        <v>95.22</v>
      </c>
      <c r="N13" s="64">
        <v>52.8</v>
      </c>
      <c r="O13" s="64">
        <v>0</v>
      </c>
      <c r="P13" s="64">
        <v>2.75</v>
      </c>
      <c r="Q13" s="64">
        <v>9.77</v>
      </c>
      <c r="R13" s="198"/>
      <c r="S13" s="198"/>
      <c r="T13" s="198"/>
      <c r="U13" s="198"/>
    </row>
    <row r="14" spans="1:21" s="12" customFormat="1" x14ac:dyDescent="0.25">
      <c r="A14" s="214" t="s">
        <v>1980</v>
      </c>
      <c r="B14" s="64">
        <v>120.47</v>
      </c>
      <c r="C14" s="212" t="s">
        <v>42</v>
      </c>
      <c r="D14" s="64">
        <v>75.7</v>
      </c>
      <c r="E14" s="64">
        <v>4.8499999999999996</v>
      </c>
      <c r="F14" s="64">
        <v>2.29</v>
      </c>
      <c r="G14" s="64">
        <v>69.88</v>
      </c>
      <c r="H14" s="64">
        <v>30.66</v>
      </c>
      <c r="I14" s="64">
        <v>0.1</v>
      </c>
      <c r="J14" s="64">
        <v>0.55000000000000004</v>
      </c>
      <c r="K14" s="64">
        <v>102.62</v>
      </c>
      <c r="L14" s="64">
        <v>13.2</v>
      </c>
      <c r="M14" s="64">
        <v>93.54</v>
      </c>
      <c r="N14" s="64">
        <v>52.7</v>
      </c>
      <c r="O14" s="64">
        <v>0</v>
      </c>
      <c r="P14" s="64">
        <v>2.86</v>
      </c>
      <c r="Q14" s="64">
        <v>9.7799999999999994</v>
      </c>
      <c r="R14" s="198"/>
      <c r="S14" s="198"/>
      <c r="T14" s="198"/>
      <c r="U14" s="198"/>
    </row>
    <row r="15" spans="1:21" s="12" customFormat="1" x14ac:dyDescent="0.25">
      <c r="A15" s="214" t="s">
        <v>1981</v>
      </c>
      <c r="B15" s="64">
        <v>116.48</v>
      </c>
      <c r="C15" s="212" t="s">
        <v>42</v>
      </c>
      <c r="D15" s="64">
        <v>73.69</v>
      </c>
      <c r="E15" s="64">
        <v>4.66</v>
      </c>
      <c r="F15" s="64">
        <v>2.21</v>
      </c>
      <c r="G15" s="64">
        <v>69.88</v>
      </c>
      <c r="H15" s="64">
        <v>30.66</v>
      </c>
      <c r="I15" s="64">
        <v>0.1</v>
      </c>
      <c r="J15" s="64">
        <v>0.37</v>
      </c>
      <c r="K15" s="64">
        <v>150.83000000000001</v>
      </c>
      <c r="L15" s="64">
        <v>13.17</v>
      </c>
      <c r="M15" s="64">
        <v>92.34</v>
      </c>
      <c r="N15" s="64">
        <v>52.6</v>
      </c>
      <c r="O15" s="64">
        <v>0</v>
      </c>
      <c r="P15" s="64">
        <v>2.85</v>
      </c>
      <c r="Q15" s="64">
        <v>9.75</v>
      </c>
      <c r="R15" s="198"/>
      <c r="S15" s="198"/>
      <c r="T15" s="198"/>
      <c r="U15" s="198"/>
    </row>
    <row r="16" spans="1:21" s="12" customFormat="1" x14ac:dyDescent="0.25">
      <c r="A16" s="214" t="s">
        <v>1982</v>
      </c>
      <c r="B16" s="64">
        <v>112.63</v>
      </c>
      <c r="C16" s="212" t="s">
        <v>42</v>
      </c>
      <c r="D16" s="64">
        <v>71.8</v>
      </c>
      <c r="E16" s="64">
        <v>4.7300000000000004</v>
      </c>
      <c r="F16" s="64">
        <v>2.1</v>
      </c>
      <c r="G16" s="64">
        <v>55.83</v>
      </c>
      <c r="H16" s="64">
        <v>24.59</v>
      </c>
      <c r="I16" s="64">
        <v>0.1</v>
      </c>
      <c r="J16" s="64">
        <v>0.66</v>
      </c>
      <c r="K16" s="64">
        <v>228.23</v>
      </c>
      <c r="L16" s="64">
        <v>13.42</v>
      </c>
      <c r="M16" s="64">
        <v>90.61</v>
      </c>
      <c r="N16" s="64">
        <v>52.4</v>
      </c>
      <c r="O16" s="64">
        <v>0</v>
      </c>
      <c r="P16" s="64">
        <v>2.83</v>
      </c>
      <c r="Q16" s="64">
        <v>9.76</v>
      </c>
      <c r="R16" s="198"/>
      <c r="S16" s="198"/>
      <c r="T16" s="198"/>
      <c r="U16" s="198"/>
    </row>
    <row r="17" spans="1:21" s="12" customFormat="1" x14ac:dyDescent="0.25">
      <c r="A17" s="214" t="s">
        <v>1983</v>
      </c>
      <c r="B17" s="64">
        <v>108.41</v>
      </c>
      <c r="C17" s="212" t="s">
        <v>42</v>
      </c>
      <c r="D17" s="64">
        <v>69.599999999999994</v>
      </c>
      <c r="E17" s="64">
        <v>4.87</v>
      </c>
      <c r="F17" s="64">
        <v>2.48</v>
      </c>
      <c r="G17" s="64">
        <v>55.67</v>
      </c>
      <c r="H17" s="64">
        <v>24.59</v>
      </c>
      <c r="I17" s="64">
        <v>0.1</v>
      </c>
      <c r="J17" s="64">
        <v>0.82</v>
      </c>
      <c r="K17" s="64">
        <v>234.25</v>
      </c>
      <c r="L17" s="64">
        <v>13.39</v>
      </c>
      <c r="M17" s="64">
        <v>83.29</v>
      </c>
      <c r="N17" s="64">
        <v>52.8</v>
      </c>
      <c r="O17" s="64">
        <v>0</v>
      </c>
      <c r="P17" s="64">
        <v>2.77</v>
      </c>
      <c r="Q17" s="64">
        <v>9.76</v>
      </c>
      <c r="R17" s="198"/>
      <c r="S17" s="198"/>
      <c r="T17" s="198"/>
      <c r="U17" s="198"/>
    </row>
    <row r="18" spans="1:21" s="12" customFormat="1" x14ac:dyDescent="0.25">
      <c r="A18" s="214" t="s">
        <v>1984</v>
      </c>
      <c r="B18" s="64">
        <v>103.69</v>
      </c>
      <c r="C18" s="212" t="s">
        <v>42</v>
      </c>
      <c r="D18" s="64">
        <v>67.23</v>
      </c>
      <c r="E18" s="64">
        <v>4.59</v>
      </c>
      <c r="F18" s="64">
        <v>2.5099999999999998</v>
      </c>
      <c r="G18" s="64">
        <v>55.67</v>
      </c>
      <c r="H18" s="64">
        <v>24.59</v>
      </c>
      <c r="I18" s="64">
        <v>0.1</v>
      </c>
      <c r="J18" s="64">
        <v>0.14000000000000001</v>
      </c>
      <c r="K18" s="64">
        <v>35.15</v>
      </c>
      <c r="L18" s="64">
        <v>13.13</v>
      </c>
      <c r="M18" s="64">
        <v>86.92</v>
      </c>
      <c r="N18" s="64">
        <v>52.8</v>
      </c>
      <c r="O18" s="64">
        <v>0</v>
      </c>
      <c r="P18" s="64">
        <v>2.68</v>
      </c>
      <c r="Q18" s="64">
        <v>9.75</v>
      </c>
      <c r="R18" s="198"/>
      <c r="S18" s="198"/>
      <c r="T18" s="198"/>
      <c r="U18" s="198"/>
    </row>
    <row r="19" spans="1:21" s="12" customFormat="1" x14ac:dyDescent="0.25">
      <c r="A19" s="214" t="s">
        <v>1985</v>
      </c>
      <c r="B19" s="64">
        <v>99.16</v>
      </c>
      <c r="C19" s="212" t="s">
        <v>42</v>
      </c>
      <c r="D19" s="64">
        <v>64.69</v>
      </c>
      <c r="E19" s="64">
        <v>4.6900000000000004</v>
      </c>
      <c r="F19" s="64">
        <v>2.46</v>
      </c>
      <c r="G19" s="64">
        <v>55.67</v>
      </c>
      <c r="H19" s="64">
        <v>24.59</v>
      </c>
      <c r="I19" s="64">
        <v>0.1</v>
      </c>
      <c r="J19" s="64">
        <v>0.49</v>
      </c>
      <c r="K19" s="64">
        <v>166.75</v>
      </c>
      <c r="L19" s="64">
        <v>12.66</v>
      </c>
      <c r="M19" s="64">
        <v>89.61</v>
      </c>
      <c r="N19" s="64">
        <v>52.8</v>
      </c>
      <c r="O19" s="64">
        <v>0</v>
      </c>
      <c r="P19" s="64">
        <v>2.6</v>
      </c>
      <c r="Q19" s="64">
        <v>9.73</v>
      </c>
      <c r="R19" s="198"/>
      <c r="S19" s="198"/>
      <c r="T19" s="198"/>
      <c r="U19" s="198"/>
    </row>
    <row r="20" spans="1:21" s="12" customFormat="1" x14ac:dyDescent="0.25">
      <c r="A20" s="214" t="s">
        <v>1986</v>
      </c>
      <c r="B20" s="64">
        <v>94.88</v>
      </c>
      <c r="C20" s="212" t="s">
        <v>42</v>
      </c>
      <c r="D20" s="64">
        <v>62.4</v>
      </c>
      <c r="E20" s="64">
        <v>4.67</v>
      </c>
      <c r="F20" s="64">
        <v>2.64</v>
      </c>
      <c r="G20" s="64">
        <v>70.930000000000007</v>
      </c>
      <c r="H20" s="64">
        <v>24.13</v>
      </c>
      <c r="I20" s="64">
        <v>0.1</v>
      </c>
      <c r="J20" s="64">
        <v>0.42</v>
      </c>
      <c r="K20" s="64">
        <v>236.81</v>
      </c>
      <c r="L20" s="64">
        <v>12.6</v>
      </c>
      <c r="M20" s="64">
        <v>93.53</v>
      </c>
      <c r="N20" s="64">
        <v>52.7</v>
      </c>
      <c r="O20" s="64">
        <v>0</v>
      </c>
      <c r="P20" s="64">
        <v>2.5299999999999998</v>
      </c>
      <c r="Q20" s="64">
        <v>9.73</v>
      </c>
      <c r="R20" s="198"/>
      <c r="S20" s="198"/>
      <c r="T20" s="198"/>
      <c r="U20" s="198"/>
    </row>
    <row r="21" spans="1:21" s="12" customFormat="1" x14ac:dyDescent="0.25">
      <c r="A21" s="214" t="s">
        <v>1987</v>
      </c>
      <c r="B21" s="64">
        <v>91.07</v>
      </c>
      <c r="C21" s="212" t="s">
        <v>42</v>
      </c>
      <c r="D21" s="64">
        <v>60.42</v>
      </c>
      <c r="E21" s="64">
        <v>4.7300000000000004</v>
      </c>
      <c r="F21" s="64">
        <v>2.68</v>
      </c>
      <c r="G21" s="64">
        <v>71.099999999999994</v>
      </c>
      <c r="H21" s="64">
        <v>24.13</v>
      </c>
      <c r="I21" s="64">
        <v>0.1</v>
      </c>
      <c r="J21" s="64">
        <v>0.3</v>
      </c>
      <c r="K21" s="64">
        <v>310.61</v>
      </c>
      <c r="L21" s="64">
        <v>12.27</v>
      </c>
      <c r="M21" s="64">
        <v>96.71</v>
      </c>
      <c r="N21" s="64">
        <v>52.8</v>
      </c>
      <c r="O21" s="64">
        <v>0</v>
      </c>
      <c r="P21" s="64">
        <v>2.44</v>
      </c>
      <c r="Q21" s="64">
        <v>9.75</v>
      </c>
      <c r="R21" s="198"/>
      <c r="S21" s="198"/>
      <c r="T21" s="198"/>
      <c r="U21" s="198"/>
    </row>
    <row r="22" spans="1:21" s="12" customFormat="1" x14ac:dyDescent="0.25">
      <c r="A22" s="214" t="s">
        <v>1988</v>
      </c>
      <c r="B22" s="64">
        <v>88.42</v>
      </c>
      <c r="C22" s="212" t="s">
        <v>42</v>
      </c>
      <c r="D22" s="64">
        <v>58.94</v>
      </c>
      <c r="E22" s="64">
        <v>4.93</v>
      </c>
      <c r="F22" s="64">
        <v>2.67</v>
      </c>
      <c r="G22" s="64">
        <v>71.099999999999994</v>
      </c>
      <c r="H22" s="64">
        <v>24.13</v>
      </c>
      <c r="I22" s="64">
        <v>0.1</v>
      </c>
      <c r="J22" s="64">
        <v>0.09</v>
      </c>
      <c r="K22" s="64">
        <v>61.89</v>
      </c>
      <c r="L22" s="64">
        <v>12.05</v>
      </c>
      <c r="M22" s="64">
        <v>97.76</v>
      </c>
      <c r="N22" s="64">
        <v>52.5</v>
      </c>
      <c r="O22" s="64">
        <v>0</v>
      </c>
      <c r="P22" s="64">
        <v>2.34</v>
      </c>
      <c r="Q22" s="64">
        <v>9.73</v>
      </c>
      <c r="R22" s="198"/>
      <c r="S22" s="198"/>
      <c r="T22" s="198"/>
      <c r="U22" s="198"/>
    </row>
    <row r="23" spans="1:21" s="12" customFormat="1" x14ac:dyDescent="0.25">
      <c r="A23" s="214" t="s">
        <v>1989</v>
      </c>
      <c r="B23" s="64">
        <v>86.18</v>
      </c>
      <c r="C23" s="212" t="s">
        <v>42</v>
      </c>
      <c r="D23" s="64">
        <v>57.47</v>
      </c>
      <c r="E23" s="64">
        <v>4.4400000000000004</v>
      </c>
      <c r="F23" s="64">
        <v>2.4700000000000002</v>
      </c>
      <c r="G23" s="64">
        <v>71.099999999999994</v>
      </c>
      <c r="H23" s="64">
        <v>24.13</v>
      </c>
      <c r="I23" s="64">
        <v>0.1</v>
      </c>
      <c r="J23" s="64">
        <v>0.49</v>
      </c>
      <c r="K23" s="64">
        <v>284.2</v>
      </c>
      <c r="L23" s="64">
        <v>11.88</v>
      </c>
      <c r="M23" s="64">
        <v>97.72</v>
      </c>
      <c r="N23" s="64">
        <v>52.6</v>
      </c>
      <c r="O23" s="64">
        <v>0</v>
      </c>
      <c r="P23" s="64">
        <v>2.23</v>
      </c>
      <c r="Q23" s="64">
        <v>9.7200000000000006</v>
      </c>
      <c r="R23" s="198"/>
      <c r="S23" s="198"/>
      <c r="T23" s="198"/>
      <c r="U23" s="198"/>
    </row>
    <row r="24" spans="1:21" s="12" customFormat="1" x14ac:dyDescent="0.25">
      <c r="A24" s="214" t="s">
        <v>1990</v>
      </c>
      <c r="B24" s="64">
        <v>84.34</v>
      </c>
      <c r="C24" s="212" t="s">
        <v>42</v>
      </c>
      <c r="D24" s="64">
        <v>56.2</v>
      </c>
      <c r="E24" s="64">
        <v>4.49</v>
      </c>
      <c r="F24" s="64">
        <v>2.52</v>
      </c>
      <c r="G24" s="64">
        <v>54.3</v>
      </c>
      <c r="H24" s="64">
        <v>21.7</v>
      </c>
      <c r="I24" s="64">
        <v>0.1</v>
      </c>
      <c r="J24" s="64">
        <v>0.74</v>
      </c>
      <c r="K24" s="64">
        <v>218.78</v>
      </c>
      <c r="L24" s="64">
        <v>11.76</v>
      </c>
      <c r="M24" s="64">
        <v>97.5</v>
      </c>
      <c r="N24" s="64">
        <v>52.4</v>
      </c>
      <c r="O24" s="64">
        <v>0</v>
      </c>
      <c r="P24" s="64">
        <v>2.14</v>
      </c>
      <c r="Q24" s="64">
        <v>9.7200000000000006</v>
      </c>
      <c r="R24" s="198"/>
      <c r="S24" s="198"/>
      <c r="T24" s="198"/>
      <c r="U24" s="198"/>
    </row>
    <row r="25" spans="1:21" s="12" customFormat="1" x14ac:dyDescent="0.25">
      <c r="A25" s="214" t="s">
        <v>1991</v>
      </c>
      <c r="B25" s="64">
        <v>82.81</v>
      </c>
      <c r="C25" s="212" t="s">
        <v>42</v>
      </c>
      <c r="D25" s="64">
        <v>55.12</v>
      </c>
      <c r="E25" s="64">
        <v>4.7</v>
      </c>
      <c r="F25" s="64">
        <v>2.63</v>
      </c>
      <c r="G25" s="64">
        <v>54.3</v>
      </c>
      <c r="H25" s="64">
        <v>21.7</v>
      </c>
      <c r="I25" s="64">
        <v>0.1</v>
      </c>
      <c r="J25" s="64">
        <v>0.46</v>
      </c>
      <c r="K25" s="64">
        <v>241.16</v>
      </c>
      <c r="L25" s="64">
        <v>11.81</v>
      </c>
      <c r="M25" s="64">
        <v>97.48</v>
      </c>
      <c r="N25" s="64">
        <v>52.6</v>
      </c>
      <c r="O25" s="64">
        <v>0</v>
      </c>
      <c r="P25" s="64">
        <v>2.06</v>
      </c>
      <c r="Q25" s="64">
        <v>9.7200000000000006</v>
      </c>
      <c r="R25" s="198"/>
      <c r="S25" s="198"/>
      <c r="T25" s="198"/>
      <c r="U25" s="198"/>
    </row>
    <row r="26" spans="1:21" s="12" customFormat="1" x14ac:dyDescent="0.25">
      <c r="A26" s="214" t="s">
        <v>1992</v>
      </c>
      <c r="B26" s="64">
        <v>81.73</v>
      </c>
      <c r="C26" s="212" t="s">
        <v>42</v>
      </c>
      <c r="D26" s="64">
        <v>54.39</v>
      </c>
      <c r="E26" s="64">
        <v>4.47</v>
      </c>
      <c r="F26" s="64">
        <v>2.63</v>
      </c>
      <c r="G26" s="64">
        <v>54.3</v>
      </c>
      <c r="H26" s="64">
        <v>21.7</v>
      </c>
      <c r="I26" s="64">
        <v>0.1</v>
      </c>
      <c r="J26" s="64">
        <v>0.83</v>
      </c>
      <c r="K26" s="64">
        <v>215.64</v>
      </c>
      <c r="L26" s="64">
        <v>11.65</v>
      </c>
      <c r="M26" s="64">
        <v>97.57</v>
      </c>
      <c r="N26" s="64">
        <v>52.4</v>
      </c>
      <c r="O26" s="64">
        <v>0</v>
      </c>
      <c r="P26" s="64">
        <v>1.99</v>
      </c>
      <c r="Q26" s="64">
        <v>9.73</v>
      </c>
      <c r="R26" s="198"/>
      <c r="S26" s="198"/>
      <c r="T26" s="198"/>
      <c r="U26" s="198"/>
    </row>
    <row r="27" spans="1:21" s="12" customFormat="1" x14ac:dyDescent="0.25">
      <c r="A27" s="214" t="s">
        <v>1993</v>
      </c>
      <c r="B27" s="64">
        <v>80.03</v>
      </c>
      <c r="C27" s="212" t="s">
        <v>42</v>
      </c>
      <c r="D27" s="64">
        <v>53.35</v>
      </c>
      <c r="E27" s="64">
        <v>4.33</v>
      </c>
      <c r="F27" s="64">
        <v>2.37</v>
      </c>
      <c r="G27" s="64">
        <v>54.3</v>
      </c>
      <c r="H27" s="64">
        <v>21.7</v>
      </c>
      <c r="I27" s="64">
        <v>0.1</v>
      </c>
      <c r="J27" s="64">
        <v>0.56999999999999995</v>
      </c>
      <c r="K27" s="64">
        <v>238.79</v>
      </c>
      <c r="L27" s="64">
        <v>11.5</v>
      </c>
      <c r="M27" s="64">
        <v>97.9</v>
      </c>
      <c r="N27" s="64">
        <v>52.8</v>
      </c>
      <c r="O27" s="64">
        <v>0</v>
      </c>
      <c r="P27" s="64">
        <v>1.9</v>
      </c>
      <c r="Q27" s="64">
        <v>9.7200000000000006</v>
      </c>
      <c r="R27" s="198"/>
      <c r="S27" s="198"/>
      <c r="T27" s="198"/>
      <c r="U27" s="198"/>
    </row>
    <row r="28" spans="1:21" s="12" customFormat="1" x14ac:dyDescent="0.25">
      <c r="A28" s="214" t="s">
        <v>1994</v>
      </c>
      <c r="B28" s="64">
        <v>77.5</v>
      </c>
      <c r="C28" s="212" t="s">
        <v>42</v>
      </c>
      <c r="D28" s="64">
        <v>52</v>
      </c>
      <c r="E28" s="64">
        <v>4.2</v>
      </c>
      <c r="F28" s="64">
        <v>2.39</v>
      </c>
      <c r="G28" s="64">
        <v>47.88</v>
      </c>
      <c r="H28" s="64">
        <v>19.260000000000002</v>
      </c>
      <c r="I28" s="64">
        <v>0.1</v>
      </c>
      <c r="J28" s="64">
        <v>0.57999999999999996</v>
      </c>
      <c r="K28" s="64">
        <v>265.87</v>
      </c>
      <c r="L28" s="64">
        <v>11.19</v>
      </c>
      <c r="M28" s="64">
        <v>97.46</v>
      </c>
      <c r="N28" s="64">
        <v>52.8</v>
      </c>
      <c r="O28" s="64">
        <v>0</v>
      </c>
      <c r="P28" s="64">
        <v>1.83</v>
      </c>
      <c r="Q28" s="64">
        <v>9.7100000000000009</v>
      </c>
      <c r="R28" s="198"/>
      <c r="S28" s="198"/>
      <c r="T28" s="198"/>
      <c r="U28" s="198"/>
    </row>
    <row r="29" spans="1:21" s="12" customFormat="1" x14ac:dyDescent="0.25">
      <c r="A29" s="214" t="s">
        <v>1995</v>
      </c>
      <c r="B29" s="64">
        <v>74.760000000000005</v>
      </c>
      <c r="C29" s="212" t="s">
        <v>42</v>
      </c>
      <c r="D29" s="64">
        <v>50.58</v>
      </c>
      <c r="E29" s="64">
        <v>4</v>
      </c>
      <c r="F29" s="64">
        <v>2.4300000000000002</v>
      </c>
      <c r="G29" s="64">
        <v>47.88</v>
      </c>
      <c r="H29" s="64">
        <v>19.260000000000002</v>
      </c>
      <c r="I29" s="64">
        <v>0.1</v>
      </c>
      <c r="J29" s="64">
        <v>0.24</v>
      </c>
      <c r="K29" s="64">
        <v>261.12</v>
      </c>
      <c r="L29" s="64">
        <v>10.98</v>
      </c>
      <c r="M29" s="64">
        <v>97.5</v>
      </c>
      <c r="N29" s="64">
        <v>52.6</v>
      </c>
      <c r="O29" s="64">
        <v>0</v>
      </c>
      <c r="P29" s="64">
        <v>1.75</v>
      </c>
      <c r="Q29" s="64">
        <v>9.6999999999999993</v>
      </c>
      <c r="R29" s="198"/>
      <c r="S29" s="198"/>
      <c r="T29" s="198"/>
      <c r="U29" s="198"/>
    </row>
    <row r="30" spans="1:21" s="12" customFormat="1" x14ac:dyDescent="0.25">
      <c r="A30" s="214" t="s">
        <v>1996</v>
      </c>
      <c r="B30" s="64">
        <v>72.94</v>
      </c>
      <c r="C30" s="212" t="s">
        <v>42</v>
      </c>
      <c r="D30" s="64">
        <v>49.59</v>
      </c>
      <c r="E30" s="64">
        <v>3.91</v>
      </c>
      <c r="F30" s="64">
        <v>2.48</v>
      </c>
      <c r="G30" s="64">
        <v>47.88</v>
      </c>
      <c r="H30" s="64">
        <v>19.260000000000002</v>
      </c>
      <c r="I30" s="64">
        <v>0.1</v>
      </c>
      <c r="J30" s="64">
        <v>0.6</v>
      </c>
      <c r="K30" s="64">
        <v>296.69</v>
      </c>
      <c r="L30" s="64">
        <v>10.79</v>
      </c>
      <c r="M30" s="64">
        <v>97.51</v>
      </c>
      <c r="N30" s="64">
        <v>52.8</v>
      </c>
      <c r="O30" s="64">
        <v>0</v>
      </c>
      <c r="P30" s="64">
        <v>1.69</v>
      </c>
      <c r="Q30" s="64">
        <v>9.6999999999999993</v>
      </c>
      <c r="R30" s="198"/>
      <c r="S30" s="198"/>
      <c r="T30" s="198"/>
      <c r="U30" s="198"/>
    </row>
    <row r="31" spans="1:21" s="12" customFormat="1" x14ac:dyDescent="0.25">
      <c r="A31" s="214" t="s">
        <v>1997</v>
      </c>
      <c r="B31" s="64">
        <v>72.16</v>
      </c>
      <c r="C31" s="212" t="s">
        <v>42</v>
      </c>
      <c r="D31" s="64">
        <v>49.08</v>
      </c>
      <c r="E31" s="64">
        <v>3.87</v>
      </c>
      <c r="F31" s="64">
        <v>2.44</v>
      </c>
      <c r="G31" s="64">
        <v>47.88</v>
      </c>
      <c r="H31" s="64">
        <v>19.260000000000002</v>
      </c>
      <c r="I31" s="64">
        <v>0.1</v>
      </c>
      <c r="J31" s="64">
        <v>0.83</v>
      </c>
      <c r="K31" s="64">
        <v>321.51</v>
      </c>
      <c r="L31" s="64">
        <v>10.54</v>
      </c>
      <c r="M31" s="64">
        <v>98.02</v>
      </c>
      <c r="N31" s="64">
        <v>52.8</v>
      </c>
      <c r="O31" s="64">
        <v>0</v>
      </c>
      <c r="P31" s="64">
        <v>1.63</v>
      </c>
      <c r="Q31" s="64">
        <v>9.6999999999999993</v>
      </c>
      <c r="R31" s="198"/>
      <c r="S31" s="198"/>
      <c r="T31" s="198"/>
      <c r="U31" s="198"/>
    </row>
    <row r="32" spans="1:21" s="12" customFormat="1" x14ac:dyDescent="0.25">
      <c r="A32" s="214" t="s">
        <v>1998</v>
      </c>
      <c r="B32" s="64">
        <v>71.66</v>
      </c>
      <c r="C32" s="212" t="s">
        <v>42</v>
      </c>
      <c r="D32" s="64">
        <v>48.5</v>
      </c>
      <c r="E32" s="64">
        <v>4.04</v>
      </c>
      <c r="F32" s="64">
        <v>2.2200000000000002</v>
      </c>
      <c r="G32" s="64">
        <v>57.53</v>
      </c>
      <c r="H32" s="64">
        <v>20.88</v>
      </c>
      <c r="I32" s="64">
        <v>0.1</v>
      </c>
      <c r="J32" s="64">
        <v>0.82</v>
      </c>
      <c r="K32" s="64">
        <v>287</v>
      </c>
      <c r="L32" s="64">
        <v>10.38</v>
      </c>
      <c r="M32" s="64">
        <v>97.5</v>
      </c>
      <c r="N32" s="64">
        <v>52.6</v>
      </c>
      <c r="O32" s="64">
        <v>0</v>
      </c>
      <c r="P32" s="64">
        <v>1.61</v>
      </c>
      <c r="Q32" s="64">
        <v>9.6999999999999993</v>
      </c>
      <c r="R32" s="198"/>
      <c r="S32" s="198"/>
      <c r="T32" s="198"/>
      <c r="U32" s="198"/>
    </row>
    <row r="33" spans="1:21" s="12" customFormat="1" x14ac:dyDescent="0.25">
      <c r="A33" s="214" t="s">
        <v>1999</v>
      </c>
      <c r="B33" s="64">
        <v>69.64</v>
      </c>
      <c r="C33" s="212" t="s">
        <v>42</v>
      </c>
      <c r="D33" s="64">
        <v>47.61</v>
      </c>
      <c r="E33" s="64">
        <v>4.3499999999999996</v>
      </c>
      <c r="F33" s="64">
        <v>2.34</v>
      </c>
      <c r="G33" s="64">
        <v>57.64</v>
      </c>
      <c r="H33" s="64">
        <v>20.88</v>
      </c>
      <c r="I33" s="64">
        <v>0.1</v>
      </c>
      <c r="J33" s="64">
        <v>0.5</v>
      </c>
      <c r="K33" s="64">
        <v>288.87</v>
      </c>
      <c r="L33" s="64">
        <v>10.45</v>
      </c>
      <c r="M33" s="64">
        <v>97.49</v>
      </c>
      <c r="N33" s="64">
        <v>52.8</v>
      </c>
      <c r="O33" s="64">
        <v>0</v>
      </c>
      <c r="P33" s="64">
        <v>1.6</v>
      </c>
      <c r="Q33" s="64">
        <v>9.6999999999999993</v>
      </c>
      <c r="R33" s="198"/>
      <c r="S33" s="198"/>
      <c r="T33" s="198"/>
      <c r="U33" s="198"/>
    </row>
    <row r="34" spans="1:21" s="12" customFormat="1" x14ac:dyDescent="0.25">
      <c r="A34" s="214" t="s">
        <v>2000</v>
      </c>
      <c r="B34" s="64">
        <v>66.88</v>
      </c>
      <c r="C34" s="212" t="s">
        <v>42</v>
      </c>
      <c r="D34" s="64">
        <v>46.38</v>
      </c>
      <c r="E34" s="64">
        <v>4.08</v>
      </c>
      <c r="F34" s="64">
        <v>2.15</v>
      </c>
      <c r="G34" s="64">
        <v>57.64</v>
      </c>
      <c r="H34" s="64">
        <v>20.88</v>
      </c>
      <c r="I34" s="64">
        <v>0.1</v>
      </c>
      <c r="J34" s="64">
        <v>0.28000000000000003</v>
      </c>
      <c r="K34" s="64">
        <v>273.26</v>
      </c>
      <c r="L34" s="64">
        <v>10.48</v>
      </c>
      <c r="M34" s="64">
        <v>97.46</v>
      </c>
      <c r="N34" s="64">
        <v>54.3</v>
      </c>
      <c r="O34" s="64">
        <v>0</v>
      </c>
      <c r="P34" s="64">
        <v>1.56</v>
      </c>
      <c r="Q34" s="64">
        <v>9.69</v>
      </c>
      <c r="R34" s="198"/>
      <c r="S34" s="198"/>
      <c r="T34" s="198"/>
      <c r="U34" s="198"/>
    </row>
    <row r="35" spans="1:21" s="12" customFormat="1" x14ac:dyDescent="0.25">
      <c r="A35" s="214" t="s">
        <v>2001</v>
      </c>
      <c r="B35" s="64">
        <v>65.27</v>
      </c>
      <c r="C35" s="212" t="s">
        <v>42</v>
      </c>
      <c r="D35" s="64">
        <v>45.54</v>
      </c>
      <c r="E35" s="64">
        <v>4.1500000000000004</v>
      </c>
      <c r="F35" s="64">
        <v>2.27</v>
      </c>
      <c r="G35" s="64">
        <v>57.64</v>
      </c>
      <c r="H35" s="64">
        <v>20.88</v>
      </c>
      <c r="I35" s="64">
        <v>0.1</v>
      </c>
      <c r="J35" s="64">
        <v>0.28999999999999998</v>
      </c>
      <c r="K35" s="64">
        <v>240.85</v>
      </c>
      <c r="L35" s="64">
        <v>10.39</v>
      </c>
      <c r="M35" s="64">
        <v>97.97</v>
      </c>
      <c r="N35" s="64">
        <v>59.4</v>
      </c>
      <c r="O35" s="64">
        <v>0</v>
      </c>
      <c r="P35" s="64">
        <v>1.53</v>
      </c>
      <c r="Q35" s="64">
        <v>9.68</v>
      </c>
      <c r="R35" s="198"/>
      <c r="S35" s="198"/>
      <c r="T35" s="198"/>
      <c r="U35" s="198"/>
    </row>
    <row r="36" spans="1:21" s="12" customFormat="1" x14ac:dyDescent="0.25">
      <c r="A36" s="214" t="s">
        <v>2002</v>
      </c>
      <c r="B36" s="64">
        <v>64.95</v>
      </c>
      <c r="C36" s="212" t="s">
        <v>42</v>
      </c>
      <c r="D36" s="64">
        <v>45.43</v>
      </c>
      <c r="E36" s="64">
        <v>4.38</v>
      </c>
      <c r="F36" s="64">
        <v>2.4500000000000002</v>
      </c>
      <c r="G36" s="64">
        <v>47.7</v>
      </c>
      <c r="H36" s="64">
        <v>17.72</v>
      </c>
      <c r="I36" s="64">
        <v>0.1</v>
      </c>
      <c r="J36" s="64">
        <v>0.21</v>
      </c>
      <c r="K36" s="64">
        <v>140.28</v>
      </c>
      <c r="L36" s="64">
        <v>10.53</v>
      </c>
      <c r="M36" s="64">
        <v>97.47</v>
      </c>
      <c r="N36" s="64">
        <v>68.599999999999994</v>
      </c>
      <c r="O36" s="64">
        <v>0</v>
      </c>
      <c r="P36" s="64">
        <v>1.51</v>
      </c>
      <c r="Q36" s="64">
        <v>9.6999999999999993</v>
      </c>
      <c r="R36" s="198"/>
      <c r="S36" s="198"/>
      <c r="T36" s="198"/>
      <c r="U36" s="198"/>
    </row>
    <row r="37" spans="1:21" s="12" customFormat="1" x14ac:dyDescent="0.25">
      <c r="A37" s="214" t="s">
        <v>2003</v>
      </c>
      <c r="B37" s="64">
        <v>64.819999999999993</v>
      </c>
      <c r="C37" s="212" t="s">
        <v>42</v>
      </c>
      <c r="D37" s="64">
        <v>45.59</v>
      </c>
      <c r="E37" s="64">
        <v>4.0999999999999996</v>
      </c>
      <c r="F37" s="64">
        <v>2.48</v>
      </c>
      <c r="G37" s="64">
        <v>47.7</v>
      </c>
      <c r="H37" s="64">
        <v>17.72</v>
      </c>
      <c r="I37" s="64">
        <v>0.1</v>
      </c>
      <c r="J37" s="64">
        <v>0.1</v>
      </c>
      <c r="K37" s="64">
        <v>103.1</v>
      </c>
      <c r="L37" s="64">
        <v>11.01</v>
      </c>
      <c r="M37" s="64">
        <v>97.46</v>
      </c>
      <c r="N37" s="64">
        <v>78.5</v>
      </c>
      <c r="O37" s="64">
        <v>0</v>
      </c>
      <c r="P37" s="64">
        <v>1.49</v>
      </c>
      <c r="Q37" s="64">
        <v>9.69</v>
      </c>
      <c r="R37" s="198"/>
      <c r="S37" s="198"/>
      <c r="T37" s="198"/>
      <c r="U37" s="198"/>
    </row>
    <row r="38" spans="1:21" s="12" customFormat="1" x14ac:dyDescent="0.25">
      <c r="A38" s="214" t="s">
        <v>2004</v>
      </c>
      <c r="B38" s="64">
        <v>65.19</v>
      </c>
      <c r="C38" s="212" t="s">
        <v>42</v>
      </c>
      <c r="D38" s="64">
        <v>45.83</v>
      </c>
      <c r="E38" s="64">
        <v>4.32</v>
      </c>
      <c r="F38" s="64">
        <v>2.4700000000000002</v>
      </c>
      <c r="G38" s="64">
        <v>47.7</v>
      </c>
      <c r="H38" s="64">
        <v>17.72</v>
      </c>
      <c r="I38" s="64">
        <v>0.1</v>
      </c>
      <c r="J38" s="64">
        <v>0.81</v>
      </c>
      <c r="K38" s="64">
        <v>113.86</v>
      </c>
      <c r="L38" s="64">
        <v>11.87</v>
      </c>
      <c r="M38" s="64">
        <v>97.96</v>
      </c>
      <c r="N38" s="64">
        <v>91.5</v>
      </c>
      <c r="O38" s="64">
        <v>0</v>
      </c>
      <c r="P38" s="64">
        <v>1.52</v>
      </c>
      <c r="Q38" s="64">
        <v>9.69</v>
      </c>
      <c r="R38" s="198"/>
      <c r="S38" s="198"/>
      <c r="T38" s="198"/>
      <c r="U38" s="198"/>
    </row>
    <row r="39" spans="1:21" s="12" customFormat="1" x14ac:dyDescent="0.25">
      <c r="A39" s="214" t="s">
        <v>2005</v>
      </c>
      <c r="B39" s="64">
        <v>66.03</v>
      </c>
      <c r="C39" s="212" t="s">
        <v>42</v>
      </c>
      <c r="D39" s="64">
        <v>46.34</v>
      </c>
      <c r="E39" s="64">
        <v>4.1500000000000004</v>
      </c>
      <c r="F39" s="64">
        <v>2.76</v>
      </c>
      <c r="G39" s="64">
        <v>47.7</v>
      </c>
      <c r="H39" s="64">
        <v>17.72</v>
      </c>
      <c r="I39" s="64">
        <v>0.1</v>
      </c>
      <c r="J39" s="64">
        <v>0.49</v>
      </c>
      <c r="K39" s="64">
        <v>12.82</v>
      </c>
      <c r="L39" s="64">
        <v>13.18</v>
      </c>
      <c r="M39" s="64">
        <v>95.94</v>
      </c>
      <c r="N39" s="64">
        <v>166.8</v>
      </c>
      <c r="O39" s="64">
        <v>0</v>
      </c>
      <c r="P39" s="64">
        <v>1.51</v>
      </c>
      <c r="Q39" s="64">
        <v>9.69</v>
      </c>
      <c r="R39" s="198"/>
      <c r="S39" s="198"/>
      <c r="T39" s="198"/>
      <c r="U39" s="198"/>
    </row>
    <row r="40" spans="1:21" s="12" customFormat="1" x14ac:dyDescent="0.25">
      <c r="A40" s="214" t="s">
        <v>2006</v>
      </c>
      <c r="B40" s="64">
        <v>68.86</v>
      </c>
      <c r="C40" s="212" t="s">
        <v>42</v>
      </c>
      <c r="D40" s="64">
        <v>47.97</v>
      </c>
      <c r="E40" s="64">
        <v>5.78</v>
      </c>
      <c r="F40" s="64">
        <v>2.7</v>
      </c>
      <c r="G40" s="64">
        <v>63.95</v>
      </c>
      <c r="H40" s="64">
        <v>18.55</v>
      </c>
      <c r="I40" s="64">
        <v>0.1</v>
      </c>
      <c r="J40" s="64">
        <v>0.92</v>
      </c>
      <c r="K40" s="64">
        <v>354.45</v>
      </c>
      <c r="L40" s="64">
        <v>16.5</v>
      </c>
      <c r="M40" s="64">
        <v>76.69</v>
      </c>
      <c r="N40" s="64">
        <v>235.8</v>
      </c>
      <c r="O40" s="64">
        <v>0</v>
      </c>
      <c r="P40" s="64">
        <v>1.5</v>
      </c>
      <c r="Q40" s="64">
        <v>9.69</v>
      </c>
      <c r="R40" s="198"/>
      <c r="S40" s="198"/>
      <c r="T40" s="198"/>
      <c r="U40" s="198"/>
    </row>
    <row r="41" spans="1:21" s="12" customFormat="1" x14ac:dyDescent="0.25">
      <c r="A41" s="214" t="s">
        <v>2007</v>
      </c>
      <c r="B41" s="64">
        <v>71.400000000000006</v>
      </c>
      <c r="C41" s="212" t="s">
        <v>42</v>
      </c>
      <c r="D41" s="64">
        <v>49.45</v>
      </c>
      <c r="E41" s="64">
        <v>5.34</v>
      </c>
      <c r="F41" s="64">
        <v>2.66</v>
      </c>
      <c r="G41" s="64">
        <v>64.13</v>
      </c>
      <c r="H41" s="64">
        <v>18.55</v>
      </c>
      <c r="I41" s="64">
        <v>0.1</v>
      </c>
      <c r="J41" s="64">
        <v>1.01</v>
      </c>
      <c r="K41" s="64">
        <v>348.19</v>
      </c>
      <c r="L41" s="64">
        <v>19.57</v>
      </c>
      <c r="M41" s="64">
        <v>59.15</v>
      </c>
      <c r="N41" s="64">
        <v>277.5</v>
      </c>
      <c r="O41" s="64">
        <v>0</v>
      </c>
      <c r="P41" s="64">
        <v>1.49</v>
      </c>
      <c r="Q41" s="64">
        <v>9.6999999999999993</v>
      </c>
      <c r="R41" s="198"/>
      <c r="S41" s="198"/>
      <c r="T41" s="198"/>
      <c r="U41" s="198"/>
    </row>
    <row r="42" spans="1:21" s="12" customFormat="1" x14ac:dyDescent="0.25">
      <c r="A42" s="214" t="s">
        <v>2008</v>
      </c>
      <c r="B42" s="64">
        <v>72.290000000000006</v>
      </c>
      <c r="C42" s="212" t="s">
        <v>42</v>
      </c>
      <c r="D42" s="64">
        <v>50.21</v>
      </c>
      <c r="E42" s="64">
        <v>5.28</v>
      </c>
      <c r="F42" s="64">
        <v>2.75</v>
      </c>
      <c r="G42" s="64">
        <v>64.13</v>
      </c>
      <c r="H42" s="64">
        <v>18.55</v>
      </c>
      <c r="I42" s="64">
        <v>0.1</v>
      </c>
      <c r="J42" s="64">
        <v>0.17</v>
      </c>
      <c r="K42" s="64">
        <v>190.23</v>
      </c>
      <c r="L42" s="64">
        <v>19.57</v>
      </c>
      <c r="M42" s="64">
        <v>51.37</v>
      </c>
      <c r="N42" s="64">
        <v>313.7</v>
      </c>
      <c r="O42" s="64">
        <v>0</v>
      </c>
      <c r="P42" s="64">
        <v>1.47</v>
      </c>
      <c r="Q42" s="64">
        <v>9.7100000000000009</v>
      </c>
      <c r="R42" s="198"/>
      <c r="S42" s="198"/>
      <c r="T42" s="198"/>
      <c r="U42" s="198"/>
    </row>
    <row r="43" spans="1:21" s="12" customFormat="1" x14ac:dyDescent="0.25">
      <c r="A43" s="214" t="s">
        <v>2009</v>
      </c>
      <c r="B43" s="64">
        <v>70.52</v>
      </c>
      <c r="C43" s="212" t="s">
        <v>42</v>
      </c>
      <c r="D43" s="64">
        <v>49.52</v>
      </c>
      <c r="E43" s="64">
        <v>5.5</v>
      </c>
      <c r="F43" s="64">
        <v>2.67</v>
      </c>
      <c r="G43" s="64">
        <v>64.13</v>
      </c>
      <c r="H43" s="64">
        <v>18.55</v>
      </c>
      <c r="I43" s="64">
        <v>0.1</v>
      </c>
      <c r="J43" s="64">
        <v>0.41</v>
      </c>
      <c r="K43" s="64">
        <v>156.33000000000001</v>
      </c>
      <c r="L43" s="64">
        <v>20.149999999999999</v>
      </c>
      <c r="M43" s="64">
        <v>49.74</v>
      </c>
      <c r="N43" s="64">
        <v>368.6</v>
      </c>
      <c r="O43" s="64">
        <v>0</v>
      </c>
      <c r="P43" s="64">
        <v>1.44</v>
      </c>
      <c r="Q43" s="64">
        <v>9.6999999999999993</v>
      </c>
      <c r="R43" s="198"/>
      <c r="S43" s="198"/>
      <c r="T43" s="198"/>
      <c r="U43" s="198"/>
    </row>
    <row r="44" spans="1:21" s="12" customFormat="1" x14ac:dyDescent="0.25">
      <c r="A44" s="214" t="s">
        <v>2010</v>
      </c>
      <c r="B44" s="64">
        <v>67.819999999999993</v>
      </c>
      <c r="C44" s="212" t="s">
        <v>42</v>
      </c>
      <c r="D44" s="64">
        <v>48.39</v>
      </c>
      <c r="E44" s="64">
        <v>5.33</v>
      </c>
      <c r="F44" s="64">
        <v>2.64</v>
      </c>
      <c r="G44" s="64">
        <v>71.06</v>
      </c>
      <c r="H44" s="64">
        <v>20.8</v>
      </c>
      <c r="I44" s="64">
        <v>0.1</v>
      </c>
      <c r="J44" s="64">
        <v>0.35</v>
      </c>
      <c r="K44" s="64">
        <v>276.69</v>
      </c>
      <c r="L44" s="64">
        <v>21.38</v>
      </c>
      <c r="M44" s="64">
        <v>44.41</v>
      </c>
      <c r="N44" s="64">
        <v>406.2</v>
      </c>
      <c r="O44" s="64">
        <v>0</v>
      </c>
      <c r="P44" s="64">
        <v>1.42</v>
      </c>
      <c r="Q44" s="64">
        <v>9.7100000000000009</v>
      </c>
      <c r="R44" s="198"/>
      <c r="S44" s="198"/>
      <c r="T44" s="198"/>
      <c r="U44" s="198"/>
    </row>
    <row r="45" spans="1:21" s="12" customFormat="1" x14ac:dyDescent="0.25">
      <c r="A45" s="214" t="s">
        <v>2011</v>
      </c>
      <c r="B45" s="64">
        <v>64.930000000000007</v>
      </c>
      <c r="C45" s="212" t="s">
        <v>42</v>
      </c>
      <c r="D45" s="64">
        <v>47.23</v>
      </c>
      <c r="E45" s="64">
        <v>5.33</v>
      </c>
      <c r="F45" s="64">
        <v>2.67</v>
      </c>
      <c r="G45" s="64">
        <v>71.06</v>
      </c>
      <c r="H45" s="64">
        <v>20.8</v>
      </c>
      <c r="I45" s="64">
        <v>0.1</v>
      </c>
      <c r="J45" s="64">
        <v>0.72</v>
      </c>
      <c r="K45" s="64">
        <v>108.25</v>
      </c>
      <c r="L45" s="64">
        <v>21.82</v>
      </c>
      <c r="M45" s="64">
        <v>42.96</v>
      </c>
      <c r="N45" s="64">
        <v>417.3</v>
      </c>
      <c r="O45" s="64">
        <v>0</v>
      </c>
      <c r="P45" s="64">
        <v>1.39</v>
      </c>
      <c r="Q45" s="64">
        <v>9.6999999999999993</v>
      </c>
      <c r="R45" s="198"/>
      <c r="S45" s="198"/>
      <c r="T45" s="198"/>
      <c r="U45" s="198"/>
    </row>
    <row r="46" spans="1:21" s="12" customFormat="1" x14ac:dyDescent="0.25">
      <c r="A46" s="214" t="s">
        <v>2012</v>
      </c>
      <c r="B46" s="64">
        <v>62.15</v>
      </c>
      <c r="C46" s="212" t="s">
        <v>42</v>
      </c>
      <c r="D46" s="64">
        <v>46.18</v>
      </c>
      <c r="E46" s="64">
        <v>5.51</v>
      </c>
      <c r="F46" s="64">
        <v>2.54</v>
      </c>
      <c r="G46" s="64">
        <v>71.06</v>
      </c>
      <c r="H46" s="64">
        <v>20.8</v>
      </c>
      <c r="I46" s="64">
        <v>0.1</v>
      </c>
      <c r="J46" s="64">
        <v>1.37</v>
      </c>
      <c r="K46" s="64">
        <v>344.22</v>
      </c>
      <c r="L46" s="64">
        <v>24.63</v>
      </c>
      <c r="M46" s="64">
        <v>35.04</v>
      </c>
      <c r="N46" s="64">
        <v>428.6</v>
      </c>
      <c r="O46" s="64">
        <v>0</v>
      </c>
      <c r="P46" s="64">
        <v>1.37</v>
      </c>
      <c r="Q46" s="64">
        <v>9.69</v>
      </c>
      <c r="R46" s="198"/>
      <c r="S46" s="198"/>
      <c r="T46" s="198"/>
      <c r="U46" s="198"/>
    </row>
    <row r="47" spans="1:21" s="12" customFormat="1" x14ac:dyDescent="0.25">
      <c r="A47" s="214" t="s">
        <v>2013</v>
      </c>
      <c r="B47" s="64">
        <v>60.33</v>
      </c>
      <c r="C47" s="212" t="s">
        <v>42</v>
      </c>
      <c r="D47" s="64">
        <v>46.34</v>
      </c>
      <c r="E47" s="64">
        <v>6.15</v>
      </c>
      <c r="F47" s="64">
        <v>2.69</v>
      </c>
      <c r="G47" s="64">
        <v>71.06</v>
      </c>
      <c r="H47" s="64">
        <v>20.8</v>
      </c>
      <c r="I47" s="64">
        <v>0.1</v>
      </c>
      <c r="J47" s="64">
        <v>1.08</v>
      </c>
      <c r="K47" s="64">
        <v>342.64</v>
      </c>
      <c r="L47" s="64">
        <v>25.98</v>
      </c>
      <c r="M47" s="64">
        <v>30.39</v>
      </c>
      <c r="N47" s="64">
        <v>462.7</v>
      </c>
      <c r="O47" s="64">
        <v>0</v>
      </c>
      <c r="P47" s="64">
        <v>1.37</v>
      </c>
      <c r="Q47" s="64">
        <v>9.69</v>
      </c>
      <c r="R47" s="198"/>
      <c r="S47" s="198"/>
      <c r="T47" s="198"/>
      <c r="U47" s="198"/>
    </row>
    <row r="48" spans="1:21" s="12" customFormat="1" x14ac:dyDescent="0.25">
      <c r="A48" s="214" t="s">
        <v>2014</v>
      </c>
      <c r="B48" s="64">
        <v>58.97</v>
      </c>
      <c r="C48" s="212" t="s">
        <v>42</v>
      </c>
      <c r="D48" s="64">
        <v>45.75</v>
      </c>
      <c r="E48" s="64">
        <v>5.63</v>
      </c>
      <c r="F48" s="64">
        <v>2.2200000000000002</v>
      </c>
      <c r="G48" s="64">
        <v>72.349999999999994</v>
      </c>
      <c r="H48" s="64">
        <v>22.07</v>
      </c>
      <c r="I48" s="64">
        <v>0.1</v>
      </c>
      <c r="J48" s="64">
        <v>1.04</v>
      </c>
      <c r="K48" s="64">
        <v>322.61</v>
      </c>
      <c r="L48" s="64">
        <v>26.62</v>
      </c>
      <c r="M48" s="64">
        <v>28.33</v>
      </c>
      <c r="N48" s="64">
        <v>481.5</v>
      </c>
      <c r="O48" s="64">
        <v>0</v>
      </c>
      <c r="P48" s="64">
        <v>1.37</v>
      </c>
      <c r="Q48" s="64">
        <v>9.67</v>
      </c>
      <c r="R48" s="198"/>
      <c r="S48" s="198"/>
      <c r="T48" s="198"/>
      <c r="U48" s="198"/>
    </row>
    <row r="49" spans="1:21" s="12" customFormat="1" x14ac:dyDescent="0.25">
      <c r="A49" s="214" t="s">
        <v>2015</v>
      </c>
      <c r="B49" s="64">
        <v>57.83</v>
      </c>
      <c r="C49" s="212" t="s">
        <v>42</v>
      </c>
      <c r="D49" s="64">
        <v>45.38</v>
      </c>
      <c r="E49" s="64">
        <v>5.8</v>
      </c>
      <c r="F49" s="64">
        <v>2.3199999999999998</v>
      </c>
      <c r="G49" s="64">
        <v>72.349999999999994</v>
      </c>
      <c r="H49" s="64">
        <v>22.07</v>
      </c>
      <c r="I49" s="64">
        <v>0.1</v>
      </c>
      <c r="J49" s="64">
        <v>1.08</v>
      </c>
      <c r="K49" s="64">
        <v>329.95</v>
      </c>
      <c r="L49" s="64">
        <v>28.17</v>
      </c>
      <c r="M49" s="64">
        <v>22.25</v>
      </c>
      <c r="N49" s="64">
        <v>503.1</v>
      </c>
      <c r="O49" s="64">
        <v>0</v>
      </c>
      <c r="P49" s="64">
        <v>1.36</v>
      </c>
      <c r="Q49" s="64">
        <v>9.66</v>
      </c>
      <c r="R49" s="198"/>
      <c r="S49" s="198"/>
      <c r="T49" s="198"/>
      <c r="U49" s="198"/>
    </row>
    <row r="50" spans="1:21" s="12" customFormat="1" x14ac:dyDescent="0.25">
      <c r="A50" s="214" t="s">
        <v>2016</v>
      </c>
      <c r="B50" s="64">
        <v>53.77</v>
      </c>
      <c r="C50" s="64">
        <v>2.8</v>
      </c>
      <c r="D50" s="64">
        <v>43.89</v>
      </c>
      <c r="E50" s="64">
        <v>6.08</v>
      </c>
      <c r="F50" s="64">
        <v>2.56</v>
      </c>
      <c r="G50" s="64">
        <v>72.349999999999994</v>
      </c>
      <c r="H50" s="64">
        <v>22.07</v>
      </c>
      <c r="I50" s="64">
        <v>0.1</v>
      </c>
      <c r="J50" s="64">
        <v>1.04</v>
      </c>
      <c r="K50" s="64">
        <v>315.73</v>
      </c>
      <c r="L50" s="64">
        <v>28.42</v>
      </c>
      <c r="M50" s="64">
        <v>23.43</v>
      </c>
      <c r="N50" s="64">
        <v>476.4</v>
      </c>
      <c r="O50" s="64">
        <v>0</v>
      </c>
      <c r="P50" s="64">
        <v>1.34</v>
      </c>
      <c r="Q50" s="64">
        <v>9.67</v>
      </c>
      <c r="R50" s="198"/>
      <c r="S50" s="198"/>
      <c r="T50" s="198"/>
      <c r="U50" s="198"/>
    </row>
    <row r="51" spans="1:21" s="12" customFormat="1" x14ac:dyDescent="0.25">
      <c r="A51" s="214" t="s">
        <v>2017</v>
      </c>
      <c r="B51" s="64">
        <v>51.74</v>
      </c>
      <c r="C51" s="64">
        <v>4.03</v>
      </c>
      <c r="D51" s="64">
        <v>42.94</v>
      </c>
      <c r="E51" s="64">
        <v>5.68</v>
      </c>
      <c r="F51" s="64">
        <v>2.59</v>
      </c>
      <c r="G51" s="64">
        <v>72.349999999999994</v>
      </c>
      <c r="H51" s="64">
        <v>22.07</v>
      </c>
      <c r="I51" s="64">
        <v>0.1</v>
      </c>
      <c r="J51" s="64">
        <v>1.43</v>
      </c>
      <c r="K51" s="64">
        <v>330.06</v>
      </c>
      <c r="L51" s="64">
        <v>28.26</v>
      </c>
      <c r="M51" s="64">
        <v>22.96</v>
      </c>
      <c r="N51" s="64">
        <v>484.5</v>
      </c>
      <c r="O51" s="64">
        <v>0</v>
      </c>
      <c r="P51" s="64">
        <v>1.32</v>
      </c>
      <c r="Q51" s="64">
        <v>9.66</v>
      </c>
      <c r="R51" s="198"/>
      <c r="S51" s="198"/>
      <c r="T51" s="198"/>
      <c r="U51" s="198"/>
    </row>
    <row r="52" spans="1:21" s="12" customFormat="1" x14ac:dyDescent="0.25">
      <c r="A52" s="214" t="s">
        <v>2018</v>
      </c>
      <c r="B52" s="64">
        <v>48.2</v>
      </c>
      <c r="C52" s="64">
        <v>5.8</v>
      </c>
      <c r="D52" s="64">
        <v>41.03</v>
      </c>
      <c r="E52" s="64">
        <v>6.53</v>
      </c>
      <c r="F52" s="64">
        <v>2.83</v>
      </c>
      <c r="G52" s="64">
        <v>51.58</v>
      </c>
      <c r="H52" s="64">
        <v>20.309999999999999</v>
      </c>
      <c r="I52" s="64">
        <v>0.1</v>
      </c>
      <c r="J52" s="64">
        <v>1.36</v>
      </c>
      <c r="K52" s="64">
        <v>337.93</v>
      </c>
      <c r="L52" s="64">
        <v>28.73</v>
      </c>
      <c r="M52" s="64">
        <v>21.56</v>
      </c>
      <c r="N52" s="64">
        <v>492.2</v>
      </c>
      <c r="O52" s="64">
        <v>0</v>
      </c>
      <c r="P52" s="64">
        <v>1.28</v>
      </c>
      <c r="Q52" s="64">
        <v>9.67</v>
      </c>
      <c r="R52" s="198"/>
      <c r="S52" s="198"/>
      <c r="T52" s="198"/>
      <c r="U52" s="198"/>
    </row>
    <row r="53" spans="1:21" s="12" customFormat="1" x14ac:dyDescent="0.25">
      <c r="A53" s="214" t="s">
        <v>2019</v>
      </c>
      <c r="B53" s="64">
        <v>47.69</v>
      </c>
      <c r="C53" s="64">
        <v>6.07</v>
      </c>
      <c r="D53" s="64">
        <v>40.76</v>
      </c>
      <c r="E53" s="64">
        <v>5.97</v>
      </c>
      <c r="F53" s="64">
        <v>2.87</v>
      </c>
      <c r="G53" s="64">
        <v>51.58</v>
      </c>
      <c r="H53" s="64">
        <v>20.309999999999999</v>
      </c>
      <c r="I53" s="64">
        <v>0.1</v>
      </c>
      <c r="J53" s="64">
        <v>1.06</v>
      </c>
      <c r="K53" s="64">
        <v>314.81</v>
      </c>
      <c r="L53" s="64">
        <v>28.55</v>
      </c>
      <c r="M53" s="64">
        <v>21.71</v>
      </c>
      <c r="N53" s="64">
        <v>477.8</v>
      </c>
      <c r="O53" s="64">
        <v>0</v>
      </c>
      <c r="P53" s="64">
        <v>1.29</v>
      </c>
      <c r="Q53" s="64">
        <v>9.68</v>
      </c>
      <c r="R53" s="198"/>
      <c r="S53" s="198"/>
      <c r="T53" s="198"/>
      <c r="U53" s="198"/>
    </row>
    <row r="54" spans="1:21" s="12" customFormat="1" x14ac:dyDescent="0.25">
      <c r="A54" s="214" t="s">
        <v>2020</v>
      </c>
      <c r="B54" s="64">
        <v>43.9</v>
      </c>
      <c r="C54" s="64">
        <v>7.96</v>
      </c>
      <c r="D54" s="64">
        <v>38.71</v>
      </c>
      <c r="E54" s="64">
        <v>5.9</v>
      </c>
      <c r="F54" s="64">
        <v>3.1</v>
      </c>
      <c r="G54" s="64">
        <v>51.58</v>
      </c>
      <c r="H54" s="64">
        <v>20.309999999999999</v>
      </c>
      <c r="I54" s="64">
        <v>0.1</v>
      </c>
      <c r="J54" s="64">
        <v>0.63</v>
      </c>
      <c r="K54" s="64">
        <v>306.8</v>
      </c>
      <c r="L54" s="64">
        <v>27.38</v>
      </c>
      <c r="M54" s="64">
        <v>23.76</v>
      </c>
      <c r="N54" s="64">
        <v>484.1</v>
      </c>
      <c r="O54" s="64">
        <v>0</v>
      </c>
      <c r="P54" s="64">
        <v>1.23</v>
      </c>
      <c r="Q54" s="64">
        <v>9.66</v>
      </c>
      <c r="R54" s="198"/>
      <c r="S54" s="198"/>
      <c r="T54" s="198"/>
      <c r="U54" s="198"/>
    </row>
    <row r="55" spans="1:21" s="12" customFormat="1" x14ac:dyDescent="0.25">
      <c r="A55" s="214" t="s">
        <v>2021</v>
      </c>
      <c r="B55" s="64">
        <v>43.06</v>
      </c>
      <c r="C55" s="64">
        <v>8.5299999999999994</v>
      </c>
      <c r="D55" s="64">
        <v>38.33</v>
      </c>
      <c r="E55" s="64">
        <v>6.07</v>
      </c>
      <c r="F55" s="64">
        <v>3.18</v>
      </c>
      <c r="G55" s="64">
        <v>51.58</v>
      </c>
      <c r="H55" s="64">
        <v>20.309999999999999</v>
      </c>
      <c r="I55" s="64">
        <v>0.1</v>
      </c>
      <c r="J55" s="64">
        <v>0.39</v>
      </c>
      <c r="K55" s="64">
        <v>324.16000000000003</v>
      </c>
      <c r="L55" s="64">
        <v>27.3</v>
      </c>
      <c r="M55" s="64">
        <v>23.66</v>
      </c>
      <c r="N55" s="64">
        <v>486.9</v>
      </c>
      <c r="O55" s="64">
        <v>0</v>
      </c>
      <c r="P55" s="64">
        <v>1.21</v>
      </c>
      <c r="Q55" s="64">
        <v>9.67</v>
      </c>
      <c r="R55" s="198"/>
      <c r="S55" s="198"/>
      <c r="T55" s="198"/>
      <c r="U55" s="198"/>
    </row>
    <row r="56" spans="1:21" s="12" customFormat="1" x14ac:dyDescent="0.25">
      <c r="A56" s="214" t="s">
        <v>2022</v>
      </c>
      <c r="B56" s="64">
        <v>41.35</v>
      </c>
      <c r="C56" s="64">
        <v>10.029999999999999</v>
      </c>
      <c r="D56" s="64">
        <v>37.75</v>
      </c>
      <c r="E56" s="64">
        <v>5.56</v>
      </c>
      <c r="F56" s="64">
        <v>2.68</v>
      </c>
      <c r="G56" s="64">
        <v>42.16</v>
      </c>
      <c r="H56" s="64">
        <v>16.64</v>
      </c>
      <c r="I56" s="64">
        <v>0.1</v>
      </c>
      <c r="J56" s="64">
        <v>1.51</v>
      </c>
      <c r="K56" s="64">
        <v>332.38</v>
      </c>
      <c r="L56" s="64">
        <v>28.24</v>
      </c>
      <c r="M56" s="64">
        <v>21.69</v>
      </c>
      <c r="N56" s="64">
        <v>501.5</v>
      </c>
      <c r="O56" s="64">
        <v>0</v>
      </c>
      <c r="P56" s="64">
        <v>1.19</v>
      </c>
      <c r="Q56" s="64">
        <v>9.66</v>
      </c>
      <c r="R56" s="198"/>
      <c r="S56" s="198"/>
      <c r="T56" s="198"/>
      <c r="U56" s="198"/>
    </row>
    <row r="57" spans="1:21" s="12" customFormat="1" x14ac:dyDescent="0.25">
      <c r="A57" s="214" t="s">
        <v>2023</v>
      </c>
      <c r="B57" s="64">
        <v>39.549999999999997</v>
      </c>
      <c r="C57" s="64">
        <v>11.16</v>
      </c>
      <c r="D57" s="64">
        <v>36.9</v>
      </c>
      <c r="E57" s="64">
        <v>5.2</v>
      </c>
      <c r="F57" s="64">
        <v>2.52</v>
      </c>
      <c r="G57" s="64">
        <v>42.16</v>
      </c>
      <c r="H57" s="64">
        <v>16.64</v>
      </c>
      <c r="I57" s="64">
        <v>0.1</v>
      </c>
      <c r="J57" s="64">
        <v>0.68</v>
      </c>
      <c r="K57" s="64">
        <v>310.27999999999997</v>
      </c>
      <c r="L57" s="64">
        <v>26.91</v>
      </c>
      <c r="M57" s="64">
        <v>24.13</v>
      </c>
      <c r="N57" s="64">
        <v>489.1</v>
      </c>
      <c r="O57" s="64">
        <v>0</v>
      </c>
      <c r="P57" s="64">
        <v>1.1499999999999999</v>
      </c>
      <c r="Q57" s="64">
        <v>9.67</v>
      </c>
      <c r="R57" s="198"/>
      <c r="S57" s="198"/>
      <c r="T57" s="198"/>
      <c r="U57" s="198"/>
    </row>
    <row r="58" spans="1:21" s="12" customFormat="1" x14ac:dyDescent="0.25">
      <c r="A58" s="214" t="s">
        <v>2024</v>
      </c>
      <c r="B58" s="64">
        <v>35.520000000000003</v>
      </c>
      <c r="C58" s="64">
        <v>13.77</v>
      </c>
      <c r="D58" s="64">
        <v>35.03</v>
      </c>
      <c r="E58" s="64">
        <v>5.73</v>
      </c>
      <c r="F58" s="64">
        <v>2.81</v>
      </c>
      <c r="G58" s="64">
        <v>42.16</v>
      </c>
      <c r="H58" s="64">
        <v>16.64</v>
      </c>
      <c r="I58" s="64">
        <v>0.1</v>
      </c>
      <c r="J58" s="64">
        <v>1.47</v>
      </c>
      <c r="K58" s="64">
        <v>338.97</v>
      </c>
      <c r="L58" s="64">
        <v>27.91</v>
      </c>
      <c r="M58" s="64">
        <v>21.57</v>
      </c>
      <c r="N58" s="64">
        <v>485.8</v>
      </c>
      <c r="O58" s="64">
        <v>0</v>
      </c>
      <c r="P58" s="64">
        <v>1.06</v>
      </c>
      <c r="Q58" s="64">
        <v>9.66</v>
      </c>
      <c r="R58" s="198"/>
      <c r="S58" s="198"/>
      <c r="T58" s="198"/>
      <c r="U58" s="198"/>
    </row>
    <row r="59" spans="1:21" s="12" customFormat="1" x14ac:dyDescent="0.25">
      <c r="A59" s="214" t="s">
        <v>2025</v>
      </c>
      <c r="B59" s="64">
        <v>32.92</v>
      </c>
      <c r="C59" s="64">
        <v>14.12</v>
      </c>
      <c r="D59" s="64">
        <v>33.119999999999997</v>
      </c>
      <c r="E59" s="64">
        <v>5.98</v>
      </c>
      <c r="F59" s="64">
        <v>4.42</v>
      </c>
      <c r="G59" s="64">
        <v>42.16</v>
      </c>
      <c r="H59" s="64">
        <v>16.64</v>
      </c>
      <c r="I59" s="64">
        <v>0.1</v>
      </c>
      <c r="J59" s="64">
        <v>0.54</v>
      </c>
      <c r="K59" s="64">
        <v>340.25</v>
      </c>
      <c r="L59" s="64">
        <v>28.04</v>
      </c>
      <c r="M59" s="64">
        <v>21</v>
      </c>
      <c r="N59" s="64">
        <v>477.9</v>
      </c>
      <c r="O59" s="64">
        <v>0</v>
      </c>
      <c r="P59" s="64">
        <v>0.98</v>
      </c>
      <c r="Q59" s="64">
        <v>9.66</v>
      </c>
      <c r="R59" s="198"/>
      <c r="S59" s="198"/>
      <c r="T59" s="198"/>
      <c r="U59" s="198"/>
    </row>
    <row r="60" spans="1:21" s="12" customFormat="1" x14ac:dyDescent="0.25">
      <c r="A60" s="214" t="s">
        <v>2026</v>
      </c>
      <c r="B60" s="64">
        <v>31.07</v>
      </c>
      <c r="C60" s="64">
        <v>15.02</v>
      </c>
      <c r="D60" s="64">
        <v>32.11</v>
      </c>
      <c r="E60" s="64">
        <v>5.1100000000000003</v>
      </c>
      <c r="F60" s="64">
        <v>3.48</v>
      </c>
      <c r="G60" s="64">
        <v>31.6</v>
      </c>
      <c r="H60" s="64">
        <v>12.29</v>
      </c>
      <c r="I60" s="64">
        <v>0.1</v>
      </c>
      <c r="J60" s="64">
        <v>0.41</v>
      </c>
      <c r="K60" s="64">
        <v>319.22000000000003</v>
      </c>
      <c r="L60" s="64">
        <v>27.14</v>
      </c>
      <c r="M60" s="64">
        <v>22.29</v>
      </c>
      <c r="N60" s="64">
        <v>481</v>
      </c>
      <c r="O60" s="64">
        <v>0</v>
      </c>
      <c r="P60" s="64">
        <v>0.97</v>
      </c>
      <c r="Q60" s="64">
        <v>9.65</v>
      </c>
      <c r="R60" s="198"/>
      <c r="S60" s="198"/>
      <c r="T60" s="198"/>
      <c r="U60" s="198"/>
    </row>
    <row r="61" spans="1:21" s="12" customFormat="1" x14ac:dyDescent="0.25">
      <c r="A61" s="214" t="s">
        <v>2027</v>
      </c>
      <c r="B61" s="64">
        <v>28.37</v>
      </c>
      <c r="C61" s="64">
        <v>17.7</v>
      </c>
      <c r="D61" s="64">
        <v>31.34</v>
      </c>
      <c r="E61" s="64">
        <v>5.24</v>
      </c>
      <c r="F61" s="64">
        <v>3.75</v>
      </c>
      <c r="G61" s="64">
        <v>31.48</v>
      </c>
      <c r="H61" s="64">
        <v>12.29</v>
      </c>
      <c r="I61" s="64">
        <v>0.1</v>
      </c>
      <c r="J61" s="64">
        <v>1.1399999999999999</v>
      </c>
      <c r="K61" s="64">
        <v>326.70999999999998</v>
      </c>
      <c r="L61" s="64">
        <v>27.3</v>
      </c>
      <c r="M61" s="64">
        <v>22.69</v>
      </c>
      <c r="N61" s="64">
        <v>460.5</v>
      </c>
      <c r="O61" s="64">
        <v>0</v>
      </c>
      <c r="P61" s="64">
        <v>1.1599999999999999</v>
      </c>
      <c r="Q61" s="64">
        <v>9.65</v>
      </c>
      <c r="R61" s="198"/>
      <c r="S61" s="198"/>
      <c r="T61" s="198"/>
      <c r="U61" s="198"/>
    </row>
    <row r="62" spans="1:21" s="12" customFormat="1" x14ac:dyDescent="0.25">
      <c r="A62" s="214" t="s">
        <v>2028</v>
      </c>
      <c r="B62" s="64">
        <v>26.12</v>
      </c>
      <c r="C62" s="64">
        <v>18.09</v>
      </c>
      <c r="D62" s="64">
        <v>29.75</v>
      </c>
      <c r="E62" s="64">
        <v>5.26</v>
      </c>
      <c r="F62" s="64">
        <v>4.1399999999999997</v>
      </c>
      <c r="G62" s="64">
        <v>31.48</v>
      </c>
      <c r="H62" s="64">
        <v>12.29</v>
      </c>
      <c r="I62" s="64">
        <v>0.1</v>
      </c>
      <c r="J62" s="64">
        <v>1.31</v>
      </c>
      <c r="K62" s="64">
        <v>332.97</v>
      </c>
      <c r="L62" s="64">
        <v>27.89</v>
      </c>
      <c r="M62" s="64">
        <v>21.63</v>
      </c>
      <c r="N62" s="64">
        <v>443.3</v>
      </c>
      <c r="O62" s="64">
        <v>0</v>
      </c>
      <c r="P62" s="64">
        <v>1.17</v>
      </c>
      <c r="Q62" s="64">
        <v>9.65</v>
      </c>
      <c r="R62" s="198"/>
      <c r="S62" s="198"/>
      <c r="T62" s="198"/>
      <c r="U62" s="198"/>
    </row>
    <row r="63" spans="1:21" s="12" customFormat="1" x14ac:dyDescent="0.25">
      <c r="A63" s="214" t="s">
        <v>2029</v>
      </c>
      <c r="B63" s="64">
        <v>24.6</v>
      </c>
      <c r="C63" s="64">
        <v>19.84</v>
      </c>
      <c r="D63" s="64">
        <v>29.44</v>
      </c>
      <c r="E63" s="64">
        <v>5.8</v>
      </c>
      <c r="F63" s="64">
        <v>3.8</v>
      </c>
      <c r="G63" s="64">
        <v>31.48</v>
      </c>
      <c r="H63" s="64">
        <v>12.29</v>
      </c>
      <c r="I63" s="64">
        <v>0.1</v>
      </c>
      <c r="J63" s="64">
        <v>1.04</v>
      </c>
      <c r="K63" s="64">
        <v>310.57</v>
      </c>
      <c r="L63" s="64">
        <v>28.08</v>
      </c>
      <c r="M63" s="64">
        <v>21.74</v>
      </c>
      <c r="N63" s="64">
        <v>431</v>
      </c>
      <c r="O63" s="64">
        <v>0</v>
      </c>
      <c r="P63" s="64">
        <v>1.1399999999999999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14" t="s">
        <v>2030</v>
      </c>
      <c r="B64" s="64">
        <v>22.75</v>
      </c>
      <c r="C64" s="64">
        <v>21.13</v>
      </c>
      <c r="D64" s="64">
        <v>28.63</v>
      </c>
      <c r="E64" s="64">
        <v>5.42</v>
      </c>
      <c r="F64" s="64">
        <v>3.96</v>
      </c>
      <c r="G64" s="64">
        <v>7.78</v>
      </c>
      <c r="H64" s="64">
        <v>10.91</v>
      </c>
      <c r="I64" s="64">
        <v>0.1</v>
      </c>
      <c r="J64" s="64">
        <v>1.05</v>
      </c>
      <c r="K64" s="64">
        <v>334.68</v>
      </c>
      <c r="L64" s="64">
        <v>26.03</v>
      </c>
      <c r="M64" s="64">
        <v>24.83</v>
      </c>
      <c r="N64" s="64">
        <v>312.2</v>
      </c>
      <c r="O64" s="64">
        <v>0</v>
      </c>
      <c r="P64" s="64">
        <v>1.1200000000000001</v>
      </c>
      <c r="Q64" s="64">
        <v>9.65</v>
      </c>
      <c r="R64" s="198"/>
      <c r="S64" s="198"/>
      <c r="T64" s="198"/>
      <c r="U64" s="198"/>
    </row>
    <row r="65" spans="1:21" s="12" customFormat="1" x14ac:dyDescent="0.25">
      <c r="A65" s="214" t="s">
        <v>2031</v>
      </c>
      <c r="B65" s="64">
        <v>20.47</v>
      </c>
      <c r="C65" s="64">
        <v>21.81</v>
      </c>
      <c r="D65" s="64">
        <v>27.16</v>
      </c>
      <c r="E65" s="64">
        <v>5.84</v>
      </c>
      <c r="F65" s="64">
        <v>3.67</v>
      </c>
      <c r="G65" s="64">
        <v>7.24</v>
      </c>
      <c r="H65" s="64">
        <v>10.91</v>
      </c>
      <c r="I65" s="64">
        <v>0.1</v>
      </c>
      <c r="J65" s="64">
        <v>1.47</v>
      </c>
      <c r="K65" s="64">
        <v>335.02</v>
      </c>
      <c r="L65" s="64">
        <v>25.68</v>
      </c>
      <c r="M65" s="64">
        <v>24.92</v>
      </c>
      <c r="N65" s="64">
        <v>156.5</v>
      </c>
      <c r="O65" s="64">
        <v>0</v>
      </c>
      <c r="P65" s="64">
        <v>1.0900000000000001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4" t="s">
        <v>2032</v>
      </c>
      <c r="B66" s="64">
        <v>19.059999999999999</v>
      </c>
      <c r="C66" s="64">
        <v>23.15</v>
      </c>
      <c r="D66" s="64">
        <v>26.73</v>
      </c>
      <c r="E66" s="64">
        <v>6.19</v>
      </c>
      <c r="F66" s="64">
        <v>4.4800000000000004</v>
      </c>
      <c r="G66" s="64">
        <v>7.24</v>
      </c>
      <c r="H66" s="64">
        <v>10.91</v>
      </c>
      <c r="I66" s="64">
        <v>0.1</v>
      </c>
      <c r="J66" s="64">
        <v>1.2</v>
      </c>
      <c r="K66" s="64">
        <v>326.32</v>
      </c>
      <c r="L66" s="64">
        <v>25.4</v>
      </c>
      <c r="M66" s="64">
        <v>25.6</v>
      </c>
      <c r="N66" s="64">
        <v>121.8</v>
      </c>
      <c r="O66" s="64">
        <v>0</v>
      </c>
      <c r="P66" s="64">
        <v>1.05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4" t="s">
        <v>2033</v>
      </c>
      <c r="B67" s="64">
        <v>20.16</v>
      </c>
      <c r="C67" s="64">
        <v>23.34</v>
      </c>
      <c r="D67" s="64">
        <v>27.71</v>
      </c>
      <c r="E67" s="64">
        <v>5.46</v>
      </c>
      <c r="F67" s="64">
        <v>4.18</v>
      </c>
      <c r="G67" s="64">
        <v>7.24</v>
      </c>
      <c r="H67" s="64">
        <v>10.91</v>
      </c>
      <c r="I67" s="64">
        <v>0.1</v>
      </c>
      <c r="J67" s="64">
        <v>1.51</v>
      </c>
      <c r="K67" s="64">
        <v>327.29000000000002</v>
      </c>
      <c r="L67" s="64">
        <v>25.14</v>
      </c>
      <c r="M67" s="64">
        <v>26.11</v>
      </c>
      <c r="N67" s="64">
        <v>105.4</v>
      </c>
      <c r="O67" s="64">
        <v>0</v>
      </c>
      <c r="P67" s="64">
        <v>1.04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14" t="s">
        <v>2034</v>
      </c>
      <c r="B68" s="64">
        <v>18.73</v>
      </c>
      <c r="C68" s="64">
        <v>23.23</v>
      </c>
      <c r="D68" s="64">
        <v>26.5</v>
      </c>
      <c r="E68" s="64">
        <v>5.47</v>
      </c>
      <c r="F68" s="64">
        <v>4.26</v>
      </c>
      <c r="G68" s="64">
        <v>188.54</v>
      </c>
      <c r="H68" s="64">
        <v>9.1</v>
      </c>
      <c r="I68" s="64">
        <v>0.1</v>
      </c>
      <c r="J68" s="64">
        <v>1.08</v>
      </c>
      <c r="K68" s="64">
        <v>338.4</v>
      </c>
      <c r="L68" s="64">
        <v>24.75</v>
      </c>
      <c r="M68" s="64">
        <v>25.93</v>
      </c>
      <c r="N68" s="64">
        <v>95.6</v>
      </c>
      <c r="O68" s="64">
        <v>0</v>
      </c>
      <c r="P68" s="64">
        <v>1.01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4" t="s">
        <v>2035</v>
      </c>
      <c r="B69" s="64">
        <v>17.77</v>
      </c>
      <c r="C69" s="64">
        <v>23.65</v>
      </c>
      <c r="D69" s="64">
        <v>25.95</v>
      </c>
      <c r="E69" s="64">
        <v>5.21</v>
      </c>
      <c r="F69" s="64">
        <v>2.9</v>
      </c>
      <c r="G69" s="64">
        <v>190.58</v>
      </c>
      <c r="H69" s="64">
        <v>9.1</v>
      </c>
      <c r="I69" s="64">
        <v>0.1</v>
      </c>
      <c r="J69" s="64">
        <v>1.57</v>
      </c>
      <c r="K69" s="64">
        <v>333.43</v>
      </c>
      <c r="L69" s="64">
        <v>24.04</v>
      </c>
      <c r="M69" s="64">
        <v>26.7</v>
      </c>
      <c r="N69" s="64">
        <v>91.8</v>
      </c>
      <c r="O69" s="64">
        <v>0</v>
      </c>
      <c r="P69" s="64">
        <v>1.01</v>
      </c>
      <c r="Q69" s="64">
        <v>9.6300000000000008</v>
      </c>
      <c r="R69" s="198"/>
      <c r="S69" s="198"/>
      <c r="T69" s="198"/>
      <c r="U69" s="198"/>
    </row>
    <row r="70" spans="1:21" s="12" customFormat="1" x14ac:dyDescent="0.25">
      <c r="A70" s="214" t="s">
        <v>2036</v>
      </c>
      <c r="B70" s="64">
        <v>17.02</v>
      </c>
      <c r="C70" s="64">
        <v>24.27</v>
      </c>
      <c r="D70" s="64">
        <v>25.68</v>
      </c>
      <c r="E70" s="64">
        <v>5.44</v>
      </c>
      <c r="F70" s="64">
        <v>3.37</v>
      </c>
      <c r="G70" s="64">
        <v>190.58</v>
      </c>
      <c r="H70" s="64">
        <v>9.1</v>
      </c>
      <c r="I70" s="64">
        <v>0.1</v>
      </c>
      <c r="J70" s="64">
        <v>1.6</v>
      </c>
      <c r="K70" s="64">
        <v>347.92</v>
      </c>
      <c r="L70" s="64">
        <v>23.87</v>
      </c>
      <c r="M70" s="64">
        <v>26.02</v>
      </c>
      <c r="N70" s="64">
        <v>87.5</v>
      </c>
      <c r="O70" s="64">
        <v>0</v>
      </c>
      <c r="P70" s="64">
        <v>0.99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4" t="s">
        <v>2037</v>
      </c>
      <c r="B71" s="64">
        <v>15.74</v>
      </c>
      <c r="C71" s="64">
        <v>25.42</v>
      </c>
      <c r="D71" s="64">
        <v>25.25</v>
      </c>
      <c r="E71" s="64">
        <v>6.31</v>
      </c>
      <c r="F71" s="64">
        <v>4.8499999999999996</v>
      </c>
      <c r="G71" s="64">
        <v>190.58</v>
      </c>
      <c r="H71" s="64">
        <v>9.1</v>
      </c>
      <c r="I71" s="64">
        <v>0.1</v>
      </c>
      <c r="J71" s="64">
        <v>1.49</v>
      </c>
      <c r="K71" s="64">
        <v>345.81</v>
      </c>
      <c r="L71" s="64">
        <v>23.62</v>
      </c>
      <c r="M71" s="64">
        <v>26.93</v>
      </c>
      <c r="N71" s="64">
        <v>84.3</v>
      </c>
      <c r="O71" s="64">
        <v>0</v>
      </c>
      <c r="P71" s="64">
        <v>0.95</v>
      </c>
      <c r="Q71" s="64">
        <v>9.6</v>
      </c>
      <c r="R71" s="198"/>
      <c r="S71" s="198"/>
      <c r="T71" s="198"/>
      <c r="U71" s="198"/>
    </row>
    <row r="72" spans="1:21" s="12" customFormat="1" x14ac:dyDescent="0.25">
      <c r="A72" s="214" t="s">
        <v>2038</v>
      </c>
      <c r="B72" s="64">
        <v>14.87</v>
      </c>
      <c r="C72" s="64">
        <v>24.74</v>
      </c>
      <c r="D72" s="64">
        <v>24.2</v>
      </c>
      <c r="E72" s="64">
        <v>5</v>
      </c>
      <c r="F72" s="64">
        <v>3.95</v>
      </c>
      <c r="G72" s="64">
        <v>159.57</v>
      </c>
      <c r="H72" s="64">
        <v>8.93</v>
      </c>
      <c r="I72" s="64">
        <v>0.1</v>
      </c>
      <c r="J72" s="64">
        <v>1.93</v>
      </c>
      <c r="K72" s="64">
        <v>341.49</v>
      </c>
      <c r="L72" s="64">
        <v>23.4</v>
      </c>
      <c r="M72" s="64">
        <v>27.43</v>
      </c>
      <c r="N72" s="64">
        <v>79.900000000000006</v>
      </c>
      <c r="O72" s="64">
        <v>0</v>
      </c>
      <c r="P72" s="64">
        <v>0.98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4" t="s">
        <v>2039</v>
      </c>
      <c r="B73" s="64">
        <v>15.2</v>
      </c>
      <c r="C73" s="64">
        <v>25.42</v>
      </c>
      <c r="D73" s="64">
        <v>24.82</v>
      </c>
      <c r="E73" s="64">
        <v>5.72</v>
      </c>
      <c r="F73" s="64">
        <v>4.04</v>
      </c>
      <c r="G73" s="64">
        <v>159.57</v>
      </c>
      <c r="H73" s="64">
        <v>8.93</v>
      </c>
      <c r="I73" s="64">
        <v>0.1</v>
      </c>
      <c r="J73" s="64">
        <v>1.51</v>
      </c>
      <c r="K73" s="64">
        <v>343.76</v>
      </c>
      <c r="L73" s="64">
        <v>23.11</v>
      </c>
      <c r="M73" s="64">
        <v>26.83</v>
      </c>
      <c r="N73" s="64">
        <v>75.599999999999994</v>
      </c>
      <c r="O73" s="64">
        <v>0</v>
      </c>
      <c r="P73" s="64">
        <v>0.98</v>
      </c>
      <c r="Q73" s="64">
        <v>9.61</v>
      </c>
      <c r="R73" s="198"/>
      <c r="S73" s="198"/>
      <c r="T73" s="198"/>
      <c r="U73" s="198"/>
    </row>
    <row r="74" spans="1:21" s="12" customFormat="1" x14ac:dyDescent="0.25">
      <c r="A74" s="214" t="s">
        <v>2040</v>
      </c>
      <c r="B74" s="64">
        <v>16.72</v>
      </c>
      <c r="C74" s="64">
        <v>26.41</v>
      </c>
      <c r="D74" s="64">
        <v>26.55</v>
      </c>
      <c r="E74" s="64">
        <v>8.0500000000000007</v>
      </c>
      <c r="F74" s="64">
        <v>4.2</v>
      </c>
      <c r="G74" s="64">
        <v>159.57</v>
      </c>
      <c r="H74" s="64">
        <v>8.93</v>
      </c>
      <c r="I74" s="64">
        <v>0.1</v>
      </c>
      <c r="J74" s="64">
        <v>1.1399999999999999</v>
      </c>
      <c r="K74" s="64">
        <v>352.59</v>
      </c>
      <c r="L74" s="64">
        <v>22.82</v>
      </c>
      <c r="M74" s="64">
        <v>27.45</v>
      </c>
      <c r="N74" s="64">
        <v>71.3</v>
      </c>
      <c r="O74" s="64">
        <v>0</v>
      </c>
      <c r="P74" s="64">
        <v>0.99</v>
      </c>
      <c r="Q74" s="64">
        <v>9.59</v>
      </c>
      <c r="R74" s="198"/>
      <c r="S74" s="198"/>
      <c r="T74" s="198"/>
      <c r="U74" s="198"/>
    </row>
    <row r="75" spans="1:21" s="12" customFormat="1" x14ac:dyDescent="0.25">
      <c r="A75" s="214" t="s">
        <v>2041</v>
      </c>
      <c r="B75" s="64">
        <v>20.8</v>
      </c>
      <c r="C75" s="64">
        <v>27.52</v>
      </c>
      <c r="D75" s="64">
        <v>30.41</v>
      </c>
      <c r="E75" s="64">
        <v>10.48</v>
      </c>
      <c r="F75" s="64">
        <v>4.07</v>
      </c>
      <c r="G75" s="64">
        <v>159.57</v>
      </c>
      <c r="H75" s="64">
        <v>8.93</v>
      </c>
      <c r="I75" s="64">
        <v>0.1</v>
      </c>
      <c r="J75" s="64">
        <v>0.87</v>
      </c>
      <c r="K75" s="64">
        <v>352.48</v>
      </c>
      <c r="L75" s="64">
        <v>22.35</v>
      </c>
      <c r="M75" s="64">
        <v>29.36</v>
      </c>
      <c r="N75" s="64">
        <v>66</v>
      </c>
      <c r="O75" s="64">
        <v>0</v>
      </c>
      <c r="P75" s="64">
        <v>1.07</v>
      </c>
      <c r="Q75" s="64">
        <v>9.6199999999999992</v>
      </c>
      <c r="R75" s="198"/>
      <c r="S75" s="198"/>
      <c r="T75" s="198"/>
      <c r="U75" s="198"/>
    </row>
    <row r="76" spans="1:21" s="12" customFormat="1" x14ac:dyDescent="0.25">
      <c r="A76" s="214" t="s">
        <v>2042</v>
      </c>
      <c r="B76" s="64">
        <v>21.64</v>
      </c>
      <c r="C76" s="64">
        <v>26.88</v>
      </c>
      <c r="D76" s="64">
        <v>30.75</v>
      </c>
      <c r="E76" s="64">
        <v>8.41</v>
      </c>
      <c r="F76" s="64">
        <v>3.42</v>
      </c>
      <c r="G76" s="64">
        <v>3.55</v>
      </c>
      <c r="H76" s="64">
        <v>10.24</v>
      </c>
      <c r="I76" s="64">
        <v>0.1</v>
      </c>
      <c r="J76" s="64">
        <v>0.8</v>
      </c>
      <c r="K76" s="64">
        <v>4.1399999999999997</v>
      </c>
      <c r="L76" s="64">
        <v>21.69</v>
      </c>
      <c r="M76" s="64">
        <v>32.33</v>
      </c>
      <c r="N76" s="64">
        <v>60.2</v>
      </c>
      <c r="O76" s="64">
        <v>0</v>
      </c>
      <c r="P76" s="64">
        <v>1.1299999999999999</v>
      </c>
      <c r="Q76" s="64">
        <v>9.65</v>
      </c>
      <c r="R76" s="198"/>
      <c r="S76" s="198"/>
      <c r="T76" s="198"/>
      <c r="U76" s="198"/>
    </row>
    <row r="77" spans="1:21" s="12" customFormat="1" x14ac:dyDescent="0.25">
      <c r="A77" s="214" t="s">
        <v>2043</v>
      </c>
      <c r="B77" s="64">
        <v>21.69</v>
      </c>
      <c r="C77" s="64">
        <v>26.76</v>
      </c>
      <c r="D77" s="64">
        <v>30.73</v>
      </c>
      <c r="E77" s="64">
        <v>6.03</v>
      </c>
      <c r="F77" s="64">
        <v>2.63</v>
      </c>
      <c r="G77" s="210" t="s">
        <v>36</v>
      </c>
      <c r="H77" s="210" t="s">
        <v>36</v>
      </c>
      <c r="I77" s="64">
        <v>0.1</v>
      </c>
      <c r="J77" s="64">
        <v>0.59</v>
      </c>
      <c r="K77" s="64">
        <v>342.17</v>
      </c>
      <c r="L77" s="64">
        <v>20.92</v>
      </c>
      <c r="M77" s="64">
        <v>34.32</v>
      </c>
      <c r="N77" s="64">
        <v>55</v>
      </c>
      <c r="O77" s="64">
        <v>0</v>
      </c>
      <c r="P77" s="64">
        <v>1.1599999999999999</v>
      </c>
      <c r="Q77" s="64">
        <v>9.65</v>
      </c>
      <c r="R77" s="198"/>
      <c r="S77" s="198"/>
      <c r="T77" s="198"/>
      <c r="U77" s="198"/>
    </row>
    <row r="78" spans="1:21" s="12" customFormat="1" x14ac:dyDescent="0.25">
      <c r="A78" s="214" t="s">
        <v>2044</v>
      </c>
      <c r="B78" s="64">
        <v>21.33</v>
      </c>
      <c r="C78" s="64">
        <v>26.12</v>
      </c>
      <c r="D78" s="64">
        <v>30.1</v>
      </c>
      <c r="E78" s="64">
        <v>5.04</v>
      </c>
      <c r="F78" s="64">
        <v>2.33</v>
      </c>
      <c r="G78" s="210" t="s">
        <v>36</v>
      </c>
      <c r="H78" s="210" t="s">
        <v>36</v>
      </c>
      <c r="I78" s="64">
        <v>0.1</v>
      </c>
      <c r="J78" s="64">
        <v>0.72</v>
      </c>
      <c r="K78" s="64">
        <v>1.43</v>
      </c>
      <c r="L78" s="64">
        <v>20.02</v>
      </c>
      <c r="M78" s="64">
        <v>39.840000000000003</v>
      </c>
      <c r="N78" s="64">
        <v>52</v>
      </c>
      <c r="O78" s="64">
        <v>0</v>
      </c>
      <c r="P78" s="64">
        <v>1.21</v>
      </c>
      <c r="Q78" s="64">
        <v>9.65</v>
      </c>
      <c r="R78" s="198"/>
      <c r="S78" s="198"/>
      <c r="T78" s="198"/>
      <c r="U78" s="198"/>
    </row>
    <row r="79" spans="1:21" s="12" customFormat="1" x14ac:dyDescent="0.25">
      <c r="A79" s="214" t="s">
        <v>2045</v>
      </c>
      <c r="B79" s="64">
        <v>23.72</v>
      </c>
      <c r="C79" s="64">
        <v>26.4</v>
      </c>
      <c r="D79" s="64">
        <v>32.159999999999997</v>
      </c>
      <c r="E79" s="64">
        <v>5.59</v>
      </c>
      <c r="F79" s="64">
        <v>2.41</v>
      </c>
      <c r="G79" s="210" t="s">
        <v>36</v>
      </c>
      <c r="H79" s="210" t="s">
        <v>36</v>
      </c>
      <c r="I79" s="64">
        <v>0.1</v>
      </c>
      <c r="J79" s="64">
        <v>0.21</v>
      </c>
      <c r="K79" s="64">
        <v>106.29</v>
      </c>
      <c r="L79" s="64">
        <v>19.14</v>
      </c>
      <c r="M79" s="64">
        <v>42.77</v>
      </c>
      <c r="N79" s="64">
        <v>51</v>
      </c>
      <c r="O79" s="64">
        <v>0</v>
      </c>
      <c r="P79" s="64">
        <v>1.34</v>
      </c>
      <c r="Q79" s="64">
        <v>9.67</v>
      </c>
      <c r="R79" s="198"/>
      <c r="S79" s="198"/>
      <c r="T79" s="198"/>
      <c r="U79" s="198"/>
    </row>
    <row r="80" spans="1:21" s="12" customFormat="1" x14ac:dyDescent="0.25">
      <c r="A80" s="214" t="s">
        <v>2046</v>
      </c>
      <c r="B80" s="64">
        <v>30.33</v>
      </c>
      <c r="C80" s="64">
        <v>32.799999999999997</v>
      </c>
      <c r="D80" s="64">
        <v>40.799999999999997</v>
      </c>
      <c r="E80" s="64">
        <v>7.17</v>
      </c>
      <c r="F80" s="64">
        <v>2.4500000000000002</v>
      </c>
      <c r="G80" s="210" t="s">
        <v>36</v>
      </c>
      <c r="H80" s="210" t="s">
        <v>36</v>
      </c>
      <c r="I80" s="64">
        <v>0.1</v>
      </c>
      <c r="J80" s="64">
        <v>0.76</v>
      </c>
      <c r="K80" s="64">
        <v>93.5</v>
      </c>
      <c r="L80" s="64">
        <v>18.71</v>
      </c>
      <c r="M80" s="64">
        <v>43.68</v>
      </c>
      <c r="N80" s="64">
        <v>50.6</v>
      </c>
      <c r="O80" s="64">
        <v>0</v>
      </c>
      <c r="P80" s="64">
        <v>1.69</v>
      </c>
      <c r="Q80" s="64">
        <v>9.66</v>
      </c>
      <c r="R80" s="198"/>
      <c r="S80" s="198"/>
      <c r="T80" s="198"/>
      <c r="U80" s="198"/>
    </row>
    <row r="81" spans="1:26" s="12" customFormat="1" x14ac:dyDescent="0.25">
      <c r="A81" s="214" t="s">
        <v>2047</v>
      </c>
      <c r="B81" s="64">
        <v>25.05</v>
      </c>
      <c r="C81" s="64">
        <v>37.130000000000003</v>
      </c>
      <c r="D81" s="64">
        <v>38.83</v>
      </c>
      <c r="E81" s="64">
        <v>7.06</v>
      </c>
      <c r="F81" s="64">
        <v>2.83</v>
      </c>
      <c r="G81" s="210" t="s">
        <v>36</v>
      </c>
      <c r="H81" s="210" t="s">
        <v>36</v>
      </c>
      <c r="I81" s="64">
        <v>0.1</v>
      </c>
      <c r="J81" s="64">
        <v>0.88</v>
      </c>
      <c r="K81" s="64">
        <v>94.8</v>
      </c>
      <c r="L81" s="64">
        <v>18.96</v>
      </c>
      <c r="M81" s="64">
        <v>41.63</v>
      </c>
      <c r="N81" s="64">
        <v>50.4</v>
      </c>
      <c r="O81" s="64">
        <v>0</v>
      </c>
      <c r="P81" s="64">
        <v>1.77</v>
      </c>
      <c r="Q81" s="64">
        <v>9.64</v>
      </c>
      <c r="R81" s="198"/>
      <c r="S81" s="198"/>
      <c r="T81" s="198"/>
      <c r="U81" s="198"/>
    </row>
    <row r="82" spans="1:26" s="12" customFormat="1" x14ac:dyDescent="0.25">
      <c r="A82" s="214" t="s">
        <v>2048</v>
      </c>
      <c r="B82" s="64">
        <v>24.04</v>
      </c>
      <c r="C82" s="64">
        <v>39.340000000000003</v>
      </c>
      <c r="D82" s="64">
        <v>39.18</v>
      </c>
      <c r="E82" s="64">
        <v>7.06</v>
      </c>
      <c r="F82" s="64">
        <v>2.82</v>
      </c>
      <c r="G82" s="210" t="s">
        <v>36</v>
      </c>
      <c r="H82" s="210" t="s">
        <v>36</v>
      </c>
      <c r="I82" s="64">
        <v>0.1</v>
      </c>
      <c r="J82" s="64">
        <v>0.89</v>
      </c>
      <c r="K82" s="64">
        <v>79.239999999999995</v>
      </c>
      <c r="L82" s="64">
        <v>19.05</v>
      </c>
      <c r="M82" s="64">
        <v>40.86</v>
      </c>
      <c r="N82" s="64">
        <v>50.4</v>
      </c>
      <c r="O82" s="64">
        <v>0</v>
      </c>
      <c r="P82" s="64">
        <v>1.86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4" t="s">
        <v>2049</v>
      </c>
      <c r="B83" s="64">
        <v>28.52</v>
      </c>
      <c r="C83" s="64">
        <v>38.9</v>
      </c>
      <c r="D83" s="64">
        <v>42.54</v>
      </c>
      <c r="E83" s="64">
        <v>6.92</v>
      </c>
      <c r="F83" s="64">
        <v>2.2799999999999998</v>
      </c>
      <c r="G83" s="210" t="s">
        <v>36</v>
      </c>
      <c r="H83" s="210" t="s">
        <v>36</v>
      </c>
      <c r="I83" s="64">
        <v>0.1</v>
      </c>
      <c r="J83" s="64">
        <v>0.47</v>
      </c>
      <c r="K83" s="64">
        <v>34.33</v>
      </c>
      <c r="L83" s="64">
        <v>18.52</v>
      </c>
      <c r="M83" s="64">
        <v>43.78</v>
      </c>
      <c r="N83" s="64">
        <v>50.7</v>
      </c>
      <c r="O83" s="64">
        <v>0</v>
      </c>
      <c r="P83" s="64">
        <v>2.14</v>
      </c>
      <c r="Q83" s="64">
        <v>9.65</v>
      </c>
      <c r="R83" s="198"/>
      <c r="S83" s="198"/>
      <c r="T83" s="198"/>
      <c r="U83" s="198"/>
    </row>
    <row r="84" spans="1:26" s="12" customFormat="1" x14ac:dyDescent="0.25">
      <c r="A84" s="214" t="s">
        <v>2050</v>
      </c>
      <c r="B84" s="64">
        <v>34.729999999999997</v>
      </c>
      <c r="C84" s="64">
        <v>35.54</v>
      </c>
      <c r="D84" s="64">
        <v>45.77</v>
      </c>
      <c r="E84" s="64">
        <v>6.79</v>
      </c>
      <c r="F84" s="64">
        <v>2.2000000000000002</v>
      </c>
      <c r="G84" s="64">
        <v>41.37</v>
      </c>
      <c r="H84" s="64">
        <v>19.87</v>
      </c>
      <c r="I84" s="64">
        <v>0.1</v>
      </c>
      <c r="J84" s="64">
        <v>0.73</v>
      </c>
      <c r="K84" s="64">
        <v>63.85</v>
      </c>
      <c r="L84" s="64">
        <v>18.059999999999999</v>
      </c>
      <c r="M84" s="64">
        <v>46.75</v>
      </c>
      <c r="N84" s="64">
        <v>50.4</v>
      </c>
      <c r="O84" s="64">
        <v>0</v>
      </c>
      <c r="P84" s="64">
        <v>2.48</v>
      </c>
      <c r="Q84" s="64">
        <v>9.66</v>
      </c>
      <c r="R84" s="198"/>
      <c r="S84" s="198"/>
      <c r="T84" s="198"/>
      <c r="U84" s="198"/>
    </row>
    <row r="85" spans="1:26" s="12" customFormat="1" x14ac:dyDescent="0.25">
      <c r="A85" s="214" t="s">
        <v>2051</v>
      </c>
      <c r="B85" s="64">
        <v>28.58</v>
      </c>
      <c r="C85" s="64">
        <v>36.21</v>
      </c>
      <c r="D85" s="64">
        <v>41.18</v>
      </c>
      <c r="E85" s="64">
        <v>6.4</v>
      </c>
      <c r="F85" s="64">
        <v>2.88</v>
      </c>
      <c r="G85" s="64">
        <v>57.29</v>
      </c>
      <c r="H85" s="64">
        <v>20.8</v>
      </c>
      <c r="I85" s="64">
        <v>0.1</v>
      </c>
      <c r="J85" s="64">
        <v>0.44</v>
      </c>
      <c r="K85" s="64">
        <v>340.31</v>
      </c>
      <c r="L85" s="64">
        <v>18.03</v>
      </c>
      <c r="M85" s="64">
        <v>44.12</v>
      </c>
      <c r="N85" s="64">
        <v>50.2</v>
      </c>
      <c r="O85" s="64">
        <v>0</v>
      </c>
      <c r="P85" s="64">
        <v>1.88</v>
      </c>
      <c r="Q85" s="64">
        <v>9.65</v>
      </c>
      <c r="R85" s="198"/>
      <c r="S85" s="198"/>
      <c r="T85" s="198"/>
      <c r="U85" s="198"/>
    </row>
    <row r="86" spans="1:26" s="12" customFormat="1" x14ac:dyDescent="0.25">
      <c r="A86" s="214" t="s">
        <v>2052</v>
      </c>
      <c r="B86" s="64">
        <v>28.13</v>
      </c>
      <c r="C86" s="64">
        <v>34.840000000000003</v>
      </c>
      <c r="D86" s="64">
        <v>40.11</v>
      </c>
      <c r="E86" s="64">
        <v>6.11</v>
      </c>
      <c r="F86" s="64">
        <v>3.01</v>
      </c>
      <c r="G86" s="64">
        <v>57.29</v>
      </c>
      <c r="H86" s="64">
        <v>20.8</v>
      </c>
      <c r="I86" s="64">
        <v>0.1</v>
      </c>
      <c r="J86" s="64">
        <v>0.28999999999999998</v>
      </c>
      <c r="K86" s="64">
        <v>178.14</v>
      </c>
      <c r="L86" s="64">
        <v>18.05</v>
      </c>
      <c r="M86" s="64">
        <v>42.4</v>
      </c>
      <c r="N86" s="64">
        <v>50.3</v>
      </c>
      <c r="O86" s="64">
        <v>0</v>
      </c>
      <c r="P86" s="64">
        <v>1.96</v>
      </c>
      <c r="Q86" s="64">
        <v>9.66</v>
      </c>
      <c r="R86" s="198"/>
      <c r="S86" s="198"/>
      <c r="T86" s="198"/>
      <c r="U86" s="198"/>
    </row>
    <row r="87" spans="1:26" s="12" customFormat="1" x14ac:dyDescent="0.25">
      <c r="A87" s="214" t="s">
        <v>2053</v>
      </c>
      <c r="B87" s="64">
        <v>26.84</v>
      </c>
      <c r="C87" s="64">
        <v>31.8</v>
      </c>
      <c r="D87" s="64">
        <v>37.479999999999997</v>
      </c>
      <c r="E87" s="64">
        <v>6.11</v>
      </c>
      <c r="F87" s="64">
        <v>3.81</v>
      </c>
      <c r="G87" s="64">
        <v>57.29</v>
      </c>
      <c r="H87" s="64">
        <v>20.8</v>
      </c>
      <c r="I87" s="64">
        <v>0.1</v>
      </c>
      <c r="J87" s="64">
        <v>0.51</v>
      </c>
      <c r="K87" s="64">
        <v>84.39</v>
      </c>
      <c r="L87" s="64">
        <v>17.97</v>
      </c>
      <c r="M87" s="64">
        <v>42.93</v>
      </c>
      <c r="N87" s="64">
        <v>50.3</v>
      </c>
      <c r="O87" s="64">
        <v>0</v>
      </c>
      <c r="P87" s="64">
        <v>1.93</v>
      </c>
      <c r="Q87" s="64">
        <v>9.66</v>
      </c>
      <c r="R87" s="198"/>
      <c r="S87" s="198"/>
      <c r="T87" s="198"/>
      <c r="U87" s="198"/>
    </row>
    <row r="88" spans="1:26" s="12" customFormat="1" x14ac:dyDescent="0.25">
      <c r="A88" s="214" t="s">
        <v>2054</v>
      </c>
      <c r="B88" s="64">
        <v>27.29</v>
      </c>
      <c r="C88" s="64">
        <v>29.88</v>
      </c>
      <c r="D88" s="64">
        <v>36.840000000000003</v>
      </c>
      <c r="E88" s="64">
        <v>5.87</v>
      </c>
      <c r="F88" s="64">
        <v>3.09</v>
      </c>
      <c r="G88" s="64">
        <v>54.22</v>
      </c>
      <c r="H88" s="64">
        <v>20.82</v>
      </c>
      <c r="I88" s="64">
        <v>0.1</v>
      </c>
      <c r="J88" s="64">
        <v>0.46</v>
      </c>
      <c r="K88" s="64">
        <v>43.29</v>
      </c>
      <c r="L88" s="64">
        <v>17.77</v>
      </c>
      <c r="M88" s="64">
        <v>44.68</v>
      </c>
      <c r="N88" s="64">
        <v>50.5</v>
      </c>
      <c r="O88" s="64">
        <v>0</v>
      </c>
      <c r="P88" s="64">
        <v>1.93</v>
      </c>
      <c r="Q88" s="64">
        <v>9.66</v>
      </c>
      <c r="R88" s="198"/>
      <c r="S88" s="198"/>
      <c r="T88" s="198"/>
      <c r="U88" s="198"/>
    </row>
    <row r="89" spans="1:26" s="12" customFormat="1" x14ac:dyDescent="0.25">
      <c r="A89" s="214" t="s">
        <v>2055</v>
      </c>
      <c r="B89" s="64">
        <v>29.38</v>
      </c>
      <c r="C89" s="64">
        <v>26.79</v>
      </c>
      <c r="D89" s="64">
        <v>36.9</v>
      </c>
      <c r="E89" s="64">
        <v>5.2</v>
      </c>
      <c r="F89" s="64">
        <v>2.67</v>
      </c>
      <c r="G89" s="64">
        <v>53.05</v>
      </c>
      <c r="H89" s="64">
        <v>20.82</v>
      </c>
      <c r="I89" s="64">
        <v>0.1</v>
      </c>
      <c r="J89" s="64">
        <v>0.55000000000000004</v>
      </c>
      <c r="K89" s="64">
        <v>340.48</v>
      </c>
      <c r="L89" s="64">
        <v>17.510000000000002</v>
      </c>
      <c r="M89" s="64">
        <v>47.16</v>
      </c>
      <c r="N89" s="64">
        <v>50.5</v>
      </c>
      <c r="O89" s="64">
        <v>0</v>
      </c>
      <c r="P89" s="64">
        <v>1.94</v>
      </c>
      <c r="Q89" s="64">
        <v>9.68</v>
      </c>
      <c r="R89" s="198"/>
      <c r="S89" s="198"/>
      <c r="T89" s="198"/>
      <c r="U89" s="198"/>
    </row>
    <row r="90" spans="1:26" s="12" customFormat="1" x14ac:dyDescent="0.25">
      <c r="A90" s="214" t="s">
        <v>2056</v>
      </c>
      <c r="B90" s="64">
        <v>28.93</v>
      </c>
      <c r="C90" s="64">
        <v>25.75</v>
      </c>
      <c r="D90" s="64">
        <v>36</v>
      </c>
      <c r="E90" s="64">
        <v>5.45</v>
      </c>
      <c r="F90" s="64">
        <v>2.54</v>
      </c>
      <c r="G90" s="64">
        <v>53.05</v>
      </c>
      <c r="H90" s="64">
        <v>20.82</v>
      </c>
      <c r="I90" s="64">
        <v>0.1</v>
      </c>
      <c r="J90" s="64">
        <v>0.81</v>
      </c>
      <c r="K90" s="64">
        <v>321.58</v>
      </c>
      <c r="L90" s="64">
        <v>16.97</v>
      </c>
      <c r="M90" s="64">
        <v>52.3</v>
      </c>
      <c r="N90" s="64">
        <v>50.6</v>
      </c>
      <c r="O90" s="64">
        <v>0</v>
      </c>
      <c r="P90" s="64">
        <v>1.9</v>
      </c>
      <c r="Q90" s="64">
        <v>9.68</v>
      </c>
      <c r="R90" s="198"/>
      <c r="S90" s="198"/>
      <c r="T90" s="198"/>
      <c r="U90" s="198"/>
    </row>
    <row r="91" spans="1:26" s="12" customFormat="1" x14ac:dyDescent="0.25">
      <c r="A91" s="214" t="s">
        <v>2057</v>
      </c>
      <c r="B91" s="64">
        <v>30.87</v>
      </c>
      <c r="C91" s="64">
        <v>23.42</v>
      </c>
      <c r="D91" s="64">
        <v>36.340000000000003</v>
      </c>
      <c r="E91" s="64">
        <v>5.16</v>
      </c>
      <c r="F91" s="64">
        <v>2.69</v>
      </c>
      <c r="G91" s="64">
        <v>53.05</v>
      </c>
      <c r="H91" s="64">
        <v>20.82</v>
      </c>
      <c r="I91" s="64">
        <v>0.1</v>
      </c>
      <c r="J91" s="64">
        <v>0.77</v>
      </c>
      <c r="K91" s="64">
        <v>309.07</v>
      </c>
      <c r="L91" s="64">
        <v>16.36</v>
      </c>
      <c r="M91" s="64">
        <v>56.79</v>
      </c>
      <c r="N91" s="64">
        <v>50.6</v>
      </c>
      <c r="O91" s="64">
        <v>0</v>
      </c>
      <c r="P91" s="64">
        <v>1.93</v>
      </c>
      <c r="Q91" s="64">
        <v>9.68</v>
      </c>
      <c r="R91" s="198"/>
      <c r="S91" s="198"/>
      <c r="T91" s="198"/>
      <c r="U91" s="198"/>
    </row>
    <row r="92" spans="1:26" s="12" customFormat="1" x14ac:dyDescent="0.25">
      <c r="A92" s="214" t="s">
        <v>2058</v>
      </c>
      <c r="B92" s="64">
        <v>35.590000000000003</v>
      </c>
      <c r="C92" s="64">
        <v>19.71</v>
      </c>
      <c r="D92" s="64">
        <v>38.19</v>
      </c>
      <c r="E92" s="64">
        <v>5.29</v>
      </c>
      <c r="F92" s="64">
        <v>2.86</v>
      </c>
      <c r="G92" s="64">
        <v>54.03</v>
      </c>
      <c r="H92" s="64">
        <v>20.92</v>
      </c>
      <c r="I92" s="64">
        <v>0.1</v>
      </c>
      <c r="J92" s="64">
        <v>0.78</v>
      </c>
      <c r="K92" s="64">
        <v>313.85000000000002</v>
      </c>
      <c r="L92" s="64">
        <v>15.86</v>
      </c>
      <c r="M92" s="64">
        <v>60.29</v>
      </c>
      <c r="N92" s="64">
        <v>50.7</v>
      </c>
      <c r="O92" s="64">
        <v>0</v>
      </c>
      <c r="P92" s="64">
        <v>2.0099999999999998</v>
      </c>
      <c r="Q92" s="64">
        <v>9.68</v>
      </c>
      <c r="R92" s="198"/>
      <c r="S92" s="198"/>
      <c r="T92" s="198"/>
      <c r="U92" s="198"/>
    </row>
    <row r="93" spans="1:26" s="12" customFormat="1" x14ac:dyDescent="0.25">
      <c r="A93" s="214" t="s">
        <v>2059</v>
      </c>
      <c r="B93" s="64">
        <v>41.75</v>
      </c>
      <c r="C93" s="64">
        <v>15.49</v>
      </c>
      <c r="D93" s="64">
        <v>40.92</v>
      </c>
      <c r="E93" s="64">
        <v>5.21</v>
      </c>
      <c r="F93" s="64">
        <v>2.5</v>
      </c>
      <c r="G93" s="64">
        <v>54.41</v>
      </c>
      <c r="H93" s="64">
        <v>20.93</v>
      </c>
      <c r="I93" s="64">
        <v>0.1</v>
      </c>
      <c r="J93" s="64">
        <v>0.83</v>
      </c>
      <c r="K93" s="64">
        <v>332.56</v>
      </c>
      <c r="L93" s="64">
        <v>15.6</v>
      </c>
      <c r="M93" s="64">
        <v>62.65</v>
      </c>
      <c r="N93" s="64">
        <v>50.6</v>
      </c>
      <c r="O93" s="64">
        <v>0</v>
      </c>
      <c r="P93" s="64">
        <v>2.11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4" t="s">
        <v>2060</v>
      </c>
      <c r="B94" s="64">
        <v>45.32</v>
      </c>
      <c r="C94" s="64">
        <v>12.83</v>
      </c>
      <c r="D94" s="64">
        <v>42.39</v>
      </c>
      <c r="E94" s="64">
        <v>4.82</v>
      </c>
      <c r="F94" s="64">
        <v>2.34</v>
      </c>
      <c r="G94" s="64">
        <v>54.41</v>
      </c>
      <c r="H94" s="64">
        <v>20.93</v>
      </c>
      <c r="I94" s="64">
        <v>0.1</v>
      </c>
      <c r="J94" s="64">
        <v>0.79</v>
      </c>
      <c r="K94" s="64">
        <v>19.47</v>
      </c>
      <c r="L94" s="64">
        <v>15.21</v>
      </c>
      <c r="M94" s="64">
        <v>62.19</v>
      </c>
      <c r="N94" s="64">
        <v>50.5</v>
      </c>
      <c r="O94" s="64">
        <v>0</v>
      </c>
      <c r="P94" s="64">
        <v>2.15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4" t="s">
        <v>2061</v>
      </c>
      <c r="B95" s="64">
        <v>46.67</v>
      </c>
      <c r="C95" s="64">
        <v>11.42</v>
      </c>
      <c r="D95" s="64">
        <v>42.74</v>
      </c>
      <c r="E95" s="64">
        <v>5.4</v>
      </c>
      <c r="F95" s="64">
        <v>2.4300000000000002</v>
      </c>
      <c r="G95" s="64">
        <v>54.41</v>
      </c>
      <c r="H95" s="64">
        <v>20.93</v>
      </c>
      <c r="I95" s="64">
        <v>0.1</v>
      </c>
      <c r="J95" s="64">
        <v>0.74</v>
      </c>
      <c r="K95" s="64">
        <v>43.37</v>
      </c>
      <c r="L95" s="64">
        <v>15.26</v>
      </c>
      <c r="M95" s="64">
        <v>60.11</v>
      </c>
      <c r="N95" s="64">
        <v>50.3</v>
      </c>
      <c r="O95" s="64">
        <v>0</v>
      </c>
      <c r="P95" s="64">
        <v>2.17</v>
      </c>
      <c r="Q95" s="64">
        <v>9.69</v>
      </c>
      <c r="R95" s="198"/>
      <c r="S95" s="198"/>
      <c r="T95" s="198"/>
      <c r="U95" s="198"/>
    </row>
    <row r="96" spans="1:26" s="12" customFormat="1" x14ac:dyDescent="0.25">
      <c r="A96" s="214" t="s">
        <v>2062</v>
      </c>
      <c r="B96" s="64">
        <v>47.52</v>
      </c>
      <c r="C96" s="64">
        <v>10.23</v>
      </c>
      <c r="D96" s="64">
        <v>42.79</v>
      </c>
      <c r="E96" s="64">
        <v>5.05</v>
      </c>
      <c r="F96" s="64">
        <v>2.52</v>
      </c>
      <c r="G96" s="64">
        <v>56.43</v>
      </c>
      <c r="H96" s="64">
        <v>26.03</v>
      </c>
      <c r="I96" s="64">
        <v>0.1</v>
      </c>
      <c r="J96" s="64">
        <v>0.61</v>
      </c>
      <c r="K96" s="64">
        <v>87.82</v>
      </c>
      <c r="L96" s="64">
        <v>15.92</v>
      </c>
      <c r="M96" s="64">
        <v>54.2</v>
      </c>
      <c r="N96" s="64">
        <v>50.1</v>
      </c>
      <c r="O96" s="64">
        <v>0</v>
      </c>
      <c r="P96" s="64">
        <v>2.1800000000000002</v>
      </c>
      <c r="Q96" s="64">
        <v>9.69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2063</v>
      </c>
      <c r="B97" s="64">
        <v>47.47</v>
      </c>
      <c r="C97" s="64">
        <v>9.6</v>
      </c>
      <c r="D97" s="64">
        <v>42.43</v>
      </c>
      <c r="E97" s="64">
        <v>5.01</v>
      </c>
      <c r="F97" s="64">
        <v>2.5299999999999998</v>
      </c>
      <c r="G97" s="64">
        <v>57.2</v>
      </c>
      <c r="H97" s="64">
        <v>26.41</v>
      </c>
      <c r="I97" s="64">
        <v>0.1</v>
      </c>
      <c r="J97" s="64">
        <v>0.61</v>
      </c>
      <c r="K97" s="64">
        <v>84</v>
      </c>
      <c r="L97" s="64">
        <v>16.13</v>
      </c>
      <c r="M97" s="64">
        <v>52.61</v>
      </c>
      <c r="N97" s="64">
        <v>50.1</v>
      </c>
      <c r="O97" s="64">
        <v>0</v>
      </c>
      <c r="P97" s="64">
        <v>2.17</v>
      </c>
      <c r="Q97" s="64">
        <v>9.68</v>
      </c>
      <c r="R97" s="198"/>
      <c r="S97" s="198"/>
      <c r="T97" s="198"/>
      <c r="U97" s="198"/>
    </row>
    <row r="98" spans="1:33" s="12" customFormat="1" x14ac:dyDescent="0.25">
      <c r="A98" s="214" t="s">
        <v>2064</v>
      </c>
      <c r="B98" s="64">
        <v>46.2</v>
      </c>
      <c r="C98" s="64">
        <v>9.69</v>
      </c>
      <c r="D98" s="64">
        <v>41.46</v>
      </c>
      <c r="E98" s="64">
        <v>5.07</v>
      </c>
      <c r="F98" s="64">
        <v>2.35</v>
      </c>
      <c r="G98" s="64">
        <v>57.2</v>
      </c>
      <c r="H98" s="64">
        <v>26.41</v>
      </c>
      <c r="I98" s="64">
        <v>0.1</v>
      </c>
      <c r="J98" s="64">
        <v>0.47</v>
      </c>
      <c r="K98" s="64">
        <v>318.57</v>
      </c>
      <c r="L98" s="64">
        <v>15.99</v>
      </c>
      <c r="M98" s="64">
        <v>54.55</v>
      </c>
      <c r="N98" s="64">
        <v>50.1</v>
      </c>
      <c r="O98" s="64">
        <v>0</v>
      </c>
      <c r="P98" s="64">
        <v>2.15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4" t="s">
        <v>2065</v>
      </c>
      <c r="B99" s="64">
        <v>44.43</v>
      </c>
      <c r="C99" s="64">
        <v>10.5</v>
      </c>
      <c r="D99" s="64">
        <v>40.46</v>
      </c>
      <c r="E99" s="64">
        <v>4.91</v>
      </c>
      <c r="F99" s="64">
        <v>2.48</v>
      </c>
      <c r="G99" s="64">
        <v>57.2</v>
      </c>
      <c r="H99" s="64">
        <v>26.41</v>
      </c>
      <c r="I99" s="64">
        <v>0.1</v>
      </c>
      <c r="J99" s="64">
        <v>0.79</v>
      </c>
      <c r="K99" s="64">
        <v>338.43</v>
      </c>
      <c r="L99" s="64">
        <v>15.92</v>
      </c>
      <c r="M99" s="64">
        <v>57.49</v>
      </c>
      <c r="N99" s="64">
        <v>50</v>
      </c>
      <c r="O99" s="64">
        <v>0</v>
      </c>
      <c r="P99" s="64">
        <v>2.14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4" t="s">
        <v>2066</v>
      </c>
      <c r="B100" s="64">
        <v>43.08</v>
      </c>
      <c r="C100" s="64">
        <v>10.029999999999999</v>
      </c>
      <c r="D100" s="64">
        <v>39.130000000000003</v>
      </c>
      <c r="E100" s="64">
        <v>5.04</v>
      </c>
      <c r="F100" s="64">
        <v>2.35</v>
      </c>
      <c r="G100" s="64">
        <v>54.19</v>
      </c>
      <c r="H100" s="64">
        <v>22.89</v>
      </c>
      <c r="I100" s="64">
        <v>0.1</v>
      </c>
      <c r="J100" s="64">
        <v>1.07</v>
      </c>
      <c r="K100" s="64">
        <v>340.65</v>
      </c>
      <c r="L100" s="64">
        <v>15.85</v>
      </c>
      <c r="M100" s="64">
        <v>58.75</v>
      </c>
      <c r="N100" s="64">
        <v>50</v>
      </c>
      <c r="O100" s="64">
        <v>0</v>
      </c>
      <c r="P100" s="64">
        <v>2.14</v>
      </c>
      <c r="Q100" s="64">
        <v>9.67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2067</v>
      </c>
      <c r="B101" s="64">
        <v>42.52</v>
      </c>
      <c r="C101" s="64">
        <v>10.07</v>
      </c>
      <c r="D101" s="64">
        <v>38.700000000000003</v>
      </c>
      <c r="E101" s="64">
        <v>5.0199999999999996</v>
      </c>
      <c r="F101" s="64">
        <v>2.2599999999999998</v>
      </c>
      <c r="G101" s="64">
        <v>53.03</v>
      </c>
      <c r="H101" s="64">
        <v>22.73</v>
      </c>
      <c r="I101" s="64">
        <v>0.1</v>
      </c>
      <c r="J101" s="64">
        <v>0.8</v>
      </c>
      <c r="K101" s="64">
        <v>334.16</v>
      </c>
      <c r="L101" s="64">
        <v>15.78</v>
      </c>
      <c r="M101" s="64">
        <v>58.93</v>
      </c>
      <c r="N101" s="64">
        <v>50.3</v>
      </c>
      <c r="O101" s="64">
        <v>0</v>
      </c>
      <c r="P101" s="64">
        <v>2.11</v>
      </c>
      <c r="Q101" s="64">
        <v>9.66</v>
      </c>
      <c r="R101" s="198"/>
      <c r="S101" s="198"/>
      <c r="T101" s="198"/>
      <c r="U101" s="198"/>
    </row>
    <row r="102" spans="1:33" s="12" customFormat="1" x14ac:dyDescent="0.25">
      <c r="A102" s="214" t="s">
        <v>2068</v>
      </c>
      <c r="B102" s="64">
        <v>41.31</v>
      </c>
      <c r="C102" s="64">
        <v>10.72</v>
      </c>
      <c r="D102" s="64">
        <v>38.07</v>
      </c>
      <c r="E102" s="64">
        <v>5.0999999999999996</v>
      </c>
      <c r="F102" s="64">
        <v>2.38</v>
      </c>
      <c r="G102" s="64">
        <v>53.03</v>
      </c>
      <c r="H102" s="64">
        <v>22.73</v>
      </c>
      <c r="I102" s="64">
        <v>0.1</v>
      </c>
      <c r="J102" s="64">
        <v>0.84</v>
      </c>
      <c r="K102" s="64">
        <v>337.36</v>
      </c>
      <c r="L102" s="64">
        <v>15.53</v>
      </c>
      <c r="M102" s="64">
        <v>59.81</v>
      </c>
      <c r="N102" s="64">
        <v>50.3</v>
      </c>
      <c r="O102" s="64">
        <v>0</v>
      </c>
      <c r="P102" s="64">
        <v>2.08</v>
      </c>
      <c r="Q102" s="64">
        <v>9.67</v>
      </c>
      <c r="R102" s="198"/>
      <c r="S102" s="198"/>
      <c r="T102" s="198"/>
      <c r="U102" s="198"/>
    </row>
    <row r="103" spans="1:33" s="12" customFormat="1" x14ac:dyDescent="0.25">
      <c r="A103" s="214" t="s">
        <v>2069</v>
      </c>
      <c r="B103" s="64">
        <v>39.15</v>
      </c>
      <c r="C103" s="64">
        <v>11.11</v>
      </c>
      <c r="D103" s="64">
        <v>36.549999999999997</v>
      </c>
      <c r="E103" s="64">
        <v>5.0599999999999996</v>
      </c>
      <c r="F103" s="64">
        <v>2.64</v>
      </c>
      <c r="G103" s="64">
        <v>53.03</v>
      </c>
      <c r="H103" s="64">
        <v>22.73</v>
      </c>
      <c r="I103" s="64">
        <v>0.1</v>
      </c>
      <c r="J103" s="64">
        <v>0.56000000000000005</v>
      </c>
      <c r="K103" s="64">
        <v>327.60000000000002</v>
      </c>
      <c r="L103" s="64">
        <v>15.19</v>
      </c>
      <c r="M103" s="64">
        <v>62.46</v>
      </c>
      <c r="N103" s="64">
        <v>50.3</v>
      </c>
      <c r="O103" s="64">
        <v>0</v>
      </c>
      <c r="P103" s="64">
        <v>2.02</v>
      </c>
      <c r="Q103" s="64">
        <v>9.66</v>
      </c>
      <c r="R103" s="198"/>
      <c r="S103" s="198"/>
      <c r="T103" s="198"/>
      <c r="U103" s="198"/>
    </row>
    <row r="104" spans="1:33" s="12" customFormat="1" x14ac:dyDescent="0.25">
      <c r="A104" s="214" t="s">
        <v>2070</v>
      </c>
      <c r="B104" s="64">
        <v>38.33</v>
      </c>
      <c r="C104" s="64">
        <v>11.12</v>
      </c>
      <c r="D104" s="64">
        <v>35.89</v>
      </c>
      <c r="E104" s="64">
        <v>4.26</v>
      </c>
      <c r="F104" s="64">
        <v>2.54</v>
      </c>
      <c r="G104" s="64">
        <v>51.27</v>
      </c>
      <c r="H104" s="64">
        <v>19.079999999999998</v>
      </c>
      <c r="I104" s="64">
        <v>0.1</v>
      </c>
      <c r="J104" s="64">
        <v>0.42</v>
      </c>
      <c r="K104" s="64">
        <v>288.25</v>
      </c>
      <c r="L104" s="64">
        <v>15.02</v>
      </c>
      <c r="M104" s="64">
        <v>64.290000000000006</v>
      </c>
      <c r="N104" s="64">
        <v>50.2</v>
      </c>
      <c r="O104" s="64">
        <v>0</v>
      </c>
      <c r="P104" s="64">
        <v>1.97</v>
      </c>
      <c r="Q104" s="64">
        <v>9.66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14.87</v>
      </c>
      <c r="C106" s="67">
        <f>MIN(C9:C104)</f>
        <v>2.8</v>
      </c>
      <c r="D106" s="67">
        <f t="shared" ref="D106:Q106" si="0">MIN(D9:D104)</f>
        <v>24.2</v>
      </c>
      <c r="E106" s="67">
        <f t="shared" si="0"/>
        <v>3.87</v>
      </c>
      <c r="F106" s="67">
        <f t="shared" si="0"/>
        <v>2.1</v>
      </c>
      <c r="G106" s="67">
        <f t="shared" si="0"/>
        <v>3.55</v>
      </c>
      <c r="H106" s="67">
        <f t="shared" si="0"/>
        <v>8.93</v>
      </c>
      <c r="I106" s="67">
        <f t="shared" si="0"/>
        <v>0.1</v>
      </c>
      <c r="J106" s="67">
        <f t="shared" si="0"/>
        <v>0.09</v>
      </c>
      <c r="K106" s="67">
        <f t="shared" si="0"/>
        <v>1.43</v>
      </c>
      <c r="L106" s="67">
        <f t="shared" si="0"/>
        <v>10.38</v>
      </c>
      <c r="M106" s="67">
        <f t="shared" si="0"/>
        <v>21</v>
      </c>
      <c r="N106" s="67">
        <f t="shared" si="0"/>
        <v>50</v>
      </c>
      <c r="O106" s="67">
        <f t="shared" si="0"/>
        <v>0</v>
      </c>
      <c r="P106" s="67">
        <f t="shared" si="0"/>
        <v>0.95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135.13999999999999</v>
      </c>
      <c r="C107" s="66">
        <f t="shared" ref="C107:Q107" si="1">MAX(C9:C104)</f>
        <v>39.340000000000003</v>
      </c>
      <c r="D107" s="66">
        <f t="shared" si="1"/>
        <v>84.39</v>
      </c>
      <c r="E107" s="66">
        <f t="shared" si="1"/>
        <v>10.48</v>
      </c>
      <c r="F107" s="66">
        <f t="shared" si="1"/>
        <v>4.8499999999999996</v>
      </c>
      <c r="G107" s="66">
        <f t="shared" si="1"/>
        <v>190.58</v>
      </c>
      <c r="H107" s="66">
        <f t="shared" si="1"/>
        <v>30.97</v>
      </c>
      <c r="I107" s="66">
        <f t="shared" si="1"/>
        <v>0.1</v>
      </c>
      <c r="J107" s="66">
        <f t="shared" si="1"/>
        <v>1.93</v>
      </c>
      <c r="K107" s="66">
        <f t="shared" si="1"/>
        <v>354.45</v>
      </c>
      <c r="L107" s="66">
        <f t="shared" si="1"/>
        <v>28.73</v>
      </c>
      <c r="M107" s="66">
        <f t="shared" si="1"/>
        <v>98.02</v>
      </c>
      <c r="N107" s="66">
        <f t="shared" si="1"/>
        <v>503.1</v>
      </c>
      <c r="O107" s="66">
        <f t="shared" si="1"/>
        <v>0</v>
      </c>
      <c r="P107" s="66">
        <f t="shared" si="1"/>
        <v>3.23</v>
      </c>
      <c r="Q107" s="66">
        <f t="shared" si="1"/>
        <v>9.7899999999999991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54.614270833333357</v>
      </c>
      <c r="C108" s="67">
        <f t="shared" ref="C108:Q108" si="2">AVERAGE(C9:C104)</f>
        <v>19.928909090909084</v>
      </c>
      <c r="D108" s="67">
        <f t="shared" si="2"/>
        <v>44.607708333333335</v>
      </c>
      <c r="E108" s="67">
        <f t="shared" si="2"/>
        <v>5.3659375000000011</v>
      </c>
      <c r="F108" s="67">
        <f t="shared" si="2"/>
        <v>2.8174999999999994</v>
      </c>
      <c r="G108" s="67">
        <f t="shared" si="2"/>
        <v>64.842921348314576</v>
      </c>
      <c r="H108" s="67">
        <f t="shared" si="2"/>
        <v>19.797640449438205</v>
      </c>
      <c r="I108" s="67">
        <f t="shared" si="2"/>
        <v>9.9999999999999811E-2</v>
      </c>
      <c r="J108" s="67">
        <f t="shared" si="2"/>
        <v>0.760625</v>
      </c>
      <c r="K108" s="67">
        <f t="shared" si="2"/>
        <v>243.27635416666661</v>
      </c>
      <c r="L108" s="67">
        <f t="shared" si="2"/>
        <v>18.543958333333329</v>
      </c>
      <c r="M108" s="67">
        <f t="shared" si="2"/>
        <v>57.055520833333311</v>
      </c>
      <c r="N108" s="67">
        <f t="shared" si="2"/>
        <v>158.62395833333329</v>
      </c>
      <c r="O108" s="67">
        <f t="shared" si="2"/>
        <v>0</v>
      </c>
      <c r="P108" s="67">
        <f t="shared" si="2"/>
        <v>1.7466666666666673</v>
      </c>
      <c r="Q108" s="67">
        <f t="shared" si="2"/>
        <v>9.682708333333327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31.502349979002513</v>
      </c>
      <c r="C109" s="67">
        <f t="shared" ref="C109:Q109" si="3">STDEV(C9:C104)</f>
        <v>9.7693524317647142</v>
      </c>
      <c r="D109" s="67">
        <f t="shared" si="3"/>
        <v>14.190840595195375</v>
      </c>
      <c r="E109" s="67">
        <f t="shared" si="3"/>
        <v>1.0060831587738746</v>
      </c>
      <c r="F109" s="67">
        <f t="shared" si="3"/>
        <v>0.62429244159414876</v>
      </c>
      <c r="G109" s="67">
        <f t="shared" si="3"/>
        <v>38.530204509586568</v>
      </c>
      <c r="H109" s="67">
        <f t="shared" si="3"/>
        <v>5.7444940085884806</v>
      </c>
      <c r="I109" s="67">
        <f t="shared" si="3"/>
        <v>1.9530892623466312E-16</v>
      </c>
      <c r="J109" s="67">
        <f t="shared" si="3"/>
        <v>0.39466658146632572</v>
      </c>
      <c r="K109" s="67">
        <f t="shared" si="3"/>
        <v>113.0243656089466</v>
      </c>
      <c r="L109" s="67">
        <f t="shared" si="3"/>
        <v>5.9600588974777615</v>
      </c>
      <c r="M109" s="67">
        <f t="shared" si="3"/>
        <v>29.110950946148009</v>
      </c>
      <c r="N109" s="67">
        <f t="shared" si="3"/>
        <v>170.37896938715721</v>
      </c>
      <c r="O109" s="67">
        <f t="shared" si="3"/>
        <v>0</v>
      </c>
      <c r="P109" s="67">
        <f t="shared" si="3"/>
        <v>0.60118070961569692</v>
      </c>
      <c r="Q109" s="67">
        <f t="shared" si="3"/>
        <v>4.2857884287655017E-2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COUNT(C9:C104)+41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COUNT(G9:G104)+7</f>
        <v>96</v>
      </c>
      <c r="H110" s="66">
        <f>COUNT(H9:H104)+7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9" sqref="C9:C3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2071</v>
      </c>
      <c r="B9" s="64">
        <v>37.08</v>
      </c>
      <c r="C9" s="64">
        <v>11.38</v>
      </c>
      <c r="D9" s="64">
        <v>35.03</v>
      </c>
      <c r="E9" s="64">
        <v>5.49</v>
      </c>
      <c r="F9" s="64">
        <v>2.6</v>
      </c>
      <c r="G9" s="64">
        <v>50.59</v>
      </c>
      <c r="H9" s="64">
        <v>18.91</v>
      </c>
      <c r="I9" s="64">
        <v>0.1</v>
      </c>
      <c r="J9" s="64">
        <v>0.3</v>
      </c>
      <c r="K9" s="64">
        <v>295.39</v>
      </c>
      <c r="L9" s="64">
        <v>14.89</v>
      </c>
      <c r="M9" s="64">
        <v>65.83</v>
      </c>
      <c r="N9" s="64">
        <v>50.1</v>
      </c>
      <c r="O9" s="64">
        <v>0</v>
      </c>
      <c r="P9" s="64">
        <v>1.91</v>
      </c>
      <c r="Q9" s="64">
        <v>9.67</v>
      </c>
      <c r="R9" s="198"/>
      <c r="S9" s="198"/>
      <c r="T9" s="198"/>
      <c r="U9" s="198"/>
    </row>
    <row r="10" spans="1:21" s="12" customFormat="1" x14ac:dyDescent="0.25">
      <c r="A10" s="214" t="s">
        <v>2072</v>
      </c>
      <c r="B10" s="64">
        <v>35.619999999999997</v>
      </c>
      <c r="C10" s="64">
        <v>11.75</v>
      </c>
      <c r="D10" s="64">
        <v>34.049999999999997</v>
      </c>
      <c r="E10" s="64">
        <v>5.21</v>
      </c>
      <c r="F10" s="64">
        <v>2.57</v>
      </c>
      <c r="G10" s="64">
        <v>50.59</v>
      </c>
      <c r="H10" s="64">
        <v>18.91</v>
      </c>
      <c r="I10" s="64">
        <v>0.1</v>
      </c>
      <c r="J10" s="64">
        <v>0.53</v>
      </c>
      <c r="K10" s="64">
        <v>303.44</v>
      </c>
      <c r="L10" s="64">
        <v>14.69</v>
      </c>
      <c r="M10" s="64">
        <v>67.25</v>
      </c>
      <c r="N10" s="64">
        <v>50.3</v>
      </c>
      <c r="O10" s="64">
        <v>0</v>
      </c>
      <c r="P10" s="64">
        <v>1.83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4" t="s">
        <v>2073</v>
      </c>
      <c r="B11" s="64">
        <v>33.94</v>
      </c>
      <c r="C11" s="64">
        <v>11.87</v>
      </c>
      <c r="D11" s="64">
        <v>32.770000000000003</v>
      </c>
      <c r="E11" s="64">
        <v>5.25</v>
      </c>
      <c r="F11" s="64">
        <v>2.62</v>
      </c>
      <c r="G11" s="64">
        <v>50.59</v>
      </c>
      <c r="H11" s="64">
        <v>18.91</v>
      </c>
      <c r="I11" s="64">
        <v>0.1</v>
      </c>
      <c r="J11" s="64">
        <v>0.52</v>
      </c>
      <c r="K11" s="64">
        <v>297.33999999999997</v>
      </c>
      <c r="L11" s="64">
        <v>14.49</v>
      </c>
      <c r="M11" s="64">
        <v>69.739999999999995</v>
      </c>
      <c r="N11" s="64">
        <v>50.2</v>
      </c>
      <c r="O11" s="64">
        <v>0</v>
      </c>
      <c r="P11" s="64">
        <v>1.72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4" t="s">
        <v>2074</v>
      </c>
      <c r="B12" s="64">
        <v>32.03</v>
      </c>
      <c r="C12" s="64">
        <v>12.33</v>
      </c>
      <c r="D12" s="64">
        <v>31.48</v>
      </c>
      <c r="E12" s="64">
        <v>5.05</v>
      </c>
      <c r="F12" s="64">
        <v>2.64</v>
      </c>
      <c r="G12" s="64">
        <v>47.7</v>
      </c>
      <c r="H12" s="64">
        <v>17.97</v>
      </c>
      <c r="I12" s="64">
        <v>0.1</v>
      </c>
      <c r="J12" s="64">
        <v>0.34</v>
      </c>
      <c r="K12" s="64">
        <v>296.27</v>
      </c>
      <c r="L12" s="64">
        <v>14.48</v>
      </c>
      <c r="M12" s="64">
        <v>69.459999999999994</v>
      </c>
      <c r="N12" s="64">
        <v>50.1</v>
      </c>
      <c r="O12" s="64">
        <v>0</v>
      </c>
      <c r="P12" s="64">
        <v>1.62</v>
      </c>
      <c r="Q12" s="64">
        <v>9.66</v>
      </c>
      <c r="R12" s="198"/>
      <c r="S12" s="198"/>
      <c r="T12" s="198"/>
      <c r="U12" s="198"/>
    </row>
    <row r="13" spans="1:21" s="12" customFormat="1" x14ac:dyDescent="0.25">
      <c r="A13" s="214" t="s">
        <v>2075</v>
      </c>
      <c r="B13" s="64">
        <v>30.1</v>
      </c>
      <c r="C13" s="64">
        <v>13.06</v>
      </c>
      <c r="D13" s="64">
        <v>30.31</v>
      </c>
      <c r="E13" s="64">
        <v>5.31</v>
      </c>
      <c r="F13" s="64">
        <v>2.75</v>
      </c>
      <c r="G13" s="64">
        <v>46.58</v>
      </c>
      <c r="H13" s="64">
        <v>17.93</v>
      </c>
      <c r="I13" s="64">
        <v>0.1</v>
      </c>
      <c r="J13" s="64">
        <v>0.1</v>
      </c>
      <c r="K13" s="64">
        <v>316.79000000000002</v>
      </c>
      <c r="L13" s="64">
        <v>14.32</v>
      </c>
      <c r="M13" s="64">
        <v>70.959999999999994</v>
      </c>
      <c r="N13" s="64">
        <v>50.1</v>
      </c>
      <c r="O13" s="64">
        <v>0</v>
      </c>
      <c r="P13" s="64">
        <v>1.58</v>
      </c>
      <c r="Q13" s="64">
        <v>9.66</v>
      </c>
      <c r="R13" s="198"/>
      <c r="S13" s="198"/>
      <c r="T13" s="198"/>
      <c r="U13" s="198"/>
    </row>
    <row r="14" spans="1:21" s="12" customFormat="1" x14ac:dyDescent="0.25">
      <c r="A14" s="214" t="s">
        <v>2076</v>
      </c>
      <c r="B14" s="64">
        <v>28.18</v>
      </c>
      <c r="C14" s="64">
        <v>13.84</v>
      </c>
      <c r="D14" s="64">
        <v>29.17</v>
      </c>
      <c r="E14" s="64">
        <v>4.79</v>
      </c>
      <c r="F14" s="64">
        <v>2.74</v>
      </c>
      <c r="G14" s="64">
        <v>46.58</v>
      </c>
      <c r="H14" s="64">
        <v>17.93</v>
      </c>
      <c r="I14" s="64">
        <v>0.1</v>
      </c>
      <c r="J14" s="64">
        <v>0.19</v>
      </c>
      <c r="K14" s="64">
        <v>51.53</v>
      </c>
      <c r="L14" s="64">
        <v>14.18</v>
      </c>
      <c r="M14" s="64">
        <v>72.5</v>
      </c>
      <c r="N14" s="64">
        <v>50.3</v>
      </c>
      <c r="O14" s="64">
        <v>0</v>
      </c>
      <c r="P14" s="64">
        <v>1.6</v>
      </c>
      <c r="Q14" s="64">
        <v>9.66</v>
      </c>
      <c r="R14" s="198"/>
      <c r="S14" s="198"/>
      <c r="T14" s="198"/>
      <c r="U14" s="198"/>
    </row>
    <row r="15" spans="1:21" s="12" customFormat="1" x14ac:dyDescent="0.25">
      <c r="A15" s="214" t="s">
        <v>2077</v>
      </c>
      <c r="B15" s="64">
        <v>26.4</v>
      </c>
      <c r="C15" s="64">
        <v>14.51</v>
      </c>
      <c r="D15" s="64">
        <v>28.1</v>
      </c>
      <c r="E15" s="64">
        <v>4.9000000000000004</v>
      </c>
      <c r="F15" s="64">
        <v>2.69</v>
      </c>
      <c r="G15" s="64">
        <v>46.58</v>
      </c>
      <c r="H15" s="64">
        <v>17.93</v>
      </c>
      <c r="I15" s="64">
        <v>0.1</v>
      </c>
      <c r="J15" s="64">
        <v>0.1</v>
      </c>
      <c r="K15" s="64">
        <v>158.62</v>
      </c>
      <c r="L15" s="64">
        <v>14.03</v>
      </c>
      <c r="M15" s="64">
        <v>73</v>
      </c>
      <c r="N15" s="64">
        <v>50.1</v>
      </c>
      <c r="O15" s="64">
        <v>0</v>
      </c>
      <c r="P15" s="64">
        <v>1.54</v>
      </c>
      <c r="Q15" s="64">
        <v>9.6300000000000008</v>
      </c>
      <c r="R15" s="198"/>
      <c r="S15" s="198"/>
      <c r="T15" s="198"/>
      <c r="U15" s="198"/>
    </row>
    <row r="16" spans="1:21" s="12" customFormat="1" x14ac:dyDescent="0.25">
      <c r="A16" s="214" t="s">
        <v>2078</v>
      </c>
      <c r="B16" s="64">
        <v>24.68</v>
      </c>
      <c r="C16" s="64">
        <v>15.17</v>
      </c>
      <c r="D16" s="64">
        <v>27.06</v>
      </c>
      <c r="E16" s="64">
        <v>4.53</v>
      </c>
      <c r="F16" s="64">
        <v>2.46</v>
      </c>
      <c r="G16" s="64">
        <v>41.74</v>
      </c>
      <c r="H16" s="64">
        <v>16.79</v>
      </c>
      <c r="I16" s="64">
        <v>0.1</v>
      </c>
      <c r="J16" s="64">
        <v>0.43</v>
      </c>
      <c r="K16" s="64">
        <v>315.63</v>
      </c>
      <c r="L16" s="64">
        <v>13.94</v>
      </c>
      <c r="M16" s="64">
        <v>72.48</v>
      </c>
      <c r="N16" s="64">
        <v>50.1</v>
      </c>
      <c r="O16" s="64">
        <v>0</v>
      </c>
      <c r="P16" s="64">
        <v>1.49</v>
      </c>
      <c r="Q16" s="64">
        <v>9.6300000000000008</v>
      </c>
      <c r="R16" s="198"/>
      <c r="S16" s="198"/>
      <c r="T16" s="198"/>
      <c r="U16" s="198"/>
    </row>
    <row r="17" spans="1:21" s="12" customFormat="1" x14ac:dyDescent="0.25">
      <c r="A17" s="214" t="s">
        <v>2079</v>
      </c>
      <c r="B17" s="64">
        <v>23.26</v>
      </c>
      <c r="C17" s="64">
        <v>15.74</v>
      </c>
      <c r="D17" s="64">
        <v>26.22</v>
      </c>
      <c r="E17" s="64">
        <v>5</v>
      </c>
      <c r="F17" s="64">
        <v>2.39</v>
      </c>
      <c r="G17" s="64">
        <v>39.78</v>
      </c>
      <c r="H17" s="64">
        <v>16.71</v>
      </c>
      <c r="I17" s="64">
        <v>0.1</v>
      </c>
      <c r="J17" s="64">
        <v>0.02</v>
      </c>
      <c r="K17" s="64">
        <v>184.28</v>
      </c>
      <c r="L17" s="64">
        <v>13.79</v>
      </c>
      <c r="M17" s="64">
        <v>72.77</v>
      </c>
      <c r="N17" s="64">
        <v>50.1</v>
      </c>
      <c r="O17" s="64">
        <v>0</v>
      </c>
      <c r="P17" s="64">
        <v>1.44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4" t="s">
        <v>2080</v>
      </c>
      <c r="B18" s="64">
        <v>21.77</v>
      </c>
      <c r="C18" s="64">
        <v>16.39</v>
      </c>
      <c r="D18" s="64">
        <v>25.36</v>
      </c>
      <c r="E18" s="64">
        <v>4.76</v>
      </c>
      <c r="F18" s="64">
        <v>2.17</v>
      </c>
      <c r="G18" s="64">
        <v>39.78</v>
      </c>
      <c r="H18" s="64">
        <v>16.71</v>
      </c>
      <c r="I18" s="64">
        <v>0.1</v>
      </c>
      <c r="J18" s="64">
        <v>0.47</v>
      </c>
      <c r="K18" s="64">
        <v>63.76</v>
      </c>
      <c r="L18" s="64">
        <v>13.69</v>
      </c>
      <c r="M18" s="64">
        <v>72.819999999999993</v>
      </c>
      <c r="N18" s="64">
        <v>50.2</v>
      </c>
      <c r="O18" s="64">
        <v>0</v>
      </c>
      <c r="P18" s="64">
        <v>1.38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4" t="s">
        <v>2081</v>
      </c>
      <c r="B19" s="64">
        <v>20.399999999999999</v>
      </c>
      <c r="C19" s="64">
        <v>16.899999999999999</v>
      </c>
      <c r="D19" s="64">
        <v>24.54</v>
      </c>
      <c r="E19" s="64">
        <v>4.91</v>
      </c>
      <c r="F19" s="64">
        <v>2.38</v>
      </c>
      <c r="G19" s="64">
        <v>39.78</v>
      </c>
      <c r="H19" s="64">
        <v>16.71</v>
      </c>
      <c r="I19" s="64">
        <v>0.1</v>
      </c>
      <c r="J19" s="64">
        <v>0.06</v>
      </c>
      <c r="K19" s="64">
        <v>33.409999999999997</v>
      </c>
      <c r="L19" s="64">
        <v>13.59</v>
      </c>
      <c r="M19" s="64">
        <v>73.58</v>
      </c>
      <c r="N19" s="64">
        <v>50.1</v>
      </c>
      <c r="O19" s="64">
        <v>0</v>
      </c>
      <c r="P19" s="64">
        <v>1.32</v>
      </c>
      <c r="Q19" s="64">
        <v>9.6300000000000008</v>
      </c>
      <c r="R19" s="198"/>
      <c r="S19" s="198"/>
      <c r="T19" s="198"/>
      <c r="U19" s="198"/>
    </row>
    <row r="20" spans="1:21" s="12" customFormat="1" x14ac:dyDescent="0.25">
      <c r="A20" s="214" t="s">
        <v>2082</v>
      </c>
      <c r="B20" s="64">
        <v>19.03</v>
      </c>
      <c r="C20" s="64">
        <v>17.04</v>
      </c>
      <c r="D20" s="64">
        <v>23.51</v>
      </c>
      <c r="E20" s="64">
        <v>4.84</v>
      </c>
      <c r="F20" s="64">
        <v>2.2400000000000002</v>
      </c>
      <c r="G20" s="64">
        <v>34.369999999999997</v>
      </c>
      <c r="H20" s="64">
        <v>13.94</v>
      </c>
      <c r="I20" s="64">
        <v>0.1</v>
      </c>
      <c r="J20" s="64">
        <v>0.05</v>
      </c>
      <c r="K20" s="64">
        <v>28.75</v>
      </c>
      <c r="L20" s="64">
        <v>13.49</v>
      </c>
      <c r="M20" s="64">
        <v>74.38</v>
      </c>
      <c r="N20" s="64">
        <v>50.2</v>
      </c>
      <c r="O20" s="64">
        <v>0</v>
      </c>
      <c r="P20" s="64">
        <v>1.28</v>
      </c>
      <c r="Q20" s="64">
        <v>9.65</v>
      </c>
      <c r="R20" s="198"/>
      <c r="S20" s="198"/>
      <c r="T20" s="198"/>
      <c r="U20" s="198"/>
    </row>
    <row r="21" spans="1:21" s="12" customFormat="1" x14ac:dyDescent="0.25">
      <c r="A21" s="214" t="s">
        <v>2083</v>
      </c>
      <c r="B21" s="64">
        <v>17.82</v>
      </c>
      <c r="C21" s="64">
        <v>17.670000000000002</v>
      </c>
      <c r="D21" s="64">
        <v>22.87</v>
      </c>
      <c r="E21" s="64">
        <v>4.74</v>
      </c>
      <c r="F21" s="64">
        <v>2.41</v>
      </c>
      <c r="G21" s="64">
        <v>32.17</v>
      </c>
      <c r="H21" s="64">
        <v>13.81</v>
      </c>
      <c r="I21" s="64">
        <v>0.1</v>
      </c>
      <c r="J21" s="64">
        <v>0.25</v>
      </c>
      <c r="K21" s="64">
        <v>306</v>
      </c>
      <c r="L21" s="64">
        <v>13.28</v>
      </c>
      <c r="M21" s="64">
        <v>75.349999999999994</v>
      </c>
      <c r="N21" s="64">
        <v>50.1</v>
      </c>
      <c r="O21" s="64">
        <v>0</v>
      </c>
      <c r="P21" s="64">
        <v>1.26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4" t="s">
        <v>2084</v>
      </c>
      <c r="B22" s="64">
        <v>16.84</v>
      </c>
      <c r="C22" s="64">
        <v>18.29</v>
      </c>
      <c r="D22" s="64">
        <v>22.4</v>
      </c>
      <c r="E22" s="64">
        <v>4.5999999999999996</v>
      </c>
      <c r="F22" s="64">
        <v>2.2999999999999998</v>
      </c>
      <c r="G22" s="64">
        <v>32.17</v>
      </c>
      <c r="H22" s="64">
        <v>13.81</v>
      </c>
      <c r="I22" s="64">
        <v>0.1</v>
      </c>
      <c r="J22" s="64">
        <v>0.2</v>
      </c>
      <c r="K22" s="64">
        <v>354.92</v>
      </c>
      <c r="L22" s="64">
        <v>13.08</v>
      </c>
      <c r="M22" s="64">
        <v>76.53</v>
      </c>
      <c r="N22" s="64">
        <v>50.2</v>
      </c>
      <c r="O22" s="64">
        <v>0</v>
      </c>
      <c r="P22" s="64">
        <v>1.25</v>
      </c>
      <c r="Q22" s="64">
        <v>9.6300000000000008</v>
      </c>
      <c r="R22" s="198"/>
      <c r="S22" s="198"/>
      <c r="T22" s="198"/>
      <c r="U22" s="198"/>
    </row>
    <row r="23" spans="1:21" s="12" customFormat="1" x14ac:dyDescent="0.25">
      <c r="A23" s="214" t="s">
        <v>2085</v>
      </c>
      <c r="B23" s="64">
        <v>15.94</v>
      </c>
      <c r="C23" s="64">
        <v>18.63</v>
      </c>
      <c r="D23" s="64">
        <v>21.87</v>
      </c>
      <c r="E23" s="64">
        <v>4.91</v>
      </c>
      <c r="F23" s="64">
        <v>2.36</v>
      </c>
      <c r="G23" s="64">
        <v>32.17</v>
      </c>
      <c r="H23" s="64">
        <v>13.81</v>
      </c>
      <c r="I23" s="64">
        <v>0.1</v>
      </c>
      <c r="J23" s="64">
        <v>0.41</v>
      </c>
      <c r="K23" s="64">
        <v>107.14</v>
      </c>
      <c r="L23" s="64">
        <v>12.86</v>
      </c>
      <c r="M23" s="64">
        <v>77.900000000000006</v>
      </c>
      <c r="N23" s="64">
        <v>50.2</v>
      </c>
      <c r="O23" s="64">
        <v>0</v>
      </c>
      <c r="P23" s="64">
        <v>1.23</v>
      </c>
      <c r="Q23" s="64">
        <v>9.6199999999999992</v>
      </c>
      <c r="R23" s="198"/>
      <c r="S23" s="198"/>
      <c r="T23" s="198"/>
      <c r="U23" s="198"/>
    </row>
    <row r="24" spans="1:21" s="12" customFormat="1" x14ac:dyDescent="0.25">
      <c r="A24" s="214" t="s">
        <v>2086</v>
      </c>
      <c r="B24" s="64">
        <v>15.06</v>
      </c>
      <c r="C24" s="64">
        <v>19.03</v>
      </c>
      <c r="D24" s="64">
        <v>21.36</v>
      </c>
      <c r="E24" s="64">
        <v>4.76</v>
      </c>
      <c r="F24" s="64">
        <v>2.46</v>
      </c>
      <c r="G24" s="64">
        <v>31.38</v>
      </c>
      <c r="H24" s="64">
        <v>13.16</v>
      </c>
      <c r="I24" s="64">
        <v>0.1</v>
      </c>
      <c r="J24" s="64">
        <v>0.23</v>
      </c>
      <c r="K24" s="64">
        <v>30.49</v>
      </c>
      <c r="L24" s="64">
        <v>12.7</v>
      </c>
      <c r="M24" s="64">
        <v>79.38</v>
      </c>
      <c r="N24" s="64">
        <v>50.2</v>
      </c>
      <c r="O24" s="64">
        <v>0</v>
      </c>
      <c r="P24" s="64">
        <v>1.21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4" t="s">
        <v>2087</v>
      </c>
      <c r="B25" s="64">
        <v>14.52</v>
      </c>
      <c r="C25" s="64">
        <v>19.010000000000002</v>
      </c>
      <c r="D25" s="64">
        <v>20.92</v>
      </c>
      <c r="E25" s="64">
        <v>4.7699999999999996</v>
      </c>
      <c r="F25" s="64">
        <v>2.37</v>
      </c>
      <c r="G25" s="64">
        <v>31.06</v>
      </c>
      <c r="H25" s="64">
        <v>13.13</v>
      </c>
      <c r="I25" s="64">
        <v>0.1</v>
      </c>
      <c r="J25" s="64">
        <v>0.78</v>
      </c>
      <c r="K25" s="64">
        <v>341.82</v>
      </c>
      <c r="L25" s="64">
        <v>12.41</v>
      </c>
      <c r="M25" s="64">
        <v>83.62</v>
      </c>
      <c r="N25" s="64">
        <v>50.4</v>
      </c>
      <c r="O25" s="64">
        <v>0</v>
      </c>
      <c r="P25" s="64">
        <v>1.19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4" t="s">
        <v>2088</v>
      </c>
      <c r="B26" s="64">
        <v>14.6</v>
      </c>
      <c r="C26" s="64">
        <v>18.91</v>
      </c>
      <c r="D26" s="64">
        <v>20.93</v>
      </c>
      <c r="E26" s="64">
        <v>4.43</v>
      </c>
      <c r="F26" s="64">
        <v>2.29</v>
      </c>
      <c r="G26" s="64">
        <v>31.06</v>
      </c>
      <c r="H26" s="64">
        <v>13.13</v>
      </c>
      <c r="I26" s="64">
        <v>0.1</v>
      </c>
      <c r="J26" s="64">
        <v>0.84</v>
      </c>
      <c r="K26" s="64">
        <v>353.94</v>
      </c>
      <c r="L26" s="64">
        <v>12.39</v>
      </c>
      <c r="M26" s="64">
        <v>84.16</v>
      </c>
      <c r="N26" s="64">
        <v>49.8</v>
      </c>
      <c r="O26" s="64">
        <v>0</v>
      </c>
      <c r="P26" s="64">
        <v>1.1599999999999999</v>
      </c>
      <c r="Q26" s="64">
        <v>9.6300000000000008</v>
      </c>
      <c r="R26" s="198"/>
      <c r="S26" s="198"/>
      <c r="T26" s="198"/>
      <c r="U26" s="198"/>
    </row>
    <row r="27" spans="1:21" s="12" customFormat="1" x14ac:dyDescent="0.25">
      <c r="A27" s="214" t="s">
        <v>2089</v>
      </c>
      <c r="B27" s="64">
        <v>14.26</v>
      </c>
      <c r="C27" s="64">
        <v>19.079999999999998</v>
      </c>
      <c r="D27" s="64">
        <v>20.75</v>
      </c>
      <c r="E27" s="64">
        <v>4.5</v>
      </c>
      <c r="F27" s="64">
        <v>2.27</v>
      </c>
      <c r="G27" s="64">
        <v>31.06</v>
      </c>
      <c r="H27" s="64">
        <v>13.13</v>
      </c>
      <c r="I27" s="64">
        <v>0.1</v>
      </c>
      <c r="J27" s="64">
        <v>0.66</v>
      </c>
      <c r="K27" s="64">
        <v>346.31</v>
      </c>
      <c r="L27" s="64">
        <v>12.49</v>
      </c>
      <c r="M27" s="64">
        <v>83.23</v>
      </c>
      <c r="N27" s="64">
        <v>49.9</v>
      </c>
      <c r="O27" s="64">
        <v>0</v>
      </c>
      <c r="P27" s="64">
        <v>1.1299999999999999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4" t="s">
        <v>2090</v>
      </c>
      <c r="B28" s="64">
        <v>13.88</v>
      </c>
      <c r="C28" s="64">
        <v>19.12</v>
      </c>
      <c r="D28" s="64">
        <v>20.47</v>
      </c>
      <c r="E28" s="64">
        <v>4.71</v>
      </c>
      <c r="F28" s="64">
        <v>2.38</v>
      </c>
      <c r="G28" s="64">
        <v>31.79</v>
      </c>
      <c r="H28" s="64">
        <v>12.64</v>
      </c>
      <c r="I28" s="64">
        <v>0.1</v>
      </c>
      <c r="J28" s="64">
        <v>0.74</v>
      </c>
      <c r="K28" s="64">
        <v>357.15</v>
      </c>
      <c r="L28" s="64">
        <v>12.4</v>
      </c>
      <c r="M28" s="64">
        <v>84.26</v>
      </c>
      <c r="N28" s="64">
        <v>50</v>
      </c>
      <c r="O28" s="64">
        <v>0</v>
      </c>
      <c r="P28" s="64">
        <v>1.08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4" t="s">
        <v>2091</v>
      </c>
      <c r="B29" s="64">
        <v>13.5</v>
      </c>
      <c r="C29" s="64">
        <v>19.100000000000001</v>
      </c>
      <c r="D29" s="64">
        <v>20.16</v>
      </c>
      <c r="E29" s="64">
        <v>4.71</v>
      </c>
      <c r="F29" s="64">
        <v>2.37</v>
      </c>
      <c r="G29" s="64">
        <v>32.07</v>
      </c>
      <c r="H29" s="64">
        <v>12.62</v>
      </c>
      <c r="I29" s="64">
        <v>0.1</v>
      </c>
      <c r="J29" s="64">
        <v>1.1200000000000001</v>
      </c>
      <c r="K29" s="64">
        <v>349.97</v>
      </c>
      <c r="L29" s="64">
        <v>12.42</v>
      </c>
      <c r="M29" s="64">
        <v>84.22</v>
      </c>
      <c r="N29" s="64">
        <v>50</v>
      </c>
      <c r="O29" s="64">
        <v>0</v>
      </c>
      <c r="P29" s="64">
        <v>1.03</v>
      </c>
      <c r="Q29" s="64">
        <v>9.61</v>
      </c>
      <c r="R29" s="198"/>
      <c r="S29" s="198"/>
      <c r="T29" s="198"/>
      <c r="U29" s="198"/>
    </row>
    <row r="30" spans="1:21" s="12" customFormat="1" x14ac:dyDescent="0.25">
      <c r="A30" s="214" t="s">
        <v>2092</v>
      </c>
      <c r="B30" s="64">
        <v>13.17</v>
      </c>
      <c r="C30" s="64">
        <v>19.22</v>
      </c>
      <c r="D30" s="64">
        <v>19.96</v>
      </c>
      <c r="E30" s="64">
        <v>4.62</v>
      </c>
      <c r="F30" s="64">
        <v>2.72</v>
      </c>
      <c r="G30" s="64">
        <v>32.07</v>
      </c>
      <c r="H30" s="64">
        <v>12.62</v>
      </c>
      <c r="I30" s="64">
        <v>0.1</v>
      </c>
      <c r="J30" s="64">
        <v>0.86</v>
      </c>
      <c r="K30" s="64">
        <v>341.9</v>
      </c>
      <c r="L30" s="64">
        <v>12.18</v>
      </c>
      <c r="M30" s="64">
        <v>87.02</v>
      </c>
      <c r="N30" s="64">
        <v>50.5</v>
      </c>
      <c r="O30" s="64">
        <v>0</v>
      </c>
      <c r="P30" s="64">
        <v>0.98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4" t="s">
        <v>2093</v>
      </c>
      <c r="B31" s="64">
        <v>13.02</v>
      </c>
      <c r="C31" s="64">
        <v>19.34</v>
      </c>
      <c r="D31" s="64">
        <v>19.89</v>
      </c>
      <c r="E31" s="64">
        <v>4.79</v>
      </c>
      <c r="F31" s="64">
        <v>2.69</v>
      </c>
      <c r="G31" s="64">
        <v>32.07</v>
      </c>
      <c r="H31" s="64">
        <v>12.62</v>
      </c>
      <c r="I31" s="64">
        <v>0.1</v>
      </c>
      <c r="J31" s="64">
        <v>0.99</v>
      </c>
      <c r="K31" s="64">
        <v>348.87</v>
      </c>
      <c r="L31" s="64">
        <v>11.89</v>
      </c>
      <c r="M31" s="64">
        <v>92.77</v>
      </c>
      <c r="N31" s="64">
        <v>49.9</v>
      </c>
      <c r="O31" s="64">
        <v>0</v>
      </c>
      <c r="P31" s="64">
        <v>0.95</v>
      </c>
      <c r="Q31" s="64">
        <v>9.6</v>
      </c>
      <c r="R31" s="198"/>
      <c r="S31" s="198"/>
      <c r="T31" s="198"/>
      <c r="U31" s="198"/>
    </row>
    <row r="32" spans="1:21" s="12" customFormat="1" x14ac:dyDescent="0.25">
      <c r="A32" s="214" t="s">
        <v>2094</v>
      </c>
      <c r="B32" s="64">
        <v>13.36</v>
      </c>
      <c r="C32" s="64">
        <v>19.329999999999998</v>
      </c>
      <c r="D32" s="64">
        <v>20.16</v>
      </c>
      <c r="E32" s="64">
        <v>4.51</v>
      </c>
      <c r="F32" s="64">
        <v>2.42</v>
      </c>
      <c r="G32" s="64">
        <v>34.01</v>
      </c>
      <c r="H32" s="64">
        <v>13.4</v>
      </c>
      <c r="I32" s="64">
        <v>0.1</v>
      </c>
      <c r="J32" s="64">
        <v>0.68</v>
      </c>
      <c r="K32" s="64">
        <v>347.53</v>
      </c>
      <c r="L32" s="64">
        <v>11.82</v>
      </c>
      <c r="M32" s="64">
        <v>94.2</v>
      </c>
      <c r="N32" s="64">
        <v>50.3</v>
      </c>
      <c r="O32" s="64">
        <v>0</v>
      </c>
      <c r="P32" s="64">
        <v>0.95</v>
      </c>
      <c r="Q32" s="64">
        <v>9.61</v>
      </c>
      <c r="R32" s="198"/>
      <c r="S32" s="198"/>
      <c r="T32" s="198"/>
      <c r="U32" s="198"/>
    </row>
    <row r="33" spans="1:21" s="12" customFormat="1" x14ac:dyDescent="0.25">
      <c r="A33" s="214" t="s">
        <v>2095</v>
      </c>
      <c r="B33" s="64">
        <v>14.13</v>
      </c>
      <c r="C33" s="64">
        <v>19.100000000000001</v>
      </c>
      <c r="D33" s="64">
        <v>20.65</v>
      </c>
      <c r="E33" s="64">
        <v>5.03</v>
      </c>
      <c r="F33" s="64">
        <v>2.4300000000000002</v>
      </c>
      <c r="G33" s="64">
        <v>34.75</v>
      </c>
      <c r="H33" s="64">
        <v>13.46</v>
      </c>
      <c r="I33" s="64">
        <v>0.1</v>
      </c>
      <c r="J33" s="64">
        <v>1.04</v>
      </c>
      <c r="K33" s="64">
        <v>350.86</v>
      </c>
      <c r="L33" s="64">
        <v>11.86</v>
      </c>
      <c r="M33" s="64">
        <v>94.42</v>
      </c>
      <c r="N33" s="64">
        <v>50.1</v>
      </c>
      <c r="O33" s="64">
        <v>0</v>
      </c>
      <c r="P33" s="64">
        <v>0.99</v>
      </c>
      <c r="Q33" s="64">
        <v>9.6</v>
      </c>
      <c r="R33" s="198"/>
      <c r="S33" s="198"/>
      <c r="T33" s="198"/>
      <c r="U33" s="198"/>
    </row>
    <row r="34" spans="1:21" s="12" customFormat="1" x14ac:dyDescent="0.25">
      <c r="A34" s="214" t="s">
        <v>2096</v>
      </c>
      <c r="B34" s="64">
        <v>15.43</v>
      </c>
      <c r="C34" s="64">
        <v>18.55</v>
      </c>
      <c r="D34" s="64">
        <v>21.41</v>
      </c>
      <c r="E34" s="64">
        <v>4.71</v>
      </c>
      <c r="F34" s="64">
        <v>2.54</v>
      </c>
      <c r="G34" s="64">
        <v>34.75</v>
      </c>
      <c r="H34" s="64">
        <v>13.46</v>
      </c>
      <c r="I34" s="64">
        <v>0.1</v>
      </c>
      <c r="J34" s="64">
        <v>0.81</v>
      </c>
      <c r="K34" s="64">
        <v>0.23</v>
      </c>
      <c r="L34" s="64">
        <v>11.74</v>
      </c>
      <c r="M34" s="64">
        <v>96.02</v>
      </c>
      <c r="N34" s="64">
        <v>51.6</v>
      </c>
      <c r="O34" s="64">
        <v>0</v>
      </c>
      <c r="P34" s="64">
        <v>1.03</v>
      </c>
      <c r="Q34" s="64">
        <v>9.6199999999999992</v>
      </c>
      <c r="R34" s="198"/>
      <c r="S34" s="198"/>
      <c r="T34" s="198"/>
      <c r="U34" s="198"/>
    </row>
    <row r="35" spans="1:21" s="12" customFormat="1" x14ac:dyDescent="0.25">
      <c r="A35" s="214" t="s">
        <v>2097</v>
      </c>
      <c r="B35" s="64">
        <v>16.86</v>
      </c>
      <c r="C35" s="64">
        <v>17.940000000000001</v>
      </c>
      <c r="D35" s="64">
        <v>22.24</v>
      </c>
      <c r="E35" s="64">
        <v>5.04</v>
      </c>
      <c r="F35" s="64">
        <v>2.65</v>
      </c>
      <c r="G35" s="64">
        <v>34.75</v>
      </c>
      <c r="H35" s="64">
        <v>13.46</v>
      </c>
      <c r="I35" s="64">
        <v>0.1</v>
      </c>
      <c r="J35" s="64">
        <v>1</v>
      </c>
      <c r="K35" s="64">
        <v>340.94</v>
      </c>
      <c r="L35" s="64">
        <v>11.76</v>
      </c>
      <c r="M35" s="64">
        <v>97.11</v>
      </c>
      <c r="N35" s="64">
        <v>55.9</v>
      </c>
      <c r="O35" s="64">
        <v>0</v>
      </c>
      <c r="P35" s="64">
        <v>1.07</v>
      </c>
      <c r="Q35" s="64">
        <v>9.6199999999999992</v>
      </c>
      <c r="R35" s="198"/>
      <c r="S35" s="198"/>
      <c r="T35" s="198"/>
      <c r="U35" s="198"/>
    </row>
    <row r="36" spans="1:21" s="12" customFormat="1" x14ac:dyDescent="0.25">
      <c r="A36" s="214" t="s">
        <v>2098</v>
      </c>
      <c r="B36" s="64">
        <v>17.940000000000001</v>
      </c>
      <c r="C36" s="64">
        <v>17.489999999999998</v>
      </c>
      <c r="D36" s="64">
        <v>22.87</v>
      </c>
      <c r="E36" s="64">
        <v>4.88</v>
      </c>
      <c r="F36" s="64">
        <v>2.27</v>
      </c>
      <c r="G36" s="64">
        <v>41.34</v>
      </c>
      <c r="H36" s="64">
        <v>16.600000000000001</v>
      </c>
      <c r="I36" s="64">
        <v>0.1</v>
      </c>
      <c r="J36" s="64">
        <v>0.46</v>
      </c>
      <c r="K36" s="64">
        <v>311.02999999999997</v>
      </c>
      <c r="L36" s="64">
        <v>11.98</v>
      </c>
      <c r="M36" s="64">
        <v>96.75</v>
      </c>
      <c r="N36" s="64">
        <v>66.3</v>
      </c>
      <c r="O36" s="64">
        <v>0</v>
      </c>
      <c r="P36" s="64">
        <v>1.1200000000000001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4" t="s">
        <v>2099</v>
      </c>
      <c r="B37" s="64">
        <v>19.18</v>
      </c>
      <c r="C37" s="64">
        <v>16.91</v>
      </c>
      <c r="D37" s="64">
        <v>23.56</v>
      </c>
      <c r="E37" s="64">
        <v>4.88</v>
      </c>
      <c r="F37" s="64">
        <v>2.14</v>
      </c>
      <c r="G37" s="64">
        <v>43.88</v>
      </c>
      <c r="H37" s="64">
        <v>16.75</v>
      </c>
      <c r="I37" s="64">
        <v>0.1</v>
      </c>
      <c r="J37" s="64">
        <v>0.86</v>
      </c>
      <c r="K37" s="64">
        <v>336.74</v>
      </c>
      <c r="L37" s="64">
        <v>12.25</v>
      </c>
      <c r="M37" s="64">
        <v>95.5</v>
      </c>
      <c r="N37" s="64">
        <v>79.5</v>
      </c>
      <c r="O37" s="64">
        <v>0</v>
      </c>
      <c r="P37" s="64">
        <v>1.17</v>
      </c>
      <c r="Q37" s="64">
        <v>9.6199999999999992</v>
      </c>
      <c r="R37" s="198"/>
      <c r="S37" s="198"/>
      <c r="T37" s="198"/>
      <c r="U37" s="198"/>
    </row>
    <row r="38" spans="1:21" s="12" customFormat="1" x14ac:dyDescent="0.25">
      <c r="A38" s="214" t="s">
        <v>2100</v>
      </c>
      <c r="B38" s="64">
        <v>20.72</v>
      </c>
      <c r="C38" s="64">
        <v>15.74</v>
      </c>
      <c r="D38" s="64">
        <v>24.18</v>
      </c>
      <c r="E38" s="64">
        <v>4.84</v>
      </c>
      <c r="F38" s="64">
        <v>2.1800000000000002</v>
      </c>
      <c r="G38" s="64">
        <v>43.88</v>
      </c>
      <c r="H38" s="64">
        <v>16.75</v>
      </c>
      <c r="I38" s="64">
        <v>0.1</v>
      </c>
      <c r="J38" s="64">
        <v>0.89</v>
      </c>
      <c r="K38" s="64">
        <v>332.15</v>
      </c>
      <c r="L38" s="64">
        <v>12.87</v>
      </c>
      <c r="M38" s="64">
        <v>91.51</v>
      </c>
      <c r="N38" s="64">
        <v>95.2</v>
      </c>
      <c r="O38" s="64">
        <v>0</v>
      </c>
      <c r="P38" s="64">
        <v>1.28</v>
      </c>
      <c r="Q38" s="64">
        <v>9.6300000000000008</v>
      </c>
      <c r="R38" s="198"/>
      <c r="S38" s="198"/>
      <c r="T38" s="198"/>
      <c r="U38" s="198"/>
    </row>
    <row r="39" spans="1:21" s="12" customFormat="1" x14ac:dyDescent="0.25">
      <c r="A39" s="214" t="s">
        <v>2101</v>
      </c>
      <c r="B39" s="64">
        <v>22.04</v>
      </c>
      <c r="C39" s="64">
        <v>15.53</v>
      </c>
      <c r="D39" s="64">
        <v>25.13</v>
      </c>
      <c r="E39" s="64">
        <v>4.47</v>
      </c>
      <c r="F39" s="64">
        <v>2.2400000000000002</v>
      </c>
      <c r="G39" s="64">
        <v>43.88</v>
      </c>
      <c r="H39" s="64">
        <v>16.75</v>
      </c>
      <c r="I39" s="64">
        <v>0.1</v>
      </c>
      <c r="J39" s="64">
        <v>0.53</v>
      </c>
      <c r="K39" s="64">
        <v>102.46</v>
      </c>
      <c r="L39" s="64">
        <v>13.39</v>
      </c>
      <c r="M39" s="64">
        <v>87.05</v>
      </c>
      <c r="N39" s="64">
        <v>146.6</v>
      </c>
      <c r="O39" s="64">
        <v>0</v>
      </c>
      <c r="P39" s="64">
        <v>1.33</v>
      </c>
      <c r="Q39" s="64">
        <v>9.6300000000000008</v>
      </c>
      <c r="R39" s="198"/>
      <c r="S39" s="198"/>
      <c r="T39" s="198"/>
      <c r="U39" s="198"/>
    </row>
    <row r="40" spans="1:21" s="12" customFormat="1" x14ac:dyDescent="0.25">
      <c r="A40" s="214" t="s">
        <v>2102</v>
      </c>
      <c r="B40" s="64">
        <v>22.52</v>
      </c>
      <c r="C40" s="64">
        <v>15.45</v>
      </c>
      <c r="D40" s="64">
        <v>25.48</v>
      </c>
      <c r="E40" s="64">
        <v>4.63</v>
      </c>
      <c r="F40" s="64">
        <v>2.1800000000000002</v>
      </c>
      <c r="G40" s="64">
        <v>51.98</v>
      </c>
      <c r="H40" s="64">
        <v>20.56</v>
      </c>
      <c r="I40" s="64">
        <v>0.1</v>
      </c>
      <c r="J40" s="64">
        <v>0.4</v>
      </c>
      <c r="K40" s="64">
        <v>118.47</v>
      </c>
      <c r="L40" s="64">
        <v>14.44</v>
      </c>
      <c r="M40" s="64">
        <v>81.17</v>
      </c>
      <c r="N40" s="64">
        <v>199.3</v>
      </c>
      <c r="O40" s="64">
        <v>0</v>
      </c>
      <c r="P40" s="64">
        <v>1.37</v>
      </c>
      <c r="Q40" s="64">
        <v>9.6199999999999992</v>
      </c>
      <c r="R40" s="198"/>
      <c r="S40" s="198"/>
      <c r="T40" s="198"/>
      <c r="U40" s="198"/>
    </row>
    <row r="41" spans="1:21" s="12" customFormat="1" x14ac:dyDescent="0.25">
      <c r="A41" s="214" t="s">
        <v>2103</v>
      </c>
      <c r="B41" s="64">
        <v>22.84</v>
      </c>
      <c r="C41" s="64">
        <v>15.38</v>
      </c>
      <c r="D41" s="64">
        <v>25.7</v>
      </c>
      <c r="E41" s="64">
        <v>4.5</v>
      </c>
      <c r="F41" s="64">
        <v>2.2799999999999998</v>
      </c>
      <c r="G41" s="64">
        <v>55.09</v>
      </c>
      <c r="H41" s="64">
        <v>20.74</v>
      </c>
      <c r="I41" s="64">
        <v>0.1</v>
      </c>
      <c r="J41" s="64">
        <v>0.28000000000000003</v>
      </c>
      <c r="K41" s="64">
        <v>113.12</v>
      </c>
      <c r="L41" s="64">
        <v>16.32</v>
      </c>
      <c r="M41" s="64">
        <v>71.709999999999994</v>
      </c>
      <c r="N41" s="64">
        <v>244.1</v>
      </c>
      <c r="O41" s="64">
        <v>0</v>
      </c>
      <c r="P41" s="64">
        <v>1.39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4" t="s">
        <v>2104</v>
      </c>
      <c r="B42" s="64">
        <v>22.95</v>
      </c>
      <c r="C42" s="64">
        <v>15.28</v>
      </c>
      <c r="D42" s="64">
        <v>25.74</v>
      </c>
      <c r="E42" s="64">
        <v>4.68</v>
      </c>
      <c r="F42" s="64">
        <v>2.4</v>
      </c>
      <c r="G42" s="64">
        <v>55.09</v>
      </c>
      <c r="H42" s="64">
        <v>20.74</v>
      </c>
      <c r="I42" s="64">
        <v>0.1</v>
      </c>
      <c r="J42" s="64">
        <v>0.69</v>
      </c>
      <c r="K42" s="64">
        <v>110.19</v>
      </c>
      <c r="L42" s="64">
        <v>16.64</v>
      </c>
      <c r="M42" s="64">
        <v>69.540000000000006</v>
      </c>
      <c r="N42" s="64">
        <v>286.3</v>
      </c>
      <c r="O42" s="64">
        <v>0</v>
      </c>
      <c r="P42" s="64">
        <v>1.38</v>
      </c>
      <c r="Q42" s="64">
        <v>9.64</v>
      </c>
      <c r="R42" s="198"/>
      <c r="S42" s="198"/>
      <c r="T42" s="198"/>
      <c r="U42" s="198"/>
    </row>
    <row r="43" spans="1:21" s="12" customFormat="1" x14ac:dyDescent="0.25">
      <c r="A43" s="214" t="s">
        <v>2105</v>
      </c>
      <c r="B43" s="64">
        <v>22.74</v>
      </c>
      <c r="C43" s="64">
        <v>15.43</v>
      </c>
      <c r="D43" s="64">
        <v>25.64</v>
      </c>
      <c r="E43" s="64">
        <v>4.76</v>
      </c>
      <c r="F43" s="64">
        <v>2.4500000000000002</v>
      </c>
      <c r="G43" s="64">
        <v>55.09</v>
      </c>
      <c r="H43" s="64">
        <v>20.74</v>
      </c>
      <c r="I43" s="64">
        <v>0.1</v>
      </c>
      <c r="J43" s="64">
        <v>1.7</v>
      </c>
      <c r="K43" s="64">
        <v>126.45</v>
      </c>
      <c r="L43" s="64">
        <v>17.100000000000001</v>
      </c>
      <c r="M43" s="64">
        <v>67.349999999999994</v>
      </c>
      <c r="N43" s="64">
        <v>319.8</v>
      </c>
      <c r="O43" s="64">
        <v>0</v>
      </c>
      <c r="P43" s="64">
        <v>1.37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4" t="s">
        <v>2106</v>
      </c>
      <c r="B44" s="64">
        <v>22.31</v>
      </c>
      <c r="C44" s="64">
        <v>15.62</v>
      </c>
      <c r="D44" s="64">
        <v>25.4</v>
      </c>
      <c r="E44" s="64">
        <v>4.8499999999999996</v>
      </c>
      <c r="F44" s="64">
        <v>2.3199999999999998</v>
      </c>
      <c r="G44" s="64">
        <v>53.38</v>
      </c>
      <c r="H44" s="64">
        <v>19.23</v>
      </c>
      <c r="I44" s="64">
        <v>0.1</v>
      </c>
      <c r="J44" s="64">
        <v>1.74</v>
      </c>
      <c r="K44" s="64">
        <v>125.25</v>
      </c>
      <c r="L44" s="64">
        <v>16.97</v>
      </c>
      <c r="M44" s="64">
        <v>68.64</v>
      </c>
      <c r="N44" s="64">
        <v>351</v>
      </c>
      <c r="O44" s="64">
        <v>0</v>
      </c>
      <c r="P44" s="64">
        <v>1.35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4" t="s">
        <v>2107</v>
      </c>
      <c r="B45" s="64">
        <v>21.7</v>
      </c>
      <c r="C45" s="64">
        <v>15.73</v>
      </c>
      <c r="D45" s="64">
        <v>24.97</v>
      </c>
      <c r="E45" s="64">
        <v>4.66</v>
      </c>
      <c r="F45" s="64">
        <v>2.63</v>
      </c>
      <c r="G45" s="64">
        <v>52.72</v>
      </c>
      <c r="H45" s="64">
        <v>19.16</v>
      </c>
      <c r="I45" s="64">
        <v>0.1</v>
      </c>
      <c r="J45" s="64">
        <v>1.01</v>
      </c>
      <c r="K45" s="64">
        <v>120.26</v>
      </c>
      <c r="L45" s="64">
        <v>17.89</v>
      </c>
      <c r="M45" s="64">
        <v>63.97</v>
      </c>
      <c r="N45" s="64">
        <v>380.1</v>
      </c>
      <c r="O45" s="64">
        <v>0</v>
      </c>
      <c r="P45" s="64">
        <v>1.32</v>
      </c>
      <c r="Q45" s="64">
        <v>9.6199999999999992</v>
      </c>
      <c r="R45" s="198"/>
      <c r="S45" s="198"/>
      <c r="T45" s="198"/>
      <c r="U45" s="198"/>
    </row>
    <row r="46" spans="1:21" s="12" customFormat="1" x14ac:dyDescent="0.25">
      <c r="A46" s="214" t="s">
        <v>2108</v>
      </c>
      <c r="B46" s="64">
        <v>21.05</v>
      </c>
      <c r="C46" s="64">
        <v>15.95</v>
      </c>
      <c r="D46" s="64">
        <v>24.56</v>
      </c>
      <c r="E46" s="64">
        <v>4.78</v>
      </c>
      <c r="F46" s="64">
        <v>2.65</v>
      </c>
      <c r="G46" s="64">
        <v>52.72</v>
      </c>
      <c r="H46" s="64">
        <v>19.16</v>
      </c>
      <c r="I46" s="64">
        <v>0.1</v>
      </c>
      <c r="J46" s="64">
        <v>1.86</v>
      </c>
      <c r="K46" s="64">
        <v>124.21</v>
      </c>
      <c r="L46" s="64">
        <v>18.73</v>
      </c>
      <c r="M46" s="64">
        <v>59.81</v>
      </c>
      <c r="N46" s="64">
        <v>404.8</v>
      </c>
      <c r="O46" s="64">
        <v>0</v>
      </c>
      <c r="P46" s="64">
        <v>1.28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4" t="s">
        <v>2109</v>
      </c>
      <c r="B47" s="64">
        <v>20.46</v>
      </c>
      <c r="C47" s="64">
        <v>16.670000000000002</v>
      </c>
      <c r="D47" s="64">
        <v>24.46</v>
      </c>
      <c r="E47" s="64">
        <v>5.03</v>
      </c>
      <c r="F47" s="64">
        <v>2.57</v>
      </c>
      <c r="G47" s="64">
        <v>52.72</v>
      </c>
      <c r="H47" s="64">
        <v>19.16</v>
      </c>
      <c r="I47" s="64">
        <v>0.1</v>
      </c>
      <c r="J47" s="64">
        <v>1.92</v>
      </c>
      <c r="K47" s="64">
        <v>124.07</v>
      </c>
      <c r="L47" s="64">
        <v>18.59</v>
      </c>
      <c r="M47" s="64">
        <v>60.34</v>
      </c>
      <c r="N47" s="64">
        <v>426</v>
      </c>
      <c r="O47" s="64">
        <v>0</v>
      </c>
      <c r="P47" s="64">
        <v>1.22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4" t="s">
        <v>2110</v>
      </c>
      <c r="B48" s="64">
        <v>20.100000000000001</v>
      </c>
      <c r="C48" s="64">
        <v>17.309999999999999</v>
      </c>
      <c r="D48" s="64">
        <v>24.51</v>
      </c>
      <c r="E48" s="64">
        <v>5.01</v>
      </c>
      <c r="F48" s="64">
        <v>2.61</v>
      </c>
      <c r="G48" s="64">
        <v>49.68</v>
      </c>
      <c r="H48" s="64">
        <v>17.440000000000001</v>
      </c>
      <c r="I48" s="64">
        <v>0.1</v>
      </c>
      <c r="J48" s="64">
        <v>1.92</v>
      </c>
      <c r="K48" s="64">
        <v>122.12</v>
      </c>
      <c r="L48" s="64">
        <v>18.850000000000001</v>
      </c>
      <c r="M48" s="64">
        <v>58.78</v>
      </c>
      <c r="N48" s="64">
        <v>460</v>
      </c>
      <c r="O48" s="64">
        <v>0</v>
      </c>
      <c r="P48" s="64">
        <v>1.19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4" t="s">
        <v>2111</v>
      </c>
      <c r="B49" s="64">
        <v>19.809999999999999</v>
      </c>
      <c r="C49" s="64">
        <v>17.760000000000002</v>
      </c>
      <c r="D49" s="64">
        <v>24.51</v>
      </c>
      <c r="E49" s="64">
        <v>4.9800000000000004</v>
      </c>
      <c r="F49" s="64">
        <v>2.52</v>
      </c>
      <c r="G49" s="64">
        <v>48.52</v>
      </c>
      <c r="H49" s="64">
        <v>17.32</v>
      </c>
      <c r="I49" s="64">
        <v>0.1</v>
      </c>
      <c r="J49" s="64">
        <v>0.83</v>
      </c>
      <c r="K49" s="64">
        <v>133.44999999999999</v>
      </c>
      <c r="L49" s="64">
        <v>20.84</v>
      </c>
      <c r="M49" s="64">
        <v>50.59</v>
      </c>
      <c r="N49" s="64">
        <v>466.7</v>
      </c>
      <c r="O49" s="64">
        <v>0</v>
      </c>
      <c r="P49" s="64">
        <v>1.17</v>
      </c>
      <c r="Q49" s="64">
        <v>9.6199999999999992</v>
      </c>
      <c r="R49" s="198"/>
      <c r="S49" s="198"/>
      <c r="T49" s="198"/>
      <c r="U49" s="198"/>
    </row>
    <row r="50" spans="1:21" s="12" customFormat="1" x14ac:dyDescent="0.25">
      <c r="A50" s="214" t="s">
        <v>2112</v>
      </c>
      <c r="B50" s="64">
        <v>19.45</v>
      </c>
      <c r="C50" s="64">
        <v>18.43</v>
      </c>
      <c r="D50" s="64">
        <v>24.57</v>
      </c>
      <c r="E50" s="64">
        <v>4.7</v>
      </c>
      <c r="F50" s="64">
        <v>2.4</v>
      </c>
      <c r="G50" s="64">
        <v>48.52</v>
      </c>
      <c r="H50" s="64">
        <v>17.32</v>
      </c>
      <c r="I50" s="64">
        <v>0.1</v>
      </c>
      <c r="J50" s="64">
        <v>0.34</v>
      </c>
      <c r="K50" s="64">
        <v>19.489999999999998</v>
      </c>
      <c r="L50" s="64">
        <v>22.15</v>
      </c>
      <c r="M50" s="64">
        <v>46.93</v>
      </c>
      <c r="N50" s="64">
        <v>469</v>
      </c>
      <c r="O50" s="64">
        <v>0</v>
      </c>
      <c r="P50" s="64">
        <v>1.1399999999999999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4" t="s">
        <v>2113</v>
      </c>
      <c r="B51" s="64">
        <v>19.05</v>
      </c>
      <c r="C51" s="64">
        <v>19.2</v>
      </c>
      <c r="D51" s="64">
        <v>24.65</v>
      </c>
      <c r="E51" s="64">
        <v>4.82</v>
      </c>
      <c r="F51" s="64">
        <v>2.54</v>
      </c>
      <c r="G51" s="64">
        <v>48.52</v>
      </c>
      <c r="H51" s="64">
        <v>17.32</v>
      </c>
      <c r="I51" s="64">
        <v>0.1</v>
      </c>
      <c r="J51" s="64">
        <v>0.97</v>
      </c>
      <c r="K51" s="64">
        <v>336.03</v>
      </c>
      <c r="L51" s="64">
        <v>25.2</v>
      </c>
      <c r="M51" s="64">
        <v>37.86</v>
      </c>
      <c r="N51" s="64">
        <v>486.6</v>
      </c>
      <c r="O51" s="64">
        <v>0</v>
      </c>
      <c r="P51" s="64">
        <v>1.1399999999999999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4" t="s">
        <v>2114</v>
      </c>
      <c r="B52" s="64">
        <v>18.71</v>
      </c>
      <c r="C52" s="64">
        <v>19.95</v>
      </c>
      <c r="D52" s="64">
        <v>24.77</v>
      </c>
      <c r="E52" s="64">
        <v>4.9400000000000004</v>
      </c>
      <c r="F52" s="64">
        <v>2.46</v>
      </c>
      <c r="G52" s="64">
        <v>46.01</v>
      </c>
      <c r="H52" s="64">
        <v>15.83</v>
      </c>
      <c r="I52" s="64">
        <v>0.1</v>
      </c>
      <c r="J52" s="64">
        <v>1.3</v>
      </c>
      <c r="K52" s="64">
        <v>319.69</v>
      </c>
      <c r="L52" s="64">
        <v>26.28</v>
      </c>
      <c r="M52" s="64">
        <v>34.799999999999997</v>
      </c>
      <c r="N52" s="64">
        <v>483.9</v>
      </c>
      <c r="O52" s="64">
        <v>0</v>
      </c>
      <c r="P52" s="64">
        <v>1.1499999999999999</v>
      </c>
      <c r="Q52" s="64">
        <v>9.6300000000000008</v>
      </c>
      <c r="R52" s="198"/>
      <c r="S52" s="198"/>
      <c r="T52" s="198"/>
      <c r="U52" s="198"/>
    </row>
    <row r="53" spans="1:21" s="12" customFormat="1" x14ac:dyDescent="0.25">
      <c r="A53" s="214" t="s">
        <v>2115</v>
      </c>
      <c r="B53" s="64">
        <v>18.190000000000001</v>
      </c>
      <c r="C53" s="64">
        <v>20.9</v>
      </c>
      <c r="D53" s="64">
        <v>24.86</v>
      </c>
      <c r="E53" s="64">
        <v>4.71</v>
      </c>
      <c r="F53" s="64">
        <v>2.4</v>
      </c>
      <c r="G53" s="64">
        <v>45.05</v>
      </c>
      <c r="H53" s="64">
        <v>15.76</v>
      </c>
      <c r="I53" s="64">
        <v>0.1</v>
      </c>
      <c r="J53" s="64">
        <v>1.1399999999999999</v>
      </c>
      <c r="K53" s="64">
        <v>322.72000000000003</v>
      </c>
      <c r="L53" s="64">
        <v>27.04</v>
      </c>
      <c r="M53" s="64">
        <v>32.340000000000003</v>
      </c>
      <c r="N53" s="64">
        <v>472.2</v>
      </c>
      <c r="O53" s="64">
        <v>0</v>
      </c>
      <c r="P53" s="64">
        <v>1.1399999999999999</v>
      </c>
      <c r="Q53" s="64">
        <v>9.6300000000000008</v>
      </c>
      <c r="R53" s="198"/>
      <c r="S53" s="198"/>
      <c r="T53" s="198"/>
      <c r="U53" s="198"/>
    </row>
    <row r="54" spans="1:21" s="12" customFormat="1" x14ac:dyDescent="0.25">
      <c r="A54" s="214" t="s">
        <v>2116</v>
      </c>
      <c r="B54" s="64">
        <v>17.23</v>
      </c>
      <c r="C54" s="64">
        <v>22.13</v>
      </c>
      <c r="D54" s="64">
        <v>24.73</v>
      </c>
      <c r="E54" s="64">
        <v>4.78</v>
      </c>
      <c r="F54" s="64">
        <v>2.38</v>
      </c>
      <c r="G54" s="64">
        <v>45.05</v>
      </c>
      <c r="H54" s="64">
        <v>15.76</v>
      </c>
      <c r="I54" s="64">
        <v>0.1</v>
      </c>
      <c r="J54" s="64">
        <v>1.1299999999999999</v>
      </c>
      <c r="K54" s="64">
        <v>317.41000000000003</v>
      </c>
      <c r="L54" s="64">
        <v>27.54</v>
      </c>
      <c r="M54" s="64">
        <v>30.45</v>
      </c>
      <c r="N54" s="64">
        <v>471.1</v>
      </c>
      <c r="O54" s="64">
        <v>0</v>
      </c>
      <c r="P54" s="64">
        <v>1.1299999999999999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4" t="s">
        <v>2117</v>
      </c>
      <c r="B55" s="64">
        <v>16.07</v>
      </c>
      <c r="C55" s="64">
        <v>23.43</v>
      </c>
      <c r="D55" s="64">
        <v>24.48</v>
      </c>
      <c r="E55" s="64">
        <v>5.47</v>
      </c>
      <c r="F55" s="64">
        <v>2.58</v>
      </c>
      <c r="G55" s="64">
        <v>45.05</v>
      </c>
      <c r="H55" s="64">
        <v>15.76</v>
      </c>
      <c r="I55" s="64">
        <v>0.1</v>
      </c>
      <c r="J55" s="64">
        <v>1.1499999999999999</v>
      </c>
      <c r="K55" s="64">
        <v>345.34</v>
      </c>
      <c r="L55" s="64">
        <v>27.08</v>
      </c>
      <c r="M55" s="64">
        <v>30.55</v>
      </c>
      <c r="N55" s="64">
        <v>463.5</v>
      </c>
      <c r="O55" s="64">
        <v>0</v>
      </c>
      <c r="P55" s="64">
        <v>1.1299999999999999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4" t="s">
        <v>2118</v>
      </c>
      <c r="B56" s="64">
        <v>15.3</v>
      </c>
      <c r="C56" s="64">
        <v>24.06</v>
      </c>
      <c r="D56" s="64">
        <v>24.19</v>
      </c>
      <c r="E56" s="64">
        <v>5.74</v>
      </c>
      <c r="F56" s="64">
        <v>2.8</v>
      </c>
      <c r="G56" s="64">
        <v>44.43</v>
      </c>
      <c r="H56" s="64">
        <v>15.45</v>
      </c>
      <c r="I56" s="64">
        <v>0.1</v>
      </c>
      <c r="J56" s="64">
        <v>1.49</v>
      </c>
      <c r="K56" s="64">
        <v>329.93</v>
      </c>
      <c r="L56" s="64">
        <v>27.36</v>
      </c>
      <c r="M56" s="64">
        <v>29.38</v>
      </c>
      <c r="N56" s="64">
        <v>476.5</v>
      </c>
      <c r="O56" s="64">
        <v>0</v>
      </c>
      <c r="P56" s="64">
        <v>1.1499999999999999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4" t="s">
        <v>2119</v>
      </c>
      <c r="B57" s="64">
        <v>14.57</v>
      </c>
      <c r="C57" s="64">
        <v>25.63</v>
      </c>
      <c r="D57" s="64">
        <v>24.43</v>
      </c>
      <c r="E57" s="64">
        <v>5.78</v>
      </c>
      <c r="F57" s="64">
        <v>2.91</v>
      </c>
      <c r="G57" s="64">
        <v>44.18</v>
      </c>
      <c r="H57" s="64">
        <v>15.44</v>
      </c>
      <c r="I57" s="64">
        <v>0.1</v>
      </c>
      <c r="J57" s="64">
        <v>1.63</v>
      </c>
      <c r="K57" s="64">
        <v>334.32</v>
      </c>
      <c r="L57" s="64">
        <v>27.73</v>
      </c>
      <c r="M57" s="64">
        <v>28.86</v>
      </c>
      <c r="N57" s="64">
        <v>460.5</v>
      </c>
      <c r="O57" s="64">
        <v>0</v>
      </c>
      <c r="P57" s="64">
        <v>1.19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4" t="s">
        <v>2120</v>
      </c>
      <c r="B58" s="64">
        <v>13.86</v>
      </c>
      <c r="C58" s="64">
        <v>26.55</v>
      </c>
      <c r="D58" s="64">
        <v>24.33</v>
      </c>
      <c r="E58" s="64">
        <v>10.54</v>
      </c>
      <c r="F58" s="64">
        <v>4.8499999999999996</v>
      </c>
      <c r="G58" s="64">
        <v>44.18</v>
      </c>
      <c r="H58" s="64">
        <v>15.44</v>
      </c>
      <c r="I58" s="64">
        <v>0.1</v>
      </c>
      <c r="J58" s="64">
        <v>1.4</v>
      </c>
      <c r="K58" s="64">
        <v>336.24</v>
      </c>
      <c r="L58" s="64">
        <v>27.51</v>
      </c>
      <c r="M58" s="64">
        <v>29.47</v>
      </c>
      <c r="N58" s="64">
        <v>425.9</v>
      </c>
      <c r="O58" s="64">
        <v>0</v>
      </c>
      <c r="P58" s="64">
        <v>1.19</v>
      </c>
      <c r="Q58" s="64">
        <v>9.6199999999999992</v>
      </c>
      <c r="R58" s="198"/>
      <c r="S58" s="198"/>
      <c r="T58" s="198"/>
      <c r="U58" s="198"/>
    </row>
    <row r="59" spans="1:21" s="12" customFormat="1" x14ac:dyDescent="0.25">
      <c r="A59" s="214" t="s">
        <v>2121</v>
      </c>
      <c r="B59" s="64">
        <v>14.46</v>
      </c>
      <c r="C59" s="64">
        <v>27.35</v>
      </c>
      <c r="D59" s="64">
        <v>25.23</v>
      </c>
      <c r="E59" s="64">
        <v>11.51</v>
      </c>
      <c r="F59" s="64">
        <v>4.8899999999999997</v>
      </c>
      <c r="G59" s="64">
        <v>44.18</v>
      </c>
      <c r="H59" s="64">
        <v>15.44</v>
      </c>
      <c r="I59" s="64">
        <v>0.1</v>
      </c>
      <c r="J59" s="64">
        <v>1.43</v>
      </c>
      <c r="K59" s="64">
        <v>337.62</v>
      </c>
      <c r="L59" s="64">
        <v>27.26</v>
      </c>
      <c r="M59" s="64">
        <v>29.55</v>
      </c>
      <c r="N59" s="64">
        <v>409.1</v>
      </c>
      <c r="O59" s="64">
        <v>0</v>
      </c>
      <c r="P59" s="64">
        <v>1.21</v>
      </c>
      <c r="Q59" s="64">
        <v>9.6199999999999992</v>
      </c>
      <c r="R59" s="198"/>
      <c r="S59" s="198"/>
      <c r="T59" s="198"/>
      <c r="U59" s="198"/>
    </row>
    <row r="60" spans="1:21" s="12" customFormat="1" x14ac:dyDescent="0.25">
      <c r="A60" s="214" t="s">
        <v>2122</v>
      </c>
      <c r="B60" s="64">
        <v>13.39</v>
      </c>
      <c r="C60" s="64">
        <v>27.49</v>
      </c>
      <c r="D60" s="64">
        <v>24.45</v>
      </c>
      <c r="E60" s="64">
        <v>19.34</v>
      </c>
      <c r="F60" s="64">
        <v>5.38</v>
      </c>
      <c r="G60" s="64">
        <v>46.55</v>
      </c>
      <c r="H60" s="64">
        <v>17.16</v>
      </c>
      <c r="I60" s="64">
        <v>0.1</v>
      </c>
      <c r="J60" s="64">
        <v>1.39</v>
      </c>
      <c r="K60" s="64">
        <v>333.36</v>
      </c>
      <c r="L60" s="64">
        <v>26.73</v>
      </c>
      <c r="M60" s="64">
        <v>30.46</v>
      </c>
      <c r="N60" s="64">
        <v>376.8</v>
      </c>
      <c r="O60" s="64">
        <v>0</v>
      </c>
      <c r="P60" s="64">
        <v>1.21</v>
      </c>
      <c r="Q60" s="64">
        <v>9.61</v>
      </c>
      <c r="R60" s="198"/>
      <c r="S60" s="198"/>
      <c r="T60" s="198"/>
      <c r="U60" s="198"/>
    </row>
    <row r="61" spans="1:21" s="12" customFormat="1" x14ac:dyDescent="0.25">
      <c r="A61" s="214" t="s">
        <v>2123</v>
      </c>
      <c r="B61" s="64">
        <v>14.68</v>
      </c>
      <c r="C61" s="64">
        <v>28.86</v>
      </c>
      <c r="D61" s="64">
        <v>26.2</v>
      </c>
      <c r="E61" s="64">
        <v>14.07</v>
      </c>
      <c r="F61" s="64">
        <v>5.65</v>
      </c>
      <c r="G61" s="64">
        <v>47.45</v>
      </c>
      <c r="H61" s="64">
        <v>17.239999999999998</v>
      </c>
      <c r="I61" s="64">
        <v>0.1</v>
      </c>
      <c r="J61" s="64">
        <v>1.3</v>
      </c>
      <c r="K61" s="64">
        <v>335.68</v>
      </c>
      <c r="L61" s="64">
        <v>26.97</v>
      </c>
      <c r="M61" s="64">
        <v>29.91</v>
      </c>
      <c r="N61" s="64">
        <v>352.8</v>
      </c>
      <c r="O61" s="64">
        <v>0</v>
      </c>
      <c r="P61" s="64">
        <v>1.1100000000000001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4" t="s">
        <v>2124</v>
      </c>
      <c r="B62" s="64">
        <v>13.61</v>
      </c>
      <c r="C62" s="64">
        <v>27.93</v>
      </c>
      <c r="D62" s="64">
        <v>24.85</v>
      </c>
      <c r="E62" s="64">
        <v>12.09</v>
      </c>
      <c r="F62" s="64">
        <v>4.58</v>
      </c>
      <c r="G62" s="64">
        <v>47.45</v>
      </c>
      <c r="H62" s="64">
        <v>17.239999999999998</v>
      </c>
      <c r="I62" s="64">
        <v>0.1</v>
      </c>
      <c r="J62" s="64">
        <v>1.61</v>
      </c>
      <c r="K62" s="64">
        <v>334.48</v>
      </c>
      <c r="L62" s="64">
        <v>26.91</v>
      </c>
      <c r="M62" s="64">
        <v>28.68</v>
      </c>
      <c r="N62" s="64">
        <v>364</v>
      </c>
      <c r="O62" s="64">
        <v>0</v>
      </c>
      <c r="P62" s="64">
        <v>1.1399999999999999</v>
      </c>
      <c r="Q62" s="64">
        <v>9.6199999999999992</v>
      </c>
      <c r="R62" s="198"/>
      <c r="S62" s="198"/>
      <c r="T62" s="198"/>
      <c r="U62" s="198"/>
    </row>
    <row r="63" spans="1:21" s="12" customFormat="1" x14ac:dyDescent="0.25">
      <c r="A63" s="214" t="s">
        <v>2125</v>
      </c>
      <c r="B63" s="64">
        <v>12.2</v>
      </c>
      <c r="C63" s="64">
        <v>28.25</v>
      </c>
      <c r="D63" s="64">
        <v>23.89</v>
      </c>
      <c r="E63" s="64">
        <v>8.61</v>
      </c>
      <c r="F63" s="64">
        <v>2.9</v>
      </c>
      <c r="G63" s="64">
        <v>47.45</v>
      </c>
      <c r="H63" s="64">
        <v>17.239999999999998</v>
      </c>
      <c r="I63" s="64">
        <v>0.1</v>
      </c>
      <c r="J63" s="64">
        <v>2.0099999999999998</v>
      </c>
      <c r="K63" s="64">
        <v>333.65</v>
      </c>
      <c r="L63" s="64">
        <v>26.78</v>
      </c>
      <c r="M63" s="64">
        <v>27.73</v>
      </c>
      <c r="N63" s="64">
        <v>364.5</v>
      </c>
      <c r="O63" s="64">
        <v>0</v>
      </c>
      <c r="P63" s="64">
        <v>1.1100000000000001</v>
      </c>
      <c r="Q63" s="64">
        <v>9.6199999999999992</v>
      </c>
      <c r="R63" s="198"/>
      <c r="S63" s="198"/>
      <c r="T63" s="198"/>
      <c r="U63" s="198"/>
    </row>
    <row r="64" spans="1:21" s="12" customFormat="1" x14ac:dyDescent="0.25">
      <c r="A64" s="214" t="s">
        <v>2126</v>
      </c>
      <c r="B64" s="64">
        <v>11.43</v>
      </c>
      <c r="C64" s="64">
        <v>29.89</v>
      </c>
      <c r="D64" s="64">
        <v>24.13</v>
      </c>
      <c r="E64" s="64">
        <v>7.13</v>
      </c>
      <c r="F64" s="64">
        <v>3.87</v>
      </c>
      <c r="G64" s="64">
        <v>45.35</v>
      </c>
      <c r="H64" s="64">
        <v>16.920000000000002</v>
      </c>
      <c r="I64" s="64">
        <v>0.1</v>
      </c>
      <c r="J64" s="64">
        <v>1.28</v>
      </c>
      <c r="K64" s="64">
        <v>331.56</v>
      </c>
      <c r="L64" s="64">
        <v>26.03</v>
      </c>
      <c r="M64" s="64">
        <v>28.73</v>
      </c>
      <c r="N64" s="64">
        <v>297.8</v>
      </c>
      <c r="O64" s="64">
        <v>0</v>
      </c>
      <c r="P64" s="64">
        <v>1.05</v>
      </c>
      <c r="Q64" s="64">
        <v>9.6199999999999992</v>
      </c>
      <c r="R64" s="198"/>
      <c r="S64" s="198"/>
      <c r="T64" s="198"/>
      <c r="U64" s="198"/>
    </row>
    <row r="65" spans="1:21" s="12" customFormat="1" x14ac:dyDescent="0.25">
      <c r="A65" s="214" t="s">
        <v>2127</v>
      </c>
      <c r="B65" s="64">
        <v>10.02</v>
      </c>
      <c r="C65" s="64">
        <v>30.13</v>
      </c>
      <c r="D65" s="64">
        <v>23.12</v>
      </c>
      <c r="E65" s="64">
        <v>6.31</v>
      </c>
      <c r="F65" s="64">
        <v>4.12</v>
      </c>
      <c r="G65" s="64">
        <v>44.5</v>
      </c>
      <c r="H65" s="64">
        <v>16.899999999999999</v>
      </c>
      <c r="I65" s="64">
        <v>0.1</v>
      </c>
      <c r="J65" s="64">
        <v>1.21</v>
      </c>
      <c r="K65" s="64">
        <v>337.78</v>
      </c>
      <c r="L65" s="64">
        <v>25.64</v>
      </c>
      <c r="M65" s="64">
        <v>29.11</v>
      </c>
      <c r="N65" s="64">
        <v>167.8</v>
      </c>
      <c r="O65" s="64">
        <v>0</v>
      </c>
      <c r="P65" s="64">
        <v>1.03</v>
      </c>
      <c r="Q65" s="64">
        <v>9.6199999999999992</v>
      </c>
      <c r="R65" s="198"/>
      <c r="S65" s="198"/>
      <c r="T65" s="198"/>
      <c r="U65" s="198"/>
    </row>
    <row r="66" spans="1:21" s="12" customFormat="1" x14ac:dyDescent="0.25">
      <c r="A66" s="214" t="s">
        <v>2128</v>
      </c>
      <c r="B66" s="64">
        <v>8.69</v>
      </c>
      <c r="C66" s="64">
        <v>30.04</v>
      </c>
      <c r="D66" s="64">
        <v>22.01</v>
      </c>
      <c r="E66" s="64">
        <v>6.83</v>
      </c>
      <c r="F66" s="64">
        <v>3.39</v>
      </c>
      <c r="G66" s="64">
        <v>44.5</v>
      </c>
      <c r="H66" s="64">
        <v>16.899999999999999</v>
      </c>
      <c r="I66" s="64">
        <v>0.1</v>
      </c>
      <c r="J66" s="64">
        <v>1.69</v>
      </c>
      <c r="K66" s="64">
        <v>333.59</v>
      </c>
      <c r="L66" s="64">
        <v>24.97</v>
      </c>
      <c r="M66" s="64">
        <v>29.26</v>
      </c>
      <c r="N66" s="64">
        <v>135.6</v>
      </c>
      <c r="O66" s="64">
        <v>0</v>
      </c>
      <c r="P66" s="64">
        <v>1.01</v>
      </c>
      <c r="Q66" s="64">
        <v>9.6300000000000008</v>
      </c>
      <c r="R66" s="198"/>
      <c r="S66" s="198"/>
      <c r="T66" s="198"/>
      <c r="U66" s="198"/>
    </row>
    <row r="67" spans="1:21" s="12" customFormat="1" x14ac:dyDescent="0.25">
      <c r="A67" s="214" t="s">
        <v>2129</v>
      </c>
      <c r="B67" s="64">
        <v>8.43</v>
      </c>
      <c r="C67" s="64">
        <v>32.49</v>
      </c>
      <c r="D67" s="64">
        <v>23.08</v>
      </c>
      <c r="E67" s="64">
        <v>5.46</v>
      </c>
      <c r="F67" s="64">
        <v>2.94</v>
      </c>
      <c r="G67" s="64">
        <v>44.5</v>
      </c>
      <c r="H67" s="64">
        <v>16.899999999999999</v>
      </c>
      <c r="I67" s="64">
        <v>0.1</v>
      </c>
      <c r="J67" s="64">
        <v>1.81</v>
      </c>
      <c r="K67" s="64">
        <v>342.04</v>
      </c>
      <c r="L67" s="64">
        <v>24.78</v>
      </c>
      <c r="M67" s="64">
        <v>28.58</v>
      </c>
      <c r="N67" s="64">
        <v>119.7</v>
      </c>
      <c r="O67" s="64">
        <v>0</v>
      </c>
      <c r="P67" s="64">
        <v>1</v>
      </c>
      <c r="Q67" s="64">
        <v>9.61</v>
      </c>
      <c r="R67" s="198"/>
      <c r="S67" s="198"/>
      <c r="T67" s="198"/>
      <c r="U67" s="198"/>
    </row>
    <row r="68" spans="1:21" s="12" customFormat="1" x14ac:dyDescent="0.25">
      <c r="A68" s="214" t="s">
        <v>2130</v>
      </c>
      <c r="B68" s="64">
        <v>7.88</v>
      </c>
      <c r="C68" s="64">
        <v>32.85</v>
      </c>
      <c r="D68" s="64">
        <v>22.83</v>
      </c>
      <c r="E68" s="64">
        <v>6.32</v>
      </c>
      <c r="F68" s="64">
        <v>4.46</v>
      </c>
      <c r="G68" s="64">
        <v>93.02</v>
      </c>
      <c r="H68" s="64">
        <v>15.82</v>
      </c>
      <c r="I68" s="64">
        <v>0.1</v>
      </c>
      <c r="J68" s="64">
        <v>1.7</v>
      </c>
      <c r="K68" s="64">
        <v>342.3</v>
      </c>
      <c r="L68" s="64">
        <v>24.32</v>
      </c>
      <c r="M68" s="64">
        <v>28.33</v>
      </c>
      <c r="N68" s="64">
        <v>109</v>
      </c>
      <c r="O68" s="64">
        <v>0</v>
      </c>
      <c r="P68" s="64">
        <v>0.98</v>
      </c>
      <c r="Q68" s="64">
        <v>9.6</v>
      </c>
      <c r="R68" s="198"/>
      <c r="S68" s="198"/>
      <c r="T68" s="198"/>
      <c r="U68" s="198"/>
    </row>
    <row r="69" spans="1:21" s="12" customFormat="1" x14ac:dyDescent="0.25">
      <c r="A69" s="214" t="s">
        <v>2131</v>
      </c>
      <c r="B69" s="64">
        <v>7.93</v>
      </c>
      <c r="C69" s="64">
        <v>32.71</v>
      </c>
      <c r="D69" s="64">
        <v>22.79</v>
      </c>
      <c r="E69" s="64">
        <v>5.87</v>
      </c>
      <c r="F69" s="64">
        <v>4.26</v>
      </c>
      <c r="G69" s="64">
        <v>111.68</v>
      </c>
      <c r="H69" s="64">
        <v>15.77</v>
      </c>
      <c r="I69" s="64">
        <v>0.1</v>
      </c>
      <c r="J69" s="64">
        <v>1.27</v>
      </c>
      <c r="K69" s="64">
        <v>316.77</v>
      </c>
      <c r="L69" s="64">
        <v>24.07</v>
      </c>
      <c r="M69" s="64">
        <v>28.85</v>
      </c>
      <c r="N69" s="64">
        <v>101.9</v>
      </c>
      <c r="O69" s="64">
        <v>0</v>
      </c>
      <c r="P69" s="64">
        <v>0.98</v>
      </c>
      <c r="Q69" s="64">
        <v>9.6</v>
      </c>
      <c r="R69" s="198"/>
      <c r="S69" s="198"/>
      <c r="T69" s="198"/>
      <c r="U69" s="198"/>
    </row>
    <row r="70" spans="1:21" s="12" customFormat="1" x14ac:dyDescent="0.25">
      <c r="A70" s="214" t="s">
        <v>2132</v>
      </c>
      <c r="B70" s="64">
        <v>12.29</v>
      </c>
      <c r="C70" s="64">
        <v>31.97</v>
      </c>
      <c r="D70" s="64">
        <v>25.87</v>
      </c>
      <c r="E70" s="64">
        <v>7.21</v>
      </c>
      <c r="F70" s="64">
        <v>4.37</v>
      </c>
      <c r="G70" s="64">
        <v>111.68</v>
      </c>
      <c r="H70" s="64">
        <v>15.77</v>
      </c>
      <c r="I70" s="64">
        <v>0.1</v>
      </c>
      <c r="J70" s="64">
        <v>1.56</v>
      </c>
      <c r="K70" s="64">
        <v>341.88</v>
      </c>
      <c r="L70" s="64">
        <v>23.74</v>
      </c>
      <c r="M70" s="64">
        <v>28</v>
      </c>
      <c r="N70" s="64">
        <v>96.5</v>
      </c>
      <c r="O70" s="64">
        <v>0</v>
      </c>
      <c r="P70" s="64">
        <v>0.97</v>
      </c>
      <c r="Q70" s="64">
        <v>9.59</v>
      </c>
      <c r="R70" s="198"/>
      <c r="S70" s="198"/>
      <c r="T70" s="198"/>
      <c r="U70" s="198"/>
    </row>
    <row r="71" spans="1:21" s="12" customFormat="1" x14ac:dyDescent="0.25">
      <c r="A71" s="214" t="s">
        <v>2133</v>
      </c>
      <c r="B71" s="64">
        <v>11.46</v>
      </c>
      <c r="C71" s="64">
        <v>31.09</v>
      </c>
      <c r="D71" s="64">
        <v>24.78</v>
      </c>
      <c r="E71" s="64">
        <v>6.27</v>
      </c>
      <c r="F71" s="64">
        <v>4.1900000000000004</v>
      </c>
      <c r="G71" s="64">
        <v>111.68</v>
      </c>
      <c r="H71" s="64">
        <v>15.77</v>
      </c>
      <c r="I71" s="64">
        <v>0.1</v>
      </c>
      <c r="J71" s="64">
        <v>1.48</v>
      </c>
      <c r="K71" s="64">
        <v>329.91</v>
      </c>
      <c r="L71" s="64">
        <v>23.54</v>
      </c>
      <c r="M71" s="64">
        <v>29.18</v>
      </c>
      <c r="N71" s="64">
        <v>90.4</v>
      </c>
      <c r="O71" s="64">
        <v>0</v>
      </c>
      <c r="P71" s="64">
        <v>0.96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4" t="s">
        <v>2134</v>
      </c>
      <c r="B72" s="64">
        <v>14.72</v>
      </c>
      <c r="C72" s="64">
        <v>33.880000000000003</v>
      </c>
      <c r="D72" s="64">
        <v>28.85</v>
      </c>
      <c r="E72" s="64">
        <v>10.62</v>
      </c>
      <c r="F72" s="64">
        <v>4.75</v>
      </c>
      <c r="G72" s="64">
        <v>31.02</v>
      </c>
      <c r="H72" s="64">
        <v>13.89</v>
      </c>
      <c r="I72" s="64">
        <v>0.1</v>
      </c>
      <c r="J72" s="64">
        <v>0.48</v>
      </c>
      <c r="K72" s="64">
        <v>355.47</v>
      </c>
      <c r="L72" s="64">
        <v>23.21</v>
      </c>
      <c r="M72" s="64">
        <v>29.87</v>
      </c>
      <c r="N72" s="64">
        <v>83.3</v>
      </c>
      <c r="O72" s="64">
        <v>0</v>
      </c>
      <c r="P72" s="64">
        <v>0.95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4" t="s">
        <v>2135</v>
      </c>
      <c r="B73" s="64">
        <v>14.61</v>
      </c>
      <c r="C73" s="64">
        <v>34.270000000000003</v>
      </c>
      <c r="D73" s="64">
        <v>28.97</v>
      </c>
      <c r="E73" s="64">
        <v>18.059999999999999</v>
      </c>
      <c r="F73" s="64">
        <v>6.4</v>
      </c>
      <c r="G73" s="64">
        <v>31.02</v>
      </c>
      <c r="H73" s="64">
        <v>13.8</v>
      </c>
      <c r="I73" s="64">
        <v>0.1</v>
      </c>
      <c r="J73" s="64">
        <v>1.03</v>
      </c>
      <c r="K73" s="64">
        <v>347.88</v>
      </c>
      <c r="L73" s="64">
        <v>22.69</v>
      </c>
      <c r="M73" s="64">
        <v>30.11</v>
      </c>
      <c r="N73" s="64">
        <v>77.3</v>
      </c>
      <c r="O73" s="64">
        <v>0</v>
      </c>
      <c r="P73" s="64">
        <v>1</v>
      </c>
      <c r="Q73" s="64">
        <v>9.6199999999999992</v>
      </c>
      <c r="R73" s="198"/>
      <c r="S73" s="198"/>
      <c r="T73" s="198"/>
      <c r="U73" s="198"/>
    </row>
    <row r="74" spans="1:21" s="12" customFormat="1" x14ac:dyDescent="0.25">
      <c r="A74" s="214" t="s">
        <v>2136</v>
      </c>
      <c r="B74" s="64">
        <v>19.309999999999999</v>
      </c>
      <c r="C74" s="64">
        <v>32.17</v>
      </c>
      <c r="D74" s="64">
        <v>31.64</v>
      </c>
      <c r="E74" s="64">
        <v>16.670000000000002</v>
      </c>
      <c r="F74" s="64">
        <v>5.88</v>
      </c>
      <c r="G74" s="64">
        <v>31.02</v>
      </c>
      <c r="H74" s="64">
        <v>13.8</v>
      </c>
      <c r="I74" s="64">
        <v>0.1</v>
      </c>
      <c r="J74" s="64">
        <v>0.88</v>
      </c>
      <c r="K74" s="64">
        <v>323.38</v>
      </c>
      <c r="L74" s="64">
        <v>22.25</v>
      </c>
      <c r="M74" s="64">
        <v>33.299999999999997</v>
      </c>
      <c r="N74" s="64">
        <v>72.2</v>
      </c>
      <c r="O74" s="64">
        <v>0</v>
      </c>
      <c r="P74" s="64">
        <v>1.1100000000000001</v>
      </c>
      <c r="Q74" s="64">
        <v>9.6300000000000008</v>
      </c>
      <c r="R74" s="198"/>
      <c r="S74" s="198"/>
      <c r="T74" s="198"/>
      <c r="U74" s="198"/>
    </row>
    <row r="75" spans="1:21" s="12" customFormat="1" x14ac:dyDescent="0.25">
      <c r="A75" s="214" t="s">
        <v>2137</v>
      </c>
      <c r="B75" s="64">
        <v>12.55</v>
      </c>
      <c r="C75" s="64">
        <v>38.99</v>
      </c>
      <c r="D75" s="64">
        <v>29.78</v>
      </c>
      <c r="E75" s="64">
        <v>19.02</v>
      </c>
      <c r="F75" s="64">
        <v>6.15</v>
      </c>
      <c r="G75" s="64">
        <v>31.02</v>
      </c>
      <c r="H75" s="64">
        <v>13.8</v>
      </c>
      <c r="I75" s="64">
        <v>0.1</v>
      </c>
      <c r="J75" s="64">
        <v>0.77</v>
      </c>
      <c r="K75" s="64">
        <v>337.61</v>
      </c>
      <c r="L75" s="64">
        <v>21.68</v>
      </c>
      <c r="M75" s="64">
        <v>35.479999999999997</v>
      </c>
      <c r="N75" s="64">
        <v>67</v>
      </c>
      <c r="O75" s="64">
        <v>0</v>
      </c>
      <c r="P75" s="64">
        <v>1.29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4" t="s">
        <v>2138</v>
      </c>
      <c r="B76" s="64">
        <v>14.65</v>
      </c>
      <c r="C76" s="64">
        <v>35.58</v>
      </c>
      <c r="D76" s="64">
        <v>29.68</v>
      </c>
      <c r="E76" s="64">
        <v>18.690000000000001</v>
      </c>
      <c r="F76" s="64">
        <v>5.13</v>
      </c>
      <c r="G76" s="64">
        <v>31.02</v>
      </c>
      <c r="H76" s="64">
        <v>15.98</v>
      </c>
      <c r="I76" s="64">
        <v>0.1</v>
      </c>
      <c r="J76" s="64">
        <v>0.37</v>
      </c>
      <c r="K76" s="64">
        <v>305.08999999999997</v>
      </c>
      <c r="L76" s="64">
        <v>21.01</v>
      </c>
      <c r="M76" s="64">
        <v>39.340000000000003</v>
      </c>
      <c r="N76" s="64">
        <v>61.1</v>
      </c>
      <c r="O76" s="64">
        <v>0</v>
      </c>
      <c r="P76" s="64">
        <v>1.27</v>
      </c>
      <c r="Q76" s="64">
        <v>9.6300000000000008</v>
      </c>
      <c r="R76" s="198"/>
      <c r="S76" s="198"/>
      <c r="T76" s="198"/>
      <c r="U76" s="198"/>
    </row>
    <row r="77" spans="1:21" s="12" customFormat="1" x14ac:dyDescent="0.25">
      <c r="A77" s="214" t="s">
        <v>2139</v>
      </c>
      <c r="B77" s="64">
        <v>25.85</v>
      </c>
      <c r="C77" s="64">
        <v>30.41</v>
      </c>
      <c r="D77" s="64">
        <v>35.96</v>
      </c>
      <c r="E77" s="64">
        <v>15.9</v>
      </c>
      <c r="F77" s="64">
        <v>3.52</v>
      </c>
      <c r="G77" s="64">
        <v>31.02</v>
      </c>
      <c r="H77" s="64">
        <v>16.09</v>
      </c>
      <c r="I77" s="64">
        <v>0.1</v>
      </c>
      <c r="J77" s="64">
        <v>0.79</v>
      </c>
      <c r="K77" s="64">
        <v>358.04</v>
      </c>
      <c r="L77" s="64">
        <v>20.27</v>
      </c>
      <c r="M77" s="64">
        <v>44.32</v>
      </c>
      <c r="N77" s="64">
        <v>56</v>
      </c>
      <c r="O77" s="64">
        <v>0</v>
      </c>
      <c r="P77" s="64">
        <v>1.33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4" t="s">
        <v>2140</v>
      </c>
      <c r="B78" s="64">
        <v>23.37</v>
      </c>
      <c r="C78" s="64">
        <v>31.89</v>
      </c>
      <c r="D78" s="64">
        <v>34.75</v>
      </c>
      <c r="E78" s="64">
        <v>15.96</v>
      </c>
      <c r="F78" s="64">
        <v>3.53</v>
      </c>
      <c r="G78" s="64">
        <v>31.02</v>
      </c>
      <c r="H78" s="64">
        <v>16.09</v>
      </c>
      <c r="I78" s="64">
        <v>0.1</v>
      </c>
      <c r="J78" s="64">
        <v>0.82</v>
      </c>
      <c r="K78" s="64">
        <v>9.83</v>
      </c>
      <c r="L78" s="64">
        <v>19.59</v>
      </c>
      <c r="M78" s="64">
        <v>48.31</v>
      </c>
      <c r="N78" s="64">
        <v>53</v>
      </c>
      <c r="O78" s="64">
        <v>0</v>
      </c>
      <c r="P78" s="64">
        <v>1.57</v>
      </c>
      <c r="Q78" s="64">
        <v>9.64</v>
      </c>
      <c r="R78" s="198"/>
      <c r="S78" s="198"/>
      <c r="T78" s="198"/>
      <c r="U78" s="198"/>
    </row>
    <row r="79" spans="1:21" s="12" customFormat="1" x14ac:dyDescent="0.25">
      <c r="A79" s="214" t="s">
        <v>2141</v>
      </c>
      <c r="B79" s="64">
        <v>17.98</v>
      </c>
      <c r="C79" s="64">
        <v>33.79</v>
      </c>
      <c r="D79" s="64">
        <v>31.42</v>
      </c>
      <c r="E79" s="64">
        <v>13.52</v>
      </c>
      <c r="F79" s="64">
        <v>3.71</v>
      </c>
      <c r="G79" s="64">
        <v>31.02</v>
      </c>
      <c r="H79" s="64">
        <v>16.09</v>
      </c>
      <c r="I79" s="64">
        <v>0.1</v>
      </c>
      <c r="J79" s="64">
        <v>0.86</v>
      </c>
      <c r="K79" s="64">
        <v>342.47</v>
      </c>
      <c r="L79" s="64">
        <v>19.11</v>
      </c>
      <c r="M79" s="64">
        <v>46.87</v>
      </c>
      <c r="N79" s="64">
        <v>51.7</v>
      </c>
      <c r="O79" s="64">
        <v>0</v>
      </c>
      <c r="P79" s="64">
        <v>1.57</v>
      </c>
      <c r="Q79" s="64">
        <v>9.6300000000000008</v>
      </c>
      <c r="R79" s="198"/>
      <c r="S79" s="198"/>
      <c r="T79" s="198"/>
      <c r="U79" s="198"/>
    </row>
    <row r="80" spans="1:21" s="12" customFormat="1" x14ac:dyDescent="0.25">
      <c r="A80" s="214" t="s">
        <v>2142</v>
      </c>
      <c r="B80" s="64">
        <v>18.5</v>
      </c>
      <c r="C80" s="64">
        <v>29.68</v>
      </c>
      <c r="D80" s="64">
        <v>29.69</v>
      </c>
      <c r="E80" s="64">
        <v>10.73</v>
      </c>
      <c r="F80" s="64">
        <v>3.2</v>
      </c>
      <c r="G80" s="64">
        <v>136.6</v>
      </c>
      <c r="H80" s="64">
        <v>20.46</v>
      </c>
      <c r="I80" s="64">
        <v>0.1</v>
      </c>
      <c r="J80" s="64">
        <v>0.47</v>
      </c>
      <c r="K80" s="64">
        <v>11.4</v>
      </c>
      <c r="L80" s="64">
        <v>18.93</v>
      </c>
      <c r="M80" s="64">
        <v>42.7</v>
      </c>
      <c r="N80" s="64">
        <v>51.8</v>
      </c>
      <c r="O80" s="64">
        <v>0</v>
      </c>
      <c r="P80" s="64">
        <v>1.47</v>
      </c>
      <c r="Q80" s="64">
        <v>9.64</v>
      </c>
      <c r="R80" s="198"/>
      <c r="S80" s="198"/>
      <c r="T80" s="198"/>
      <c r="U80" s="198"/>
    </row>
    <row r="81" spans="1:26" s="12" customFormat="1" x14ac:dyDescent="0.25">
      <c r="A81" s="214" t="s">
        <v>2143</v>
      </c>
      <c r="B81" s="64">
        <v>19.04</v>
      </c>
      <c r="C81" s="64">
        <v>24.4</v>
      </c>
      <c r="D81" s="64">
        <v>27.36</v>
      </c>
      <c r="E81" s="64">
        <v>5.86</v>
      </c>
      <c r="F81" s="64">
        <v>2.36</v>
      </c>
      <c r="G81" s="64">
        <v>189.14</v>
      </c>
      <c r="H81" s="64">
        <v>20.78</v>
      </c>
      <c r="I81" s="64">
        <v>0.1</v>
      </c>
      <c r="J81" s="64">
        <v>0.54</v>
      </c>
      <c r="K81" s="64">
        <v>35.909999999999997</v>
      </c>
      <c r="L81" s="64">
        <v>18.649999999999999</v>
      </c>
      <c r="M81" s="64">
        <v>44.03</v>
      </c>
      <c r="N81" s="64">
        <v>51.8</v>
      </c>
      <c r="O81" s="64">
        <v>0</v>
      </c>
      <c r="P81" s="64">
        <v>1.31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14" t="s">
        <v>2144</v>
      </c>
      <c r="B82" s="64">
        <v>19.940000000000001</v>
      </c>
      <c r="C82" s="64">
        <v>24.31</v>
      </c>
      <c r="D82" s="64">
        <v>28.04</v>
      </c>
      <c r="E82" s="64">
        <v>5.84</v>
      </c>
      <c r="F82" s="64">
        <v>2.63</v>
      </c>
      <c r="G82" s="64">
        <v>189.14</v>
      </c>
      <c r="H82" s="64">
        <v>20.78</v>
      </c>
      <c r="I82" s="64">
        <v>0.1</v>
      </c>
      <c r="J82" s="64">
        <v>0.69</v>
      </c>
      <c r="K82" s="64">
        <v>60.72</v>
      </c>
      <c r="L82" s="64">
        <v>18.43</v>
      </c>
      <c r="M82" s="64">
        <v>44.68</v>
      </c>
      <c r="N82" s="64">
        <v>51.6</v>
      </c>
      <c r="O82" s="64">
        <v>0</v>
      </c>
      <c r="P82" s="64">
        <v>1.37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4" t="s">
        <v>2145</v>
      </c>
      <c r="B83" s="64">
        <v>20.95</v>
      </c>
      <c r="C83" s="64">
        <v>23.29</v>
      </c>
      <c r="D83" s="64">
        <v>28.32</v>
      </c>
      <c r="E83" s="64">
        <v>5.46</v>
      </c>
      <c r="F83" s="64">
        <v>2.63</v>
      </c>
      <c r="G83" s="64">
        <v>189.14</v>
      </c>
      <c r="H83" s="64">
        <v>20.78</v>
      </c>
      <c r="I83" s="64">
        <v>0.1</v>
      </c>
      <c r="J83" s="64">
        <v>0.77</v>
      </c>
      <c r="K83" s="64">
        <v>9.41</v>
      </c>
      <c r="L83" s="64">
        <v>18.07</v>
      </c>
      <c r="M83" s="64">
        <v>49.83</v>
      </c>
      <c r="N83" s="64">
        <v>51.8</v>
      </c>
      <c r="O83" s="64">
        <v>0</v>
      </c>
      <c r="P83" s="64">
        <v>1.39</v>
      </c>
      <c r="Q83" s="64">
        <v>9.6300000000000008</v>
      </c>
      <c r="R83" s="198"/>
      <c r="S83" s="198"/>
      <c r="T83" s="198"/>
      <c r="U83" s="198"/>
    </row>
    <row r="84" spans="1:26" s="12" customFormat="1" x14ac:dyDescent="0.25">
      <c r="A84" s="214" t="s">
        <v>2146</v>
      </c>
      <c r="B84" s="64">
        <v>21.99</v>
      </c>
      <c r="C84" s="64">
        <v>22.61</v>
      </c>
      <c r="D84" s="64">
        <v>28.79</v>
      </c>
      <c r="E84" s="64">
        <v>5.33</v>
      </c>
      <c r="F84" s="64">
        <v>2.33</v>
      </c>
      <c r="G84" s="64">
        <v>111.54</v>
      </c>
      <c r="H84" s="64">
        <v>22.82</v>
      </c>
      <c r="I84" s="64">
        <v>0.1</v>
      </c>
      <c r="J84" s="64">
        <v>0.5</v>
      </c>
      <c r="K84" s="64">
        <v>23.95</v>
      </c>
      <c r="L84" s="64">
        <v>17.57</v>
      </c>
      <c r="M84" s="64">
        <v>52.96</v>
      </c>
      <c r="N84" s="64">
        <v>51.7</v>
      </c>
      <c r="O84" s="64">
        <v>0</v>
      </c>
      <c r="P84" s="64">
        <v>1.46</v>
      </c>
      <c r="Q84" s="64">
        <v>9.64</v>
      </c>
      <c r="R84" s="198"/>
      <c r="S84" s="198"/>
      <c r="T84" s="198"/>
      <c r="U84" s="198"/>
    </row>
    <row r="85" spans="1:26" s="12" customFormat="1" x14ac:dyDescent="0.25">
      <c r="A85" s="214" t="s">
        <v>2147</v>
      </c>
      <c r="B85" s="64">
        <v>23.3</v>
      </c>
      <c r="C85" s="64">
        <v>21.85</v>
      </c>
      <c r="D85" s="64">
        <v>29.45</v>
      </c>
      <c r="E85" s="64">
        <v>5.43</v>
      </c>
      <c r="F85" s="64">
        <v>2.38</v>
      </c>
      <c r="G85" s="64">
        <v>81.7</v>
      </c>
      <c r="H85" s="64">
        <v>22.91</v>
      </c>
      <c r="I85" s="64">
        <v>0.1</v>
      </c>
      <c r="J85" s="64">
        <v>0.56999999999999995</v>
      </c>
      <c r="K85" s="64">
        <v>81.78</v>
      </c>
      <c r="L85" s="64">
        <v>17</v>
      </c>
      <c r="M85" s="64">
        <v>55.08</v>
      </c>
      <c r="N85" s="64">
        <v>51.7</v>
      </c>
      <c r="O85" s="64">
        <v>0</v>
      </c>
      <c r="P85" s="64">
        <v>1.52</v>
      </c>
      <c r="Q85" s="64">
        <v>9.6300000000000008</v>
      </c>
      <c r="R85" s="198"/>
      <c r="S85" s="198"/>
      <c r="T85" s="198"/>
      <c r="U85" s="198"/>
    </row>
    <row r="86" spans="1:26" s="12" customFormat="1" x14ac:dyDescent="0.25">
      <c r="A86" s="214" t="s">
        <v>2148</v>
      </c>
      <c r="B86" s="64">
        <v>24.7</v>
      </c>
      <c r="C86" s="64">
        <v>21.1</v>
      </c>
      <c r="D86" s="64">
        <v>30.17</v>
      </c>
      <c r="E86" s="64">
        <v>5.03</v>
      </c>
      <c r="F86" s="64">
        <v>2.54</v>
      </c>
      <c r="G86" s="64">
        <v>81.7</v>
      </c>
      <c r="H86" s="64">
        <v>22.91</v>
      </c>
      <c r="I86" s="64">
        <v>0.1</v>
      </c>
      <c r="J86" s="64">
        <v>0.8</v>
      </c>
      <c r="K86" s="64">
        <v>106.96</v>
      </c>
      <c r="L86" s="64">
        <v>16.579999999999998</v>
      </c>
      <c r="M86" s="64">
        <v>59.44</v>
      </c>
      <c r="N86" s="64">
        <v>51.7</v>
      </c>
      <c r="O86" s="64">
        <v>0</v>
      </c>
      <c r="P86" s="64">
        <v>1.68</v>
      </c>
      <c r="Q86" s="64">
        <v>9.64</v>
      </c>
      <c r="R86" s="198"/>
      <c r="S86" s="198"/>
      <c r="T86" s="198"/>
      <c r="U86" s="198"/>
    </row>
    <row r="87" spans="1:26" s="12" customFormat="1" x14ac:dyDescent="0.25">
      <c r="A87" s="214" t="s">
        <v>2149</v>
      </c>
      <c r="B87" s="64">
        <v>26.2</v>
      </c>
      <c r="C87" s="64">
        <v>20.329999999999998</v>
      </c>
      <c r="D87" s="64">
        <v>30.98</v>
      </c>
      <c r="E87" s="64">
        <v>5.26</v>
      </c>
      <c r="F87" s="64">
        <v>2.4900000000000002</v>
      </c>
      <c r="G87" s="64">
        <v>81.7</v>
      </c>
      <c r="H87" s="64">
        <v>22.91</v>
      </c>
      <c r="I87" s="64">
        <v>0.1</v>
      </c>
      <c r="J87" s="64">
        <v>0.25</v>
      </c>
      <c r="K87" s="64">
        <v>354.9</v>
      </c>
      <c r="L87" s="64">
        <v>16.32</v>
      </c>
      <c r="M87" s="64">
        <v>64.510000000000005</v>
      </c>
      <c r="N87" s="64">
        <v>51.4</v>
      </c>
      <c r="O87" s="64">
        <v>0</v>
      </c>
      <c r="P87" s="64">
        <v>1.76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4" t="s">
        <v>2150</v>
      </c>
      <c r="B88" s="64">
        <v>30.12</v>
      </c>
      <c r="C88" s="64">
        <v>18.11</v>
      </c>
      <c r="D88" s="64">
        <v>32.96</v>
      </c>
      <c r="E88" s="64">
        <v>5.01</v>
      </c>
      <c r="F88" s="64">
        <v>2.48</v>
      </c>
      <c r="G88" s="64">
        <v>85.34</v>
      </c>
      <c r="H88" s="64">
        <v>26.91</v>
      </c>
      <c r="I88" s="64">
        <v>0.1</v>
      </c>
      <c r="J88" s="64">
        <v>0.72</v>
      </c>
      <c r="K88" s="64">
        <v>27.91</v>
      </c>
      <c r="L88" s="64">
        <v>16.170000000000002</v>
      </c>
      <c r="M88" s="64">
        <v>65.81</v>
      </c>
      <c r="N88" s="64">
        <v>51.5</v>
      </c>
      <c r="O88" s="64">
        <v>0</v>
      </c>
      <c r="P88" s="64">
        <v>1.91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4" t="s">
        <v>2151</v>
      </c>
      <c r="B89" s="64">
        <v>33.94</v>
      </c>
      <c r="C89" s="64">
        <v>15.89</v>
      </c>
      <c r="D89" s="64">
        <v>34.86</v>
      </c>
      <c r="E89" s="64">
        <v>5.66</v>
      </c>
      <c r="F89" s="64">
        <v>2.39</v>
      </c>
      <c r="G89" s="64">
        <v>86.74</v>
      </c>
      <c r="H89" s="64">
        <v>27.09</v>
      </c>
      <c r="I89" s="64">
        <v>0.1</v>
      </c>
      <c r="J89" s="64">
        <v>0.67</v>
      </c>
      <c r="K89" s="64">
        <v>341.87</v>
      </c>
      <c r="L89" s="64">
        <v>16.309999999999999</v>
      </c>
      <c r="M89" s="64">
        <v>60.68</v>
      </c>
      <c r="N89" s="64">
        <v>51.7</v>
      </c>
      <c r="O89" s="64">
        <v>0</v>
      </c>
      <c r="P89" s="64">
        <v>2.02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4" t="s">
        <v>2152</v>
      </c>
      <c r="B90" s="64">
        <v>37</v>
      </c>
      <c r="C90" s="64">
        <v>14.04</v>
      </c>
      <c r="D90" s="64">
        <v>36.36</v>
      </c>
      <c r="E90" s="64">
        <v>5.51</v>
      </c>
      <c r="F90" s="64">
        <v>2.39</v>
      </c>
      <c r="G90" s="64">
        <v>86.74</v>
      </c>
      <c r="H90" s="64">
        <v>27.09</v>
      </c>
      <c r="I90" s="64">
        <v>0.1</v>
      </c>
      <c r="J90" s="64">
        <v>0.49</v>
      </c>
      <c r="K90" s="64">
        <v>315.70999999999998</v>
      </c>
      <c r="L90" s="64">
        <v>15.81</v>
      </c>
      <c r="M90" s="64">
        <v>62.29</v>
      </c>
      <c r="N90" s="64">
        <v>51.7</v>
      </c>
      <c r="O90" s="64">
        <v>0</v>
      </c>
      <c r="P90" s="64">
        <v>2.1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4" t="s">
        <v>2153</v>
      </c>
      <c r="B91" s="64">
        <v>39.19</v>
      </c>
      <c r="C91" s="64">
        <v>12.56</v>
      </c>
      <c r="D91" s="64">
        <v>37.340000000000003</v>
      </c>
      <c r="E91" s="64">
        <v>4.91</v>
      </c>
      <c r="F91" s="64">
        <v>2.57</v>
      </c>
      <c r="G91" s="64">
        <v>86.74</v>
      </c>
      <c r="H91" s="64">
        <v>27.09</v>
      </c>
      <c r="I91" s="64">
        <v>0.1</v>
      </c>
      <c r="J91" s="64">
        <v>0.51</v>
      </c>
      <c r="K91" s="64">
        <v>137.76</v>
      </c>
      <c r="L91" s="64">
        <v>15.56</v>
      </c>
      <c r="M91" s="64">
        <v>64.95</v>
      </c>
      <c r="N91" s="64">
        <v>51.7</v>
      </c>
      <c r="O91" s="64">
        <v>0</v>
      </c>
      <c r="P91" s="64">
        <v>2.16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4" t="s">
        <v>2154</v>
      </c>
      <c r="B92" s="64">
        <v>41.16</v>
      </c>
      <c r="C92" s="64">
        <v>11.67</v>
      </c>
      <c r="D92" s="64">
        <v>38.450000000000003</v>
      </c>
      <c r="E92" s="64">
        <v>4.99</v>
      </c>
      <c r="F92" s="64">
        <v>2.1800000000000002</v>
      </c>
      <c r="G92" s="64">
        <v>76.98</v>
      </c>
      <c r="H92" s="64">
        <v>29.09</v>
      </c>
      <c r="I92" s="64">
        <v>0.1</v>
      </c>
      <c r="J92" s="64">
        <v>0.8</v>
      </c>
      <c r="K92" s="64">
        <v>259.36</v>
      </c>
      <c r="L92" s="64">
        <v>15.38</v>
      </c>
      <c r="M92" s="64">
        <v>66.599999999999994</v>
      </c>
      <c r="N92" s="64">
        <v>51.6</v>
      </c>
      <c r="O92" s="64">
        <v>0</v>
      </c>
      <c r="P92" s="64">
        <v>2.23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4" t="s">
        <v>2155</v>
      </c>
      <c r="B93" s="64">
        <v>43.45</v>
      </c>
      <c r="C93" s="64">
        <v>10.51</v>
      </c>
      <c r="D93" s="64">
        <v>39.68</v>
      </c>
      <c r="E93" s="64">
        <v>5.36</v>
      </c>
      <c r="F93" s="64">
        <v>2.15</v>
      </c>
      <c r="G93" s="64">
        <v>73.23</v>
      </c>
      <c r="H93" s="64">
        <v>29.19</v>
      </c>
      <c r="I93" s="64">
        <v>0.1</v>
      </c>
      <c r="J93" s="64">
        <v>0.86</v>
      </c>
      <c r="K93" s="64">
        <v>269.64</v>
      </c>
      <c r="L93" s="64">
        <v>15.45</v>
      </c>
      <c r="M93" s="64">
        <v>71.180000000000007</v>
      </c>
      <c r="N93" s="64">
        <v>51.4</v>
      </c>
      <c r="O93" s="64">
        <v>0</v>
      </c>
      <c r="P93" s="64">
        <v>2.3199999999999998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4" t="s">
        <v>2156</v>
      </c>
      <c r="B94" s="64">
        <v>46.53</v>
      </c>
      <c r="C94" s="64">
        <v>8.65</v>
      </c>
      <c r="D94" s="64">
        <v>41.18</v>
      </c>
      <c r="E94" s="64">
        <v>5.09</v>
      </c>
      <c r="F94" s="64">
        <v>2.17</v>
      </c>
      <c r="G94" s="64">
        <v>73.23</v>
      </c>
      <c r="H94" s="64">
        <v>29.19</v>
      </c>
      <c r="I94" s="64">
        <v>0.1</v>
      </c>
      <c r="J94" s="64">
        <v>0.77</v>
      </c>
      <c r="K94" s="64">
        <v>271.11</v>
      </c>
      <c r="L94" s="64">
        <v>15.24</v>
      </c>
      <c r="M94" s="64">
        <v>71.89</v>
      </c>
      <c r="N94" s="64">
        <v>51.6</v>
      </c>
      <c r="O94" s="64">
        <v>0</v>
      </c>
      <c r="P94" s="64">
        <v>2.39</v>
      </c>
      <c r="Q94" s="64">
        <v>9.67</v>
      </c>
      <c r="R94" s="198"/>
      <c r="S94" s="198"/>
      <c r="T94" s="198"/>
      <c r="U94" s="198"/>
    </row>
    <row r="95" spans="1:26" s="12" customFormat="1" x14ac:dyDescent="0.25">
      <c r="A95" s="214" t="s">
        <v>2157</v>
      </c>
      <c r="B95" s="64">
        <v>50.49</v>
      </c>
      <c r="C95" s="64">
        <v>6.43</v>
      </c>
      <c r="D95" s="64">
        <v>43.2</v>
      </c>
      <c r="E95" s="64">
        <v>5.2</v>
      </c>
      <c r="F95" s="64">
        <v>2.13</v>
      </c>
      <c r="G95" s="64">
        <v>73.23</v>
      </c>
      <c r="H95" s="64">
        <v>29.19</v>
      </c>
      <c r="I95" s="64">
        <v>0.1</v>
      </c>
      <c r="J95" s="64">
        <v>0.72</v>
      </c>
      <c r="K95" s="64">
        <v>305.94</v>
      </c>
      <c r="L95" s="64">
        <v>15.01</v>
      </c>
      <c r="M95" s="64">
        <v>75.45</v>
      </c>
      <c r="N95" s="64">
        <v>51.7</v>
      </c>
      <c r="O95" s="64">
        <v>0</v>
      </c>
      <c r="P95" s="64">
        <v>2.46</v>
      </c>
      <c r="Q95" s="64">
        <v>9.68</v>
      </c>
      <c r="R95" s="198"/>
      <c r="S95" s="198"/>
      <c r="T95" s="198"/>
      <c r="U95" s="198"/>
    </row>
    <row r="96" spans="1:26" s="12" customFormat="1" x14ac:dyDescent="0.25">
      <c r="A96" s="214" t="s">
        <v>2158</v>
      </c>
      <c r="B96" s="64">
        <v>56</v>
      </c>
      <c r="C96" s="64">
        <v>3.31</v>
      </c>
      <c r="D96" s="64">
        <v>45.98</v>
      </c>
      <c r="E96" s="64">
        <v>5.46</v>
      </c>
      <c r="F96" s="64">
        <v>2.2999999999999998</v>
      </c>
      <c r="G96" s="64">
        <v>83.27</v>
      </c>
      <c r="H96" s="64">
        <v>29.51</v>
      </c>
      <c r="I96" s="64">
        <v>0.1</v>
      </c>
      <c r="J96" s="64">
        <v>0.47</v>
      </c>
      <c r="K96" s="64">
        <v>339.57</v>
      </c>
      <c r="L96" s="64">
        <v>14.65</v>
      </c>
      <c r="M96" s="64">
        <v>75.709999999999994</v>
      </c>
      <c r="N96" s="64">
        <v>51.4</v>
      </c>
      <c r="O96" s="64">
        <v>0</v>
      </c>
      <c r="P96" s="64">
        <v>2.5499999999999998</v>
      </c>
      <c r="Q96" s="64">
        <v>9.68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2159</v>
      </c>
      <c r="B97" s="64">
        <v>59.68</v>
      </c>
      <c r="C97" s="64">
        <v>1.1499999999999999</v>
      </c>
      <c r="D97" s="64">
        <v>47.81</v>
      </c>
      <c r="E97" s="64">
        <v>5.52</v>
      </c>
      <c r="F97" s="64">
        <v>2.5499999999999998</v>
      </c>
      <c r="G97" s="64">
        <v>87.13</v>
      </c>
      <c r="H97" s="64">
        <v>29.54</v>
      </c>
      <c r="I97" s="64">
        <v>0.1</v>
      </c>
      <c r="J97" s="64">
        <v>0.69</v>
      </c>
      <c r="K97" s="64">
        <v>311.48</v>
      </c>
      <c r="L97" s="64">
        <v>15.05</v>
      </c>
      <c r="M97" s="64">
        <v>73.17</v>
      </c>
      <c r="N97" s="64">
        <v>50.9</v>
      </c>
      <c r="O97" s="64">
        <v>0</v>
      </c>
      <c r="P97" s="64">
        <v>2.6</v>
      </c>
      <c r="Q97" s="64">
        <v>9.69</v>
      </c>
      <c r="R97" s="198"/>
      <c r="S97" s="198"/>
      <c r="T97" s="198"/>
      <c r="U97" s="198"/>
    </row>
    <row r="98" spans="1:33" s="12" customFormat="1" x14ac:dyDescent="0.25">
      <c r="A98" s="214" t="s">
        <v>2160</v>
      </c>
      <c r="B98" s="64">
        <v>61.39</v>
      </c>
      <c r="C98" s="64">
        <v>0.11</v>
      </c>
      <c r="D98" s="64">
        <v>48.64</v>
      </c>
      <c r="E98" s="64">
        <v>5.56</v>
      </c>
      <c r="F98" s="64">
        <v>2.46</v>
      </c>
      <c r="G98" s="64">
        <v>87.13</v>
      </c>
      <c r="H98" s="64">
        <v>29.54</v>
      </c>
      <c r="I98" s="64">
        <v>0.1</v>
      </c>
      <c r="J98" s="64">
        <v>0.21</v>
      </c>
      <c r="K98" s="64">
        <v>150.47</v>
      </c>
      <c r="L98" s="64">
        <v>15.77</v>
      </c>
      <c r="M98" s="64">
        <v>59.77</v>
      </c>
      <c r="N98" s="64">
        <v>50.2</v>
      </c>
      <c r="O98" s="64">
        <v>0</v>
      </c>
      <c r="P98" s="64">
        <v>2.61</v>
      </c>
      <c r="Q98" s="64">
        <v>9.7100000000000009</v>
      </c>
      <c r="R98" s="198"/>
      <c r="S98" s="198"/>
      <c r="T98" s="198"/>
      <c r="U98" s="198"/>
    </row>
    <row r="99" spans="1:33" s="12" customFormat="1" x14ac:dyDescent="0.25">
      <c r="A99" s="214" t="s">
        <v>2161</v>
      </c>
      <c r="B99" s="64">
        <v>60.16</v>
      </c>
      <c r="C99" s="64">
        <v>0.26</v>
      </c>
      <c r="D99" s="64">
        <v>47.73</v>
      </c>
      <c r="E99" s="64">
        <v>5.77</v>
      </c>
      <c r="F99" s="64">
        <v>2.57</v>
      </c>
      <c r="G99" s="64">
        <v>87.13</v>
      </c>
      <c r="H99" s="64">
        <v>29.54</v>
      </c>
      <c r="I99" s="64">
        <v>0.1</v>
      </c>
      <c r="J99" s="64">
        <v>1.05</v>
      </c>
      <c r="K99" s="64">
        <v>115.64</v>
      </c>
      <c r="L99" s="64">
        <v>16.25</v>
      </c>
      <c r="M99" s="64">
        <v>54.53</v>
      </c>
      <c r="N99" s="64">
        <v>50.6</v>
      </c>
      <c r="O99" s="64">
        <v>0</v>
      </c>
      <c r="P99" s="64">
        <v>2.52</v>
      </c>
      <c r="Q99" s="64">
        <v>9.69</v>
      </c>
      <c r="R99" s="198"/>
      <c r="S99" s="198"/>
      <c r="T99" s="198"/>
      <c r="U99" s="198"/>
    </row>
    <row r="100" spans="1:33" s="12" customFormat="1" x14ac:dyDescent="0.25">
      <c r="A100" s="214" t="s">
        <v>2162</v>
      </c>
      <c r="B100" s="64">
        <v>56.39</v>
      </c>
      <c r="C100" s="64">
        <v>1.4</v>
      </c>
      <c r="D100" s="64">
        <v>45.3</v>
      </c>
      <c r="E100" s="64">
        <v>5.62</v>
      </c>
      <c r="F100" s="64">
        <v>2.64</v>
      </c>
      <c r="G100" s="64">
        <v>320.08999999999997</v>
      </c>
      <c r="H100" s="64">
        <v>25.4</v>
      </c>
      <c r="I100" s="64">
        <v>0.1</v>
      </c>
      <c r="J100" s="64">
        <v>0.83</v>
      </c>
      <c r="K100" s="64">
        <v>105.97</v>
      </c>
      <c r="L100" s="64">
        <v>16.22</v>
      </c>
      <c r="M100" s="64">
        <v>53.49</v>
      </c>
      <c r="N100" s="64">
        <v>51</v>
      </c>
      <c r="O100" s="64">
        <v>0</v>
      </c>
      <c r="P100" s="64">
        <v>2.41</v>
      </c>
      <c r="Q100" s="64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2163</v>
      </c>
      <c r="B101" s="64">
        <v>54.26</v>
      </c>
      <c r="C101" s="64">
        <v>2.4300000000000002</v>
      </c>
      <c r="D101" s="64">
        <v>44.13</v>
      </c>
      <c r="E101" s="64">
        <v>5.27</v>
      </c>
      <c r="F101" s="64">
        <v>2.74</v>
      </c>
      <c r="G101" s="64">
        <v>409.69</v>
      </c>
      <c r="H101" s="64">
        <v>25.21</v>
      </c>
      <c r="I101" s="64">
        <v>0.1</v>
      </c>
      <c r="J101" s="64">
        <v>0.82</v>
      </c>
      <c r="K101" s="64">
        <v>115.56</v>
      </c>
      <c r="L101" s="64">
        <v>16.149999999999999</v>
      </c>
      <c r="M101" s="64">
        <v>53.36</v>
      </c>
      <c r="N101" s="64">
        <v>51.2</v>
      </c>
      <c r="O101" s="64">
        <v>0</v>
      </c>
      <c r="P101" s="64">
        <v>2.3199999999999998</v>
      </c>
      <c r="Q101" s="64">
        <v>9.69</v>
      </c>
      <c r="R101" s="198"/>
      <c r="S101" s="198"/>
      <c r="T101" s="198"/>
      <c r="U101" s="198"/>
    </row>
    <row r="102" spans="1:33" s="12" customFormat="1" x14ac:dyDescent="0.25">
      <c r="A102" s="214" t="s">
        <v>2164</v>
      </c>
      <c r="B102" s="64">
        <v>51.27</v>
      </c>
      <c r="C102" s="64">
        <v>3.67</v>
      </c>
      <c r="D102" s="64">
        <v>42.38</v>
      </c>
      <c r="E102" s="64">
        <v>5.32</v>
      </c>
      <c r="F102" s="64">
        <v>2.66</v>
      </c>
      <c r="G102" s="64">
        <v>409.69</v>
      </c>
      <c r="H102" s="64">
        <v>25.21</v>
      </c>
      <c r="I102" s="64">
        <v>0.1</v>
      </c>
      <c r="J102" s="64">
        <v>0.42</v>
      </c>
      <c r="K102" s="64">
        <v>114.17</v>
      </c>
      <c r="L102" s="64">
        <v>15.98</v>
      </c>
      <c r="M102" s="64">
        <v>53.31</v>
      </c>
      <c r="N102" s="64">
        <v>51.3</v>
      </c>
      <c r="O102" s="64">
        <v>0</v>
      </c>
      <c r="P102" s="64">
        <v>2.23</v>
      </c>
      <c r="Q102" s="64">
        <v>9.68</v>
      </c>
      <c r="R102" s="198"/>
      <c r="S102" s="198"/>
      <c r="T102" s="198"/>
      <c r="U102" s="198"/>
    </row>
    <row r="103" spans="1:33" s="12" customFormat="1" x14ac:dyDescent="0.25">
      <c r="A103" s="214" t="s">
        <v>2165</v>
      </c>
      <c r="B103" s="64">
        <v>48.32</v>
      </c>
      <c r="C103" s="64">
        <v>4.95</v>
      </c>
      <c r="D103" s="64">
        <v>40.68</v>
      </c>
      <c r="E103" s="64">
        <v>5.18</v>
      </c>
      <c r="F103" s="64">
        <v>2.5</v>
      </c>
      <c r="G103" s="64">
        <v>409.69</v>
      </c>
      <c r="H103" s="64">
        <v>25.21</v>
      </c>
      <c r="I103" s="64">
        <v>0.1</v>
      </c>
      <c r="J103" s="64">
        <v>0.8</v>
      </c>
      <c r="K103" s="64">
        <v>110.78</v>
      </c>
      <c r="L103" s="64">
        <v>15.81</v>
      </c>
      <c r="M103" s="64">
        <v>54.61</v>
      </c>
      <c r="N103" s="64">
        <v>51.4</v>
      </c>
      <c r="O103" s="64">
        <v>0</v>
      </c>
      <c r="P103" s="64">
        <v>2.15</v>
      </c>
      <c r="Q103" s="64">
        <v>9.67</v>
      </c>
      <c r="R103" s="198"/>
      <c r="S103" s="198"/>
      <c r="T103" s="198"/>
      <c r="U103" s="198"/>
    </row>
    <row r="104" spans="1:33" s="12" customFormat="1" x14ac:dyDescent="0.25">
      <c r="A104" s="214" t="s">
        <v>2166</v>
      </c>
      <c r="B104" s="64">
        <v>45.53</v>
      </c>
      <c r="C104" s="64">
        <v>6.09</v>
      </c>
      <c r="D104" s="64">
        <v>39.04</v>
      </c>
      <c r="E104" s="64">
        <v>5.72</v>
      </c>
      <c r="F104" s="64">
        <v>2.3199999999999998</v>
      </c>
      <c r="G104" s="64">
        <v>159.47</v>
      </c>
      <c r="H104" s="64">
        <v>21.12</v>
      </c>
      <c r="I104" s="64">
        <v>0.1</v>
      </c>
      <c r="J104" s="64">
        <v>0.68</v>
      </c>
      <c r="K104" s="64">
        <v>117.45</v>
      </c>
      <c r="L104" s="64">
        <v>15.55</v>
      </c>
      <c r="M104" s="64">
        <v>56</v>
      </c>
      <c r="N104" s="64">
        <v>51.4</v>
      </c>
      <c r="O104" s="64">
        <v>0</v>
      </c>
      <c r="P104" s="64">
        <v>2.0699999999999998</v>
      </c>
      <c r="Q104" s="64">
        <v>9.67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7.88</v>
      </c>
      <c r="C106" s="67">
        <f>MIN(C9:C104)</f>
        <v>0.11</v>
      </c>
      <c r="D106" s="67">
        <f t="shared" ref="D106:Q106" si="0">MIN(D9:D104)</f>
        <v>19.89</v>
      </c>
      <c r="E106" s="67">
        <f t="shared" si="0"/>
        <v>4.43</v>
      </c>
      <c r="F106" s="67">
        <f t="shared" si="0"/>
        <v>2.13</v>
      </c>
      <c r="G106" s="67">
        <f t="shared" si="0"/>
        <v>31.02</v>
      </c>
      <c r="H106" s="67">
        <f t="shared" si="0"/>
        <v>12.62</v>
      </c>
      <c r="I106" s="67">
        <f t="shared" si="0"/>
        <v>0.1</v>
      </c>
      <c r="J106" s="67">
        <f t="shared" si="0"/>
        <v>0.02</v>
      </c>
      <c r="K106" s="67">
        <f t="shared" si="0"/>
        <v>0.23</v>
      </c>
      <c r="L106" s="67">
        <f t="shared" si="0"/>
        <v>11.74</v>
      </c>
      <c r="M106" s="67">
        <f t="shared" si="0"/>
        <v>27.73</v>
      </c>
      <c r="N106" s="67">
        <f t="shared" si="0"/>
        <v>49.8</v>
      </c>
      <c r="O106" s="67">
        <f t="shared" si="0"/>
        <v>0</v>
      </c>
      <c r="P106" s="67">
        <f t="shared" si="0"/>
        <v>0.95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61.39</v>
      </c>
      <c r="C107" s="66">
        <f t="shared" ref="C107:Q107" si="1">MAX(C9:C104)</f>
        <v>38.99</v>
      </c>
      <c r="D107" s="66">
        <f t="shared" si="1"/>
        <v>48.64</v>
      </c>
      <c r="E107" s="66">
        <f t="shared" si="1"/>
        <v>19.34</v>
      </c>
      <c r="F107" s="66">
        <f t="shared" si="1"/>
        <v>6.4</v>
      </c>
      <c r="G107" s="66">
        <f t="shared" si="1"/>
        <v>409.69</v>
      </c>
      <c r="H107" s="66">
        <f t="shared" si="1"/>
        <v>29.54</v>
      </c>
      <c r="I107" s="66">
        <f t="shared" si="1"/>
        <v>0.1</v>
      </c>
      <c r="J107" s="66">
        <f t="shared" si="1"/>
        <v>2.0099999999999998</v>
      </c>
      <c r="K107" s="66">
        <f t="shared" si="1"/>
        <v>358.04</v>
      </c>
      <c r="L107" s="66">
        <f t="shared" si="1"/>
        <v>27.73</v>
      </c>
      <c r="M107" s="66">
        <f t="shared" si="1"/>
        <v>97.11</v>
      </c>
      <c r="N107" s="66">
        <f t="shared" si="1"/>
        <v>486.6</v>
      </c>
      <c r="O107" s="66">
        <f t="shared" si="1"/>
        <v>0</v>
      </c>
      <c r="P107" s="66">
        <f t="shared" si="1"/>
        <v>2.61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23.77791666666668</v>
      </c>
      <c r="C108" s="67">
        <f t="shared" ref="C108:Q108" si="2">AVERAGE(C9:C104)</f>
        <v>19.267291666666669</v>
      </c>
      <c r="D108" s="67">
        <f t="shared" si="2"/>
        <v>28.480833333333326</v>
      </c>
      <c r="E108" s="67">
        <f t="shared" si="2"/>
        <v>6.6130208333333309</v>
      </c>
      <c r="F108" s="67">
        <f t="shared" si="2"/>
        <v>2.9322916666666665</v>
      </c>
      <c r="G108" s="67">
        <f t="shared" si="2"/>
        <v>72.67999999999995</v>
      </c>
      <c r="H108" s="67">
        <f t="shared" si="2"/>
        <v>18.613229166666667</v>
      </c>
      <c r="I108" s="67">
        <f t="shared" si="2"/>
        <v>9.9999999999999811E-2</v>
      </c>
      <c r="J108" s="67">
        <f t="shared" si="2"/>
        <v>0.8458333333333331</v>
      </c>
      <c r="K108" s="67">
        <f t="shared" si="2"/>
        <v>233.43989583333334</v>
      </c>
      <c r="L108" s="67">
        <f t="shared" si="2"/>
        <v>18.011145833333334</v>
      </c>
      <c r="M108" s="67">
        <f t="shared" si="2"/>
        <v>58.732395833333356</v>
      </c>
      <c r="N108" s="67">
        <f t="shared" si="2"/>
        <v>148.84583333333333</v>
      </c>
      <c r="O108" s="67">
        <f t="shared" si="2"/>
        <v>0</v>
      </c>
      <c r="P108" s="67">
        <f t="shared" si="2"/>
        <v>1.4414583333333326</v>
      </c>
      <c r="Q108" s="67">
        <f t="shared" si="2"/>
        <v>9.6367708333333297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13.137999680850745</v>
      </c>
      <c r="C109" s="67">
        <f t="shared" ref="C109:Q109" si="3">STDEV(C9:C104)</f>
        <v>8.7133299549316288</v>
      </c>
      <c r="D109" s="67">
        <f t="shared" si="3"/>
        <v>7.2420277280631398</v>
      </c>
      <c r="E109" s="67">
        <f t="shared" si="3"/>
        <v>3.6569985161235499</v>
      </c>
      <c r="F109" s="67">
        <f t="shared" si="3"/>
        <v>0.99049533505813636</v>
      </c>
      <c r="G109" s="67">
        <f t="shared" si="3"/>
        <v>74.767421106705157</v>
      </c>
      <c r="H109" s="67">
        <f t="shared" si="3"/>
        <v>4.8546530028941151</v>
      </c>
      <c r="I109" s="67">
        <f t="shared" si="3"/>
        <v>1.9530892623466312E-16</v>
      </c>
      <c r="J109" s="67">
        <f t="shared" si="3"/>
        <v>0.4900282841818886</v>
      </c>
      <c r="K109" s="67">
        <f t="shared" si="3"/>
        <v>123.71363831122076</v>
      </c>
      <c r="L109" s="67">
        <f t="shared" si="3"/>
        <v>5.0618625383801321</v>
      </c>
      <c r="M109" s="67">
        <f t="shared" si="3"/>
        <v>21.294883286826412</v>
      </c>
      <c r="N109" s="67">
        <f t="shared" si="3"/>
        <v>154.5692785685207</v>
      </c>
      <c r="O109" s="67">
        <f t="shared" si="3"/>
        <v>0</v>
      </c>
      <c r="P109" s="67">
        <f t="shared" si="3"/>
        <v>0.45567065476508006</v>
      </c>
      <c r="Q109" s="67">
        <f t="shared" si="3"/>
        <v>2.3010056916449601E-2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36" sqref="G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2167</v>
      </c>
      <c r="B9" s="64">
        <v>42.89</v>
      </c>
      <c r="C9" s="64">
        <v>7.34</v>
      </c>
      <c r="D9" s="64">
        <v>37.57</v>
      </c>
      <c r="E9" s="64">
        <v>5.66</v>
      </c>
      <c r="F9" s="64">
        <v>2.54</v>
      </c>
      <c r="G9" s="64">
        <v>63.23</v>
      </c>
      <c r="H9" s="64">
        <v>20.93</v>
      </c>
      <c r="I9" s="64">
        <v>0.1</v>
      </c>
      <c r="J9" s="64">
        <v>0.34</v>
      </c>
      <c r="K9" s="64">
        <v>117.61</v>
      </c>
      <c r="L9" s="64">
        <v>15.37</v>
      </c>
      <c r="M9" s="64">
        <v>57.13</v>
      </c>
      <c r="N9" s="64">
        <v>51.5</v>
      </c>
      <c r="O9" s="64">
        <v>0</v>
      </c>
      <c r="P9" s="64">
        <v>2</v>
      </c>
      <c r="Q9" s="64">
        <v>9.67</v>
      </c>
      <c r="R9" s="198"/>
      <c r="S9" s="198"/>
      <c r="T9" s="198"/>
      <c r="U9" s="198"/>
    </row>
    <row r="10" spans="1:21" s="12" customFormat="1" x14ac:dyDescent="0.25">
      <c r="A10" s="214" t="s">
        <v>2168</v>
      </c>
      <c r="B10" s="64">
        <v>40.33</v>
      </c>
      <c r="C10" s="64">
        <v>8.4499999999999993</v>
      </c>
      <c r="D10" s="64">
        <v>36.1</v>
      </c>
      <c r="E10" s="64">
        <v>5.05</v>
      </c>
      <c r="F10" s="64">
        <v>2.44</v>
      </c>
      <c r="G10" s="64">
        <v>63.23</v>
      </c>
      <c r="H10" s="64">
        <v>20.93</v>
      </c>
      <c r="I10" s="64">
        <v>0.1</v>
      </c>
      <c r="J10" s="64">
        <v>0.3</v>
      </c>
      <c r="K10" s="64">
        <v>342.26</v>
      </c>
      <c r="L10" s="64">
        <v>15.2</v>
      </c>
      <c r="M10" s="64">
        <v>57.95</v>
      </c>
      <c r="N10" s="64">
        <v>51.5</v>
      </c>
      <c r="O10" s="64">
        <v>0</v>
      </c>
      <c r="P10" s="64">
        <v>1.93</v>
      </c>
      <c r="Q10" s="64">
        <v>9.66</v>
      </c>
      <c r="R10" s="198"/>
      <c r="S10" s="198"/>
      <c r="T10" s="198"/>
      <c r="U10" s="198"/>
    </row>
    <row r="11" spans="1:21" s="12" customFormat="1" x14ac:dyDescent="0.25">
      <c r="A11" s="214" t="s">
        <v>2169</v>
      </c>
      <c r="B11" s="64">
        <v>38</v>
      </c>
      <c r="C11" s="64">
        <v>9.58</v>
      </c>
      <c r="D11" s="64">
        <v>34.83</v>
      </c>
      <c r="E11" s="64">
        <v>5.33</v>
      </c>
      <c r="F11" s="64">
        <v>2.39</v>
      </c>
      <c r="G11" s="64">
        <v>63.23</v>
      </c>
      <c r="H11" s="64">
        <v>20.93</v>
      </c>
      <c r="I11" s="64">
        <v>0.1</v>
      </c>
      <c r="J11" s="64">
        <v>0.39</v>
      </c>
      <c r="K11" s="64">
        <v>93.91</v>
      </c>
      <c r="L11" s="64">
        <v>15.1</v>
      </c>
      <c r="M11" s="64">
        <v>58.91</v>
      </c>
      <c r="N11" s="64">
        <v>51.3</v>
      </c>
      <c r="O11" s="64">
        <v>0</v>
      </c>
      <c r="P11" s="64">
        <v>1.86</v>
      </c>
      <c r="Q11" s="64">
        <v>9.66</v>
      </c>
      <c r="R11" s="198"/>
      <c r="S11" s="198"/>
      <c r="T11" s="198"/>
      <c r="U11" s="198"/>
    </row>
    <row r="12" spans="1:21" s="12" customFormat="1" x14ac:dyDescent="0.25">
      <c r="A12" s="214" t="s">
        <v>2170</v>
      </c>
      <c r="B12" s="64">
        <v>34.68</v>
      </c>
      <c r="C12" s="64">
        <v>11.21</v>
      </c>
      <c r="D12" s="64">
        <v>33.020000000000003</v>
      </c>
      <c r="E12" s="64">
        <v>5.17</v>
      </c>
      <c r="F12" s="64">
        <v>2.56</v>
      </c>
      <c r="G12" s="64">
        <v>65.22</v>
      </c>
      <c r="H12" s="64">
        <v>18.850000000000001</v>
      </c>
      <c r="I12" s="64">
        <v>0.1</v>
      </c>
      <c r="J12" s="64">
        <v>0.25</v>
      </c>
      <c r="K12" s="64">
        <v>66.84</v>
      </c>
      <c r="L12" s="64">
        <v>15.01</v>
      </c>
      <c r="M12" s="64">
        <v>59.43</v>
      </c>
      <c r="N12" s="64">
        <v>51.3</v>
      </c>
      <c r="O12" s="64">
        <v>0</v>
      </c>
      <c r="P12" s="64">
        <v>1.8</v>
      </c>
      <c r="Q12" s="64">
        <v>9.65</v>
      </c>
      <c r="R12" s="198"/>
      <c r="S12" s="198"/>
      <c r="T12" s="198"/>
      <c r="U12" s="198"/>
    </row>
    <row r="13" spans="1:21" s="12" customFormat="1" x14ac:dyDescent="0.25">
      <c r="A13" s="214" t="s">
        <v>2171</v>
      </c>
      <c r="B13" s="64">
        <v>33.299999999999997</v>
      </c>
      <c r="C13" s="64">
        <v>11.54</v>
      </c>
      <c r="D13" s="64">
        <v>32.08</v>
      </c>
      <c r="E13" s="64">
        <v>4.8600000000000003</v>
      </c>
      <c r="F13" s="64">
        <v>2.5499999999999998</v>
      </c>
      <c r="G13" s="64">
        <v>65.989999999999995</v>
      </c>
      <c r="H13" s="64">
        <v>18.75</v>
      </c>
      <c r="I13" s="64">
        <v>0.1</v>
      </c>
      <c r="J13" s="64">
        <v>0.15</v>
      </c>
      <c r="K13" s="64">
        <v>30.26</v>
      </c>
      <c r="L13" s="64">
        <v>14.78</v>
      </c>
      <c r="M13" s="64">
        <v>60.6</v>
      </c>
      <c r="N13" s="64">
        <v>51.4</v>
      </c>
      <c r="O13" s="64">
        <v>0</v>
      </c>
      <c r="P13" s="64">
        <v>1.74</v>
      </c>
      <c r="Q13" s="64">
        <v>9.64</v>
      </c>
      <c r="R13" s="198"/>
      <c r="S13" s="198"/>
      <c r="T13" s="198"/>
      <c r="U13" s="198"/>
    </row>
    <row r="14" spans="1:21" s="12" customFormat="1" x14ac:dyDescent="0.25">
      <c r="A14" s="214" t="s">
        <v>2172</v>
      </c>
      <c r="B14" s="64">
        <v>31.65</v>
      </c>
      <c r="C14" s="64">
        <v>12.3</v>
      </c>
      <c r="D14" s="64">
        <v>31.15</v>
      </c>
      <c r="E14" s="64">
        <v>5.27</v>
      </c>
      <c r="F14" s="64">
        <v>2.27</v>
      </c>
      <c r="G14" s="64">
        <v>65.989999999999995</v>
      </c>
      <c r="H14" s="64">
        <v>18.75</v>
      </c>
      <c r="I14" s="64">
        <v>0.1</v>
      </c>
      <c r="J14" s="64">
        <v>0.36</v>
      </c>
      <c r="K14" s="64">
        <v>297.86</v>
      </c>
      <c r="L14" s="64">
        <v>14.62</v>
      </c>
      <c r="M14" s="64">
        <v>61.79</v>
      </c>
      <c r="N14" s="64">
        <v>51.4</v>
      </c>
      <c r="O14" s="64">
        <v>0</v>
      </c>
      <c r="P14" s="64">
        <v>1.77</v>
      </c>
      <c r="Q14" s="64">
        <v>9.64</v>
      </c>
      <c r="R14" s="198"/>
      <c r="S14" s="198"/>
      <c r="T14" s="198"/>
      <c r="U14" s="198"/>
    </row>
    <row r="15" spans="1:21" s="12" customFormat="1" x14ac:dyDescent="0.25">
      <c r="A15" s="214" t="s">
        <v>2173</v>
      </c>
      <c r="B15" s="64">
        <v>29.92</v>
      </c>
      <c r="C15" s="64">
        <v>13.05</v>
      </c>
      <c r="D15" s="64">
        <v>30.16</v>
      </c>
      <c r="E15" s="64">
        <v>5.07</v>
      </c>
      <c r="F15" s="64">
        <v>2.4</v>
      </c>
      <c r="G15" s="64">
        <v>65.989999999999995</v>
      </c>
      <c r="H15" s="64">
        <v>18.75</v>
      </c>
      <c r="I15" s="64">
        <v>0.1</v>
      </c>
      <c r="J15" s="64">
        <v>0.88</v>
      </c>
      <c r="K15" s="64">
        <v>318.39</v>
      </c>
      <c r="L15" s="64">
        <v>14.32</v>
      </c>
      <c r="M15" s="64">
        <v>64.959999999999994</v>
      </c>
      <c r="N15" s="64">
        <v>51.6</v>
      </c>
      <c r="O15" s="64">
        <v>0</v>
      </c>
      <c r="P15" s="64">
        <v>1.74</v>
      </c>
      <c r="Q15" s="64">
        <v>9.65</v>
      </c>
      <c r="R15" s="198"/>
      <c r="S15" s="198"/>
      <c r="T15" s="198"/>
      <c r="U15" s="198"/>
    </row>
    <row r="16" spans="1:21" s="12" customFormat="1" x14ac:dyDescent="0.25">
      <c r="A16" s="214" t="s">
        <v>2174</v>
      </c>
      <c r="B16" s="64">
        <v>28.53</v>
      </c>
      <c r="C16" s="64">
        <v>13.59</v>
      </c>
      <c r="D16" s="64">
        <v>29.32</v>
      </c>
      <c r="E16" s="64">
        <v>5.18</v>
      </c>
      <c r="F16" s="64">
        <v>2.21</v>
      </c>
      <c r="G16" s="64">
        <v>38.94</v>
      </c>
      <c r="H16" s="64">
        <v>16.52</v>
      </c>
      <c r="I16" s="64">
        <v>0.1</v>
      </c>
      <c r="J16" s="64">
        <v>0.72</v>
      </c>
      <c r="K16" s="64">
        <v>307.05</v>
      </c>
      <c r="L16" s="64">
        <v>13.87</v>
      </c>
      <c r="M16" s="64">
        <v>69.47</v>
      </c>
      <c r="N16" s="64">
        <v>51.7</v>
      </c>
      <c r="O16" s="64">
        <v>0</v>
      </c>
      <c r="P16" s="64">
        <v>1.72</v>
      </c>
      <c r="Q16" s="64">
        <v>9.64</v>
      </c>
      <c r="R16" s="198"/>
      <c r="S16" s="198"/>
      <c r="T16" s="198"/>
      <c r="U16" s="198"/>
    </row>
    <row r="17" spans="1:21" s="12" customFormat="1" x14ac:dyDescent="0.25">
      <c r="A17" s="214" t="s">
        <v>2175</v>
      </c>
      <c r="B17" s="64">
        <v>27.25</v>
      </c>
      <c r="C17" s="64">
        <v>13.91</v>
      </c>
      <c r="D17" s="64">
        <v>28.47</v>
      </c>
      <c r="E17" s="64">
        <v>5.17</v>
      </c>
      <c r="F17" s="64">
        <v>2.5</v>
      </c>
      <c r="G17" s="64">
        <v>27.95</v>
      </c>
      <c r="H17" s="64">
        <v>16.36</v>
      </c>
      <c r="I17" s="64">
        <v>0.1</v>
      </c>
      <c r="J17" s="64">
        <v>0.08</v>
      </c>
      <c r="K17" s="64">
        <v>10.15</v>
      </c>
      <c r="L17" s="64">
        <v>13.45</v>
      </c>
      <c r="M17" s="64">
        <v>70.849999999999994</v>
      </c>
      <c r="N17" s="64">
        <v>51.6</v>
      </c>
      <c r="O17" s="64">
        <v>0</v>
      </c>
      <c r="P17" s="64">
        <v>1.69</v>
      </c>
      <c r="Q17" s="64">
        <v>9.64</v>
      </c>
      <c r="R17" s="198"/>
      <c r="S17" s="198"/>
      <c r="T17" s="198"/>
      <c r="U17" s="198"/>
    </row>
    <row r="18" spans="1:21" s="12" customFormat="1" x14ac:dyDescent="0.25">
      <c r="A18" s="214" t="s">
        <v>2176</v>
      </c>
      <c r="B18" s="64">
        <v>25.82</v>
      </c>
      <c r="C18" s="64">
        <v>14.38</v>
      </c>
      <c r="D18" s="64">
        <v>27.57</v>
      </c>
      <c r="E18" s="64">
        <v>5.2</v>
      </c>
      <c r="F18" s="64">
        <v>2.63</v>
      </c>
      <c r="G18" s="64">
        <v>27.95</v>
      </c>
      <c r="H18" s="64">
        <v>16.36</v>
      </c>
      <c r="I18" s="64">
        <v>0.1</v>
      </c>
      <c r="J18" s="64">
        <v>0.18</v>
      </c>
      <c r="K18" s="64">
        <v>102.8</v>
      </c>
      <c r="L18" s="64">
        <v>13.48</v>
      </c>
      <c r="M18" s="64">
        <v>69.2</v>
      </c>
      <c r="N18" s="64">
        <v>51.3</v>
      </c>
      <c r="O18" s="64">
        <v>0</v>
      </c>
      <c r="P18" s="64">
        <v>1.63</v>
      </c>
      <c r="Q18" s="64">
        <v>9.64</v>
      </c>
      <c r="R18" s="198"/>
      <c r="S18" s="198"/>
      <c r="T18" s="198"/>
      <c r="U18" s="198"/>
    </row>
    <row r="19" spans="1:21" s="12" customFormat="1" x14ac:dyDescent="0.25">
      <c r="A19" s="214" t="s">
        <v>2177</v>
      </c>
      <c r="B19" s="64">
        <v>24.46</v>
      </c>
      <c r="C19" s="64">
        <v>14.72</v>
      </c>
      <c r="D19" s="64">
        <v>26.65</v>
      </c>
      <c r="E19" s="64">
        <v>5.01</v>
      </c>
      <c r="F19" s="64">
        <v>2.87</v>
      </c>
      <c r="G19" s="64">
        <v>27.95</v>
      </c>
      <c r="H19" s="64">
        <v>16.36</v>
      </c>
      <c r="I19" s="64">
        <v>0.1</v>
      </c>
      <c r="J19" s="64">
        <v>0.86</v>
      </c>
      <c r="K19" s="64">
        <v>256.27</v>
      </c>
      <c r="L19" s="64">
        <v>13.23</v>
      </c>
      <c r="M19" s="64">
        <v>74.599999999999994</v>
      </c>
      <c r="N19" s="64">
        <v>51.4</v>
      </c>
      <c r="O19" s="64">
        <v>0</v>
      </c>
      <c r="P19" s="64">
        <v>1.57</v>
      </c>
      <c r="Q19" s="64">
        <v>9.6300000000000008</v>
      </c>
      <c r="R19" s="198"/>
      <c r="S19" s="198"/>
      <c r="T19" s="198"/>
      <c r="U19" s="198"/>
    </row>
    <row r="20" spans="1:21" s="12" customFormat="1" x14ac:dyDescent="0.25">
      <c r="A20" s="214" t="s">
        <v>2178</v>
      </c>
      <c r="B20" s="64">
        <v>23.25</v>
      </c>
      <c r="C20" s="64">
        <v>14.16</v>
      </c>
      <c r="D20" s="64">
        <v>25.39</v>
      </c>
      <c r="E20" s="64">
        <v>4.96</v>
      </c>
      <c r="F20" s="64">
        <v>2.69</v>
      </c>
      <c r="G20" s="64">
        <v>65.23</v>
      </c>
      <c r="H20" s="64">
        <v>14.32</v>
      </c>
      <c r="I20" s="64">
        <v>0.1</v>
      </c>
      <c r="J20" s="64">
        <v>0.77</v>
      </c>
      <c r="K20" s="64">
        <v>230.96</v>
      </c>
      <c r="L20" s="64">
        <v>12.92</v>
      </c>
      <c r="M20" s="64">
        <v>77.08</v>
      </c>
      <c r="N20" s="64">
        <v>51.4</v>
      </c>
      <c r="O20" s="64">
        <v>0</v>
      </c>
      <c r="P20" s="64">
        <v>1.53</v>
      </c>
      <c r="Q20" s="64">
        <v>9.64</v>
      </c>
      <c r="R20" s="198"/>
      <c r="S20" s="198"/>
      <c r="T20" s="198"/>
      <c r="U20" s="198"/>
    </row>
    <row r="21" spans="1:21" s="12" customFormat="1" x14ac:dyDescent="0.25">
      <c r="A21" s="214" t="s">
        <v>2179</v>
      </c>
      <c r="B21" s="64">
        <v>22.14</v>
      </c>
      <c r="C21" s="64">
        <v>14.58</v>
      </c>
      <c r="D21" s="64">
        <v>24.71</v>
      </c>
      <c r="E21" s="64">
        <v>5.24</v>
      </c>
      <c r="F21" s="64">
        <v>2.74</v>
      </c>
      <c r="G21" s="64">
        <v>80.37</v>
      </c>
      <c r="H21" s="64">
        <v>14.22</v>
      </c>
      <c r="I21" s="64">
        <v>0.1</v>
      </c>
      <c r="J21" s="64">
        <v>0.61</v>
      </c>
      <c r="K21" s="64">
        <v>327.73</v>
      </c>
      <c r="L21" s="64">
        <v>12.63</v>
      </c>
      <c r="M21" s="64">
        <v>83.33</v>
      </c>
      <c r="N21" s="64">
        <v>51.4</v>
      </c>
      <c r="O21" s="64">
        <v>0</v>
      </c>
      <c r="P21" s="64">
        <v>1.44</v>
      </c>
      <c r="Q21" s="64">
        <v>9.64</v>
      </c>
      <c r="R21" s="198"/>
      <c r="S21" s="198"/>
      <c r="T21" s="198"/>
      <c r="U21" s="198"/>
    </row>
    <row r="22" spans="1:21" s="12" customFormat="1" x14ac:dyDescent="0.25">
      <c r="A22" s="214" t="s">
        <v>2180</v>
      </c>
      <c r="B22" s="64">
        <v>21.14</v>
      </c>
      <c r="C22" s="64">
        <v>15.2</v>
      </c>
      <c r="D22" s="64">
        <v>24.24</v>
      </c>
      <c r="E22" s="64">
        <v>4.8899999999999997</v>
      </c>
      <c r="F22" s="64">
        <v>2.65</v>
      </c>
      <c r="G22" s="64">
        <v>80.37</v>
      </c>
      <c r="H22" s="64">
        <v>14.22</v>
      </c>
      <c r="I22" s="64">
        <v>0.1</v>
      </c>
      <c r="J22" s="64">
        <v>0.36</v>
      </c>
      <c r="K22" s="64">
        <v>140.4</v>
      </c>
      <c r="L22" s="64">
        <v>12.2</v>
      </c>
      <c r="M22" s="64">
        <v>85.71</v>
      </c>
      <c r="N22" s="64">
        <v>51.4</v>
      </c>
      <c r="O22" s="64">
        <v>0</v>
      </c>
      <c r="P22" s="64">
        <v>1.36</v>
      </c>
      <c r="Q22" s="64">
        <v>9.64</v>
      </c>
      <c r="R22" s="198"/>
      <c r="S22" s="198"/>
      <c r="T22" s="198"/>
      <c r="U22" s="198"/>
    </row>
    <row r="23" spans="1:21" s="12" customFormat="1" x14ac:dyDescent="0.25">
      <c r="A23" s="214" t="s">
        <v>2181</v>
      </c>
      <c r="B23" s="64">
        <v>20.21</v>
      </c>
      <c r="C23" s="64">
        <v>15.6</v>
      </c>
      <c r="D23" s="64">
        <v>23.7</v>
      </c>
      <c r="E23" s="64">
        <v>5.0999999999999996</v>
      </c>
      <c r="F23" s="64">
        <v>2.39</v>
      </c>
      <c r="G23" s="64">
        <v>80.37</v>
      </c>
      <c r="H23" s="64">
        <v>14.22</v>
      </c>
      <c r="I23" s="64">
        <v>0.1</v>
      </c>
      <c r="J23" s="64">
        <v>0.8</v>
      </c>
      <c r="K23" s="64">
        <v>231.97</v>
      </c>
      <c r="L23" s="64">
        <v>11.98</v>
      </c>
      <c r="M23" s="64">
        <v>91.12</v>
      </c>
      <c r="N23" s="64">
        <v>51.3</v>
      </c>
      <c r="O23" s="64">
        <v>0</v>
      </c>
      <c r="P23" s="64">
        <v>1.31</v>
      </c>
      <c r="Q23" s="64">
        <v>9.64</v>
      </c>
      <c r="R23" s="198"/>
      <c r="S23" s="198"/>
      <c r="T23" s="198"/>
      <c r="U23" s="198"/>
    </row>
    <row r="24" spans="1:21" s="12" customFormat="1" x14ac:dyDescent="0.25">
      <c r="A24" s="214" t="s">
        <v>2182</v>
      </c>
      <c r="B24" s="64">
        <v>19.64</v>
      </c>
      <c r="C24" s="64">
        <v>15.79</v>
      </c>
      <c r="D24" s="64">
        <v>23.34</v>
      </c>
      <c r="E24" s="64">
        <v>4.8</v>
      </c>
      <c r="F24" s="64">
        <v>2.44</v>
      </c>
      <c r="G24" s="64">
        <v>52.3</v>
      </c>
      <c r="H24" s="64">
        <v>14.74</v>
      </c>
      <c r="I24" s="64">
        <v>0.1</v>
      </c>
      <c r="J24" s="64">
        <v>0.36</v>
      </c>
      <c r="K24" s="64">
        <v>286.3</v>
      </c>
      <c r="L24" s="64">
        <v>11.87</v>
      </c>
      <c r="M24" s="64">
        <v>94.08</v>
      </c>
      <c r="N24" s="64">
        <v>51.6</v>
      </c>
      <c r="O24" s="64">
        <v>0</v>
      </c>
      <c r="P24" s="64">
        <v>1.27</v>
      </c>
      <c r="Q24" s="64">
        <v>9.6300000000000008</v>
      </c>
      <c r="R24" s="198"/>
      <c r="S24" s="198"/>
      <c r="T24" s="198"/>
      <c r="U24" s="198"/>
    </row>
    <row r="25" spans="1:21" s="12" customFormat="1" x14ac:dyDescent="0.25">
      <c r="A25" s="214" t="s">
        <v>2183</v>
      </c>
      <c r="B25" s="64">
        <v>20.18</v>
      </c>
      <c r="C25" s="64">
        <v>15.5</v>
      </c>
      <c r="D25" s="64">
        <v>23.63</v>
      </c>
      <c r="E25" s="64">
        <v>4.8600000000000003</v>
      </c>
      <c r="F25" s="64">
        <v>2.2200000000000002</v>
      </c>
      <c r="G25" s="64">
        <v>41.5</v>
      </c>
      <c r="H25" s="64">
        <v>14.77</v>
      </c>
      <c r="I25" s="64">
        <v>0.1</v>
      </c>
      <c r="J25" s="64">
        <v>0.39</v>
      </c>
      <c r="K25" s="64">
        <v>250.25</v>
      </c>
      <c r="L25" s="64">
        <v>11.56</v>
      </c>
      <c r="M25" s="64">
        <v>97.34</v>
      </c>
      <c r="N25" s="64">
        <v>51.2</v>
      </c>
      <c r="O25" s="64">
        <v>0</v>
      </c>
      <c r="P25" s="64">
        <v>1.26</v>
      </c>
      <c r="Q25" s="64">
        <v>9.64</v>
      </c>
      <c r="R25" s="198"/>
      <c r="S25" s="198"/>
      <c r="T25" s="198"/>
      <c r="U25" s="198"/>
    </row>
    <row r="26" spans="1:21" s="12" customFormat="1" x14ac:dyDescent="0.25">
      <c r="A26" s="214" t="s">
        <v>2184</v>
      </c>
      <c r="B26" s="64">
        <v>22.01</v>
      </c>
      <c r="C26" s="64">
        <v>14.57</v>
      </c>
      <c r="D26" s="64">
        <v>24.61</v>
      </c>
      <c r="E26" s="64">
        <v>4.5999999999999996</v>
      </c>
      <c r="F26" s="64">
        <v>2.46</v>
      </c>
      <c r="G26" s="64">
        <v>41.5</v>
      </c>
      <c r="H26" s="64">
        <v>14.77</v>
      </c>
      <c r="I26" s="64">
        <v>0.1</v>
      </c>
      <c r="J26" s="64">
        <v>0.8</v>
      </c>
      <c r="K26" s="64">
        <v>225.23</v>
      </c>
      <c r="L26" s="64">
        <v>11.62</v>
      </c>
      <c r="M26" s="64">
        <v>97.9</v>
      </c>
      <c r="N26" s="64">
        <v>51.1</v>
      </c>
      <c r="O26" s="64">
        <v>0</v>
      </c>
      <c r="P26" s="64">
        <v>1.24</v>
      </c>
      <c r="Q26" s="64">
        <v>9.64</v>
      </c>
      <c r="R26" s="198"/>
      <c r="S26" s="198"/>
      <c r="T26" s="198"/>
      <c r="U26" s="198"/>
    </row>
    <row r="27" spans="1:21" s="12" customFormat="1" x14ac:dyDescent="0.25">
      <c r="A27" s="214" t="s">
        <v>2185</v>
      </c>
      <c r="B27" s="64">
        <v>23.76</v>
      </c>
      <c r="C27" s="64">
        <v>13.53</v>
      </c>
      <c r="D27" s="64">
        <v>25.47</v>
      </c>
      <c r="E27" s="64">
        <v>5.05</v>
      </c>
      <c r="F27" s="64">
        <v>2.38</v>
      </c>
      <c r="G27" s="64">
        <v>41.5</v>
      </c>
      <c r="H27" s="64">
        <v>14.77</v>
      </c>
      <c r="I27" s="64">
        <v>0.1</v>
      </c>
      <c r="J27" s="64">
        <v>0.84</v>
      </c>
      <c r="K27" s="64">
        <v>233.66</v>
      </c>
      <c r="L27" s="64">
        <v>11.49</v>
      </c>
      <c r="M27" s="64">
        <v>97.91</v>
      </c>
      <c r="N27" s="64">
        <v>51.1</v>
      </c>
      <c r="O27" s="64">
        <v>0</v>
      </c>
      <c r="P27" s="64">
        <v>1.22</v>
      </c>
      <c r="Q27" s="64">
        <v>9.64</v>
      </c>
      <c r="R27" s="198"/>
      <c r="S27" s="198"/>
      <c r="T27" s="198"/>
      <c r="U27" s="198"/>
    </row>
    <row r="28" spans="1:21" s="12" customFormat="1" x14ac:dyDescent="0.25">
      <c r="A28" s="214" t="s">
        <v>2186</v>
      </c>
      <c r="B28" s="64">
        <v>25.11</v>
      </c>
      <c r="C28" s="64">
        <v>12.6</v>
      </c>
      <c r="D28" s="64">
        <v>26.07</v>
      </c>
      <c r="E28" s="64">
        <v>5.04</v>
      </c>
      <c r="F28" s="64">
        <v>2.25</v>
      </c>
      <c r="G28" s="64">
        <v>47.53</v>
      </c>
      <c r="H28" s="64">
        <v>17.03</v>
      </c>
      <c r="I28" s="64">
        <v>0.1</v>
      </c>
      <c r="J28" s="64">
        <v>0.6</v>
      </c>
      <c r="K28" s="64">
        <v>287.72000000000003</v>
      </c>
      <c r="L28" s="64">
        <v>11.21</v>
      </c>
      <c r="M28" s="64">
        <v>97.93</v>
      </c>
      <c r="N28" s="64">
        <v>51.4</v>
      </c>
      <c r="O28" s="64">
        <v>0</v>
      </c>
      <c r="P28" s="64">
        <v>1.24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4" t="s">
        <v>2187</v>
      </c>
      <c r="B29" s="64">
        <v>27.05</v>
      </c>
      <c r="C29" s="64">
        <v>11.38</v>
      </c>
      <c r="D29" s="64">
        <v>26.98</v>
      </c>
      <c r="E29" s="64">
        <v>4.9400000000000004</v>
      </c>
      <c r="F29" s="64">
        <v>2.4700000000000002</v>
      </c>
      <c r="G29" s="64">
        <v>49.85</v>
      </c>
      <c r="H29" s="64">
        <v>17.14</v>
      </c>
      <c r="I29" s="64">
        <v>0.1</v>
      </c>
      <c r="J29" s="64">
        <v>0.41</v>
      </c>
      <c r="K29" s="64">
        <v>253.85</v>
      </c>
      <c r="L29" s="64">
        <v>10.98</v>
      </c>
      <c r="M29" s="64">
        <v>97.93</v>
      </c>
      <c r="N29" s="64">
        <v>51.2</v>
      </c>
      <c r="O29" s="64">
        <v>0</v>
      </c>
      <c r="P29" s="64">
        <v>1.24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4" t="s">
        <v>2188</v>
      </c>
      <c r="B30" s="64">
        <v>28.32</v>
      </c>
      <c r="C30" s="64">
        <v>10.1</v>
      </c>
      <c r="D30" s="64">
        <v>27.34</v>
      </c>
      <c r="E30" s="64">
        <v>4.91</v>
      </c>
      <c r="F30" s="64">
        <v>2.44</v>
      </c>
      <c r="G30" s="64">
        <v>49.85</v>
      </c>
      <c r="H30" s="64">
        <v>17.14</v>
      </c>
      <c r="I30" s="64">
        <v>0.1</v>
      </c>
      <c r="J30" s="64">
        <v>0.37</v>
      </c>
      <c r="K30" s="64">
        <v>107.18</v>
      </c>
      <c r="L30" s="64">
        <v>10.82</v>
      </c>
      <c r="M30" s="64">
        <v>97.92</v>
      </c>
      <c r="N30" s="64">
        <v>51.1</v>
      </c>
      <c r="O30" s="64">
        <v>0</v>
      </c>
      <c r="P30" s="64">
        <v>1.23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4" t="s">
        <v>2189</v>
      </c>
      <c r="B31" s="64">
        <v>29.22</v>
      </c>
      <c r="C31" s="64">
        <v>9.82</v>
      </c>
      <c r="D31" s="64">
        <v>27.91</v>
      </c>
      <c r="E31" s="64">
        <v>4.72</v>
      </c>
      <c r="F31" s="64">
        <v>2.1800000000000002</v>
      </c>
      <c r="G31" s="64">
        <v>49.85</v>
      </c>
      <c r="H31" s="64">
        <v>17.14</v>
      </c>
      <c r="I31" s="64">
        <v>0.1</v>
      </c>
      <c r="J31" s="64">
        <v>0.37</v>
      </c>
      <c r="K31" s="64">
        <v>69.42</v>
      </c>
      <c r="L31" s="64">
        <v>11.08</v>
      </c>
      <c r="M31" s="64">
        <v>97.78</v>
      </c>
      <c r="N31" s="64">
        <v>50.9</v>
      </c>
      <c r="O31" s="64">
        <v>0</v>
      </c>
      <c r="P31" s="64">
        <v>1.26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4" t="s">
        <v>2190</v>
      </c>
      <c r="B32" s="64">
        <v>29.32</v>
      </c>
      <c r="C32" s="64">
        <v>10.08</v>
      </c>
      <c r="D32" s="64">
        <v>28.13</v>
      </c>
      <c r="E32" s="64">
        <v>4.8</v>
      </c>
      <c r="F32" s="64">
        <v>2.16</v>
      </c>
      <c r="G32" s="64">
        <v>50.63</v>
      </c>
      <c r="H32" s="64">
        <v>16.920000000000002</v>
      </c>
      <c r="I32" s="64">
        <v>0.1</v>
      </c>
      <c r="J32" s="64">
        <v>0.48</v>
      </c>
      <c r="K32" s="64">
        <v>41.3</v>
      </c>
      <c r="L32" s="64">
        <v>11.51</v>
      </c>
      <c r="M32" s="64">
        <v>94.64</v>
      </c>
      <c r="N32" s="64">
        <v>50.7</v>
      </c>
      <c r="O32" s="64">
        <v>0</v>
      </c>
      <c r="P32" s="64">
        <v>1.28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4" t="s">
        <v>2191</v>
      </c>
      <c r="B33" s="64">
        <v>29.04</v>
      </c>
      <c r="C33" s="64">
        <v>10.36</v>
      </c>
      <c r="D33" s="64">
        <v>28.05</v>
      </c>
      <c r="E33" s="64">
        <v>4.95</v>
      </c>
      <c r="F33" s="64">
        <v>2.42</v>
      </c>
      <c r="G33" s="64">
        <v>50.93</v>
      </c>
      <c r="H33" s="64">
        <v>16.899999999999999</v>
      </c>
      <c r="I33" s="64">
        <v>0.1</v>
      </c>
      <c r="J33" s="64">
        <v>0.21</v>
      </c>
      <c r="K33" s="64">
        <v>36.54</v>
      </c>
      <c r="L33" s="64">
        <v>11.51</v>
      </c>
      <c r="M33" s="64">
        <v>94.48</v>
      </c>
      <c r="N33" s="64">
        <v>51.2</v>
      </c>
      <c r="O33" s="64">
        <v>0</v>
      </c>
      <c r="P33" s="64">
        <v>1.28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4" t="s">
        <v>2192</v>
      </c>
      <c r="B34" s="64">
        <v>28.9</v>
      </c>
      <c r="C34" s="64">
        <v>10.48</v>
      </c>
      <c r="D34" s="64">
        <v>27.99</v>
      </c>
      <c r="E34" s="64">
        <v>5.04</v>
      </c>
      <c r="F34" s="64">
        <v>2.56</v>
      </c>
      <c r="G34" s="64">
        <v>50.93</v>
      </c>
      <c r="H34" s="64">
        <v>16.899999999999999</v>
      </c>
      <c r="I34" s="64">
        <v>0.1</v>
      </c>
      <c r="J34" s="64">
        <v>0.44</v>
      </c>
      <c r="K34" s="64">
        <v>71.489999999999995</v>
      </c>
      <c r="L34" s="64">
        <v>11.45</v>
      </c>
      <c r="M34" s="64">
        <v>94.82</v>
      </c>
      <c r="N34" s="64">
        <v>52.6</v>
      </c>
      <c r="O34" s="64">
        <v>0</v>
      </c>
      <c r="P34" s="64">
        <v>1.28</v>
      </c>
      <c r="Q34" s="64">
        <v>9.64</v>
      </c>
      <c r="R34" s="198"/>
      <c r="S34" s="198"/>
      <c r="T34" s="198"/>
      <c r="U34" s="198"/>
    </row>
    <row r="35" spans="1:21" s="12" customFormat="1" x14ac:dyDescent="0.25">
      <c r="A35" s="214" t="s">
        <v>2193</v>
      </c>
      <c r="B35" s="64">
        <v>28.29</v>
      </c>
      <c r="C35" s="64">
        <v>10.86</v>
      </c>
      <c r="D35" s="64">
        <v>27.7</v>
      </c>
      <c r="E35" s="64">
        <v>4.96</v>
      </c>
      <c r="F35" s="64">
        <v>2.4700000000000002</v>
      </c>
      <c r="G35" s="64">
        <v>50.93</v>
      </c>
      <c r="H35" s="64">
        <v>16.899999999999999</v>
      </c>
      <c r="I35" s="64">
        <v>0.1</v>
      </c>
      <c r="J35" s="64">
        <v>0.31</v>
      </c>
      <c r="K35" s="64">
        <v>287.13</v>
      </c>
      <c r="L35" s="64">
        <v>11.42</v>
      </c>
      <c r="M35" s="64">
        <v>95.5</v>
      </c>
      <c r="N35" s="64">
        <v>57.7</v>
      </c>
      <c r="O35" s="64">
        <v>0</v>
      </c>
      <c r="P35" s="64">
        <v>1.26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4" t="s">
        <v>2194</v>
      </c>
      <c r="B36" s="64">
        <v>27.96</v>
      </c>
      <c r="C36" s="64">
        <v>10.98</v>
      </c>
      <c r="D36" s="64">
        <v>27.5</v>
      </c>
      <c r="E36" s="64">
        <v>4.9000000000000004</v>
      </c>
      <c r="F36" s="64">
        <v>2.41</v>
      </c>
      <c r="G36" s="64">
        <v>44.68</v>
      </c>
      <c r="H36" s="64">
        <v>16.190000000000001</v>
      </c>
      <c r="I36" s="64">
        <v>0.1</v>
      </c>
      <c r="J36" s="64">
        <v>0.42</v>
      </c>
      <c r="K36" s="64">
        <v>149.30000000000001</v>
      </c>
      <c r="L36" s="64">
        <v>11.51</v>
      </c>
      <c r="M36" s="64">
        <v>96.78</v>
      </c>
      <c r="N36" s="64">
        <v>68.7</v>
      </c>
      <c r="O36" s="64">
        <v>0</v>
      </c>
      <c r="P36" s="64">
        <v>1.26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4" t="s">
        <v>2195</v>
      </c>
      <c r="B37" s="64">
        <v>28.03</v>
      </c>
      <c r="C37" s="64">
        <v>10.93</v>
      </c>
      <c r="D37" s="64">
        <v>27.54</v>
      </c>
      <c r="E37" s="64">
        <v>5.01</v>
      </c>
      <c r="F37" s="64">
        <v>2.75</v>
      </c>
      <c r="G37" s="64">
        <v>42.27</v>
      </c>
      <c r="H37" s="64">
        <v>16.16</v>
      </c>
      <c r="I37" s="64">
        <v>0.1</v>
      </c>
      <c r="J37" s="64">
        <v>0.44</v>
      </c>
      <c r="K37" s="64">
        <v>274.83999999999997</v>
      </c>
      <c r="L37" s="64">
        <v>11.91</v>
      </c>
      <c r="M37" s="64">
        <v>95.22</v>
      </c>
      <c r="N37" s="64">
        <v>79.8</v>
      </c>
      <c r="O37" s="64">
        <v>0</v>
      </c>
      <c r="P37" s="64">
        <v>1.1000000000000001</v>
      </c>
      <c r="Q37" s="64">
        <v>9.66</v>
      </c>
      <c r="R37" s="198"/>
      <c r="S37" s="198"/>
      <c r="T37" s="198"/>
      <c r="U37" s="198"/>
    </row>
    <row r="38" spans="1:21" s="12" customFormat="1" x14ac:dyDescent="0.25">
      <c r="A38" s="214" t="s">
        <v>2196</v>
      </c>
      <c r="B38" s="64">
        <v>29.01</v>
      </c>
      <c r="C38" s="64">
        <v>10.27</v>
      </c>
      <c r="D38" s="64">
        <v>27.98</v>
      </c>
      <c r="E38" s="64">
        <v>5.21</v>
      </c>
      <c r="F38" s="64">
        <v>2.72</v>
      </c>
      <c r="G38" s="64">
        <v>42.27</v>
      </c>
      <c r="H38" s="64">
        <v>16.16</v>
      </c>
      <c r="I38" s="64">
        <v>0.1</v>
      </c>
      <c r="J38" s="64">
        <v>0.78</v>
      </c>
      <c r="K38" s="64">
        <v>292</v>
      </c>
      <c r="L38" s="64">
        <v>12.57</v>
      </c>
      <c r="M38" s="64">
        <v>92.52</v>
      </c>
      <c r="N38" s="64">
        <v>93.8</v>
      </c>
      <c r="O38" s="64">
        <v>0</v>
      </c>
      <c r="P38" s="64">
        <v>1.1299999999999999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4" t="s">
        <v>2197</v>
      </c>
      <c r="B39" s="64">
        <v>30.07</v>
      </c>
      <c r="C39" s="64">
        <v>9.81</v>
      </c>
      <c r="D39" s="64">
        <v>28.59</v>
      </c>
      <c r="E39" s="64">
        <v>5.21</v>
      </c>
      <c r="F39" s="64">
        <v>2.44</v>
      </c>
      <c r="G39" s="64">
        <v>42.27</v>
      </c>
      <c r="H39" s="64">
        <v>16.16</v>
      </c>
      <c r="I39" s="64">
        <v>0.1</v>
      </c>
      <c r="J39" s="64">
        <v>0.77</v>
      </c>
      <c r="K39" s="64">
        <v>140.41999999999999</v>
      </c>
      <c r="L39" s="64">
        <v>13.47</v>
      </c>
      <c r="M39" s="64">
        <v>85.7</v>
      </c>
      <c r="N39" s="64">
        <v>156</v>
      </c>
      <c r="O39" s="64">
        <v>0</v>
      </c>
      <c r="P39" s="64">
        <v>1.0900000000000001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4" t="s">
        <v>2198</v>
      </c>
      <c r="B40" s="64">
        <v>29.96</v>
      </c>
      <c r="C40" s="64">
        <v>9.8699999999999992</v>
      </c>
      <c r="D40" s="64">
        <v>28.53</v>
      </c>
      <c r="E40" s="64">
        <v>5.98</v>
      </c>
      <c r="F40" s="64">
        <v>2.62</v>
      </c>
      <c r="G40" s="64">
        <v>51.8</v>
      </c>
      <c r="H40" s="64">
        <v>18.09</v>
      </c>
      <c r="I40" s="64">
        <v>0.1</v>
      </c>
      <c r="J40" s="64">
        <v>0.27</v>
      </c>
      <c r="K40" s="64">
        <v>96.53</v>
      </c>
      <c r="L40" s="64">
        <v>15.48</v>
      </c>
      <c r="M40" s="64">
        <v>74.37</v>
      </c>
      <c r="N40" s="64">
        <v>211.8</v>
      </c>
      <c r="O40" s="64">
        <v>0</v>
      </c>
      <c r="P40" s="64">
        <v>1.07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4" t="s">
        <v>2199</v>
      </c>
      <c r="B41" s="64">
        <v>30.4</v>
      </c>
      <c r="C41" s="64">
        <v>9.7899999999999991</v>
      </c>
      <c r="D41" s="64">
        <v>28.84</v>
      </c>
      <c r="E41" s="64">
        <v>6.36</v>
      </c>
      <c r="F41" s="64">
        <v>2.4900000000000002</v>
      </c>
      <c r="G41" s="64">
        <v>55.46</v>
      </c>
      <c r="H41" s="64">
        <v>18.18</v>
      </c>
      <c r="I41" s="64">
        <v>0.1</v>
      </c>
      <c r="J41" s="64">
        <v>0.47</v>
      </c>
      <c r="K41" s="64">
        <v>94.85</v>
      </c>
      <c r="L41" s="64">
        <v>17.22</v>
      </c>
      <c r="M41" s="64">
        <v>66.06</v>
      </c>
      <c r="N41" s="64">
        <v>256</v>
      </c>
      <c r="O41" s="64">
        <v>0</v>
      </c>
      <c r="P41" s="64">
        <v>1.07</v>
      </c>
      <c r="Q41" s="64">
        <v>9.6199999999999992</v>
      </c>
      <c r="R41" s="198"/>
      <c r="S41" s="198"/>
      <c r="T41" s="198"/>
      <c r="U41" s="198"/>
    </row>
    <row r="42" spans="1:21" s="12" customFormat="1" x14ac:dyDescent="0.25">
      <c r="A42" s="214" t="s">
        <v>2200</v>
      </c>
      <c r="B42" s="64">
        <v>31.03</v>
      </c>
      <c r="C42" s="64">
        <v>9.66</v>
      </c>
      <c r="D42" s="64">
        <v>29.28</v>
      </c>
      <c r="E42" s="64">
        <v>6.38</v>
      </c>
      <c r="F42" s="64">
        <v>2.2799999999999998</v>
      </c>
      <c r="G42" s="64">
        <v>55.46</v>
      </c>
      <c r="H42" s="64">
        <v>18.18</v>
      </c>
      <c r="I42" s="64">
        <v>0.1</v>
      </c>
      <c r="J42" s="64">
        <v>1.53</v>
      </c>
      <c r="K42" s="64">
        <v>125.95</v>
      </c>
      <c r="L42" s="64">
        <v>17.59</v>
      </c>
      <c r="M42" s="64">
        <v>61.64</v>
      </c>
      <c r="N42" s="64">
        <v>299.8</v>
      </c>
      <c r="O42" s="64">
        <v>0</v>
      </c>
      <c r="P42" s="64">
        <v>1.07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4" t="s">
        <v>2201</v>
      </c>
      <c r="B43" s="64">
        <v>30.68</v>
      </c>
      <c r="C43" s="64">
        <v>9.9600000000000009</v>
      </c>
      <c r="D43" s="64">
        <v>29.08</v>
      </c>
      <c r="E43" s="64">
        <v>6.12</v>
      </c>
      <c r="F43" s="64">
        <v>2.37</v>
      </c>
      <c r="G43" s="64">
        <v>55.46</v>
      </c>
      <c r="H43" s="64">
        <v>18.18</v>
      </c>
      <c r="I43" s="64">
        <v>0.1</v>
      </c>
      <c r="J43" s="64">
        <v>1.26</v>
      </c>
      <c r="K43" s="64">
        <v>138.6</v>
      </c>
      <c r="L43" s="64">
        <v>18.04</v>
      </c>
      <c r="M43" s="64">
        <v>66.11</v>
      </c>
      <c r="N43" s="64">
        <v>342.3</v>
      </c>
      <c r="O43" s="64">
        <v>0</v>
      </c>
      <c r="P43" s="64">
        <v>1.05</v>
      </c>
      <c r="Q43" s="64">
        <v>9.64</v>
      </c>
      <c r="R43" s="198"/>
      <c r="S43" s="198"/>
      <c r="T43" s="198"/>
      <c r="U43" s="198"/>
    </row>
    <row r="44" spans="1:21" s="12" customFormat="1" x14ac:dyDescent="0.25">
      <c r="A44" s="214" t="s">
        <v>2202</v>
      </c>
      <c r="B44" s="64">
        <v>29.76</v>
      </c>
      <c r="C44" s="64">
        <v>10.86</v>
      </c>
      <c r="D44" s="64">
        <v>28.89</v>
      </c>
      <c r="E44" s="64">
        <v>6.27</v>
      </c>
      <c r="F44" s="64">
        <v>2.39</v>
      </c>
      <c r="G44" s="64">
        <v>59.4</v>
      </c>
      <c r="H44" s="64">
        <v>21.5</v>
      </c>
      <c r="I44" s="64">
        <v>0.1</v>
      </c>
      <c r="J44" s="64">
        <v>0.5</v>
      </c>
      <c r="K44" s="64">
        <v>151.62</v>
      </c>
      <c r="L44" s="64">
        <v>18.73</v>
      </c>
      <c r="M44" s="64">
        <v>60.59</v>
      </c>
      <c r="N44" s="64">
        <v>365.7</v>
      </c>
      <c r="O44" s="64">
        <v>0</v>
      </c>
      <c r="P44" s="64">
        <v>1.07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4" t="s">
        <v>2203</v>
      </c>
      <c r="B45" s="64">
        <v>28.97</v>
      </c>
      <c r="C45" s="64">
        <v>11.72</v>
      </c>
      <c r="D45" s="64">
        <v>28.7</v>
      </c>
      <c r="E45" s="64">
        <v>6.48</v>
      </c>
      <c r="F45" s="64">
        <v>2.4</v>
      </c>
      <c r="G45" s="64">
        <v>60.91</v>
      </c>
      <c r="H45" s="64">
        <v>21.65</v>
      </c>
      <c r="I45" s="64">
        <v>0.1</v>
      </c>
      <c r="J45" s="64">
        <v>1.2</v>
      </c>
      <c r="K45" s="64">
        <v>124.48</v>
      </c>
      <c r="L45" s="64">
        <v>20.13</v>
      </c>
      <c r="M45" s="64">
        <v>48.41</v>
      </c>
      <c r="N45" s="64">
        <v>400.7</v>
      </c>
      <c r="O45" s="64">
        <v>0</v>
      </c>
      <c r="P45" s="64">
        <v>1.07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4" t="s">
        <v>2204</v>
      </c>
      <c r="B46" s="64">
        <v>28.47</v>
      </c>
      <c r="C46" s="64">
        <v>12.25</v>
      </c>
      <c r="D46" s="64">
        <v>28.58</v>
      </c>
      <c r="E46" s="64">
        <v>6.66</v>
      </c>
      <c r="F46" s="64">
        <v>2.44</v>
      </c>
      <c r="G46" s="64">
        <v>60.91</v>
      </c>
      <c r="H46" s="64">
        <v>21.65</v>
      </c>
      <c r="I46" s="64">
        <v>0.1</v>
      </c>
      <c r="J46" s="64">
        <v>0.93</v>
      </c>
      <c r="K46" s="64">
        <v>118.5</v>
      </c>
      <c r="L46" s="64">
        <v>20.420000000000002</v>
      </c>
      <c r="M46" s="64">
        <v>45.82</v>
      </c>
      <c r="N46" s="64">
        <v>426.8</v>
      </c>
      <c r="O46" s="64">
        <v>0</v>
      </c>
      <c r="P46" s="64">
        <v>1.05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4" t="s">
        <v>2205</v>
      </c>
      <c r="B47" s="64">
        <v>27.96</v>
      </c>
      <c r="C47" s="64">
        <v>12.67</v>
      </c>
      <c r="D47" s="64">
        <v>28.39</v>
      </c>
      <c r="E47" s="64">
        <v>6.57</v>
      </c>
      <c r="F47" s="64">
        <v>2.4900000000000002</v>
      </c>
      <c r="G47" s="64">
        <v>60.91</v>
      </c>
      <c r="H47" s="64">
        <v>21.65</v>
      </c>
      <c r="I47" s="64">
        <v>0.1</v>
      </c>
      <c r="J47" s="64">
        <v>2.0699999999999998</v>
      </c>
      <c r="K47" s="64">
        <v>122.83</v>
      </c>
      <c r="L47" s="64">
        <v>19.71</v>
      </c>
      <c r="M47" s="64">
        <v>46.3</v>
      </c>
      <c r="N47" s="64">
        <v>442.7</v>
      </c>
      <c r="O47" s="64">
        <v>0</v>
      </c>
      <c r="P47" s="64">
        <v>1.03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4" t="s">
        <v>2206</v>
      </c>
      <c r="B48" s="64">
        <v>27.41</v>
      </c>
      <c r="C48" s="64">
        <v>12.73</v>
      </c>
      <c r="D48" s="64">
        <v>27.98</v>
      </c>
      <c r="E48" s="64">
        <v>6.29</v>
      </c>
      <c r="F48" s="64">
        <v>2.7</v>
      </c>
      <c r="G48" s="64">
        <v>47.35</v>
      </c>
      <c r="H48" s="64">
        <v>19.96</v>
      </c>
      <c r="I48" s="64">
        <v>0.1</v>
      </c>
      <c r="J48" s="64">
        <v>1.97</v>
      </c>
      <c r="K48" s="64">
        <v>120.04</v>
      </c>
      <c r="L48" s="64">
        <v>19.760000000000002</v>
      </c>
      <c r="M48" s="64">
        <v>46.19</v>
      </c>
      <c r="N48" s="64">
        <v>454.9</v>
      </c>
      <c r="O48" s="64">
        <v>0</v>
      </c>
      <c r="P48" s="64">
        <v>1.03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4" t="s">
        <v>2207</v>
      </c>
      <c r="B49" s="64">
        <v>26.73</v>
      </c>
      <c r="C49" s="64">
        <v>13.24</v>
      </c>
      <c r="D49" s="64">
        <v>27.7</v>
      </c>
      <c r="E49" s="64">
        <v>6.9</v>
      </c>
      <c r="F49" s="64">
        <v>2.54</v>
      </c>
      <c r="G49" s="64">
        <v>42.13</v>
      </c>
      <c r="H49" s="64">
        <v>19.829999999999998</v>
      </c>
      <c r="I49" s="64">
        <v>0.1</v>
      </c>
      <c r="J49" s="64">
        <v>1.87</v>
      </c>
      <c r="K49" s="64">
        <v>125.78</v>
      </c>
      <c r="L49" s="64">
        <v>20.350000000000001</v>
      </c>
      <c r="M49" s="64">
        <v>44.3</v>
      </c>
      <c r="N49" s="64">
        <v>470.2</v>
      </c>
      <c r="O49" s="64">
        <v>0</v>
      </c>
      <c r="P49" s="64">
        <v>1.05</v>
      </c>
      <c r="Q49" s="64">
        <v>9.65</v>
      </c>
      <c r="R49" s="198"/>
      <c r="S49" s="198"/>
      <c r="T49" s="198"/>
      <c r="U49" s="198"/>
    </row>
    <row r="50" spans="1:21" s="12" customFormat="1" x14ac:dyDescent="0.25">
      <c r="A50" s="214" t="s">
        <v>2208</v>
      </c>
      <c r="B50" s="64">
        <v>25.88</v>
      </c>
      <c r="C50" s="64">
        <v>14.19</v>
      </c>
      <c r="D50" s="64">
        <v>27.52</v>
      </c>
      <c r="E50" s="64">
        <v>6.93</v>
      </c>
      <c r="F50" s="64">
        <v>2.4300000000000002</v>
      </c>
      <c r="G50" s="64">
        <v>42.13</v>
      </c>
      <c r="H50" s="64">
        <v>19.829999999999998</v>
      </c>
      <c r="I50" s="64">
        <v>0.1</v>
      </c>
      <c r="J50" s="64">
        <v>1.89</v>
      </c>
      <c r="K50" s="64">
        <v>120.76</v>
      </c>
      <c r="L50" s="64">
        <v>20.61</v>
      </c>
      <c r="M50" s="64">
        <v>39.47</v>
      </c>
      <c r="N50" s="64">
        <v>488.7</v>
      </c>
      <c r="O50" s="64">
        <v>0</v>
      </c>
      <c r="P50" s="64">
        <v>1.05</v>
      </c>
      <c r="Q50" s="64">
        <v>9.64</v>
      </c>
      <c r="R50" s="198"/>
      <c r="S50" s="198"/>
      <c r="T50" s="198"/>
      <c r="U50" s="198"/>
    </row>
    <row r="51" spans="1:21" s="12" customFormat="1" x14ac:dyDescent="0.25">
      <c r="A51" s="214" t="s">
        <v>2209</v>
      </c>
      <c r="B51" s="64">
        <v>25.55</v>
      </c>
      <c r="C51" s="64">
        <v>14.24</v>
      </c>
      <c r="D51" s="64">
        <v>27.27</v>
      </c>
      <c r="E51" s="64">
        <v>6.35</v>
      </c>
      <c r="F51" s="64">
        <v>2.37</v>
      </c>
      <c r="G51" s="64">
        <v>42.13</v>
      </c>
      <c r="H51" s="64">
        <v>19.829999999999998</v>
      </c>
      <c r="I51" s="64">
        <v>0.1</v>
      </c>
      <c r="J51" s="64">
        <v>2.23</v>
      </c>
      <c r="K51" s="64">
        <v>120.8</v>
      </c>
      <c r="L51" s="64">
        <v>20.85</v>
      </c>
      <c r="M51" s="64">
        <v>38.17</v>
      </c>
      <c r="N51" s="64">
        <v>496.7</v>
      </c>
      <c r="O51" s="64">
        <v>0</v>
      </c>
      <c r="P51" s="64">
        <v>1.03</v>
      </c>
      <c r="Q51" s="64">
        <v>9.64</v>
      </c>
      <c r="R51" s="198"/>
      <c r="S51" s="198"/>
      <c r="T51" s="198"/>
      <c r="U51" s="198"/>
    </row>
    <row r="52" spans="1:21" s="12" customFormat="1" x14ac:dyDescent="0.25">
      <c r="A52" s="214" t="s">
        <v>2210</v>
      </c>
      <c r="B52" s="64">
        <v>24.38</v>
      </c>
      <c r="C52" s="64">
        <v>14.96</v>
      </c>
      <c r="D52" s="64">
        <v>26.71</v>
      </c>
      <c r="E52" s="64">
        <v>6.84</v>
      </c>
      <c r="F52" s="64">
        <v>2.75</v>
      </c>
      <c r="G52" s="64">
        <v>34.53</v>
      </c>
      <c r="H52" s="64">
        <v>18.77</v>
      </c>
      <c r="I52" s="64">
        <v>0.1</v>
      </c>
      <c r="J52" s="64">
        <v>0.71</v>
      </c>
      <c r="K52" s="64">
        <v>111.04</v>
      </c>
      <c r="L52" s="64">
        <v>21.98</v>
      </c>
      <c r="M52" s="64">
        <v>36.31</v>
      </c>
      <c r="N52" s="64">
        <v>486.1</v>
      </c>
      <c r="O52" s="64">
        <v>0</v>
      </c>
      <c r="P52" s="64">
        <v>1.02</v>
      </c>
      <c r="Q52" s="64">
        <v>9.64</v>
      </c>
      <c r="R52" s="198"/>
      <c r="S52" s="198"/>
      <c r="T52" s="198"/>
      <c r="U52" s="198"/>
    </row>
    <row r="53" spans="1:21" s="12" customFormat="1" x14ac:dyDescent="0.25">
      <c r="A53" s="214" t="s">
        <v>2211</v>
      </c>
      <c r="B53" s="64">
        <v>24.42</v>
      </c>
      <c r="C53" s="64">
        <v>14.86</v>
      </c>
      <c r="D53" s="64">
        <v>26.7</v>
      </c>
      <c r="E53" s="64">
        <v>6.95</v>
      </c>
      <c r="F53" s="64">
        <v>2.78</v>
      </c>
      <c r="G53" s="64">
        <v>31.43</v>
      </c>
      <c r="H53" s="64">
        <v>18.72</v>
      </c>
      <c r="I53" s="64">
        <v>0.1</v>
      </c>
      <c r="J53" s="64">
        <v>0.6</v>
      </c>
      <c r="K53" s="64">
        <v>331.46</v>
      </c>
      <c r="L53" s="64">
        <v>25.08</v>
      </c>
      <c r="M53" s="64">
        <v>31.48</v>
      </c>
      <c r="N53" s="64">
        <v>460.4</v>
      </c>
      <c r="O53" s="64">
        <v>0</v>
      </c>
      <c r="P53" s="64">
        <v>1.01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4" t="s">
        <v>2212</v>
      </c>
      <c r="B54" s="64">
        <v>24.18</v>
      </c>
      <c r="C54" s="64">
        <v>15.12</v>
      </c>
      <c r="D54" s="64">
        <v>26.63</v>
      </c>
      <c r="E54" s="64">
        <v>6.82</v>
      </c>
      <c r="F54" s="64">
        <v>2.5</v>
      </c>
      <c r="G54" s="64">
        <v>31.43</v>
      </c>
      <c r="H54" s="64">
        <v>18.72</v>
      </c>
      <c r="I54" s="64">
        <v>0.1</v>
      </c>
      <c r="J54" s="64">
        <v>0.46</v>
      </c>
      <c r="K54" s="64">
        <v>352.07</v>
      </c>
      <c r="L54" s="64">
        <v>24.43</v>
      </c>
      <c r="M54" s="64">
        <v>31.48</v>
      </c>
      <c r="N54" s="64">
        <v>432.9</v>
      </c>
      <c r="O54" s="64">
        <v>0</v>
      </c>
      <c r="P54" s="64">
        <v>1</v>
      </c>
      <c r="Q54" s="64">
        <v>9.6300000000000008</v>
      </c>
      <c r="R54" s="198"/>
      <c r="S54" s="198"/>
      <c r="T54" s="198"/>
      <c r="U54" s="198"/>
    </row>
    <row r="55" spans="1:21" s="12" customFormat="1" x14ac:dyDescent="0.25">
      <c r="A55" s="214" t="s">
        <v>2213</v>
      </c>
      <c r="B55" s="64">
        <v>23.9</v>
      </c>
      <c r="C55" s="64">
        <v>15.53</v>
      </c>
      <c r="D55" s="64">
        <v>26.63</v>
      </c>
      <c r="E55" s="64">
        <v>7.65</v>
      </c>
      <c r="F55" s="64">
        <v>2.48</v>
      </c>
      <c r="G55" s="64">
        <v>31.43</v>
      </c>
      <c r="H55" s="64">
        <v>18.72</v>
      </c>
      <c r="I55" s="64">
        <v>0.1</v>
      </c>
      <c r="J55" s="64">
        <v>1.52</v>
      </c>
      <c r="K55" s="64">
        <v>335.36</v>
      </c>
      <c r="L55" s="64">
        <v>26.66</v>
      </c>
      <c r="M55" s="64">
        <v>25.89</v>
      </c>
      <c r="N55" s="64">
        <v>472.8</v>
      </c>
      <c r="O55" s="64">
        <v>0</v>
      </c>
      <c r="P55" s="64">
        <v>0.98</v>
      </c>
      <c r="Q55" s="64">
        <v>9.6199999999999992</v>
      </c>
      <c r="R55" s="198"/>
      <c r="S55" s="198"/>
      <c r="T55" s="198"/>
      <c r="U55" s="198"/>
    </row>
    <row r="56" spans="1:21" s="12" customFormat="1" x14ac:dyDescent="0.25">
      <c r="A56" s="214" t="s">
        <v>2214</v>
      </c>
      <c r="B56" s="64">
        <v>23.34</v>
      </c>
      <c r="C56" s="64">
        <v>16.34</v>
      </c>
      <c r="D56" s="64">
        <v>26.6</v>
      </c>
      <c r="E56" s="64">
        <v>7.36</v>
      </c>
      <c r="F56" s="64">
        <v>2.4300000000000002</v>
      </c>
      <c r="G56" s="64">
        <v>38.270000000000003</v>
      </c>
      <c r="H56" s="64">
        <v>16.09</v>
      </c>
      <c r="I56" s="64">
        <v>0.1</v>
      </c>
      <c r="J56" s="64">
        <v>1.2</v>
      </c>
      <c r="K56" s="64">
        <v>321.77</v>
      </c>
      <c r="L56" s="64">
        <v>27.25</v>
      </c>
      <c r="M56" s="64">
        <v>24.61</v>
      </c>
      <c r="N56" s="64">
        <v>465.3</v>
      </c>
      <c r="O56" s="64">
        <v>0</v>
      </c>
      <c r="P56" s="64">
        <v>0.94</v>
      </c>
      <c r="Q56" s="64">
        <v>9.6199999999999992</v>
      </c>
      <c r="R56" s="198"/>
      <c r="S56" s="198"/>
      <c r="T56" s="198"/>
      <c r="U56" s="198"/>
    </row>
    <row r="57" spans="1:21" s="12" customFormat="1" x14ac:dyDescent="0.25">
      <c r="A57" s="214" t="s">
        <v>2215</v>
      </c>
      <c r="B57" s="64">
        <v>22.27</v>
      </c>
      <c r="C57" s="64">
        <v>17.66</v>
      </c>
      <c r="D57" s="64">
        <v>26.43</v>
      </c>
      <c r="E57" s="64">
        <v>7.31</v>
      </c>
      <c r="F57" s="64">
        <v>2.7</v>
      </c>
      <c r="G57" s="64">
        <v>41.04</v>
      </c>
      <c r="H57" s="64">
        <v>15.96</v>
      </c>
      <c r="I57" s="64">
        <v>0.1</v>
      </c>
      <c r="J57" s="64">
        <v>1.25</v>
      </c>
      <c r="K57" s="64">
        <v>324.72000000000003</v>
      </c>
      <c r="L57" s="64">
        <v>28.04</v>
      </c>
      <c r="M57" s="64">
        <v>22.17</v>
      </c>
      <c r="N57" s="64">
        <v>444.4</v>
      </c>
      <c r="O57" s="64">
        <v>0</v>
      </c>
      <c r="P57" s="64">
        <v>0.9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4" t="s">
        <v>2216</v>
      </c>
      <c r="B58" s="64">
        <v>20.97</v>
      </c>
      <c r="C58" s="64">
        <v>18.88</v>
      </c>
      <c r="D58" s="64">
        <v>26.03</v>
      </c>
      <c r="E58" s="64">
        <v>7.6</v>
      </c>
      <c r="F58" s="64">
        <v>2.9</v>
      </c>
      <c r="G58" s="64">
        <v>41.04</v>
      </c>
      <c r="H58" s="64">
        <v>15.96</v>
      </c>
      <c r="I58" s="64">
        <v>0.1</v>
      </c>
      <c r="J58" s="64">
        <v>0.79</v>
      </c>
      <c r="K58" s="64">
        <v>348.74</v>
      </c>
      <c r="L58" s="64">
        <v>27.18</v>
      </c>
      <c r="M58" s="64">
        <v>24.82</v>
      </c>
      <c r="N58" s="64">
        <v>369.7</v>
      </c>
      <c r="O58" s="64">
        <v>0</v>
      </c>
      <c r="P58" s="64">
        <v>0.88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4" t="s">
        <v>2217</v>
      </c>
      <c r="B59" s="64">
        <v>20.65</v>
      </c>
      <c r="C59" s="64">
        <v>19.48</v>
      </c>
      <c r="D59" s="64">
        <v>26.09</v>
      </c>
      <c r="E59" s="64">
        <v>7.58</v>
      </c>
      <c r="F59" s="64">
        <v>2.65</v>
      </c>
      <c r="G59" s="64">
        <v>41.04</v>
      </c>
      <c r="H59" s="64">
        <v>15.96</v>
      </c>
      <c r="I59" s="64">
        <v>0.1</v>
      </c>
      <c r="J59" s="64">
        <v>1.1399999999999999</v>
      </c>
      <c r="K59" s="64">
        <v>322.5</v>
      </c>
      <c r="L59" s="64">
        <v>26.91</v>
      </c>
      <c r="M59" s="64">
        <v>24.78</v>
      </c>
      <c r="N59" s="64">
        <v>335.1</v>
      </c>
      <c r="O59" s="64">
        <v>0</v>
      </c>
      <c r="P59" s="64">
        <v>0.87</v>
      </c>
      <c r="Q59" s="64">
        <v>9.64</v>
      </c>
      <c r="R59" s="198"/>
      <c r="S59" s="198"/>
      <c r="T59" s="198"/>
      <c r="U59" s="198"/>
    </row>
    <row r="60" spans="1:21" s="12" customFormat="1" x14ac:dyDescent="0.25">
      <c r="A60" s="214" t="s">
        <v>2218</v>
      </c>
      <c r="B60" s="64">
        <v>20.11</v>
      </c>
      <c r="C60" s="64">
        <v>20.010000000000002</v>
      </c>
      <c r="D60" s="64">
        <v>25.93</v>
      </c>
      <c r="E60" s="64">
        <v>7.37</v>
      </c>
      <c r="F60" s="64">
        <v>2.56</v>
      </c>
      <c r="G60" s="64">
        <v>40.92</v>
      </c>
      <c r="H60" s="64">
        <v>16.05</v>
      </c>
      <c r="I60" s="64">
        <v>0.1</v>
      </c>
      <c r="J60" s="64">
        <v>0.53</v>
      </c>
      <c r="K60" s="64">
        <v>316.86</v>
      </c>
      <c r="L60" s="64">
        <v>26.01</v>
      </c>
      <c r="M60" s="64">
        <v>26.47</v>
      </c>
      <c r="N60" s="64">
        <v>305.39999999999998</v>
      </c>
      <c r="O60" s="64">
        <v>0</v>
      </c>
      <c r="P60" s="64">
        <v>0.87</v>
      </c>
      <c r="Q60" s="64">
        <v>9.64</v>
      </c>
      <c r="R60" s="198"/>
      <c r="S60" s="198"/>
      <c r="T60" s="198"/>
      <c r="U60" s="198"/>
    </row>
    <row r="61" spans="1:21" s="12" customFormat="1" x14ac:dyDescent="0.25">
      <c r="A61" s="214" t="s">
        <v>2219</v>
      </c>
      <c r="B61" s="64">
        <v>20.22</v>
      </c>
      <c r="C61" s="64">
        <v>21.19</v>
      </c>
      <c r="D61" s="64">
        <v>26.63</v>
      </c>
      <c r="E61" s="64">
        <v>8.49</v>
      </c>
      <c r="F61" s="64">
        <v>2.44</v>
      </c>
      <c r="G61" s="64">
        <v>40.869999999999997</v>
      </c>
      <c r="H61" s="64">
        <v>16.059999999999999</v>
      </c>
      <c r="I61" s="64">
        <v>0.1</v>
      </c>
      <c r="J61" s="64">
        <v>0.54</v>
      </c>
      <c r="K61" s="64">
        <v>339.67</v>
      </c>
      <c r="L61" s="64">
        <v>26.1</v>
      </c>
      <c r="M61" s="64">
        <v>26.12</v>
      </c>
      <c r="N61" s="64">
        <v>329.1</v>
      </c>
      <c r="O61" s="64">
        <v>0</v>
      </c>
      <c r="P61" s="64">
        <v>0.97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4" t="s">
        <v>2220</v>
      </c>
      <c r="B62" s="64">
        <v>19.2</v>
      </c>
      <c r="C62" s="64">
        <v>22.15</v>
      </c>
      <c r="D62" s="64">
        <v>26.31</v>
      </c>
      <c r="E62" s="64">
        <v>9.17</v>
      </c>
      <c r="F62" s="64">
        <v>3.44</v>
      </c>
      <c r="G62" s="64">
        <v>40.869999999999997</v>
      </c>
      <c r="H62" s="64">
        <v>16.059999999999999</v>
      </c>
      <c r="I62" s="64">
        <v>0.1</v>
      </c>
      <c r="J62" s="64">
        <v>0.52</v>
      </c>
      <c r="K62" s="64">
        <v>359.45</v>
      </c>
      <c r="L62" s="64">
        <v>25.44</v>
      </c>
      <c r="M62" s="64">
        <v>27.71</v>
      </c>
      <c r="N62" s="64">
        <v>288.60000000000002</v>
      </c>
      <c r="O62" s="64">
        <v>0</v>
      </c>
      <c r="P62" s="64">
        <v>1.01</v>
      </c>
      <c r="Q62" s="64">
        <v>9.64</v>
      </c>
      <c r="R62" s="198"/>
      <c r="S62" s="198"/>
      <c r="T62" s="198"/>
      <c r="U62" s="198"/>
    </row>
    <row r="63" spans="1:21" s="12" customFormat="1" x14ac:dyDescent="0.25">
      <c r="A63" s="214" t="s">
        <v>2221</v>
      </c>
      <c r="B63" s="64">
        <v>18.28</v>
      </c>
      <c r="C63" s="64">
        <v>22.49</v>
      </c>
      <c r="D63" s="64">
        <v>25.75</v>
      </c>
      <c r="E63" s="64">
        <v>11.26</v>
      </c>
      <c r="F63" s="64">
        <v>3.35</v>
      </c>
      <c r="G63" s="64">
        <v>40.869999999999997</v>
      </c>
      <c r="H63" s="64">
        <v>16.059999999999999</v>
      </c>
      <c r="I63" s="64">
        <v>0.1</v>
      </c>
      <c r="J63" s="64">
        <v>1.1599999999999999</v>
      </c>
      <c r="K63" s="64">
        <v>321.93</v>
      </c>
      <c r="L63" s="64">
        <v>26.2</v>
      </c>
      <c r="M63" s="64">
        <v>25.38</v>
      </c>
      <c r="N63" s="64">
        <v>279.8</v>
      </c>
      <c r="O63" s="64">
        <v>0</v>
      </c>
      <c r="P63" s="64">
        <v>1.03</v>
      </c>
      <c r="Q63" s="64">
        <v>9.64</v>
      </c>
      <c r="R63" s="198"/>
      <c r="S63" s="198"/>
      <c r="T63" s="198"/>
      <c r="U63" s="198"/>
    </row>
    <row r="64" spans="1:21" s="12" customFormat="1" x14ac:dyDescent="0.25">
      <c r="A64" s="214" t="s">
        <v>2222</v>
      </c>
      <c r="B64" s="64">
        <v>17.13</v>
      </c>
      <c r="C64" s="64">
        <v>22.88</v>
      </c>
      <c r="D64" s="64">
        <v>25.04</v>
      </c>
      <c r="E64" s="64">
        <v>14.91</v>
      </c>
      <c r="F64" s="64">
        <v>4.43</v>
      </c>
      <c r="G64" s="64">
        <v>45.9</v>
      </c>
      <c r="H64" s="64">
        <v>17.149999999999999</v>
      </c>
      <c r="I64" s="64">
        <v>0.1</v>
      </c>
      <c r="J64" s="64">
        <v>0.96</v>
      </c>
      <c r="K64" s="64">
        <v>323.82</v>
      </c>
      <c r="L64" s="64">
        <v>26.13</v>
      </c>
      <c r="M64" s="64">
        <v>24.84</v>
      </c>
      <c r="N64" s="64">
        <v>240.8</v>
      </c>
      <c r="O64" s="64">
        <v>0</v>
      </c>
      <c r="P64" s="64">
        <v>1.03</v>
      </c>
      <c r="Q64" s="64">
        <v>9.64</v>
      </c>
      <c r="R64" s="198"/>
      <c r="S64" s="198"/>
      <c r="T64" s="198"/>
      <c r="U64" s="198"/>
    </row>
    <row r="65" spans="1:21" s="12" customFormat="1" x14ac:dyDescent="0.25">
      <c r="A65" s="214" t="s">
        <v>2223</v>
      </c>
      <c r="B65" s="64">
        <v>17.559999999999999</v>
      </c>
      <c r="C65" s="64">
        <v>22.93</v>
      </c>
      <c r="D65" s="64">
        <v>25.41</v>
      </c>
      <c r="E65" s="64">
        <v>12.34</v>
      </c>
      <c r="F65" s="64">
        <v>4.8499999999999996</v>
      </c>
      <c r="G65" s="64">
        <v>47.95</v>
      </c>
      <c r="H65" s="64">
        <v>17.23</v>
      </c>
      <c r="I65" s="64">
        <v>0.1</v>
      </c>
      <c r="J65" s="64">
        <v>1.42</v>
      </c>
      <c r="K65" s="64">
        <v>326.54000000000002</v>
      </c>
      <c r="L65" s="64">
        <v>25.57</v>
      </c>
      <c r="M65" s="64">
        <v>25.67</v>
      </c>
      <c r="N65" s="64">
        <v>158.30000000000001</v>
      </c>
      <c r="O65" s="64">
        <v>0</v>
      </c>
      <c r="P65" s="64">
        <v>1.04</v>
      </c>
      <c r="Q65" s="64">
        <v>9.64</v>
      </c>
      <c r="R65" s="198"/>
      <c r="S65" s="198"/>
      <c r="T65" s="198"/>
      <c r="U65" s="198"/>
    </row>
    <row r="66" spans="1:21" s="12" customFormat="1" x14ac:dyDescent="0.25">
      <c r="A66" s="214" t="s">
        <v>2224</v>
      </c>
      <c r="B66" s="64">
        <v>15.19</v>
      </c>
      <c r="C66" s="64">
        <v>24.02</v>
      </c>
      <c r="D66" s="64">
        <v>24.08</v>
      </c>
      <c r="E66" s="64">
        <v>15.75</v>
      </c>
      <c r="F66" s="64">
        <v>6.3</v>
      </c>
      <c r="G66" s="64">
        <v>47.95</v>
      </c>
      <c r="H66" s="64">
        <v>17.23</v>
      </c>
      <c r="I66" s="64">
        <v>0.1</v>
      </c>
      <c r="J66" s="64">
        <v>1.1599999999999999</v>
      </c>
      <c r="K66" s="64">
        <v>311.60000000000002</v>
      </c>
      <c r="L66" s="64">
        <v>25.36</v>
      </c>
      <c r="M66" s="64">
        <v>24.36</v>
      </c>
      <c r="N66" s="64">
        <v>131.19999999999999</v>
      </c>
      <c r="O66" s="64">
        <v>0</v>
      </c>
      <c r="P66" s="64">
        <v>1.03</v>
      </c>
      <c r="Q66" s="64">
        <v>9.6199999999999992</v>
      </c>
      <c r="R66" s="198"/>
      <c r="S66" s="198"/>
      <c r="T66" s="198"/>
      <c r="U66" s="198"/>
    </row>
    <row r="67" spans="1:21" s="12" customFormat="1" x14ac:dyDescent="0.25">
      <c r="A67" s="214" t="s">
        <v>2225</v>
      </c>
      <c r="B67" s="64">
        <v>13.67</v>
      </c>
      <c r="C67" s="64">
        <v>27.31</v>
      </c>
      <c r="D67" s="64">
        <v>24.58</v>
      </c>
      <c r="E67" s="64">
        <v>17.32</v>
      </c>
      <c r="F67" s="64">
        <v>5.82</v>
      </c>
      <c r="G67" s="64">
        <v>47.95</v>
      </c>
      <c r="H67" s="64">
        <v>17.23</v>
      </c>
      <c r="I67" s="64">
        <v>0.1</v>
      </c>
      <c r="J67" s="64">
        <v>1.1399999999999999</v>
      </c>
      <c r="K67" s="64">
        <v>334.55</v>
      </c>
      <c r="L67" s="64">
        <v>24.71</v>
      </c>
      <c r="M67" s="64">
        <v>27.87</v>
      </c>
      <c r="N67" s="64">
        <v>114.9</v>
      </c>
      <c r="O67" s="64">
        <v>0</v>
      </c>
      <c r="P67" s="64">
        <v>1.06</v>
      </c>
      <c r="Q67" s="64">
        <v>9.6199999999999992</v>
      </c>
      <c r="R67" s="198"/>
      <c r="S67" s="198"/>
      <c r="T67" s="198"/>
      <c r="U67" s="198"/>
    </row>
    <row r="68" spans="1:21" s="12" customFormat="1" x14ac:dyDescent="0.25">
      <c r="A68" s="214" t="s">
        <v>2226</v>
      </c>
      <c r="B68" s="64">
        <v>13</v>
      </c>
      <c r="C68" s="64">
        <v>26.92</v>
      </c>
      <c r="D68" s="64">
        <v>23.84</v>
      </c>
      <c r="E68" s="64">
        <v>16.46</v>
      </c>
      <c r="F68" s="64">
        <v>7.51</v>
      </c>
      <c r="G68" s="64">
        <v>45.31</v>
      </c>
      <c r="H68" s="64">
        <v>15.53</v>
      </c>
      <c r="I68" s="64">
        <v>0.1</v>
      </c>
      <c r="J68" s="64">
        <v>1.56</v>
      </c>
      <c r="K68" s="64">
        <v>339.83</v>
      </c>
      <c r="L68" s="64">
        <v>24.26</v>
      </c>
      <c r="M68" s="64">
        <v>25.76</v>
      </c>
      <c r="N68" s="64">
        <v>105</v>
      </c>
      <c r="O68" s="64">
        <v>0</v>
      </c>
      <c r="P68" s="64">
        <v>1.06</v>
      </c>
      <c r="Q68" s="64">
        <v>9.6300000000000008</v>
      </c>
      <c r="R68" s="198"/>
      <c r="S68" s="198"/>
      <c r="T68" s="198"/>
      <c r="U68" s="198"/>
    </row>
    <row r="69" spans="1:21" s="12" customFormat="1" x14ac:dyDescent="0.25">
      <c r="A69" s="214" t="s">
        <v>2227</v>
      </c>
      <c r="B69" s="64">
        <v>14.08</v>
      </c>
      <c r="C69" s="64">
        <v>26.85</v>
      </c>
      <c r="D69" s="64">
        <v>24.67</v>
      </c>
      <c r="E69" s="64">
        <v>13.75</v>
      </c>
      <c r="F69" s="64">
        <v>5.71</v>
      </c>
      <c r="G69" s="64">
        <v>44.29</v>
      </c>
      <c r="H69" s="64">
        <v>15.45</v>
      </c>
      <c r="I69" s="64">
        <v>0.1</v>
      </c>
      <c r="J69" s="64">
        <v>1.7</v>
      </c>
      <c r="K69" s="64">
        <v>338.65</v>
      </c>
      <c r="L69" s="64">
        <v>24.04</v>
      </c>
      <c r="M69" s="64">
        <v>25.58</v>
      </c>
      <c r="N69" s="64">
        <v>96</v>
      </c>
      <c r="O69" s="64">
        <v>0</v>
      </c>
      <c r="P69" s="64">
        <v>1.1000000000000001</v>
      </c>
      <c r="Q69" s="64">
        <v>9.64</v>
      </c>
      <c r="R69" s="198"/>
      <c r="S69" s="198"/>
      <c r="T69" s="198"/>
      <c r="U69" s="198"/>
    </row>
    <row r="70" spans="1:21" s="12" customFormat="1" x14ac:dyDescent="0.25">
      <c r="A70" s="214" t="s">
        <v>2228</v>
      </c>
      <c r="B70" s="64">
        <v>12.6</v>
      </c>
      <c r="C70" s="64">
        <v>25.38</v>
      </c>
      <c r="D70" s="64">
        <v>22.71</v>
      </c>
      <c r="E70" s="64">
        <v>17.86</v>
      </c>
      <c r="F70" s="64">
        <v>8.0500000000000007</v>
      </c>
      <c r="G70" s="64">
        <v>44.29</v>
      </c>
      <c r="H70" s="64">
        <v>15.45</v>
      </c>
      <c r="I70" s="64">
        <v>0.1</v>
      </c>
      <c r="J70" s="64">
        <v>1.72</v>
      </c>
      <c r="K70" s="64">
        <v>345.37</v>
      </c>
      <c r="L70" s="64">
        <v>23.73</v>
      </c>
      <c r="M70" s="64">
        <v>25.29</v>
      </c>
      <c r="N70" s="64">
        <v>89.4</v>
      </c>
      <c r="O70" s="64">
        <v>0</v>
      </c>
      <c r="P70" s="64">
        <v>1.07</v>
      </c>
      <c r="Q70" s="64">
        <v>9.6300000000000008</v>
      </c>
      <c r="R70" s="198"/>
      <c r="S70" s="198"/>
      <c r="T70" s="198"/>
      <c r="U70" s="198"/>
    </row>
    <row r="71" spans="1:21" s="12" customFormat="1" x14ac:dyDescent="0.25">
      <c r="A71" s="214" t="s">
        <v>2229</v>
      </c>
      <c r="B71" s="64">
        <v>13.19</v>
      </c>
      <c r="C71" s="64">
        <v>26.49</v>
      </c>
      <c r="D71" s="64">
        <v>23.77</v>
      </c>
      <c r="E71" s="64">
        <v>20.04</v>
      </c>
      <c r="F71" s="64">
        <v>7.1</v>
      </c>
      <c r="G71" s="64">
        <v>44.29</v>
      </c>
      <c r="H71" s="64">
        <v>15.45</v>
      </c>
      <c r="I71" s="64">
        <v>0.1</v>
      </c>
      <c r="J71" s="64">
        <v>1.46</v>
      </c>
      <c r="K71" s="64">
        <v>338.96</v>
      </c>
      <c r="L71" s="64">
        <v>23.49</v>
      </c>
      <c r="M71" s="64">
        <v>25.13</v>
      </c>
      <c r="N71" s="64">
        <v>84.4</v>
      </c>
      <c r="O71" s="64">
        <v>0</v>
      </c>
      <c r="P71" s="64">
        <v>1.0900000000000001</v>
      </c>
      <c r="Q71" s="64">
        <v>9.6199999999999992</v>
      </c>
      <c r="R71" s="198"/>
      <c r="S71" s="198"/>
      <c r="T71" s="198"/>
      <c r="U71" s="198"/>
    </row>
    <row r="72" spans="1:21" s="12" customFormat="1" x14ac:dyDescent="0.25">
      <c r="A72" s="214" t="s">
        <v>2230</v>
      </c>
      <c r="B72" s="64">
        <v>11.33</v>
      </c>
      <c r="C72" s="64">
        <v>27.06</v>
      </c>
      <c r="D72" s="64">
        <v>22.58</v>
      </c>
      <c r="E72" s="64">
        <v>14.7</v>
      </c>
      <c r="F72" s="64">
        <v>5.14</v>
      </c>
      <c r="G72" s="64">
        <v>40.4</v>
      </c>
      <c r="H72" s="64">
        <v>14.85</v>
      </c>
      <c r="I72" s="64">
        <v>0.1</v>
      </c>
      <c r="J72" s="64">
        <v>1.51</v>
      </c>
      <c r="K72" s="64">
        <v>343.14</v>
      </c>
      <c r="L72" s="64">
        <v>23.32</v>
      </c>
      <c r="M72" s="64">
        <v>25.49</v>
      </c>
      <c r="N72" s="64">
        <v>79.3</v>
      </c>
      <c r="O72" s="64">
        <v>0</v>
      </c>
      <c r="P72" s="64">
        <v>1.1100000000000001</v>
      </c>
      <c r="Q72" s="64">
        <v>9.6199999999999992</v>
      </c>
      <c r="R72" s="198"/>
      <c r="S72" s="198"/>
      <c r="T72" s="198"/>
      <c r="U72" s="198"/>
    </row>
    <row r="73" spans="1:21" s="12" customFormat="1" x14ac:dyDescent="0.25">
      <c r="A73" s="214" t="s">
        <v>2231</v>
      </c>
      <c r="B73" s="64">
        <v>12.25</v>
      </c>
      <c r="C73" s="64">
        <v>27.38</v>
      </c>
      <c r="D73" s="64">
        <v>23.48</v>
      </c>
      <c r="E73" s="64">
        <v>7.42</v>
      </c>
      <c r="F73" s="64">
        <v>2.79</v>
      </c>
      <c r="G73" s="64">
        <v>38.909999999999997</v>
      </c>
      <c r="H73" s="64">
        <v>14.83</v>
      </c>
      <c r="I73" s="64">
        <v>0.1</v>
      </c>
      <c r="J73" s="64">
        <v>1.0900000000000001</v>
      </c>
      <c r="K73" s="64">
        <v>345.49</v>
      </c>
      <c r="L73" s="64">
        <v>22.97</v>
      </c>
      <c r="M73" s="64">
        <v>26.74</v>
      </c>
      <c r="N73" s="64">
        <v>72.8</v>
      </c>
      <c r="O73" s="64">
        <v>0</v>
      </c>
      <c r="P73" s="64">
        <v>1.1100000000000001</v>
      </c>
      <c r="Q73" s="64">
        <v>9.6300000000000008</v>
      </c>
      <c r="R73" s="198"/>
      <c r="S73" s="198"/>
      <c r="T73" s="198"/>
      <c r="U73" s="198"/>
    </row>
    <row r="74" spans="1:21" s="12" customFormat="1" x14ac:dyDescent="0.25">
      <c r="A74" s="214" t="s">
        <v>2232</v>
      </c>
      <c r="B74" s="64">
        <v>12.75</v>
      </c>
      <c r="C74" s="64">
        <v>29.74</v>
      </c>
      <c r="D74" s="64">
        <v>25.11</v>
      </c>
      <c r="E74" s="64">
        <v>15.86</v>
      </c>
      <c r="F74" s="64">
        <v>5.74</v>
      </c>
      <c r="G74" s="64">
        <v>38.909999999999997</v>
      </c>
      <c r="H74" s="64">
        <v>14.83</v>
      </c>
      <c r="I74" s="64">
        <v>0.1</v>
      </c>
      <c r="J74" s="64">
        <v>0.97</v>
      </c>
      <c r="K74" s="64">
        <v>357.75</v>
      </c>
      <c r="L74" s="64">
        <v>22.49</v>
      </c>
      <c r="M74" s="64">
        <v>27.8</v>
      </c>
      <c r="N74" s="64">
        <v>65.7</v>
      </c>
      <c r="O74" s="64">
        <v>0</v>
      </c>
      <c r="P74" s="64">
        <v>1.1000000000000001</v>
      </c>
      <c r="Q74" s="64">
        <v>9.6199999999999992</v>
      </c>
      <c r="R74" s="198"/>
      <c r="S74" s="198"/>
      <c r="T74" s="198"/>
      <c r="U74" s="198"/>
    </row>
    <row r="75" spans="1:21" s="12" customFormat="1" x14ac:dyDescent="0.25">
      <c r="A75" s="214" t="s">
        <v>2233</v>
      </c>
      <c r="B75" s="64">
        <v>15.83</v>
      </c>
      <c r="C75" s="64">
        <v>31.3</v>
      </c>
      <c r="D75" s="64">
        <v>28.39</v>
      </c>
      <c r="E75" s="64">
        <v>14.89</v>
      </c>
      <c r="F75" s="64">
        <v>4.2699999999999996</v>
      </c>
      <c r="G75" s="64">
        <v>38.909999999999997</v>
      </c>
      <c r="H75" s="64">
        <v>14.83</v>
      </c>
      <c r="I75" s="64">
        <v>0.1</v>
      </c>
      <c r="J75" s="64">
        <v>0.77</v>
      </c>
      <c r="K75" s="64">
        <v>12.18</v>
      </c>
      <c r="L75" s="64">
        <v>21.93</v>
      </c>
      <c r="M75" s="64">
        <v>28.58</v>
      </c>
      <c r="N75" s="64">
        <v>62.1</v>
      </c>
      <c r="O75" s="64">
        <v>0</v>
      </c>
      <c r="P75" s="64">
        <v>1.1499999999999999</v>
      </c>
      <c r="Q75" s="64">
        <v>9.6300000000000008</v>
      </c>
      <c r="R75" s="198"/>
      <c r="S75" s="198"/>
      <c r="T75" s="198"/>
      <c r="U75" s="198"/>
    </row>
    <row r="76" spans="1:21" s="12" customFormat="1" x14ac:dyDescent="0.25">
      <c r="A76" s="214" t="s">
        <v>2234</v>
      </c>
      <c r="B76" s="64">
        <v>12.97</v>
      </c>
      <c r="C76" s="64">
        <v>31.23</v>
      </c>
      <c r="D76" s="64">
        <v>26.06</v>
      </c>
      <c r="E76" s="64">
        <v>12.42</v>
      </c>
      <c r="F76" s="64">
        <v>3.68</v>
      </c>
      <c r="G76" s="64">
        <v>44.85</v>
      </c>
      <c r="H76" s="64">
        <v>16.22</v>
      </c>
      <c r="I76" s="64">
        <v>0.1</v>
      </c>
      <c r="J76" s="64">
        <v>0.37</v>
      </c>
      <c r="K76" s="64">
        <v>51.84</v>
      </c>
      <c r="L76" s="64">
        <v>21.32</v>
      </c>
      <c r="M76" s="64">
        <v>31.76</v>
      </c>
      <c r="N76" s="64">
        <v>57.3</v>
      </c>
      <c r="O76" s="64">
        <v>0</v>
      </c>
      <c r="P76" s="64">
        <v>1.1200000000000001</v>
      </c>
      <c r="Q76" s="64">
        <v>9.64</v>
      </c>
      <c r="R76" s="198"/>
      <c r="S76" s="198"/>
      <c r="T76" s="198"/>
      <c r="U76" s="198"/>
    </row>
    <row r="77" spans="1:21" s="12" customFormat="1" x14ac:dyDescent="0.25">
      <c r="A77" s="214" t="s">
        <v>2235</v>
      </c>
      <c r="B77" s="64">
        <v>14.82</v>
      </c>
      <c r="C77" s="64">
        <v>27.54</v>
      </c>
      <c r="D77" s="64">
        <v>25.62</v>
      </c>
      <c r="E77" s="64">
        <v>7.4</v>
      </c>
      <c r="F77" s="64">
        <v>3.16</v>
      </c>
      <c r="G77" s="64">
        <v>47.13</v>
      </c>
      <c r="H77" s="64">
        <v>16.29</v>
      </c>
      <c r="I77" s="64">
        <v>0.1</v>
      </c>
      <c r="J77" s="64">
        <v>0.52</v>
      </c>
      <c r="K77" s="64">
        <v>333.7</v>
      </c>
      <c r="L77" s="64">
        <v>20.41</v>
      </c>
      <c r="M77" s="64">
        <v>38.799999999999997</v>
      </c>
      <c r="N77" s="64">
        <v>51.8</v>
      </c>
      <c r="O77" s="64">
        <v>0</v>
      </c>
      <c r="P77" s="64">
        <v>1.1200000000000001</v>
      </c>
      <c r="Q77" s="64">
        <v>9.6199999999999992</v>
      </c>
      <c r="R77" s="198"/>
      <c r="S77" s="198"/>
      <c r="T77" s="198"/>
      <c r="U77" s="198"/>
    </row>
    <row r="78" spans="1:21" s="12" customFormat="1" x14ac:dyDescent="0.25">
      <c r="A78" s="214" t="s">
        <v>2236</v>
      </c>
      <c r="B78" s="64">
        <v>18.079999999999998</v>
      </c>
      <c r="C78" s="64">
        <v>26.6</v>
      </c>
      <c r="D78" s="64">
        <v>27.75</v>
      </c>
      <c r="E78" s="64">
        <v>6.61</v>
      </c>
      <c r="F78" s="64">
        <v>2.5299999999999998</v>
      </c>
      <c r="G78" s="64">
        <v>47.13</v>
      </c>
      <c r="H78" s="64">
        <v>16.29</v>
      </c>
      <c r="I78" s="64">
        <v>0.1</v>
      </c>
      <c r="J78" s="64">
        <v>0.75</v>
      </c>
      <c r="K78" s="64">
        <v>302.54000000000002</v>
      </c>
      <c r="L78" s="64">
        <v>19.399999999999999</v>
      </c>
      <c r="M78" s="64">
        <v>40.06</v>
      </c>
      <c r="N78" s="64">
        <v>47.3</v>
      </c>
      <c r="O78" s="64">
        <v>0</v>
      </c>
      <c r="P78" s="64">
        <v>1.1499999999999999</v>
      </c>
      <c r="Q78" s="64">
        <v>9.6199999999999992</v>
      </c>
      <c r="R78" s="198"/>
      <c r="S78" s="198"/>
      <c r="T78" s="198"/>
      <c r="U78" s="198"/>
    </row>
    <row r="79" spans="1:21" s="12" customFormat="1" x14ac:dyDescent="0.25">
      <c r="A79" s="214" t="s">
        <v>2237</v>
      </c>
      <c r="B79" s="64">
        <v>18.920000000000002</v>
      </c>
      <c r="C79" s="64">
        <v>23.95</v>
      </c>
      <c r="D79" s="64">
        <v>27.03</v>
      </c>
      <c r="E79" s="64">
        <v>6.61</v>
      </c>
      <c r="F79" s="64">
        <v>2.56</v>
      </c>
      <c r="G79" s="64">
        <v>47.13</v>
      </c>
      <c r="H79" s="64">
        <v>16.29</v>
      </c>
      <c r="I79" s="64">
        <v>0.1</v>
      </c>
      <c r="J79" s="64">
        <v>0.35</v>
      </c>
      <c r="K79" s="64">
        <v>3.66</v>
      </c>
      <c r="L79" s="64">
        <v>18.87</v>
      </c>
      <c r="M79" s="64">
        <v>42.21</v>
      </c>
      <c r="N79" s="64">
        <v>46.2</v>
      </c>
      <c r="O79" s="64">
        <v>0</v>
      </c>
      <c r="P79" s="64">
        <v>1.18</v>
      </c>
      <c r="Q79" s="64">
        <v>9.6300000000000008</v>
      </c>
      <c r="R79" s="198"/>
      <c r="S79" s="198"/>
      <c r="T79" s="198"/>
      <c r="U79" s="198"/>
    </row>
    <row r="80" spans="1:21" s="12" customFormat="1" x14ac:dyDescent="0.25">
      <c r="A80" s="214" t="s">
        <v>2238</v>
      </c>
      <c r="B80" s="64">
        <v>20.95</v>
      </c>
      <c r="C80" s="64">
        <v>22.7</v>
      </c>
      <c r="D80" s="64">
        <v>28.01</v>
      </c>
      <c r="E80" s="64">
        <v>6.35</v>
      </c>
      <c r="F80" s="64">
        <v>2.69</v>
      </c>
      <c r="G80" s="64">
        <v>55.38</v>
      </c>
      <c r="H80" s="64">
        <v>18.84</v>
      </c>
      <c r="I80" s="64">
        <v>0.1</v>
      </c>
      <c r="J80" s="64">
        <v>0.17</v>
      </c>
      <c r="K80" s="64">
        <v>199.75</v>
      </c>
      <c r="L80" s="64">
        <v>18.399999999999999</v>
      </c>
      <c r="M80" s="64">
        <v>50.24</v>
      </c>
      <c r="N80" s="64">
        <v>46.3</v>
      </c>
      <c r="O80" s="64">
        <v>0</v>
      </c>
      <c r="P80" s="64">
        <v>1.24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4" t="s">
        <v>2239</v>
      </c>
      <c r="B81" s="64">
        <v>23.83</v>
      </c>
      <c r="C81" s="64">
        <v>21.05</v>
      </c>
      <c r="D81" s="64">
        <v>29.45</v>
      </c>
      <c r="E81" s="64">
        <v>5.91</v>
      </c>
      <c r="F81" s="64">
        <v>2.44</v>
      </c>
      <c r="G81" s="64">
        <v>58.55</v>
      </c>
      <c r="H81" s="64">
        <v>19.03</v>
      </c>
      <c r="I81" s="64">
        <v>0.1</v>
      </c>
      <c r="J81" s="64">
        <v>0.41</v>
      </c>
      <c r="K81" s="64">
        <v>9.32</v>
      </c>
      <c r="L81" s="64">
        <v>17.690000000000001</v>
      </c>
      <c r="M81" s="64">
        <v>54.25</v>
      </c>
      <c r="N81" s="64">
        <v>46.2</v>
      </c>
      <c r="O81" s="64">
        <v>0</v>
      </c>
      <c r="P81" s="64">
        <v>1.34</v>
      </c>
      <c r="Q81" s="64">
        <v>9.6300000000000008</v>
      </c>
      <c r="R81" s="198"/>
      <c r="S81" s="198"/>
      <c r="T81" s="198"/>
      <c r="U81" s="198"/>
    </row>
    <row r="82" spans="1:26" s="12" customFormat="1" x14ac:dyDescent="0.25">
      <c r="A82" s="214" t="s">
        <v>2240</v>
      </c>
      <c r="B82" s="64">
        <v>27.77</v>
      </c>
      <c r="C82" s="64">
        <v>19.079999999999998</v>
      </c>
      <c r="D82" s="64">
        <v>31.59</v>
      </c>
      <c r="E82" s="64">
        <v>5.96</v>
      </c>
      <c r="F82" s="64">
        <v>2.56</v>
      </c>
      <c r="G82" s="64">
        <v>58.55</v>
      </c>
      <c r="H82" s="64">
        <v>19.03</v>
      </c>
      <c r="I82" s="64">
        <v>0.1</v>
      </c>
      <c r="J82" s="64">
        <v>0.82</v>
      </c>
      <c r="K82" s="64">
        <v>128.44999999999999</v>
      </c>
      <c r="L82" s="64">
        <v>17.22</v>
      </c>
      <c r="M82" s="64">
        <v>57.34</v>
      </c>
      <c r="N82" s="64">
        <v>46</v>
      </c>
      <c r="O82" s="64">
        <v>0</v>
      </c>
      <c r="P82" s="64">
        <v>1.45</v>
      </c>
      <c r="Q82" s="64">
        <v>9.6300000000000008</v>
      </c>
      <c r="R82" s="198"/>
      <c r="S82" s="198"/>
      <c r="T82" s="198"/>
      <c r="U82" s="198"/>
    </row>
    <row r="83" spans="1:26" s="12" customFormat="1" x14ac:dyDescent="0.25">
      <c r="A83" s="214" t="s">
        <v>2241</v>
      </c>
      <c r="B83" s="64">
        <v>34.15</v>
      </c>
      <c r="C83" s="64">
        <v>16.28</v>
      </c>
      <c r="D83" s="64">
        <v>35.24</v>
      </c>
      <c r="E83" s="64">
        <v>6.4</v>
      </c>
      <c r="F83" s="64">
        <v>2.46</v>
      </c>
      <c r="G83" s="64">
        <v>58.55</v>
      </c>
      <c r="H83" s="64">
        <v>19.03</v>
      </c>
      <c r="I83" s="64">
        <v>0.1</v>
      </c>
      <c r="J83" s="64">
        <v>0.59</v>
      </c>
      <c r="K83" s="64">
        <v>148.25</v>
      </c>
      <c r="L83" s="64">
        <v>16.62</v>
      </c>
      <c r="M83" s="64">
        <v>67.33</v>
      </c>
      <c r="N83" s="64">
        <v>46.3</v>
      </c>
      <c r="O83" s="64">
        <v>0</v>
      </c>
      <c r="P83" s="64">
        <v>1.53</v>
      </c>
      <c r="Q83" s="64">
        <v>9.64</v>
      </c>
      <c r="R83" s="198"/>
      <c r="S83" s="198"/>
      <c r="T83" s="198"/>
      <c r="U83" s="198"/>
    </row>
    <row r="84" spans="1:26" s="12" customFormat="1" x14ac:dyDescent="0.25">
      <c r="A84" s="214" t="s">
        <v>2242</v>
      </c>
      <c r="B84" s="64">
        <v>42.94</v>
      </c>
      <c r="C84" s="64">
        <v>13.8</v>
      </c>
      <c r="D84" s="64">
        <v>40.99</v>
      </c>
      <c r="E84" s="64">
        <v>6.6</v>
      </c>
      <c r="F84" s="64">
        <v>2.2400000000000002</v>
      </c>
      <c r="G84" s="64">
        <v>87.59</v>
      </c>
      <c r="H84" s="64">
        <v>25.88</v>
      </c>
      <c r="I84" s="64">
        <v>0.1</v>
      </c>
      <c r="J84" s="64">
        <v>0.64</v>
      </c>
      <c r="K84" s="64">
        <v>198.65</v>
      </c>
      <c r="L84" s="64">
        <v>16.18</v>
      </c>
      <c r="M84" s="64">
        <v>69.599999999999994</v>
      </c>
      <c r="N84" s="64">
        <v>46</v>
      </c>
      <c r="O84" s="64">
        <v>0</v>
      </c>
      <c r="P84" s="64">
        <v>1.68</v>
      </c>
      <c r="Q84" s="64">
        <v>9.66</v>
      </c>
      <c r="R84" s="198"/>
      <c r="S84" s="198"/>
      <c r="T84" s="198"/>
      <c r="U84" s="198"/>
    </row>
    <row r="85" spans="1:26" s="12" customFormat="1" x14ac:dyDescent="0.25">
      <c r="A85" s="214" t="s">
        <v>2243</v>
      </c>
      <c r="B85" s="64">
        <v>45.36</v>
      </c>
      <c r="C85" s="64">
        <v>10.14</v>
      </c>
      <c r="D85" s="64">
        <v>41.02</v>
      </c>
      <c r="E85" s="64">
        <v>6.2</v>
      </c>
      <c r="F85" s="64">
        <v>2.15</v>
      </c>
      <c r="G85" s="64">
        <v>98.76</v>
      </c>
      <c r="H85" s="64">
        <v>26.2</v>
      </c>
      <c r="I85" s="64">
        <v>0.1</v>
      </c>
      <c r="J85" s="64">
        <v>0.79</v>
      </c>
      <c r="K85" s="64">
        <v>148.5</v>
      </c>
      <c r="L85" s="64">
        <v>15.95</v>
      </c>
      <c r="M85" s="64">
        <v>69.42</v>
      </c>
      <c r="N85" s="64">
        <v>45.9</v>
      </c>
      <c r="O85" s="64">
        <v>0</v>
      </c>
      <c r="P85" s="64">
        <v>1.54</v>
      </c>
      <c r="Q85" s="64">
        <v>9.66</v>
      </c>
      <c r="R85" s="198"/>
      <c r="S85" s="198"/>
      <c r="T85" s="198"/>
      <c r="U85" s="198"/>
    </row>
    <row r="86" spans="1:26" s="12" customFormat="1" x14ac:dyDescent="0.25">
      <c r="A86" s="214" t="s">
        <v>2244</v>
      </c>
      <c r="B86" s="64">
        <v>50.83</v>
      </c>
      <c r="C86" s="64">
        <v>7.52</v>
      </c>
      <c r="D86" s="64">
        <v>44.04</v>
      </c>
      <c r="E86" s="64">
        <v>6.19</v>
      </c>
      <c r="F86" s="64">
        <v>2.16</v>
      </c>
      <c r="G86" s="64">
        <v>98.76</v>
      </c>
      <c r="H86" s="64">
        <v>26.2</v>
      </c>
      <c r="I86" s="64">
        <v>0.1</v>
      </c>
      <c r="J86" s="64">
        <v>0.5</v>
      </c>
      <c r="K86" s="64">
        <v>40.44</v>
      </c>
      <c r="L86" s="64">
        <v>15.83</v>
      </c>
      <c r="M86" s="64">
        <v>70.02</v>
      </c>
      <c r="N86" s="64">
        <v>45.9</v>
      </c>
      <c r="O86" s="64">
        <v>0</v>
      </c>
      <c r="P86" s="64">
        <v>1.73</v>
      </c>
      <c r="Q86" s="64">
        <v>9.67</v>
      </c>
      <c r="R86" s="198"/>
      <c r="S86" s="198"/>
      <c r="T86" s="198"/>
      <c r="U86" s="198"/>
    </row>
    <row r="87" spans="1:26" s="12" customFormat="1" x14ac:dyDescent="0.25">
      <c r="A87" s="214" t="s">
        <v>2245</v>
      </c>
      <c r="B87" s="64">
        <v>55.95</v>
      </c>
      <c r="C87" s="64">
        <v>4.54</v>
      </c>
      <c r="D87" s="64">
        <v>46.37</v>
      </c>
      <c r="E87" s="64">
        <v>6.25</v>
      </c>
      <c r="F87" s="64">
        <v>2.52</v>
      </c>
      <c r="G87" s="64">
        <v>98.76</v>
      </c>
      <c r="H87" s="64">
        <v>26.2</v>
      </c>
      <c r="I87" s="64">
        <v>0.1</v>
      </c>
      <c r="J87" s="64">
        <v>0.33</v>
      </c>
      <c r="K87" s="64">
        <v>60.32</v>
      </c>
      <c r="L87" s="64">
        <v>15.61</v>
      </c>
      <c r="M87" s="64">
        <v>71.69</v>
      </c>
      <c r="N87" s="64">
        <v>45.7</v>
      </c>
      <c r="O87" s="64">
        <v>0</v>
      </c>
      <c r="P87" s="64">
        <v>1.8</v>
      </c>
      <c r="Q87" s="64">
        <v>9.68</v>
      </c>
      <c r="R87" s="198"/>
      <c r="S87" s="198"/>
      <c r="T87" s="198"/>
      <c r="U87" s="198"/>
    </row>
    <row r="88" spans="1:26" s="12" customFormat="1" x14ac:dyDescent="0.25">
      <c r="A88" s="214" t="s">
        <v>2246</v>
      </c>
      <c r="B88" s="64">
        <v>58.56</v>
      </c>
      <c r="C88" s="64">
        <v>2.2599999999999998</v>
      </c>
      <c r="D88" s="64">
        <v>47.47</v>
      </c>
      <c r="E88" s="64">
        <v>6.73</v>
      </c>
      <c r="F88" s="64">
        <v>2.44</v>
      </c>
      <c r="G88" s="64">
        <v>104.93</v>
      </c>
      <c r="H88" s="64">
        <v>29.89</v>
      </c>
      <c r="I88" s="64">
        <v>0.1</v>
      </c>
      <c r="J88" s="64">
        <v>0.73</v>
      </c>
      <c r="K88" s="64">
        <v>17.64</v>
      </c>
      <c r="L88" s="64">
        <v>15.52</v>
      </c>
      <c r="M88" s="64">
        <v>74.959999999999994</v>
      </c>
      <c r="N88" s="64">
        <v>45.9</v>
      </c>
      <c r="O88" s="64">
        <v>0</v>
      </c>
      <c r="P88" s="64">
        <v>1.86</v>
      </c>
      <c r="Q88" s="64">
        <v>9.69</v>
      </c>
      <c r="R88" s="198"/>
      <c r="S88" s="198"/>
      <c r="T88" s="198"/>
      <c r="U88" s="198"/>
    </row>
    <row r="89" spans="1:26" s="12" customFormat="1" x14ac:dyDescent="0.25">
      <c r="A89" s="214" t="s">
        <v>2247</v>
      </c>
      <c r="B89" s="64">
        <v>65.709999999999994</v>
      </c>
      <c r="C89" s="64">
        <v>0.13</v>
      </c>
      <c r="D89" s="64">
        <v>51.23</v>
      </c>
      <c r="E89" s="64">
        <v>6.62</v>
      </c>
      <c r="F89" s="64">
        <v>2.41</v>
      </c>
      <c r="G89" s="64">
        <v>107.31</v>
      </c>
      <c r="H89" s="64">
        <v>30.06</v>
      </c>
      <c r="I89" s="64">
        <v>0.1</v>
      </c>
      <c r="J89" s="64">
        <v>0.81</v>
      </c>
      <c r="K89" s="64">
        <v>305.17</v>
      </c>
      <c r="L89" s="64">
        <v>15.44</v>
      </c>
      <c r="M89" s="64">
        <v>75.680000000000007</v>
      </c>
      <c r="N89" s="64">
        <v>45.7</v>
      </c>
      <c r="O89" s="64">
        <v>0</v>
      </c>
      <c r="P89" s="64">
        <v>2.0099999999999998</v>
      </c>
      <c r="Q89" s="64">
        <v>9.69</v>
      </c>
      <c r="R89" s="198"/>
      <c r="S89" s="198"/>
      <c r="T89" s="198"/>
      <c r="U89" s="198"/>
    </row>
    <row r="90" spans="1:26" s="12" customFormat="1" x14ac:dyDescent="0.25">
      <c r="A90" s="214" t="s">
        <v>2248</v>
      </c>
      <c r="B90" s="64">
        <v>68.02</v>
      </c>
      <c r="C90" s="64">
        <v>0.13</v>
      </c>
      <c r="D90" s="64">
        <v>52.34</v>
      </c>
      <c r="E90" s="64">
        <v>6.24</v>
      </c>
      <c r="F90" s="64">
        <v>2.65</v>
      </c>
      <c r="G90" s="64">
        <v>107.31</v>
      </c>
      <c r="H90" s="64">
        <v>30.06</v>
      </c>
      <c r="I90" s="64">
        <v>0.1</v>
      </c>
      <c r="J90" s="64">
        <v>0.7</v>
      </c>
      <c r="K90" s="64">
        <v>359.94</v>
      </c>
      <c r="L90" s="64">
        <v>15.26</v>
      </c>
      <c r="M90" s="64">
        <v>76.86</v>
      </c>
      <c r="N90" s="64">
        <v>46</v>
      </c>
      <c r="O90" s="64">
        <v>0</v>
      </c>
      <c r="P90" s="64">
        <v>2.14</v>
      </c>
      <c r="Q90" s="64">
        <v>9.68</v>
      </c>
      <c r="R90" s="198"/>
      <c r="S90" s="198"/>
      <c r="T90" s="198"/>
      <c r="U90" s="198"/>
    </row>
    <row r="91" spans="1:26" s="12" customFormat="1" x14ac:dyDescent="0.25">
      <c r="A91" s="214" t="s">
        <v>2249</v>
      </c>
      <c r="B91" s="64">
        <v>73.319999999999993</v>
      </c>
      <c r="C91" s="64">
        <v>0.13</v>
      </c>
      <c r="D91" s="64">
        <v>54.85</v>
      </c>
      <c r="E91" s="64">
        <v>6.58</v>
      </c>
      <c r="F91" s="64">
        <v>2.4700000000000002</v>
      </c>
      <c r="G91" s="64">
        <v>107.31</v>
      </c>
      <c r="H91" s="64">
        <v>30.06</v>
      </c>
      <c r="I91" s="64">
        <v>0.1</v>
      </c>
      <c r="J91" s="64">
        <v>0.8</v>
      </c>
      <c r="K91" s="64">
        <v>297.75</v>
      </c>
      <c r="L91" s="64">
        <v>15.21</v>
      </c>
      <c r="M91" s="64">
        <v>75.52</v>
      </c>
      <c r="N91" s="64">
        <v>45.9</v>
      </c>
      <c r="O91" s="64">
        <v>0</v>
      </c>
      <c r="P91" s="64">
        <v>2.2599999999999998</v>
      </c>
      <c r="Q91" s="64">
        <v>9.6999999999999993</v>
      </c>
      <c r="R91" s="198"/>
      <c r="S91" s="198"/>
      <c r="T91" s="198"/>
      <c r="U91" s="198"/>
    </row>
    <row r="92" spans="1:26" s="12" customFormat="1" x14ac:dyDescent="0.25">
      <c r="A92" s="214" t="s">
        <v>2250</v>
      </c>
      <c r="B92" s="64">
        <v>79.06</v>
      </c>
      <c r="C92" s="64">
        <v>0.13</v>
      </c>
      <c r="D92" s="64">
        <v>57.6</v>
      </c>
      <c r="E92" s="64">
        <v>6.51</v>
      </c>
      <c r="F92" s="64">
        <v>2.46</v>
      </c>
      <c r="G92" s="64">
        <v>108.46</v>
      </c>
      <c r="H92" s="64">
        <v>33.83</v>
      </c>
      <c r="I92" s="64">
        <v>0.1</v>
      </c>
      <c r="J92" s="64">
        <v>0.83</v>
      </c>
      <c r="K92" s="64">
        <v>289.17</v>
      </c>
      <c r="L92" s="64">
        <v>15.05</v>
      </c>
      <c r="M92" s="64">
        <v>72.94</v>
      </c>
      <c r="N92" s="64">
        <v>45.9</v>
      </c>
      <c r="O92" s="64">
        <v>0</v>
      </c>
      <c r="P92" s="64">
        <v>2.37</v>
      </c>
      <c r="Q92" s="64">
        <v>9.7100000000000009</v>
      </c>
      <c r="R92" s="198"/>
      <c r="S92" s="198"/>
      <c r="T92" s="198"/>
      <c r="U92" s="198"/>
    </row>
    <row r="93" spans="1:26" s="12" customFormat="1" x14ac:dyDescent="0.25">
      <c r="A93" s="214" t="s">
        <v>2251</v>
      </c>
      <c r="B93" s="64">
        <v>84.93</v>
      </c>
      <c r="C93" s="64">
        <v>0.13</v>
      </c>
      <c r="D93" s="64">
        <v>60.64</v>
      </c>
      <c r="E93" s="64">
        <v>6.9</v>
      </c>
      <c r="F93" s="64">
        <v>2.38</v>
      </c>
      <c r="G93" s="64">
        <v>108.91</v>
      </c>
      <c r="H93" s="64">
        <v>34</v>
      </c>
      <c r="I93" s="64">
        <v>0.1</v>
      </c>
      <c r="J93" s="64">
        <v>0.71</v>
      </c>
      <c r="K93" s="64">
        <v>291.26</v>
      </c>
      <c r="L93" s="64">
        <v>14.89</v>
      </c>
      <c r="M93" s="64">
        <v>70.98</v>
      </c>
      <c r="N93" s="64">
        <v>45.9</v>
      </c>
      <c r="O93" s="64">
        <v>0</v>
      </c>
      <c r="P93" s="64">
        <v>2.48</v>
      </c>
      <c r="Q93" s="64">
        <v>9.7200000000000006</v>
      </c>
      <c r="R93" s="198"/>
      <c r="S93" s="198"/>
      <c r="T93" s="198"/>
      <c r="U93" s="198"/>
    </row>
    <row r="94" spans="1:26" s="12" customFormat="1" x14ac:dyDescent="0.25">
      <c r="A94" s="214" t="s">
        <v>2252</v>
      </c>
      <c r="B94" s="64">
        <v>90.96</v>
      </c>
      <c r="C94" s="64">
        <v>0.13</v>
      </c>
      <c r="D94" s="64">
        <v>63.76</v>
      </c>
      <c r="E94" s="64">
        <v>6.73</v>
      </c>
      <c r="F94" s="64">
        <v>2.35</v>
      </c>
      <c r="G94" s="64">
        <v>108.91</v>
      </c>
      <c r="H94" s="64">
        <v>34</v>
      </c>
      <c r="I94" s="64">
        <v>0.1</v>
      </c>
      <c r="J94" s="64">
        <v>0.76</v>
      </c>
      <c r="K94" s="64">
        <v>266</v>
      </c>
      <c r="L94" s="64">
        <v>14.73</v>
      </c>
      <c r="M94" s="64">
        <v>73.91</v>
      </c>
      <c r="N94" s="64">
        <v>45.9</v>
      </c>
      <c r="O94" s="64">
        <v>0</v>
      </c>
      <c r="P94" s="64">
        <v>2.58</v>
      </c>
      <c r="Q94" s="64">
        <v>9.7200000000000006</v>
      </c>
      <c r="R94" s="198"/>
      <c r="S94" s="198"/>
      <c r="T94" s="198"/>
      <c r="U94" s="198"/>
    </row>
    <row r="95" spans="1:26" s="12" customFormat="1" x14ac:dyDescent="0.25">
      <c r="A95" s="214" t="s">
        <v>2253</v>
      </c>
      <c r="B95" s="64">
        <v>95.93</v>
      </c>
      <c r="C95" s="64">
        <v>0.13</v>
      </c>
      <c r="D95" s="64">
        <v>66.319999999999993</v>
      </c>
      <c r="E95" s="64">
        <v>6.74</v>
      </c>
      <c r="F95" s="64">
        <v>2.62</v>
      </c>
      <c r="G95" s="64">
        <v>108.91</v>
      </c>
      <c r="H95" s="64">
        <v>34</v>
      </c>
      <c r="I95" s="64">
        <v>0.1</v>
      </c>
      <c r="J95" s="64">
        <v>0.38</v>
      </c>
      <c r="K95" s="64">
        <v>317.29000000000002</v>
      </c>
      <c r="L95" s="64">
        <v>14.52</v>
      </c>
      <c r="M95" s="64">
        <v>80.31</v>
      </c>
      <c r="N95" s="64">
        <v>45.9</v>
      </c>
      <c r="O95" s="64">
        <v>0</v>
      </c>
      <c r="P95" s="64">
        <v>2.67</v>
      </c>
      <c r="Q95" s="64">
        <v>9.7200000000000006</v>
      </c>
      <c r="R95" s="198"/>
      <c r="S95" s="198"/>
      <c r="T95" s="198"/>
      <c r="U95" s="198"/>
    </row>
    <row r="96" spans="1:26" s="12" customFormat="1" x14ac:dyDescent="0.25">
      <c r="A96" s="214" t="s">
        <v>2254</v>
      </c>
      <c r="B96" s="64">
        <v>101.57</v>
      </c>
      <c r="C96" s="64">
        <v>0.13</v>
      </c>
      <c r="D96" s="64">
        <v>69.08</v>
      </c>
      <c r="E96" s="64">
        <v>6.53</v>
      </c>
      <c r="F96" s="64">
        <v>2.69</v>
      </c>
      <c r="G96" s="64">
        <v>112.32</v>
      </c>
      <c r="H96" s="64">
        <v>38.75</v>
      </c>
      <c r="I96" s="64">
        <v>0.1</v>
      </c>
      <c r="J96" s="64">
        <v>0.4</v>
      </c>
      <c r="K96" s="64">
        <v>181.76</v>
      </c>
      <c r="L96" s="64">
        <v>14.26</v>
      </c>
      <c r="M96" s="64">
        <v>84</v>
      </c>
      <c r="N96" s="64">
        <v>45.9</v>
      </c>
      <c r="O96" s="64">
        <v>0</v>
      </c>
      <c r="P96" s="64">
        <v>2.78</v>
      </c>
      <c r="Q96" s="64">
        <v>9.73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2255</v>
      </c>
      <c r="B97" s="64">
        <v>108.37</v>
      </c>
      <c r="C97" s="64">
        <v>0.13</v>
      </c>
      <c r="D97" s="64">
        <v>72.37</v>
      </c>
      <c r="E97" s="64">
        <v>6.8</v>
      </c>
      <c r="F97" s="64">
        <v>2.62</v>
      </c>
      <c r="G97" s="64">
        <v>113.63</v>
      </c>
      <c r="H97" s="64">
        <v>39.1</v>
      </c>
      <c r="I97" s="64">
        <v>0.1</v>
      </c>
      <c r="J97" s="64">
        <v>0.45</v>
      </c>
      <c r="K97" s="64">
        <v>308.17</v>
      </c>
      <c r="L97" s="64">
        <v>14.13</v>
      </c>
      <c r="M97" s="64">
        <v>86.55</v>
      </c>
      <c r="N97" s="64">
        <v>45.8</v>
      </c>
      <c r="O97" s="64">
        <v>0</v>
      </c>
      <c r="P97" s="64">
        <v>2.91</v>
      </c>
      <c r="Q97" s="64">
        <v>9.74</v>
      </c>
      <c r="R97" s="198"/>
      <c r="S97" s="198"/>
      <c r="T97" s="198"/>
      <c r="U97" s="198"/>
    </row>
    <row r="98" spans="1:33" s="12" customFormat="1" x14ac:dyDescent="0.25">
      <c r="A98" s="214" t="s">
        <v>2256</v>
      </c>
      <c r="B98" s="64">
        <v>114.32</v>
      </c>
      <c r="C98" s="64">
        <v>0.13</v>
      </c>
      <c r="D98" s="64">
        <v>75.31</v>
      </c>
      <c r="E98" s="64">
        <v>6.94</v>
      </c>
      <c r="F98" s="64">
        <v>2.59</v>
      </c>
      <c r="G98" s="64">
        <v>113.63</v>
      </c>
      <c r="H98" s="64">
        <v>39.1</v>
      </c>
      <c r="I98" s="64">
        <v>0.1</v>
      </c>
      <c r="J98" s="64">
        <v>0.72</v>
      </c>
      <c r="K98" s="64">
        <v>320.66000000000003</v>
      </c>
      <c r="L98" s="64">
        <v>14.03</v>
      </c>
      <c r="M98" s="64">
        <v>89.98</v>
      </c>
      <c r="N98" s="64">
        <v>45.8</v>
      </c>
      <c r="O98" s="64">
        <v>0</v>
      </c>
      <c r="P98" s="64">
        <v>2.99</v>
      </c>
      <c r="Q98" s="64">
        <v>9.74</v>
      </c>
      <c r="R98" s="198"/>
      <c r="S98" s="198"/>
      <c r="T98" s="198"/>
      <c r="U98" s="198"/>
    </row>
    <row r="99" spans="1:33" s="12" customFormat="1" x14ac:dyDescent="0.25">
      <c r="A99" s="214" t="s">
        <v>2257</v>
      </c>
      <c r="B99" s="64">
        <v>118.02</v>
      </c>
      <c r="C99" s="64">
        <v>0.13</v>
      </c>
      <c r="D99" s="64">
        <v>77.040000000000006</v>
      </c>
      <c r="E99" s="64">
        <v>6.88</v>
      </c>
      <c r="F99" s="64">
        <v>2.31</v>
      </c>
      <c r="G99" s="64">
        <v>113.63</v>
      </c>
      <c r="H99" s="64">
        <v>39.1</v>
      </c>
      <c r="I99" s="64">
        <v>0.1</v>
      </c>
      <c r="J99" s="64">
        <v>0.53</v>
      </c>
      <c r="K99" s="64">
        <v>324.8</v>
      </c>
      <c r="L99" s="64">
        <v>13.87</v>
      </c>
      <c r="M99" s="64">
        <v>90.74</v>
      </c>
      <c r="N99" s="64">
        <v>46</v>
      </c>
      <c r="O99" s="64">
        <v>0</v>
      </c>
      <c r="P99" s="64">
        <v>3.05</v>
      </c>
      <c r="Q99" s="64">
        <v>9.75</v>
      </c>
      <c r="R99" s="198"/>
      <c r="S99" s="198"/>
      <c r="T99" s="198"/>
      <c r="U99" s="198"/>
    </row>
    <row r="100" spans="1:33" s="12" customFormat="1" x14ac:dyDescent="0.25">
      <c r="A100" s="214" t="s">
        <v>2258</v>
      </c>
      <c r="B100" s="64">
        <v>122.7</v>
      </c>
      <c r="C100" s="64">
        <v>0.13</v>
      </c>
      <c r="D100" s="64">
        <v>79.16</v>
      </c>
      <c r="E100" s="64">
        <v>7.15</v>
      </c>
      <c r="F100" s="64">
        <v>2.3199999999999998</v>
      </c>
      <c r="G100" s="64">
        <v>123.7</v>
      </c>
      <c r="H100" s="64">
        <v>42.41</v>
      </c>
      <c r="I100" s="64">
        <v>0.1</v>
      </c>
      <c r="J100" s="64">
        <v>0.76</v>
      </c>
      <c r="K100" s="64">
        <v>298.93</v>
      </c>
      <c r="L100" s="64">
        <v>13.61</v>
      </c>
      <c r="M100" s="64">
        <v>93.36</v>
      </c>
      <c r="N100" s="64">
        <v>45.9</v>
      </c>
      <c r="O100" s="64">
        <v>0</v>
      </c>
      <c r="P100" s="64">
        <v>3.12</v>
      </c>
      <c r="Q100" s="64">
        <v>9.77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2259</v>
      </c>
      <c r="B101" s="64">
        <v>125.77</v>
      </c>
      <c r="C101" s="64">
        <v>0.13</v>
      </c>
      <c r="D101" s="64">
        <v>80.42</v>
      </c>
      <c r="E101" s="64">
        <v>7.04</v>
      </c>
      <c r="F101" s="64">
        <v>2.33</v>
      </c>
      <c r="G101" s="64">
        <v>127.58</v>
      </c>
      <c r="H101" s="64">
        <v>42.56</v>
      </c>
      <c r="I101" s="64">
        <v>0.1</v>
      </c>
      <c r="J101" s="64">
        <v>0.8</v>
      </c>
      <c r="K101" s="64">
        <v>282.69</v>
      </c>
      <c r="L101" s="64">
        <v>13.43</v>
      </c>
      <c r="M101" s="64">
        <v>94.57</v>
      </c>
      <c r="N101" s="64">
        <v>46</v>
      </c>
      <c r="O101" s="64">
        <v>0</v>
      </c>
      <c r="P101" s="64">
        <v>3.18</v>
      </c>
      <c r="Q101" s="64">
        <v>9.76</v>
      </c>
      <c r="R101" s="198"/>
      <c r="S101" s="198"/>
      <c r="T101" s="198"/>
      <c r="U101" s="198"/>
    </row>
    <row r="102" spans="1:33" s="12" customFormat="1" x14ac:dyDescent="0.25">
      <c r="A102" s="214" t="s">
        <v>2260</v>
      </c>
      <c r="B102" s="64">
        <v>127.55</v>
      </c>
      <c r="C102" s="64">
        <v>0.13</v>
      </c>
      <c r="D102" s="64">
        <v>81.290000000000006</v>
      </c>
      <c r="E102" s="64">
        <v>6.95</v>
      </c>
      <c r="F102" s="64">
        <v>2.31</v>
      </c>
      <c r="G102" s="64">
        <v>127.58</v>
      </c>
      <c r="H102" s="64">
        <v>42.56</v>
      </c>
      <c r="I102" s="64">
        <v>0.1</v>
      </c>
      <c r="J102" s="64">
        <v>0.83</v>
      </c>
      <c r="K102" s="64">
        <v>280.39999999999998</v>
      </c>
      <c r="L102" s="64">
        <v>13.31</v>
      </c>
      <c r="M102" s="64">
        <v>97.2</v>
      </c>
      <c r="N102" s="64">
        <v>45.8</v>
      </c>
      <c r="O102" s="64">
        <v>0</v>
      </c>
      <c r="P102" s="64">
        <v>3.23</v>
      </c>
      <c r="Q102" s="64">
        <v>9.76</v>
      </c>
      <c r="R102" s="198"/>
      <c r="S102" s="198"/>
      <c r="T102" s="198"/>
      <c r="U102" s="198"/>
    </row>
    <row r="103" spans="1:33" s="12" customFormat="1" x14ac:dyDescent="0.25">
      <c r="A103" s="214" t="s">
        <v>2261</v>
      </c>
      <c r="B103" s="64">
        <v>129.36000000000001</v>
      </c>
      <c r="C103" s="64">
        <v>0.13</v>
      </c>
      <c r="D103" s="64">
        <v>82.14</v>
      </c>
      <c r="E103" s="64">
        <v>7.05</v>
      </c>
      <c r="F103" s="64">
        <v>2.2400000000000002</v>
      </c>
      <c r="G103" s="64">
        <v>127.58</v>
      </c>
      <c r="H103" s="64">
        <v>42.56</v>
      </c>
      <c r="I103" s="64">
        <v>0.1</v>
      </c>
      <c r="J103" s="64">
        <v>0.8</v>
      </c>
      <c r="K103" s="64">
        <v>314.99</v>
      </c>
      <c r="L103" s="64">
        <v>13.21</v>
      </c>
      <c r="M103" s="64">
        <v>97.89</v>
      </c>
      <c r="N103" s="64">
        <v>45.9</v>
      </c>
      <c r="O103" s="64">
        <v>0</v>
      </c>
      <c r="P103" s="64">
        <v>3.28</v>
      </c>
      <c r="Q103" s="64">
        <v>9.7799999999999994</v>
      </c>
      <c r="R103" s="198"/>
      <c r="S103" s="198"/>
      <c r="T103" s="198"/>
      <c r="U103" s="198"/>
    </row>
    <row r="104" spans="1:33" s="12" customFormat="1" x14ac:dyDescent="0.25">
      <c r="A104" s="214" t="s">
        <v>2262</v>
      </c>
      <c r="B104" s="64">
        <v>131.04</v>
      </c>
      <c r="C104" s="64">
        <v>0.13</v>
      </c>
      <c r="D104" s="64">
        <v>82.76</v>
      </c>
      <c r="E104" s="64">
        <v>4.5599999999999996</v>
      </c>
      <c r="F104" s="64">
        <v>2.2200000000000002</v>
      </c>
      <c r="G104" s="64">
        <v>119.61</v>
      </c>
      <c r="H104" s="64">
        <v>42.06</v>
      </c>
      <c r="I104" s="64">
        <v>0.1</v>
      </c>
      <c r="J104" s="64">
        <v>0.15</v>
      </c>
      <c r="K104" s="64">
        <v>318.20999999999998</v>
      </c>
      <c r="L104" s="64">
        <v>13.03</v>
      </c>
      <c r="M104" s="64">
        <v>97.89</v>
      </c>
      <c r="N104" s="64">
        <v>45.9</v>
      </c>
      <c r="O104" s="64">
        <v>0</v>
      </c>
      <c r="P104" s="64">
        <v>3.32</v>
      </c>
      <c r="Q104" s="64">
        <v>9.76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11.33</v>
      </c>
      <c r="C106" s="67">
        <f>MIN(C9:C104)</f>
        <v>0.13</v>
      </c>
      <c r="D106" s="67">
        <f t="shared" ref="D106:Q106" si="0">MIN(D9:D104)</f>
        <v>22.58</v>
      </c>
      <c r="E106" s="67">
        <f t="shared" si="0"/>
        <v>4.5599999999999996</v>
      </c>
      <c r="F106" s="67">
        <f t="shared" si="0"/>
        <v>2.15</v>
      </c>
      <c r="G106" s="67">
        <f t="shared" si="0"/>
        <v>27.95</v>
      </c>
      <c r="H106" s="67">
        <f t="shared" si="0"/>
        <v>14.22</v>
      </c>
      <c r="I106" s="67">
        <f t="shared" si="0"/>
        <v>0.1</v>
      </c>
      <c r="J106" s="67">
        <f t="shared" si="0"/>
        <v>0.08</v>
      </c>
      <c r="K106" s="67">
        <f t="shared" si="0"/>
        <v>3.66</v>
      </c>
      <c r="L106" s="67">
        <f t="shared" si="0"/>
        <v>10.82</v>
      </c>
      <c r="M106" s="67">
        <f t="shared" si="0"/>
        <v>22.17</v>
      </c>
      <c r="N106" s="67">
        <f t="shared" si="0"/>
        <v>45.7</v>
      </c>
      <c r="O106" s="67">
        <f t="shared" si="0"/>
        <v>0</v>
      </c>
      <c r="P106" s="67">
        <f t="shared" si="0"/>
        <v>0.87</v>
      </c>
      <c r="Q106" s="67">
        <f t="shared" si="0"/>
        <v>9.61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131.04</v>
      </c>
      <c r="C107" s="66">
        <f t="shared" ref="C107:Q107" si="1">MAX(C9:C104)</f>
        <v>31.3</v>
      </c>
      <c r="D107" s="66">
        <f t="shared" si="1"/>
        <v>82.76</v>
      </c>
      <c r="E107" s="66">
        <f t="shared" si="1"/>
        <v>20.04</v>
      </c>
      <c r="F107" s="66">
        <f t="shared" si="1"/>
        <v>8.0500000000000007</v>
      </c>
      <c r="G107" s="66">
        <f t="shared" si="1"/>
        <v>127.58</v>
      </c>
      <c r="H107" s="66">
        <f t="shared" si="1"/>
        <v>42.56</v>
      </c>
      <c r="I107" s="66">
        <f t="shared" si="1"/>
        <v>0.1</v>
      </c>
      <c r="J107" s="66">
        <f t="shared" si="1"/>
        <v>2.23</v>
      </c>
      <c r="K107" s="66">
        <f t="shared" si="1"/>
        <v>359.94</v>
      </c>
      <c r="L107" s="66">
        <f t="shared" si="1"/>
        <v>28.04</v>
      </c>
      <c r="M107" s="66">
        <f t="shared" si="1"/>
        <v>97.93</v>
      </c>
      <c r="N107" s="66">
        <f t="shared" si="1"/>
        <v>496.7</v>
      </c>
      <c r="O107" s="66">
        <f t="shared" si="1"/>
        <v>0</v>
      </c>
      <c r="P107" s="66">
        <f t="shared" si="1"/>
        <v>3.32</v>
      </c>
      <c r="Q107" s="66">
        <f t="shared" si="1"/>
        <v>9.7799999999999994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38.588958333333338</v>
      </c>
      <c r="C108" s="67">
        <f t="shared" ref="C108:Q108" si="2">AVERAGE(C9:C104)</f>
        <v>13.370312500000017</v>
      </c>
      <c r="D108" s="67">
        <f t="shared" si="2"/>
        <v>35.224999999999994</v>
      </c>
      <c r="E108" s="67">
        <f t="shared" si="2"/>
        <v>7.3437500000000009</v>
      </c>
      <c r="F108" s="67">
        <f t="shared" si="2"/>
        <v>2.9101041666666672</v>
      </c>
      <c r="G108" s="67">
        <f t="shared" si="2"/>
        <v>62.355208333333337</v>
      </c>
      <c r="H108" s="67">
        <f t="shared" si="2"/>
        <v>21.05812499999999</v>
      </c>
      <c r="I108" s="67">
        <f t="shared" si="2"/>
        <v>9.9999999999999811E-2</v>
      </c>
      <c r="J108" s="67">
        <f t="shared" si="2"/>
        <v>0.77614583333333353</v>
      </c>
      <c r="K108" s="67">
        <f t="shared" si="2"/>
        <v>221.30760416666658</v>
      </c>
      <c r="L108" s="67">
        <f t="shared" si="2"/>
        <v>17.492812500000003</v>
      </c>
      <c r="M108" s="67">
        <f t="shared" si="2"/>
        <v>61.920833333333348</v>
      </c>
      <c r="N108" s="67">
        <f t="shared" si="2"/>
        <v>143.42083333333321</v>
      </c>
      <c r="O108" s="67">
        <f t="shared" si="2"/>
        <v>0</v>
      </c>
      <c r="P108" s="67">
        <f t="shared" si="2"/>
        <v>1.5094791666666671</v>
      </c>
      <c r="Q108" s="67">
        <f t="shared" si="2"/>
        <v>9.6549999999999958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31.258437058249751</v>
      </c>
      <c r="C109" s="67">
        <f t="shared" ref="C109:Q109" si="3">STDEV(C9:C104)</f>
        <v>8.479838560171908</v>
      </c>
      <c r="D109" s="67">
        <f t="shared" si="3"/>
        <v>16.527057432235829</v>
      </c>
      <c r="E109" s="67">
        <f t="shared" si="3"/>
        <v>3.3725511973797202</v>
      </c>
      <c r="F109" s="67">
        <f t="shared" si="3"/>
        <v>1.1802965682552338</v>
      </c>
      <c r="G109" s="67">
        <f t="shared" si="3"/>
        <v>28.120384626371784</v>
      </c>
      <c r="H109" s="67">
        <f t="shared" si="3"/>
        <v>7.9832369523171556</v>
      </c>
      <c r="I109" s="67">
        <f t="shared" si="3"/>
        <v>1.9530892623466312E-16</v>
      </c>
      <c r="J109" s="67">
        <f t="shared" si="3"/>
        <v>0.47310701980945263</v>
      </c>
      <c r="K109" s="67">
        <f t="shared" si="3"/>
        <v>112.60670393004619</v>
      </c>
      <c r="L109" s="67">
        <f t="shared" si="3"/>
        <v>5.0937591749998008</v>
      </c>
      <c r="M109" s="67">
        <f t="shared" si="3"/>
        <v>26.384330184756319</v>
      </c>
      <c r="N109" s="67">
        <f t="shared" si="3"/>
        <v>150.85451682204973</v>
      </c>
      <c r="O109" s="67">
        <f t="shared" si="3"/>
        <v>0</v>
      </c>
      <c r="P109" s="67">
        <f t="shared" si="3"/>
        <v>0.64853254561301454</v>
      </c>
      <c r="Q109" s="67">
        <f t="shared" si="3"/>
        <v>3.9121941615792362E-2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2263</v>
      </c>
      <c r="B9" s="64">
        <v>131.36000000000001</v>
      </c>
      <c r="C9" s="212" t="s">
        <v>42</v>
      </c>
      <c r="D9" s="64">
        <v>82.66</v>
      </c>
      <c r="E9" s="64">
        <v>4.7</v>
      </c>
      <c r="F9" s="64">
        <v>2.56</v>
      </c>
      <c r="G9" s="64">
        <v>116.55</v>
      </c>
      <c r="H9" s="64">
        <v>42.03</v>
      </c>
      <c r="I9" s="64">
        <v>0.1</v>
      </c>
      <c r="J9" s="64">
        <v>0.6</v>
      </c>
      <c r="K9" s="64">
        <v>261.04000000000002</v>
      </c>
      <c r="L9" s="64">
        <v>13</v>
      </c>
      <c r="M9" s="64">
        <v>97.56</v>
      </c>
      <c r="N9" s="64">
        <v>45.7</v>
      </c>
      <c r="O9" s="64">
        <v>0</v>
      </c>
      <c r="P9" s="64">
        <v>3.32</v>
      </c>
      <c r="Q9" s="64">
        <v>9.77</v>
      </c>
      <c r="R9" s="198"/>
      <c r="S9" s="198"/>
      <c r="T9" s="198"/>
      <c r="U9" s="198"/>
    </row>
    <row r="10" spans="1:21" s="12" customFormat="1" x14ac:dyDescent="0.25">
      <c r="A10" s="214" t="s">
        <v>2264</v>
      </c>
      <c r="B10" s="64">
        <v>128.87</v>
      </c>
      <c r="C10" s="212" t="s">
        <v>42</v>
      </c>
      <c r="D10" s="64">
        <v>80.94</v>
      </c>
      <c r="E10" s="64">
        <v>5.05</v>
      </c>
      <c r="F10" s="64">
        <v>2.4900000000000002</v>
      </c>
      <c r="G10" s="64">
        <v>116.55</v>
      </c>
      <c r="H10" s="64">
        <v>42.03</v>
      </c>
      <c r="I10" s="64">
        <v>0.1</v>
      </c>
      <c r="J10" s="64">
        <v>0.76</v>
      </c>
      <c r="K10" s="64">
        <v>293.72000000000003</v>
      </c>
      <c r="L10" s="64">
        <v>12.77</v>
      </c>
      <c r="M10" s="64">
        <v>95.43</v>
      </c>
      <c r="N10" s="64">
        <v>45.8</v>
      </c>
      <c r="O10" s="64">
        <v>0</v>
      </c>
      <c r="P10" s="64">
        <v>3.27</v>
      </c>
      <c r="Q10" s="64">
        <v>9.76</v>
      </c>
      <c r="R10" s="198"/>
      <c r="S10" s="198"/>
      <c r="T10" s="198"/>
      <c r="U10" s="198"/>
    </row>
    <row r="11" spans="1:21" s="12" customFormat="1" x14ac:dyDescent="0.25">
      <c r="A11" s="214" t="s">
        <v>2265</v>
      </c>
      <c r="B11" s="64">
        <v>125.75</v>
      </c>
      <c r="C11" s="212" t="s">
        <v>42</v>
      </c>
      <c r="D11" s="64">
        <v>79.11</v>
      </c>
      <c r="E11" s="64">
        <v>4.68</v>
      </c>
      <c r="F11" s="64">
        <v>2.5099999999999998</v>
      </c>
      <c r="G11" s="64">
        <v>116.55</v>
      </c>
      <c r="H11" s="64">
        <v>42.03</v>
      </c>
      <c r="I11" s="64">
        <v>0.1</v>
      </c>
      <c r="J11" s="64">
        <v>0.74</v>
      </c>
      <c r="K11" s="64">
        <v>328.54</v>
      </c>
      <c r="L11" s="64">
        <v>12.62</v>
      </c>
      <c r="M11" s="64">
        <v>96.88</v>
      </c>
      <c r="N11" s="64">
        <v>45.5</v>
      </c>
      <c r="O11" s="64">
        <v>0</v>
      </c>
      <c r="P11" s="64">
        <v>3.23</v>
      </c>
      <c r="Q11" s="64">
        <v>9.75</v>
      </c>
      <c r="R11" s="198"/>
      <c r="S11" s="198"/>
      <c r="T11" s="198"/>
      <c r="U11" s="198"/>
    </row>
    <row r="12" spans="1:21" s="12" customFormat="1" x14ac:dyDescent="0.25">
      <c r="A12" s="214" t="s">
        <v>2266</v>
      </c>
      <c r="B12" s="64">
        <v>123</v>
      </c>
      <c r="C12" s="212" t="s">
        <v>42</v>
      </c>
      <c r="D12" s="64">
        <v>77.27</v>
      </c>
      <c r="E12" s="64">
        <v>4.54</v>
      </c>
      <c r="F12" s="64">
        <v>2.44</v>
      </c>
      <c r="G12" s="64">
        <v>98.01</v>
      </c>
      <c r="H12" s="64">
        <v>36.700000000000003</v>
      </c>
      <c r="I12" s="64">
        <v>0.1</v>
      </c>
      <c r="J12" s="64">
        <v>0.12</v>
      </c>
      <c r="K12" s="64">
        <v>237.5</v>
      </c>
      <c r="L12" s="64">
        <v>12.84</v>
      </c>
      <c r="M12" s="64">
        <v>93.77</v>
      </c>
      <c r="N12" s="64">
        <v>45.5</v>
      </c>
      <c r="O12" s="64">
        <v>0</v>
      </c>
      <c r="P12" s="64">
        <v>3.17</v>
      </c>
      <c r="Q12" s="64">
        <v>9.75</v>
      </c>
      <c r="R12" s="198"/>
      <c r="S12" s="198"/>
      <c r="T12" s="198"/>
      <c r="U12" s="198"/>
    </row>
    <row r="13" spans="1:21" s="12" customFormat="1" x14ac:dyDescent="0.25">
      <c r="A13" s="214" t="s">
        <v>2267</v>
      </c>
      <c r="B13" s="64">
        <v>119.18</v>
      </c>
      <c r="C13" s="212" t="s">
        <v>42</v>
      </c>
      <c r="D13" s="64">
        <v>75.150000000000006</v>
      </c>
      <c r="E13" s="64">
        <v>4.97</v>
      </c>
      <c r="F13" s="64">
        <v>2.57</v>
      </c>
      <c r="G13" s="64">
        <v>90.88</v>
      </c>
      <c r="H13" s="64">
        <v>36.450000000000003</v>
      </c>
      <c r="I13" s="64">
        <v>0.1</v>
      </c>
      <c r="J13" s="64">
        <v>0.18</v>
      </c>
      <c r="K13" s="64">
        <v>178.4</v>
      </c>
      <c r="L13" s="64">
        <v>12.92</v>
      </c>
      <c r="M13" s="64">
        <v>95.43</v>
      </c>
      <c r="N13" s="64">
        <v>45.6</v>
      </c>
      <c r="O13" s="64">
        <v>0</v>
      </c>
      <c r="P13" s="64">
        <v>2.63</v>
      </c>
      <c r="Q13" s="64">
        <v>9.74</v>
      </c>
      <c r="R13" s="198"/>
      <c r="S13" s="198"/>
      <c r="T13" s="198"/>
      <c r="U13" s="198"/>
    </row>
    <row r="14" spans="1:21" s="12" customFormat="1" x14ac:dyDescent="0.25">
      <c r="A14" s="214" t="s">
        <v>2268</v>
      </c>
      <c r="B14" s="64">
        <v>115.03</v>
      </c>
      <c r="C14" s="212" t="s">
        <v>42</v>
      </c>
      <c r="D14" s="64">
        <v>72.989999999999995</v>
      </c>
      <c r="E14" s="64">
        <v>4.6100000000000003</v>
      </c>
      <c r="F14" s="64">
        <v>2.59</v>
      </c>
      <c r="G14" s="64">
        <v>90.88</v>
      </c>
      <c r="H14" s="64">
        <v>36.450000000000003</v>
      </c>
      <c r="I14" s="64">
        <v>0.1</v>
      </c>
      <c r="J14" s="64">
        <v>0.71</v>
      </c>
      <c r="K14" s="64">
        <v>254.35</v>
      </c>
      <c r="L14" s="64">
        <v>13.01</v>
      </c>
      <c r="M14" s="64">
        <v>95.91</v>
      </c>
      <c r="N14" s="64">
        <v>45.7</v>
      </c>
      <c r="O14" s="64">
        <v>0</v>
      </c>
      <c r="P14" s="64">
        <v>2.72</v>
      </c>
      <c r="Q14" s="64">
        <v>9.74</v>
      </c>
      <c r="R14" s="198"/>
      <c r="S14" s="198"/>
      <c r="T14" s="198"/>
      <c r="U14" s="198"/>
    </row>
    <row r="15" spans="1:21" s="12" customFormat="1" x14ac:dyDescent="0.25">
      <c r="A15" s="214" t="s">
        <v>2269</v>
      </c>
      <c r="B15" s="64">
        <v>111.42</v>
      </c>
      <c r="C15" s="212" t="s">
        <v>42</v>
      </c>
      <c r="D15" s="64">
        <v>71.010000000000005</v>
      </c>
      <c r="E15" s="64">
        <v>4.34</v>
      </c>
      <c r="F15" s="64">
        <v>2.63</v>
      </c>
      <c r="G15" s="64">
        <v>90.88</v>
      </c>
      <c r="H15" s="64">
        <v>36.450000000000003</v>
      </c>
      <c r="I15" s="64">
        <v>0.1</v>
      </c>
      <c r="J15" s="64">
        <v>0.25</v>
      </c>
      <c r="K15" s="64">
        <v>180.41</v>
      </c>
      <c r="L15" s="64">
        <v>12.77</v>
      </c>
      <c r="M15" s="64">
        <v>97.23</v>
      </c>
      <c r="N15" s="64">
        <v>46</v>
      </c>
      <c r="O15" s="64">
        <v>0</v>
      </c>
      <c r="P15" s="64">
        <v>2.72</v>
      </c>
      <c r="Q15" s="64">
        <v>9.7200000000000006</v>
      </c>
      <c r="R15" s="198"/>
      <c r="S15" s="198"/>
      <c r="T15" s="198"/>
      <c r="U15" s="198"/>
    </row>
    <row r="16" spans="1:21" s="12" customFormat="1" x14ac:dyDescent="0.25">
      <c r="A16" s="214" t="s">
        <v>2270</v>
      </c>
      <c r="B16" s="64">
        <v>108.28</v>
      </c>
      <c r="C16" s="212" t="s">
        <v>42</v>
      </c>
      <c r="D16" s="64">
        <v>69.22</v>
      </c>
      <c r="E16" s="64">
        <v>4.46</v>
      </c>
      <c r="F16" s="64">
        <v>2.5499999999999998</v>
      </c>
      <c r="G16" s="64">
        <v>93.93</v>
      </c>
      <c r="H16" s="64">
        <v>38.03</v>
      </c>
      <c r="I16" s="64">
        <v>0.1</v>
      </c>
      <c r="J16" s="64">
        <v>0.78</v>
      </c>
      <c r="K16" s="64">
        <v>163.85</v>
      </c>
      <c r="L16" s="64">
        <v>12.51</v>
      </c>
      <c r="M16" s="64">
        <v>97.91</v>
      </c>
      <c r="N16" s="64">
        <v>46</v>
      </c>
      <c r="O16" s="64">
        <v>0</v>
      </c>
      <c r="P16" s="64">
        <v>2.75</v>
      </c>
      <c r="Q16" s="64">
        <v>9.73</v>
      </c>
      <c r="R16" s="198"/>
      <c r="S16" s="198"/>
      <c r="T16" s="198"/>
      <c r="U16" s="198"/>
    </row>
    <row r="17" spans="1:21" s="12" customFormat="1" x14ac:dyDescent="0.25">
      <c r="A17" s="214" t="s">
        <v>2271</v>
      </c>
      <c r="B17" s="64">
        <v>105.66</v>
      </c>
      <c r="C17" s="212" t="s">
        <v>42</v>
      </c>
      <c r="D17" s="64">
        <v>67.69</v>
      </c>
      <c r="E17" s="64">
        <v>4.54</v>
      </c>
      <c r="F17" s="64">
        <v>2.57</v>
      </c>
      <c r="G17" s="64">
        <v>95.17</v>
      </c>
      <c r="H17" s="64">
        <v>38.15</v>
      </c>
      <c r="I17" s="64">
        <v>0.1</v>
      </c>
      <c r="J17" s="64">
        <v>0.34</v>
      </c>
      <c r="K17" s="64">
        <v>120.01</v>
      </c>
      <c r="L17" s="64">
        <v>12.36</v>
      </c>
      <c r="M17" s="64">
        <v>97.93</v>
      </c>
      <c r="N17" s="64">
        <v>45.8</v>
      </c>
      <c r="O17" s="64">
        <v>0</v>
      </c>
      <c r="P17" s="64">
        <v>2.77</v>
      </c>
      <c r="Q17" s="64">
        <v>9.74</v>
      </c>
      <c r="R17" s="198"/>
      <c r="S17" s="198"/>
      <c r="T17" s="198"/>
      <c r="U17" s="198"/>
    </row>
    <row r="18" spans="1:21" s="12" customFormat="1" x14ac:dyDescent="0.25">
      <c r="A18" s="214" t="s">
        <v>2272</v>
      </c>
      <c r="B18" s="64">
        <v>103.36</v>
      </c>
      <c r="C18" s="212" t="s">
        <v>42</v>
      </c>
      <c r="D18" s="64">
        <v>66.41</v>
      </c>
      <c r="E18" s="64">
        <v>4.66</v>
      </c>
      <c r="F18" s="64">
        <v>2.4900000000000002</v>
      </c>
      <c r="G18" s="64">
        <v>95.17</v>
      </c>
      <c r="H18" s="64">
        <v>38.15</v>
      </c>
      <c r="I18" s="64">
        <v>0.1</v>
      </c>
      <c r="J18" s="64">
        <v>0.11</v>
      </c>
      <c r="K18" s="64">
        <v>21.25</v>
      </c>
      <c r="L18" s="64">
        <v>12.21</v>
      </c>
      <c r="M18" s="64">
        <v>97.96</v>
      </c>
      <c r="N18" s="64">
        <v>45.8</v>
      </c>
      <c r="O18" s="64">
        <v>0</v>
      </c>
      <c r="P18" s="64">
        <v>2.81</v>
      </c>
      <c r="Q18" s="64">
        <v>9.7200000000000006</v>
      </c>
      <c r="R18" s="198"/>
      <c r="S18" s="198"/>
      <c r="T18" s="198"/>
      <c r="U18" s="198"/>
    </row>
    <row r="19" spans="1:21" s="12" customFormat="1" x14ac:dyDescent="0.25">
      <c r="A19" s="214" t="s">
        <v>2273</v>
      </c>
      <c r="B19" s="64">
        <v>101.48</v>
      </c>
      <c r="C19" s="212" t="s">
        <v>42</v>
      </c>
      <c r="D19" s="64">
        <v>65.22</v>
      </c>
      <c r="E19" s="64">
        <v>4.22</v>
      </c>
      <c r="F19" s="64">
        <v>2.42</v>
      </c>
      <c r="G19" s="64">
        <v>95.17</v>
      </c>
      <c r="H19" s="64">
        <v>38.15</v>
      </c>
      <c r="I19" s="64">
        <v>0.1</v>
      </c>
      <c r="J19" s="64">
        <v>0.19</v>
      </c>
      <c r="K19" s="64">
        <v>116.26</v>
      </c>
      <c r="L19" s="64">
        <v>12.09</v>
      </c>
      <c r="M19" s="64">
        <v>97.97</v>
      </c>
      <c r="N19" s="64">
        <v>45.8</v>
      </c>
      <c r="O19" s="64">
        <v>0</v>
      </c>
      <c r="P19" s="64">
        <v>2.86</v>
      </c>
      <c r="Q19" s="64">
        <v>9.7200000000000006</v>
      </c>
      <c r="R19" s="198"/>
      <c r="S19" s="198"/>
      <c r="T19" s="198"/>
      <c r="U19" s="198"/>
    </row>
    <row r="20" spans="1:21" s="12" customFormat="1" x14ac:dyDescent="0.25">
      <c r="A20" s="214" t="s">
        <v>2274</v>
      </c>
      <c r="B20" s="64">
        <v>99.6</v>
      </c>
      <c r="C20" s="212" t="s">
        <v>42</v>
      </c>
      <c r="D20" s="64">
        <v>64.09</v>
      </c>
      <c r="E20" s="64">
        <v>4.37</v>
      </c>
      <c r="F20" s="64">
        <v>2.42</v>
      </c>
      <c r="G20" s="64">
        <v>110.52</v>
      </c>
      <c r="H20" s="64">
        <v>44.27</v>
      </c>
      <c r="I20" s="64">
        <v>0.1</v>
      </c>
      <c r="J20" s="64">
        <v>0.1</v>
      </c>
      <c r="K20" s="64">
        <v>139.09</v>
      </c>
      <c r="L20" s="64">
        <v>12.08</v>
      </c>
      <c r="M20" s="64">
        <v>97.94</v>
      </c>
      <c r="N20" s="64">
        <v>45.6</v>
      </c>
      <c r="O20" s="64">
        <v>0</v>
      </c>
      <c r="P20" s="64">
        <v>2.9</v>
      </c>
      <c r="Q20" s="64">
        <v>9.7200000000000006</v>
      </c>
      <c r="R20" s="198"/>
      <c r="S20" s="198"/>
      <c r="T20" s="198"/>
      <c r="U20" s="198"/>
    </row>
    <row r="21" spans="1:21" s="12" customFormat="1" x14ac:dyDescent="0.25">
      <c r="A21" s="214" t="s">
        <v>2275</v>
      </c>
      <c r="B21" s="64">
        <v>97.36</v>
      </c>
      <c r="C21" s="212" t="s">
        <v>42</v>
      </c>
      <c r="D21" s="64">
        <v>62.75</v>
      </c>
      <c r="E21" s="64">
        <v>4.37</v>
      </c>
      <c r="F21" s="64">
        <v>2.25</v>
      </c>
      <c r="G21" s="64">
        <v>116.76</v>
      </c>
      <c r="H21" s="64">
        <v>44.56</v>
      </c>
      <c r="I21" s="64">
        <v>0.1</v>
      </c>
      <c r="J21" s="64">
        <v>0.6</v>
      </c>
      <c r="K21" s="64">
        <v>283.70999999999998</v>
      </c>
      <c r="L21" s="64">
        <v>12.28</v>
      </c>
      <c r="M21" s="64">
        <v>97.34</v>
      </c>
      <c r="N21" s="64">
        <v>45.8</v>
      </c>
      <c r="O21" s="64">
        <v>0</v>
      </c>
      <c r="P21" s="64">
        <v>2.9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4" t="s">
        <v>2276</v>
      </c>
      <c r="B22" s="64">
        <v>94.02</v>
      </c>
      <c r="C22" s="212" t="s">
        <v>42</v>
      </c>
      <c r="D22" s="64">
        <v>60.82</v>
      </c>
      <c r="E22" s="64">
        <v>4.54</v>
      </c>
      <c r="F22" s="64">
        <v>2.4500000000000002</v>
      </c>
      <c r="G22" s="64">
        <v>116.76</v>
      </c>
      <c r="H22" s="64">
        <v>44.56</v>
      </c>
      <c r="I22" s="64">
        <v>0.1</v>
      </c>
      <c r="J22" s="64">
        <v>0.81</v>
      </c>
      <c r="K22" s="64">
        <v>311.14999999999998</v>
      </c>
      <c r="L22" s="64">
        <v>12.28</v>
      </c>
      <c r="M22" s="64">
        <v>96.48</v>
      </c>
      <c r="N22" s="64">
        <v>45.7</v>
      </c>
      <c r="O22" s="64">
        <v>0</v>
      </c>
      <c r="P22" s="64">
        <v>2.88</v>
      </c>
      <c r="Q22" s="64">
        <v>9.7100000000000009</v>
      </c>
      <c r="R22" s="198"/>
      <c r="S22" s="198"/>
      <c r="T22" s="198"/>
      <c r="U22" s="198"/>
    </row>
    <row r="23" spans="1:21" s="12" customFormat="1" x14ac:dyDescent="0.25">
      <c r="A23" s="214" t="s">
        <v>2277</v>
      </c>
      <c r="B23" s="64">
        <v>91.03</v>
      </c>
      <c r="C23" s="212" t="s">
        <v>42</v>
      </c>
      <c r="D23" s="64">
        <v>59.28</v>
      </c>
      <c r="E23" s="64">
        <v>4.38</v>
      </c>
      <c r="F23" s="64">
        <v>2.44</v>
      </c>
      <c r="G23" s="64">
        <v>116.76</v>
      </c>
      <c r="H23" s="64">
        <v>44.56</v>
      </c>
      <c r="I23" s="64">
        <v>0.1</v>
      </c>
      <c r="J23" s="64">
        <v>0.65</v>
      </c>
      <c r="K23" s="64">
        <v>317.61</v>
      </c>
      <c r="L23" s="64">
        <v>12.16</v>
      </c>
      <c r="M23" s="64">
        <v>95.08</v>
      </c>
      <c r="N23" s="64">
        <v>45.9</v>
      </c>
      <c r="O23" s="64">
        <v>0</v>
      </c>
      <c r="P23" s="64">
        <v>2.87</v>
      </c>
      <c r="Q23" s="64">
        <v>9.7100000000000009</v>
      </c>
      <c r="R23" s="198"/>
      <c r="S23" s="198"/>
      <c r="T23" s="198"/>
      <c r="U23" s="198"/>
    </row>
    <row r="24" spans="1:21" s="12" customFormat="1" x14ac:dyDescent="0.25">
      <c r="A24" s="214" t="s">
        <v>2278</v>
      </c>
      <c r="B24" s="64">
        <v>88.49</v>
      </c>
      <c r="C24" s="212" t="s">
        <v>42</v>
      </c>
      <c r="D24" s="64">
        <v>57.96</v>
      </c>
      <c r="E24" s="64">
        <v>4.3099999999999996</v>
      </c>
      <c r="F24" s="64">
        <v>2.16</v>
      </c>
      <c r="G24" s="64">
        <v>116.76</v>
      </c>
      <c r="H24" s="64">
        <v>39.380000000000003</v>
      </c>
      <c r="I24" s="64">
        <v>0.1</v>
      </c>
      <c r="J24" s="64">
        <v>0.83</v>
      </c>
      <c r="K24" s="64">
        <v>272.13</v>
      </c>
      <c r="L24" s="64">
        <v>12.23</v>
      </c>
      <c r="M24" s="64">
        <v>92.3</v>
      </c>
      <c r="N24" s="64">
        <v>45.9</v>
      </c>
      <c r="O24" s="64">
        <v>0</v>
      </c>
      <c r="P24" s="64">
        <v>2.86</v>
      </c>
      <c r="Q24" s="64">
        <v>9.6999999999999993</v>
      </c>
      <c r="R24" s="198"/>
      <c r="S24" s="198"/>
      <c r="T24" s="198"/>
      <c r="U24" s="198"/>
    </row>
    <row r="25" spans="1:21" s="12" customFormat="1" x14ac:dyDescent="0.25">
      <c r="A25" s="214" t="s">
        <v>2279</v>
      </c>
      <c r="B25" s="64">
        <v>84.91</v>
      </c>
      <c r="C25" s="212" t="s">
        <v>42</v>
      </c>
      <c r="D25" s="64">
        <v>56.15</v>
      </c>
      <c r="E25" s="64">
        <v>4.62</v>
      </c>
      <c r="F25" s="64">
        <v>2.15</v>
      </c>
      <c r="G25" s="64">
        <v>116.76</v>
      </c>
      <c r="H25" s="64">
        <v>39.14</v>
      </c>
      <c r="I25" s="64">
        <v>0.1</v>
      </c>
      <c r="J25" s="64">
        <v>0.78</v>
      </c>
      <c r="K25" s="64">
        <v>286.99</v>
      </c>
      <c r="L25" s="64">
        <v>11.97</v>
      </c>
      <c r="M25" s="64">
        <v>91.34</v>
      </c>
      <c r="N25" s="64">
        <v>45.9</v>
      </c>
      <c r="O25" s="64">
        <v>0</v>
      </c>
      <c r="P25" s="64">
        <v>2.8</v>
      </c>
      <c r="Q25" s="64">
        <v>9.7100000000000009</v>
      </c>
      <c r="R25" s="198"/>
      <c r="S25" s="198"/>
      <c r="T25" s="198"/>
      <c r="U25" s="198"/>
    </row>
    <row r="26" spans="1:21" s="12" customFormat="1" x14ac:dyDescent="0.25">
      <c r="A26" s="214" t="s">
        <v>2280</v>
      </c>
      <c r="B26" s="64">
        <v>80.91</v>
      </c>
      <c r="C26" s="212" t="s">
        <v>42</v>
      </c>
      <c r="D26" s="64">
        <v>54.15</v>
      </c>
      <c r="E26" s="64">
        <v>4.2699999999999996</v>
      </c>
      <c r="F26" s="64">
        <v>2.44</v>
      </c>
      <c r="G26" s="64">
        <v>116.76</v>
      </c>
      <c r="H26" s="64">
        <v>39.14</v>
      </c>
      <c r="I26" s="64">
        <v>0.1</v>
      </c>
      <c r="J26" s="64">
        <v>0.75</v>
      </c>
      <c r="K26" s="64">
        <v>323.02</v>
      </c>
      <c r="L26" s="64">
        <v>11.9</v>
      </c>
      <c r="M26" s="64">
        <v>87.35</v>
      </c>
      <c r="N26" s="64">
        <v>45.7</v>
      </c>
      <c r="O26" s="64">
        <v>0</v>
      </c>
      <c r="P26" s="64">
        <v>2.71</v>
      </c>
      <c r="Q26" s="64">
        <v>9.6999999999999993</v>
      </c>
      <c r="R26" s="198"/>
      <c r="S26" s="198"/>
      <c r="T26" s="198"/>
      <c r="U26" s="198"/>
    </row>
    <row r="27" spans="1:21" s="12" customFormat="1" x14ac:dyDescent="0.25">
      <c r="A27" s="214" t="s">
        <v>2281</v>
      </c>
      <c r="B27" s="64">
        <v>76.97</v>
      </c>
      <c r="C27" s="212" t="s">
        <v>42</v>
      </c>
      <c r="D27" s="64">
        <v>52.17</v>
      </c>
      <c r="E27" s="64">
        <v>4.34</v>
      </c>
      <c r="F27" s="64">
        <v>2.4700000000000002</v>
      </c>
      <c r="G27" s="64">
        <v>116.76</v>
      </c>
      <c r="H27" s="64">
        <v>39.14</v>
      </c>
      <c r="I27" s="64">
        <v>0.1</v>
      </c>
      <c r="J27" s="64">
        <v>0.77</v>
      </c>
      <c r="K27" s="64">
        <v>296.95</v>
      </c>
      <c r="L27" s="64">
        <v>11.93</v>
      </c>
      <c r="M27" s="64">
        <v>86.21</v>
      </c>
      <c r="N27" s="64">
        <v>45.8</v>
      </c>
      <c r="O27" s="64">
        <v>0</v>
      </c>
      <c r="P27" s="64">
        <v>2.6</v>
      </c>
      <c r="Q27" s="64">
        <v>9.69</v>
      </c>
      <c r="R27" s="198"/>
      <c r="S27" s="198"/>
      <c r="T27" s="198"/>
      <c r="U27" s="198"/>
    </row>
    <row r="28" spans="1:21" s="12" customFormat="1" x14ac:dyDescent="0.25">
      <c r="A28" s="214" t="s">
        <v>2282</v>
      </c>
      <c r="B28" s="64">
        <v>73.73</v>
      </c>
      <c r="C28" s="212" t="s">
        <v>42</v>
      </c>
      <c r="D28" s="64">
        <v>50.44</v>
      </c>
      <c r="E28" s="64">
        <v>4.3499999999999996</v>
      </c>
      <c r="F28" s="64">
        <v>2.31</v>
      </c>
      <c r="G28" s="64">
        <v>103.69</v>
      </c>
      <c r="H28" s="64">
        <v>31.49</v>
      </c>
      <c r="I28" s="64">
        <v>0.1</v>
      </c>
      <c r="J28" s="64">
        <v>0.7</v>
      </c>
      <c r="K28" s="64">
        <v>280.24</v>
      </c>
      <c r="L28" s="64">
        <v>11.81</v>
      </c>
      <c r="M28" s="64">
        <v>90.17</v>
      </c>
      <c r="N28" s="64">
        <v>45.8</v>
      </c>
      <c r="O28" s="64">
        <v>0</v>
      </c>
      <c r="P28" s="64">
        <v>2.5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4" t="s">
        <v>2283</v>
      </c>
      <c r="B29" s="64">
        <v>72.02</v>
      </c>
      <c r="C29" s="212" t="s">
        <v>42</v>
      </c>
      <c r="D29" s="64">
        <v>49.64</v>
      </c>
      <c r="E29" s="64">
        <v>4.2</v>
      </c>
      <c r="F29" s="64">
        <v>2.5299999999999998</v>
      </c>
      <c r="G29" s="64">
        <v>145.81</v>
      </c>
      <c r="H29" s="64">
        <v>31.13</v>
      </c>
      <c r="I29" s="64">
        <v>0.1</v>
      </c>
      <c r="J29" s="64">
        <v>0.83</v>
      </c>
      <c r="K29" s="64">
        <v>287.49</v>
      </c>
      <c r="L29" s="64">
        <v>11.67</v>
      </c>
      <c r="M29" s="64">
        <v>91.41</v>
      </c>
      <c r="N29" s="64">
        <v>45.7</v>
      </c>
      <c r="O29" s="64">
        <v>0</v>
      </c>
      <c r="P29" s="64">
        <v>2.42</v>
      </c>
      <c r="Q29" s="64">
        <v>9.6999999999999993</v>
      </c>
      <c r="R29" s="198"/>
      <c r="S29" s="198"/>
      <c r="T29" s="198"/>
      <c r="U29" s="198"/>
    </row>
    <row r="30" spans="1:21" s="12" customFormat="1" x14ac:dyDescent="0.25">
      <c r="A30" s="214" t="s">
        <v>2284</v>
      </c>
      <c r="B30" s="64">
        <v>70.180000000000007</v>
      </c>
      <c r="C30" s="212" t="s">
        <v>42</v>
      </c>
      <c r="D30" s="64">
        <v>48.8</v>
      </c>
      <c r="E30" s="64">
        <v>4.2300000000000004</v>
      </c>
      <c r="F30" s="64">
        <v>2.48</v>
      </c>
      <c r="G30" s="64">
        <v>145.81</v>
      </c>
      <c r="H30" s="64">
        <v>31.13</v>
      </c>
      <c r="I30" s="64">
        <v>0.1</v>
      </c>
      <c r="J30" s="64">
        <v>0.51</v>
      </c>
      <c r="K30" s="64">
        <v>320.64</v>
      </c>
      <c r="L30" s="64">
        <v>11.65</v>
      </c>
      <c r="M30" s="64">
        <v>90.35</v>
      </c>
      <c r="N30" s="64">
        <v>45.9</v>
      </c>
      <c r="O30" s="64">
        <v>0</v>
      </c>
      <c r="P30" s="64">
        <v>2.31</v>
      </c>
      <c r="Q30" s="64">
        <v>9.6999999999999993</v>
      </c>
      <c r="R30" s="198"/>
      <c r="S30" s="198"/>
      <c r="T30" s="198"/>
      <c r="U30" s="198"/>
    </row>
    <row r="31" spans="1:21" s="12" customFormat="1" x14ac:dyDescent="0.25">
      <c r="A31" s="214" t="s">
        <v>2285</v>
      </c>
      <c r="B31" s="64">
        <v>68.45</v>
      </c>
      <c r="C31" s="212" t="s">
        <v>42</v>
      </c>
      <c r="D31" s="64">
        <v>47.83</v>
      </c>
      <c r="E31" s="64">
        <v>4.32</v>
      </c>
      <c r="F31" s="64">
        <v>2.44</v>
      </c>
      <c r="G31" s="64">
        <v>145.81</v>
      </c>
      <c r="H31" s="64">
        <v>31.13</v>
      </c>
      <c r="I31" s="64">
        <v>0.1</v>
      </c>
      <c r="J31" s="64">
        <v>0.79</v>
      </c>
      <c r="K31" s="64">
        <v>303.01</v>
      </c>
      <c r="L31" s="64">
        <v>11.72</v>
      </c>
      <c r="M31" s="64">
        <v>89.56</v>
      </c>
      <c r="N31" s="64">
        <v>45.4</v>
      </c>
      <c r="O31" s="64">
        <v>0</v>
      </c>
      <c r="P31" s="64">
        <v>2.1800000000000002</v>
      </c>
      <c r="Q31" s="64">
        <v>9.69</v>
      </c>
      <c r="R31" s="198"/>
      <c r="S31" s="198"/>
      <c r="T31" s="198"/>
      <c r="U31" s="198"/>
    </row>
    <row r="32" spans="1:21" s="12" customFormat="1" x14ac:dyDescent="0.25">
      <c r="A32" s="214" t="s">
        <v>2286</v>
      </c>
      <c r="B32" s="64">
        <v>66.87</v>
      </c>
      <c r="C32" s="212" t="s">
        <v>42</v>
      </c>
      <c r="D32" s="64">
        <v>46.98</v>
      </c>
      <c r="E32" s="64">
        <v>4.4000000000000004</v>
      </c>
      <c r="F32" s="64">
        <v>2.27</v>
      </c>
      <c r="G32" s="64">
        <v>62.53</v>
      </c>
      <c r="H32" s="64">
        <v>27.37</v>
      </c>
      <c r="I32" s="64">
        <v>0.1</v>
      </c>
      <c r="J32" s="64">
        <v>0.68</v>
      </c>
      <c r="K32" s="64">
        <v>314.56</v>
      </c>
      <c r="L32" s="64">
        <v>11.8</v>
      </c>
      <c r="M32" s="64">
        <v>88.44</v>
      </c>
      <c r="N32" s="64">
        <v>45.8</v>
      </c>
      <c r="O32" s="64">
        <v>0</v>
      </c>
      <c r="P32" s="64">
        <v>2.06</v>
      </c>
      <c r="Q32" s="64">
        <v>9.69</v>
      </c>
      <c r="R32" s="198"/>
      <c r="S32" s="198"/>
      <c r="T32" s="198"/>
      <c r="U32" s="198"/>
    </row>
    <row r="33" spans="1:21" s="12" customFormat="1" x14ac:dyDescent="0.25">
      <c r="A33" s="214" t="s">
        <v>2287</v>
      </c>
      <c r="B33" s="64">
        <v>64.47</v>
      </c>
      <c r="C33" s="212" t="s">
        <v>42</v>
      </c>
      <c r="D33" s="64">
        <v>45.84</v>
      </c>
      <c r="E33" s="64">
        <v>4.25</v>
      </c>
      <c r="F33" s="64">
        <v>2.34</v>
      </c>
      <c r="G33" s="64">
        <v>30.49</v>
      </c>
      <c r="H33" s="64">
        <v>27.09</v>
      </c>
      <c r="I33" s="64">
        <v>0.1</v>
      </c>
      <c r="J33" s="64">
        <v>0.4</v>
      </c>
      <c r="K33" s="64">
        <v>319.94</v>
      </c>
      <c r="L33" s="64">
        <v>12.08</v>
      </c>
      <c r="M33" s="64">
        <v>84.53</v>
      </c>
      <c r="N33" s="64">
        <v>45.5</v>
      </c>
      <c r="O33" s="64">
        <v>0</v>
      </c>
      <c r="P33" s="64">
        <v>1.96</v>
      </c>
      <c r="Q33" s="64">
        <v>9.68</v>
      </c>
      <c r="R33" s="198"/>
      <c r="S33" s="198"/>
      <c r="T33" s="198"/>
      <c r="U33" s="198"/>
    </row>
    <row r="34" spans="1:21" s="12" customFormat="1" x14ac:dyDescent="0.25">
      <c r="A34" s="214" t="s">
        <v>2288</v>
      </c>
      <c r="B34" s="64">
        <v>61.21</v>
      </c>
      <c r="C34" s="212" t="s">
        <v>42</v>
      </c>
      <c r="D34" s="64">
        <v>44.24</v>
      </c>
      <c r="E34" s="64">
        <v>4.17</v>
      </c>
      <c r="F34" s="64">
        <v>2.38</v>
      </c>
      <c r="G34" s="64">
        <v>30.49</v>
      </c>
      <c r="H34" s="64">
        <v>27.09</v>
      </c>
      <c r="I34" s="64">
        <v>0.1</v>
      </c>
      <c r="J34" s="64">
        <v>0.55000000000000004</v>
      </c>
      <c r="K34" s="64">
        <v>341.05</v>
      </c>
      <c r="L34" s="64">
        <v>12.31</v>
      </c>
      <c r="M34" s="64">
        <v>82.64</v>
      </c>
      <c r="N34" s="64">
        <v>47</v>
      </c>
      <c r="O34" s="64">
        <v>0</v>
      </c>
      <c r="P34" s="64">
        <v>1.85</v>
      </c>
      <c r="Q34" s="64">
        <v>9.67</v>
      </c>
      <c r="R34" s="198"/>
      <c r="S34" s="198"/>
      <c r="T34" s="198"/>
      <c r="U34" s="198"/>
    </row>
    <row r="35" spans="1:21" s="12" customFormat="1" x14ac:dyDescent="0.25">
      <c r="A35" s="214" t="s">
        <v>2289</v>
      </c>
      <c r="B35" s="64">
        <v>58.86</v>
      </c>
      <c r="C35" s="212" t="s">
        <v>42</v>
      </c>
      <c r="D35" s="64">
        <v>43.2</v>
      </c>
      <c r="E35" s="64">
        <v>3.88</v>
      </c>
      <c r="F35" s="64">
        <v>2.44</v>
      </c>
      <c r="G35" s="64">
        <v>30.49</v>
      </c>
      <c r="H35" s="64">
        <v>27.09</v>
      </c>
      <c r="I35" s="64">
        <v>0.1</v>
      </c>
      <c r="J35" s="64">
        <v>0.8</v>
      </c>
      <c r="K35" s="64">
        <v>325.95999999999998</v>
      </c>
      <c r="L35" s="64">
        <v>12.25</v>
      </c>
      <c r="M35" s="64">
        <v>85.85</v>
      </c>
      <c r="N35" s="64">
        <v>51.6</v>
      </c>
      <c r="O35" s="64">
        <v>0</v>
      </c>
      <c r="P35" s="64">
        <v>1.77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4" t="s">
        <v>2290</v>
      </c>
      <c r="B36" s="64">
        <v>57.84</v>
      </c>
      <c r="C36" s="212" t="s">
        <v>42</v>
      </c>
      <c r="D36" s="64">
        <v>42.83</v>
      </c>
      <c r="E36" s="64">
        <v>3.84</v>
      </c>
      <c r="F36" s="64">
        <v>2.27</v>
      </c>
      <c r="G36" s="64">
        <v>34.200000000000003</v>
      </c>
      <c r="H36" s="64">
        <v>19.46</v>
      </c>
      <c r="I36" s="64">
        <v>0.1</v>
      </c>
      <c r="J36" s="64">
        <v>0.44</v>
      </c>
      <c r="K36" s="64">
        <v>353.42</v>
      </c>
      <c r="L36" s="64">
        <v>12.33</v>
      </c>
      <c r="M36" s="64">
        <v>85.8</v>
      </c>
      <c r="N36" s="64">
        <v>61.3</v>
      </c>
      <c r="O36" s="64">
        <v>0</v>
      </c>
      <c r="P36" s="64">
        <v>1.7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14" t="s">
        <v>2291</v>
      </c>
      <c r="B37" s="64">
        <v>56.32</v>
      </c>
      <c r="C37" s="212" t="s">
        <v>42</v>
      </c>
      <c r="D37" s="64">
        <v>42.2</v>
      </c>
      <c r="E37" s="64">
        <v>4.18</v>
      </c>
      <c r="F37" s="64">
        <v>2.2599999999999998</v>
      </c>
      <c r="G37" s="64">
        <v>35.630000000000003</v>
      </c>
      <c r="H37" s="64">
        <v>19.100000000000001</v>
      </c>
      <c r="I37" s="64">
        <v>0.1</v>
      </c>
      <c r="J37" s="64">
        <v>0.46</v>
      </c>
      <c r="K37" s="64">
        <v>340.9</v>
      </c>
      <c r="L37" s="64">
        <v>12.75</v>
      </c>
      <c r="M37" s="64">
        <v>85.19</v>
      </c>
      <c r="N37" s="64">
        <v>73.900000000000006</v>
      </c>
      <c r="O37" s="64">
        <v>0</v>
      </c>
      <c r="P37" s="64">
        <v>1.78</v>
      </c>
      <c r="Q37" s="64">
        <v>9.67</v>
      </c>
      <c r="R37" s="198"/>
      <c r="S37" s="198"/>
      <c r="T37" s="198"/>
      <c r="U37" s="198"/>
    </row>
    <row r="38" spans="1:21" s="12" customFormat="1" x14ac:dyDescent="0.25">
      <c r="A38" s="214" t="s">
        <v>2292</v>
      </c>
      <c r="B38" s="64">
        <v>55.73</v>
      </c>
      <c r="C38" s="212" t="s">
        <v>42</v>
      </c>
      <c r="D38" s="64">
        <v>42.02</v>
      </c>
      <c r="E38" s="64">
        <v>4.18</v>
      </c>
      <c r="F38" s="64">
        <v>2.58</v>
      </c>
      <c r="G38" s="64">
        <v>35.630000000000003</v>
      </c>
      <c r="H38" s="64">
        <v>19.100000000000001</v>
      </c>
      <c r="I38" s="64">
        <v>0.1</v>
      </c>
      <c r="J38" s="64">
        <v>0.87</v>
      </c>
      <c r="K38" s="64">
        <v>116.99</v>
      </c>
      <c r="L38" s="64">
        <v>13.24</v>
      </c>
      <c r="M38" s="64">
        <v>82.52</v>
      </c>
      <c r="N38" s="64">
        <v>88.7</v>
      </c>
      <c r="O38" s="64">
        <v>0</v>
      </c>
      <c r="P38" s="64">
        <v>1.84</v>
      </c>
      <c r="Q38" s="64">
        <v>9.67</v>
      </c>
      <c r="R38" s="198"/>
      <c r="S38" s="198"/>
      <c r="T38" s="198"/>
      <c r="U38" s="198"/>
    </row>
    <row r="39" spans="1:21" s="12" customFormat="1" x14ac:dyDescent="0.25">
      <c r="A39" s="214" t="s">
        <v>2293</v>
      </c>
      <c r="B39" s="64">
        <v>54.07</v>
      </c>
      <c r="C39" s="212" t="s">
        <v>42</v>
      </c>
      <c r="D39" s="64">
        <v>41.27</v>
      </c>
      <c r="E39" s="64">
        <v>3.85</v>
      </c>
      <c r="F39" s="64">
        <v>2.46</v>
      </c>
      <c r="G39" s="64">
        <v>35.630000000000003</v>
      </c>
      <c r="H39" s="64">
        <v>19.100000000000001</v>
      </c>
      <c r="I39" s="64">
        <v>0.1</v>
      </c>
      <c r="J39" s="64">
        <v>0.35</v>
      </c>
      <c r="K39" s="64">
        <v>103.24</v>
      </c>
      <c r="L39" s="64">
        <v>13.94</v>
      </c>
      <c r="M39" s="64">
        <v>80.3</v>
      </c>
      <c r="N39" s="64">
        <v>142.6</v>
      </c>
      <c r="O39" s="64">
        <v>0</v>
      </c>
      <c r="P39" s="64">
        <v>1.79</v>
      </c>
      <c r="Q39" s="64">
        <v>9.67</v>
      </c>
      <c r="R39" s="198"/>
      <c r="S39" s="198"/>
      <c r="T39" s="198"/>
      <c r="U39" s="198"/>
    </row>
    <row r="40" spans="1:21" s="12" customFormat="1" x14ac:dyDescent="0.25">
      <c r="A40" s="214" t="s">
        <v>2294</v>
      </c>
      <c r="B40" s="64">
        <v>52.22</v>
      </c>
      <c r="C40" s="212" t="s">
        <v>42</v>
      </c>
      <c r="D40" s="64">
        <v>40.1</v>
      </c>
      <c r="E40" s="64">
        <v>5.22</v>
      </c>
      <c r="F40" s="64">
        <v>2.4900000000000002</v>
      </c>
      <c r="G40" s="64">
        <v>54.87</v>
      </c>
      <c r="H40" s="64">
        <v>18.64</v>
      </c>
      <c r="I40" s="64">
        <v>0.1</v>
      </c>
      <c r="J40" s="64">
        <v>0.9</v>
      </c>
      <c r="K40" s="64">
        <v>127.45</v>
      </c>
      <c r="L40" s="64">
        <v>15.42</v>
      </c>
      <c r="M40" s="64">
        <v>73.349999999999994</v>
      </c>
      <c r="N40" s="64">
        <v>194.2</v>
      </c>
      <c r="O40" s="64">
        <v>0</v>
      </c>
      <c r="P40" s="64">
        <v>1.75</v>
      </c>
      <c r="Q40" s="64">
        <v>9.66</v>
      </c>
      <c r="R40" s="198"/>
      <c r="S40" s="198"/>
      <c r="T40" s="198"/>
      <c r="U40" s="198"/>
    </row>
    <row r="41" spans="1:21" s="12" customFormat="1" x14ac:dyDescent="0.25">
      <c r="A41" s="214" t="s">
        <v>2295</v>
      </c>
      <c r="B41" s="64">
        <v>50.62</v>
      </c>
      <c r="C41" s="212" t="s">
        <v>42</v>
      </c>
      <c r="D41" s="64">
        <v>39.49</v>
      </c>
      <c r="E41" s="64">
        <v>5.52</v>
      </c>
      <c r="F41" s="64">
        <v>2.5099999999999998</v>
      </c>
      <c r="G41" s="64">
        <v>62.27</v>
      </c>
      <c r="H41" s="64">
        <v>18.62</v>
      </c>
      <c r="I41" s="64">
        <v>0.1</v>
      </c>
      <c r="J41" s="64">
        <v>0.08</v>
      </c>
      <c r="K41" s="64">
        <v>13.58</v>
      </c>
      <c r="L41" s="64">
        <v>16.73</v>
      </c>
      <c r="M41" s="64">
        <v>66.16</v>
      </c>
      <c r="N41" s="64">
        <v>238.9</v>
      </c>
      <c r="O41" s="64">
        <v>0</v>
      </c>
      <c r="P41" s="64">
        <v>1.74</v>
      </c>
      <c r="Q41" s="64">
        <v>9.67</v>
      </c>
      <c r="R41" s="198"/>
      <c r="S41" s="198"/>
      <c r="T41" s="198"/>
      <c r="U41" s="198"/>
    </row>
    <row r="42" spans="1:21" s="12" customFormat="1" x14ac:dyDescent="0.25">
      <c r="A42" s="214" t="s">
        <v>2296</v>
      </c>
      <c r="B42" s="64">
        <v>49.07</v>
      </c>
      <c r="C42" s="64">
        <v>0.34</v>
      </c>
      <c r="D42" s="64">
        <v>38.86</v>
      </c>
      <c r="E42" s="64">
        <v>5.35</v>
      </c>
      <c r="F42" s="64">
        <v>2.13</v>
      </c>
      <c r="G42" s="64">
        <v>62.27</v>
      </c>
      <c r="H42" s="64">
        <v>18.62</v>
      </c>
      <c r="I42" s="64">
        <v>0.1</v>
      </c>
      <c r="J42" s="64">
        <v>0.43</v>
      </c>
      <c r="K42" s="64">
        <v>129.52000000000001</v>
      </c>
      <c r="L42" s="64">
        <v>17.579999999999998</v>
      </c>
      <c r="M42" s="64">
        <v>61.76</v>
      </c>
      <c r="N42" s="64">
        <v>270</v>
      </c>
      <c r="O42" s="64">
        <v>0</v>
      </c>
      <c r="P42" s="64">
        <v>1.71</v>
      </c>
      <c r="Q42" s="64">
        <v>9.67</v>
      </c>
      <c r="R42" s="198"/>
      <c r="S42" s="198"/>
      <c r="T42" s="198"/>
      <c r="U42" s="198"/>
    </row>
    <row r="43" spans="1:21" s="12" customFormat="1" x14ac:dyDescent="0.25">
      <c r="A43" s="214" t="s">
        <v>2297</v>
      </c>
      <c r="B43" s="64">
        <v>47.27</v>
      </c>
      <c r="C43" s="64">
        <v>1.68</v>
      </c>
      <c r="D43" s="64">
        <v>38.130000000000003</v>
      </c>
      <c r="E43" s="64">
        <v>5.6</v>
      </c>
      <c r="F43" s="64">
        <v>2.25</v>
      </c>
      <c r="G43" s="64">
        <v>62.27</v>
      </c>
      <c r="H43" s="64">
        <v>18.62</v>
      </c>
      <c r="I43" s="64">
        <v>0.1</v>
      </c>
      <c r="J43" s="64">
        <v>0.41</v>
      </c>
      <c r="K43" s="64">
        <v>89.57</v>
      </c>
      <c r="L43" s="64">
        <v>19.05</v>
      </c>
      <c r="M43" s="64">
        <v>53.02</v>
      </c>
      <c r="N43" s="64">
        <v>308.3</v>
      </c>
      <c r="O43" s="64">
        <v>0</v>
      </c>
      <c r="P43" s="64">
        <v>1.69</v>
      </c>
      <c r="Q43" s="64">
        <v>9.67</v>
      </c>
      <c r="R43" s="198"/>
      <c r="S43" s="198"/>
      <c r="T43" s="198"/>
      <c r="U43" s="198"/>
    </row>
    <row r="44" spans="1:21" s="12" customFormat="1" x14ac:dyDescent="0.25">
      <c r="A44" s="214" t="s">
        <v>2298</v>
      </c>
      <c r="B44" s="64">
        <v>45.24</v>
      </c>
      <c r="C44" s="64">
        <v>3.32</v>
      </c>
      <c r="D44" s="64">
        <v>37.36</v>
      </c>
      <c r="E44" s="64">
        <v>5.99</v>
      </c>
      <c r="F44" s="64">
        <v>2.2999999999999998</v>
      </c>
      <c r="G44" s="64">
        <v>57.44</v>
      </c>
      <c r="H44" s="64">
        <v>19.02</v>
      </c>
      <c r="I44" s="64">
        <v>0.1</v>
      </c>
      <c r="J44" s="64">
        <v>0.71</v>
      </c>
      <c r="K44" s="64">
        <v>109.71</v>
      </c>
      <c r="L44" s="64">
        <v>18.82</v>
      </c>
      <c r="M44" s="64">
        <v>55.28</v>
      </c>
      <c r="N44" s="64">
        <v>330.8</v>
      </c>
      <c r="O44" s="64">
        <v>0</v>
      </c>
      <c r="P44" s="64">
        <v>1.67</v>
      </c>
      <c r="Q44" s="64">
        <v>9.65</v>
      </c>
      <c r="R44" s="198"/>
      <c r="S44" s="198"/>
      <c r="T44" s="198"/>
      <c r="U44" s="198"/>
    </row>
    <row r="45" spans="1:21" s="12" customFormat="1" x14ac:dyDescent="0.25">
      <c r="A45" s="214" t="s">
        <v>2299</v>
      </c>
      <c r="B45" s="64">
        <v>44.56</v>
      </c>
      <c r="C45" s="64">
        <v>3.34</v>
      </c>
      <c r="D45" s="64">
        <v>36.82</v>
      </c>
      <c r="E45" s="64">
        <v>6.1</v>
      </c>
      <c r="F45" s="64">
        <v>2.21</v>
      </c>
      <c r="G45" s="64">
        <v>55.58</v>
      </c>
      <c r="H45" s="64">
        <v>19.04</v>
      </c>
      <c r="I45" s="64">
        <v>0.1</v>
      </c>
      <c r="J45" s="64">
        <v>0.53</v>
      </c>
      <c r="K45" s="64">
        <v>5.25</v>
      </c>
      <c r="L45" s="64">
        <v>20.29</v>
      </c>
      <c r="M45" s="64">
        <v>48.4</v>
      </c>
      <c r="N45" s="64">
        <v>358.2</v>
      </c>
      <c r="O45" s="64">
        <v>0</v>
      </c>
      <c r="P45" s="64">
        <v>1.62</v>
      </c>
      <c r="Q45" s="64">
        <v>9.66</v>
      </c>
      <c r="R45" s="198"/>
      <c r="S45" s="198"/>
      <c r="T45" s="198"/>
      <c r="U45" s="198"/>
    </row>
    <row r="46" spans="1:21" s="12" customFormat="1" x14ac:dyDescent="0.25">
      <c r="A46" s="214" t="s">
        <v>2300</v>
      </c>
      <c r="B46" s="64">
        <v>43.83</v>
      </c>
      <c r="C46" s="64">
        <v>4.26</v>
      </c>
      <c r="D46" s="64">
        <v>36.72</v>
      </c>
      <c r="E46" s="64">
        <v>6.17</v>
      </c>
      <c r="F46" s="64">
        <v>2.42</v>
      </c>
      <c r="G46" s="64">
        <v>55.58</v>
      </c>
      <c r="H46" s="64">
        <v>19.04</v>
      </c>
      <c r="I46" s="64">
        <v>0.1</v>
      </c>
      <c r="J46" s="64">
        <v>0.95</v>
      </c>
      <c r="K46" s="64">
        <v>331.67</v>
      </c>
      <c r="L46" s="64">
        <v>21.78</v>
      </c>
      <c r="M46" s="64">
        <v>44.3</v>
      </c>
      <c r="N46" s="64">
        <v>381.9</v>
      </c>
      <c r="O46" s="64">
        <v>0</v>
      </c>
      <c r="P46" s="64">
        <v>1.6</v>
      </c>
      <c r="Q46" s="64">
        <v>9.66</v>
      </c>
      <c r="R46" s="198"/>
      <c r="S46" s="198"/>
      <c r="T46" s="198"/>
      <c r="U46" s="198"/>
    </row>
    <row r="47" spans="1:21" s="12" customFormat="1" x14ac:dyDescent="0.25">
      <c r="A47" s="214" t="s">
        <v>2301</v>
      </c>
      <c r="B47" s="64">
        <v>42.91</v>
      </c>
      <c r="C47" s="64">
        <v>5.43</v>
      </c>
      <c r="D47" s="64">
        <v>36.6</v>
      </c>
      <c r="E47" s="64">
        <v>5.72</v>
      </c>
      <c r="F47" s="64">
        <v>2.4300000000000002</v>
      </c>
      <c r="G47" s="64">
        <v>55.58</v>
      </c>
      <c r="H47" s="64">
        <v>19.04</v>
      </c>
      <c r="I47" s="64">
        <v>0.1</v>
      </c>
      <c r="J47" s="64">
        <v>1.37</v>
      </c>
      <c r="K47" s="64">
        <v>342.67</v>
      </c>
      <c r="L47" s="64">
        <v>23.21</v>
      </c>
      <c r="M47" s="64">
        <v>39.65</v>
      </c>
      <c r="N47" s="64">
        <v>398.1</v>
      </c>
      <c r="O47" s="64">
        <v>0</v>
      </c>
      <c r="P47" s="64">
        <v>1.56</v>
      </c>
      <c r="Q47" s="64">
        <v>9.66</v>
      </c>
      <c r="R47" s="198"/>
      <c r="S47" s="198"/>
      <c r="T47" s="198"/>
      <c r="U47" s="198"/>
    </row>
    <row r="48" spans="1:21" s="12" customFormat="1" x14ac:dyDescent="0.25">
      <c r="A48" s="214" t="s">
        <v>2302</v>
      </c>
      <c r="B48" s="64">
        <v>42.16</v>
      </c>
      <c r="C48" s="64">
        <v>6.18</v>
      </c>
      <c r="D48" s="64">
        <v>36.380000000000003</v>
      </c>
      <c r="E48" s="64">
        <v>6.08</v>
      </c>
      <c r="F48" s="64">
        <v>2.48</v>
      </c>
      <c r="G48" s="64">
        <v>53.7</v>
      </c>
      <c r="H48" s="64">
        <v>19.11</v>
      </c>
      <c r="I48" s="64">
        <v>0.1</v>
      </c>
      <c r="J48" s="64">
        <v>1.24</v>
      </c>
      <c r="K48" s="64">
        <v>340.68</v>
      </c>
      <c r="L48" s="64">
        <v>24.11</v>
      </c>
      <c r="M48" s="64">
        <v>36.76</v>
      </c>
      <c r="N48" s="64">
        <v>421.4</v>
      </c>
      <c r="O48" s="64">
        <v>0</v>
      </c>
      <c r="P48" s="64">
        <v>1.5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4" t="s">
        <v>2303</v>
      </c>
      <c r="B49" s="64">
        <v>41.22</v>
      </c>
      <c r="C49" s="64">
        <v>6.93</v>
      </c>
      <c r="D49" s="64">
        <v>36.03</v>
      </c>
      <c r="E49" s="64">
        <v>6.26</v>
      </c>
      <c r="F49" s="64">
        <v>2.29</v>
      </c>
      <c r="G49" s="64">
        <v>52.94</v>
      </c>
      <c r="H49" s="64">
        <v>19.12</v>
      </c>
      <c r="I49" s="64">
        <v>0.1</v>
      </c>
      <c r="J49" s="64">
        <v>1.48</v>
      </c>
      <c r="K49" s="64">
        <v>337.27</v>
      </c>
      <c r="L49" s="64">
        <v>24.66</v>
      </c>
      <c r="M49" s="64">
        <v>35.28</v>
      </c>
      <c r="N49" s="64">
        <v>446.3</v>
      </c>
      <c r="O49" s="64">
        <v>0</v>
      </c>
      <c r="P49" s="64">
        <v>1.45</v>
      </c>
      <c r="Q49" s="64">
        <v>9.65</v>
      </c>
      <c r="R49" s="198"/>
      <c r="S49" s="198"/>
      <c r="T49" s="198"/>
      <c r="U49" s="198"/>
    </row>
    <row r="50" spans="1:21" s="12" customFormat="1" x14ac:dyDescent="0.25">
      <c r="A50" s="214" t="s">
        <v>2304</v>
      </c>
      <c r="B50" s="64">
        <v>40.119999999999997</v>
      </c>
      <c r="C50" s="64">
        <v>8.43</v>
      </c>
      <c r="D50" s="64">
        <v>35.93</v>
      </c>
      <c r="E50" s="64">
        <v>6.13</v>
      </c>
      <c r="F50" s="64">
        <v>2.48</v>
      </c>
      <c r="G50" s="64">
        <v>52.94</v>
      </c>
      <c r="H50" s="64">
        <v>19.12</v>
      </c>
      <c r="I50" s="64">
        <v>0.1</v>
      </c>
      <c r="J50" s="64">
        <v>1.22</v>
      </c>
      <c r="K50" s="64">
        <v>342.79</v>
      </c>
      <c r="L50" s="64">
        <v>25.09</v>
      </c>
      <c r="M50" s="64">
        <v>34.770000000000003</v>
      </c>
      <c r="N50" s="64">
        <v>453.8</v>
      </c>
      <c r="O50" s="64">
        <v>0</v>
      </c>
      <c r="P50" s="64">
        <v>1.4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4" t="s">
        <v>2305</v>
      </c>
      <c r="B51" s="64">
        <v>39.04</v>
      </c>
      <c r="C51" s="64">
        <v>9.83</v>
      </c>
      <c r="D51" s="64">
        <v>35.79</v>
      </c>
      <c r="E51" s="64">
        <v>5.82</v>
      </c>
      <c r="F51" s="64">
        <v>2.78</v>
      </c>
      <c r="G51" s="64">
        <v>52.94</v>
      </c>
      <c r="H51" s="64">
        <v>19.12</v>
      </c>
      <c r="I51" s="64">
        <v>0.1</v>
      </c>
      <c r="J51" s="64">
        <v>1.25</v>
      </c>
      <c r="K51" s="64">
        <v>341.05</v>
      </c>
      <c r="L51" s="64">
        <v>25.71</v>
      </c>
      <c r="M51" s="64">
        <v>33.380000000000003</v>
      </c>
      <c r="N51" s="64">
        <v>465.4</v>
      </c>
      <c r="O51" s="64">
        <v>0</v>
      </c>
      <c r="P51" s="64">
        <v>1.36</v>
      </c>
      <c r="Q51" s="64">
        <v>9.65</v>
      </c>
      <c r="R51" s="198"/>
      <c r="S51" s="198"/>
      <c r="T51" s="198"/>
      <c r="U51" s="198"/>
    </row>
    <row r="52" spans="1:21" s="12" customFormat="1" x14ac:dyDescent="0.25">
      <c r="A52" s="214" t="s">
        <v>2306</v>
      </c>
      <c r="B52" s="64">
        <v>37.83</v>
      </c>
      <c r="C52" s="64">
        <v>10.9</v>
      </c>
      <c r="D52" s="64">
        <v>35.380000000000003</v>
      </c>
      <c r="E52" s="64">
        <v>5.68</v>
      </c>
      <c r="F52" s="64">
        <v>2.68</v>
      </c>
      <c r="G52" s="64">
        <v>38.200000000000003</v>
      </c>
      <c r="H52" s="64">
        <v>17.989999999999998</v>
      </c>
      <c r="I52" s="64">
        <v>0.1</v>
      </c>
      <c r="J52" s="64">
        <v>0.55000000000000004</v>
      </c>
      <c r="K52" s="64">
        <v>26.21</v>
      </c>
      <c r="L52" s="64">
        <v>26.07</v>
      </c>
      <c r="M52" s="64">
        <v>32.619999999999997</v>
      </c>
      <c r="N52" s="64">
        <v>469.1</v>
      </c>
      <c r="O52" s="64">
        <v>0</v>
      </c>
      <c r="P52" s="64">
        <v>1.35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14" t="s">
        <v>2307</v>
      </c>
      <c r="B53" s="64">
        <v>36.33</v>
      </c>
      <c r="C53" s="64">
        <v>11.94</v>
      </c>
      <c r="D53" s="64">
        <v>34.71</v>
      </c>
      <c r="E53" s="64">
        <v>5.8</v>
      </c>
      <c r="F53" s="64">
        <v>2.68</v>
      </c>
      <c r="G53" s="64">
        <v>32.54</v>
      </c>
      <c r="H53" s="64">
        <v>17.93</v>
      </c>
      <c r="I53" s="64">
        <v>0.1</v>
      </c>
      <c r="J53" s="64">
        <v>1.63</v>
      </c>
      <c r="K53" s="64">
        <v>116.6</v>
      </c>
      <c r="L53" s="64">
        <v>22.67</v>
      </c>
      <c r="M53" s="64">
        <v>40.11</v>
      </c>
      <c r="N53" s="64">
        <v>477.5</v>
      </c>
      <c r="O53" s="64">
        <v>0</v>
      </c>
      <c r="P53" s="64">
        <v>1.31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4" t="s">
        <v>2308</v>
      </c>
      <c r="B54" s="64">
        <v>34.71</v>
      </c>
      <c r="C54" s="64">
        <v>12.76</v>
      </c>
      <c r="D54" s="64">
        <v>33.85</v>
      </c>
      <c r="E54" s="64">
        <v>5.48</v>
      </c>
      <c r="F54" s="64">
        <v>2.6</v>
      </c>
      <c r="G54" s="64">
        <v>32.54</v>
      </c>
      <c r="H54" s="64">
        <v>17.93</v>
      </c>
      <c r="I54" s="64">
        <v>0.1</v>
      </c>
      <c r="J54" s="64">
        <v>2.09</v>
      </c>
      <c r="K54" s="64">
        <v>127.3</v>
      </c>
      <c r="L54" s="64">
        <v>22.11</v>
      </c>
      <c r="M54" s="64">
        <v>39.22</v>
      </c>
      <c r="N54" s="64">
        <v>478.1</v>
      </c>
      <c r="O54" s="64">
        <v>0</v>
      </c>
      <c r="P54" s="64">
        <v>1.28</v>
      </c>
      <c r="Q54" s="64">
        <v>9.64</v>
      </c>
      <c r="R54" s="198"/>
      <c r="S54" s="198"/>
      <c r="T54" s="198"/>
      <c r="U54" s="198"/>
    </row>
    <row r="55" spans="1:21" s="12" customFormat="1" x14ac:dyDescent="0.25">
      <c r="A55" s="214" t="s">
        <v>2309</v>
      </c>
      <c r="B55" s="64">
        <v>32.89</v>
      </c>
      <c r="C55" s="64">
        <v>13.87</v>
      </c>
      <c r="D55" s="64">
        <v>32.97</v>
      </c>
      <c r="E55" s="64">
        <v>5.52</v>
      </c>
      <c r="F55" s="64">
        <v>2.48</v>
      </c>
      <c r="G55" s="64">
        <v>32.54</v>
      </c>
      <c r="H55" s="64">
        <v>17.93</v>
      </c>
      <c r="I55" s="64">
        <v>0.1</v>
      </c>
      <c r="J55" s="64">
        <v>1.49</v>
      </c>
      <c r="K55" s="64">
        <v>129.72</v>
      </c>
      <c r="L55" s="64">
        <v>22.92</v>
      </c>
      <c r="M55" s="64">
        <v>35.78</v>
      </c>
      <c r="N55" s="64">
        <v>470.3</v>
      </c>
      <c r="O55" s="64">
        <v>0</v>
      </c>
      <c r="P55" s="64">
        <v>1.24</v>
      </c>
      <c r="Q55" s="64">
        <v>9.64</v>
      </c>
      <c r="R55" s="198"/>
      <c r="S55" s="198"/>
      <c r="T55" s="198"/>
      <c r="U55" s="198"/>
    </row>
    <row r="56" spans="1:21" s="12" customFormat="1" x14ac:dyDescent="0.25">
      <c r="A56" s="214" t="s">
        <v>2310</v>
      </c>
      <c r="B56" s="64">
        <v>31.03</v>
      </c>
      <c r="C56" s="64">
        <v>14.89</v>
      </c>
      <c r="D56" s="64">
        <v>32.01</v>
      </c>
      <c r="E56" s="64">
        <v>5.63</v>
      </c>
      <c r="F56" s="64">
        <v>2.37</v>
      </c>
      <c r="G56" s="64">
        <v>44.12</v>
      </c>
      <c r="H56" s="64">
        <v>16.559999999999999</v>
      </c>
      <c r="I56" s="64">
        <v>0.1</v>
      </c>
      <c r="J56" s="64">
        <v>1.05</v>
      </c>
      <c r="K56" s="64">
        <v>121.95</v>
      </c>
      <c r="L56" s="64">
        <v>23.62</v>
      </c>
      <c r="M56" s="64">
        <v>33.94</v>
      </c>
      <c r="N56" s="64">
        <v>458.8</v>
      </c>
      <c r="O56" s="64">
        <v>0</v>
      </c>
      <c r="P56" s="64">
        <v>1.2</v>
      </c>
      <c r="Q56" s="64">
        <v>9.64</v>
      </c>
      <c r="R56" s="198"/>
      <c r="S56" s="198"/>
      <c r="T56" s="198"/>
      <c r="U56" s="198"/>
    </row>
    <row r="57" spans="1:21" s="12" customFormat="1" x14ac:dyDescent="0.25">
      <c r="A57" s="214" t="s">
        <v>2311</v>
      </c>
      <c r="B57" s="64">
        <v>28.07</v>
      </c>
      <c r="C57" s="64">
        <v>16.21</v>
      </c>
      <c r="D57" s="64">
        <v>30.32</v>
      </c>
      <c r="E57" s="64">
        <v>5.58</v>
      </c>
      <c r="F57" s="64">
        <v>3.17</v>
      </c>
      <c r="G57" s="64">
        <v>48.58</v>
      </c>
      <c r="H57" s="64">
        <v>16.5</v>
      </c>
      <c r="I57" s="64">
        <v>0.1</v>
      </c>
      <c r="J57" s="64">
        <v>0.89</v>
      </c>
      <c r="K57" s="64">
        <v>129.09</v>
      </c>
      <c r="L57" s="64">
        <v>24.11</v>
      </c>
      <c r="M57" s="64">
        <v>31.02</v>
      </c>
      <c r="N57" s="64">
        <v>464.4</v>
      </c>
      <c r="O57" s="64">
        <v>0</v>
      </c>
      <c r="P57" s="64">
        <v>1.17</v>
      </c>
      <c r="Q57" s="64">
        <v>9.6300000000000008</v>
      </c>
      <c r="R57" s="198"/>
      <c r="S57" s="198"/>
      <c r="T57" s="198"/>
      <c r="U57" s="198"/>
    </row>
    <row r="58" spans="1:21" s="12" customFormat="1" x14ac:dyDescent="0.25">
      <c r="A58" s="214" t="s">
        <v>2312</v>
      </c>
      <c r="B58" s="64">
        <v>25.99</v>
      </c>
      <c r="C58" s="64">
        <v>17.75</v>
      </c>
      <c r="D58" s="64">
        <v>29.46</v>
      </c>
      <c r="E58" s="64">
        <v>6.56</v>
      </c>
      <c r="F58" s="64">
        <v>3.51</v>
      </c>
      <c r="G58" s="64">
        <v>48.58</v>
      </c>
      <c r="H58" s="64">
        <v>16.5</v>
      </c>
      <c r="I58" s="64">
        <v>0.1</v>
      </c>
      <c r="J58" s="64">
        <v>1.08</v>
      </c>
      <c r="K58" s="64">
        <v>319.39</v>
      </c>
      <c r="L58" s="64">
        <v>26.15</v>
      </c>
      <c r="M58" s="64">
        <v>28</v>
      </c>
      <c r="N58" s="64">
        <v>321.7</v>
      </c>
      <c r="O58" s="64">
        <v>0</v>
      </c>
      <c r="P58" s="64">
        <v>1.1499999999999999</v>
      </c>
      <c r="Q58" s="64">
        <v>9.6300000000000008</v>
      </c>
      <c r="R58" s="198"/>
      <c r="S58" s="198"/>
      <c r="T58" s="198"/>
      <c r="U58" s="198"/>
    </row>
    <row r="59" spans="1:21" s="12" customFormat="1" x14ac:dyDescent="0.25">
      <c r="A59" s="214" t="s">
        <v>2313</v>
      </c>
      <c r="B59" s="64">
        <v>22.67</v>
      </c>
      <c r="C59" s="64">
        <v>20.12</v>
      </c>
      <c r="D59" s="64">
        <v>28.04</v>
      </c>
      <c r="E59" s="64">
        <v>8.0399999999999991</v>
      </c>
      <c r="F59" s="64">
        <v>4.91</v>
      </c>
      <c r="G59" s="64">
        <v>48.58</v>
      </c>
      <c r="H59" s="64">
        <v>16.5</v>
      </c>
      <c r="I59" s="64">
        <v>0.1</v>
      </c>
      <c r="J59" s="64">
        <v>0.87</v>
      </c>
      <c r="K59" s="64">
        <v>340.51</v>
      </c>
      <c r="L59" s="64">
        <v>26.58</v>
      </c>
      <c r="M59" s="64">
        <v>26.21</v>
      </c>
      <c r="N59" s="64">
        <v>389.1</v>
      </c>
      <c r="O59" s="64">
        <v>0</v>
      </c>
      <c r="P59" s="64">
        <v>1.1399999999999999</v>
      </c>
      <c r="Q59" s="64">
        <v>9.6300000000000008</v>
      </c>
      <c r="R59" s="198"/>
      <c r="S59" s="198"/>
      <c r="T59" s="198"/>
      <c r="U59" s="198"/>
    </row>
    <row r="60" spans="1:21" s="12" customFormat="1" x14ac:dyDescent="0.25">
      <c r="A60" s="214" t="s">
        <v>2314</v>
      </c>
      <c r="B60" s="64">
        <v>20.43</v>
      </c>
      <c r="C60" s="64">
        <v>19.41</v>
      </c>
      <c r="D60" s="64">
        <v>25.87</v>
      </c>
      <c r="E60" s="64">
        <v>10.62</v>
      </c>
      <c r="F60" s="64">
        <v>5.79</v>
      </c>
      <c r="G60" s="64">
        <v>44.9</v>
      </c>
      <c r="H60" s="64">
        <v>14.44</v>
      </c>
      <c r="I60" s="64">
        <v>0.1</v>
      </c>
      <c r="J60" s="64">
        <v>1.25</v>
      </c>
      <c r="K60" s="64">
        <v>121.46</v>
      </c>
      <c r="L60" s="64">
        <v>25.47</v>
      </c>
      <c r="M60" s="64">
        <v>27.76</v>
      </c>
      <c r="N60" s="64">
        <v>400.4</v>
      </c>
      <c r="O60" s="64">
        <v>0</v>
      </c>
      <c r="P60" s="64">
        <v>1.1100000000000001</v>
      </c>
      <c r="Q60" s="64">
        <v>9.6300000000000008</v>
      </c>
      <c r="R60" s="198"/>
      <c r="S60" s="198"/>
      <c r="T60" s="198"/>
      <c r="U60" s="198"/>
    </row>
    <row r="61" spans="1:21" s="12" customFormat="1" x14ac:dyDescent="0.25">
      <c r="A61" s="214" t="s">
        <v>2315</v>
      </c>
      <c r="B61" s="64">
        <v>18.93</v>
      </c>
      <c r="C61" s="64">
        <v>20.34</v>
      </c>
      <c r="D61" s="64">
        <v>25.15</v>
      </c>
      <c r="E61" s="64">
        <v>11.48</v>
      </c>
      <c r="F61" s="64">
        <v>6.21</v>
      </c>
      <c r="G61" s="64">
        <v>43.48</v>
      </c>
      <c r="H61" s="64">
        <v>14.34</v>
      </c>
      <c r="I61" s="64">
        <v>0.1</v>
      </c>
      <c r="J61" s="64">
        <v>1.03</v>
      </c>
      <c r="K61" s="64">
        <v>110.28</v>
      </c>
      <c r="L61" s="64">
        <v>23.87</v>
      </c>
      <c r="M61" s="64">
        <v>30.33</v>
      </c>
      <c r="N61" s="64">
        <v>340.9</v>
      </c>
      <c r="O61" s="64">
        <v>0</v>
      </c>
      <c r="P61" s="64">
        <v>1.1000000000000001</v>
      </c>
      <c r="Q61" s="64">
        <v>9.6300000000000008</v>
      </c>
      <c r="R61" s="198"/>
      <c r="S61" s="198"/>
      <c r="T61" s="198"/>
      <c r="U61" s="198"/>
    </row>
    <row r="62" spans="1:21" s="12" customFormat="1" x14ac:dyDescent="0.25">
      <c r="A62" s="214" t="s">
        <v>2316</v>
      </c>
      <c r="B62" s="64">
        <v>17.28</v>
      </c>
      <c r="C62" s="64">
        <v>20.48</v>
      </c>
      <c r="D62" s="64">
        <v>23.91</v>
      </c>
      <c r="E62" s="64">
        <v>8.66</v>
      </c>
      <c r="F62" s="64">
        <v>6.81</v>
      </c>
      <c r="G62" s="64">
        <v>43.48</v>
      </c>
      <c r="H62" s="64">
        <v>14.34</v>
      </c>
      <c r="I62" s="64">
        <v>0.1</v>
      </c>
      <c r="J62" s="64">
        <v>1.1299999999999999</v>
      </c>
      <c r="K62" s="64">
        <v>140.07</v>
      </c>
      <c r="L62" s="64">
        <v>23.62</v>
      </c>
      <c r="M62" s="64">
        <v>30.76</v>
      </c>
      <c r="N62" s="64">
        <v>197.6</v>
      </c>
      <c r="O62" s="64">
        <v>0</v>
      </c>
      <c r="P62" s="64">
        <v>1.1000000000000001</v>
      </c>
      <c r="Q62" s="64">
        <v>9.65</v>
      </c>
      <c r="R62" s="198"/>
      <c r="S62" s="198"/>
      <c r="T62" s="198"/>
      <c r="U62" s="198"/>
    </row>
    <row r="63" spans="1:21" s="12" customFormat="1" x14ac:dyDescent="0.25">
      <c r="A63" s="214" t="s">
        <v>2317</v>
      </c>
      <c r="B63" s="64">
        <v>15.57</v>
      </c>
      <c r="C63" s="64">
        <v>24.75</v>
      </c>
      <c r="D63" s="64">
        <v>24.77</v>
      </c>
      <c r="E63" s="64">
        <v>16.84</v>
      </c>
      <c r="F63" s="64">
        <v>9.1300000000000008</v>
      </c>
      <c r="G63" s="64">
        <v>43.48</v>
      </c>
      <c r="H63" s="64">
        <v>14.34</v>
      </c>
      <c r="I63" s="64">
        <v>0.1</v>
      </c>
      <c r="J63" s="64">
        <v>0.44</v>
      </c>
      <c r="K63" s="64">
        <v>150.15</v>
      </c>
      <c r="L63" s="64">
        <v>23.42</v>
      </c>
      <c r="M63" s="64">
        <v>31.49</v>
      </c>
      <c r="N63" s="64">
        <v>185.5</v>
      </c>
      <c r="O63" s="64">
        <v>0</v>
      </c>
      <c r="P63" s="64">
        <v>1.07</v>
      </c>
      <c r="Q63" s="64">
        <v>9.65</v>
      </c>
      <c r="R63" s="198"/>
      <c r="S63" s="198"/>
      <c r="T63" s="198"/>
      <c r="U63" s="198"/>
    </row>
    <row r="64" spans="1:21" s="12" customFormat="1" x14ac:dyDescent="0.25">
      <c r="A64" s="214" t="s">
        <v>2318</v>
      </c>
      <c r="B64" s="64">
        <v>18.27</v>
      </c>
      <c r="C64" s="64">
        <v>26.56</v>
      </c>
      <c r="D64" s="64">
        <v>27.87</v>
      </c>
      <c r="E64" s="64">
        <v>16.940000000000001</v>
      </c>
      <c r="F64" s="64">
        <v>6.04</v>
      </c>
      <c r="G64" s="64">
        <v>34.200000000000003</v>
      </c>
      <c r="H64" s="64">
        <v>16.059999999999999</v>
      </c>
      <c r="I64" s="64">
        <v>0.1</v>
      </c>
      <c r="J64" s="64">
        <v>0.82</v>
      </c>
      <c r="K64" s="64">
        <v>322.77999999999997</v>
      </c>
      <c r="L64" s="64">
        <v>24.37</v>
      </c>
      <c r="M64" s="64">
        <v>30.5</v>
      </c>
      <c r="N64" s="64">
        <v>233.4</v>
      </c>
      <c r="O64" s="64">
        <v>0</v>
      </c>
      <c r="P64" s="64">
        <v>1.21</v>
      </c>
      <c r="Q64" s="64">
        <v>9.65</v>
      </c>
      <c r="R64" s="198"/>
      <c r="S64" s="198"/>
      <c r="T64" s="198"/>
      <c r="U64" s="198"/>
    </row>
    <row r="65" spans="1:21" s="12" customFormat="1" x14ac:dyDescent="0.25">
      <c r="A65" s="214" t="s">
        <v>2319</v>
      </c>
      <c r="B65" s="64">
        <v>19.29</v>
      </c>
      <c r="C65" s="64">
        <v>21.83</v>
      </c>
      <c r="D65" s="64">
        <v>26.22</v>
      </c>
      <c r="E65" s="64">
        <v>8.4600000000000009</v>
      </c>
      <c r="F65" s="64">
        <v>3.35</v>
      </c>
      <c r="G65" s="64">
        <v>30.43</v>
      </c>
      <c r="H65" s="64">
        <v>16.190000000000001</v>
      </c>
      <c r="I65" s="64">
        <v>0.1</v>
      </c>
      <c r="J65" s="64">
        <v>0.79</v>
      </c>
      <c r="K65" s="64">
        <v>135.07</v>
      </c>
      <c r="L65" s="64">
        <v>24.65</v>
      </c>
      <c r="M65" s="64">
        <v>30.81</v>
      </c>
      <c r="N65" s="64">
        <v>172</v>
      </c>
      <c r="O65" s="64">
        <v>0</v>
      </c>
      <c r="P65" s="64">
        <v>1.18</v>
      </c>
      <c r="Q65" s="64">
        <v>9.65</v>
      </c>
      <c r="R65" s="198"/>
      <c r="S65" s="198"/>
      <c r="T65" s="198"/>
      <c r="U65" s="198"/>
    </row>
    <row r="66" spans="1:21" s="12" customFormat="1" x14ac:dyDescent="0.25">
      <c r="A66" s="214" t="s">
        <v>2320</v>
      </c>
      <c r="B66" s="64">
        <v>16.53</v>
      </c>
      <c r="C66" s="64">
        <v>23.34</v>
      </c>
      <c r="D66" s="64">
        <v>24.8</v>
      </c>
      <c r="E66" s="64">
        <v>7.08</v>
      </c>
      <c r="F66" s="64">
        <v>4.84</v>
      </c>
      <c r="G66" s="64">
        <v>30.43</v>
      </c>
      <c r="H66" s="64">
        <v>16.190000000000001</v>
      </c>
      <c r="I66" s="64">
        <v>0.1</v>
      </c>
      <c r="J66" s="64">
        <v>0.61</v>
      </c>
      <c r="K66" s="64">
        <v>115.07</v>
      </c>
      <c r="L66" s="64">
        <v>23.15</v>
      </c>
      <c r="M66" s="64">
        <v>35.57</v>
      </c>
      <c r="N66" s="64">
        <v>137</v>
      </c>
      <c r="O66" s="64">
        <v>0</v>
      </c>
      <c r="P66" s="64">
        <v>1.0900000000000001</v>
      </c>
      <c r="Q66" s="64">
        <v>9.65</v>
      </c>
      <c r="R66" s="198"/>
      <c r="S66" s="198"/>
      <c r="T66" s="198"/>
      <c r="U66" s="198"/>
    </row>
    <row r="67" spans="1:21" s="12" customFormat="1" x14ac:dyDescent="0.25">
      <c r="A67" s="214" t="s">
        <v>2321</v>
      </c>
      <c r="B67" s="64">
        <v>13.68</v>
      </c>
      <c r="C67" s="64">
        <v>24.96</v>
      </c>
      <c r="D67" s="64">
        <v>23.36</v>
      </c>
      <c r="E67" s="64">
        <v>11.9</v>
      </c>
      <c r="F67" s="64">
        <v>6.09</v>
      </c>
      <c r="G67" s="64">
        <v>30.43</v>
      </c>
      <c r="H67" s="64">
        <v>16.190000000000001</v>
      </c>
      <c r="I67" s="64">
        <v>0.1</v>
      </c>
      <c r="J67" s="64">
        <v>0.87</v>
      </c>
      <c r="K67" s="64">
        <v>120.44</v>
      </c>
      <c r="L67" s="64">
        <v>23.45</v>
      </c>
      <c r="M67" s="64">
        <v>34.270000000000003</v>
      </c>
      <c r="N67" s="64">
        <v>119.4</v>
      </c>
      <c r="O67" s="64">
        <v>0</v>
      </c>
      <c r="P67" s="64">
        <v>1.02</v>
      </c>
      <c r="Q67" s="64">
        <v>9.6300000000000008</v>
      </c>
      <c r="R67" s="198"/>
      <c r="S67" s="198"/>
      <c r="T67" s="198"/>
      <c r="U67" s="198"/>
    </row>
    <row r="68" spans="1:21" s="12" customFormat="1" x14ac:dyDescent="0.25">
      <c r="A68" s="214" t="s">
        <v>2322</v>
      </c>
      <c r="B68" s="64">
        <v>13.98</v>
      </c>
      <c r="C68" s="64">
        <v>24.39</v>
      </c>
      <c r="D68" s="64">
        <v>23.3</v>
      </c>
      <c r="E68" s="64">
        <v>8.58</v>
      </c>
      <c r="F68" s="64">
        <v>5.12</v>
      </c>
      <c r="G68" s="64">
        <v>12.75</v>
      </c>
      <c r="H68" s="64">
        <v>14.59</v>
      </c>
      <c r="I68" s="64">
        <v>0.1</v>
      </c>
      <c r="J68" s="64">
        <v>1.1000000000000001</v>
      </c>
      <c r="K68" s="64">
        <v>117.65</v>
      </c>
      <c r="L68" s="64">
        <v>23.01</v>
      </c>
      <c r="M68" s="64">
        <v>34.44</v>
      </c>
      <c r="N68" s="64">
        <v>108</v>
      </c>
      <c r="O68" s="64">
        <v>0</v>
      </c>
      <c r="P68" s="64">
        <v>1.02</v>
      </c>
      <c r="Q68" s="64">
        <v>9.6199999999999992</v>
      </c>
      <c r="R68" s="198"/>
      <c r="S68" s="198"/>
      <c r="T68" s="198"/>
      <c r="U68" s="198"/>
    </row>
    <row r="69" spans="1:21" s="12" customFormat="1" x14ac:dyDescent="0.25">
      <c r="A69" s="214" t="s">
        <v>2323</v>
      </c>
      <c r="B69" s="64">
        <v>15.37</v>
      </c>
      <c r="C69" s="64">
        <v>27.39</v>
      </c>
      <c r="D69" s="64">
        <v>25.98</v>
      </c>
      <c r="E69" s="64">
        <v>13.21</v>
      </c>
      <c r="F69" s="64">
        <v>5.35</v>
      </c>
      <c r="G69" s="64">
        <v>5.95</v>
      </c>
      <c r="H69" s="64">
        <v>14.52</v>
      </c>
      <c r="I69" s="64">
        <v>0.1</v>
      </c>
      <c r="J69" s="64">
        <v>1.29</v>
      </c>
      <c r="K69" s="64">
        <v>341.23</v>
      </c>
      <c r="L69" s="64">
        <v>23.27</v>
      </c>
      <c r="M69" s="64">
        <v>34.15</v>
      </c>
      <c r="N69" s="64">
        <v>98.8</v>
      </c>
      <c r="O69" s="64">
        <v>0</v>
      </c>
      <c r="P69" s="64">
        <v>1.03</v>
      </c>
      <c r="Q69" s="64">
        <v>9.6199999999999992</v>
      </c>
      <c r="R69" s="198"/>
      <c r="S69" s="198"/>
      <c r="T69" s="198"/>
      <c r="U69" s="198"/>
    </row>
    <row r="70" spans="1:21" s="12" customFormat="1" x14ac:dyDescent="0.25">
      <c r="A70" s="214" t="s">
        <v>2324</v>
      </c>
      <c r="B70" s="64">
        <v>10.91</v>
      </c>
      <c r="C70" s="64">
        <v>27.97</v>
      </c>
      <c r="D70" s="64">
        <v>22.71</v>
      </c>
      <c r="E70" s="64">
        <v>20.87</v>
      </c>
      <c r="F70" s="64">
        <v>7.42</v>
      </c>
      <c r="G70" s="64">
        <v>25.45</v>
      </c>
      <c r="H70" s="64">
        <v>22.07</v>
      </c>
      <c r="I70" s="64">
        <v>0.1</v>
      </c>
      <c r="J70" s="64">
        <v>0.13</v>
      </c>
      <c r="K70" s="64">
        <v>116.41</v>
      </c>
      <c r="L70" s="64">
        <v>23.45</v>
      </c>
      <c r="M70" s="64">
        <v>33.53</v>
      </c>
      <c r="N70" s="64">
        <v>92.4</v>
      </c>
      <c r="O70" s="64">
        <v>0</v>
      </c>
      <c r="P70" s="64">
        <v>0.97</v>
      </c>
      <c r="Q70" s="64">
        <v>9.61</v>
      </c>
      <c r="R70" s="198"/>
      <c r="S70" s="198"/>
      <c r="T70" s="198"/>
      <c r="U70" s="198"/>
    </row>
    <row r="71" spans="1:21" s="12" customFormat="1" x14ac:dyDescent="0.25">
      <c r="A71" s="214" t="s">
        <v>2325</v>
      </c>
      <c r="B71" s="64">
        <v>11.9</v>
      </c>
      <c r="C71" s="64">
        <v>27.91</v>
      </c>
      <c r="D71" s="64">
        <v>23.47</v>
      </c>
      <c r="E71" s="64">
        <v>15.56</v>
      </c>
      <c r="F71" s="64">
        <v>4.91</v>
      </c>
      <c r="G71" s="64">
        <v>50.95</v>
      </c>
      <c r="H71" s="64">
        <v>34.520000000000003</v>
      </c>
      <c r="I71" s="64">
        <v>0.1</v>
      </c>
      <c r="J71" s="64">
        <v>0.28000000000000003</v>
      </c>
      <c r="K71" s="64">
        <v>18.34</v>
      </c>
      <c r="L71" s="64">
        <v>23.13</v>
      </c>
      <c r="M71" s="64">
        <v>34.369999999999997</v>
      </c>
      <c r="N71" s="64">
        <v>85.6</v>
      </c>
      <c r="O71" s="64">
        <v>0</v>
      </c>
      <c r="P71" s="64">
        <v>1.02</v>
      </c>
      <c r="Q71" s="64">
        <v>9.61</v>
      </c>
      <c r="R71" s="198"/>
      <c r="S71" s="198"/>
      <c r="T71" s="198"/>
      <c r="U71" s="198"/>
    </row>
    <row r="72" spans="1:21" s="12" customFormat="1" x14ac:dyDescent="0.25">
      <c r="A72" s="214" t="s">
        <v>2326</v>
      </c>
      <c r="B72" s="64">
        <v>10.28</v>
      </c>
      <c r="C72" s="64">
        <v>28.16</v>
      </c>
      <c r="D72" s="64">
        <v>22.3</v>
      </c>
      <c r="E72" s="64">
        <v>19.97</v>
      </c>
      <c r="F72" s="64">
        <v>7.14</v>
      </c>
      <c r="G72" s="64">
        <v>71.959999999999994</v>
      </c>
      <c r="H72" s="64">
        <v>19.47</v>
      </c>
      <c r="I72" s="64">
        <v>0.1</v>
      </c>
      <c r="J72" s="64">
        <v>0.85</v>
      </c>
      <c r="K72" s="64">
        <v>111.97</v>
      </c>
      <c r="L72" s="64">
        <v>22.89</v>
      </c>
      <c r="M72" s="64">
        <v>34.450000000000003</v>
      </c>
      <c r="N72" s="64">
        <v>78.900000000000006</v>
      </c>
      <c r="O72" s="64">
        <v>0</v>
      </c>
      <c r="P72" s="64">
        <v>0.98</v>
      </c>
      <c r="Q72" s="64">
        <v>9.6</v>
      </c>
      <c r="R72" s="198"/>
      <c r="S72" s="198"/>
      <c r="T72" s="198"/>
      <c r="U72" s="198"/>
    </row>
    <row r="73" spans="1:21" s="12" customFormat="1" x14ac:dyDescent="0.25">
      <c r="A73" s="214" t="s">
        <v>2327</v>
      </c>
      <c r="B73" s="64">
        <v>10.27</v>
      </c>
      <c r="C73" s="64">
        <v>31.92</v>
      </c>
      <c r="D73" s="64">
        <v>24.26</v>
      </c>
      <c r="E73" s="64">
        <v>25.69</v>
      </c>
      <c r="F73" s="64">
        <v>6.17</v>
      </c>
      <c r="G73" s="64">
        <v>80.5</v>
      </c>
      <c r="H73" s="64">
        <v>18.760000000000002</v>
      </c>
      <c r="I73" s="64">
        <v>0.1</v>
      </c>
      <c r="J73" s="64">
        <v>0.22</v>
      </c>
      <c r="K73" s="64">
        <v>28.62</v>
      </c>
      <c r="L73" s="64">
        <v>22.7</v>
      </c>
      <c r="M73" s="64">
        <v>35.49</v>
      </c>
      <c r="N73" s="64">
        <v>72.2</v>
      </c>
      <c r="O73" s="64">
        <v>0</v>
      </c>
      <c r="P73" s="64">
        <v>1.04</v>
      </c>
      <c r="Q73" s="64">
        <v>9.6</v>
      </c>
      <c r="R73" s="198"/>
      <c r="S73" s="198"/>
      <c r="T73" s="198"/>
      <c r="U73" s="198"/>
    </row>
    <row r="74" spans="1:21" s="12" customFormat="1" x14ac:dyDescent="0.25">
      <c r="A74" s="214" t="s">
        <v>2328</v>
      </c>
      <c r="B74" s="64">
        <v>14.49</v>
      </c>
      <c r="C74" s="64">
        <v>30.42</v>
      </c>
      <c r="D74" s="64">
        <v>25.95</v>
      </c>
      <c r="E74" s="64">
        <v>15.15</v>
      </c>
      <c r="F74" s="64">
        <v>4.51</v>
      </c>
      <c r="G74" s="210" t="s">
        <v>36</v>
      </c>
      <c r="H74" s="210" t="s">
        <v>36</v>
      </c>
      <c r="I74" s="64">
        <v>0.1</v>
      </c>
      <c r="J74" s="64">
        <v>0.37</v>
      </c>
      <c r="K74" s="64">
        <v>34.799999999999997</v>
      </c>
      <c r="L74" s="64">
        <v>22.26</v>
      </c>
      <c r="M74" s="64">
        <v>38.840000000000003</v>
      </c>
      <c r="N74" s="64">
        <v>65.3</v>
      </c>
      <c r="O74" s="64">
        <v>0</v>
      </c>
      <c r="P74" s="64">
        <v>1.0900000000000001</v>
      </c>
      <c r="Q74" s="64">
        <v>9.6</v>
      </c>
      <c r="R74" s="198"/>
      <c r="S74" s="198"/>
      <c r="T74" s="198"/>
      <c r="U74" s="198"/>
    </row>
    <row r="75" spans="1:21" s="12" customFormat="1" x14ac:dyDescent="0.25">
      <c r="A75" s="214" t="s">
        <v>2329</v>
      </c>
      <c r="B75" s="64">
        <v>21.63</v>
      </c>
      <c r="C75" s="64">
        <v>31.62</v>
      </c>
      <c r="D75" s="64">
        <v>33.21</v>
      </c>
      <c r="E75" s="64">
        <v>37.299999999999997</v>
      </c>
      <c r="F75" s="64">
        <v>4.24</v>
      </c>
      <c r="G75" s="210" t="s">
        <v>36</v>
      </c>
      <c r="H75" s="210" t="s">
        <v>36</v>
      </c>
      <c r="I75" s="64">
        <v>0.1</v>
      </c>
      <c r="J75" s="64">
        <v>0.68</v>
      </c>
      <c r="K75" s="64">
        <v>342.65</v>
      </c>
      <c r="L75" s="64">
        <v>22</v>
      </c>
      <c r="M75" s="64">
        <v>39.74</v>
      </c>
      <c r="N75" s="64">
        <v>61.3</v>
      </c>
      <c r="O75" s="64">
        <v>0</v>
      </c>
      <c r="P75" s="64">
        <v>1.36</v>
      </c>
      <c r="Q75" s="64">
        <v>9.6</v>
      </c>
      <c r="R75" s="198"/>
      <c r="S75" s="198"/>
      <c r="T75" s="198"/>
      <c r="U75" s="198"/>
    </row>
    <row r="76" spans="1:21" s="12" customFormat="1" x14ac:dyDescent="0.25">
      <c r="A76" s="214" t="s">
        <v>2330</v>
      </c>
      <c r="B76" s="64">
        <v>13.96</v>
      </c>
      <c r="C76" s="64">
        <v>34.950000000000003</v>
      </c>
      <c r="D76" s="64">
        <v>28.8</v>
      </c>
      <c r="E76" s="64">
        <v>40.85</v>
      </c>
      <c r="F76" s="64">
        <v>5.28</v>
      </c>
      <c r="G76" s="210" t="s">
        <v>36</v>
      </c>
      <c r="H76" s="210" t="s">
        <v>36</v>
      </c>
      <c r="I76" s="64">
        <v>0.1</v>
      </c>
      <c r="J76" s="64">
        <v>0.51</v>
      </c>
      <c r="K76" s="64">
        <v>68.02</v>
      </c>
      <c r="L76" s="64">
        <v>21.5</v>
      </c>
      <c r="M76" s="64">
        <v>40.409999999999997</v>
      </c>
      <c r="N76" s="64">
        <v>55.3</v>
      </c>
      <c r="O76" s="64">
        <v>0</v>
      </c>
      <c r="P76" s="64">
        <v>1.25</v>
      </c>
      <c r="Q76" s="64">
        <v>9.61</v>
      </c>
      <c r="R76" s="198"/>
      <c r="S76" s="198"/>
      <c r="T76" s="198"/>
      <c r="U76" s="198"/>
    </row>
    <row r="77" spans="1:21" s="12" customFormat="1" x14ac:dyDescent="0.25">
      <c r="A77" s="214" t="s">
        <v>2331</v>
      </c>
      <c r="B77" s="64">
        <v>19.77</v>
      </c>
      <c r="C77" s="64">
        <v>34.15</v>
      </c>
      <c r="D77" s="64">
        <v>33.049999999999997</v>
      </c>
      <c r="E77" s="64">
        <v>34.450000000000003</v>
      </c>
      <c r="F77" s="64">
        <v>3.38</v>
      </c>
      <c r="G77" s="210" t="s">
        <v>36</v>
      </c>
      <c r="H77" s="210" t="s">
        <v>36</v>
      </c>
      <c r="I77" s="64">
        <v>0.1</v>
      </c>
      <c r="J77" s="64">
        <v>0.5</v>
      </c>
      <c r="K77" s="64">
        <v>338.8</v>
      </c>
      <c r="L77" s="64">
        <v>20.86</v>
      </c>
      <c r="M77" s="64">
        <v>45.05</v>
      </c>
      <c r="N77" s="64">
        <v>50.8</v>
      </c>
      <c r="O77" s="64">
        <v>0</v>
      </c>
      <c r="P77" s="64">
        <v>1.33</v>
      </c>
      <c r="Q77" s="64">
        <v>9.6300000000000008</v>
      </c>
      <c r="R77" s="198"/>
      <c r="S77" s="198"/>
      <c r="T77" s="198"/>
      <c r="U77" s="198"/>
    </row>
    <row r="78" spans="1:21" s="12" customFormat="1" x14ac:dyDescent="0.25">
      <c r="A78" s="214" t="s">
        <v>2332</v>
      </c>
      <c r="B78" s="64">
        <v>21.64</v>
      </c>
      <c r="C78" s="64">
        <v>29.7</v>
      </c>
      <c r="D78" s="64">
        <v>32.21</v>
      </c>
      <c r="E78" s="64">
        <v>23.6</v>
      </c>
      <c r="F78" s="64">
        <v>2.63</v>
      </c>
      <c r="G78" s="64">
        <v>23.45</v>
      </c>
      <c r="H78" s="64">
        <v>13.21</v>
      </c>
      <c r="I78" s="64">
        <v>0.1</v>
      </c>
      <c r="J78" s="64">
        <v>0.81</v>
      </c>
      <c r="K78" s="64">
        <v>282.22000000000003</v>
      </c>
      <c r="L78" s="64">
        <v>19.829999999999998</v>
      </c>
      <c r="M78" s="64">
        <v>51.23</v>
      </c>
      <c r="N78" s="64">
        <v>48.1</v>
      </c>
      <c r="O78" s="64">
        <v>0</v>
      </c>
      <c r="P78" s="64">
        <v>1.4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4" t="s">
        <v>2333</v>
      </c>
      <c r="B79" s="64">
        <v>29.58</v>
      </c>
      <c r="C79" s="64">
        <v>24.57</v>
      </c>
      <c r="D79" s="64">
        <v>35.9</v>
      </c>
      <c r="E79" s="64">
        <v>17.02</v>
      </c>
      <c r="F79" s="64">
        <v>2.46</v>
      </c>
      <c r="G79" s="64">
        <v>43.97</v>
      </c>
      <c r="H79" s="64">
        <v>18.43</v>
      </c>
      <c r="I79" s="64">
        <v>0.1</v>
      </c>
      <c r="J79" s="64">
        <v>0.85</v>
      </c>
      <c r="K79" s="64">
        <v>281.22000000000003</v>
      </c>
      <c r="L79" s="64">
        <v>18.940000000000001</v>
      </c>
      <c r="M79" s="64">
        <v>56.92</v>
      </c>
      <c r="N79" s="64">
        <v>47.1</v>
      </c>
      <c r="O79" s="64">
        <v>0</v>
      </c>
      <c r="P79" s="64">
        <v>1.57</v>
      </c>
      <c r="Q79" s="64">
        <v>9.61</v>
      </c>
      <c r="R79" s="198"/>
      <c r="S79" s="198"/>
      <c r="T79" s="198"/>
      <c r="U79" s="198"/>
    </row>
    <row r="80" spans="1:21" s="12" customFormat="1" x14ac:dyDescent="0.25">
      <c r="A80" s="214" t="s">
        <v>2334</v>
      </c>
      <c r="B80" s="64">
        <v>41.47</v>
      </c>
      <c r="C80" s="64">
        <v>17.04</v>
      </c>
      <c r="D80" s="64">
        <v>41.49</v>
      </c>
      <c r="E80" s="64">
        <v>12.44</v>
      </c>
      <c r="F80" s="64">
        <v>2.58</v>
      </c>
      <c r="G80" s="64">
        <v>43.97</v>
      </c>
      <c r="H80" s="64">
        <v>18.43</v>
      </c>
      <c r="I80" s="64">
        <v>0.1</v>
      </c>
      <c r="J80" s="64">
        <v>0.81</v>
      </c>
      <c r="K80" s="64">
        <v>359.31</v>
      </c>
      <c r="L80" s="64">
        <v>18.29</v>
      </c>
      <c r="M80" s="64">
        <v>62.89</v>
      </c>
      <c r="N80" s="64">
        <v>46.9</v>
      </c>
      <c r="O80" s="64">
        <v>0</v>
      </c>
      <c r="P80" s="64">
        <v>1.85</v>
      </c>
      <c r="Q80" s="64">
        <v>9.6300000000000008</v>
      </c>
      <c r="R80" s="198"/>
      <c r="S80" s="198"/>
      <c r="T80" s="198"/>
      <c r="U80" s="198"/>
    </row>
    <row r="81" spans="1:26" s="12" customFormat="1" x14ac:dyDescent="0.25">
      <c r="A81" s="214" t="s">
        <v>2335</v>
      </c>
      <c r="B81" s="64">
        <v>46.95</v>
      </c>
      <c r="C81" s="64">
        <v>14.54</v>
      </c>
      <c r="D81" s="64">
        <v>43.73</v>
      </c>
      <c r="E81" s="64">
        <v>10.29</v>
      </c>
      <c r="F81" s="64">
        <v>2.72</v>
      </c>
      <c r="G81" s="64">
        <v>43.97</v>
      </c>
      <c r="H81" s="64">
        <v>18.43</v>
      </c>
      <c r="I81" s="64">
        <v>0.1</v>
      </c>
      <c r="J81" s="64">
        <v>0.7</v>
      </c>
      <c r="K81" s="64">
        <v>311.98</v>
      </c>
      <c r="L81" s="64">
        <v>17.77</v>
      </c>
      <c r="M81" s="64">
        <v>65.260000000000005</v>
      </c>
      <c r="N81" s="64">
        <v>46.7</v>
      </c>
      <c r="O81" s="64">
        <v>0</v>
      </c>
      <c r="P81" s="64">
        <v>1.86</v>
      </c>
      <c r="Q81" s="64">
        <v>9.65</v>
      </c>
      <c r="R81" s="198"/>
      <c r="S81" s="198"/>
      <c r="T81" s="198"/>
      <c r="U81" s="198"/>
    </row>
    <row r="82" spans="1:26" s="12" customFormat="1" x14ac:dyDescent="0.25">
      <c r="A82" s="214" t="s">
        <v>2336</v>
      </c>
      <c r="B82" s="64">
        <v>40.03</v>
      </c>
      <c r="C82" s="64">
        <v>13.32</v>
      </c>
      <c r="D82" s="64">
        <v>38.14</v>
      </c>
      <c r="E82" s="64">
        <v>8.81</v>
      </c>
      <c r="F82" s="64">
        <v>2.2000000000000002</v>
      </c>
      <c r="G82" s="64">
        <v>43.97</v>
      </c>
      <c r="H82" s="64">
        <v>21.73</v>
      </c>
      <c r="I82" s="64">
        <v>0.1</v>
      </c>
      <c r="J82" s="64">
        <v>0.79</v>
      </c>
      <c r="K82" s="64">
        <v>322.56</v>
      </c>
      <c r="L82" s="64">
        <v>17.309999999999999</v>
      </c>
      <c r="M82" s="64">
        <v>72.84</v>
      </c>
      <c r="N82" s="64">
        <v>46.7</v>
      </c>
      <c r="O82" s="64">
        <v>0</v>
      </c>
      <c r="P82" s="64">
        <v>1.72</v>
      </c>
      <c r="Q82" s="64">
        <v>9.65</v>
      </c>
      <c r="R82" s="198"/>
      <c r="S82" s="198"/>
      <c r="T82" s="198"/>
      <c r="U82" s="198"/>
    </row>
    <row r="83" spans="1:26" s="12" customFormat="1" x14ac:dyDescent="0.25">
      <c r="A83" s="214" t="s">
        <v>2337</v>
      </c>
      <c r="B83" s="64">
        <v>34.869999999999997</v>
      </c>
      <c r="C83" s="64">
        <v>13.34</v>
      </c>
      <c r="D83" s="64">
        <v>34.28</v>
      </c>
      <c r="E83" s="64">
        <v>7.01</v>
      </c>
      <c r="F83" s="64">
        <v>2.37</v>
      </c>
      <c r="G83" s="64">
        <v>43.97</v>
      </c>
      <c r="H83" s="64">
        <v>23.04</v>
      </c>
      <c r="I83" s="64">
        <v>0.1</v>
      </c>
      <c r="J83" s="64">
        <v>0.54</v>
      </c>
      <c r="K83" s="64">
        <v>86.71</v>
      </c>
      <c r="L83" s="64">
        <v>17.11</v>
      </c>
      <c r="M83" s="64">
        <v>69.58</v>
      </c>
      <c r="N83" s="64">
        <v>46.6</v>
      </c>
      <c r="O83" s="64">
        <v>0</v>
      </c>
      <c r="P83" s="64">
        <v>1.6</v>
      </c>
      <c r="Q83" s="64">
        <v>9.66</v>
      </c>
      <c r="R83" s="198"/>
      <c r="S83" s="198"/>
      <c r="T83" s="198"/>
      <c r="U83" s="198"/>
    </row>
    <row r="84" spans="1:26" s="12" customFormat="1" x14ac:dyDescent="0.25">
      <c r="A84" s="214" t="s">
        <v>2338</v>
      </c>
      <c r="B84" s="64">
        <v>37.659999999999997</v>
      </c>
      <c r="C84" s="64">
        <v>15.53</v>
      </c>
      <c r="D84" s="64">
        <v>37.659999999999997</v>
      </c>
      <c r="E84" s="64">
        <v>7.11</v>
      </c>
      <c r="F84" s="64">
        <v>2.38</v>
      </c>
      <c r="G84" s="64">
        <v>43.97</v>
      </c>
      <c r="H84" s="64">
        <v>23.04</v>
      </c>
      <c r="I84" s="64">
        <v>0.1</v>
      </c>
      <c r="J84" s="64">
        <v>0.8</v>
      </c>
      <c r="K84" s="64">
        <v>101.49</v>
      </c>
      <c r="L84" s="64">
        <v>17.18</v>
      </c>
      <c r="M84" s="64">
        <v>65.900000000000006</v>
      </c>
      <c r="N84" s="64">
        <v>46.5</v>
      </c>
      <c r="O84" s="64">
        <v>0</v>
      </c>
      <c r="P84" s="64">
        <v>1.71</v>
      </c>
      <c r="Q84" s="64">
        <v>9.66</v>
      </c>
      <c r="R84" s="198"/>
      <c r="S84" s="198"/>
      <c r="T84" s="198"/>
      <c r="U84" s="198"/>
    </row>
    <row r="85" spans="1:26" s="12" customFormat="1" x14ac:dyDescent="0.25">
      <c r="A85" s="214" t="s">
        <v>2339</v>
      </c>
      <c r="B85" s="64">
        <v>39.32</v>
      </c>
      <c r="C85" s="64">
        <v>12.8</v>
      </c>
      <c r="D85" s="64">
        <v>37.57</v>
      </c>
      <c r="E85" s="64">
        <v>6.35</v>
      </c>
      <c r="F85" s="64">
        <v>2.36</v>
      </c>
      <c r="G85" s="64">
        <v>43.97</v>
      </c>
      <c r="H85" s="64">
        <v>23.04</v>
      </c>
      <c r="I85" s="64">
        <v>0.1</v>
      </c>
      <c r="J85" s="64">
        <v>0.81</v>
      </c>
      <c r="K85" s="64">
        <v>101.43</v>
      </c>
      <c r="L85" s="64">
        <v>17.12</v>
      </c>
      <c r="M85" s="64">
        <v>69.290000000000006</v>
      </c>
      <c r="N85" s="64">
        <v>46.5</v>
      </c>
      <c r="O85" s="64">
        <v>0</v>
      </c>
      <c r="P85" s="64">
        <v>1.74</v>
      </c>
      <c r="Q85" s="64">
        <v>9.65</v>
      </c>
      <c r="R85" s="198"/>
      <c r="S85" s="198"/>
      <c r="T85" s="198"/>
      <c r="U85" s="198"/>
    </row>
    <row r="86" spans="1:26" s="12" customFormat="1" x14ac:dyDescent="0.25">
      <c r="A86" s="214" t="s">
        <v>2340</v>
      </c>
      <c r="B86" s="64">
        <v>41.16</v>
      </c>
      <c r="C86" s="64">
        <v>11.37</v>
      </c>
      <c r="D86" s="64">
        <v>38.29</v>
      </c>
      <c r="E86" s="64">
        <v>6.45</v>
      </c>
      <c r="F86" s="64">
        <v>2.48</v>
      </c>
      <c r="G86" s="64">
        <v>30.68</v>
      </c>
      <c r="H86" s="64">
        <v>23.87</v>
      </c>
      <c r="I86" s="64">
        <v>0.1</v>
      </c>
      <c r="J86" s="64">
        <v>0.72</v>
      </c>
      <c r="K86" s="64">
        <v>305.91000000000003</v>
      </c>
      <c r="L86" s="64">
        <v>16.79</v>
      </c>
      <c r="M86" s="64">
        <v>72.91</v>
      </c>
      <c r="N86" s="64">
        <v>46.4</v>
      </c>
      <c r="O86" s="64">
        <v>0</v>
      </c>
      <c r="P86" s="64">
        <v>1.87</v>
      </c>
      <c r="Q86" s="64">
        <v>9.65</v>
      </c>
      <c r="R86" s="198"/>
      <c r="S86" s="198"/>
      <c r="T86" s="198"/>
      <c r="U86" s="198"/>
    </row>
    <row r="87" spans="1:26" s="12" customFormat="1" x14ac:dyDescent="0.25">
      <c r="A87" s="214" t="s">
        <v>2341</v>
      </c>
      <c r="B87" s="64">
        <v>43.86</v>
      </c>
      <c r="C87" s="64">
        <v>9.69</v>
      </c>
      <c r="D87" s="64">
        <v>39.58</v>
      </c>
      <c r="E87" s="64">
        <v>6.28</v>
      </c>
      <c r="F87" s="64">
        <v>2.62</v>
      </c>
      <c r="G87" s="64">
        <v>57.52</v>
      </c>
      <c r="H87" s="64">
        <v>24.2</v>
      </c>
      <c r="I87" s="64">
        <v>0.1</v>
      </c>
      <c r="J87" s="64">
        <v>0.72</v>
      </c>
      <c r="K87" s="64">
        <v>336.8</v>
      </c>
      <c r="L87" s="64">
        <v>16.41</v>
      </c>
      <c r="M87" s="64">
        <v>75.86</v>
      </c>
      <c r="N87" s="64">
        <v>46.6</v>
      </c>
      <c r="O87" s="64">
        <v>0</v>
      </c>
      <c r="P87" s="64">
        <v>1.95</v>
      </c>
      <c r="Q87" s="64">
        <v>9.66</v>
      </c>
      <c r="R87" s="198"/>
      <c r="S87" s="198"/>
      <c r="T87" s="198"/>
      <c r="U87" s="198"/>
    </row>
    <row r="88" spans="1:26" s="12" customFormat="1" x14ac:dyDescent="0.25">
      <c r="A88" s="214" t="s">
        <v>2342</v>
      </c>
      <c r="B88" s="64">
        <v>50.02</v>
      </c>
      <c r="C88" s="64">
        <v>6.41</v>
      </c>
      <c r="D88" s="64">
        <v>42.8</v>
      </c>
      <c r="E88" s="64">
        <v>6.61</v>
      </c>
      <c r="F88" s="64">
        <v>2.38</v>
      </c>
      <c r="G88" s="64">
        <v>57.52</v>
      </c>
      <c r="H88" s="64">
        <v>24.2</v>
      </c>
      <c r="I88" s="64">
        <v>0.1</v>
      </c>
      <c r="J88" s="64">
        <v>0.69</v>
      </c>
      <c r="K88" s="64">
        <v>299.97000000000003</v>
      </c>
      <c r="L88" s="64">
        <v>16.02</v>
      </c>
      <c r="M88" s="64">
        <v>78.209999999999994</v>
      </c>
      <c r="N88" s="64">
        <v>46.7</v>
      </c>
      <c r="O88" s="64">
        <v>0</v>
      </c>
      <c r="P88" s="64">
        <v>2.11</v>
      </c>
      <c r="Q88" s="64">
        <v>9.66</v>
      </c>
      <c r="R88" s="198"/>
      <c r="S88" s="198"/>
      <c r="T88" s="198"/>
      <c r="U88" s="198"/>
    </row>
    <row r="89" spans="1:26" s="12" customFormat="1" x14ac:dyDescent="0.25">
      <c r="A89" s="214" t="s">
        <v>2343</v>
      </c>
      <c r="B89" s="64">
        <v>54.87</v>
      </c>
      <c r="C89" s="64">
        <v>3.83</v>
      </c>
      <c r="D89" s="64">
        <v>45.35</v>
      </c>
      <c r="E89" s="64">
        <v>6.12</v>
      </c>
      <c r="F89" s="64">
        <v>2.2999999999999998</v>
      </c>
      <c r="G89" s="64">
        <v>57.52</v>
      </c>
      <c r="H89" s="64">
        <v>24.2</v>
      </c>
      <c r="I89" s="64">
        <v>0.1</v>
      </c>
      <c r="J89" s="64">
        <v>0.76</v>
      </c>
      <c r="K89" s="64">
        <v>308.11</v>
      </c>
      <c r="L89" s="64">
        <v>16.07</v>
      </c>
      <c r="M89" s="64">
        <v>80.36</v>
      </c>
      <c r="N89" s="64">
        <v>46.6</v>
      </c>
      <c r="O89" s="64">
        <v>0</v>
      </c>
      <c r="P89" s="64">
        <v>2.21</v>
      </c>
      <c r="Q89" s="64">
        <v>9.66</v>
      </c>
      <c r="R89" s="198"/>
      <c r="S89" s="198"/>
      <c r="T89" s="198"/>
      <c r="U89" s="198"/>
    </row>
    <row r="90" spans="1:26" s="12" customFormat="1" x14ac:dyDescent="0.25">
      <c r="A90" s="214" t="s">
        <v>2344</v>
      </c>
      <c r="B90" s="64">
        <v>61.61</v>
      </c>
      <c r="C90" s="64">
        <v>0.55000000000000004</v>
      </c>
      <c r="D90" s="64">
        <v>48.8</v>
      </c>
      <c r="E90" s="64">
        <v>6.16</v>
      </c>
      <c r="F90" s="64">
        <v>2.2799999999999998</v>
      </c>
      <c r="G90" s="64">
        <v>30.77</v>
      </c>
      <c r="H90" s="64">
        <v>26.86</v>
      </c>
      <c r="I90" s="64">
        <v>0.1</v>
      </c>
      <c r="J90" s="64">
        <v>0.88</v>
      </c>
      <c r="K90" s="64">
        <v>358.8</v>
      </c>
      <c r="L90" s="64">
        <v>15.73</v>
      </c>
      <c r="M90" s="64">
        <v>86.56</v>
      </c>
      <c r="N90" s="64">
        <v>46.8</v>
      </c>
      <c r="O90" s="64">
        <v>0</v>
      </c>
      <c r="P90" s="64">
        <v>2.4</v>
      </c>
      <c r="Q90" s="64">
        <v>9.68</v>
      </c>
      <c r="R90" s="198"/>
      <c r="S90" s="198"/>
      <c r="T90" s="198"/>
      <c r="U90" s="198"/>
    </row>
    <row r="91" spans="1:26" s="12" customFormat="1" x14ac:dyDescent="0.25">
      <c r="A91" s="214" t="s">
        <v>2345</v>
      </c>
      <c r="B91" s="64">
        <v>68.209999999999994</v>
      </c>
      <c r="C91" s="64">
        <v>0.55000000000000004</v>
      </c>
      <c r="D91" s="64">
        <v>52.13</v>
      </c>
      <c r="E91" s="64">
        <v>6.28</v>
      </c>
      <c r="F91" s="64">
        <v>2.4300000000000002</v>
      </c>
      <c r="G91" s="64">
        <v>30.77</v>
      </c>
      <c r="H91" s="64">
        <v>28.87</v>
      </c>
      <c r="I91" s="64">
        <v>0.1</v>
      </c>
      <c r="J91" s="64">
        <v>0.81</v>
      </c>
      <c r="K91" s="64">
        <v>326.82</v>
      </c>
      <c r="L91" s="64">
        <v>15.49</v>
      </c>
      <c r="M91" s="64">
        <v>84.88</v>
      </c>
      <c r="N91" s="64">
        <v>46.6</v>
      </c>
      <c r="O91" s="64">
        <v>0</v>
      </c>
      <c r="P91" s="64">
        <v>2.57</v>
      </c>
      <c r="Q91" s="64">
        <v>9.69</v>
      </c>
      <c r="R91" s="198"/>
      <c r="S91" s="198"/>
      <c r="T91" s="198"/>
      <c r="U91" s="198"/>
    </row>
    <row r="92" spans="1:26" s="12" customFormat="1" x14ac:dyDescent="0.25">
      <c r="A92" s="214" t="s">
        <v>2346</v>
      </c>
      <c r="B92" s="64">
        <v>75.19</v>
      </c>
      <c r="C92" s="64">
        <v>0.55000000000000004</v>
      </c>
      <c r="D92" s="64">
        <v>55.84</v>
      </c>
      <c r="E92" s="64">
        <v>6.33</v>
      </c>
      <c r="F92" s="64">
        <v>2.54</v>
      </c>
      <c r="G92" s="64">
        <v>30.77</v>
      </c>
      <c r="H92" s="64">
        <v>28.87</v>
      </c>
      <c r="I92" s="64">
        <v>0.1</v>
      </c>
      <c r="J92" s="64">
        <v>0.8</v>
      </c>
      <c r="K92" s="64">
        <v>300.56</v>
      </c>
      <c r="L92" s="64">
        <v>15.5</v>
      </c>
      <c r="M92" s="64">
        <v>85.44</v>
      </c>
      <c r="N92" s="64">
        <v>46.5</v>
      </c>
      <c r="O92" s="64">
        <v>0</v>
      </c>
      <c r="P92" s="64">
        <v>2.69</v>
      </c>
      <c r="Q92" s="64">
        <v>9.69</v>
      </c>
      <c r="R92" s="198"/>
      <c r="S92" s="198"/>
      <c r="T92" s="198"/>
      <c r="U92" s="198"/>
    </row>
    <row r="93" spans="1:26" s="12" customFormat="1" x14ac:dyDescent="0.25">
      <c r="A93" s="214" t="s">
        <v>2347</v>
      </c>
      <c r="B93" s="64">
        <v>84.35</v>
      </c>
      <c r="C93" s="64">
        <v>0.55000000000000004</v>
      </c>
      <c r="D93" s="64">
        <v>60.27</v>
      </c>
      <c r="E93" s="64">
        <v>6.63</v>
      </c>
      <c r="F93" s="64">
        <v>2.42</v>
      </c>
      <c r="G93" s="64">
        <v>30.77</v>
      </c>
      <c r="H93" s="64">
        <v>28.87</v>
      </c>
      <c r="I93" s="64">
        <v>0.1</v>
      </c>
      <c r="J93" s="64">
        <v>0.83</v>
      </c>
      <c r="K93" s="64">
        <v>301.69</v>
      </c>
      <c r="L93" s="64">
        <v>15.32</v>
      </c>
      <c r="M93" s="64">
        <v>86.22</v>
      </c>
      <c r="N93" s="64">
        <v>46.6</v>
      </c>
      <c r="O93" s="64">
        <v>0</v>
      </c>
      <c r="P93" s="64">
        <v>2.86</v>
      </c>
      <c r="Q93" s="64">
        <v>9.6999999999999993</v>
      </c>
      <c r="R93" s="198"/>
      <c r="S93" s="198"/>
      <c r="T93" s="198"/>
      <c r="U93" s="198"/>
    </row>
    <row r="94" spans="1:26" s="12" customFormat="1" x14ac:dyDescent="0.25">
      <c r="A94" s="214" t="s">
        <v>2348</v>
      </c>
      <c r="B94" s="64">
        <v>92.02</v>
      </c>
      <c r="C94" s="64">
        <v>0.55000000000000004</v>
      </c>
      <c r="D94" s="64">
        <v>64.38</v>
      </c>
      <c r="E94" s="64">
        <v>6.47</v>
      </c>
      <c r="F94" s="64">
        <v>2.15</v>
      </c>
      <c r="G94" s="64">
        <v>110.84</v>
      </c>
      <c r="H94" s="64">
        <v>32.14</v>
      </c>
      <c r="I94" s="64">
        <v>0.1</v>
      </c>
      <c r="J94" s="64">
        <v>0.78</v>
      </c>
      <c r="K94" s="64">
        <v>326.17</v>
      </c>
      <c r="L94" s="64">
        <v>15.25</v>
      </c>
      <c r="M94" s="64">
        <v>88.21</v>
      </c>
      <c r="N94" s="64">
        <v>46.5</v>
      </c>
      <c r="O94" s="64">
        <v>0</v>
      </c>
      <c r="P94" s="64">
        <v>3.03</v>
      </c>
      <c r="Q94" s="64">
        <v>9.6999999999999993</v>
      </c>
      <c r="R94" s="198"/>
      <c r="S94" s="198"/>
      <c r="T94" s="198"/>
      <c r="U94" s="198"/>
    </row>
    <row r="95" spans="1:26" s="12" customFormat="1" x14ac:dyDescent="0.25">
      <c r="A95" s="214" t="s">
        <v>2349</v>
      </c>
      <c r="B95" s="64">
        <v>98.33</v>
      </c>
      <c r="C95" s="64">
        <v>0.55000000000000004</v>
      </c>
      <c r="D95" s="64">
        <v>67.56</v>
      </c>
      <c r="E95" s="64">
        <v>6.81</v>
      </c>
      <c r="F95" s="64">
        <v>2.2400000000000002</v>
      </c>
      <c r="G95" s="64">
        <v>189.23</v>
      </c>
      <c r="H95" s="64">
        <v>33.44</v>
      </c>
      <c r="I95" s="64">
        <v>0.1</v>
      </c>
      <c r="J95" s="64">
        <v>0.73</v>
      </c>
      <c r="K95" s="64">
        <v>309.38</v>
      </c>
      <c r="L95" s="64">
        <v>15.09</v>
      </c>
      <c r="M95" s="64">
        <v>89.77</v>
      </c>
      <c r="N95" s="64">
        <v>46.6</v>
      </c>
      <c r="O95" s="64">
        <v>0</v>
      </c>
      <c r="P95" s="64">
        <v>3.23</v>
      </c>
      <c r="Q95" s="64">
        <v>9.7100000000000009</v>
      </c>
      <c r="R95" s="198"/>
      <c r="S95" s="198"/>
      <c r="T95" s="198"/>
      <c r="U95" s="198"/>
    </row>
    <row r="96" spans="1:26" s="12" customFormat="1" x14ac:dyDescent="0.25">
      <c r="A96" s="214" t="s">
        <v>2350</v>
      </c>
      <c r="B96" s="64">
        <v>102.75</v>
      </c>
      <c r="C96" s="64">
        <v>0.55000000000000004</v>
      </c>
      <c r="D96" s="64">
        <v>70.03</v>
      </c>
      <c r="E96" s="64">
        <v>7.11</v>
      </c>
      <c r="F96" s="64">
        <v>2.58</v>
      </c>
      <c r="G96" s="64">
        <v>189.23</v>
      </c>
      <c r="H96" s="64">
        <v>33.44</v>
      </c>
      <c r="I96" s="64">
        <v>0.1</v>
      </c>
      <c r="J96" s="64">
        <v>0.82</v>
      </c>
      <c r="K96" s="64">
        <v>306.27</v>
      </c>
      <c r="L96" s="64">
        <v>14.95</v>
      </c>
      <c r="M96" s="64">
        <v>89.31</v>
      </c>
      <c r="N96" s="64">
        <v>46.7</v>
      </c>
      <c r="O96" s="64">
        <v>0</v>
      </c>
      <c r="P96" s="64">
        <v>3.35</v>
      </c>
      <c r="Q96" s="64">
        <v>9.73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2351</v>
      </c>
      <c r="B97" s="64">
        <v>104.88</v>
      </c>
      <c r="C97" s="64">
        <v>0.55000000000000004</v>
      </c>
      <c r="D97" s="64">
        <v>71.069999999999993</v>
      </c>
      <c r="E97" s="64">
        <v>7</v>
      </c>
      <c r="F97" s="64">
        <v>2.52</v>
      </c>
      <c r="G97" s="64">
        <v>189.23</v>
      </c>
      <c r="H97" s="64">
        <v>33.44</v>
      </c>
      <c r="I97" s="64">
        <v>0.1</v>
      </c>
      <c r="J97" s="64">
        <v>0.1</v>
      </c>
      <c r="K97" s="64">
        <v>185.45</v>
      </c>
      <c r="L97" s="64">
        <v>14.75</v>
      </c>
      <c r="M97" s="64">
        <v>89.15</v>
      </c>
      <c r="N97" s="64">
        <v>46.5</v>
      </c>
      <c r="O97" s="64">
        <v>0</v>
      </c>
      <c r="P97" s="64">
        <v>3.43</v>
      </c>
      <c r="Q97" s="64">
        <v>9.7200000000000006</v>
      </c>
      <c r="R97" s="198"/>
      <c r="S97" s="198"/>
      <c r="T97" s="198"/>
      <c r="U97" s="198"/>
    </row>
    <row r="98" spans="1:33" s="12" customFormat="1" x14ac:dyDescent="0.25">
      <c r="A98" s="214" t="s">
        <v>2352</v>
      </c>
      <c r="B98" s="64">
        <v>105.56</v>
      </c>
      <c r="C98" s="64">
        <v>0.55000000000000004</v>
      </c>
      <c r="D98" s="64">
        <v>71.239999999999995</v>
      </c>
      <c r="E98" s="64">
        <v>6.92</v>
      </c>
      <c r="F98" s="64">
        <v>2.4700000000000002</v>
      </c>
      <c r="G98" s="64">
        <v>935.13</v>
      </c>
      <c r="H98" s="64">
        <v>34.130000000000003</v>
      </c>
      <c r="I98" s="64">
        <v>0.1</v>
      </c>
      <c r="J98" s="64">
        <v>0.55000000000000004</v>
      </c>
      <c r="K98" s="64">
        <v>263.04000000000002</v>
      </c>
      <c r="L98" s="64">
        <v>14.68</v>
      </c>
      <c r="M98" s="64">
        <v>91.92</v>
      </c>
      <c r="N98" s="64">
        <v>46.5</v>
      </c>
      <c r="O98" s="64">
        <v>0</v>
      </c>
      <c r="P98" s="64">
        <v>3.49</v>
      </c>
      <c r="Q98" s="64">
        <v>9.73</v>
      </c>
      <c r="R98" s="198"/>
      <c r="S98" s="198"/>
      <c r="T98" s="198"/>
      <c r="U98" s="198"/>
    </row>
    <row r="99" spans="1:33" s="12" customFormat="1" x14ac:dyDescent="0.25">
      <c r="A99" s="214" t="s">
        <v>2353</v>
      </c>
      <c r="B99" s="64">
        <v>107.93</v>
      </c>
      <c r="C99" s="64">
        <v>0.55000000000000004</v>
      </c>
      <c r="D99" s="64">
        <v>72.36</v>
      </c>
      <c r="E99" s="64">
        <v>6.84</v>
      </c>
      <c r="F99" s="64">
        <v>2.67</v>
      </c>
      <c r="G99" s="64">
        <v>1587.8</v>
      </c>
      <c r="H99" s="64">
        <v>34.4</v>
      </c>
      <c r="I99" s="64">
        <v>0.1</v>
      </c>
      <c r="J99" s="64">
        <v>0.52</v>
      </c>
      <c r="K99" s="64">
        <v>329.53</v>
      </c>
      <c r="L99" s="64">
        <v>14.44</v>
      </c>
      <c r="M99" s="64">
        <v>93.76</v>
      </c>
      <c r="N99" s="64">
        <v>46.6</v>
      </c>
      <c r="O99" s="64">
        <v>0</v>
      </c>
      <c r="P99" s="64">
        <v>3.55</v>
      </c>
      <c r="Q99" s="64">
        <v>9.74</v>
      </c>
      <c r="R99" s="198"/>
      <c r="S99" s="198"/>
      <c r="T99" s="198"/>
      <c r="U99" s="198"/>
    </row>
    <row r="100" spans="1:33" s="12" customFormat="1" x14ac:dyDescent="0.25">
      <c r="A100" s="214" t="s">
        <v>2354</v>
      </c>
      <c r="B100" s="64">
        <v>112.17</v>
      </c>
      <c r="C100" s="64">
        <v>0.55000000000000004</v>
      </c>
      <c r="D100" s="64">
        <v>74.569999999999993</v>
      </c>
      <c r="E100" s="64">
        <v>7.22</v>
      </c>
      <c r="F100" s="64">
        <v>2.2799999999999998</v>
      </c>
      <c r="G100" s="64">
        <v>1587.8</v>
      </c>
      <c r="H100" s="64">
        <v>34.4</v>
      </c>
      <c r="I100" s="64">
        <v>0.1</v>
      </c>
      <c r="J100" s="64">
        <v>0.61</v>
      </c>
      <c r="K100" s="64">
        <v>348.14</v>
      </c>
      <c r="L100" s="64">
        <v>14.16</v>
      </c>
      <c r="M100" s="64">
        <v>96.33</v>
      </c>
      <c r="N100" s="64">
        <v>46.7</v>
      </c>
      <c r="O100" s="64">
        <v>0</v>
      </c>
      <c r="P100" s="64">
        <v>3.61</v>
      </c>
      <c r="Q100" s="64">
        <v>9.74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2355</v>
      </c>
      <c r="B101" s="64">
        <v>115.61</v>
      </c>
      <c r="C101" s="64">
        <v>0.55000000000000004</v>
      </c>
      <c r="D101" s="64">
        <v>76.36</v>
      </c>
      <c r="E101" s="64">
        <v>7.13</v>
      </c>
      <c r="F101" s="64">
        <v>2.4700000000000002</v>
      </c>
      <c r="G101" s="64">
        <v>1587.8</v>
      </c>
      <c r="H101" s="64">
        <v>34.4</v>
      </c>
      <c r="I101" s="64">
        <v>0.1</v>
      </c>
      <c r="J101" s="64">
        <v>0.44</v>
      </c>
      <c r="K101" s="64">
        <v>227.89</v>
      </c>
      <c r="L101" s="64">
        <v>14.17</v>
      </c>
      <c r="M101" s="64">
        <v>96.72</v>
      </c>
      <c r="N101" s="64">
        <v>46.4</v>
      </c>
      <c r="O101" s="64">
        <v>0</v>
      </c>
      <c r="P101" s="64">
        <v>3.64</v>
      </c>
      <c r="Q101" s="64">
        <v>9.74</v>
      </c>
      <c r="R101" s="198"/>
      <c r="S101" s="198"/>
      <c r="T101" s="198"/>
      <c r="U101" s="198"/>
    </row>
    <row r="102" spans="1:33" s="12" customFormat="1" x14ac:dyDescent="0.25">
      <c r="A102" s="214" t="s">
        <v>2356</v>
      </c>
      <c r="B102" s="64">
        <v>117.4</v>
      </c>
      <c r="C102" s="64">
        <v>0.55000000000000004</v>
      </c>
      <c r="D102" s="64">
        <v>77.010000000000005</v>
      </c>
      <c r="E102" s="64">
        <v>7.29</v>
      </c>
      <c r="F102" s="64">
        <v>2.3199999999999998</v>
      </c>
      <c r="G102" s="64">
        <v>793.29</v>
      </c>
      <c r="H102" s="64">
        <v>34.479999999999997</v>
      </c>
      <c r="I102" s="64">
        <v>0.1</v>
      </c>
      <c r="J102" s="64">
        <v>0.47</v>
      </c>
      <c r="K102" s="64">
        <v>308.39999999999998</v>
      </c>
      <c r="L102" s="64">
        <v>14.18</v>
      </c>
      <c r="M102" s="64">
        <v>96.63</v>
      </c>
      <c r="N102" s="64">
        <v>46.6</v>
      </c>
      <c r="O102" s="64">
        <v>0</v>
      </c>
      <c r="P102" s="64">
        <v>3.64</v>
      </c>
      <c r="Q102" s="64">
        <v>9.74</v>
      </c>
      <c r="R102" s="198"/>
      <c r="S102" s="198"/>
      <c r="T102" s="198"/>
      <c r="U102" s="198"/>
    </row>
    <row r="103" spans="1:33" s="12" customFormat="1" x14ac:dyDescent="0.25">
      <c r="A103" s="214" t="s">
        <v>2357</v>
      </c>
      <c r="B103" s="64">
        <v>118.99</v>
      </c>
      <c r="C103" s="64">
        <v>0.55000000000000004</v>
      </c>
      <c r="D103" s="64">
        <v>77.66</v>
      </c>
      <c r="E103" s="64">
        <v>6.96</v>
      </c>
      <c r="F103" s="64">
        <v>2.57</v>
      </c>
      <c r="G103" s="64">
        <v>98.1</v>
      </c>
      <c r="H103" s="64">
        <v>34.520000000000003</v>
      </c>
      <c r="I103" s="64">
        <v>0.1</v>
      </c>
      <c r="J103" s="64">
        <v>0.68</v>
      </c>
      <c r="K103" s="64">
        <v>2.4900000000000002</v>
      </c>
      <c r="L103" s="64">
        <v>13.99</v>
      </c>
      <c r="M103" s="64">
        <v>97.86</v>
      </c>
      <c r="N103" s="64">
        <v>46.7</v>
      </c>
      <c r="O103" s="64">
        <v>0</v>
      </c>
      <c r="P103" s="64">
        <v>3.66</v>
      </c>
      <c r="Q103" s="64">
        <v>9.74</v>
      </c>
      <c r="R103" s="198"/>
      <c r="S103" s="198"/>
      <c r="T103" s="198"/>
      <c r="U103" s="198"/>
    </row>
    <row r="104" spans="1:33" s="12" customFormat="1" x14ac:dyDescent="0.25">
      <c r="A104" s="214" t="s">
        <v>2358</v>
      </c>
      <c r="B104" s="64">
        <v>120.99</v>
      </c>
      <c r="C104" s="64">
        <v>0.55000000000000004</v>
      </c>
      <c r="D104" s="64">
        <v>78.56</v>
      </c>
      <c r="E104" s="64">
        <v>5.79</v>
      </c>
      <c r="F104" s="64">
        <v>2.58</v>
      </c>
      <c r="G104" s="64">
        <v>98.1</v>
      </c>
      <c r="H104" s="64">
        <v>34.520000000000003</v>
      </c>
      <c r="I104" s="64">
        <v>0.1</v>
      </c>
      <c r="J104" s="64">
        <v>0.52</v>
      </c>
      <c r="K104" s="64">
        <v>209.51</v>
      </c>
      <c r="L104" s="64">
        <v>13.71</v>
      </c>
      <c r="M104" s="64">
        <v>97.92</v>
      </c>
      <c r="N104" s="64">
        <v>46.5</v>
      </c>
      <c r="O104" s="64">
        <v>0</v>
      </c>
      <c r="P104" s="64">
        <v>3.68</v>
      </c>
      <c r="Q104" s="64">
        <v>9.75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10.27</v>
      </c>
      <c r="C106" s="67">
        <f>MIN(C9:C104)</f>
        <v>0.34</v>
      </c>
      <c r="D106" s="67">
        <f t="shared" ref="D106:Q106" si="0">MIN(D9:D104)</f>
        <v>22.3</v>
      </c>
      <c r="E106" s="67">
        <f t="shared" si="0"/>
        <v>3.84</v>
      </c>
      <c r="F106" s="67">
        <f t="shared" si="0"/>
        <v>2.13</v>
      </c>
      <c r="G106" s="67">
        <f t="shared" si="0"/>
        <v>5.95</v>
      </c>
      <c r="H106" s="67">
        <f t="shared" si="0"/>
        <v>13.21</v>
      </c>
      <c r="I106" s="67">
        <f t="shared" si="0"/>
        <v>0.1</v>
      </c>
      <c r="J106" s="67">
        <f t="shared" si="0"/>
        <v>0.08</v>
      </c>
      <c r="K106" s="67">
        <f t="shared" si="0"/>
        <v>2.4900000000000002</v>
      </c>
      <c r="L106" s="67">
        <f t="shared" si="0"/>
        <v>11.65</v>
      </c>
      <c r="M106" s="67">
        <f t="shared" si="0"/>
        <v>26.21</v>
      </c>
      <c r="N106" s="67">
        <f t="shared" si="0"/>
        <v>45.4</v>
      </c>
      <c r="O106" s="67">
        <f t="shared" si="0"/>
        <v>0</v>
      </c>
      <c r="P106" s="67">
        <f t="shared" si="0"/>
        <v>0.97</v>
      </c>
      <c r="Q106" s="67">
        <f t="shared" si="0"/>
        <v>9.6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131.36000000000001</v>
      </c>
      <c r="C107" s="66">
        <f t="shared" ref="C107:Q107" si="1">MAX(C9:C104)</f>
        <v>34.950000000000003</v>
      </c>
      <c r="D107" s="66">
        <f t="shared" si="1"/>
        <v>82.66</v>
      </c>
      <c r="E107" s="66">
        <f t="shared" si="1"/>
        <v>40.85</v>
      </c>
      <c r="F107" s="66">
        <f t="shared" si="1"/>
        <v>9.1300000000000008</v>
      </c>
      <c r="G107" s="66">
        <f t="shared" si="1"/>
        <v>1587.8</v>
      </c>
      <c r="H107" s="66">
        <f t="shared" si="1"/>
        <v>44.56</v>
      </c>
      <c r="I107" s="66">
        <f t="shared" si="1"/>
        <v>0.1</v>
      </c>
      <c r="J107" s="66">
        <f t="shared" si="1"/>
        <v>2.09</v>
      </c>
      <c r="K107" s="66">
        <f t="shared" si="1"/>
        <v>359.31</v>
      </c>
      <c r="L107" s="66">
        <f t="shared" si="1"/>
        <v>26.58</v>
      </c>
      <c r="M107" s="66">
        <f t="shared" si="1"/>
        <v>97.97</v>
      </c>
      <c r="N107" s="66">
        <f t="shared" si="1"/>
        <v>478.1</v>
      </c>
      <c r="O107" s="66">
        <f t="shared" si="1"/>
        <v>0</v>
      </c>
      <c r="P107" s="66">
        <f t="shared" si="1"/>
        <v>3.68</v>
      </c>
      <c r="Q107" s="66">
        <f t="shared" si="1"/>
        <v>9.77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60.251770833333303</v>
      </c>
      <c r="C108" s="67">
        <f t="shared" ref="C108:Q108" si="2">AVERAGE(C9:C104)</f>
        <v>13.16063492063491</v>
      </c>
      <c r="D108" s="67">
        <f t="shared" si="2"/>
        <v>46.615625000000016</v>
      </c>
      <c r="E108" s="67">
        <f t="shared" si="2"/>
        <v>8.2990624999999998</v>
      </c>
      <c r="F108" s="67">
        <f t="shared" si="2"/>
        <v>3.0865624999999999</v>
      </c>
      <c r="G108" s="67">
        <f t="shared" si="2"/>
        <v>135.22119565217395</v>
      </c>
      <c r="H108" s="67">
        <f t="shared" si="2"/>
        <v>26.339347826086943</v>
      </c>
      <c r="I108" s="67">
        <f t="shared" si="2"/>
        <v>9.9999999999999811E-2</v>
      </c>
      <c r="J108" s="67">
        <f t="shared" si="2"/>
        <v>0.71958333333333302</v>
      </c>
      <c r="K108" s="67">
        <f t="shared" si="2"/>
        <v>224.49020833333327</v>
      </c>
      <c r="L108" s="67">
        <f t="shared" si="2"/>
        <v>17.473750000000006</v>
      </c>
      <c r="M108" s="67">
        <f t="shared" si="2"/>
        <v>67.788333333333355</v>
      </c>
      <c r="N108" s="67">
        <f t="shared" si="2"/>
        <v>137.70833333333337</v>
      </c>
      <c r="O108" s="67">
        <f t="shared" si="2"/>
        <v>0</v>
      </c>
      <c r="P108" s="67">
        <f t="shared" si="2"/>
        <v>2.0646875000000002</v>
      </c>
      <c r="Q108" s="67">
        <f t="shared" si="2"/>
        <v>9.674687500000001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35.843188973339309</v>
      </c>
      <c r="C109" s="67">
        <f t="shared" ref="C109:Q109" si="3">STDEV(C9:C104)</f>
        <v>10.976967804044049</v>
      </c>
      <c r="D109" s="67">
        <f t="shared" si="3"/>
        <v>17.56153822614694</v>
      </c>
      <c r="E109" s="67">
        <f t="shared" si="3"/>
        <v>6.8632665351780373</v>
      </c>
      <c r="F109" s="67">
        <f t="shared" si="3"/>
        <v>1.4156894010563037</v>
      </c>
      <c r="G109" s="67">
        <f t="shared" si="3"/>
        <v>295.32034321045222</v>
      </c>
      <c r="H109" s="67">
        <f t="shared" si="3"/>
        <v>9.2980224536197955</v>
      </c>
      <c r="I109" s="67">
        <f t="shared" si="3"/>
        <v>1.9530892623466312E-16</v>
      </c>
      <c r="J109" s="67">
        <f t="shared" si="3"/>
        <v>0.35132206446856845</v>
      </c>
      <c r="K109" s="67">
        <f t="shared" si="3"/>
        <v>110.45371546946166</v>
      </c>
      <c r="L109" s="67">
        <f t="shared" si="3"/>
        <v>4.8479063848004866</v>
      </c>
      <c r="M109" s="67">
        <f t="shared" si="3"/>
        <v>26.065170738248174</v>
      </c>
      <c r="N109" s="67">
        <f t="shared" si="3"/>
        <v>146.73140206130788</v>
      </c>
      <c r="O109" s="67">
        <f t="shared" si="3"/>
        <v>0</v>
      </c>
      <c r="P109" s="67">
        <f t="shared" si="3"/>
        <v>0.82682519392903531</v>
      </c>
      <c r="Q109" s="67">
        <f t="shared" si="3"/>
        <v>4.3430601023508271E-2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>COUNT(C9:C104)+33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2359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2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9" sqref="C9:C4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2360</v>
      </c>
      <c r="B9" s="64">
        <v>119.68</v>
      </c>
      <c r="C9" s="64">
        <v>11.38</v>
      </c>
      <c r="D9" s="64">
        <v>77.7</v>
      </c>
      <c r="E9" s="64">
        <v>6.17</v>
      </c>
      <c r="F9" s="64">
        <v>2.52</v>
      </c>
      <c r="G9" s="64">
        <v>98.1</v>
      </c>
      <c r="H9" s="64">
        <v>34.520000000000003</v>
      </c>
      <c r="I9" s="64">
        <v>0.1</v>
      </c>
      <c r="J9" s="64">
        <v>0.67</v>
      </c>
      <c r="K9" s="64">
        <v>228.06</v>
      </c>
      <c r="L9" s="64">
        <v>13.74</v>
      </c>
      <c r="M9" s="64">
        <v>97.93</v>
      </c>
      <c r="N9" s="64">
        <v>46.6</v>
      </c>
      <c r="O9" s="64">
        <v>0</v>
      </c>
      <c r="P9" s="64">
        <v>3.64</v>
      </c>
      <c r="Q9" s="64">
        <v>9.76</v>
      </c>
      <c r="S9" s="198"/>
      <c r="T9" s="198"/>
      <c r="U9" s="198"/>
    </row>
    <row r="10" spans="1:21" s="12" customFormat="1" x14ac:dyDescent="0.25">
      <c r="A10" s="214" t="s">
        <v>2361</v>
      </c>
      <c r="B10" s="64">
        <v>116.18</v>
      </c>
      <c r="C10" s="64">
        <v>11.75</v>
      </c>
      <c r="D10" s="64">
        <v>75.650000000000006</v>
      </c>
      <c r="E10" s="64">
        <v>6.44</v>
      </c>
      <c r="F10" s="64">
        <v>2.37</v>
      </c>
      <c r="G10" s="64">
        <v>90.16</v>
      </c>
      <c r="H10" s="64">
        <v>33.520000000000003</v>
      </c>
      <c r="I10" s="64">
        <v>0.1</v>
      </c>
      <c r="J10" s="64">
        <v>0.28000000000000003</v>
      </c>
      <c r="K10" s="64">
        <v>349.67</v>
      </c>
      <c r="L10" s="64">
        <v>13.55</v>
      </c>
      <c r="M10" s="64">
        <v>97.94</v>
      </c>
      <c r="N10" s="64">
        <v>46.6</v>
      </c>
      <c r="O10" s="64">
        <v>0</v>
      </c>
      <c r="P10" s="64">
        <v>3.6</v>
      </c>
      <c r="Q10" s="64">
        <v>9.75</v>
      </c>
      <c r="S10" s="198"/>
      <c r="T10" s="198"/>
      <c r="U10" s="198"/>
    </row>
    <row r="11" spans="1:21" s="12" customFormat="1" x14ac:dyDescent="0.25">
      <c r="A11" s="214" t="s">
        <v>2362</v>
      </c>
      <c r="B11" s="64">
        <v>112.85</v>
      </c>
      <c r="C11" s="64">
        <v>11.87</v>
      </c>
      <c r="D11" s="64">
        <v>73.78</v>
      </c>
      <c r="E11" s="64">
        <v>6.13</v>
      </c>
      <c r="F11" s="64">
        <v>2.21</v>
      </c>
      <c r="G11" s="64">
        <v>83.21</v>
      </c>
      <c r="H11" s="64">
        <v>32.79</v>
      </c>
      <c r="I11" s="64">
        <v>0.1</v>
      </c>
      <c r="J11" s="64">
        <v>0.27</v>
      </c>
      <c r="K11" s="64">
        <v>348.31</v>
      </c>
      <c r="L11" s="64">
        <v>13.35</v>
      </c>
      <c r="M11" s="64">
        <v>97.95</v>
      </c>
      <c r="N11" s="64">
        <v>46.5</v>
      </c>
      <c r="O11" s="64">
        <v>0</v>
      </c>
      <c r="P11" s="64">
        <v>3.57</v>
      </c>
      <c r="Q11" s="64">
        <v>9.73</v>
      </c>
      <c r="S11" s="198"/>
      <c r="T11" s="198"/>
      <c r="U11" s="198"/>
    </row>
    <row r="12" spans="1:21" s="12" customFormat="1" x14ac:dyDescent="0.25">
      <c r="A12" s="214" t="s">
        <v>2363</v>
      </c>
      <c r="B12" s="64">
        <v>109.45</v>
      </c>
      <c r="C12" s="64">
        <v>12.33</v>
      </c>
      <c r="D12" s="64">
        <v>71.91</v>
      </c>
      <c r="E12" s="64">
        <v>6</v>
      </c>
      <c r="F12" s="64">
        <v>2.29</v>
      </c>
      <c r="G12" s="64">
        <v>83.21</v>
      </c>
      <c r="H12" s="64">
        <v>32.79</v>
      </c>
      <c r="I12" s="64">
        <v>0.1</v>
      </c>
      <c r="J12" s="64">
        <v>0.74</v>
      </c>
      <c r="K12" s="64">
        <v>309.7</v>
      </c>
      <c r="L12" s="64">
        <v>13.28</v>
      </c>
      <c r="M12" s="64">
        <v>97.91</v>
      </c>
      <c r="N12" s="64">
        <v>46.6</v>
      </c>
      <c r="O12" s="64">
        <v>0</v>
      </c>
      <c r="P12" s="64">
        <v>3.52</v>
      </c>
      <c r="Q12" s="64">
        <v>9.7200000000000006</v>
      </c>
      <c r="S12" s="198"/>
      <c r="T12" s="198"/>
      <c r="U12" s="198"/>
    </row>
    <row r="13" spans="1:21" s="12" customFormat="1" x14ac:dyDescent="0.25">
      <c r="A13" s="214" t="s">
        <v>2364</v>
      </c>
      <c r="B13" s="64">
        <v>105.44</v>
      </c>
      <c r="C13" s="64">
        <v>13.06</v>
      </c>
      <c r="D13" s="64">
        <v>69.819999999999993</v>
      </c>
      <c r="E13" s="64">
        <v>5.96</v>
      </c>
      <c r="F13" s="64">
        <v>2.2999999999999998</v>
      </c>
      <c r="G13" s="64">
        <v>83.21</v>
      </c>
      <c r="H13" s="64">
        <v>32.79</v>
      </c>
      <c r="I13" s="64">
        <v>0.1</v>
      </c>
      <c r="J13" s="64">
        <v>0.81</v>
      </c>
      <c r="K13" s="64">
        <v>274.67</v>
      </c>
      <c r="L13" s="64">
        <v>13.28</v>
      </c>
      <c r="M13" s="64">
        <v>97.9</v>
      </c>
      <c r="N13" s="64">
        <v>46.6</v>
      </c>
      <c r="O13" s="64">
        <v>0</v>
      </c>
      <c r="P13" s="64">
        <v>3</v>
      </c>
      <c r="Q13" s="64">
        <v>9.7200000000000006</v>
      </c>
      <c r="S13" s="198"/>
      <c r="T13" s="198"/>
      <c r="U13" s="198"/>
    </row>
    <row r="14" spans="1:21" s="12" customFormat="1" x14ac:dyDescent="0.25">
      <c r="A14" s="214" t="s">
        <v>2365</v>
      </c>
      <c r="B14" s="64">
        <v>101.01</v>
      </c>
      <c r="C14" s="64">
        <v>13.84</v>
      </c>
      <c r="D14" s="64">
        <v>67.180000000000007</v>
      </c>
      <c r="E14" s="64">
        <v>5.91</v>
      </c>
      <c r="F14" s="64">
        <v>2.33</v>
      </c>
      <c r="G14" s="64">
        <v>79.099999999999994</v>
      </c>
      <c r="H14" s="64">
        <v>31.19</v>
      </c>
      <c r="I14" s="64">
        <v>0.1</v>
      </c>
      <c r="J14" s="64">
        <v>0.64</v>
      </c>
      <c r="K14" s="64">
        <v>283.95</v>
      </c>
      <c r="L14" s="64">
        <v>13.24</v>
      </c>
      <c r="M14" s="64">
        <v>97.91</v>
      </c>
      <c r="N14" s="64">
        <v>46.6</v>
      </c>
      <c r="O14" s="64">
        <v>0</v>
      </c>
      <c r="P14" s="64">
        <v>3.09</v>
      </c>
      <c r="Q14" s="64">
        <v>9.6999999999999993</v>
      </c>
      <c r="S14" s="198"/>
      <c r="T14" s="198"/>
      <c r="U14" s="198"/>
    </row>
    <row r="15" spans="1:21" s="12" customFormat="1" x14ac:dyDescent="0.25">
      <c r="A15" s="214" t="s">
        <v>2366</v>
      </c>
      <c r="B15" s="64">
        <v>96.15</v>
      </c>
      <c r="C15" s="64">
        <v>14.51</v>
      </c>
      <c r="D15" s="64">
        <v>64.48</v>
      </c>
      <c r="E15" s="64">
        <v>5.55</v>
      </c>
      <c r="F15" s="64">
        <v>2.2799999999999998</v>
      </c>
      <c r="G15" s="64">
        <v>75.510000000000005</v>
      </c>
      <c r="H15" s="64">
        <v>30.55</v>
      </c>
      <c r="I15" s="64">
        <v>0.1</v>
      </c>
      <c r="J15" s="64">
        <v>0.31</v>
      </c>
      <c r="K15" s="64">
        <v>206.63</v>
      </c>
      <c r="L15" s="64">
        <v>13.02</v>
      </c>
      <c r="M15" s="64">
        <v>97.92</v>
      </c>
      <c r="N15" s="64">
        <v>46.5</v>
      </c>
      <c r="O15" s="64">
        <v>0</v>
      </c>
      <c r="P15" s="64">
        <v>3.07</v>
      </c>
      <c r="Q15" s="64">
        <v>9.7100000000000009</v>
      </c>
      <c r="S15" s="198"/>
      <c r="T15" s="198"/>
      <c r="U15" s="198"/>
    </row>
    <row r="16" spans="1:21" s="12" customFormat="1" x14ac:dyDescent="0.25">
      <c r="A16" s="214" t="s">
        <v>2367</v>
      </c>
      <c r="B16" s="64">
        <v>91.31</v>
      </c>
      <c r="C16" s="64">
        <v>15.17</v>
      </c>
      <c r="D16" s="64">
        <v>62.16</v>
      </c>
      <c r="E16" s="64">
        <v>6.07</v>
      </c>
      <c r="F16" s="64">
        <v>2.21</v>
      </c>
      <c r="G16" s="64">
        <v>75.510000000000005</v>
      </c>
      <c r="H16" s="64">
        <v>30.55</v>
      </c>
      <c r="I16" s="64">
        <v>0.1</v>
      </c>
      <c r="J16" s="64">
        <v>0.61</v>
      </c>
      <c r="K16" s="64">
        <v>316.88</v>
      </c>
      <c r="L16" s="64">
        <v>12.95</v>
      </c>
      <c r="M16" s="64">
        <v>97.94</v>
      </c>
      <c r="N16" s="64">
        <v>46.6</v>
      </c>
      <c r="O16" s="64">
        <v>0</v>
      </c>
      <c r="P16" s="64">
        <v>3.03</v>
      </c>
      <c r="Q16" s="64">
        <v>9.7100000000000009</v>
      </c>
      <c r="S16" s="198"/>
      <c r="T16" s="198"/>
      <c r="U16" s="198"/>
    </row>
    <row r="17" spans="1:21" s="12" customFormat="1" x14ac:dyDescent="0.25">
      <c r="A17" s="214" t="s">
        <v>2368</v>
      </c>
      <c r="B17" s="64">
        <v>87.1</v>
      </c>
      <c r="C17" s="64">
        <v>15.74</v>
      </c>
      <c r="D17" s="64">
        <v>60</v>
      </c>
      <c r="E17" s="64">
        <v>5.59</v>
      </c>
      <c r="F17" s="64">
        <v>2.39</v>
      </c>
      <c r="G17" s="64">
        <v>75.510000000000005</v>
      </c>
      <c r="H17" s="64">
        <v>30.55</v>
      </c>
      <c r="I17" s="64">
        <v>0.1</v>
      </c>
      <c r="J17" s="64">
        <v>0.56999999999999995</v>
      </c>
      <c r="K17" s="64">
        <v>277.33</v>
      </c>
      <c r="L17" s="64">
        <v>12.82</v>
      </c>
      <c r="M17" s="64">
        <v>97.95</v>
      </c>
      <c r="N17" s="64">
        <v>46.5</v>
      </c>
      <c r="O17" s="64">
        <v>0</v>
      </c>
      <c r="P17" s="64">
        <v>2.97</v>
      </c>
      <c r="Q17" s="64">
        <v>9.7100000000000009</v>
      </c>
      <c r="S17" s="198"/>
      <c r="T17" s="198"/>
      <c r="U17" s="198"/>
    </row>
    <row r="18" spans="1:21" s="12" customFormat="1" x14ac:dyDescent="0.25">
      <c r="A18" s="214" t="s">
        <v>2369</v>
      </c>
      <c r="B18" s="64">
        <v>82.93</v>
      </c>
      <c r="C18" s="64">
        <v>16.39</v>
      </c>
      <c r="D18" s="64">
        <v>57.68</v>
      </c>
      <c r="E18" s="64">
        <v>5.92</v>
      </c>
      <c r="F18" s="64">
        <v>2.57</v>
      </c>
      <c r="G18" s="64">
        <v>66.3</v>
      </c>
      <c r="H18" s="64">
        <v>29.19</v>
      </c>
      <c r="I18" s="64">
        <v>0.1</v>
      </c>
      <c r="J18" s="64">
        <v>0.75</v>
      </c>
      <c r="K18" s="64">
        <v>308.01</v>
      </c>
      <c r="L18" s="64">
        <v>12.63</v>
      </c>
      <c r="M18" s="64">
        <v>97.95</v>
      </c>
      <c r="N18" s="64">
        <v>46.7</v>
      </c>
      <c r="O18" s="64">
        <v>0</v>
      </c>
      <c r="P18" s="64">
        <v>2.91</v>
      </c>
      <c r="Q18" s="64">
        <v>9.7100000000000009</v>
      </c>
      <c r="S18" s="198"/>
      <c r="T18" s="198"/>
      <c r="U18" s="198"/>
    </row>
    <row r="19" spans="1:21" s="12" customFormat="1" x14ac:dyDescent="0.25">
      <c r="A19" s="214" t="s">
        <v>2370</v>
      </c>
      <c r="B19" s="64">
        <v>78.94</v>
      </c>
      <c r="C19" s="64">
        <v>16.899999999999999</v>
      </c>
      <c r="D19" s="64">
        <v>55.55</v>
      </c>
      <c r="E19" s="64">
        <v>5.75</v>
      </c>
      <c r="F19" s="64">
        <v>2.2599999999999998</v>
      </c>
      <c r="G19" s="64">
        <v>58.24</v>
      </c>
      <c r="H19" s="64">
        <v>28.65</v>
      </c>
      <c r="I19" s="64">
        <v>0.1</v>
      </c>
      <c r="J19" s="64">
        <v>0.8</v>
      </c>
      <c r="K19" s="64">
        <v>249.51</v>
      </c>
      <c r="L19" s="64">
        <v>12.51</v>
      </c>
      <c r="M19" s="64">
        <v>97.95</v>
      </c>
      <c r="N19" s="64">
        <v>46.4</v>
      </c>
      <c r="O19" s="64">
        <v>0</v>
      </c>
      <c r="P19" s="64">
        <v>2.83</v>
      </c>
      <c r="Q19" s="64">
        <v>9.7100000000000009</v>
      </c>
      <c r="S19" s="198"/>
      <c r="T19" s="198"/>
      <c r="U19" s="198"/>
    </row>
    <row r="20" spans="1:21" s="12" customFormat="1" x14ac:dyDescent="0.25">
      <c r="A20" s="214" t="s">
        <v>2371</v>
      </c>
      <c r="B20" s="64">
        <v>75.44</v>
      </c>
      <c r="C20" s="64">
        <v>17.04</v>
      </c>
      <c r="D20" s="64">
        <v>53.68</v>
      </c>
      <c r="E20" s="64">
        <v>5.6</v>
      </c>
      <c r="F20" s="64">
        <v>2.42</v>
      </c>
      <c r="G20" s="64">
        <v>58.24</v>
      </c>
      <c r="H20" s="64">
        <v>28.65</v>
      </c>
      <c r="I20" s="64">
        <v>0.1</v>
      </c>
      <c r="J20" s="64">
        <v>0.78</v>
      </c>
      <c r="K20" s="64">
        <v>291.16000000000003</v>
      </c>
      <c r="L20" s="64">
        <v>12.4</v>
      </c>
      <c r="M20" s="64">
        <v>97.96</v>
      </c>
      <c r="N20" s="64">
        <v>46.7</v>
      </c>
      <c r="O20" s="64">
        <v>0</v>
      </c>
      <c r="P20" s="64">
        <v>2.78</v>
      </c>
      <c r="Q20" s="64">
        <v>9.6999999999999993</v>
      </c>
      <c r="S20" s="198"/>
      <c r="T20" s="198"/>
      <c r="U20" s="198"/>
    </row>
    <row r="21" spans="1:21" s="12" customFormat="1" x14ac:dyDescent="0.25">
      <c r="A21" s="214" t="s">
        <v>2372</v>
      </c>
      <c r="B21" s="64">
        <v>72.63</v>
      </c>
      <c r="C21" s="64">
        <v>17.670000000000002</v>
      </c>
      <c r="D21" s="64">
        <v>52.15</v>
      </c>
      <c r="E21" s="64">
        <v>5.65</v>
      </c>
      <c r="F21" s="64">
        <v>2.62</v>
      </c>
      <c r="G21" s="64">
        <v>58.24</v>
      </c>
      <c r="H21" s="64">
        <v>28.65</v>
      </c>
      <c r="I21" s="64">
        <v>0.1</v>
      </c>
      <c r="J21" s="64">
        <v>0.82</v>
      </c>
      <c r="K21" s="64">
        <v>278.8</v>
      </c>
      <c r="L21" s="64">
        <v>12.19</v>
      </c>
      <c r="M21" s="64">
        <v>97.98</v>
      </c>
      <c r="N21" s="64">
        <v>46.6</v>
      </c>
      <c r="O21" s="64">
        <v>0</v>
      </c>
      <c r="P21" s="64">
        <v>2.71</v>
      </c>
      <c r="Q21" s="64">
        <v>9.69</v>
      </c>
      <c r="S21" s="198"/>
      <c r="T21" s="198"/>
      <c r="U21" s="198"/>
    </row>
    <row r="22" spans="1:21" s="12" customFormat="1" x14ac:dyDescent="0.25">
      <c r="A22" s="214" t="s">
        <v>2373</v>
      </c>
      <c r="B22" s="64">
        <v>69.930000000000007</v>
      </c>
      <c r="C22" s="64">
        <v>18.29</v>
      </c>
      <c r="D22" s="64">
        <v>50.63</v>
      </c>
      <c r="E22" s="64">
        <v>5.51</v>
      </c>
      <c r="F22" s="64">
        <v>2.7</v>
      </c>
      <c r="G22" s="64">
        <v>75.239999999999995</v>
      </c>
      <c r="H22" s="64">
        <v>30.2</v>
      </c>
      <c r="I22" s="64">
        <v>0.1</v>
      </c>
      <c r="J22" s="64">
        <v>0.85</v>
      </c>
      <c r="K22" s="64">
        <v>275.95999999999998</v>
      </c>
      <c r="L22" s="64">
        <v>12</v>
      </c>
      <c r="M22" s="64">
        <v>97.99</v>
      </c>
      <c r="N22" s="64">
        <v>46.6</v>
      </c>
      <c r="O22" s="64">
        <v>0</v>
      </c>
      <c r="P22" s="64">
        <v>2.62</v>
      </c>
      <c r="Q22" s="64">
        <v>9.68</v>
      </c>
      <c r="S22" s="198"/>
      <c r="T22" s="198"/>
      <c r="U22" s="198"/>
    </row>
    <row r="23" spans="1:21" s="12" customFormat="1" x14ac:dyDescent="0.25">
      <c r="A23" s="214" t="s">
        <v>2374</v>
      </c>
      <c r="B23" s="64">
        <v>67.31</v>
      </c>
      <c r="C23" s="64">
        <v>18.63</v>
      </c>
      <c r="D23" s="64">
        <v>48.91</v>
      </c>
      <c r="E23" s="64">
        <v>5.31</v>
      </c>
      <c r="F23" s="64">
        <v>2.35</v>
      </c>
      <c r="G23" s="64">
        <v>90.12</v>
      </c>
      <c r="H23" s="64">
        <v>30.81</v>
      </c>
      <c r="I23" s="64">
        <v>0.1</v>
      </c>
      <c r="J23" s="64">
        <v>0.14000000000000001</v>
      </c>
      <c r="K23" s="64">
        <v>349.99</v>
      </c>
      <c r="L23" s="64">
        <v>11.85</v>
      </c>
      <c r="M23" s="64">
        <v>98.02</v>
      </c>
      <c r="N23" s="64">
        <v>46.6</v>
      </c>
      <c r="O23" s="64">
        <v>0</v>
      </c>
      <c r="P23" s="64">
        <v>2.5</v>
      </c>
      <c r="Q23" s="64">
        <v>9.67</v>
      </c>
      <c r="S23" s="198"/>
      <c r="T23" s="198"/>
      <c r="U23" s="198"/>
    </row>
    <row r="24" spans="1:21" s="12" customFormat="1" x14ac:dyDescent="0.25">
      <c r="A24" s="214" t="s">
        <v>2375</v>
      </c>
      <c r="B24" s="64">
        <v>64.8</v>
      </c>
      <c r="C24" s="64">
        <v>19.03</v>
      </c>
      <c r="D24" s="64">
        <v>47.28</v>
      </c>
      <c r="E24" s="64">
        <v>5.72</v>
      </c>
      <c r="F24" s="64">
        <v>2.46</v>
      </c>
      <c r="G24" s="64">
        <v>90.12</v>
      </c>
      <c r="H24" s="64">
        <v>30.81</v>
      </c>
      <c r="I24" s="64">
        <v>0.1</v>
      </c>
      <c r="J24" s="64">
        <v>0.4</v>
      </c>
      <c r="K24" s="64">
        <v>335.98</v>
      </c>
      <c r="L24" s="64">
        <v>11.75</v>
      </c>
      <c r="M24" s="64">
        <v>98.03</v>
      </c>
      <c r="N24" s="64">
        <v>46.5</v>
      </c>
      <c r="O24" s="64">
        <v>0</v>
      </c>
      <c r="P24" s="64">
        <v>2.39</v>
      </c>
      <c r="Q24" s="64">
        <v>9.68</v>
      </c>
      <c r="S24" s="198"/>
      <c r="T24" s="198"/>
      <c r="U24" s="198"/>
    </row>
    <row r="25" spans="1:21" s="12" customFormat="1" x14ac:dyDescent="0.25">
      <c r="A25" s="214" t="s">
        <v>2376</v>
      </c>
      <c r="B25" s="64">
        <v>63.3</v>
      </c>
      <c r="C25" s="64">
        <v>19.010000000000002</v>
      </c>
      <c r="D25" s="64">
        <v>46.4</v>
      </c>
      <c r="E25" s="64">
        <v>5.4</v>
      </c>
      <c r="F25" s="64">
        <v>2.4</v>
      </c>
      <c r="G25" s="64">
        <v>90.12</v>
      </c>
      <c r="H25" s="64">
        <v>30.81</v>
      </c>
      <c r="I25" s="64">
        <v>0.1</v>
      </c>
      <c r="J25" s="64">
        <v>0.78</v>
      </c>
      <c r="K25" s="64">
        <v>332.27</v>
      </c>
      <c r="L25" s="64">
        <v>11.6</v>
      </c>
      <c r="M25" s="64">
        <v>98.03</v>
      </c>
      <c r="N25" s="64">
        <v>46.7</v>
      </c>
      <c r="O25" s="64">
        <v>0</v>
      </c>
      <c r="P25" s="64">
        <v>2.31</v>
      </c>
      <c r="Q25" s="64">
        <v>9.68</v>
      </c>
      <c r="S25" s="198"/>
      <c r="T25" s="198"/>
      <c r="U25" s="198"/>
    </row>
    <row r="26" spans="1:21" s="12" customFormat="1" x14ac:dyDescent="0.25">
      <c r="A26" s="214" t="s">
        <v>2377</v>
      </c>
      <c r="B26" s="64">
        <v>62.82</v>
      </c>
      <c r="C26" s="64">
        <v>18.91</v>
      </c>
      <c r="D26" s="64">
        <v>46.02</v>
      </c>
      <c r="E26" s="64">
        <v>5.57</v>
      </c>
      <c r="F26" s="64">
        <v>2.21</v>
      </c>
      <c r="G26" s="64">
        <v>76.400000000000006</v>
      </c>
      <c r="H26" s="64">
        <v>29.57</v>
      </c>
      <c r="I26" s="64">
        <v>0.1</v>
      </c>
      <c r="J26" s="64">
        <v>0.8</v>
      </c>
      <c r="K26" s="64">
        <v>234.1</v>
      </c>
      <c r="L26" s="64">
        <v>11.56</v>
      </c>
      <c r="M26" s="64">
        <v>98.04</v>
      </c>
      <c r="N26" s="64">
        <v>46.4</v>
      </c>
      <c r="O26" s="64">
        <v>0</v>
      </c>
      <c r="P26" s="64">
        <v>2.2400000000000002</v>
      </c>
      <c r="Q26" s="64">
        <v>9.68</v>
      </c>
      <c r="S26" s="198"/>
      <c r="T26" s="198"/>
      <c r="U26" s="198"/>
    </row>
    <row r="27" spans="1:21" s="12" customFormat="1" x14ac:dyDescent="0.25">
      <c r="A27" s="214" t="s">
        <v>2378</v>
      </c>
      <c r="B27" s="64">
        <v>61.98</v>
      </c>
      <c r="C27" s="64">
        <v>19.079999999999998</v>
      </c>
      <c r="D27" s="64">
        <v>45.48</v>
      </c>
      <c r="E27" s="64">
        <v>5.51</v>
      </c>
      <c r="F27" s="64">
        <v>2.25</v>
      </c>
      <c r="G27" s="64">
        <v>64.400000000000006</v>
      </c>
      <c r="H27" s="64">
        <v>28.67</v>
      </c>
      <c r="I27" s="64">
        <v>0.1</v>
      </c>
      <c r="J27" s="64">
        <v>0.52</v>
      </c>
      <c r="K27" s="64">
        <v>288.11</v>
      </c>
      <c r="L27" s="64">
        <v>11.73</v>
      </c>
      <c r="M27" s="64">
        <v>98.03</v>
      </c>
      <c r="N27" s="64">
        <v>46.4</v>
      </c>
      <c r="O27" s="64">
        <v>0</v>
      </c>
      <c r="P27" s="64">
        <v>2.19</v>
      </c>
      <c r="Q27" s="64">
        <v>9.68</v>
      </c>
      <c r="S27" s="198"/>
      <c r="T27" s="198"/>
      <c r="U27" s="198"/>
    </row>
    <row r="28" spans="1:21" s="12" customFormat="1" x14ac:dyDescent="0.25">
      <c r="A28" s="214" t="s">
        <v>2379</v>
      </c>
      <c r="B28" s="64">
        <v>61.71</v>
      </c>
      <c r="C28" s="64">
        <v>19.12</v>
      </c>
      <c r="D28" s="64">
        <v>45.38</v>
      </c>
      <c r="E28" s="64">
        <v>5.29</v>
      </c>
      <c r="F28" s="64">
        <v>2.34</v>
      </c>
      <c r="G28" s="64">
        <v>64.400000000000006</v>
      </c>
      <c r="H28" s="64">
        <v>28.67</v>
      </c>
      <c r="I28" s="64">
        <v>0.1</v>
      </c>
      <c r="J28" s="64">
        <v>0.84</v>
      </c>
      <c r="K28" s="64">
        <v>330.23</v>
      </c>
      <c r="L28" s="64">
        <v>11.62</v>
      </c>
      <c r="M28" s="64">
        <v>98.03</v>
      </c>
      <c r="N28" s="64">
        <v>46.7</v>
      </c>
      <c r="O28" s="64">
        <v>0</v>
      </c>
      <c r="P28" s="64">
        <v>2.12</v>
      </c>
      <c r="Q28" s="64">
        <v>9.66</v>
      </c>
      <c r="S28" s="198"/>
      <c r="T28" s="198"/>
      <c r="U28" s="198"/>
    </row>
    <row r="29" spans="1:21" s="12" customFormat="1" x14ac:dyDescent="0.25">
      <c r="A29" s="214" t="s">
        <v>2380</v>
      </c>
      <c r="B29" s="64">
        <v>62.22</v>
      </c>
      <c r="C29" s="64">
        <v>19.100000000000001</v>
      </c>
      <c r="D29" s="64">
        <v>45.55</v>
      </c>
      <c r="E29" s="64">
        <v>5.15</v>
      </c>
      <c r="F29" s="64">
        <v>2.2799999999999998</v>
      </c>
      <c r="G29" s="64">
        <v>64.400000000000006</v>
      </c>
      <c r="H29" s="64">
        <v>28.67</v>
      </c>
      <c r="I29" s="64">
        <v>0.1</v>
      </c>
      <c r="J29" s="64">
        <v>0.83</v>
      </c>
      <c r="K29" s="64">
        <v>277.08</v>
      </c>
      <c r="L29" s="64">
        <v>11.46</v>
      </c>
      <c r="M29" s="64">
        <v>98.04</v>
      </c>
      <c r="N29" s="64">
        <v>46.5</v>
      </c>
      <c r="O29" s="64">
        <v>0</v>
      </c>
      <c r="P29" s="64">
        <v>2.0699999999999998</v>
      </c>
      <c r="Q29" s="64">
        <v>9.66</v>
      </c>
      <c r="S29" s="198"/>
      <c r="T29" s="198"/>
      <c r="U29" s="198"/>
    </row>
    <row r="30" spans="1:21" s="12" customFormat="1" x14ac:dyDescent="0.25">
      <c r="A30" s="214" t="s">
        <v>2381</v>
      </c>
      <c r="B30" s="64">
        <v>61.77</v>
      </c>
      <c r="C30" s="64">
        <v>19.22</v>
      </c>
      <c r="D30" s="64">
        <v>45.25</v>
      </c>
      <c r="E30" s="64">
        <v>5.0199999999999996</v>
      </c>
      <c r="F30" s="64">
        <v>2.13</v>
      </c>
      <c r="G30" s="64">
        <v>64.08</v>
      </c>
      <c r="H30" s="64">
        <v>28.75</v>
      </c>
      <c r="I30" s="64">
        <v>0.1</v>
      </c>
      <c r="J30" s="64">
        <v>0.69</v>
      </c>
      <c r="K30" s="64">
        <v>268.82</v>
      </c>
      <c r="L30" s="64">
        <v>11.41</v>
      </c>
      <c r="M30" s="64">
        <v>98.04</v>
      </c>
      <c r="N30" s="64">
        <v>46.5</v>
      </c>
      <c r="O30" s="64">
        <v>0</v>
      </c>
      <c r="P30" s="64">
        <v>2.02</v>
      </c>
      <c r="Q30" s="64">
        <v>9.68</v>
      </c>
      <c r="S30" s="198"/>
      <c r="T30" s="198"/>
      <c r="U30" s="198"/>
    </row>
    <row r="31" spans="1:21" s="12" customFormat="1" x14ac:dyDescent="0.25">
      <c r="A31" s="214" t="s">
        <v>2382</v>
      </c>
      <c r="B31" s="64">
        <v>60.35</v>
      </c>
      <c r="C31" s="64">
        <v>19.34</v>
      </c>
      <c r="D31" s="64">
        <v>44.57</v>
      </c>
      <c r="E31" s="64">
        <v>5.12</v>
      </c>
      <c r="F31" s="64">
        <v>2.31</v>
      </c>
      <c r="G31" s="64">
        <v>63.8</v>
      </c>
      <c r="H31" s="64">
        <v>28.78</v>
      </c>
      <c r="I31" s="64">
        <v>0.1</v>
      </c>
      <c r="J31" s="64">
        <v>0.75</v>
      </c>
      <c r="K31" s="64">
        <v>330.24</v>
      </c>
      <c r="L31" s="64">
        <v>11.43</v>
      </c>
      <c r="M31" s="64">
        <v>98.01</v>
      </c>
      <c r="N31" s="64">
        <v>46.5</v>
      </c>
      <c r="O31" s="64">
        <v>0</v>
      </c>
      <c r="P31" s="64">
        <v>1.96</v>
      </c>
      <c r="Q31" s="64">
        <v>9.67</v>
      </c>
      <c r="S31" s="198"/>
      <c r="T31" s="198"/>
      <c r="U31" s="198"/>
    </row>
    <row r="32" spans="1:21" s="12" customFormat="1" x14ac:dyDescent="0.25">
      <c r="A32" s="214" t="s">
        <v>2383</v>
      </c>
      <c r="B32" s="64">
        <v>60.09</v>
      </c>
      <c r="C32" s="64">
        <v>19.329999999999998</v>
      </c>
      <c r="D32" s="64">
        <v>44.07</v>
      </c>
      <c r="E32" s="64">
        <v>5.2</v>
      </c>
      <c r="F32" s="64">
        <v>2.62</v>
      </c>
      <c r="G32" s="64">
        <v>63.8</v>
      </c>
      <c r="H32" s="64">
        <v>28.78</v>
      </c>
      <c r="I32" s="64">
        <v>0.1</v>
      </c>
      <c r="J32" s="64">
        <v>0.78</v>
      </c>
      <c r="K32" s="64">
        <v>317.79000000000002</v>
      </c>
      <c r="L32" s="64">
        <v>11.36</v>
      </c>
      <c r="M32" s="64">
        <v>98</v>
      </c>
      <c r="N32" s="64">
        <v>46.4</v>
      </c>
      <c r="O32" s="64">
        <v>0</v>
      </c>
      <c r="P32" s="64">
        <v>1.92</v>
      </c>
      <c r="Q32" s="64">
        <v>9.65</v>
      </c>
      <c r="S32" s="198"/>
      <c r="T32" s="198"/>
      <c r="U32" s="198"/>
    </row>
    <row r="33" spans="1:21" s="12" customFormat="1" x14ac:dyDescent="0.25">
      <c r="A33" s="214" t="s">
        <v>2384</v>
      </c>
      <c r="B33" s="64">
        <v>60.03</v>
      </c>
      <c r="C33" s="64">
        <v>19.100000000000001</v>
      </c>
      <c r="D33" s="64">
        <v>44.13</v>
      </c>
      <c r="E33" s="64">
        <v>5.08</v>
      </c>
      <c r="F33" s="64">
        <v>2.2999999999999998</v>
      </c>
      <c r="G33" s="64">
        <v>63.8</v>
      </c>
      <c r="H33" s="64">
        <v>28.78</v>
      </c>
      <c r="I33" s="64">
        <v>0.1</v>
      </c>
      <c r="J33" s="64">
        <v>0.82</v>
      </c>
      <c r="K33" s="64">
        <v>322.44</v>
      </c>
      <c r="L33" s="64">
        <v>11.27</v>
      </c>
      <c r="M33" s="64">
        <v>97.97</v>
      </c>
      <c r="N33" s="64">
        <v>46.6</v>
      </c>
      <c r="O33" s="64">
        <v>0</v>
      </c>
      <c r="P33" s="64">
        <v>1.9</v>
      </c>
      <c r="Q33" s="64">
        <v>9.66</v>
      </c>
      <c r="S33" s="198"/>
      <c r="T33" s="198"/>
      <c r="U33" s="198"/>
    </row>
    <row r="34" spans="1:21" s="12" customFormat="1" x14ac:dyDescent="0.25">
      <c r="A34" s="214" t="s">
        <v>2385</v>
      </c>
      <c r="B34" s="64">
        <v>59.32</v>
      </c>
      <c r="C34" s="64">
        <v>19.100000000000001</v>
      </c>
      <c r="D34" s="64">
        <v>44.07</v>
      </c>
      <c r="E34" s="64">
        <v>5.16</v>
      </c>
      <c r="F34" s="64">
        <v>2.27</v>
      </c>
      <c r="G34" s="64">
        <v>60.86</v>
      </c>
      <c r="H34" s="64">
        <v>26.86</v>
      </c>
      <c r="I34" s="64">
        <v>0.1</v>
      </c>
      <c r="J34" s="64">
        <v>0.27</v>
      </c>
      <c r="K34" s="64">
        <v>27.51</v>
      </c>
      <c r="L34" s="64">
        <v>11.43</v>
      </c>
      <c r="M34" s="64">
        <v>97.34</v>
      </c>
      <c r="N34" s="64">
        <v>47.5</v>
      </c>
      <c r="O34" s="64">
        <v>0</v>
      </c>
      <c r="P34" s="64">
        <v>1.89</v>
      </c>
      <c r="Q34" s="64">
        <v>9.67</v>
      </c>
      <c r="S34" s="198"/>
      <c r="T34" s="198"/>
      <c r="U34" s="198"/>
    </row>
    <row r="35" spans="1:21" s="12" customFormat="1" x14ac:dyDescent="0.25">
      <c r="A35" s="214" t="s">
        <v>2386</v>
      </c>
      <c r="B35" s="64">
        <v>56.98</v>
      </c>
      <c r="C35" s="64">
        <v>19.100000000000001</v>
      </c>
      <c r="D35" s="64">
        <v>42.98</v>
      </c>
      <c r="E35" s="64">
        <v>5.18</v>
      </c>
      <c r="F35" s="64">
        <v>2.58</v>
      </c>
      <c r="G35" s="64">
        <v>58.29</v>
      </c>
      <c r="H35" s="64">
        <v>26.1</v>
      </c>
      <c r="I35" s="64">
        <v>0.1</v>
      </c>
      <c r="J35" s="64">
        <v>0.49</v>
      </c>
      <c r="K35" s="64">
        <v>62.08</v>
      </c>
      <c r="L35" s="64">
        <v>11.91</v>
      </c>
      <c r="M35" s="64">
        <v>92.84</v>
      </c>
      <c r="N35" s="64">
        <v>51.2</v>
      </c>
      <c r="O35" s="64">
        <v>0</v>
      </c>
      <c r="P35" s="64">
        <v>1.84</v>
      </c>
      <c r="Q35" s="64">
        <v>9.68</v>
      </c>
      <c r="S35" s="198"/>
      <c r="T35" s="198"/>
      <c r="U35" s="198"/>
    </row>
    <row r="36" spans="1:21" s="12" customFormat="1" x14ac:dyDescent="0.25">
      <c r="A36" s="214" t="s">
        <v>2387</v>
      </c>
      <c r="B36" s="64">
        <v>54.18</v>
      </c>
      <c r="C36" s="64">
        <v>19.100000000000001</v>
      </c>
      <c r="D36" s="64">
        <v>41.71</v>
      </c>
      <c r="E36" s="64">
        <v>5.43</v>
      </c>
      <c r="F36" s="64">
        <v>2.39</v>
      </c>
      <c r="G36" s="64">
        <v>58.29</v>
      </c>
      <c r="H36" s="64">
        <v>26.1</v>
      </c>
      <c r="I36" s="64">
        <v>0.1</v>
      </c>
      <c r="J36" s="64">
        <v>0.47</v>
      </c>
      <c r="K36" s="64">
        <v>54</v>
      </c>
      <c r="L36" s="64">
        <v>12.08</v>
      </c>
      <c r="M36" s="64">
        <v>92.05</v>
      </c>
      <c r="N36" s="64">
        <v>60.9</v>
      </c>
      <c r="O36" s="64">
        <v>0</v>
      </c>
      <c r="P36" s="64">
        <v>1.78</v>
      </c>
      <c r="Q36" s="64">
        <v>9.67</v>
      </c>
      <c r="S36" s="198"/>
      <c r="T36" s="198"/>
      <c r="U36" s="198"/>
    </row>
    <row r="37" spans="1:21" s="12" customFormat="1" x14ac:dyDescent="0.25">
      <c r="A37" s="214" t="s">
        <v>2388</v>
      </c>
      <c r="B37" s="64">
        <v>52.03</v>
      </c>
      <c r="C37" s="64">
        <v>19.100000000000001</v>
      </c>
      <c r="D37" s="64">
        <v>40.700000000000003</v>
      </c>
      <c r="E37" s="64">
        <v>5.41</v>
      </c>
      <c r="F37" s="64">
        <v>2.33</v>
      </c>
      <c r="G37" s="64">
        <v>58.29</v>
      </c>
      <c r="H37" s="64">
        <v>26.1</v>
      </c>
      <c r="I37" s="64">
        <v>0.1</v>
      </c>
      <c r="J37" s="64">
        <v>0.43</v>
      </c>
      <c r="K37" s="64">
        <v>287.13</v>
      </c>
      <c r="L37" s="64">
        <v>12.39</v>
      </c>
      <c r="M37" s="64">
        <v>92.39</v>
      </c>
      <c r="N37" s="64">
        <v>73</v>
      </c>
      <c r="O37" s="64">
        <v>0</v>
      </c>
      <c r="P37" s="64">
        <v>1.72</v>
      </c>
      <c r="Q37" s="64">
        <v>9.68</v>
      </c>
      <c r="S37" s="198"/>
      <c r="T37" s="198"/>
      <c r="U37" s="198"/>
    </row>
    <row r="38" spans="1:21" s="12" customFormat="1" x14ac:dyDescent="0.25">
      <c r="A38" s="214" t="s">
        <v>2389</v>
      </c>
      <c r="B38" s="64">
        <v>50.69</v>
      </c>
      <c r="C38" s="64">
        <v>0.23</v>
      </c>
      <c r="D38" s="64">
        <v>40.1</v>
      </c>
      <c r="E38" s="64">
        <v>5.27</v>
      </c>
      <c r="F38" s="64">
        <v>2.38</v>
      </c>
      <c r="G38" s="64">
        <v>48.09</v>
      </c>
      <c r="H38" s="64">
        <v>23.5</v>
      </c>
      <c r="I38" s="64">
        <v>0.1</v>
      </c>
      <c r="J38" s="64">
        <v>0.84</v>
      </c>
      <c r="K38" s="64">
        <v>117.57</v>
      </c>
      <c r="L38" s="64">
        <v>13.02</v>
      </c>
      <c r="M38" s="64">
        <v>90.39</v>
      </c>
      <c r="N38" s="64">
        <v>87.2</v>
      </c>
      <c r="O38" s="64">
        <v>0</v>
      </c>
      <c r="P38" s="64">
        <v>1.78</v>
      </c>
      <c r="Q38" s="64">
        <v>9.67</v>
      </c>
      <c r="S38" s="198"/>
      <c r="T38" s="198"/>
      <c r="U38" s="198"/>
    </row>
    <row r="39" spans="1:21" s="12" customFormat="1" x14ac:dyDescent="0.25">
      <c r="A39" s="214" t="s">
        <v>2390</v>
      </c>
      <c r="B39" s="64">
        <v>48.99</v>
      </c>
      <c r="C39" s="64">
        <v>1.2</v>
      </c>
      <c r="D39" s="64">
        <v>39.26</v>
      </c>
      <c r="E39" s="64">
        <v>5.46</v>
      </c>
      <c r="F39" s="64">
        <v>2.2599999999999998</v>
      </c>
      <c r="G39" s="64">
        <v>39.159999999999997</v>
      </c>
      <c r="H39" s="64">
        <v>22.47</v>
      </c>
      <c r="I39" s="64">
        <v>0.1</v>
      </c>
      <c r="J39" s="64">
        <v>1.1599999999999999</v>
      </c>
      <c r="K39" s="64">
        <v>112.79</v>
      </c>
      <c r="L39" s="64">
        <v>13.65</v>
      </c>
      <c r="M39" s="64">
        <v>86.48</v>
      </c>
      <c r="N39" s="64">
        <v>133</v>
      </c>
      <c r="O39" s="64">
        <v>0</v>
      </c>
      <c r="P39" s="64">
        <v>1.74</v>
      </c>
      <c r="Q39" s="64">
        <v>9.66</v>
      </c>
      <c r="S39" s="198"/>
      <c r="T39" s="198"/>
      <c r="U39" s="198"/>
    </row>
    <row r="40" spans="1:21" s="12" customFormat="1" x14ac:dyDescent="0.25">
      <c r="A40" s="214" t="s">
        <v>2391</v>
      </c>
      <c r="B40" s="64">
        <v>47.19</v>
      </c>
      <c r="C40" s="64">
        <v>2.0299999999999998</v>
      </c>
      <c r="D40" s="64">
        <v>38.25</v>
      </c>
      <c r="E40" s="64">
        <v>4.4800000000000004</v>
      </c>
      <c r="F40" s="64">
        <v>2.16</v>
      </c>
      <c r="G40" s="64">
        <v>39.159999999999997</v>
      </c>
      <c r="H40" s="64">
        <v>22.47</v>
      </c>
      <c r="I40" s="64">
        <v>0.1</v>
      </c>
      <c r="J40" s="64">
        <v>1.44</v>
      </c>
      <c r="K40" s="64">
        <v>118.25</v>
      </c>
      <c r="L40" s="64">
        <v>14.73</v>
      </c>
      <c r="M40" s="64">
        <v>80.489999999999995</v>
      </c>
      <c r="N40" s="64">
        <v>186.6</v>
      </c>
      <c r="O40" s="64">
        <v>0</v>
      </c>
      <c r="P40" s="64">
        <v>1.67</v>
      </c>
      <c r="Q40" s="64">
        <v>9.66</v>
      </c>
      <c r="S40" s="198"/>
      <c r="T40" s="198"/>
      <c r="U40" s="198"/>
    </row>
    <row r="41" spans="1:21" s="12" customFormat="1" x14ac:dyDescent="0.25">
      <c r="A41" s="214" t="s">
        <v>2392</v>
      </c>
      <c r="B41" s="64">
        <v>45.08</v>
      </c>
      <c r="C41" s="64">
        <v>3.02</v>
      </c>
      <c r="D41" s="64">
        <v>37.07</v>
      </c>
      <c r="E41" s="64">
        <v>5.0199999999999996</v>
      </c>
      <c r="F41" s="64">
        <v>2.2799999999999998</v>
      </c>
      <c r="G41" s="64">
        <v>39.159999999999997</v>
      </c>
      <c r="H41" s="64">
        <v>22.47</v>
      </c>
      <c r="I41" s="64">
        <v>0.1</v>
      </c>
      <c r="J41" s="64">
        <v>1.18</v>
      </c>
      <c r="K41" s="64">
        <v>117.86</v>
      </c>
      <c r="L41" s="64">
        <v>15.7</v>
      </c>
      <c r="M41" s="64">
        <v>76.319999999999993</v>
      </c>
      <c r="N41" s="64">
        <v>225.4</v>
      </c>
      <c r="O41" s="64">
        <v>0</v>
      </c>
      <c r="P41" s="64">
        <v>1.58</v>
      </c>
      <c r="Q41" s="64">
        <v>9.66</v>
      </c>
      <c r="S41" s="198"/>
      <c r="T41" s="198"/>
      <c r="U41" s="198"/>
    </row>
    <row r="42" spans="1:21" s="12" customFormat="1" x14ac:dyDescent="0.25">
      <c r="A42" s="214" t="s">
        <v>2393</v>
      </c>
      <c r="B42" s="64">
        <v>43.16</v>
      </c>
      <c r="C42" s="64">
        <v>3.95</v>
      </c>
      <c r="D42" s="64">
        <v>36.020000000000003</v>
      </c>
      <c r="E42" s="64">
        <v>4.87</v>
      </c>
      <c r="F42" s="64">
        <v>2.5</v>
      </c>
      <c r="G42" s="64">
        <v>46.8</v>
      </c>
      <c r="H42" s="64">
        <v>21.55</v>
      </c>
      <c r="I42" s="64">
        <v>0.1</v>
      </c>
      <c r="J42" s="64">
        <v>1.18</v>
      </c>
      <c r="K42" s="64">
        <v>115.71</v>
      </c>
      <c r="L42" s="64">
        <v>16.52</v>
      </c>
      <c r="M42" s="64">
        <v>71.790000000000006</v>
      </c>
      <c r="N42" s="64">
        <v>260.89999999999998</v>
      </c>
      <c r="O42" s="64">
        <v>0</v>
      </c>
      <c r="P42" s="64">
        <v>1.52</v>
      </c>
      <c r="Q42" s="64">
        <v>9.65</v>
      </c>
      <c r="S42" s="198"/>
      <c r="T42" s="198"/>
      <c r="U42" s="198"/>
    </row>
    <row r="43" spans="1:21" s="12" customFormat="1" x14ac:dyDescent="0.25">
      <c r="A43" s="214" t="s">
        <v>2394</v>
      </c>
      <c r="B43" s="64">
        <v>41.33</v>
      </c>
      <c r="C43" s="64">
        <v>5.39</v>
      </c>
      <c r="D43" s="64">
        <v>35.31</v>
      </c>
      <c r="E43" s="64">
        <v>4.71</v>
      </c>
      <c r="F43" s="64">
        <v>2.4300000000000002</v>
      </c>
      <c r="G43" s="64">
        <v>53.48</v>
      </c>
      <c r="H43" s="64">
        <v>20.88</v>
      </c>
      <c r="I43" s="64">
        <v>0.1</v>
      </c>
      <c r="J43" s="64">
        <v>0.25</v>
      </c>
      <c r="K43" s="64">
        <v>77.31</v>
      </c>
      <c r="L43" s="64">
        <v>18.399999999999999</v>
      </c>
      <c r="M43" s="64">
        <v>62.9</v>
      </c>
      <c r="N43" s="64">
        <v>291.8</v>
      </c>
      <c r="O43" s="64">
        <v>0</v>
      </c>
      <c r="P43" s="64">
        <v>1.48</v>
      </c>
      <c r="Q43" s="64">
        <v>9.65</v>
      </c>
      <c r="S43" s="198"/>
      <c r="T43" s="198"/>
      <c r="U43" s="198"/>
    </row>
    <row r="44" spans="1:21" s="12" customFormat="1" x14ac:dyDescent="0.25">
      <c r="A44" s="214" t="s">
        <v>2395</v>
      </c>
      <c r="B44" s="64">
        <v>39.549999999999997</v>
      </c>
      <c r="C44" s="64">
        <v>7.16</v>
      </c>
      <c r="D44" s="64">
        <v>34.799999999999997</v>
      </c>
      <c r="E44" s="64">
        <v>5.0599999999999996</v>
      </c>
      <c r="F44" s="64">
        <v>2.6</v>
      </c>
      <c r="G44" s="64">
        <v>53.48</v>
      </c>
      <c r="H44" s="64">
        <v>20.88</v>
      </c>
      <c r="I44" s="64">
        <v>0.1</v>
      </c>
      <c r="J44" s="64">
        <v>0.26</v>
      </c>
      <c r="K44" s="64">
        <v>83.84</v>
      </c>
      <c r="L44" s="64">
        <v>19.079999999999998</v>
      </c>
      <c r="M44" s="64">
        <v>59.16</v>
      </c>
      <c r="N44" s="64">
        <v>324.3</v>
      </c>
      <c r="O44" s="64">
        <v>0</v>
      </c>
      <c r="P44" s="64">
        <v>1.44</v>
      </c>
      <c r="Q44" s="64">
        <v>9.65</v>
      </c>
      <c r="S44" s="198"/>
      <c r="T44" s="198"/>
      <c r="U44" s="198"/>
    </row>
    <row r="45" spans="1:21" s="12" customFormat="1" x14ac:dyDescent="0.25">
      <c r="A45" s="214" t="s">
        <v>2396</v>
      </c>
      <c r="B45" s="64">
        <v>39.19</v>
      </c>
      <c r="C45" s="64">
        <v>7.48</v>
      </c>
      <c r="D45" s="64">
        <v>34.68</v>
      </c>
      <c r="E45" s="64">
        <v>4.95</v>
      </c>
      <c r="F45" s="64">
        <v>2.8</v>
      </c>
      <c r="G45" s="64">
        <v>53.48</v>
      </c>
      <c r="H45" s="64">
        <v>20.88</v>
      </c>
      <c r="I45" s="64">
        <v>0.1</v>
      </c>
      <c r="J45" s="64">
        <v>0.48</v>
      </c>
      <c r="K45" s="64">
        <v>113.63</v>
      </c>
      <c r="L45" s="64">
        <v>20.170000000000002</v>
      </c>
      <c r="M45" s="64">
        <v>52.49</v>
      </c>
      <c r="N45" s="64">
        <v>353.8</v>
      </c>
      <c r="O45" s="64">
        <v>0</v>
      </c>
      <c r="P45" s="64">
        <v>1.4</v>
      </c>
      <c r="Q45" s="64">
        <v>9.65</v>
      </c>
      <c r="S45" s="198"/>
      <c r="T45" s="198"/>
      <c r="U45" s="198"/>
    </row>
    <row r="46" spans="1:21" s="12" customFormat="1" x14ac:dyDescent="0.25">
      <c r="A46" s="214" t="s">
        <v>2397</v>
      </c>
      <c r="B46" s="64">
        <v>38.56</v>
      </c>
      <c r="C46" s="64">
        <v>8.17</v>
      </c>
      <c r="D46" s="64">
        <v>34.54</v>
      </c>
      <c r="E46" s="64">
        <v>4.91</v>
      </c>
      <c r="F46" s="64">
        <v>2.4900000000000002</v>
      </c>
      <c r="G46" s="64">
        <v>49.44</v>
      </c>
      <c r="H46" s="64">
        <v>19.57</v>
      </c>
      <c r="I46" s="64">
        <v>0.1</v>
      </c>
      <c r="J46" s="64">
        <v>1.84</v>
      </c>
      <c r="K46" s="64">
        <v>122.48</v>
      </c>
      <c r="L46" s="64">
        <v>19.22</v>
      </c>
      <c r="M46" s="64">
        <v>56.87</v>
      </c>
      <c r="N46" s="64">
        <v>383.5</v>
      </c>
      <c r="O46" s="64">
        <v>0</v>
      </c>
      <c r="P46" s="64">
        <v>1.38</v>
      </c>
      <c r="Q46" s="64">
        <v>9.65</v>
      </c>
      <c r="S46" s="198"/>
      <c r="T46" s="198"/>
      <c r="U46" s="198"/>
    </row>
    <row r="47" spans="1:21" s="12" customFormat="1" x14ac:dyDescent="0.25">
      <c r="A47" s="214" t="s">
        <v>2398</v>
      </c>
      <c r="B47" s="64">
        <v>37.6</v>
      </c>
      <c r="C47" s="64">
        <v>8.92</v>
      </c>
      <c r="D47" s="64">
        <v>34.159999999999997</v>
      </c>
      <c r="E47" s="64">
        <v>5.09</v>
      </c>
      <c r="F47" s="64">
        <v>2.42</v>
      </c>
      <c r="G47" s="64">
        <v>45.91</v>
      </c>
      <c r="H47" s="64">
        <v>19.05</v>
      </c>
      <c r="I47" s="64">
        <v>0.1</v>
      </c>
      <c r="J47" s="64">
        <v>1.18</v>
      </c>
      <c r="K47" s="64">
        <v>126.44</v>
      </c>
      <c r="L47" s="64">
        <v>20.04</v>
      </c>
      <c r="M47" s="64">
        <v>52.69</v>
      </c>
      <c r="N47" s="64">
        <v>401.9</v>
      </c>
      <c r="O47" s="64">
        <v>0</v>
      </c>
      <c r="P47" s="64">
        <v>1.34</v>
      </c>
      <c r="Q47" s="64">
        <v>9.64</v>
      </c>
      <c r="S47" s="198"/>
      <c r="T47" s="198"/>
      <c r="U47" s="198"/>
    </row>
    <row r="48" spans="1:21" s="12" customFormat="1" x14ac:dyDescent="0.25">
      <c r="A48" s="214" t="s">
        <v>2399</v>
      </c>
      <c r="B48" s="64">
        <v>36.54</v>
      </c>
      <c r="C48" s="64">
        <v>9.7100000000000009</v>
      </c>
      <c r="D48" s="64">
        <v>33.72</v>
      </c>
      <c r="E48" s="64">
        <v>4.8600000000000003</v>
      </c>
      <c r="F48" s="64">
        <v>2.4500000000000002</v>
      </c>
      <c r="G48" s="64">
        <v>45.91</v>
      </c>
      <c r="H48" s="64">
        <v>19.05</v>
      </c>
      <c r="I48" s="64">
        <v>0.1</v>
      </c>
      <c r="J48" s="64">
        <v>0.42</v>
      </c>
      <c r="K48" s="64">
        <v>106.82</v>
      </c>
      <c r="L48" s="64">
        <v>21.42</v>
      </c>
      <c r="M48" s="64">
        <v>47.93</v>
      </c>
      <c r="N48" s="64">
        <v>415.4</v>
      </c>
      <c r="O48" s="64">
        <v>0</v>
      </c>
      <c r="P48" s="64">
        <v>1.3</v>
      </c>
      <c r="Q48" s="64">
        <v>9.6300000000000008</v>
      </c>
      <c r="S48" s="198"/>
      <c r="T48" s="198"/>
      <c r="U48" s="198"/>
    </row>
    <row r="49" spans="1:21" s="12" customFormat="1" x14ac:dyDescent="0.25">
      <c r="A49" s="214" t="s">
        <v>2400</v>
      </c>
      <c r="B49" s="64">
        <v>35.54</v>
      </c>
      <c r="C49" s="64">
        <v>10.79</v>
      </c>
      <c r="D49" s="64">
        <v>33.479999999999997</v>
      </c>
      <c r="E49" s="64">
        <v>5.09</v>
      </c>
      <c r="F49" s="64">
        <v>2.62</v>
      </c>
      <c r="G49" s="64">
        <v>45.91</v>
      </c>
      <c r="H49" s="64">
        <v>19.05</v>
      </c>
      <c r="I49" s="64">
        <v>0.1</v>
      </c>
      <c r="J49" s="64">
        <v>1.42</v>
      </c>
      <c r="K49" s="64">
        <v>337.22</v>
      </c>
      <c r="L49" s="64">
        <v>24.69</v>
      </c>
      <c r="M49" s="64">
        <v>37.549999999999997</v>
      </c>
      <c r="N49" s="64">
        <v>425.6</v>
      </c>
      <c r="O49" s="64">
        <v>0</v>
      </c>
      <c r="P49" s="64">
        <v>1.28</v>
      </c>
      <c r="Q49" s="64">
        <v>9.64</v>
      </c>
      <c r="S49" s="198"/>
      <c r="T49" s="198"/>
      <c r="U49" s="198"/>
    </row>
    <row r="50" spans="1:21" s="12" customFormat="1" x14ac:dyDescent="0.25">
      <c r="A50" s="214" t="s">
        <v>2401</v>
      </c>
      <c r="B50" s="64">
        <v>35.17</v>
      </c>
      <c r="C50" s="64">
        <v>11.55</v>
      </c>
      <c r="D50" s="64">
        <v>33.590000000000003</v>
      </c>
      <c r="E50" s="64">
        <v>5</v>
      </c>
      <c r="F50" s="64">
        <v>2.66</v>
      </c>
      <c r="G50" s="64">
        <v>46.84</v>
      </c>
      <c r="H50" s="64">
        <v>19.05</v>
      </c>
      <c r="I50" s="64">
        <v>0.1</v>
      </c>
      <c r="J50" s="64">
        <v>0.76</v>
      </c>
      <c r="K50" s="64">
        <v>355.75</v>
      </c>
      <c r="L50" s="64">
        <v>25.09</v>
      </c>
      <c r="M50" s="64">
        <v>36.630000000000003</v>
      </c>
      <c r="N50" s="64">
        <v>436</v>
      </c>
      <c r="O50" s="64">
        <v>0</v>
      </c>
      <c r="P50" s="64">
        <v>1.29</v>
      </c>
      <c r="Q50" s="64">
        <v>9.65</v>
      </c>
      <c r="S50" s="198"/>
      <c r="T50" s="198"/>
      <c r="U50" s="198"/>
    </row>
    <row r="51" spans="1:21" s="12" customFormat="1" x14ac:dyDescent="0.25">
      <c r="A51" s="214" t="s">
        <v>2402</v>
      </c>
      <c r="B51" s="64">
        <v>35.229999999999997</v>
      </c>
      <c r="C51" s="64">
        <v>13.36</v>
      </c>
      <c r="D51" s="64">
        <v>34.58</v>
      </c>
      <c r="E51" s="64">
        <v>4.9000000000000004</v>
      </c>
      <c r="F51" s="64">
        <v>2.6</v>
      </c>
      <c r="G51" s="64">
        <v>47.65</v>
      </c>
      <c r="H51" s="64">
        <v>19.05</v>
      </c>
      <c r="I51" s="64">
        <v>0.1</v>
      </c>
      <c r="J51" s="64">
        <v>0.21</v>
      </c>
      <c r="K51" s="64">
        <v>355.69</v>
      </c>
      <c r="L51" s="64">
        <v>24.82</v>
      </c>
      <c r="M51" s="64">
        <v>35.99</v>
      </c>
      <c r="N51" s="64">
        <v>452.8</v>
      </c>
      <c r="O51" s="64">
        <v>0</v>
      </c>
      <c r="P51" s="64">
        <v>1.29</v>
      </c>
      <c r="Q51" s="64">
        <v>9.64</v>
      </c>
      <c r="S51" s="198"/>
      <c r="T51" s="198"/>
      <c r="U51" s="198"/>
    </row>
    <row r="52" spans="1:21" s="12" customFormat="1" x14ac:dyDescent="0.25">
      <c r="A52" s="214" t="s">
        <v>2403</v>
      </c>
      <c r="B52" s="64">
        <v>34.03</v>
      </c>
      <c r="C52" s="64">
        <v>13.16</v>
      </c>
      <c r="D52" s="64">
        <v>33.51</v>
      </c>
      <c r="E52" s="64">
        <v>5.7</v>
      </c>
      <c r="F52" s="64">
        <v>2.64</v>
      </c>
      <c r="G52" s="64">
        <v>47.65</v>
      </c>
      <c r="H52" s="64">
        <v>19.05</v>
      </c>
      <c r="I52" s="64">
        <v>0.1</v>
      </c>
      <c r="J52" s="64">
        <v>1.77</v>
      </c>
      <c r="K52" s="64">
        <v>123.05</v>
      </c>
      <c r="L52" s="64">
        <v>22.51</v>
      </c>
      <c r="M52" s="64">
        <v>40.799999999999997</v>
      </c>
      <c r="N52" s="64">
        <v>455.9</v>
      </c>
      <c r="O52" s="64">
        <v>0</v>
      </c>
      <c r="P52" s="64">
        <v>1.27</v>
      </c>
      <c r="Q52" s="64">
        <v>9.65</v>
      </c>
      <c r="S52" s="198"/>
      <c r="T52" s="198"/>
      <c r="U52" s="198"/>
    </row>
    <row r="53" spans="1:21" s="12" customFormat="1" x14ac:dyDescent="0.25">
      <c r="A53" s="214" t="s">
        <v>2404</v>
      </c>
      <c r="B53" s="64">
        <v>33.07</v>
      </c>
      <c r="C53" s="64">
        <v>13.52</v>
      </c>
      <c r="D53" s="64">
        <v>32.93</v>
      </c>
      <c r="E53" s="64">
        <v>5.63</v>
      </c>
      <c r="F53" s="64">
        <v>2.4</v>
      </c>
      <c r="G53" s="64">
        <v>47.65</v>
      </c>
      <c r="H53" s="64">
        <v>19.05</v>
      </c>
      <c r="I53" s="64">
        <v>0.1</v>
      </c>
      <c r="J53" s="64">
        <v>0.44</v>
      </c>
      <c r="K53" s="64">
        <v>14.08</v>
      </c>
      <c r="L53" s="64">
        <v>23.71</v>
      </c>
      <c r="M53" s="64">
        <v>38.54</v>
      </c>
      <c r="N53" s="64">
        <v>448</v>
      </c>
      <c r="O53" s="64">
        <v>0</v>
      </c>
      <c r="P53" s="64">
        <v>1.25</v>
      </c>
      <c r="Q53" s="64">
        <v>9.67</v>
      </c>
      <c r="S53" s="198"/>
      <c r="T53" s="198"/>
      <c r="U53" s="198"/>
    </row>
    <row r="54" spans="1:21" s="12" customFormat="1" x14ac:dyDescent="0.25">
      <c r="A54" s="214" t="s">
        <v>2405</v>
      </c>
      <c r="B54" s="64">
        <v>32.86</v>
      </c>
      <c r="C54" s="64">
        <v>14.26</v>
      </c>
      <c r="D54" s="64">
        <v>33.15</v>
      </c>
      <c r="E54" s="64">
        <v>5.37</v>
      </c>
      <c r="F54" s="64">
        <v>2.48</v>
      </c>
      <c r="G54" s="64">
        <v>43.43</v>
      </c>
      <c r="H54" s="64">
        <v>17.22</v>
      </c>
      <c r="I54" s="64">
        <v>0.1</v>
      </c>
      <c r="J54" s="64">
        <v>1.1599999999999999</v>
      </c>
      <c r="K54" s="64">
        <v>120.76</v>
      </c>
      <c r="L54" s="64">
        <v>24.16</v>
      </c>
      <c r="M54" s="64">
        <v>35.49</v>
      </c>
      <c r="N54" s="64">
        <v>460.7</v>
      </c>
      <c r="O54" s="64">
        <v>0</v>
      </c>
      <c r="P54" s="64">
        <v>1.24</v>
      </c>
      <c r="Q54" s="64">
        <v>9.65</v>
      </c>
      <c r="S54" s="198"/>
      <c r="T54" s="198"/>
      <c r="U54" s="198"/>
    </row>
    <row r="55" spans="1:21" s="12" customFormat="1" x14ac:dyDescent="0.25">
      <c r="A55" s="214" t="s">
        <v>2406</v>
      </c>
      <c r="B55" s="64">
        <v>31.38</v>
      </c>
      <c r="C55" s="64">
        <v>15.26</v>
      </c>
      <c r="D55" s="64">
        <v>32.479999999999997</v>
      </c>
      <c r="E55" s="64">
        <v>5.55</v>
      </c>
      <c r="F55" s="64">
        <v>3.01</v>
      </c>
      <c r="G55" s="64">
        <v>39.74</v>
      </c>
      <c r="H55" s="64">
        <v>16.5</v>
      </c>
      <c r="I55" s="64">
        <v>0.1</v>
      </c>
      <c r="J55" s="64">
        <v>1.49</v>
      </c>
      <c r="K55" s="64">
        <v>123.24</v>
      </c>
      <c r="L55" s="64">
        <v>23.57</v>
      </c>
      <c r="M55" s="64">
        <v>37.53</v>
      </c>
      <c r="N55" s="64">
        <v>454.3</v>
      </c>
      <c r="O55" s="64">
        <v>0</v>
      </c>
      <c r="P55" s="64">
        <v>1.21</v>
      </c>
      <c r="Q55" s="64">
        <v>9.64</v>
      </c>
      <c r="S55" s="198"/>
      <c r="T55" s="198"/>
      <c r="U55" s="198"/>
    </row>
    <row r="56" spans="1:21" s="12" customFormat="1" x14ac:dyDescent="0.25">
      <c r="A56" s="214" t="s">
        <v>2407</v>
      </c>
      <c r="B56" s="64">
        <v>29.92</v>
      </c>
      <c r="C56" s="64">
        <v>15.42</v>
      </c>
      <c r="D56" s="64">
        <v>31.39</v>
      </c>
      <c r="E56" s="64">
        <v>5.47</v>
      </c>
      <c r="F56" s="64">
        <v>3.26</v>
      </c>
      <c r="G56" s="64">
        <v>39.74</v>
      </c>
      <c r="H56" s="64">
        <v>16.5</v>
      </c>
      <c r="I56" s="64">
        <v>0.1</v>
      </c>
      <c r="J56" s="64">
        <v>1.4</v>
      </c>
      <c r="K56" s="64">
        <v>122.43</v>
      </c>
      <c r="L56" s="64">
        <v>22.97</v>
      </c>
      <c r="M56" s="64">
        <v>37.67</v>
      </c>
      <c r="N56" s="64">
        <v>449</v>
      </c>
      <c r="O56" s="64">
        <v>0</v>
      </c>
      <c r="P56" s="64">
        <v>1.17</v>
      </c>
      <c r="Q56" s="64">
        <v>9.65</v>
      </c>
      <c r="S56" s="198"/>
      <c r="T56" s="198"/>
      <c r="U56" s="198"/>
    </row>
    <row r="57" spans="1:21" s="12" customFormat="1" x14ac:dyDescent="0.25">
      <c r="A57" s="214" t="s">
        <v>2408</v>
      </c>
      <c r="B57" s="64">
        <v>29.4</v>
      </c>
      <c r="C57" s="64">
        <v>15.8</v>
      </c>
      <c r="D57" s="64">
        <v>31.18</v>
      </c>
      <c r="E57" s="64">
        <v>5.5</v>
      </c>
      <c r="F57" s="64">
        <v>2.93</v>
      </c>
      <c r="G57" s="64">
        <v>39.74</v>
      </c>
      <c r="H57" s="64">
        <v>16.5</v>
      </c>
      <c r="I57" s="64">
        <v>0.1</v>
      </c>
      <c r="J57" s="64">
        <v>1.19</v>
      </c>
      <c r="K57" s="64">
        <v>125.19</v>
      </c>
      <c r="L57" s="64">
        <v>23.91</v>
      </c>
      <c r="M57" s="64">
        <v>35.090000000000003</v>
      </c>
      <c r="N57" s="64">
        <v>428.8</v>
      </c>
      <c r="O57" s="64">
        <v>0</v>
      </c>
      <c r="P57" s="64">
        <v>1.1399999999999999</v>
      </c>
      <c r="Q57" s="64">
        <v>9.64</v>
      </c>
      <c r="S57" s="198"/>
      <c r="T57" s="198"/>
      <c r="U57" s="198"/>
    </row>
    <row r="58" spans="1:21" s="12" customFormat="1" x14ac:dyDescent="0.25">
      <c r="A58" s="214" t="s">
        <v>2409</v>
      </c>
      <c r="B58" s="64">
        <v>28.59</v>
      </c>
      <c r="C58" s="64">
        <v>16</v>
      </c>
      <c r="D58" s="64">
        <v>30.64</v>
      </c>
      <c r="E58" s="64">
        <v>5.24</v>
      </c>
      <c r="F58" s="64">
        <v>2.5499999999999998</v>
      </c>
      <c r="G58" s="64">
        <v>36.369999999999997</v>
      </c>
      <c r="H58" s="64">
        <v>16.39</v>
      </c>
      <c r="I58" s="64">
        <v>0.1</v>
      </c>
      <c r="J58" s="64">
        <v>1.59</v>
      </c>
      <c r="K58" s="64">
        <v>128.22999999999999</v>
      </c>
      <c r="L58" s="64">
        <v>22.92</v>
      </c>
      <c r="M58" s="64">
        <v>38.049999999999997</v>
      </c>
      <c r="N58" s="64">
        <v>425.5</v>
      </c>
      <c r="O58" s="64">
        <v>0</v>
      </c>
      <c r="P58" s="64">
        <v>1.08</v>
      </c>
      <c r="Q58" s="64">
        <v>9.6300000000000008</v>
      </c>
      <c r="S58" s="198"/>
      <c r="T58" s="198"/>
      <c r="U58" s="198"/>
    </row>
    <row r="59" spans="1:21" s="12" customFormat="1" x14ac:dyDescent="0.25">
      <c r="A59" s="214" t="s">
        <v>2410</v>
      </c>
      <c r="B59" s="64">
        <v>26.92</v>
      </c>
      <c r="C59" s="64">
        <v>17.07</v>
      </c>
      <c r="D59" s="64">
        <v>29.85</v>
      </c>
      <c r="E59" s="64">
        <v>5.84</v>
      </c>
      <c r="F59" s="64">
        <v>2.46</v>
      </c>
      <c r="G59" s="64">
        <v>33.409999999999997</v>
      </c>
      <c r="H59" s="64">
        <v>16.32</v>
      </c>
      <c r="I59" s="64">
        <v>0.1</v>
      </c>
      <c r="J59" s="64">
        <v>0.48</v>
      </c>
      <c r="K59" s="64">
        <v>55.29</v>
      </c>
      <c r="L59" s="64">
        <v>25.35</v>
      </c>
      <c r="M59" s="64">
        <v>32.28</v>
      </c>
      <c r="N59" s="64">
        <v>398.7</v>
      </c>
      <c r="O59" s="64">
        <v>0</v>
      </c>
      <c r="P59" s="64">
        <v>1.04</v>
      </c>
      <c r="Q59" s="64">
        <v>9.6300000000000008</v>
      </c>
      <c r="S59" s="198"/>
      <c r="T59" s="198"/>
      <c r="U59" s="198"/>
    </row>
    <row r="60" spans="1:21" s="12" customFormat="1" x14ac:dyDescent="0.25">
      <c r="A60" s="214" t="s">
        <v>2411</v>
      </c>
      <c r="B60" s="64">
        <v>25.43</v>
      </c>
      <c r="C60" s="64">
        <v>18.22</v>
      </c>
      <c r="D60" s="64">
        <v>29.26</v>
      </c>
      <c r="E60" s="64">
        <v>6.18</v>
      </c>
      <c r="F60" s="64">
        <v>2.7</v>
      </c>
      <c r="G60" s="64">
        <v>33.409999999999997</v>
      </c>
      <c r="H60" s="64">
        <v>16.32</v>
      </c>
      <c r="I60" s="64">
        <v>0.1</v>
      </c>
      <c r="J60" s="64">
        <v>0.63</v>
      </c>
      <c r="K60" s="64">
        <v>93.09</v>
      </c>
      <c r="L60" s="64">
        <v>24.25</v>
      </c>
      <c r="M60" s="64">
        <v>35.770000000000003</v>
      </c>
      <c r="N60" s="64">
        <v>388.1</v>
      </c>
      <c r="O60" s="64">
        <v>0</v>
      </c>
      <c r="P60" s="64">
        <v>0.99</v>
      </c>
      <c r="Q60" s="64">
        <v>9.64</v>
      </c>
      <c r="S60" s="198"/>
      <c r="T60" s="198"/>
      <c r="U60" s="198"/>
    </row>
    <row r="61" spans="1:21" s="12" customFormat="1" x14ac:dyDescent="0.25">
      <c r="A61" s="214" t="s">
        <v>2412</v>
      </c>
      <c r="B61" s="64">
        <v>23.95</v>
      </c>
      <c r="C61" s="64">
        <v>20.41</v>
      </c>
      <c r="D61" s="64">
        <v>29.21</v>
      </c>
      <c r="E61" s="64">
        <v>7.55</v>
      </c>
      <c r="F61" s="64">
        <v>3.59</v>
      </c>
      <c r="G61" s="64">
        <v>33.409999999999997</v>
      </c>
      <c r="H61" s="64">
        <v>16.32</v>
      </c>
      <c r="I61" s="64">
        <v>0.1</v>
      </c>
      <c r="J61" s="64">
        <v>1.0900000000000001</v>
      </c>
      <c r="K61" s="64">
        <v>336.3</v>
      </c>
      <c r="L61" s="64">
        <v>26.16</v>
      </c>
      <c r="M61" s="64">
        <v>31.62</v>
      </c>
      <c r="N61" s="64">
        <v>354.5</v>
      </c>
      <c r="O61" s="64">
        <v>0</v>
      </c>
      <c r="P61" s="64">
        <v>1.1100000000000001</v>
      </c>
      <c r="Q61" s="64">
        <v>9.64</v>
      </c>
      <c r="S61" s="198"/>
      <c r="T61" s="198"/>
      <c r="U61" s="198"/>
    </row>
    <row r="62" spans="1:21" s="12" customFormat="1" x14ac:dyDescent="0.25">
      <c r="A62" s="214" t="s">
        <v>2413</v>
      </c>
      <c r="B62" s="64">
        <v>20.76</v>
      </c>
      <c r="C62" s="64">
        <v>24.26</v>
      </c>
      <c r="D62" s="64">
        <v>28.67</v>
      </c>
      <c r="E62" s="64">
        <v>10.84</v>
      </c>
      <c r="F62" s="64">
        <v>4.3899999999999997</v>
      </c>
      <c r="G62" s="64">
        <v>35.22</v>
      </c>
      <c r="H62" s="64">
        <v>16.489999999999998</v>
      </c>
      <c r="I62" s="64">
        <v>0.1</v>
      </c>
      <c r="J62" s="64">
        <v>0.94</v>
      </c>
      <c r="K62" s="64">
        <v>124.79</v>
      </c>
      <c r="L62" s="64">
        <v>25.39</v>
      </c>
      <c r="M62" s="64">
        <v>32.380000000000003</v>
      </c>
      <c r="N62" s="64">
        <v>334.6</v>
      </c>
      <c r="O62" s="64">
        <v>0</v>
      </c>
      <c r="P62" s="64">
        <v>1.1599999999999999</v>
      </c>
      <c r="Q62" s="64">
        <v>9.64</v>
      </c>
      <c r="S62" s="198"/>
      <c r="T62" s="198"/>
      <c r="U62" s="198"/>
    </row>
    <row r="63" spans="1:21" s="12" customFormat="1" x14ac:dyDescent="0.25">
      <c r="A63" s="214" t="s">
        <v>2414</v>
      </c>
      <c r="B63" s="64">
        <v>20.64</v>
      </c>
      <c r="C63" s="64">
        <v>23.09</v>
      </c>
      <c r="D63" s="64">
        <v>27.96</v>
      </c>
      <c r="E63" s="64">
        <v>8.07</v>
      </c>
      <c r="F63" s="64">
        <v>3.35</v>
      </c>
      <c r="G63" s="64">
        <v>36.81</v>
      </c>
      <c r="H63" s="64">
        <v>16.55</v>
      </c>
      <c r="I63" s="64">
        <v>0.1</v>
      </c>
      <c r="J63" s="64">
        <v>0.72</v>
      </c>
      <c r="K63" s="64">
        <v>320.85000000000002</v>
      </c>
      <c r="L63" s="64">
        <v>25.7</v>
      </c>
      <c r="M63" s="64">
        <v>31.89</v>
      </c>
      <c r="N63" s="64">
        <v>302.89999999999998</v>
      </c>
      <c r="O63" s="64">
        <v>0</v>
      </c>
      <c r="P63" s="64">
        <v>1.1499999999999999</v>
      </c>
      <c r="Q63" s="64">
        <v>9.64</v>
      </c>
      <c r="S63" s="198"/>
      <c r="T63" s="198"/>
      <c r="U63" s="198"/>
    </row>
    <row r="64" spans="1:21" s="12" customFormat="1" x14ac:dyDescent="0.25">
      <c r="A64" s="214" t="s">
        <v>2415</v>
      </c>
      <c r="B64" s="64">
        <v>16.98</v>
      </c>
      <c r="C64" s="64">
        <v>25.47</v>
      </c>
      <c r="D64" s="64">
        <v>26.27</v>
      </c>
      <c r="E64" s="64">
        <v>9.5299999999999994</v>
      </c>
      <c r="F64" s="64">
        <v>5.16</v>
      </c>
      <c r="G64" s="64">
        <v>36.81</v>
      </c>
      <c r="H64" s="64">
        <v>16.55</v>
      </c>
      <c r="I64" s="64">
        <v>0.1</v>
      </c>
      <c r="J64" s="64">
        <v>0.98</v>
      </c>
      <c r="K64" s="64">
        <v>350.65</v>
      </c>
      <c r="L64" s="64">
        <v>25.58</v>
      </c>
      <c r="M64" s="64">
        <v>31.49</v>
      </c>
      <c r="N64" s="64">
        <v>251</v>
      </c>
      <c r="O64" s="64">
        <v>0</v>
      </c>
      <c r="P64" s="64">
        <v>1.1299999999999999</v>
      </c>
      <c r="Q64" s="64">
        <v>9.64</v>
      </c>
      <c r="S64" s="198"/>
      <c r="T64" s="198"/>
      <c r="U64" s="198"/>
    </row>
    <row r="65" spans="1:21" s="12" customFormat="1" x14ac:dyDescent="0.25">
      <c r="A65" s="214" t="s">
        <v>2416</v>
      </c>
      <c r="B65" s="64">
        <v>16.29</v>
      </c>
      <c r="C65" s="64">
        <v>27.24</v>
      </c>
      <c r="D65" s="64">
        <v>26.64</v>
      </c>
      <c r="E65" s="64">
        <v>8.82</v>
      </c>
      <c r="F65" s="64">
        <v>3.47</v>
      </c>
      <c r="G65" s="64">
        <v>36.81</v>
      </c>
      <c r="H65" s="64">
        <v>16.55</v>
      </c>
      <c r="I65" s="64">
        <v>0.1</v>
      </c>
      <c r="J65" s="64">
        <v>1.51</v>
      </c>
      <c r="K65" s="64">
        <v>331.11</v>
      </c>
      <c r="L65" s="64">
        <v>25.81</v>
      </c>
      <c r="M65" s="64">
        <v>31.34</v>
      </c>
      <c r="N65" s="64">
        <v>149.19999999999999</v>
      </c>
      <c r="O65" s="64">
        <v>0</v>
      </c>
      <c r="P65" s="64">
        <v>1.1399999999999999</v>
      </c>
      <c r="Q65" s="64">
        <v>9.61</v>
      </c>
      <c r="S65" s="198"/>
      <c r="T65" s="198"/>
      <c r="U65" s="198"/>
    </row>
    <row r="66" spans="1:21" s="12" customFormat="1" x14ac:dyDescent="0.25">
      <c r="A66" s="214" t="s">
        <v>2417</v>
      </c>
      <c r="B66" s="64">
        <v>15.5</v>
      </c>
      <c r="C66" s="64">
        <v>27.61</v>
      </c>
      <c r="D66" s="64">
        <v>26.2</v>
      </c>
      <c r="E66" s="64">
        <v>8.19</v>
      </c>
      <c r="F66" s="64">
        <v>4.49</v>
      </c>
      <c r="G66" s="64">
        <v>43.65</v>
      </c>
      <c r="H66" s="64">
        <v>16.09</v>
      </c>
      <c r="I66" s="64">
        <v>0.1</v>
      </c>
      <c r="J66" s="64">
        <v>1.91</v>
      </c>
      <c r="K66" s="64">
        <v>338.54</v>
      </c>
      <c r="L66" s="64">
        <v>25.55</v>
      </c>
      <c r="M66" s="64">
        <v>31.61</v>
      </c>
      <c r="N66" s="64">
        <v>124.6</v>
      </c>
      <c r="O66" s="64">
        <v>0</v>
      </c>
      <c r="P66" s="64">
        <v>1.1299999999999999</v>
      </c>
      <c r="Q66" s="64">
        <v>9.6</v>
      </c>
      <c r="S66" s="198"/>
      <c r="T66" s="198"/>
      <c r="U66" s="198"/>
    </row>
    <row r="67" spans="1:21" s="12" customFormat="1" x14ac:dyDescent="0.25">
      <c r="A67" s="214" t="s">
        <v>2418</v>
      </c>
      <c r="B67" s="64">
        <v>13.32</v>
      </c>
      <c r="C67" s="64">
        <v>28.17</v>
      </c>
      <c r="D67" s="64">
        <v>24.75</v>
      </c>
      <c r="E67" s="64">
        <v>12.18</v>
      </c>
      <c r="F67" s="64">
        <v>6.99</v>
      </c>
      <c r="G67" s="64">
        <v>49.64</v>
      </c>
      <c r="H67" s="64">
        <v>15.91</v>
      </c>
      <c r="I67" s="64">
        <v>0.1</v>
      </c>
      <c r="J67" s="64">
        <v>1.22</v>
      </c>
      <c r="K67" s="64">
        <v>337.53</v>
      </c>
      <c r="L67" s="64">
        <v>25.05</v>
      </c>
      <c r="M67" s="64">
        <v>32.94</v>
      </c>
      <c r="N67" s="64">
        <v>111.4</v>
      </c>
      <c r="O67" s="64">
        <v>0</v>
      </c>
      <c r="P67" s="64">
        <v>1.1100000000000001</v>
      </c>
      <c r="Q67" s="64">
        <v>9.59</v>
      </c>
      <c r="S67" s="198"/>
      <c r="T67" s="198"/>
      <c r="U67" s="198"/>
    </row>
    <row r="68" spans="1:21" s="12" customFormat="1" x14ac:dyDescent="0.25">
      <c r="A68" s="214" t="s">
        <v>2419</v>
      </c>
      <c r="B68" s="64">
        <v>13.09</v>
      </c>
      <c r="C68" s="64">
        <v>30.1</v>
      </c>
      <c r="D68" s="64">
        <v>25.57</v>
      </c>
      <c r="E68" s="64">
        <v>13.58</v>
      </c>
      <c r="F68" s="64">
        <v>5.93</v>
      </c>
      <c r="G68" s="64">
        <v>49.64</v>
      </c>
      <c r="H68" s="64">
        <v>15.91</v>
      </c>
      <c r="I68" s="64">
        <v>0.1</v>
      </c>
      <c r="J68" s="64">
        <v>1.83</v>
      </c>
      <c r="K68" s="64">
        <v>342.34</v>
      </c>
      <c r="L68" s="64">
        <v>24.87</v>
      </c>
      <c r="M68" s="64">
        <v>31.04</v>
      </c>
      <c r="N68" s="64">
        <v>99.5</v>
      </c>
      <c r="O68" s="64">
        <v>0</v>
      </c>
      <c r="P68" s="64">
        <v>1.1499999999999999</v>
      </c>
      <c r="Q68" s="64">
        <v>9.6</v>
      </c>
      <c r="S68" s="198"/>
      <c r="T68" s="198"/>
      <c r="U68" s="198"/>
    </row>
    <row r="69" spans="1:21" s="12" customFormat="1" x14ac:dyDescent="0.25">
      <c r="A69" s="214" t="s">
        <v>2420</v>
      </c>
      <c r="B69" s="64">
        <v>11.94</v>
      </c>
      <c r="C69" s="64">
        <v>33.76</v>
      </c>
      <c r="D69" s="64">
        <v>26.56</v>
      </c>
      <c r="E69" s="64">
        <v>24.92</v>
      </c>
      <c r="F69" s="64">
        <v>9.92</v>
      </c>
      <c r="G69" s="64">
        <v>49.64</v>
      </c>
      <c r="H69" s="64">
        <v>15.91</v>
      </c>
      <c r="I69" s="64">
        <v>0.1</v>
      </c>
      <c r="J69" s="64">
        <v>1.35</v>
      </c>
      <c r="K69" s="64">
        <v>342.68</v>
      </c>
      <c r="L69" s="64">
        <v>24.69</v>
      </c>
      <c r="M69" s="64">
        <v>30.54</v>
      </c>
      <c r="N69" s="64">
        <v>92.4</v>
      </c>
      <c r="O69" s="64">
        <v>0</v>
      </c>
      <c r="P69" s="64">
        <v>1.17</v>
      </c>
      <c r="Q69" s="64">
        <v>9.6</v>
      </c>
      <c r="S69" s="198"/>
      <c r="T69" s="198"/>
      <c r="U69" s="198"/>
    </row>
    <row r="70" spans="1:21" s="12" customFormat="1" x14ac:dyDescent="0.25">
      <c r="A70" s="214" t="s">
        <v>2421</v>
      </c>
      <c r="B70" s="64">
        <v>12.72</v>
      </c>
      <c r="C70" s="64">
        <v>34.97</v>
      </c>
      <c r="D70" s="64">
        <v>27.82</v>
      </c>
      <c r="E70" s="64">
        <v>26.53</v>
      </c>
      <c r="F70" s="64">
        <v>8.82</v>
      </c>
      <c r="G70" s="64">
        <v>51.43</v>
      </c>
      <c r="H70" s="64">
        <v>17.309999999999999</v>
      </c>
      <c r="I70" s="64">
        <v>0.1</v>
      </c>
      <c r="J70" s="64">
        <v>1.44</v>
      </c>
      <c r="K70" s="64">
        <v>345.5</v>
      </c>
      <c r="L70" s="64">
        <v>24.36</v>
      </c>
      <c r="M70" s="64">
        <v>29.83</v>
      </c>
      <c r="N70" s="64">
        <v>85.2</v>
      </c>
      <c r="O70" s="64">
        <v>0</v>
      </c>
      <c r="P70" s="64">
        <v>1.19</v>
      </c>
      <c r="Q70" s="64">
        <v>9.61</v>
      </c>
      <c r="S70" s="198"/>
      <c r="T70" s="198"/>
      <c r="U70" s="198"/>
    </row>
    <row r="71" spans="1:21" s="12" customFormat="1" x14ac:dyDescent="0.25">
      <c r="A71" s="214" t="s">
        <v>2422</v>
      </c>
      <c r="B71" s="64">
        <v>14.58</v>
      </c>
      <c r="C71" s="64">
        <v>31.19</v>
      </c>
      <c r="D71" s="64">
        <v>27.34</v>
      </c>
      <c r="E71" s="64">
        <v>19.45</v>
      </c>
      <c r="F71" s="64">
        <v>6.88</v>
      </c>
      <c r="G71" s="64">
        <v>52.99</v>
      </c>
      <c r="H71" s="64">
        <v>17.850000000000001</v>
      </c>
      <c r="I71" s="64">
        <v>0.1</v>
      </c>
      <c r="J71" s="64">
        <v>1.66</v>
      </c>
      <c r="K71" s="64">
        <v>342.38</v>
      </c>
      <c r="L71" s="64">
        <v>24.1</v>
      </c>
      <c r="M71" s="64">
        <v>28.61</v>
      </c>
      <c r="N71" s="64">
        <v>79.400000000000006</v>
      </c>
      <c r="O71" s="64">
        <v>0</v>
      </c>
      <c r="P71" s="64">
        <v>1.22</v>
      </c>
      <c r="Q71" s="64">
        <v>9.6199999999999992</v>
      </c>
      <c r="S71" s="198"/>
      <c r="T71" s="198"/>
      <c r="U71" s="198"/>
    </row>
    <row r="72" spans="1:21" s="12" customFormat="1" x14ac:dyDescent="0.25">
      <c r="A72" s="214" t="s">
        <v>2423</v>
      </c>
      <c r="B72" s="64">
        <v>9.9</v>
      </c>
      <c r="C72" s="64">
        <v>30.29</v>
      </c>
      <c r="D72" s="64">
        <v>23.11</v>
      </c>
      <c r="E72" s="64">
        <v>14.97</v>
      </c>
      <c r="F72" s="64">
        <v>6.31</v>
      </c>
      <c r="G72" s="64">
        <v>52.99</v>
      </c>
      <c r="H72" s="64">
        <v>17.850000000000001</v>
      </c>
      <c r="I72" s="64">
        <v>0.1</v>
      </c>
      <c r="J72" s="64">
        <v>1.68</v>
      </c>
      <c r="K72" s="64">
        <v>345.27</v>
      </c>
      <c r="L72" s="64">
        <v>23.87</v>
      </c>
      <c r="M72" s="64">
        <v>28.68</v>
      </c>
      <c r="N72" s="64">
        <v>73.2</v>
      </c>
      <c r="O72" s="64">
        <v>0</v>
      </c>
      <c r="P72" s="64">
        <v>1.18</v>
      </c>
      <c r="Q72" s="64">
        <v>9.6</v>
      </c>
      <c r="S72" s="198"/>
      <c r="T72" s="198"/>
      <c r="U72" s="198"/>
    </row>
    <row r="73" spans="1:21" s="12" customFormat="1" x14ac:dyDescent="0.25">
      <c r="A73" s="214" t="s">
        <v>2424</v>
      </c>
      <c r="B73" s="64">
        <v>13.16</v>
      </c>
      <c r="C73" s="64">
        <v>30.65</v>
      </c>
      <c r="D73" s="64">
        <v>26.13</v>
      </c>
      <c r="E73" s="64">
        <v>23.16</v>
      </c>
      <c r="F73" s="64">
        <v>6.04</v>
      </c>
      <c r="G73" s="64">
        <v>52.99</v>
      </c>
      <c r="H73" s="64">
        <v>17.850000000000001</v>
      </c>
      <c r="I73" s="64">
        <v>0.1</v>
      </c>
      <c r="J73" s="64">
        <v>1.65</v>
      </c>
      <c r="K73" s="64">
        <v>345.32</v>
      </c>
      <c r="L73" s="64">
        <v>23.49</v>
      </c>
      <c r="M73" s="64">
        <v>28.31</v>
      </c>
      <c r="N73" s="64">
        <v>66.400000000000006</v>
      </c>
      <c r="O73" s="64">
        <v>0</v>
      </c>
      <c r="P73" s="64">
        <v>1.23</v>
      </c>
      <c r="Q73" s="64">
        <v>9.6</v>
      </c>
      <c r="S73" s="198"/>
      <c r="T73" s="198"/>
      <c r="U73" s="198"/>
    </row>
    <row r="74" spans="1:21" s="12" customFormat="1" x14ac:dyDescent="0.25">
      <c r="A74" s="214" t="s">
        <v>2425</v>
      </c>
      <c r="B74" s="64">
        <v>15.17</v>
      </c>
      <c r="C74" s="64">
        <v>31.28</v>
      </c>
      <c r="D74" s="64">
        <v>27.85</v>
      </c>
      <c r="E74" s="64">
        <v>24.58</v>
      </c>
      <c r="F74" s="64">
        <v>7.34</v>
      </c>
      <c r="G74" s="64">
        <v>50.94</v>
      </c>
      <c r="H74" s="64">
        <v>16.98</v>
      </c>
      <c r="I74" s="64">
        <v>0.1</v>
      </c>
      <c r="J74" s="64">
        <v>1.21</v>
      </c>
      <c r="K74" s="64">
        <v>350.24</v>
      </c>
      <c r="L74" s="64">
        <v>23.12</v>
      </c>
      <c r="M74" s="64">
        <v>30.09</v>
      </c>
      <c r="N74" s="64">
        <v>62.3</v>
      </c>
      <c r="O74" s="64">
        <v>0</v>
      </c>
      <c r="P74" s="64">
        <v>1.28</v>
      </c>
      <c r="Q74" s="64">
        <v>9.61</v>
      </c>
      <c r="S74" s="198"/>
      <c r="T74" s="198"/>
      <c r="U74" s="198"/>
    </row>
    <row r="75" spans="1:21" s="12" customFormat="1" x14ac:dyDescent="0.25">
      <c r="A75" s="214" t="s">
        <v>2426</v>
      </c>
      <c r="B75" s="64">
        <v>12.8</v>
      </c>
      <c r="C75" s="64">
        <v>29.87</v>
      </c>
      <c r="D75" s="64">
        <v>25.22</v>
      </c>
      <c r="E75" s="64">
        <v>9</v>
      </c>
      <c r="F75" s="64">
        <v>3.37</v>
      </c>
      <c r="G75" s="64">
        <v>49.15</v>
      </c>
      <c r="H75" s="64">
        <v>16.34</v>
      </c>
      <c r="I75" s="64">
        <v>0.1</v>
      </c>
      <c r="J75" s="64">
        <v>1.29</v>
      </c>
      <c r="K75" s="64">
        <v>349.64</v>
      </c>
      <c r="L75" s="64">
        <v>22.52</v>
      </c>
      <c r="M75" s="64">
        <v>31.25</v>
      </c>
      <c r="N75" s="64">
        <v>56.8</v>
      </c>
      <c r="O75" s="64">
        <v>0</v>
      </c>
      <c r="P75" s="64">
        <v>1.24</v>
      </c>
      <c r="Q75" s="64">
        <v>9.59</v>
      </c>
      <c r="S75" s="198"/>
      <c r="T75" s="198"/>
      <c r="U75" s="198"/>
    </row>
    <row r="76" spans="1:21" s="12" customFormat="1" x14ac:dyDescent="0.25">
      <c r="A76" s="214" t="s">
        <v>2427</v>
      </c>
      <c r="B76" s="64">
        <v>14.69</v>
      </c>
      <c r="C76" s="64">
        <v>31.85</v>
      </c>
      <c r="D76" s="64">
        <v>27.77</v>
      </c>
      <c r="E76" s="64">
        <v>8.6199999999999992</v>
      </c>
      <c r="F76" s="64">
        <v>3.08</v>
      </c>
      <c r="G76" s="64">
        <v>49.15</v>
      </c>
      <c r="H76" s="64">
        <v>16.34</v>
      </c>
      <c r="I76" s="64">
        <v>0.1</v>
      </c>
      <c r="J76" s="64">
        <v>0.9</v>
      </c>
      <c r="K76" s="64">
        <v>1.91</v>
      </c>
      <c r="L76" s="64">
        <v>21.84</v>
      </c>
      <c r="M76" s="64">
        <v>32.18</v>
      </c>
      <c r="N76" s="64">
        <v>51.4</v>
      </c>
      <c r="O76" s="64">
        <v>0</v>
      </c>
      <c r="P76" s="64">
        <v>1.25</v>
      </c>
      <c r="Q76" s="64">
        <v>9.6</v>
      </c>
      <c r="S76" s="198"/>
      <c r="T76" s="198"/>
      <c r="U76" s="198"/>
    </row>
    <row r="77" spans="1:21" s="12" customFormat="1" x14ac:dyDescent="0.25">
      <c r="A77" s="214" t="s">
        <v>2428</v>
      </c>
      <c r="B77" s="64">
        <v>15.65</v>
      </c>
      <c r="C77" s="64">
        <v>31.13</v>
      </c>
      <c r="D77" s="64">
        <v>28.17</v>
      </c>
      <c r="E77" s="64">
        <v>7.66</v>
      </c>
      <c r="F77" s="64">
        <v>2.84</v>
      </c>
      <c r="G77" s="64">
        <v>49.15</v>
      </c>
      <c r="H77" s="64">
        <v>16.34</v>
      </c>
      <c r="I77" s="64">
        <v>0.1</v>
      </c>
      <c r="J77" s="64">
        <v>0.69</v>
      </c>
      <c r="K77" s="64">
        <v>63.55</v>
      </c>
      <c r="L77" s="64">
        <v>21.02</v>
      </c>
      <c r="M77" s="64">
        <v>34.26</v>
      </c>
      <c r="N77" s="64">
        <v>46.9</v>
      </c>
      <c r="O77" s="64">
        <v>0</v>
      </c>
      <c r="P77" s="64">
        <v>1.23</v>
      </c>
      <c r="Q77" s="64">
        <v>9.59</v>
      </c>
      <c r="S77" s="198"/>
      <c r="T77" s="198"/>
      <c r="U77" s="198"/>
    </row>
    <row r="78" spans="1:21" s="12" customFormat="1" x14ac:dyDescent="0.25">
      <c r="A78" s="214" t="s">
        <v>2429</v>
      </c>
      <c r="B78" s="64">
        <v>14.88</v>
      </c>
      <c r="C78" s="64">
        <v>29.58</v>
      </c>
      <c r="D78" s="64">
        <v>26.74</v>
      </c>
      <c r="E78" s="64">
        <v>7.05</v>
      </c>
      <c r="F78" s="64">
        <v>3.01</v>
      </c>
      <c r="G78" s="64">
        <v>48.3</v>
      </c>
      <c r="H78" s="64">
        <v>15.67</v>
      </c>
      <c r="I78" s="64">
        <v>0.1</v>
      </c>
      <c r="J78" s="64">
        <v>0.48</v>
      </c>
      <c r="K78" s="64">
        <v>28.19</v>
      </c>
      <c r="L78" s="64">
        <v>20.170000000000002</v>
      </c>
      <c r="M78" s="64">
        <v>38.57</v>
      </c>
      <c r="N78" s="64">
        <v>44</v>
      </c>
      <c r="O78" s="64">
        <v>0</v>
      </c>
      <c r="P78" s="64">
        <v>1.22</v>
      </c>
      <c r="Q78" s="64">
        <v>9.6</v>
      </c>
      <c r="S78" s="198"/>
      <c r="T78" s="198"/>
      <c r="U78" s="198"/>
    </row>
    <row r="79" spans="1:21" s="12" customFormat="1" x14ac:dyDescent="0.25">
      <c r="A79" s="214" t="s">
        <v>2430</v>
      </c>
      <c r="B79" s="64">
        <v>17.77</v>
      </c>
      <c r="C79" s="64">
        <v>26.25</v>
      </c>
      <c r="D79" s="64">
        <v>27.31</v>
      </c>
      <c r="E79" s="64">
        <v>6.39</v>
      </c>
      <c r="F79" s="64">
        <v>2.5499999999999998</v>
      </c>
      <c r="G79" s="64">
        <v>47.56</v>
      </c>
      <c r="H79" s="64">
        <v>15.4</v>
      </c>
      <c r="I79" s="64">
        <v>0.1</v>
      </c>
      <c r="J79" s="64">
        <v>0.45</v>
      </c>
      <c r="K79" s="64">
        <v>335.13</v>
      </c>
      <c r="L79" s="64">
        <v>19.05</v>
      </c>
      <c r="M79" s="64">
        <v>45.91</v>
      </c>
      <c r="N79" s="64">
        <v>43</v>
      </c>
      <c r="O79" s="64">
        <v>0</v>
      </c>
      <c r="P79" s="64">
        <v>1.26</v>
      </c>
      <c r="Q79" s="64">
        <v>9.6</v>
      </c>
      <c r="S79" s="198"/>
      <c r="T79" s="198"/>
      <c r="U79" s="198"/>
    </row>
    <row r="80" spans="1:21" s="12" customFormat="1" x14ac:dyDescent="0.25">
      <c r="A80" s="214" t="s">
        <v>2431</v>
      </c>
      <c r="B80" s="64">
        <v>19.41</v>
      </c>
      <c r="C80" s="64">
        <v>24.28</v>
      </c>
      <c r="D80" s="64">
        <v>27.6</v>
      </c>
      <c r="E80" s="64">
        <v>5.89</v>
      </c>
      <c r="F80" s="64">
        <v>2.4900000000000002</v>
      </c>
      <c r="G80" s="64">
        <v>47.56</v>
      </c>
      <c r="H80" s="64">
        <v>15.4</v>
      </c>
      <c r="I80" s="64">
        <v>0.1</v>
      </c>
      <c r="J80" s="64">
        <v>0.48</v>
      </c>
      <c r="K80" s="64">
        <v>140.13</v>
      </c>
      <c r="L80" s="64">
        <v>18.190000000000001</v>
      </c>
      <c r="M80" s="64">
        <v>49.78</v>
      </c>
      <c r="N80" s="64">
        <v>42.6</v>
      </c>
      <c r="O80" s="64">
        <v>0</v>
      </c>
      <c r="P80" s="64">
        <v>1.29</v>
      </c>
      <c r="Q80" s="64">
        <v>9.6199999999999992</v>
      </c>
      <c r="S80" s="198"/>
      <c r="T80" s="198"/>
      <c r="U80" s="198"/>
    </row>
    <row r="81" spans="1:26" s="12" customFormat="1" x14ac:dyDescent="0.25">
      <c r="A81" s="214" t="s">
        <v>2432</v>
      </c>
      <c r="B81" s="64">
        <v>23.37</v>
      </c>
      <c r="C81" s="64">
        <v>21.93</v>
      </c>
      <c r="D81" s="64">
        <v>29.54</v>
      </c>
      <c r="E81" s="64">
        <v>6.03</v>
      </c>
      <c r="F81" s="64">
        <v>2.4</v>
      </c>
      <c r="G81" s="64">
        <v>47.56</v>
      </c>
      <c r="H81" s="64">
        <v>15.4</v>
      </c>
      <c r="I81" s="64">
        <v>0.1</v>
      </c>
      <c r="J81" s="64">
        <v>0.71</v>
      </c>
      <c r="K81" s="64">
        <v>342.66</v>
      </c>
      <c r="L81" s="64">
        <v>17.71</v>
      </c>
      <c r="M81" s="64">
        <v>57.14</v>
      </c>
      <c r="N81" s="64">
        <v>42.5</v>
      </c>
      <c r="O81" s="64">
        <v>0</v>
      </c>
      <c r="P81" s="64">
        <v>1.36</v>
      </c>
      <c r="Q81" s="64">
        <v>9.6300000000000008</v>
      </c>
      <c r="S81" s="198"/>
      <c r="T81" s="198"/>
      <c r="U81" s="198"/>
    </row>
    <row r="82" spans="1:26" s="12" customFormat="1" x14ac:dyDescent="0.25">
      <c r="A82" s="214" t="s">
        <v>2433</v>
      </c>
      <c r="B82" s="64">
        <v>31.07</v>
      </c>
      <c r="C82" s="64">
        <v>17.5</v>
      </c>
      <c r="D82" s="64">
        <v>33.409999999999997</v>
      </c>
      <c r="E82" s="64">
        <v>6.08</v>
      </c>
      <c r="F82" s="64">
        <v>2.42</v>
      </c>
      <c r="G82" s="64">
        <v>59.67</v>
      </c>
      <c r="H82" s="64">
        <v>19.09</v>
      </c>
      <c r="I82" s="64">
        <v>0.1</v>
      </c>
      <c r="J82" s="64">
        <v>0.79</v>
      </c>
      <c r="K82" s="64">
        <v>352.52</v>
      </c>
      <c r="L82" s="64">
        <v>17.12</v>
      </c>
      <c r="M82" s="64">
        <v>60.78</v>
      </c>
      <c r="N82" s="64">
        <v>42.5</v>
      </c>
      <c r="O82" s="64">
        <v>0</v>
      </c>
      <c r="P82" s="64">
        <v>1.45</v>
      </c>
      <c r="Q82" s="64">
        <v>9.6199999999999992</v>
      </c>
      <c r="S82" s="198"/>
      <c r="T82" s="198"/>
      <c r="U82" s="198"/>
    </row>
    <row r="83" spans="1:26" s="12" customFormat="1" x14ac:dyDescent="0.25">
      <c r="A83" s="214" t="s">
        <v>2434</v>
      </c>
      <c r="B83" s="64">
        <v>35.81</v>
      </c>
      <c r="C83" s="64">
        <v>15.11</v>
      </c>
      <c r="D83" s="64">
        <v>35.96</v>
      </c>
      <c r="E83" s="64">
        <v>6.24</v>
      </c>
      <c r="F83" s="64">
        <v>2.4900000000000002</v>
      </c>
      <c r="G83" s="64">
        <v>70.27</v>
      </c>
      <c r="H83" s="64">
        <v>20.55</v>
      </c>
      <c r="I83" s="64">
        <v>0.1</v>
      </c>
      <c r="J83" s="64">
        <v>0.88</v>
      </c>
      <c r="K83" s="64">
        <v>354.06</v>
      </c>
      <c r="L83" s="64">
        <v>16.82</v>
      </c>
      <c r="M83" s="64">
        <v>66.290000000000006</v>
      </c>
      <c r="N83" s="64">
        <v>42.3</v>
      </c>
      <c r="O83" s="64">
        <v>0</v>
      </c>
      <c r="P83" s="64">
        <v>1.55</v>
      </c>
      <c r="Q83" s="64">
        <v>9.65</v>
      </c>
      <c r="S83" s="198"/>
      <c r="T83" s="198"/>
      <c r="U83" s="198"/>
    </row>
    <row r="84" spans="1:26" s="12" customFormat="1" x14ac:dyDescent="0.25">
      <c r="A84" s="214" t="s">
        <v>2435</v>
      </c>
      <c r="B84" s="64">
        <v>41.84</v>
      </c>
      <c r="C84" s="64">
        <v>11.63</v>
      </c>
      <c r="D84" s="64">
        <v>38.97</v>
      </c>
      <c r="E84" s="64">
        <v>6.24</v>
      </c>
      <c r="F84" s="64">
        <v>2.4300000000000002</v>
      </c>
      <c r="G84" s="64">
        <v>70.27</v>
      </c>
      <c r="H84" s="64">
        <v>20.55</v>
      </c>
      <c r="I84" s="64">
        <v>0.1</v>
      </c>
      <c r="J84" s="64">
        <v>0.69</v>
      </c>
      <c r="K84" s="64">
        <v>12.02</v>
      </c>
      <c r="L84" s="64">
        <v>16.53</v>
      </c>
      <c r="M84" s="64">
        <v>70.19</v>
      </c>
      <c r="N84" s="64">
        <v>42.4</v>
      </c>
      <c r="O84" s="64">
        <v>0</v>
      </c>
      <c r="P84" s="64">
        <v>1.71</v>
      </c>
      <c r="Q84" s="64">
        <v>9.65</v>
      </c>
      <c r="S84" s="198"/>
      <c r="T84" s="198"/>
      <c r="U84" s="198"/>
    </row>
    <row r="85" spans="1:26" s="12" customFormat="1" x14ac:dyDescent="0.25">
      <c r="A85" s="214" t="s">
        <v>2436</v>
      </c>
      <c r="B85" s="64">
        <v>48.93</v>
      </c>
      <c r="C85" s="64">
        <v>7.24</v>
      </c>
      <c r="D85" s="64">
        <v>42.37</v>
      </c>
      <c r="E85" s="64">
        <v>6.05</v>
      </c>
      <c r="F85" s="64">
        <v>2.21</v>
      </c>
      <c r="G85" s="64">
        <v>70.27</v>
      </c>
      <c r="H85" s="64">
        <v>20.55</v>
      </c>
      <c r="I85" s="64">
        <v>0.1</v>
      </c>
      <c r="J85" s="64">
        <v>0.31</v>
      </c>
      <c r="K85" s="64">
        <v>0.82</v>
      </c>
      <c r="L85" s="64">
        <v>16.309999999999999</v>
      </c>
      <c r="M85" s="64">
        <v>71.72</v>
      </c>
      <c r="N85" s="64">
        <v>42.3</v>
      </c>
      <c r="O85" s="64">
        <v>0</v>
      </c>
      <c r="P85" s="64">
        <v>1.81</v>
      </c>
      <c r="Q85" s="64">
        <v>9.65</v>
      </c>
      <c r="S85" s="198"/>
      <c r="T85" s="198"/>
      <c r="U85" s="198"/>
    </row>
    <row r="86" spans="1:26" s="12" customFormat="1" x14ac:dyDescent="0.25">
      <c r="A86" s="214" t="s">
        <v>2437</v>
      </c>
      <c r="B86" s="64">
        <v>57.66</v>
      </c>
      <c r="C86" s="64">
        <v>2.62</v>
      </c>
      <c r="D86" s="64">
        <v>46.81</v>
      </c>
      <c r="E86" s="64">
        <v>6.31</v>
      </c>
      <c r="F86" s="64">
        <v>2.27</v>
      </c>
      <c r="G86" s="64">
        <v>90.9</v>
      </c>
      <c r="H86" s="64">
        <v>26.39</v>
      </c>
      <c r="I86" s="64">
        <v>0.1</v>
      </c>
      <c r="J86" s="64">
        <v>0.79</v>
      </c>
      <c r="K86" s="64">
        <v>214.79</v>
      </c>
      <c r="L86" s="64">
        <v>15.94</v>
      </c>
      <c r="M86" s="64">
        <v>76.599999999999994</v>
      </c>
      <c r="N86" s="64">
        <v>42.4</v>
      </c>
      <c r="O86" s="64">
        <v>0</v>
      </c>
      <c r="P86" s="64">
        <v>2.0299999999999998</v>
      </c>
      <c r="Q86" s="64">
        <v>9.66</v>
      </c>
      <c r="S86" s="198"/>
      <c r="T86" s="198"/>
      <c r="U86" s="198"/>
    </row>
    <row r="87" spans="1:26" s="12" customFormat="1" x14ac:dyDescent="0.25">
      <c r="A87" s="214" t="s">
        <v>2438</v>
      </c>
      <c r="B87" s="64">
        <v>64.23</v>
      </c>
      <c r="C87" s="64">
        <v>2.62</v>
      </c>
      <c r="D87" s="64">
        <v>50.23</v>
      </c>
      <c r="E87" s="64">
        <v>6.49</v>
      </c>
      <c r="F87" s="64">
        <v>2.38</v>
      </c>
      <c r="G87" s="64">
        <v>108.95</v>
      </c>
      <c r="H87" s="64">
        <v>28.7</v>
      </c>
      <c r="I87" s="64">
        <v>0.1</v>
      </c>
      <c r="J87" s="64">
        <v>0.84</v>
      </c>
      <c r="K87" s="64">
        <v>330.43</v>
      </c>
      <c r="L87" s="64">
        <v>15.83</v>
      </c>
      <c r="M87" s="64">
        <v>78.260000000000005</v>
      </c>
      <c r="N87" s="64">
        <v>42.2</v>
      </c>
      <c r="O87" s="64">
        <v>0</v>
      </c>
      <c r="P87" s="64">
        <v>2.16</v>
      </c>
      <c r="Q87" s="64">
        <v>9.67</v>
      </c>
      <c r="S87" s="198"/>
      <c r="T87" s="198"/>
      <c r="U87" s="198"/>
    </row>
    <row r="88" spans="1:26" s="12" customFormat="1" x14ac:dyDescent="0.25">
      <c r="A88" s="214" t="s">
        <v>2439</v>
      </c>
      <c r="B88" s="64">
        <v>67.94</v>
      </c>
      <c r="C88" s="64">
        <v>2.62</v>
      </c>
      <c r="D88" s="64">
        <v>51.71</v>
      </c>
      <c r="E88" s="64">
        <v>6.39</v>
      </c>
      <c r="F88" s="64">
        <v>2.27</v>
      </c>
      <c r="G88" s="64">
        <v>108.95</v>
      </c>
      <c r="H88" s="64">
        <v>28.7</v>
      </c>
      <c r="I88" s="64">
        <v>0.1</v>
      </c>
      <c r="J88" s="64">
        <v>0.32</v>
      </c>
      <c r="K88" s="64">
        <v>295.63</v>
      </c>
      <c r="L88" s="64">
        <v>15.62</v>
      </c>
      <c r="M88" s="64">
        <v>80.48</v>
      </c>
      <c r="N88" s="64">
        <v>42.3</v>
      </c>
      <c r="O88" s="64">
        <v>0</v>
      </c>
      <c r="P88" s="64">
        <v>2.25</v>
      </c>
      <c r="Q88" s="64">
        <v>9.68</v>
      </c>
      <c r="S88" s="198"/>
      <c r="T88" s="198"/>
      <c r="U88" s="198"/>
    </row>
    <row r="89" spans="1:26" s="12" customFormat="1" x14ac:dyDescent="0.25">
      <c r="A89" s="214" t="s">
        <v>2440</v>
      </c>
      <c r="B89" s="64">
        <v>75.89</v>
      </c>
      <c r="C89" s="64">
        <v>2.62</v>
      </c>
      <c r="D89" s="64">
        <v>55.85</v>
      </c>
      <c r="E89" s="64">
        <v>6.32</v>
      </c>
      <c r="F89" s="64">
        <v>2.38</v>
      </c>
      <c r="G89" s="64">
        <v>108.95</v>
      </c>
      <c r="H89" s="64">
        <v>28.7</v>
      </c>
      <c r="I89" s="64">
        <v>0.1</v>
      </c>
      <c r="J89" s="64">
        <v>0.11</v>
      </c>
      <c r="K89" s="64">
        <v>19.86</v>
      </c>
      <c r="L89" s="64">
        <v>15.5</v>
      </c>
      <c r="M89" s="64">
        <v>83.35</v>
      </c>
      <c r="N89" s="64">
        <v>42.2</v>
      </c>
      <c r="O89" s="64">
        <v>0</v>
      </c>
      <c r="P89" s="64">
        <v>2.41</v>
      </c>
      <c r="Q89" s="64">
        <v>9.6999999999999993</v>
      </c>
      <c r="S89" s="198"/>
      <c r="T89" s="198"/>
      <c r="U89" s="198"/>
    </row>
    <row r="90" spans="1:26" s="12" customFormat="1" x14ac:dyDescent="0.25">
      <c r="A90" s="214" t="s">
        <v>2441</v>
      </c>
      <c r="B90" s="64">
        <v>86.97</v>
      </c>
      <c r="C90" s="64">
        <v>2.62</v>
      </c>
      <c r="D90" s="64">
        <v>61.55</v>
      </c>
      <c r="E90" s="64">
        <v>6.94</v>
      </c>
      <c r="F90" s="64">
        <v>2.34</v>
      </c>
      <c r="G90" s="64">
        <v>109.19</v>
      </c>
      <c r="H90" s="64">
        <v>30.07</v>
      </c>
      <c r="I90" s="64">
        <v>0.1</v>
      </c>
      <c r="J90" s="64">
        <v>0.49</v>
      </c>
      <c r="K90" s="64">
        <v>71.540000000000006</v>
      </c>
      <c r="L90" s="64">
        <v>15.46</v>
      </c>
      <c r="M90" s="64">
        <v>80.88</v>
      </c>
      <c r="N90" s="64">
        <v>42.2</v>
      </c>
      <c r="O90" s="64">
        <v>0</v>
      </c>
      <c r="P90" s="64">
        <v>2.63</v>
      </c>
      <c r="Q90" s="64">
        <v>9.7100000000000009</v>
      </c>
      <c r="S90" s="198"/>
      <c r="T90" s="198"/>
      <c r="U90" s="198"/>
    </row>
    <row r="91" spans="1:26" s="12" customFormat="1" x14ac:dyDescent="0.25">
      <c r="A91" s="214" t="s">
        <v>2442</v>
      </c>
      <c r="B91" s="64">
        <v>90.09</v>
      </c>
      <c r="C91" s="64">
        <v>2.62</v>
      </c>
      <c r="D91" s="64">
        <v>62.91</v>
      </c>
      <c r="E91" s="64">
        <v>6.9</v>
      </c>
      <c r="F91" s="64">
        <v>2.46</v>
      </c>
      <c r="G91" s="64">
        <v>109.4</v>
      </c>
      <c r="H91" s="64">
        <v>31.07</v>
      </c>
      <c r="I91" s="64">
        <v>0.1</v>
      </c>
      <c r="J91" s="64">
        <v>0.82</v>
      </c>
      <c r="K91" s="64">
        <v>355.49</v>
      </c>
      <c r="L91" s="64">
        <v>15.29</v>
      </c>
      <c r="M91" s="64">
        <v>86.38</v>
      </c>
      <c r="N91" s="64">
        <v>42.3</v>
      </c>
      <c r="O91" s="64">
        <v>0</v>
      </c>
      <c r="P91" s="64">
        <v>2.76</v>
      </c>
      <c r="Q91" s="64">
        <v>9.7100000000000009</v>
      </c>
      <c r="S91" s="198"/>
      <c r="T91" s="198"/>
      <c r="U91" s="198"/>
    </row>
    <row r="92" spans="1:26" s="12" customFormat="1" x14ac:dyDescent="0.25">
      <c r="A92" s="214" t="s">
        <v>2443</v>
      </c>
      <c r="B92" s="64">
        <v>102.05</v>
      </c>
      <c r="C92" s="64">
        <v>2.62</v>
      </c>
      <c r="D92" s="64">
        <v>68.73</v>
      </c>
      <c r="E92" s="64">
        <v>7.48</v>
      </c>
      <c r="F92" s="64">
        <v>2.5099999999999998</v>
      </c>
      <c r="G92" s="64">
        <v>109.4</v>
      </c>
      <c r="H92" s="64">
        <v>31.07</v>
      </c>
      <c r="I92" s="64">
        <v>0.1</v>
      </c>
      <c r="J92" s="64">
        <v>0.83</v>
      </c>
      <c r="K92" s="64">
        <v>10.97</v>
      </c>
      <c r="L92" s="64">
        <v>15.12</v>
      </c>
      <c r="M92" s="64">
        <v>85.44</v>
      </c>
      <c r="N92" s="64">
        <v>42.3</v>
      </c>
      <c r="O92" s="64">
        <v>0</v>
      </c>
      <c r="P92" s="64">
        <v>2.98</v>
      </c>
      <c r="Q92" s="64">
        <v>9.7200000000000006</v>
      </c>
      <c r="S92" s="198"/>
      <c r="T92" s="198"/>
      <c r="U92" s="198"/>
    </row>
    <row r="93" spans="1:26" s="12" customFormat="1" x14ac:dyDescent="0.25">
      <c r="A93" s="214" t="s">
        <v>2444</v>
      </c>
      <c r="B93" s="64">
        <v>110.99</v>
      </c>
      <c r="C93" s="64">
        <v>2.62</v>
      </c>
      <c r="D93" s="64">
        <v>73.150000000000006</v>
      </c>
      <c r="E93" s="64">
        <v>7.05</v>
      </c>
      <c r="F93" s="64">
        <v>2.4700000000000002</v>
      </c>
      <c r="G93" s="64">
        <v>109.4</v>
      </c>
      <c r="H93" s="64">
        <v>31.07</v>
      </c>
      <c r="I93" s="64">
        <v>0.1</v>
      </c>
      <c r="J93" s="64">
        <v>0.7</v>
      </c>
      <c r="K93" s="64">
        <v>334.13</v>
      </c>
      <c r="L93" s="64">
        <v>14.99</v>
      </c>
      <c r="M93" s="64">
        <v>85.88</v>
      </c>
      <c r="N93" s="64">
        <v>42.3</v>
      </c>
      <c r="O93" s="64">
        <v>0</v>
      </c>
      <c r="P93" s="64">
        <v>3.17</v>
      </c>
      <c r="Q93" s="64">
        <v>9.7200000000000006</v>
      </c>
      <c r="S93" s="198"/>
      <c r="T93" s="198"/>
      <c r="U93" s="198"/>
    </row>
    <row r="94" spans="1:26" s="12" customFormat="1" x14ac:dyDescent="0.25">
      <c r="A94" s="214" t="s">
        <v>2445</v>
      </c>
      <c r="B94" s="64">
        <v>122.19</v>
      </c>
      <c r="C94" s="64">
        <v>2.62</v>
      </c>
      <c r="D94" s="64">
        <v>78.56</v>
      </c>
      <c r="E94" s="64">
        <v>7.59</v>
      </c>
      <c r="F94" s="64">
        <v>2.5</v>
      </c>
      <c r="G94" s="64">
        <v>118.2</v>
      </c>
      <c r="H94" s="64">
        <v>35.270000000000003</v>
      </c>
      <c r="I94" s="64">
        <v>0.1</v>
      </c>
      <c r="J94" s="64">
        <v>0.74</v>
      </c>
      <c r="K94" s="64">
        <v>306.04000000000002</v>
      </c>
      <c r="L94" s="64">
        <v>14.94</v>
      </c>
      <c r="M94" s="64">
        <v>88.81</v>
      </c>
      <c r="N94" s="64">
        <v>42.3</v>
      </c>
      <c r="O94" s="64">
        <v>0</v>
      </c>
      <c r="P94" s="64">
        <v>3.35</v>
      </c>
      <c r="Q94" s="64">
        <v>9.74</v>
      </c>
      <c r="S94" s="198"/>
      <c r="T94" s="198"/>
      <c r="U94" s="198"/>
    </row>
    <row r="95" spans="1:26" s="12" customFormat="1" x14ac:dyDescent="0.25">
      <c r="A95" s="214" t="s">
        <v>2446</v>
      </c>
      <c r="B95" s="64">
        <v>132.96</v>
      </c>
      <c r="C95" s="64">
        <v>2.62</v>
      </c>
      <c r="D95" s="64">
        <v>83.93</v>
      </c>
      <c r="E95" s="64">
        <v>7.09</v>
      </c>
      <c r="F95" s="64">
        <v>2.46</v>
      </c>
      <c r="G95" s="64">
        <v>125.89</v>
      </c>
      <c r="H95" s="64">
        <v>36.94</v>
      </c>
      <c r="I95" s="64">
        <v>0.1</v>
      </c>
      <c r="J95" s="64">
        <v>0.39</v>
      </c>
      <c r="K95" s="64">
        <v>10.85</v>
      </c>
      <c r="L95" s="64">
        <v>14.74</v>
      </c>
      <c r="M95" s="64">
        <v>93.58</v>
      </c>
      <c r="N95" s="64">
        <v>42.4</v>
      </c>
      <c r="O95" s="64">
        <v>0</v>
      </c>
      <c r="P95" s="64">
        <v>3.58</v>
      </c>
      <c r="Q95" s="64">
        <v>9.75</v>
      </c>
      <c r="S95" s="198"/>
      <c r="T95" s="198"/>
      <c r="U95" s="198"/>
    </row>
    <row r="96" spans="1:26" s="12" customFormat="1" x14ac:dyDescent="0.25">
      <c r="A96" s="214" t="s">
        <v>2447</v>
      </c>
      <c r="B96" s="64">
        <v>140.69</v>
      </c>
      <c r="C96" s="64">
        <v>2.62</v>
      </c>
      <c r="D96" s="64">
        <v>87.85</v>
      </c>
      <c r="E96" s="64">
        <v>7.49</v>
      </c>
      <c r="F96" s="64">
        <v>2.42</v>
      </c>
      <c r="G96" s="64">
        <v>125.89</v>
      </c>
      <c r="H96" s="64">
        <v>36.94</v>
      </c>
      <c r="I96" s="64">
        <v>0.1</v>
      </c>
      <c r="J96" s="64">
        <v>0.37</v>
      </c>
      <c r="K96" s="64">
        <v>126.23</v>
      </c>
      <c r="L96" s="64">
        <v>14.5</v>
      </c>
      <c r="M96" s="64">
        <v>95.37</v>
      </c>
      <c r="N96" s="64">
        <v>42.3</v>
      </c>
      <c r="O96" s="64">
        <v>0</v>
      </c>
      <c r="P96" s="64">
        <v>3.78</v>
      </c>
      <c r="Q96" s="64">
        <v>9.74</v>
      </c>
      <c r="S96" s="198"/>
      <c r="T96" s="198"/>
      <c r="U96" s="198"/>
      <c r="Z96" s="109"/>
    </row>
    <row r="97" spans="1:33" s="12" customFormat="1" x14ac:dyDescent="0.25">
      <c r="A97" s="214" t="s">
        <v>2448</v>
      </c>
      <c r="B97" s="64">
        <v>149.32</v>
      </c>
      <c r="C97" s="64">
        <v>2.62</v>
      </c>
      <c r="D97" s="64">
        <v>92.21</v>
      </c>
      <c r="E97" s="64">
        <v>7.47</v>
      </c>
      <c r="F97" s="64">
        <v>2.5299999999999998</v>
      </c>
      <c r="G97" s="64">
        <v>125.89</v>
      </c>
      <c r="H97" s="64">
        <v>36.94</v>
      </c>
      <c r="I97" s="64">
        <v>0.1</v>
      </c>
      <c r="J97" s="64">
        <v>0.51</v>
      </c>
      <c r="K97" s="64">
        <v>199.06</v>
      </c>
      <c r="L97" s="64">
        <v>14.44</v>
      </c>
      <c r="M97" s="64">
        <v>96.76</v>
      </c>
      <c r="N97" s="64">
        <v>42.2</v>
      </c>
      <c r="O97" s="64">
        <v>0</v>
      </c>
      <c r="P97" s="64">
        <v>4</v>
      </c>
      <c r="Q97" s="64">
        <v>9.77</v>
      </c>
      <c r="S97" s="198"/>
      <c r="T97" s="198"/>
      <c r="U97" s="198"/>
    </row>
    <row r="98" spans="1:33" s="12" customFormat="1" x14ac:dyDescent="0.25">
      <c r="A98" s="214" t="s">
        <v>2449</v>
      </c>
      <c r="B98" s="64">
        <v>159.08000000000001</v>
      </c>
      <c r="C98" s="64">
        <v>2.62</v>
      </c>
      <c r="D98" s="64">
        <v>97.11</v>
      </c>
      <c r="E98" s="64">
        <v>7.63</v>
      </c>
      <c r="F98" s="64">
        <v>2.79</v>
      </c>
      <c r="G98" s="64">
        <v>126.33</v>
      </c>
      <c r="H98" s="64">
        <v>40.130000000000003</v>
      </c>
      <c r="I98" s="64">
        <v>0.1</v>
      </c>
      <c r="J98" s="64">
        <v>0.73</v>
      </c>
      <c r="K98" s="64">
        <v>341.12</v>
      </c>
      <c r="L98" s="64">
        <v>14.47</v>
      </c>
      <c r="M98" s="64">
        <v>97.33</v>
      </c>
      <c r="N98" s="64">
        <v>42.4</v>
      </c>
      <c r="O98" s="64">
        <v>0</v>
      </c>
      <c r="P98" s="64">
        <v>4.2</v>
      </c>
      <c r="Q98" s="64">
        <v>9.7799999999999994</v>
      </c>
      <c r="S98" s="198"/>
      <c r="T98" s="198"/>
      <c r="U98" s="198"/>
    </row>
    <row r="99" spans="1:33" s="12" customFormat="1" x14ac:dyDescent="0.25">
      <c r="A99" s="214" t="s">
        <v>2450</v>
      </c>
      <c r="B99" s="64">
        <v>169.28</v>
      </c>
      <c r="C99" s="64">
        <v>2.62</v>
      </c>
      <c r="D99" s="64">
        <v>102.1</v>
      </c>
      <c r="E99" s="64">
        <v>7.74</v>
      </c>
      <c r="F99" s="64">
        <v>2.38</v>
      </c>
      <c r="G99" s="64">
        <v>126.72</v>
      </c>
      <c r="H99" s="64">
        <v>41.4</v>
      </c>
      <c r="I99" s="64">
        <v>0.1</v>
      </c>
      <c r="J99" s="64">
        <v>0.83</v>
      </c>
      <c r="K99" s="64">
        <v>345.24</v>
      </c>
      <c r="L99" s="64">
        <v>14.18</v>
      </c>
      <c r="M99" s="64">
        <v>97.39</v>
      </c>
      <c r="N99" s="64">
        <v>42.3</v>
      </c>
      <c r="O99" s="64">
        <v>0</v>
      </c>
      <c r="P99" s="64">
        <v>4.4000000000000004</v>
      </c>
      <c r="Q99" s="64">
        <v>9.7899999999999991</v>
      </c>
      <c r="S99" s="198"/>
      <c r="T99" s="198"/>
      <c r="U99" s="198"/>
    </row>
    <row r="100" spans="1:33" s="12" customFormat="1" x14ac:dyDescent="0.25">
      <c r="A100" s="214" t="s">
        <v>2451</v>
      </c>
      <c r="B100" s="64">
        <v>176.37</v>
      </c>
      <c r="C100" s="64">
        <v>2.62</v>
      </c>
      <c r="D100" s="64">
        <v>105.71</v>
      </c>
      <c r="E100" s="64">
        <v>7.84</v>
      </c>
      <c r="F100" s="64">
        <v>2.5</v>
      </c>
      <c r="G100" s="64">
        <v>126.72</v>
      </c>
      <c r="H100" s="64">
        <v>41.4</v>
      </c>
      <c r="I100" s="64">
        <v>0.1</v>
      </c>
      <c r="J100" s="64">
        <v>0.21</v>
      </c>
      <c r="K100" s="64">
        <v>56.03</v>
      </c>
      <c r="L100" s="64">
        <v>14.03</v>
      </c>
      <c r="M100" s="64">
        <v>97.87</v>
      </c>
      <c r="N100" s="64">
        <v>42.3</v>
      </c>
      <c r="O100" s="64">
        <v>0</v>
      </c>
      <c r="P100" s="64">
        <v>4.5599999999999996</v>
      </c>
      <c r="Q100" s="64">
        <v>9.7899999999999991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2452</v>
      </c>
      <c r="B101" s="64">
        <v>186.55</v>
      </c>
      <c r="C101" s="64">
        <v>2.62</v>
      </c>
      <c r="D101" s="64">
        <v>110.84</v>
      </c>
      <c r="E101" s="64">
        <v>8</v>
      </c>
      <c r="F101" s="64">
        <v>2.5</v>
      </c>
      <c r="G101" s="64">
        <v>126.72</v>
      </c>
      <c r="H101" s="64">
        <v>41.4</v>
      </c>
      <c r="I101" s="64">
        <v>0.1</v>
      </c>
      <c r="J101" s="64">
        <v>0.8</v>
      </c>
      <c r="K101" s="64">
        <v>6.55</v>
      </c>
      <c r="L101" s="64">
        <v>13.89</v>
      </c>
      <c r="M101" s="64">
        <v>97.4</v>
      </c>
      <c r="N101" s="64">
        <v>42.4</v>
      </c>
      <c r="O101" s="64">
        <v>0</v>
      </c>
      <c r="P101" s="64">
        <v>4.74</v>
      </c>
      <c r="Q101" s="64">
        <v>9.8000000000000007</v>
      </c>
      <c r="S101" s="198"/>
      <c r="T101" s="198"/>
      <c r="U101" s="198"/>
    </row>
    <row r="102" spans="1:33" s="12" customFormat="1" x14ac:dyDescent="0.25">
      <c r="A102" s="214" t="s">
        <v>2453</v>
      </c>
      <c r="B102" s="64">
        <v>196.84</v>
      </c>
      <c r="C102" s="64">
        <v>2.62</v>
      </c>
      <c r="D102" s="64">
        <v>115.81</v>
      </c>
      <c r="E102" s="64">
        <v>8.3000000000000007</v>
      </c>
      <c r="F102" s="64">
        <v>2.5099999999999998</v>
      </c>
      <c r="G102" s="64">
        <v>121.78</v>
      </c>
      <c r="H102" s="64">
        <v>40.409999999999997</v>
      </c>
      <c r="I102" s="64">
        <v>0.1</v>
      </c>
      <c r="J102" s="64">
        <v>0.68</v>
      </c>
      <c r="K102" s="64">
        <v>331.99</v>
      </c>
      <c r="L102" s="64">
        <v>13.83</v>
      </c>
      <c r="M102" s="64">
        <v>97.41</v>
      </c>
      <c r="N102" s="64">
        <v>42.4</v>
      </c>
      <c r="O102" s="64">
        <v>0</v>
      </c>
      <c r="P102" s="64">
        <v>4.92</v>
      </c>
      <c r="Q102" s="64">
        <v>9.81</v>
      </c>
      <c r="S102" s="198"/>
      <c r="T102" s="198"/>
      <c r="U102" s="198"/>
    </row>
    <row r="103" spans="1:33" s="12" customFormat="1" x14ac:dyDescent="0.25">
      <c r="A103" s="214" t="s">
        <v>2454</v>
      </c>
      <c r="B103" s="64">
        <v>204.06</v>
      </c>
      <c r="C103" s="64">
        <v>2.62</v>
      </c>
      <c r="D103" s="64">
        <v>119.24</v>
      </c>
      <c r="E103" s="64">
        <v>8.42</v>
      </c>
      <c r="F103" s="64">
        <v>2.41</v>
      </c>
      <c r="G103" s="64">
        <v>117.45</v>
      </c>
      <c r="H103" s="64">
        <v>40.03</v>
      </c>
      <c r="I103" s="64">
        <v>0.1</v>
      </c>
      <c r="J103" s="64">
        <v>0.79</v>
      </c>
      <c r="K103" s="64">
        <v>114.66</v>
      </c>
      <c r="L103" s="64">
        <v>13.69</v>
      </c>
      <c r="M103" s="64">
        <v>97.42</v>
      </c>
      <c r="N103" s="64">
        <v>42.4</v>
      </c>
      <c r="O103" s="64">
        <v>0</v>
      </c>
      <c r="P103" s="64">
        <v>5.08</v>
      </c>
      <c r="Q103" s="64">
        <v>9.82</v>
      </c>
      <c r="S103" s="198"/>
      <c r="T103" s="198"/>
      <c r="U103" s="198"/>
    </row>
    <row r="104" spans="1:33" s="12" customFormat="1" x14ac:dyDescent="0.25">
      <c r="A104" s="214" t="s">
        <v>2455</v>
      </c>
      <c r="B104" s="64">
        <v>206.15</v>
      </c>
      <c r="C104" s="64">
        <v>2.62</v>
      </c>
      <c r="D104" s="64">
        <v>120.58</v>
      </c>
      <c r="E104" s="64">
        <v>7.7</v>
      </c>
      <c r="F104" s="64">
        <v>2.1800000000000002</v>
      </c>
      <c r="G104" s="64">
        <v>117.45</v>
      </c>
      <c r="H104" s="64">
        <v>40.03</v>
      </c>
      <c r="I104" s="64">
        <v>0.1</v>
      </c>
      <c r="J104" s="64">
        <v>0.37</v>
      </c>
      <c r="K104" s="64">
        <v>356.75</v>
      </c>
      <c r="L104" s="64">
        <v>13.54</v>
      </c>
      <c r="M104" s="64">
        <v>97.94</v>
      </c>
      <c r="N104" s="64">
        <v>42.3</v>
      </c>
      <c r="O104" s="64">
        <v>0</v>
      </c>
      <c r="P104" s="64">
        <v>5.22</v>
      </c>
      <c r="Q104" s="64">
        <v>9.82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9.9</v>
      </c>
      <c r="C106" s="67">
        <f>MIN(C9:C104)</f>
        <v>0.23</v>
      </c>
      <c r="D106" s="67">
        <f t="shared" ref="D106:Q106" si="0">MIN(D9:D104)</f>
        <v>23.11</v>
      </c>
      <c r="E106" s="67">
        <f t="shared" si="0"/>
        <v>4.4800000000000004</v>
      </c>
      <c r="F106" s="67">
        <f t="shared" si="0"/>
        <v>2.13</v>
      </c>
      <c r="G106" s="67">
        <f t="shared" si="0"/>
        <v>33.409999999999997</v>
      </c>
      <c r="H106" s="67">
        <f t="shared" si="0"/>
        <v>15.4</v>
      </c>
      <c r="I106" s="67">
        <f t="shared" si="0"/>
        <v>0.1</v>
      </c>
      <c r="J106" s="67">
        <f t="shared" si="0"/>
        <v>0.11</v>
      </c>
      <c r="K106" s="67">
        <f t="shared" si="0"/>
        <v>0.82</v>
      </c>
      <c r="L106" s="67">
        <f t="shared" si="0"/>
        <v>11.27</v>
      </c>
      <c r="M106" s="67">
        <f t="shared" si="0"/>
        <v>28.31</v>
      </c>
      <c r="N106" s="67">
        <f t="shared" si="0"/>
        <v>42.2</v>
      </c>
      <c r="O106" s="67">
        <f t="shared" si="0"/>
        <v>0</v>
      </c>
      <c r="P106" s="67">
        <f t="shared" si="0"/>
        <v>0.99</v>
      </c>
      <c r="Q106" s="67">
        <f t="shared" si="0"/>
        <v>9.59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206.15</v>
      </c>
      <c r="C107" s="66">
        <f t="shared" ref="C107:Q107" si="1">MAX(C9:C104)</f>
        <v>34.97</v>
      </c>
      <c r="D107" s="66">
        <f t="shared" si="1"/>
        <v>120.58</v>
      </c>
      <c r="E107" s="66">
        <f t="shared" si="1"/>
        <v>26.53</v>
      </c>
      <c r="F107" s="66">
        <f t="shared" si="1"/>
        <v>9.92</v>
      </c>
      <c r="G107" s="66">
        <f t="shared" si="1"/>
        <v>126.72</v>
      </c>
      <c r="H107" s="66">
        <f t="shared" si="1"/>
        <v>41.4</v>
      </c>
      <c r="I107" s="66">
        <f t="shared" si="1"/>
        <v>0.1</v>
      </c>
      <c r="J107" s="66">
        <f t="shared" si="1"/>
        <v>1.91</v>
      </c>
      <c r="K107" s="66">
        <f t="shared" si="1"/>
        <v>356.75</v>
      </c>
      <c r="L107" s="66">
        <f t="shared" si="1"/>
        <v>26.16</v>
      </c>
      <c r="M107" s="66">
        <f t="shared" si="1"/>
        <v>98.04</v>
      </c>
      <c r="N107" s="66">
        <f t="shared" si="1"/>
        <v>460.7</v>
      </c>
      <c r="O107" s="66">
        <f t="shared" si="1"/>
        <v>0</v>
      </c>
      <c r="P107" s="66">
        <f t="shared" si="1"/>
        <v>5.22</v>
      </c>
      <c r="Q107" s="66">
        <f t="shared" si="1"/>
        <v>9.82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63.196666666666658</v>
      </c>
      <c r="C108" s="67">
        <f t="shared" ref="C108:Q108" si="2">AVERAGE(C9:C104)</f>
        <v>14.776249999999976</v>
      </c>
      <c r="D108" s="67">
        <f t="shared" si="2"/>
        <v>48.446249999999992</v>
      </c>
      <c r="E108" s="67">
        <f t="shared" si="2"/>
        <v>7.3825000000000003</v>
      </c>
      <c r="F108" s="67">
        <f t="shared" si="2"/>
        <v>2.9791666666666679</v>
      </c>
      <c r="G108" s="67">
        <f t="shared" si="2"/>
        <v>68.360624999999956</v>
      </c>
      <c r="H108" s="67">
        <f t="shared" si="2"/>
        <v>24.989895833333332</v>
      </c>
      <c r="I108" s="67">
        <f t="shared" si="2"/>
        <v>9.9999999999999811E-2</v>
      </c>
      <c r="J108" s="67">
        <f t="shared" si="2"/>
        <v>0.82145833333333318</v>
      </c>
      <c r="K108" s="67">
        <f t="shared" si="2"/>
        <v>222.33979166666677</v>
      </c>
      <c r="L108" s="67">
        <f t="shared" si="2"/>
        <v>17.403437499999992</v>
      </c>
      <c r="M108" s="67">
        <f t="shared" si="2"/>
        <v>69.853437499999998</v>
      </c>
      <c r="N108" s="67">
        <f t="shared" si="2"/>
        <v>137.19687499999995</v>
      </c>
      <c r="O108" s="67">
        <f t="shared" si="2"/>
        <v>0</v>
      </c>
      <c r="P108" s="67">
        <f t="shared" si="2"/>
        <v>2.1355208333333335</v>
      </c>
      <c r="Q108" s="67">
        <f t="shared" si="2"/>
        <v>9.6723958333333346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47.877965345386563</v>
      </c>
      <c r="C109" s="67">
        <f t="shared" ref="C109:Q109" si="3">STDEV(C9:C104)</f>
        <v>9.4728096482289477</v>
      </c>
      <c r="D109" s="67">
        <f t="shared" si="3"/>
        <v>23.851392467350408</v>
      </c>
      <c r="E109" s="67">
        <f t="shared" si="3"/>
        <v>4.2737812667226516</v>
      </c>
      <c r="F109" s="67">
        <f t="shared" si="3"/>
        <v>1.4382677202411629</v>
      </c>
      <c r="G109" s="67">
        <f t="shared" si="3"/>
        <v>28.262085698446256</v>
      </c>
      <c r="H109" s="67">
        <f t="shared" si="3"/>
        <v>7.7711976310356459</v>
      </c>
      <c r="I109" s="67">
        <f t="shared" si="3"/>
        <v>1.9530892623466312E-16</v>
      </c>
      <c r="J109" s="67">
        <f t="shared" si="3"/>
        <v>0.43135277824333756</v>
      </c>
      <c r="K109" s="67">
        <f t="shared" si="3"/>
        <v>123.39626018370447</v>
      </c>
      <c r="L109" s="67">
        <f t="shared" si="3"/>
        <v>5.0224026181909069</v>
      </c>
      <c r="M109" s="67">
        <f t="shared" si="3"/>
        <v>27.966222063057799</v>
      </c>
      <c r="N109" s="67">
        <f t="shared" si="3"/>
        <v>147.29722508060829</v>
      </c>
      <c r="O109" s="67">
        <f t="shared" si="3"/>
        <v>0</v>
      </c>
      <c r="P109" s="67">
        <f t="shared" si="3"/>
        <v>1.078860870783982</v>
      </c>
      <c r="Q109" s="67">
        <f t="shared" si="3"/>
        <v>5.5188572266112609E-2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2456</v>
      </c>
      <c r="B9" s="64">
        <v>208.93</v>
      </c>
      <c r="C9" s="64">
        <v>7.34</v>
      </c>
      <c r="D9" s="64">
        <v>121.97</v>
      </c>
      <c r="E9" s="64">
        <v>8.51</v>
      </c>
      <c r="F9" s="64">
        <v>2.2599999999999998</v>
      </c>
      <c r="G9" s="64">
        <v>117.45</v>
      </c>
      <c r="H9" s="64">
        <v>40.03</v>
      </c>
      <c r="I9" s="64">
        <v>0.1</v>
      </c>
      <c r="J9" s="64">
        <v>0.79</v>
      </c>
      <c r="K9" s="64">
        <v>336.06</v>
      </c>
      <c r="L9" s="64">
        <v>13.46</v>
      </c>
      <c r="M9" s="64">
        <v>97.44</v>
      </c>
      <c r="N9" s="64">
        <v>42.3</v>
      </c>
      <c r="O9" s="64">
        <v>0</v>
      </c>
      <c r="P9" s="64">
        <v>5.37</v>
      </c>
      <c r="Q9" s="64">
        <v>9.82</v>
      </c>
      <c r="R9" s="198"/>
      <c r="S9" s="198"/>
      <c r="T9" s="198"/>
      <c r="U9" s="198"/>
    </row>
    <row r="10" spans="1:21" s="12" customFormat="1" x14ac:dyDescent="0.25">
      <c r="A10" s="214" t="s">
        <v>2457</v>
      </c>
      <c r="B10" s="64">
        <v>209.67</v>
      </c>
      <c r="C10" s="64">
        <v>8.4499999999999993</v>
      </c>
      <c r="D10" s="64">
        <v>122.17</v>
      </c>
      <c r="E10" s="64">
        <v>8.94</v>
      </c>
      <c r="F10" s="64">
        <v>2.37</v>
      </c>
      <c r="G10" s="64">
        <v>108.6</v>
      </c>
      <c r="H10" s="64">
        <v>40.700000000000003</v>
      </c>
      <c r="I10" s="64">
        <v>0.1</v>
      </c>
      <c r="J10" s="64">
        <v>0.76</v>
      </c>
      <c r="K10" s="64">
        <v>310.99</v>
      </c>
      <c r="L10" s="64">
        <v>13.47</v>
      </c>
      <c r="M10" s="64">
        <v>97.46</v>
      </c>
      <c r="N10" s="64">
        <v>42.3</v>
      </c>
      <c r="O10" s="64">
        <v>0</v>
      </c>
      <c r="P10" s="64">
        <v>5.48</v>
      </c>
      <c r="Q10" s="64">
        <v>9.82</v>
      </c>
      <c r="R10" s="198"/>
      <c r="S10" s="198"/>
      <c r="T10" s="198"/>
      <c r="U10" s="198"/>
    </row>
    <row r="11" spans="1:21" s="12" customFormat="1" x14ac:dyDescent="0.25">
      <c r="A11" s="214" t="s">
        <v>2458</v>
      </c>
      <c r="B11" s="64">
        <v>208.26</v>
      </c>
      <c r="C11" s="64">
        <v>9.58</v>
      </c>
      <c r="D11" s="64">
        <v>121.26</v>
      </c>
      <c r="E11" s="64">
        <v>8.91</v>
      </c>
      <c r="F11" s="64">
        <v>2.57</v>
      </c>
      <c r="G11" s="64">
        <v>99.96</v>
      </c>
      <c r="H11" s="64">
        <v>41.21</v>
      </c>
      <c r="I11" s="64">
        <v>0.1</v>
      </c>
      <c r="J11" s="64">
        <v>0.83</v>
      </c>
      <c r="K11" s="64">
        <v>306.49</v>
      </c>
      <c r="L11" s="64">
        <v>13.35</v>
      </c>
      <c r="M11" s="64">
        <v>97.47</v>
      </c>
      <c r="N11" s="64">
        <v>42.4</v>
      </c>
      <c r="O11" s="64">
        <v>0</v>
      </c>
      <c r="P11" s="64">
        <v>5.58</v>
      </c>
      <c r="Q11" s="64">
        <v>9.82</v>
      </c>
      <c r="R11" s="198"/>
      <c r="S11" s="198"/>
      <c r="T11" s="198"/>
      <c r="U11" s="198"/>
    </row>
    <row r="12" spans="1:21" s="12" customFormat="1" x14ac:dyDescent="0.25">
      <c r="A12" s="214" t="s">
        <v>2459</v>
      </c>
      <c r="B12" s="64">
        <v>206.56</v>
      </c>
      <c r="C12" s="64">
        <v>11.21</v>
      </c>
      <c r="D12" s="64">
        <v>119.99</v>
      </c>
      <c r="E12" s="64">
        <v>9.06</v>
      </c>
      <c r="F12" s="64">
        <v>2.8</v>
      </c>
      <c r="G12" s="64">
        <v>99.96</v>
      </c>
      <c r="H12" s="64">
        <v>41.21</v>
      </c>
      <c r="I12" s="64">
        <v>0.1</v>
      </c>
      <c r="J12" s="64">
        <v>0.88</v>
      </c>
      <c r="K12" s="64">
        <v>334.21</v>
      </c>
      <c r="L12" s="64">
        <v>13.1</v>
      </c>
      <c r="M12" s="64">
        <v>97.97</v>
      </c>
      <c r="N12" s="64">
        <v>42.3</v>
      </c>
      <c r="O12" s="64">
        <v>0</v>
      </c>
      <c r="P12" s="64">
        <v>5.65</v>
      </c>
      <c r="Q12" s="64">
        <v>9.82</v>
      </c>
      <c r="R12" s="198"/>
      <c r="S12" s="198"/>
      <c r="T12" s="198"/>
      <c r="U12" s="198"/>
    </row>
    <row r="13" spans="1:21" s="12" customFormat="1" x14ac:dyDescent="0.25">
      <c r="A13" s="214" t="s">
        <v>2460</v>
      </c>
      <c r="B13" s="64">
        <v>204.48</v>
      </c>
      <c r="C13" s="64">
        <v>11.54</v>
      </c>
      <c r="D13" s="64">
        <v>118.69</v>
      </c>
      <c r="E13" s="64">
        <v>8.51</v>
      </c>
      <c r="F13" s="64">
        <v>2.48</v>
      </c>
      <c r="G13" s="64">
        <v>99.96</v>
      </c>
      <c r="H13" s="64">
        <v>41.21</v>
      </c>
      <c r="I13" s="64">
        <v>0.1</v>
      </c>
      <c r="J13" s="64">
        <v>0.77</v>
      </c>
      <c r="K13" s="64">
        <v>316.23</v>
      </c>
      <c r="L13" s="64">
        <v>13.11</v>
      </c>
      <c r="M13" s="64">
        <v>97.44</v>
      </c>
      <c r="N13" s="64">
        <v>42.4</v>
      </c>
      <c r="O13" s="64">
        <v>0</v>
      </c>
      <c r="P13" s="64">
        <v>4.5599999999999996</v>
      </c>
      <c r="Q13" s="64">
        <v>9.81</v>
      </c>
      <c r="R13" s="198"/>
      <c r="S13" s="198"/>
      <c r="T13" s="198"/>
      <c r="U13" s="198"/>
    </row>
    <row r="14" spans="1:21" s="12" customFormat="1" x14ac:dyDescent="0.25">
      <c r="A14" s="214" t="s">
        <v>2461</v>
      </c>
      <c r="B14" s="64">
        <v>202.09</v>
      </c>
      <c r="C14" s="64">
        <v>12.3</v>
      </c>
      <c r="D14" s="64">
        <v>116.8</v>
      </c>
      <c r="E14" s="64">
        <v>8.65</v>
      </c>
      <c r="F14" s="64">
        <v>2.37</v>
      </c>
      <c r="G14" s="64">
        <v>108.03</v>
      </c>
      <c r="H14" s="64">
        <v>41.76</v>
      </c>
      <c r="I14" s="64">
        <v>0.1</v>
      </c>
      <c r="J14" s="64">
        <v>0.88</v>
      </c>
      <c r="K14" s="64">
        <v>314.92</v>
      </c>
      <c r="L14" s="64">
        <v>13.03</v>
      </c>
      <c r="M14" s="64">
        <v>97.43</v>
      </c>
      <c r="N14" s="64">
        <v>42.2</v>
      </c>
      <c r="O14" s="64">
        <v>0</v>
      </c>
      <c r="P14" s="64">
        <v>4.79</v>
      </c>
      <c r="Q14" s="64">
        <v>9.8000000000000007</v>
      </c>
      <c r="R14" s="198"/>
      <c r="S14" s="198"/>
      <c r="T14" s="198"/>
      <c r="U14" s="198"/>
    </row>
    <row r="15" spans="1:21" s="12" customFormat="1" x14ac:dyDescent="0.25">
      <c r="A15" s="214" t="s">
        <v>2462</v>
      </c>
      <c r="B15" s="64">
        <v>197.88</v>
      </c>
      <c r="C15" s="64">
        <v>13.05</v>
      </c>
      <c r="D15" s="64">
        <v>114.22</v>
      </c>
      <c r="E15" s="64">
        <v>8.8699999999999992</v>
      </c>
      <c r="F15" s="64">
        <v>2.77</v>
      </c>
      <c r="G15" s="64">
        <v>115.09</v>
      </c>
      <c r="H15" s="64">
        <v>41.98</v>
      </c>
      <c r="I15" s="64">
        <v>0.1</v>
      </c>
      <c r="J15" s="64">
        <v>0.89</v>
      </c>
      <c r="K15" s="64">
        <v>302.02</v>
      </c>
      <c r="L15" s="64">
        <v>13.06</v>
      </c>
      <c r="M15" s="64">
        <v>96.14</v>
      </c>
      <c r="N15" s="64">
        <v>42.2</v>
      </c>
      <c r="O15" s="64">
        <v>0</v>
      </c>
      <c r="P15" s="64">
        <v>4.72</v>
      </c>
      <c r="Q15" s="64">
        <v>9.8000000000000007</v>
      </c>
      <c r="R15" s="198"/>
      <c r="S15" s="198"/>
      <c r="T15" s="198"/>
      <c r="U15" s="198"/>
    </row>
    <row r="16" spans="1:21" s="12" customFormat="1" x14ac:dyDescent="0.25">
      <c r="A16" s="214" t="s">
        <v>2463</v>
      </c>
      <c r="B16" s="64">
        <v>189.96</v>
      </c>
      <c r="C16" s="64">
        <v>13.59</v>
      </c>
      <c r="D16" s="64">
        <v>110.28</v>
      </c>
      <c r="E16" s="64">
        <v>8.85</v>
      </c>
      <c r="F16" s="64">
        <v>2.82</v>
      </c>
      <c r="G16" s="64">
        <v>115.09</v>
      </c>
      <c r="H16" s="64">
        <v>41.98</v>
      </c>
      <c r="I16" s="64">
        <v>0.1</v>
      </c>
      <c r="J16" s="64">
        <v>0.84</v>
      </c>
      <c r="K16" s="64">
        <v>301.39</v>
      </c>
      <c r="L16" s="64">
        <v>13.07</v>
      </c>
      <c r="M16" s="64">
        <v>91.57</v>
      </c>
      <c r="N16" s="64">
        <v>42.3</v>
      </c>
      <c r="O16" s="64">
        <v>0</v>
      </c>
      <c r="P16" s="64">
        <v>4.53</v>
      </c>
      <c r="Q16" s="64">
        <v>9.8000000000000007</v>
      </c>
      <c r="R16" s="198"/>
      <c r="S16" s="198"/>
      <c r="T16" s="198"/>
      <c r="U16" s="198"/>
    </row>
    <row r="17" spans="1:21" s="12" customFormat="1" x14ac:dyDescent="0.25">
      <c r="A17" s="214" t="s">
        <v>2464</v>
      </c>
      <c r="B17" s="64">
        <v>180.51</v>
      </c>
      <c r="C17" s="64">
        <v>13.91</v>
      </c>
      <c r="D17" s="64">
        <v>105.5</v>
      </c>
      <c r="E17" s="64">
        <v>8.52</v>
      </c>
      <c r="F17" s="64">
        <v>2.79</v>
      </c>
      <c r="G17" s="64">
        <v>115.09</v>
      </c>
      <c r="H17" s="64">
        <v>41.98</v>
      </c>
      <c r="I17" s="64">
        <v>0.1</v>
      </c>
      <c r="J17" s="64">
        <v>0.7</v>
      </c>
      <c r="K17" s="64">
        <v>235.67</v>
      </c>
      <c r="L17" s="64">
        <v>13.2</v>
      </c>
      <c r="M17" s="64">
        <v>88.59</v>
      </c>
      <c r="N17" s="64">
        <v>42.3</v>
      </c>
      <c r="O17" s="64">
        <v>0</v>
      </c>
      <c r="P17" s="64">
        <v>4.33</v>
      </c>
      <c r="Q17" s="64">
        <v>9.81</v>
      </c>
      <c r="R17" s="198"/>
      <c r="S17" s="198"/>
      <c r="T17" s="198"/>
      <c r="U17" s="198"/>
    </row>
    <row r="18" spans="1:21" s="12" customFormat="1" x14ac:dyDescent="0.25">
      <c r="A18" s="214" t="s">
        <v>2465</v>
      </c>
      <c r="B18" s="64">
        <v>171.09</v>
      </c>
      <c r="C18" s="64">
        <v>14.38</v>
      </c>
      <c r="D18" s="64">
        <v>100.61</v>
      </c>
      <c r="E18" s="64">
        <v>8.4499999999999993</v>
      </c>
      <c r="F18" s="64">
        <v>2.5099999999999998</v>
      </c>
      <c r="G18" s="64">
        <v>109.59</v>
      </c>
      <c r="H18" s="64">
        <v>42.38</v>
      </c>
      <c r="I18" s="64">
        <v>0.1</v>
      </c>
      <c r="J18" s="64">
        <v>0.84</v>
      </c>
      <c r="K18" s="64">
        <v>252.32</v>
      </c>
      <c r="L18" s="64">
        <v>13.08</v>
      </c>
      <c r="M18" s="64">
        <v>91.49</v>
      </c>
      <c r="N18" s="64">
        <v>42.5</v>
      </c>
      <c r="O18" s="64">
        <v>0</v>
      </c>
      <c r="P18" s="64">
        <v>4.1399999999999997</v>
      </c>
      <c r="Q18" s="64">
        <v>9.8000000000000007</v>
      </c>
      <c r="R18" s="198"/>
      <c r="S18" s="198"/>
      <c r="T18" s="198"/>
      <c r="U18" s="198"/>
    </row>
    <row r="19" spans="1:21" s="12" customFormat="1" x14ac:dyDescent="0.25">
      <c r="A19" s="214" t="s">
        <v>2466</v>
      </c>
      <c r="B19" s="64">
        <v>162.93</v>
      </c>
      <c r="C19" s="64">
        <v>14.72</v>
      </c>
      <c r="D19" s="64">
        <v>96.36</v>
      </c>
      <c r="E19" s="64">
        <v>8.18</v>
      </c>
      <c r="F19" s="64">
        <v>2.5499999999999998</v>
      </c>
      <c r="G19" s="64">
        <v>104.78</v>
      </c>
      <c r="H19" s="64">
        <v>42.53</v>
      </c>
      <c r="I19" s="64">
        <v>0.1</v>
      </c>
      <c r="J19" s="64">
        <v>0.8</v>
      </c>
      <c r="K19" s="64">
        <v>253.16</v>
      </c>
      <c r="L19" s="64">
        <v>12.7</v>
      </c>
      <c r="M19" s="64">
        <v>95.58</v>
      </c>
      <c r="N19" s="64">
        <v>42.5</v>
      </c>
      <c r="O19" s="64">
        <v>0</v>
      </c>
      <c r="P19" s="64">
        <v>3.95</v>
      </c>
      <c r="Q19" s="64">
        <v>9.7799999999999994</v>
      </c>
      <c r="R19" s="198"/>
      <c r="S19" s="198"/>
      <c r="T19" s="198"/>
      <c r="U19" s="198"/>
    </row>
    <row r="20" spans="1:21" s="12" customFormat="1" x14ac:dyDescent="0.25">
      <c r="A20" s="214" t="s">
        <v>2467</v>
      </c>
      <c r="B20" s="64">
        <v>154.69999999999999</v>
      </c>
      <c r="C20" s="64">
        <v>14.16</v>
      </c>
      <c r="D20" s="64">
        <v>92.05</v>
      </c>
      <c r="E20" s="64">
        <v>8.65</v>
      </c>
      <c r="F20" s="64">
        <v>2.5</v>
      </c>
      <c r="G20" s="64">
        <v>104.78</v>
      </c>
      <c r="H20" s="64">
        <v>42.53</v>
      </c>
      <c r="I20" s="64">
        <v>0.1</v>
      </c>
      <c r="J20" s="64">
        <v>0.83</v>
      </c>
      <c r="K20" s="64">
        <v>283.8</v>
      </c>
      <c r="L20" s="64">
        <v>12.7</v>
      </c>
      <c r="M20" s="64">
        <v>94.83</v>
      </c>
      <c r="N20" s="64">
        <v>42.2</v>
      </c>
      <c r="O20" s="64">
        <v>0</v>
      </c>
      <c r="P20" s="64">
        <v>3.79</v>
      </c>
      <c r="Q20" s="64">
        <v>9.77</v>
      </c>
      <c r="R20" s="198"/>
      <c r="S20" s="198"/>
      <c r="T20" s="198"/>
      <c r="U20" s="198"/>
    </row>
    <row r="21" spans="1:21" s="12" customFormat="1" x14ac:dyDescent="0.25">
      <c r="A21" s="214" t="s">
        <v>2468</v>
      </c>
      <c r="B21" s="64">
        <v>146.83000000000001</v>
      </c>
      <c r="C21" s="64">
        <v>14.58</v>
      </c>
      <c r="D21" s="64">
        <v>87.99</v>
      </c>
      <c r="E21" s="64">
        <v>8.0500000000000007</v>
      </c>
      <c r="F21" s="64">
        <v>2.31</v>
      </c>
      <c r="G21" s="64">
        <v>104.78</v>
      </c>
      <c r="H21" s="64">
        <v>42.53</v>
      </c>
      <c r="I21" s="64">
        <v>0.1</v>
      </c>
      <c r="J21" s="64">
        <v>0.83</v>
      </c>
      <c r="K21" s="64">
        <v>317.52</v>
      </c>
      <c r="L21" s="64">
        <v>12.64</v>
      </c>
      <c r="M21" s="64">
        <v>93.99</v>
      </c>
      <c r="N21" s="64">
        <v>42.4</v>
      </c>
      <c r="O21" s="64">
        <v>0</v>
      </c>
      <c r="P21" s="64">
        <v>3.6</v>
      </c>
      <c r="Q21" s="64">
        <v>9.77</v>
      </c>
      <c r="R21" s="198"/>
      <c r="S21" s="198"/>
      <c r="T21" s="198"/>
      <c r="U21" s="198"/>
    </row>
    <row r="22" spans="1:21" s="12" customFormat="1" x14ac:dyDescent="0.25">
      <c r="A22" s="214" t="s">
        <v>2469</v>
      </c>
      <c r="B22" s="64">
        <v>139.01</v>
      </c>
      <c r="C22" s="64">
        <v>15.2</v>
      </c>
      <c r="D22" s="64">
        <v>83.86</v>
      </c>
      <c r="E22" s="64">
        <v>7.98</v>
      </c>
      <c r="F22" s="64">
        <v>2.39</v>
      </c>
      <c r="G22" s="64">
        <v>90.34</v>
      </c>
      <c r="H22" s="64">
        <v>39.229999999999997</v>
      </c>
      <c r="I22" s="64">
        <v>0.1</v>
      </c>
      <c r="J22" s="64">
        <v>0.56999999999999995</v>
      </c>
      <c r="K22" s="64">
        <v>330.32</v>
      </c>
      <c r="L22" s="64">
        <v>12.49</v>
      </c>
      <c r="M22" s="64">
        <v>94.45</v>
      </c>
      <c r="N22" s="64">
        <v>42.5</v>
      </c>
      <c r="O22" s="64">
        <v>0</v>
      </c>
      <c r="P22" s="64">
        <v>3.42</v>
      </c>
      <c r="Q22" s="64">
        <v>9.75</v>
      </c>
      <c r="R22" s="198"/>
      <c r="S22" s="198"/>
      <c r="T22" s="198"/>
      <c r="U22" s="198"/>
    </row>
    <row r="23" spans="1:21" s="12" customFormat="1" x14ac:dyDescent="0.25">
      <c r="A23" s="214" t="s">
        <v>2470</v>
      </c>
      <c r="B23" s="64">
        <v>132.41999999999999</v>
      </c>
      <c r="C23" s="64">
        <v>15.6</v>
      </c>
      <c r="D23" s="64">
        <v>80.33</v>
      </c>
      <c r="E23" s="64">
        <v>7.71</v>
      </c>
      <c r="F23" s="64">
        <v>2.42</v>
      </c>
      <c r="G23" s="64">
        <v>77.7</v>
      </c>
      <c r="H23" s="64">
        <v>37.92</v>
      </c>
      <c r="I23" s="64">
        <v>0.1</v>
      </c>
      <c r="J23" s="64">
        <v>0.91</v>
      </c>
      <c r="K23" s="64">
        <v>326.64</v>
      </c>
      <c r="L23" s="64">
        <v>12.26</v>
      </c>
      <c r="M23" s="64">
        <v>95.38</v>
      </c>
      <c r="N23" s="64">
        <v>42.3</v>
      </c>
      <c r="O23" s="64">
        <v>0</v>
      </c>
      <c r="P23" s="64">
        <v>3.25</v>
      </c>
      <c r="Q23" s="64">
        <v>9.73</v>
      </c>
      <c r="R23" s="198"/>
      <c r="S23" s="198"/>
      <c r="T23" s="198"/>
      <c r="U23" s="198"/>
    </row>
    <row r="24" spans="1:21" s="12" customFormat="1" x14ac:dyDescent="0.25">
      <c r="A24" s="214" t="s">
        <v>2471</v>
      </c>
      <c r="B24" s="64">
        <v>125.56</v>
      </c>
      <c r="C24" s="64">
        <v>15.79</v>
      </c>
      <c r="D24" s="64">
        <v>76.540000000000006</v>
      </c>
      <c r="E24" s="64">
        <v>7.49</v>
      </c>
      <c r="F24" s="64">
        <v>2.54</v>
      </c>
      <c r="G24" s="64">
        <v>77.7</v>
      </c>
      <c r="H24" s="64">
        <v>37.92</v>
      </c>
      <c r="I24" s="64">
        <v>0.1</v>
      </c>
      <c r="J24" s="64">
        <v>0.62</v>
      </c>
      <c r="K24" s="64">
        <v>283.72000000000003</v>
      </c>
      <c r="L24" s="64">
        <v>12.14</v>
      </c>
      <c r="M24" s="64">
        <v>95.31</v>
      </c>
      <c r="N24" s="64">
        <v>42.4</v>
      </c>
      <c r="O24" s="64">
        <v>0</v>
      </c>
      <c r="P24" s="64">
        <v>3.07</v>
      </c>
      <c r="Q24" s="64">
        <v>9.73</v>
      </c>
      <c r="R24" s="198"/>
      <c r="S24" s="198"/>
      <c r="T24" s="198"/>
      <c r="U24" s="198"/>
    </row>
    <row r="25" spans="1:21" s="12" customFormat="1" x14ac:dyDescent="0.25">
      <c r="A25" s="214" t="s">
        <v>2472</v>
      </c>
      <c r="B25" s="64">
        <v>118.16</v>
      </c>
      <c r="C25" s="64">
        <v>15.5</v>
      </c>
      <c r="D25" s="64">
        <v>72.72</v>
      </c>
      <c r="E25" s="64">
        <v>7.63</v>
      </c>
      <c r="F25" s="64">
        <v>2.2200000000000002</v>
      </c>
      <c r="G25" s="64">
        <v>77.7</v>
      </c>
      <c r="H25" s="64">
        <v>37.92</v>
      </c>
      <c r="I25" s="64">
        <v>0.1</v>
      </c>
      <c r="J25" s="64">
        <v>0.72</v>
      </c>
      <c r="K25" s="64">
        <v>265.01</v>
      </c>
      <c r="L25" s="64">
        <v>12.05</v>
      </c>
      <c r="M25" s="64">
        <v>95.88</v>
      </c>
      <c r="N25" s="64">
        <v>42.4</v>
      </c>
      <c r="O25" s="64">
        <v>0</v>
      </c>
      <c r="P25" s="64">
        <v>2.94</v>
      </c>
      <c r="Q25" s="64">
        <v>9.7100000000000009</v>
      </c>
      <c r="R25" s="198"/>
      <c r="S25" s="198"/>
      <c r="T25" s="198"/>
      <c r="U25" s="198"/>
    </row>
    <row r="26" spans="1:21" s="12" customFormat="1" x14ac:dyDescent="0.25">
      <c r="A26" s="214" t="s">
        <v>2473</v>
      </c>
      <c r="B26" s="64">
        <v>111.7</v>
      </c>
      <c r="C26" s="64">
        <v>14.57</v>
      </c>
      <c r="D26" s="64">
        <v>69.59</v>
      </c>
      <c r="E26" s="64">
        <v>7.5</v>
      </c>
      <c r="F26" s="64">
        <v>2.11</v>
      </c>
      <c r="G26" s="64">
        <v>60.8</v>
      </c>
      <c r="H26" s="64">
        <v>33.74</v>
      </c>
      <c r="I26" s="64">
        <v>0.1</v>
      </c>
      <c r="J26" s="64">
        <v>0.84</v>
      </c>
      <c r="K26" s="64">
        <v>245.19</v>
      </c>
      <c r="L26" s="64">
        <v>11.83</v>
      </c>
      <c r="M26" s="64">
        <v>97.75</v>
      </c>
      <c r="N26" s="64">
        <v>42.3</v>
      </c>
      <c r="O26" s="64">
        <v>0</v>
      </c>
      <c r="P26" s="64">
        <v>2.82</v>
      </c>
      <c r="Q26" s="64">
        <v>9.7200000000000006</v>
      </c>
      <c r="R26" s="198"/>
      <c r="S26" s="198"/>
      <c r="T26" s="198"/>
      <c r="U26" s="198"/>
    </row>
    <row r="27" spans="1:21" s="12" customFormat="1" x14ac:dyDescent="0.25">
      <c r="A27" s="214" t="s">
        <v>2474</v>
      </c>
      <c r="B27" s="64">
        <v>106.42</v>
      </c>
      <c r="C27" s="64">
        <v>13.53</v>
      </c>
      <c r="D27" s="64">
        <v>66.94</v>
      </c>
      <c r="E27" s="64">
        <v>7.51</v>
      </c>
      <c r="F27" s="64">
        <v>2.1800000000000002</v>
      </c>
      <c r="G27" s="64">
        <v>46.01</v>
      </c>
      <c r="H27" s="64">
        <v>30.68</v>
      </c>
      <c r="I27" s="64">
        <v>0.1</v>
      </c>
      <c r="J27" s="64">
        <v>0.87</v>
      </c>
      <c r="K27" s="64">
        <v>229.83</v>
      </c>
      <c r="L27" s="64">
        <v>11.87</v>
      </c>
      <c r="M27" s="64">
        <v>97.93</v>
      </c>
      <c r="N27" s="64">
        <v>42.2</v>
      </c>
      <c r="O27" s="64">
        <v>0</v>
      </c>
      <c r="P27" s="64">
        <v>2.7</v>
      </c>
      <c r="Q27" s="64">
        <v>9.7200000000000006</v>
      </c>
      <c r="R27" s="198"/>
      <c r="S27" s="198"/>
      <c r="T27" s="198"/>
      <c r="U27" s="198"/>
    </row>
    <row r="28" spans="1:21" s="12" customFormat="1" x14ac:dyDescent="0.25">
      <c r="A28" s="214" t="s">
        <v>2475</v>
      </c>
      <c r="B28" s="64">
        <v>103.35</v>
      </c>
      <c r="C28" s="64">
        <v>12.6</v>
      </c>
      <c r="D28" s="64">
        <v>65.180000000000007</v>
      </c>
      <c r="E28" s="64">
        <v>7.59</v>
      </c>
      <c r="F28" s="64">
        <v>2.23</v>
      </c>
      <c r="G28" s="64">
        <v>46.01</v>
      </c>
      <c r="H28" s="64">
        <v>30.68</v>
      </c>
      <c r="I28" s="64">
        <v>0.1</v>
      </c>
      <c r="J28" s="64">
        <v>0.81</v>
      </c>
      <c r="K28" s="64">
        <v>234.88</v>
      </c>
      <c r="L28" s="64">
        <v>11.67</v>
      </c>
      <c r="M28" s="64">
        <v>97.95</v>
      </c>
      <c r="N28" s="64">
        <v>42.5</v>
      </c>
      <c r="O28" s="64">
        <v>0</v>
      </c>
      <c r="P28" s="64">
        <v>2.57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4" t="s">
        <v>2476</v>
      </c>
      <c r="B29" s="64">
        <v>101.08</v>
      </c>
      <c r="C29" s="64">
        <v>11.38</v>
      </c>
      <c r="D29" s="64">
        <v>63.89</v>
      </c>
      <c r="E29" s="64">
        <v>7.65</v>
      </c>
      <c r="F29" s="64">
        <v>2.5499999999999998</v>
      </c>
      <c r="G29" s="64">
        <v>46.01</v>
      </c>
      <c r="H29" s="64">
        <v>30.68</v>
      </c>
      <c r="I29" s="64">
        <v>0.1</v>
      </c>
      <c r="J29" s="64">
        <v>0.79</v>
      </c>
      <c r="K29" s="64">
        <v>226.8</v>
      </c>
      <c r="L29" s="64">
        <v>11.23</v>
      </c>
      <c r="M29" s="64">
        <v>97.96</v>
      </c>
      <c r="N29" s="64">
        <v>42.5</v>
      </c>
      <c r="O29" s="64">
        <v>0</v>
      </c>
      <c r="P29" s="64">
        <v>2.4300000000000002</v>
      </c>
      <c r="Q29" s="64">
        <v>9.7100000000000009</v>
      </c>
      <c r="R29" s="198"/>
      <c r="S29" s="198"/>
      <c r="T29" s="198"/>
      <c r="U29" s="198"/>
    </row>
    <row r="30" spans="1:21" s="12" customFormat="1" x14ac:dyDescent="0.25">
      <c r="A30" s="214" t="s">
        <v>2477</v>
      </c>
      <c r="B30" s="64">
        <v>98.61</v>
      </c>
      <c r="C30" s="64">
        <v>10.1</v>
      </c>
      <c r="D30" s="64">
        <v>62.5</v>
      </c>
      <c r="E30" s="64">
        <v>7.59</v>
      </c>
      <c r="F30" s="64">
        <v>2.46</v>
      </c>
      <c r="G30" s="64">
        <v>48</v>
      </c>
      <c r="H30" s="64">
        <v>26.47</v>
      </c>
      <c r="I30" s="64">
        <v>0.1</v>
      </c>
      <c r="J30" s="64">
        <v>0.79</v>
      </c>
      <c r="K30" s="64">
        <v>234.07</v>
      </c>
      <c r="L30" s="64">
        <v>10.91</v>
      </c>
      <c r="M30" s="64">
        <v>97.99</v>
      </c>
      <c r="N30" s="64">
        <v>42.3</v>
      </c>
      <c r="O30" s="64">
        <v>0</v>
      </c>
      <c r="P30" s="64">
        <v>2.3199999999999998</v>
      </c>
      <c r="Q30" s="64">
        <v>9.6999999999999993</v>
      </c>
      <c r="R30" s="198"/>
      <c r="S30" s="198"/>
      <c r="T30" s="198"/>
      <c r="U30" s="198"/>
    </row>
    <row r="31" spans="1:21" s="12" customFormat="1" x14ac:dyDescent="0.25">
      <c r="A31" s="214" t="s">
        <v>2478</v>
      </c>
      <c r="B31" s="64">
        <v>96.81</v>
      </c>
      <c r="C31" s="64">
        <v>9.82</v>
      </c>
      <c r="D31" s="64">
        <v>61.41</v>
      </c>
      <c r="E31" s="64">
        <v>7.12</v>
      </c>
      <c r="F31" s="64">
        <v>2.85</v>
      </c>
      <c r="G31" s="64">
        <v>49.74</v>
      </c>
      <c r="H31" s="64">
        <v>24.8</v>
      </c>
      <c r="I31" s="64">
        <v>0.1</v>
      </c>
      <c r="J31" s="64">
        <v>0.77</v>
      </c>
      <c r="K31" s="64">
        <v>311.76</v>
      </c>
      <c r="L31" s="64">
        <v>10.66</v>
      </c>
      <c r="M31" s="64">
        <v>98.02</v>
      </c>
      <c r="N31" s="64">
        <v>42.3</v>
      </c>
      <c r="O31" s="64">
        <v>0</v>
      </c>
      <c r="P31" s="64">
        <v>2.2200000000000002</v>
      </c>
      <c r="Q31" s="64">
        <v>9.6999999999999993</v>
      </c>
      <c r="R31" s="198"/>
      <c r="S31" s="198"/>
      <c r="T31" s="198"/>
      <c r="U31" s="198"/>
    </row>
    <row r="32" spans="1:21" s="12" customFormat="1" x14ac:dyDescent="0.25">
      <c r="A32" s="214" t="s">
        <v>2479</v>
      </c>
      <c r="B32" s="64">
        <v>97.53</v>
      </c>
      <c r="C32" s="64">
        <v>10.08</v>
      </c>
      <c r="D32" s="64">
        <v>61.53</v>
      </c>
      <c r="E32" s="64">
        <v>7.2</v>
      </c>
      <c r="F32" s="64">
        <v>2.84</v>
      </c>
      <c r="G32" s="64">
        <v>49.74</v>
      </c>
      <c r="H32" s="64">
        <v>24.8</v>
      </c>
      <c r="I32" s="64">
        <v>0.1</v>
      </c>
      <c r="J32" s="64">
        <v>0.78</v>
      </c>
      <c r="K32" s="64">
        <v>308.60000000000002</v>
      </c>
      <c r="L32" s="64">
        <v>10.48</v>
      </c>
      <c r="M32" s="64">
        <v>98.03</v>
      </c>
      <c r="N32" s="64">
        <v>42.3</v>
      </c>
      <c r="O32" s="64">
        <v>0</v>
      </c>
      <c r="P32" s="64">
        <v>2.11</v>
      </c>
      <c r="Q32" s="64">
        <v>9.69</v>
      </c>
      <c r="R32" s="198"/>
      <c r="S32" s="198"/>
      <c r="T32" s="198"/>
      <c r="U32" s="198"/>
    </row>
    <row r="33" spans="1:21" s="12" customFormat="1" x14ac:dyDescent="0.25">
      <c r="A33" s="214" t="s">
        <v>2480</v>
      </c>
      <c r="B33" s="64">
        <v>99.52</v>
      </c>
      <c r="C33" s="64">
        <v>10.36</v>
      </c>
      <c r="D33" s="64">
        <v>62.57</v>
      </c>
      <c r="E33" s="64">
        <v>7.47</v>
      </c>
      <c r="F33" s="64">
        <v>2.15</v>
      </c>
      <c r="G33" s="64">
        <v>49.74</v>
      </c>
      <c r="H33" s="64">
        <v>24.8</v>
      </c>
      <c r="I33" s="64">
        <v>0.1</v>
      </c>
      <c r="J33" s="64">
        <v>0.7</v>
      </c>
      <c r="K33" s="64">
        <v>314.82</v>
      </c>
      <c r="L33" s="64">
        <v>10.46</v>
      </c>
      <c r="M33" s="64">
        <v>98.03</v>
      </c>
      <c r="N33" s="64">
        <v>42.5</v>
      </c>
      <c r="O33" s="64">
        <v>0</v>
      </c>
      <c r="P33" s="64">
        <v>1.98</v>
      </c>
      <c r="Q33" s="64">
        <v>9.6999999999999993</v>
      </c>
      <c r="R33" s="198"/>
      <c r="S33" s="198"/>
      <c r="T33" s="198"/>
      <c r="U33" s="198"/>
    </row>
    <row r="34" spans="1:21" s="12" customFormat="1" x14ac:dyDescent="0.25">
      <c r="A34" s="214" t="s">
        <v>2481</v>
      </c>
      <c r="B34" s="64">
        <v>100.63</v>
      </c>
      <c r="C34" s="64">
        <v>10.48</v>
      </c>
      <c r="D34" s="64">
        <v>63.07</v>
      </c>
      <c r="E34" s="64">
        <v>7.27</v>
      </c>
      <c r="F34" s="64">
        <v>2.33</v>
      </c>
      <c r="G34" s="64">
        <v>55.86</v>
      </c>
      <c r="H34" s="64">
        <v>23.65</v>
      </c>
      <c r="I34" s="64">
        <v>0.1</v>
      </c>
      <c r="J34" s="64">
        <v>0.82</v>
      </c>
      <c r="K34" s="64">
        <v>335.55</v>
      </c>
      <c r="L34" s="64">
        <v>10.44</v>
      </c>
      <c r="M34" s="64">
        <v>98.04</v>
      </c>
      <c r="N34" s="64">
        <v>43.4</v>
      </c>
      <c r="O34" s="64">
        <v>0</v>
      </c>
      <c r="P34" s="64">
        <v>1.86</v>
      </c>
      <c r="Q34" s="64">
        <v>9.6999999999999993</v>
      </c>
      <c r="R34" s="198"/>
      <c r="S34" s="198"/>
      <c r="T34" s="198"/>
      <c r="U34" s="198"/>
    </row>
    <row r="35" spans="1:21" s="12" customFormat="1" x14ac:dyDescent="0.25">
      <c r="A35" s="214" t="s">
        <v>2482</v>
      </c>
      <c r="B35" s="64">
        <v>103.34</v>
      </c>
      <c r="C35" s="64">
        <v>10.86</v>
      </c>
      <c r="D35" s="64">
        <v>64.41</v>
      </c>
      <c r="E35" s="64">
        <v>7.31</v>
      </c>
      <c r="F35" s="64">
        <v>2.5099999999999998</v>
      </c>
      <c r="G35" s="64">
        <v>61.21</v>
      </c>
      <c r="H35" s="64">
        <v>23.19</v>
      </c>
      <c r="I35" s="64">
        <v>0.1</v>
      </c>
      <c r="J35" s="64">
        <v>0.84</v>
      </c>
      <c r="K35" s="64">
        <v>356.39</v>
      </c>
      <c r="L35" s="64">
        <v>10.49</v>
      </c>
      <c r="M35" s="64">
        <v>98.04</v>
      </c>
      <c r="N35" s="64">
        <v>47.2</v>
      </c>
      <c r="O35" s="64">
        <v>0</v>
      </c>
      <c r="P35" s="64">
        <v>1.78</v>
      </c>
      <c r="Q35" s="64">
        <v>9.6999999999999993</v>
      </c>
      <c r="R35" s="198"/>
      <c r="S35" s="198"/>
      <c r="T35" s="198"/>
      <c r="U35" s="198"/>
    </row>
    <row r="36" spans="1:21" s="12" customFormat="1" x14ac:dyDescent="0.25">
      <c r="A36" s="214" t="s">
        <v>2483</v>
      </c>
      <c r="B36" s="64">
        <v>107.05</v>
      </c>
      <c r="C36" s="64">
        <v>10.86</v>
      </c>
      <c r="D36" s="64">
        <v>66.27</v>
      </c>
      <c r="E36" s="64">
        <v>7.31</v>
      </c>
      <c r="F36" s="64">
        <v>2.44</v>
      </c>
      <c r="G36" s="64">
        <v>61.21</v>
      </c>
      <c r="H36" s="64">
        <v>23.19</v>
      </c>
      <c r="I36" s="64">
        <v>0.1</v>
      </c>
      <c r="J36" s="64">
        <v>0.6</v>
      </c>
      <c r="K36" s="64">
        <v>311.01</v>
      </c>
      <c r="L36" s="64">
        <v>10.69</v>
      </c>
      <c r="M36" s="64">
        <v>98.04</v>
      </c>
      <c r="N36" s="64">
        <v>53.8</v>
      </c>
      <c r="O36" s="64">
        <v>0</v>
      </c>
      <c r="P36" s="64">
        <v>1.73</v>
      </c>
      <c r="Q36" s="64">
        <v>9.69</v>
      </c>
      <c r="R36" s="198"/>
      <c r="S36" s="198"/>
      <c r="T36" s="198"/>
      <c r="U36" s="198"/>
    </row>
    <row r="37" spans="1:21" s="12" customFormat="1" x14ac:dyDescent="0.25">
      <c r="A37" s="214" t="s">
        <v>2484</v>
      </c>
      <c r="B37" s="64">
        <v>109.46</v>
      </c>
      <c r="C37" s="64">
        <v>10.86</v>
      </c>
      <c r="D37" s="64">
        <v>67.52</v>
      </c>
      <c r="E37" s="64">
        <v>7.49</v>
      </c>
      <c r="F37" s="64">
        <v>2.2599999999999998</v>
      </c>
      <c r="G37" s="64">
        <v>61.21</v>
      </c>
      <c r="H37" s="64">
        <v>23.19</v>
      </c>
      <c r="I37" s="64">
        <v>0.1</v>
      </c>
      <c r="J37" s="64">
        <v>0.55000000000000004</v>
      </c>
      <c r="K37" s="64">
        <v>9.61</v>
      </c>
      <c r="L37" s="64">
        <v>11.04</v>
      </c>
      <c r="M37" s="64">
        <v>98.03</v>
      </c>
      <c r="N37" s="64">
        <v>61.1</v>
      </c>
      <c r="O37" s="64">
        <v>0</v>
      </c>
      <c r="P37" s="64">
        <v>2.15</v>
      </c>
      <c r="Q37" s="64">
        <v>9.6999999999999993</v>
      </c>
      <c r="R37" s="198"/>
      <c r="S37" s="198"/>
      <c r="T37" s="198"/>
      <c r="U37" s="198"/>
    </row>
    <row r="38" spans="1:21" s="12" customFormat="1" x14ac:dyDescent="0.25">
      <c r="A38" s="214" t="s">
        <v>2485</v>
      </c>
      <c r="B38" s="64">
        <v>112.1</v>
      </c>
      <c r="C38" s="64">
        <v>10.86</v>
      </c>
      <c r="D38" s="64">
        <v>68.930000000000007</v>
      </c>
      <c r="E38" s="64">
        <v>7.19</v>
      </c>
      <c r="F38" s="64">
        <v>2.73</v>
      </c>
      <c r="G38" s="64">
        <v>67.25</v>
      </c>
      <c r="H38" s="64">
        <v>24.34</v>
      </c>
      <c r="I38" s="64">
        <v>0.1</v>
      </c>
      <c r="J38" s="64">
        <v>0.84</v>
      </c>
      <c r="K38" s="64">
        <v>208.58</v>
      </c>
      <c r="L38" s="64">
        <v>11.97</v>
      </c>
      <c r="M38" s="64">
        <v>98.01</v>
      </c>
      <c r="N38" s="64">
        <v>71.3</v>
      </c>
      <c r="O38" s="64">
        <v>0</v>
      </c>
      <c r="P38" s="64">
        <v>2.2599999999999998</v>
      </c>
      <c r="Q38" s="64">
        <v>9.7100000000000009</v>
      </c>
      <c r="R38" s="198"/>
      <c r="S38" s="198"/>
      <c r="T38" s="198"/>
      <c r="U38" s="198"/>
    </row>
    <row r="39" spans="1:21" s="12" customFormat="1" x14ac:dyDescent="0.25">
      <c r="A39" s="214" t="s">
        <v>2486</v>
      </c>
      <c r="B39" s="64">
        <v>115.28</v>
      </c>
      <c r="C39" s="64">
        <v>10.86</v>
      </c>
      <c r="D39" s="64">
        <v>70.84</v>
      </c>
      <c r="E39" s="64">
        <v>7.01</v>
      </c>
      <c r="F39" s="64">
        <v>2.58</v>
      </c>
      <c r="G39" s="64">
        <v>72.53</v>
      </c>
      <c r="H39" s="64">
        <v>24.8</v>
      </c>
      <c r="I39" s="64">
        <v>0.1</v>
      </c>
      <c r="J39" s="64">
        <v>0.28999999999999998</v>
      </c>
      <c r="K39" s="64">
        <v>313.37</v>
      </c>
      <c r="L39" s="64">
        <v>13.2</v>
      </c>
      <c r="M39" s="64">
        <v>97.76</v>
      </c>
      <c r="N39" s="64">
        <v>142.69999999999999</v>
      </c>
      <c r="O39" s="64">
        <v>0</v>
      </c>
      <c r="P39" s="64">
        <v>2.23</v>
      </c>
      <c r="Q39" s="64">
        <v>9.73</v>
      </c>
      <c r="R39" s="198"/>
      <c r="S39" s="198"/>
      <c r="T39" s="198"/>
      <c r="U39" s="198"/>
    </row>
    <row r="40" spans="1:21" s="12" customFormat="1" x14ac:dyDescent="0.25">
      <c r="A40" s="214" t="s">
        <v>2487</v>
      </c>
      <c r="B40" s="64">
        <v>115.95</v>
      </c>
      <c r="C40" s="64">
        <v>10.86</v>
      </c>
      <c r="D40" s="64">
        <v>71.44</v>
      </c>
      <c r="E40" s="64">
        <v>7.37</v>
      </c>
      <c r="F40" s="64">
        <v>2.57</v>
      </c>
      <c r="G40" s="64">
        <v>72.53</v>
      </c>
      <c r="H40" s="64">
        <v>24.8</v>
      </c>
      <c r="I40" s="64">
        <v>0.1</v>
      </c>
      <c r="J40" s="64">
        <v>0.88</v>
      </c>
      <c r="K40" s="64">
        <v>6.03</v>
      </c>
      <c r="L40" s="64">
        <v>16.87</v>
      </c>
      <c r="M40" s="64">
        <v>77.760000000000005</v>
      </c>
      <c r="N40" s="64">
        <v>214.5</v>
      </c>
      <c r="O40" s="64">
        <v>0</v>
      </c>
      <c r="P40" s="64">
        <v>2.2000000000000002</v>
      </c>
      <c r="Q40" s="64">
        <v>9.73</v>
      </c>
      <c r="R40" s="198"/>
      <c r="S40" s="198"/>
      <c r="T40" s="198"/>
      <c r="U40" s="198"/>
    </row>
    <row r="41" spans="1:21" s="12" customFormat="1" x14ac:dyDescent="0.25">
      <c r="A41" s="214" t="s">
        <v>2488</v>
      </c>
      <c r="B41" s="64">
        <v>113.47</v>
      </c>
      <c r="C41" s="64">
        <v>10.86</v>
      </c>
      <c r="D41" s="64">
        <v>70.31</v>
      </c>
      <c r="E41" s="64">
        <v>7.2</v>
      </c>
      <c r="F41" s="64">
        <v>2.71</v>
      </c>
      <c r="G41" s="64">
        <v>72.53</v>
      </c>
      <c r="H41" s="64">
        <v>24.8</v>
      </c>
      <c r="I41" s="64">
        <v>0.1</v>
      </c>
      <c r="J41" s="64">
        <v>0.55000000000000004</v>
      </c>
      <c r="K41" s="64">
        <v>149.09</v>
      </c>
      <c r="L41" s="64">
        <v>18.8</v>
      </c>
      <c r="M41" s="64">
        <v>65.010000000000005</v>
      </c>
      <c r="N41" s="64">
        <v>242.6</v>
      </c>
      <c r="O41" s="64">
        <v>0</v>
      </c>
      <c r="P41" s="64">
        <v>2.16</v>
      </c>
      <c r="Q41" s="64">
        <v>9.7100000000000009</v>
      </c>
      <c r="R41" s="198"/>
      <c r="S41" s="198"/>
      <c r="T41" s="198"/>
      <c r="U41" s="198"/>
    </row>
    <row r="42" spans="1:21" s="12" customFormat="1" x14ac:dyDescent="0.25">
      <c r="A42" s="214" t="s">
        <v>2489</v>
      </c>
      <c r="B42" s="64">
        <v>109.38</v>
      </c>
      <c r="C42" s="64">
        <v>10.86</v>
      </c>
      <c r="D42" s="64">
        <v>68.12</v>
      </c>
      <c r="E42" s="64">
        <v>6.89</v>
      </c>
      <c r="F42" s="64">
        <v>2.5499999999999998</v>
      </c>
      <c r="G42" s="64">
        <v>69.86</v>
      </c>
      <c r="H42" s="64">
        <v>24.58</v>
      </c>
      <c r="I42" s="64">
        <v>0.1</v>
      </c>
      <c r="J42" s="64">
        <v>0.4</v>
      </c>
      <c r="K42" s="64">
        <v>167.89</v>
      </c>
      <c r="L42" s="64">
        <v>19.75</v>
      </c>
      <c r="M42" s="64">
        <v>62.64</v>
      </c>
      <c r="N42" s="64">
        <v>266.2</v>
      </c>
      <c r="O42" s="64">
        <v>0</v>
      </c>
      <c r="P42" s="64">
        <v>2.14</v>
      </c>
      <c r="Q42" s="64">
        <v>9.7100000000000009</v>
      </c>
      <c r="R42" s="198"/>
      <c r="S42" s="198"/>
      <c r="T42" s="198"/>
      <c r="U42" s="198"/>
    </row>
    <row r="43" spans="1:21" s="12" customFormat="1" x14ac:dyDescent="0.25">
      <c r="A43" s="214" t="s">
        <v>2490</v>
      </c>
      <c r="B43" s="64">
        <v>105.34</v>
      </c>
      <c r="C43" s="64">
        <v>10.86</v>
      </c>
      <c r="D43" s="64">
        <v>66.459999999999994</v>
      </c>
      <c r="E43" s="64">
        <v>6.73</v>
      </c>
      <c r="F43" s="64">
        <v>2.2599999999999998</v>
      </c>
      <c r="G43" s="64">
        <v>67.52</v>
      </c>
      <c r="H43" s="64">
        <v>24.43</v>
      </c>
      <c r="I43" s="64">
        <v>0.1</v>
      </c>
      <c r="J43" s="64">
        <v>0.95</v>
      </c>
      <c r="K43" s="64">
        <v>165.01</v>
      </c>
      <c r="L43" s="64">
        <v>19.72</v>
      </c>
      <c r="M43" s="64">
        <v>64.790000000000006</v>
      </c>
      <c r="N43" s="64">
        <v>287.89999999999998</v>
      </c>
      <c r="O43" s="64">
        <v>0</v>
      </c>
      <c r="P43" s="64">
        <v>2.14</v>
      </c>
      <c r="Q43" s="64">
        <v>9.6999999999999993</v>
      </c>
      <c r="R43" s="198"/>
      <c r="S43" s="198"/>
      <c r="T43" s="198"/>
      <c r="U43" s="198"/>
    </row>
    <row r="44" spans="1:21" s="12" customFormat="1" x14ac:dyDescent="0.25">
      <c r="A44" s="214" t="s">
        <v>2491</v>
      </c>
      <c r="B44" s="64">
        <v>100.9</v>
      </c>
      <c r="C44" s="64">
        <v>10.86</v>
      </c>
      <c r="D44" s="64">
        <v>64.709999999999994</v>
      </c>
      <c r="E44" s="64">
        <v>6.73</v>
      </c>
      <c r="F44" s="64">
        <v>2.36</v>
      </c>
      <c r="G44" s="64">
        <v>67.52</v>
      </c>
      <c r="H44" s="64">
        <v>24.43</v>
      </c>
      <c r="I44" s="64">
        <v>0.1</v>
      </c>
      <c r="J44" s="64">
        <v>0.11</v>
      </c>
      <c r="K44" s="64">
        <v>124.08</v>
      </c>
      <c r="L44" s="64">
        <v>21.15</v>
      </c>
      <c r="M44" s="64">
        <v>56.84</v>
      </c>
      <c r="N44" s="64">
        <v>325.2</v>
      </c>
      <c r="O44" s="64">
        <v>0</v>
      </c>
      <c r="P44" s="64">
        <v>2.15</v>
      </c>
      <c r="Q44" s="64">
        <v>9.6999999999999993</v>
      </c>
      <c r="R44" s="198"/>
      <c r="S44" s="198"/>
      <c r="T44" s="198"/>
      <c r="U44" s="198"/>
    </row>
    <row r="45" spans="1:21" s="12" customFormat="1" x14ac:dyDescent="0.25">
      <c r="A45" s="214" t="s">
        <v>2492</v>
      </c>
      <c r="B45" s="64">
        <v>93.05</v>
      </c>
      <c r="C45" s="64">
        <v>10.86</v>
      </c>
      <c r="D45" s="64">
        <v>61.13</v>
      </c>
      <c r="E45" s="64">
        <v>8.1999999999999993</v>
      </c>
      <c r="F45" s="64">
        <v>2.56</v>
      </c>
      <c r="G45" s="64">
        <v>67.52</v>
      </c>
      <c r="H45" s="64">
        <v>24.43</v>
      </c>
      <c r="I45" s="64">
        <v>0.1</v>
      </c>
      <c r="J45" s="64">
        <v>1.69</v>
      </c>
      <c r="K45" s="64">
        <v>344.45</v>
      </c>
      <c r="L45" s="64">
        <v>24.44</v>
      </c>
      <c r="M45" s="64">
        <v>38.99</v>
      </c>
      <c r="N45" s="64">
        <v>366.3</v>
      </c>
      <c r="O45" s="64">
        <v>0</v>
      </c>
      <c r="P45" s="64">
        <v>2.2200000000000002</v>
      </c>
      <c r="Q45" s="64">
        <v>9.6999999999999993</v>
      </c>
      <c r="R45" s="198"/>
      <c r="S45" s="198"/>
      <c r="T45" s="198"/>
      <c r="U45" s="198"/>
    </row>
    <row r="46" spans="1:21" s="12" customFormat="1" x14ac:dyDescent="0.25">
      <c r="A46" s="214" t="s">
        <v>2493</v>
      </c>
      <c r="B46" s="64">
        <v>88.79</v>
      </c>
      <c r="C46" s="64">
        <v>0.03</v>
      </c>
      <c r="D46" s="64">
        <v>59.3</v>
      </c>
      <c r="E46" s="64">
        <v>13.16</v>
      </c>
      <c r="F46" s="64">
        <v>2.68</v>
      </c>
      <c r="G46" s="64">
        <v>69.89</v>
      </c>
      <c r="H46" s="64">
        <v>24.18</v>
      </c>
      <c r="I46" s="64">
        <v>0.1</v>
      </c>
      <c r="J46" s="64">
        <v>1.23</v>
      </c>
      <c r="K46" s="64">
        <v>338.52</v>
      </c>
      <c r="L46" s="64">
        <v>25.83</v>
      </c>
      <c r="M46" s="64">
        <v>35.869999999999997</v>
      </c>
      <c r="N46" s="64">
        <v>374.8</v>
      </c>
      <c r="O46" s="64">
        <v>0</v>
      </c>
      <c r="P46" s="64">
        <v>2.2799999999999998</v>
      </c>
      <c r="Q46" s="64">
        <v>9.6999999999999993</v>
      </c>
      <c r="R46" s="198"/>
      <c r="S46" s="198"/>
      <c r="T46" s="198"/>
      <c r="U46" s="198"/>
    </row>
    <row r="47" spans="1:21" s="12" customFormat="1" x14ac:dyDescent="0.25">
      <c r="A47" s="214" t="s">
        <v>2494</v>
      </c>
      <c r="B47" s="64">
        <v>86.86</v>
      </c>
      <c r="C47" s="64">
        <v>0.03</v>
      </c>
      <c r="D47" s="64">
        <v>58.49</v>
      </c>
      <c r="E47" s="64">
        <v>9.5299999999999994</v>
      </c>
      <c r="F47" s="64">
        <v>2.61</v>
      </c>
      <c r="G47" s="64">
        <v>71.959999999999994</v>
      </c>
      <c r="H47" s="64">
        <v>24.08</v>
      </c>
      <c r="I47" s="64">
        <v>0.1</v>
      </c>
      <c r="J47" s="64">
        <v>0.78</v>
      </c>
      <c r="K47" s="64">
        <v>356.05</v>
      </c>
      <c r="L47" s="64">
        <v>26.47</v>
      </c>
      <c r="M47" s="64">
        <v>33.64</v>
      </c>
      <c r="N47" s="64">
        <v>410.4</v>
      </c>
      <c r="O47" s="64">
        <v>0</v>
      </c>
      <c r="P47" s="64">
        <v>2.2599999999999998</v>
      </c>
      <c r="Q47" s="64">
        <v>9.7100000000000009</v>
      </c>
      <c r="R47" s="198"/>
      <c r="S47" s="198"/>
      <c r="T47" s="198"/>
      <c r="U47" s="198"/>
    </row>
    <row r="48" spans="1:21" s="12" customFormat="1" x14ac:dyDescent="0.25">
      <c r="A48" s="214" t="s">
        <v>2495</v>
      </c>
      <c r="B48" s="64">
        <v>25.02</v>
      </c>
      <c r="C48" s="64">
        <v>0.03</v>
      </c>
      <c r="D48" s="64">
        <v>16.87</v>
      </c>
      <c r="E48" s="64">
        <v>9.82</v>
      </c>
      <c r="F48" s="64">
        <v>2.69</v>
      </c>
      <c r="G48" s="64">
        <v>71.959999999999994</v>
      </c>
      <c r="H48" s="64">
        <v>24.08</v>
      </c>
      <c r="I48" s="64">
        <v>0.1</v>
      </c>
      <c r="J48" s="64">
        <v>0.31</v>
      </c>
      <c r="K48" s="64">
        <v>111.01</v>
      </c>
      <c r="L48" s="64">
        <v>25.07</v>
      </c>
      <c r="M48" s="64">
        <v>38.5</v>
      </c>
      <c r="N48" s="64">
        <v>447.4</v>
      </c>
      <c r="O48" s="64">
        <v>0</v>
      </c>
      <c r="P48" s="64">
        <v>1.99</v>
      </c>
      <c r="Q48" s="64">
        <v>9.69</v>
      </c>
      <c r="R48" s="198"/>
      <c r="S48" s="198"/>
      <c r="T48" s="198"/>
      <c r="U48" s="198"/>
    </row>
    <row r="49" spans="1:21" s="12" customFormat="1" x14ac:dyDescent="0.25">
      <c r="A49" s="214" t="s">
        <v>2496</v>
      </c>
      <c r="B49" s="64">
        <v>0.3</v>
      </c>
      <c r="C49" s="64">
        <v>0.95</v>
      </c>
      <c r="D49" s="64">
        <v>7.0000000000000007E-2</v>
      </c>
      <c r="E49" s="64">
        <v>10.57</v>
      </c>
      <c r="F49" s="64">
        <v>4.41</v>
      </c>
      <c r="G49" s="64">
        <v>71.959999999999994</v>
      </c>
      <c r="H49" s="64">
        <v>24.08</v>
      </c>
      <c r="I49" s="64">
        <v>0</v>
      </c>
      <c r="J49" s="64">
        <v>1.24</v>
      </c>
      <c r="K49" s="64">
        <v>337.5</v>
      </c>
      <c r="L49" s="64">
        <v>21.03</v>
      </c>
      <c r="M49" s="64">
        <v>32.619999999999997</v>
      </c>
      <c r="N49" s="64">
        <v>467.4</v>
      </c>
      <c r="O49" s="64">
        <v>0</v>
      </c>
      <c r="P49" s="64">
        <v>1.82</v>
      </c>
      <c r="Q49" s="64">
        <v>9.68</v>
      </c>
      <c r="R49" s="198"/>
      <c r="S49" s="198"/>
      <c r="T49" s="198"/>
      <c r="U49" s="198"/>
    </row>
    <row r="50" spans="1:21" s="12" customFormat="1" x14ac:dyDescent="0.25">
      <c r="A50" s="214" t="s">
        <v>2497</v>
      </c>
      <c r="B50" s="64">
        <v>35.549999999999997</v>
      </c>
      <c r="C50" s="64">
        <v>7.49</v>
      </c>
      <c r="D50" s="64">
        <v>31.69</v>
      </c>
      <c r="E50" s="64">
        <v>10.16</v>
      </c>
      <c r="F50" s="64">
        <v>5.77</v>
      </c>
      <c r="G50" s="211" t="s">
        <v>40</v>
      </c>
      <c r="H50" s="211" t="s">
        <v>40</v>
      </c>
      <c r="I50" s="64">
        <v>0.89</v>
      </c>
      <c r="J50" s="64">
        <v>0.25</v>
      </c>
      <c r="K50" s="64">
        <v>54.88</v>
      </c>
      <c r="L50" s="64">
        <v>19.39</v>
      </c>
      <c r="M50" s="64">
        <v>31.13</v>
      </c>
      <c r="N50" s="64">
        <v>473.9</v>
      </c>
      <c r="O50" s="64">
        <v>0</v>
      </c>
      <c r="P50" s="64">
        <v>1.7</v>
      </c>
      <c r="Q50" s="64">
        <v>9.68</v>
      </c>
      <c r="R50" s="198"/>
      <c r="S50" s="198"/>
      <c r="T50" s="198"/>
      <c r="U50" s="198"/>
    </row>
    <row r="51" spans="1:21" s="12" customFormat="1" x14ac:dyDescent="0.25">
      <c r="A51" s="214" t="s">
        <v>2498</v>
      </c>
      <c r="B51" s="64">
        <v>41.06</v>
      </c>
      <c r="C51" s="64">
        <v>15.47</v>
      </c>
      <c r="D51" s="64">
        <v>40.36</v>
      </c>
      <c r="E51" s="64">
        <v>8.7200000000000006</v>
      </c>
      <c r="F51" s="64">
        <v>5.03</v>
      </c>
      <c r="G51" s="211" t="s">
        <v>40</v>
      </c>
      <c r="H51" s="211" t="s">
        <v>40</v>
      </c>
      <c r="I51" s="64">
        <v>5.73</v>
      </c>
      <c r="J51" s="64">
        <v>1.64</v>
      </c>
      <c r="K51" s="64">
        <v>339.63</v>
      </c>
      <c r="L51" s="64">
        <v>19.62</v>
      </c>
      <c r="M51" s="64">
        <v>29.06</v>
      </c>
      <c r="N51" s="64">
        <v>488.8</v>
      </c>
      <c r="O51" s="64">
        <v>0</v>
      </c>
      <c r="P51" s="64">
        <v>1.44</v>
      </c>
      <c r="Q51" s="64">
        <v>9.66</v>
      </c>
      <c r="R51" s="198"/>
      <c r="S51" s="198"/>
      <c r="T51" s="198"/>
      <c r="U51" s="198"/>
    </row>
    <row r="52" spans="1:21" s="12" customFormat="1" x14ac:dyDescent="0.25">
      <c r="A52" s="214" t="s">
        <v>2499</v>
      </c>
      <c r="B52" s="64">
        <v>30.45</v>
      </c>
      <c r="C52" s="64">
        <v>22.75</v>
      </c>
      <c r="D52" s="64">
        <v>35.65</v>
      </c>
      <c r="E52" s="64">
        <v>8.89</v>
      </c>
      <c r="F52" s="64">
        <v>6.01</v>
      </c>
      <c r="G52" s="211" t="s">
        <v>40</v>
      </c>
      <c r="H52" s="211" t="s">
        <v>40</v>
      </c>
      <c r="I52" s="64">
        <v>5.67</v>
      </c>
      <c r="J52" s="64">
        <v>1.17</v>
      </c>
      <c r="K52" s="64">
        <v>338.24</v>
      </c>
      <c r="L52" s="64">
        <v>20.329999999999998</v>
      </c>
      <c r="M52" s="64">
        <v>27.75</v>
      </c>
      <c r="N52" s="64">
        <v>480.4</v>
      </c>
      <c r="O52" s="64">
        <v>0</v>
      </c>
      <c r="P52" s="64">
        <v>1.23</v>
      </c>
      <c r="Q52" s="64">
        <v>9.65</v>
      </c>
      <c r="R52" s="198"/>
      <c r="S52" s="198"/>
      <c r="T52" s="198"/>
      <c r="U52" s="198"/>
    </row>
    <row r="53" spans="1:21" s="12" customFormat="1" x14ac:dyDescent="0.25">
      <c r="A53" s="214" t="s">
        <v>2500</v>
      </c>
      <c r="B53" s="64">
        <v>22.94</v>
      </c>
      <c r="C53" s="64">
        <v>26.76</v>
      </c>
      <c r="D53" s="64">
        <v>31.72</v>
      </c>
      <c r="E53" s="64">
        <v>8.42</v>
      </c>
      <c r="F53" s="64">
        <v>6.38</v>
      </c>
      <c r="G53" s="211" t="s">
        <v>40</v>
      </c>
      <c r="H53" s="211" t="s">
        <v>40</v>
      </c>
      <c r="I53" s="64">
        <v>4.97</v>
      </c>
      <c r="J53" s="64">
        <v>1.78</v>
      </c>
      <c r="K53" s="64">
        <v>340.22</v>
      </c>
      <c r="L53" s="64">
        <v>20.68</v>
      </c>
      <c r="M53" s="64">
        <v>28.41</v>
      </c>
      <c r="N53" s="64">
        <v>487.8</v>
      </c>
      <c r="O53" s="64">
        <v>0</v>
      </c>
      <c r="P53" s="64">
        <v>1.0900000000000001</v>
      </c>
      <c r="Q53" s="64">
        <v>9.64</v>
      </c>
      <c r="R53" s="198"/>
      <c r="S53" s="198"/>
      <c r="T53" s="198"/>
      <c r="U53" s="198"/>
    </row>
    <row r="54" spans="1:21" s="12" customFormat="1" x14ac:dyDescent="0.25">
      <c r="A54" s="214" t="s">
        <v>2501</v>
      </c>
      <c r="B54" s="64">
        <v>16.13</v>
      </c>
      <c r="C54" s="64">
        <v>29.32</v>
      </c>
      <c r="D54" s="64">
        <v>27.6</v>
      </c>
      <c r="E54" s="64">
        <v>8.26</v>
      </c>
      <c r="F54" s="64">
        <v>5.34</v>
      </c>
      <c r="G54" s="64">
        <v>28.37</v>
      </c>
      <c r="H54" s="64">
        <v>6.83</v>
      </c>
      <c r="I54" s="64">
        <v>4.6100000000000003</v>
      </c>
      <c r="J54" s="64">
        <v>0.5</v>
      </c>
      <c r="K54" s="64">
        <v>336.07</v>
      </c>
      <c r="L54" s="64">
        <v>20.29</v>
      </c>
      <c r="M54" s="64">
        <v>26.29</v>
      </c>
      <c r="N54" s="64">
        <v>501.6</v>
      </c>
      <c r="O54" s="64">
        <v>0</v>
      </c>
      <c r="P54" s="64">
        <v>0.95</v>
      </c>
      <c r="Q54" s="64">
        <v>9.58</v>
      </c>
      <c r="R54" s="198"/>
      <c r="S54" s="198"/>
      <c r="T54" s="198"/>
      <c r="U54" s="198"/>
    </row>
    <row r="55" spans="1:21" s="12" customFormat="1" x14ac:dyDescent="0.25">
      <c r="A55" s="214" t="s">
        <v>2502</v>
      </c>
      <c r="B55" s="64">
        <v>11.83</v>
      </c>
      <c r="C55" s="64">
        <v>30.3</v>
      </c>
      <c r="D55" s="64">
        <v>24.66</v>
      </c>
      <c r="E55" s="64">
        <v>8.48</v>
      </c>
      <c r="F55" s="64">
        <v>6.96</v>
      </c>
      <c r="G55" s="64">
        <v>32.729999999999997</v>
      </c>
      <c r="H55" s="64">
        <v>6.83</v>
      </c>
      <c r="I55" s="64">
        <v>4.0999999999999996</v>
      </c>
      <c r="J55" s="64">
        <v>0.46</v>
      </c>
      <c r="K55" s="64">
        <v>19.63</v>
      </c>
      <c r="L55" s="64">
        <v>19.329999999999998</v>
      </c>
      <c r="M55" s="64">
        <v>25.93</v>
      </c>
      <c r="N55" s="64">
        <v>507.7</v>
      </c>
      <c r="O55" s="64">
        <v>0</v>
      </c>
      <c r="P55" s="64">
        <v>0.78</v>
      </c>
      <c r="Q55" s="64">
        <v>9.51</v>
      </c>
      <c r="R55" s="198"/>
      <c r="S55" s="198"/>
      <c r="T55" s="198"/>
      <c r="U55" s="198"/>
    </row>
    <row r="56" spans="1:21" s="12" customFormat="1" x14ac:dyDescent="0.25">
      <c r="A56" s="214" t="s">
        <v>2503</v>
      </c>
      <c r="B56" s="64">
        <v>10.87</v>
      </c>
      <c r="C56" s="64">
        <v>29.62</v>
      </c>
      <c r="D56" s="64">
        <v>23.54</v>
      </c>
      <c r="E56" s="64">
        <v>7.51</v>
      </c>
      <c r="F56" s="64">
        <v>4.5199999999999996</v>
      </c>
      <c r="G56" s="64">
        <v>32.729999999999997</v>
      </c>
      <c r="H56" s="64">
        <v>7.5</v>
      </c>
      <c r="I56" s="64">
        <v>3.67</v>
      </c>
      <c r="J56" s="64">
        <v>0.46</v>
      </c>
      <c r="K56" s="64">
        <v>14.68</v>
      </c>
      <c r="L56" s="64">
        <v>19.78</v>
      </c>
      <c r="M56" s="64">
        <v>25.65</v>
      </c>
      <c r="N56" s="64">
        <v>502.3</v>
      </c>
      <c r="O56" s="64">
        <v>0</v>
      </c>
      <c r="P56" s="64">
        <v>0.74</v>
      </c>
      <c r="Q56" s="64">
        <v>9.48</v>
      </c>
      <c r="R56" s="198"/>
      <c r="S56" s="198"/>
      <c r="T56" s="198"/>
      <c r="U56" s="198"/>
    </row>
    <row r="57" spans="1:21" s="12" customFormat="1" x14ac:dyDescent="0.25">
      <c r="A57" s="214" t="s">
        <v>2504</v>
      </c>
      <c r="B57" s="64">
        <v>8.48</v>
      </c>
      <c r="C57" s="64">
        <v>28.49</v>
      </c>
      <c r="D57" s="64">
        <v>21.03</v>
      </c>
      <c r="E57" s="64">
        <v>8.57</v>
      </c>
      <c r="F57" s="64">
        <v>10.4</v>
      </c>
      <c r="G57" s="64">
        <v>32.729999999999997</v>
      </c>
      <c r="H57" s="64">
        <v>9.83</v>
      </c>
      <c r="I57" s="64">
        <v>3.25</v>
      </c>
      <c r="J57" s="64">
        <v>1.83</v>
      </c>
      <c r="K57" s="64">
        <v>344.41</v>
      </c>
      <c r="L57" s="64">
        <v>20.95</v>
      </c>
      <c r="M57" s="64">
        <v>22.62</v>
      </c>
      <c r="N57" s="64">
        <v>491.7</v>
      </c>
      <c r="O57" s="64">
        <v>0</v>
      </c>
      <c r="P57" s="64">
        <v>0.6</v>
      </c>
      <c r="Q57" s="64">
        <v>9.4600000000000009</v>
      </c>
      <c r="R57" s="198"/>
      <c r="S57" s="198"/>
      <c r="T57" s="198"/>
      <c r="U57" s="198"/>
    </row>
    <row r="58" spans="1:21" s="12" customFormat="1" x14ac:dyDescent="0.25">
      <c r="A58" s="214" t="s">
        <v>2505</v>
      </c>
      <c r="B58" s="64">
        <v>8.61</v>
      </c>
      <c r="C58" s="64">
        <v>26.42</v>
      </c>
      <c r="D58" s="64">
        <v>20.05</v>
      </c>
      <c r="E58" s="64">
        <v>8.8699999999999992</v>
      </c>
      <c r="F58" s="64">
        <v>9.48</v>
      </c>
      <c r="G58" s="64">
        <v>30.98</v>
      </c>
      <c r="H58" s="64">
        <v>7.69</v>
      </c>
      <c r="I58" s="64">
        <v>2.96</v>
      </c>
      <c r="J58" s="64">
        <v>1.55</v>
      </c>
      <c r="K58" s="64">
        <v>338.77</v>
      </c>
      <c r="L58" s="64">
        <v>21.62</v>
      </c>
      <c r="M58" s="64">
        <v>22.04</v>
      </c>
      <c r="N58" s="64">
        <v>477.6</v>
      </c>
      <c r="O58" s="64">
        <v>0</v>
      </c>
      <c r="P58" s="64">
        <v>0.54</v>
      </c>
      <c r="Q58" s="64">
        <v>9.44</v>
      </c>
      <c r="R58" s="198"/>
      <c r="S58" s="198"/>
      <c r="T58" s="198"/>
      <c r="U58" s="198"/>
    </row>
    <row r="59" spans="1:21" s="12" customFormat="1" x14ac:dyDescent="0.25">
      <c r="A59" s="214" t="s">
        <v>2506</v>
      </c>
      <c r="B59" s="64">
        <v>8.6199999999999992</v>
      </c>
      <c r="C59" s="64">
        <v>25.58</v>
      </c>
      <c r="D59" s="64">
        <v>19.62</v>
      </c>
      <c r="E59" s="64">
        <v>11.94</v>
      </c>
      <c r="F59" s="64">
        <v>11.56</v>
      </c>
      <c r="G59" s="64">
        <v>30.71</v>
      </c>
      <c r="H59" s="64">
        <v>14.87</v>
      </c>
      <c r="I59" s="64">
        <v>2.5</v>
      </c>
      <c r="J59" s="64">
        <v>1.48</v>
      </c>
      <c r="K59" s="64">
        <v>345.13</v>
      </c>
      <c r="L59" s="64">
        <v>21.78</v>
      </c>
      <c r="M59" s="64">
        <v>21.77</v>
      </c>
      <c r="N59" s="64">
        <v>471.5</v>
      </c>
      <c r="O59" s="64">
        <v>0</v>
      </c>
      <c r="P59" s="64">
        <v>0.45</v>
      </c>
      <c r="Q59" s="64">
        <v>9.44</v>
      </c>
      <c r="R59" s="198"/>
      <c r="S59" s="198"/>
      <c r="T59" s="198"/>
      <c r="U59" s="198"/>
    </row>
    <row r="60" spans="1:21" s="12" customFormat="1" x14ac:dyDescent="0.25">
      <c r="A60" s="214" t="s">
        <v>2507</v>
      </c>
      <c r="B60" s="64">
        <v>9.24</v>
      </c>
      <c r="C60" s="64">
        <v>30.2</v>
      </c>
      <c r="D60" s="64">
        <v>22.54</v>
      </c>
      <c r="E60" s="64">
        <v>13.42</v>
      </c>
      <c r="F60" s="64">
        <v>9.57</v>
      </c>
      <c r="G60" s="64">
        <v>30.71</v>
      </c>
      <c r="H60" s="64">
        <v>17.690000000000001</v>
      </c>
      <c r="I60" s="64">
        <v>2.2999999999999998</v>
      </c>
      <c r="J60" s="64">
        <v>0.46</v>
      </c>
      <c r="K60" s="64">
        <v>342.81</v>
      </c>
      <c r="L60" s="64">
        <v>20.71</v>
      </c>
      <c r="M60" s="64">
        <v>24.22</v>
      </c>
      <c r="N60" s="64">
        <v>460.8</v>
      </c>
      <c r="O60" s="64">
        <v>0</v>
      </c>
      <c r="P60" s="64">
        <v>0.37</v>
      </c>
      <c r="Q60" s="64">
        <v>9.4499999999999993</v>
      </c>
      <c r="R60" s="198"/>
      <c r="S60" s="198"/>
      <c r="T60" s="198"/>
      <c r="U60" s="198"/>
    </row>
    <row r="61" spans="1:21" s="12" customFormat="1" x14ac:dyDescent="0.25">
      <c r="A61" s="214" t="s">
        <v>2508</v>
      </c>
      <c r="B61" s="64">
        <v>9.69</v>
      </c>
      <c r="C61" s="64">
        <v>28.4</v>
      </c>
      <c r="D61" s="64">
        <v>21.95</v>
      </c>
      <c r="E61" s="64">
        <v>13.3</v>
      </c>
      <c r="F61" s="64">
        <v>11.28</v>
      </c>
      <c r="G61" s="64">
        <v>30.71</v>
      </c>
      <c r="H61" s="64">
        <v>17.690000000000001</v>
      </c>
      <c r="I61" s="64">
        <v>1.84</v>
      </c>
      <c r="J61" s="64">
        <v>1.3</v>
      </c>
      <c r="K61" s="64">
        <v>336.08</v>
      </c>
      <c r="L61" s="64">
        <v>21.07</v>
      </c>
      <c r="M61" s="64">
        <v>21.88</v>
      </c>
      <c r="N61" s="64">
        <v>461.7</v>
      </c>
      <c r="O61" s="64">
        <v>0</v>
      </c>
      <c r="P61" s="64">
        <v>0.61</v>
      </c>
      <c r="Q61" s="64">
        <v>9.4499999999999993</v>
      </c>
      <c r="R61" s="198"/>
      <c r="S61" s="198"/>
      <c r="T61" s="198"/>
      <c r="U61" s="198"/>
    </row>
    <row r="62" spans="1:21" s="12" customFormat="1" x14ac:dyDescent="0.25">
      <c r="A62" s="214" t="s">
        <v>2509</v>
      </c>
      <c r="B62" s="64">
        <v>6.64</v>
      </c>
      <c r="C62" s="64">
        <v>26.92</v>
      </c>
      <c r="D62" s="64">
        <v>18.739999999999998</v>
      </c>
      <c r="E62" s="64">
        <v>10.49</v>
      </c>
      <c r="F62" s="64">
        <v>11.82</v>
      </c>
      <c r="G62" s="64">
        <v>22.13</v>
      </c>
      <c r="H62" s="64">
        <v>7.72</v>
      </c>
      <c r="I62" s="64">
        <v>1.64</v>
      </c>
      <c r="J62" s="64">
        <v>0.78</v>
      </c>
      <c r="K62" s="64">
        <v>5.09</v>
      </c>
      <c r="L62" s="64">
        <v>20.57</v>
      </c>
      <c r="M62" s="64">
        <v>22.83</v>
      </c>
      <c r="N62" s="64">
        <v>436.3</v>
      </c>
      <c r="O62" s="64">
        <v>0</v>
      </c>
      <c r="P62" s="64">
        <v>0.63</v>
      </c>
      <c r="Q62" s="64">
        <v>9.4700000000000006</v>
      </c>
      <c r="R62" s="198"/>
      <c r="S62" s="198"/>
      <c r="T62" s="198"/>
      <c r="U62" s="198"/>
    </row>
    <row r="63" spans="1:21" s="12" customFormat="1" x14ac:dyDescent="0.25">
      <c r="A63" s="214" t="s">
        <v>2510</v>
      </c>
      <c r="B63" s="64">
        <v>6.12</v>
      </c>
      <c r="C63" s="64">
        <v>24.53</v>
      </c>
      <c r="D63" s="64">
        <v>17.07</v>
      </c>
      <c r="E63" s="64">
        <v>8.61</v>
      </c>
      <c r="F63" s="64">
        <v>13.35</v>
      </c>
      <c r="G63" s="64">
        <v>20.81</v>
      </c>
      <c r="H63" s="64">
        <v>7.72</v>
      </c>
      <c r="I63" s="64">
        <v>1.56</v>
      </c>
      <c r="J63" s="64">
        <v>0.94</v>
      </c>
      <c r="K63" s="64">
        <v>349.83</v>
      </c>
      <c r="L63" s="64">
        <v>20.8</v>
      </c>
      <c r="M63" s="64">
        <v>22.4</v>
      </c>
      <c r="N63" s="64">
        <v>426.8</v>
      </c>
      <c r="O63" s="64">
        <v>0</v>
      </c>
      <c r="P63" s="64">
        <v>0.6</v>
      </c>
      <c r="Q63" s="64">
        <v>9.48</v>
      </c>
      <c r="R63" s="198"/>
      <c r="S63" s="198"/>
      <c r="T63" s="198"/>
      <c r="U63" s="198"/>
    </row>
    <row r="64" spans="1:21" s="12" customFormat="1" x14ac:dyDescent="0.25">
      <c r="A64" s="214" t="s">
        <v>2511</v>
      </c>
      <c r="B64" s="64">
        <v>7.39</v>
      </c>
      <c r="C64" s="64">
        <v>25.01</v>
      </c>
      <c r="D64" s="64">
        <v>18.34</v>
      </c>
      <c r="E64" s="64">
        <v>12.53</v>
      </c>
      <c r="F64" s="64">
        <v>13.59</v>
      </c>
      <c r="G64" s="64">
        <v>20.81</v>
      </c>
      <c r="H64" s="64">
        <v>7.72</v>
      </c>
      <c r="I64" s="64">
        <v>1.43</v>
      </c>
      <c r="J64" s="64">
        <v>0.66</v>
      </c>
      <c r="K64" s="64">
        <v>86.91</v>
      </c>
      <c r="L64" s="64">
        <v>19.04</v>
      </c>
      <c r="M64" s="64">
        <v>24.08</v>
      </c>
      <c r="N64" s="64">
        <v>347.1</v>
      </c>
      <c r="O64" s="64">
        <v>0</v>
      </c>
      <c r="P64" s="64">
        <v>0.53</v>
      </c>
      <c r="Q64" s="64">
        <v>9.4700000000000006</v>
      </c>
      <c r="R64" s="198"/>
      <c r="S64" s="198"/>
      <c r="T64" s="198"/>
      <c r="U64" s="198"/>
    </row>
    <row r="65" spans="1:21" s="12" customFormat="1" x14ac:dyDescent="0.25">
      <c r="A65" s="214" t="s">
        <v>2512</v>
      </c>
      <c r="B65" s="64">
        <v>6.83</v>
      </c>
      <c r="C65" s="64">
        <v>27.27</v>
      </c>
      <c r="D65" s="64">
        <v>19.07</v>
      </c>
      <c r="E65" s="64">
        <v>11.9</v>
      </c>
      <c r="F65" s="64">
        <v>11.17</v>
      </c>
      <c r="G65" s="64">
        <v>20.81</v>
      </c>
      <c r="H65" s="64">
        <v>7.72</v>
      </c>
      <c r="I65" s="64">
        <v>1.35</v>
      </c>
      <c r="J65" s="64">
        <v>0.67</v>
      </c>
      <c r="K65" s="64">
        <v>16.8</v>
      </c>
      <c r="L65" s="64">
        <v>18.399999999999999</v>
      </c>
      <c r="M65" s="64">
        <v>26.54</v>
      </c>
      <c r="N65" s="64">
        <v>162</v>
      </c>
      <c r="O65" s="64">
        <v>0</v>
      </c>
      <c r="P65" s="64">
        <v>0.54</v>
      </c>
      <c r="Q65" s="64">
        <v>9.4700000000000006</v>
      </c>
      <c r="R65" s="198"/>
      <c r="S65" s="198"/>
      <c r="T65" s="198"/>
      <c r="U65" s="198"/>
    </row>
    <row r="66" spans="1:21" s="12" customFormat="1" x14ac:dyDescent="0.25">
      <c r="A66" s="214" t="s">
        <v>2513</v>
      </c>
      <c r="B66" s="64">
        <v>9.26</v>
      </c>
      <c r="C66" s="64">
        <v>27.32</v>
      </c>
      <c r="D66" s="64">
        <v>21.04</v>
      </c>
      <c r="E66" s="64">
        <v>11.94</v>
      </c>
      <c r="F66" s="64">
        <v>11.79</v>
      </c>
      <c r="G66" s="64">
        <v>25.62</v>
      </c>
      <c r="H66" s="64">
        <v>8.02</v>
      </c>
      <c r="I66" s="64">
        <v>1.21</v>
      </c>
      <c r="J66" s="64">
        <v>1.33</v>
      </c>
      <c r="K66" s="64">
        <v>340.09</v>
      </c>
      <c r="L66" s="64">
        <v>18.48</v>
      </c>
      <c r="M66" s="64">
        <v>27.14</v>
      </c>
      <c r="N66" s="64">
        <v>119</v>
      </c>
      <c r="O66" s="64">
        <v>0</v>
      </c>
      <c r="P66" s="64">
        <v>0.6</v>
      </c>
      <c r="Q66" s="64">
        <v>9.4700000000000006</v>
      </c>
      <c r="R66" s="198"/>
      <c r="S66" s="198"/>
      <c r="T66" s="198"/>
      <c r="U66" s="198"/>
    </row>
    <row r="67" spans="1:21" s="12" customFormat="1" x14ac:dyDescent="0.25">
      <c r="A67" s="214" t="s">
        <v>2514</v>
      </c>
      <c r="B67" s="64">
        <v>6.66</v>
      </c>
      <c r="C67" s="64">
        <v>27.67</v>
      </c>
      <c r="D67" s="64">
        <v>19.14</v>
      </c>
      <c r="E67" s="64">
        <v>9.41</v>
      </c>
      <c r="F67" s="64">
        <v>6.98</v>
      </c>
      <c r="G67" s="64">
        <v>26.35</v>
      </c>
      <c r="H67" s="64">
        <v>8.02</v>
      </c>
      <c r="I67" s="64">
        <v>1.28</v>
      </c>
      <c r="J67" s="64">
        <v>1.59</v>
      </c>
      <c r="K67" s="64">
        <v>347.01</v>
      </c>
      <c r="L67" s="64">
        <v>18.3</v>
      </c>
      <c r="M67" s="64">
        <v>26.68</v>
      </c>
      <c r="N67" s="64">
        <v>108.8</v>
      </c>
      <c r="O67" s="64">
        <v>0</v>
      </c>
      <c r="P67" s="64">
        <v>0.6</v>
      </c>
      <c r="Q67" s="64">
        <v>9.4499999999999993</v>
      </c>
      <c r="R67" s="198"/>
      <c r="S67" s="198"/>
      <c r="T67" s="198"/>
      <c r="U67" s="198"/>
    </row>
    <row r="68" spans="1:21" s="12" customFormat="1" x14ac:dyDescent="0.25">
      <c r="A68" s="214" t="s">
        <v>2515</v>
      </c>
      <c r="B68" s="64">
        <v>6.22</v>
      </c>
      <c r="C68" s="64">
        <v>26.85</v>
      </c>
      <c r="D68" s="64">
        <v>18.36</v>
      </c>
      <c r="E68" s="64">
        <v>8.43</v>
      </c>
      <c r="F68" s="64">
        <v>6.95</v>
      </c>
      <c r="G68" s="64">
        <v>26.35</v>
      </c>
      <c r="H68" s="64">
        <v>8.02</v>
      </c>
      <c r="I68" s="64">
        <v>1.32</v>
      </c>
      <c r="J68" s="64">
        <v>1.24</v>
      </c>
      <c r="K68" s="64">
        <v>117.53</v>
      </c>
      <c r="L68" s="64">
        <v>17.64</v>
      </c>
      <c r="M68" s="64">
        <v>27.14</v>
      </c>
      <c r="N68" s="64">
        <v>96.5</v>
      </c>
      <c r="O68" s="64">
        <v>0</v>
      </c>
      <c r="P68" s="64">
        <v>0.54</v>
      </c>
      <c r="Q68" s="64">
        <v>9.4</v>
      </c>
      <c r="R68" s="198"/>
      <c r="S68" s="198"/>
      <c r="T68" s="198"/>
      <c r="U68" s="198"/>
    </row>
    <row r="69" spans="1:21" s="12" customFormat="1" x14ac:dyDescent="0.25">
      <c r="A69" s="214" t="s">
        <v>2516</v>
      </c>
      <c r="B69" s="64">
        <v>5.22</v>
      </c>
      <c r="C69" s="64">
        <v>24.82</v>
      </c>
      <c r="D69" s="64">
        <v>16.5</v>
      </c>
      <c r="E69" s="64">
        <v>9.73</v>
      </c>
      <c r="F69" s="64">
        <v>11.68</v>
      </c>
      <c r="G69" s="64">
        <v>26.35</v>
      </c>
      <c r="H69" s="64">
        <v>8.02</v>
      </c>
      <c r="I69" s="64">
        <v>1.39</v>
      </c>
      <c r="J69" s="64">
        <v>1.86</v>
      </c>
      <c r="K69" s="64">
        <v>119.68</v>
      </c>
      <c r="L69" s="64">
        <v>16.899999999999999</v>
      </c>
      <c r="M69" s="64">
        <v>28.35</v>
      </c>
      <c r="N69" s="64">
        <v>93.7</v>
      </c>
      <c r="O69" s="64">
        <v>0</v>
      </c>
      <c r="P69" s="64">
        <v>0.47</v>
      </c>
      <c r="Q69" s="64">
        <v>9.3800000000000008</v>
      </c>
      <c r="R69" s="198"/>
      <c r="S69" s="198"/>
      <c r="T69" s="198"/>
      <c r="U69" s="198"/>
    </row>
    <row r="70" spans="1:21" s="12" customFormat="1" x14ac:dyDescent="0.25">
      <c r="A70" s="214" t="s">
        <v>2517</v>
      </c>
      <c r="B70" s="64">
        <v>7.07</v>
      </c>
      <c r="C70" s="64">
        <v>25.06</v>
      </c>
      <c r="D70" s="64">
        <v>18.11</v>
      </c>
      <c r="E70" s="64">
        <v>10.17</v>
      </c>
      <c r="F70" s="64">
        <v>10.11</v>
      </c>
      <c r="G70" s="64">
        <v>26.96</v>
      </c>
      <c r="H70" s="64">
        <v>9.9700000000000006</v>
      </c>
      <c r="I70" s="64">
        <v>1.32</v>
      </c>
      <c r="J70" s="64">
        <v>1.1399999999999999</v>
      </c>
      <c r="K70" s="64">
        <v>357.83</v>
      </c>
      <c r="L70" s="64">
        <v>17.190000000000001</v>
      </c>
      <c r="M70" s="64">
        <v>26.42</v>
      </c>
      <c r="N70" s="64">
        <v>87.8</v>
      </c>
      <c r="O70" s="64">
        <v>0</v>
      </c>
      <c r="P70" s="64">
        <v>0.51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4" t="s">
        <v>2518</v>
      </c>
      <c r="B71" s="64">
        <v>5.66</v>
      </c>
      <c r="C71" s="64">
        <v>24.96</v>
      </c>
      <c r="D71" s="64">
        <v>16.93</v>
      </c>
      <c r="E71" s="64">
        <v>10.039999999999999</v>
      </c>
      <c r="F71" s="64">
        <v>10.08</v>
      </c>
      <c r="G71" s="64">
        <v>27.05</v>
      </c>
      <c r="H71" s="64">
        <v>9.9700000000000006</v>
      </c>
      <c r="I71" s="64">
        <v>1.22</v>
      </c>
      <c r="J71" s="64">
        <v>1.19</v>
      </c>
      <c r="K71" s="64">
        <v>115.23</v>
      </c>
      <c r="L71" s="64">
        <v>17.010000000000002</v>
      </c>
      <c r="M71" s="64">
        <v>27.12</v>
      </c>
      <c r="N71" s="64">
        <v>81.900000000000006</v>
      </c>
      <c r="O71" s="64">
        <v>0</v>
      </c>
      <c r="P71" s="64">
        <v>0.49</v>
      </c>
      <c r="Q71" s="64">
        <v>9.36</v>
      </c>
      <c r="R71" s="198"/>
      <c r="S71" s="198"/>
      <c r="T71" s="198"/>
      <c r="U71" s="198"/>
    </row>
    <row r="72" spans="1:21" s="12" customFormat="1" x14ac:dyDescent="0.25">
      <c r="A72" s="214" t="s">
        <v>2519</v>
      </c>
      <c r="B72" s="64">
        <v>4.88</v>
      </c>
      <c r="C72" s="64">
        <v>25.02</v>
      </c>
      <c r="D72" s="64">
        <v>16.329999999999998</v>
      </c>
      <c r="E72" s="64">
        <v>6.74</v>
      </c>
      <c r="F72" s="64">
        <v>9.98</v>
      </c>
      <c r="G72" s="64">
        <v>27.05</v>
      </c>
      <c r="H72" s="64">
        <v>9.9700000000000006</v>
      </c>
      <c r="I72" s="64">
        <v>1.26</v>
      </c>
      <c r="J72" s="64">
        <v>0.91</v>
      </c>
      <c r="K72" s="64">
        <v>110.25</v>
      </c>
      <c r="L72" s="64">
        <v>16.66</v>
      </c>
      <c r="M72" s="64">
        <v>29.19</v>
      </c>
      <c r="N72" s="64">
        <v>82.1</v>
      </c>
      <c r="O72" s="64">
        <v>0</v>
      </c>
      <c r="P72" s="64">
        <v>0.44</v>
      </c>
      <c r="Q72" s="64">
        <v>9.35</v>
      </c>
      <c r="R72" s="198"/>
      <c r="S72" s="198"/>
      <c r="T72" s="198"/>
      <c r="U72" s="198"/>
    </row>
    <row r="73" spans="1:21" s="12" customFormat="1" x14ac:dyDescent="0.25">
      <c r="A73" s="214" t="s">
        <v>2520</v>
      </c>
      <c r="B73" s="64">
        <v>4.91</v>
      </c>
      <c r="C73" s="64">
        <v>25.69</v>
      </c>
      <c r="D73" s="64">
        <v>16.7</v>
      </c>
      <c r="E73" s="64">
        <v>7.57</v>
      </c>
      <c r="F73" s="64">
        <v>8.01</v>
      </c>
      <c r="G73" s="64">
        <v>27.05</v>
      </c>
      <c r="H73" s="64">
        <v>9.9700000000000006</v>
      </c>
      <c r="I73" s="64">
        <v>1.22</v>
      </c>
      <c r="J73" s="64">
        <v>0.5</v>
      </c>
      <c r="K73" s="64">
        <v>82.79</v>
      </c>
      <c r="L73" s="64">
        <v>16.64</v>
      </c>
      <c r="M73" s="64">
        <v>30.01</v>
      </c>
      <c r="N73" s="64">
        <v>81.900000000000006</v>
      </c>
      <c r="O73" s="64">
        <v>0</v>
      </c>
      <c r="P73" s="64">
        <v>0.42</v>
      </c>
      <c r="Q73" s="64">
        <v>9.33</v>
      </c>
      <c r="R73" s="198"/>
      <c r="S73" s="198"/>
      <c r="T73" s="198"/>
      <c r="U73" s="198"/>
    </row>
    <row r="74" spans="1:21" s="12" customFormat="1" x14ac:dyDescent="0.25">
      <c r="A74" s="214" t="s">
        <v>2521</v>
      </c>
      <c r="B74" s="64">
        <v>4.7699999999999996</v>
      </c>
      <c r="C74" s="64">
        <v>25.73</v>
      </c>
      <c r="D74" s="64">
        <v>16.62</v>
      </c>
      <c r="E74" s="64">
        <v>8.0299999999999994</v>
      </c>
      <c r="F74" s="64">
        <v>6.29</v>
      </c>
      <c r="G74" s="64">
        <v>38.06</v>
      </c>
      <c r="H74" s="64">
        <v>15.16</v>
      </c>
      <c r="I74" s="64">
        <v>1.1000000000000001</v>
      </c>
      <c r="J74" s="64">
        <v>1.27</v>
      </c>
      <c r="K74" s="64">
        <v>110.54</v>
      </c>
      <c r="L74" s="64">
        <v>16.39</v>
      </c>
      <c r="M74" s="64">
        <v>30.6</v>
      </c>
      <c r="N74" s="64">
        <v>73.8</v>
      </c>
      <c r="O74" s="64">
        <v>0</v>
      </c>
      <c r="P74" s="64">
        <v>0.43</v>
      </c>
      <c r="Q74" s="64">
        <v>9.33</v>
      </c>
      <c r="R74" s="198"/>
      <c r="S74" s="198"/>
      <c r="T74" s="198"/>
      <c r="U74" s="198"/>
    </row>
    <row r="75" spans="1:21" s="12" customFormat="1" x14ac:dyDescent="0.25">
      <c r="A75" s="214" t="s">
        <v>2522</v>
      </c>
      <c r="B75" s="64">
        <v>5.25</v>
      </c>
      <c r="C75" s="64">
        <v>25.34</v>
      </c>
      <c r="D75" s="64">
        <v>16.79</v>
      </c>
      <c r="E75" s="64">
        <v>8.66</v>
      </c>
      <c r="F75" s="64">
        <v>7.97</v>
      </c>
      <c r="G75" s="64">
        <v>39.76</v>
      </c>
      <c r="H75" s="64">
        <v>15.16</v>
      </c>
      <c r="I75" s="64">
        <v>1.1100000000000001</v>
      </c>
      <c r="J75" s="64">
        <v>0.56999999999999995</v>
      </c>
      <c r="K75" s="64">
        <v>103.47</v>
      </c>
      <c r="L75" s="64">
        <v>16.079999999999998</v>
      </c>
      <c r="M75" s="64">
        <v>31.36</v>
      </c>
      <c r="N75" s="64">
        <v>67.3</v>
      </c>
      <c r="O75" s="64">
        <v>0</v>
      </c>
      <c r="P75" s="64">
        <v>0.43</v>
      </c>
      <c r="Q75" s="64">
        <v>9.34</v>
      </c>
      <c r="R75" s="198"/>
      <c r="S75" s="198"/>
      <c r="T75" s="198"/>
      <c r="U75" s="198"/>
    </row>
    <row r="76" spans="1:21" s="12" customFormat="1" x14ac:dyDescent="0.25">
      <c r="A76" s="214" t="s">
        <v>2523</v>
      </c>
      <c r="B76" s="64">
        <v>5.73</v>
      </c>
      <c r="C76" s="64">
        <v>25.92</v>
      </c>
      <c r="D76" s="64">
        <v>17.48</v>
      </c>
      <c r="E76" s="64">
        <v>7.96</v>
      </c>
      <c r="F76" s="64">
        <v>6.1</v>
      </c>
      <c r="G76" s="64">
        <v>39.76</v>
      </c>
      <c r="H76" s="64">
        <v>15.16</v>
      </c>
      <c r="I76" s="64">
        <v>1.28</v>
      </c>
      <c r="J76" s="64">
        <v>0.3</v>
      </c>
      <c r="K76" s="64">
        <v>64.900000000000006</v>
      </c>
      <c r="L76" s="64">
        <v>15.68</v>
      </c>
      <c r="M76" s="64">
        <v>32.18</v>
      </c>
      <c r="N76" s="64">
        <v>61</v>
      </c>
      <c r="O76" s="64">
        <v>0</v>
      </c>
      <c r="P76" s="64">
        <v>0.44</v>
      </c>
      <c r="Q76" s="64">
        <v>9.34</v>
      </c>
      <c r="R76" s="198"/>
      <c r="S76" s="198"/>
      <c r="T76" s="198"/>
      <c r="U76" s="198"/>
    </row>
    <row r="77" spans="1:21" s="12" customFormat="1" x14ac:dyDescent="0.25">
      <c r="A77" s="214" t="s">
        <v>2524</v>
      </c>
      <c r="B77" s="64">
        <v>5.73</v>
      </c>
      <c r="C77" s="64">
        <v>25.92</v>
      </c>
      <c r="D77" s="64">
        <v>17.48</v>
      </c>
      <c r="E77" s="64">
        <v>7.96</v>
      </c>
      <c r="F77" s="64">
        <v>6.1</v>
      </c>
      <c r="G77" s="64">
        <v>39.76</v>
      </c>
      <c r="H77" s="64">
        <v>15.16</v>
      </c>
      <c r="I77" s="64">
        <v>1.28</v>
      </c>
      <c r="J77" s="64">
        <v>0.3</v>
      </c>
      <c r="K77" s="64">
        <v>64.900000000000006</v>
      </c>
      <c r="L77" s="64">
        <v>15.68</v>
      </c>
      <c r="M77" s="64">
        <v>32.18</v>
      </c>
      <c r="N77" s="64">
        <v>61</v>
      </c>
      <c r="O77" s="64">
        <v>0</v>
      </c>
      <c r="P77" s="64">
        <v>0.44</v>
      </c>
      <c r="Q77" s="64">
        <v>9.34</v>
      </c>
      <c r="R77" s="198"/>
      <c r="S77" s="198"/>
      <c r="T77" s="198"/>
      <c r="U77" s="198"/>
    </row>
    <row r="78" spans="1:21" s="12" customFormat="1" x14ac:dyDescent="0.25">
      <c r="A78" s="214" t="s">
        <v>2525</v>
      </c>
      <c r="B78" s="64">
        <v>18.64</v>
      </c>
      <c r="C78" s="64">
        <v>28.14</v>
      </c>
      <c r="D78" s="64">
        <v>29</v>
      </c>
      <c r="E78" s="64">
        <v>7.92</v>
      </c>
      <c r="F78" s="64">
        <v>3.23</v>
      </c>
      <c r="G78" s="64">
        <v>30.81</v>
      </c>
      <c r="H78" s="64">
        <v>17.239999999999998</v>
      </c>
      <c r="I78" s="64">
        <v>1.27</v>
      </c>
      <c r="J78" s="64">
        <v>0.95</v>
      </c>
      <c r="K78" s="64">
        <v>350.74</v>
      </c>
      <c r="L78" s="64">
        <v>14.13</v>
      </c>
      <c r="M78" s="64">
        <v>43.82</v>
      </c>
      <c r="N78" s="64">
        <v>50.8</v>
      </c>
      <c r="O78" s="64">
        <v>0</v>
      </c>
      <c r="P78" s="64">
        <v>0.87</v>
      </c>
      <c r="Q78" s="64">
        <v>0</v>
      </c>
      <c r="R78" s="198"/>
      <c r="S78" s="198"/>
      <c r="T78" s="198"/>
      <c r="U78" s="198"/>
    </row>
    <row r="79" spans="1:21" s="12" customFormat="1" x14ac:dyDescent="0.25">
      <c r="A79" s="214" t="s">
        <v>2526</v>
      </c>
      <c r="B79" s="64">
        <v>14.31</v>
      </c>
      <c r="C79" s="64">
        <v>29.6</v>
      </c>
      <c r="D79" s="64">
        <v>26.29</v>
      </c>
      <c r="E79" s="64">
        <v>7.81</v>
      </c>
      <c r="F79" s="64">
        <v>2.4900000000000002</v>
      </c>
      <c r="G79" s="64">
        <v>30.81</v>
      </c>
      <c r="H79" s="64">
        <v>17.239999999999998</v>
      </c>
      <c r="I79" s="64">
        <v>1.74</v>
      </c>
      <c r="J79" s="64">
        <v>0.67</v>
      </c>
      <c r="K79" s="64">
        <v>324.33</v>
      </c>
      <c r="L79" s="64">
        <v>13.2</v>
      </c>
      <c r="M79" s="64">
        <v>46.05</v>
      </c>
      <c r="N79" s="64">
        <v>49.8</v>
      </c>
      <c r="O79" s="64">
        <v>0</v>
      </c>
      <c r="P79" s="64">
        <v>0.83</v>
      </c>
      <c r="Q79" s="64">
        <v>9.4499999999999993</v>
      </c>
      <c r="R79" s="198"/>
      <c r="S79" s="198"/>
      <c r="T79" s="198"/>
      <c r="U79" s="198"/>
    </row>
    <row r="80" spans="1:21" s="12" customFormat="1" x14ac:dyDescent="0.25">
      <c r="A80" s="214" t="s">
        <v>2527</v>
      </c>
      <c r="B80" s="64">
        <v>27.21</v>
      </c>
      <c r="C80" s="64">
        <v>24.32</v>
      </c>
      <c r="D80" s="64">
        <v>33.869999999999997</v>
      </c>
      <c r="E80" s="64">
        <v>7.65</v>
      </c>
      <c r="F80" s="64">
        <v>2.23</v>
      </c>
      <c r="G80" s="64">
        <v>30.81</v>
      </c>
      <c r="H80" s="64">
        <v>17.239999999999998</v>
      </c>
      <c r="I80" s="64">
        <v>1.97</v>
      </c>
      <c r="J80" s="64">
        <v>0.55000000000000004</v>
      </c>
      <c r="K80" s="64">
        <v>313.20999999999998</v>
      </c>
      <c r="L80" s="64">
        <v>12.48</v>
      </c>
      <c r="M80" s="64">
        <v>46.25</v>
      </c>
      <c r="N80" s="64">
        <v>49.2</v>
      </c>
      <c r="O80" s="64">
        <v>0</v>
      </c>
      <c r="P80" s="64">
        <v>1.04</v>
      </c>
      <c r="Q80" s="64">
        <v>9.4700000000000006</v>
      </c>
      <c r="R80" s="198"/>
      <c r="S80" s="198"/>
      <c r="T80" s="198"/>
      <c r="U80" s="198"/>
    </row>
    <row r="81" spans="1:26" s="12" customFormat="1" x14ac:dyDescent="0.25">
      <c r="A81" s="214" t="s">
        <v>2528</v>
      </c>
      <c r="B81" s="64">
        <v>31.07</v>
      </c>
      <c r="C81" s="64">
        <v>21.35</v>
      </c>
      <c r="D81" s="64">
        <v>35.4</v>
      </c>
      <c r="E81" s="64">
        <v>6.83</v>
      </c>
      <c r="F81" s="64">
        <v>2.4700000000000002</v>
      </c>
      <c r="G81" s="64">
        <v>30.81</v>
      </c>
      <c r="H81" s="64">
        <v>17.239999999999998</v>
      </c>
      <c r="I81" s="64">
        <v>2.23</v>
      </c>
      <c r="J81" s="64">
        <v>0.47</v>
      </c>
      <c r="K81" s="64">
        <v>130.02000000000001</v>
      </c>
      <c r="L81" s="64">
        <v>12.15</v>
      </c>
      <c r="M81" s="64">
        <v>49.02</v>
      </c>
      <c r="N81" s="64">
        <v>49.1</v>
      </c>
      <c r="O81" s="64">
        <v>0</v>
      </c>
      <c r="P81" s="64">
        <v>1.03</v>
      </c>
      <c r="Q81" s="64">
        <v>9.5</v>
      </c>
      <c r="R81" s="198"/>
      <c r="S81" s="198"/>
      <c r="T81" s="198"/>
      <c r="U81" s="198"/>
    </row>
    <row r="82" spans="1:26" s="12" customFormat="1" x14ac:dyDescent="0.25">
      <c r="A82" s="214" t="s">
        <v>2529</v>
      </c>
      <c r="B82" s="64">
        <v>23.79</v>
      </c>
      <c r="C82" s="64">
        <v>23.92</v>
      </c>
      <c r="D82" s="64">
        <v>30.92</v>
      </c>
      <c r="E82" s="64">
        <v>6.55</v>
      </c>
      <c r="F82" s="64">
        <v>2.31</v>
      </c>
      <c r="G82" s="64">
        <v>130.13999999999999</v>
      </c>
      <c r="H82" s="64">
        <v>31.06</v>
      </c>
      <c r="I82" s="64">
        <v>2.69</v>
      </c>
      <c r="J82" s="64">
        <v>0.57999999999999996</v>
      </c>
      <c r="K82" s="64">
        <v>153.51</v>
      </c>
      <c r="L82" s="64">
        <v>11.58</v>
      </c>
      <c r="M82" s="64">
        <v>55.82</v>
      </c>
      <c r="N82" s="64">
        <v>49</v>
      </c>
      <c r="O82" s="64">
        <v>0</v>
      </c>
      <c r="P82" s="64">
        <v>1.01</v>
      </c>
      <c r="Q82" s="64">
        <v>9.5299999999999994</v>
      </c>
      <c r="R82" s="198"/>
      <c r="S82" s="198"/>
      <c r="T82" s="198"/>
      <c r="U82" s="198"/>
    </row>
    <row r="83" spans="1:26" s="12" customFormat="1" x14ac:dyDescent="0.25">
      <c r="A83" s="214" t="s">
        <v>2530</v>
      </c>
      <c r="B83" s="64">
        <v>32.14</v>
      </c>
      <c r="C83" s="64">
        <v>20.07</v>
      </c>
      <c r="D83" s="64">
        <v>35.6</v>
      </c>
      <c r="E83" s="64">
        <v>6.22</v>
      </c>
      <c r="F83" s="64">
        <v>2.56</v>
      </c>
      <c r="G83" s="64">
        <v>145.41999999999999</v>
      </c>
      <c r="H83" s="64">
        <v>31.06</v>
      </c>
      <c r="I83" s="64">
        <v>2.73</v>
      </c>
      <c r="J83" s="64">
        <v>0.67</v>
      </c>
      <c r="K83" s="64">
        <v>252.17</v>
      </c>
      <c r="L83" s="64">
        <v>11.03</v>
      </c>
      <c r="M83" s="64">
        <v>65.66</v>
      </c>
      <c r="N83" s="64">
        <v>49</v>
      </c>
      <c r="O83" s="64">
        <v>0</v>
      </c>
      <c r="P83" s="64">
        <v>1.21</v>
      </c>
      <c r="Q83" s="64">
        <v>9.5500000000000007</v>
      </c>
      <c r="R83" s="198"/>
      <c r="S83" s="198"/>
      <c r="T83" s="198"/>
      <c r="U83" s="198"/>
    </row>
    <row r="84" spans="1:26" s="12" customFormat="1" x14ac:dyDescent="0.25">
      <c r="A84" s="214" t="s">
        <v>2531</v>
      </c>
      <c r="B84" s="64">
        <v>30.89</v>
      </c>
      <c r="C84" s="64">
        <v>19.14</v>
      </c>
      <c r="D84" s="64">
        <v>34.119999999999997</v>
      </c>
      <c r="E84" s="64">
        <v>5.39</v>
      </c>
      <c r="F84" s="64">
        <v>2.63</v>
      </c>
      <c r="G84" s="64">
        <v>145.41999999999999</v>
      </c>
      <c r="H84" s="64">
        <v>26.15</v>
      </c>
      <c r="I84" s="64">
        <v>2.92</v>
      </c>
      <c r="J84" s="64">
        <v>0.72</v>
      </c>
      <c r="K84" s="64">
        <v>265.82</v>
      </c>
      <c r="L84" s="64">
        <v>10.67</v>
      </c>
      <c r="M84" s="64">
        <v>68.23</v>
      </c>
      <c r="N84" s="64">
        <v>48.9</v>
      </c>
      <c r="O84" s="64">
        <v>0</v>
      </c>
      <c r="P84" s="64">
        <v>1.05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4" t="s">
        <v>2532</v>
      </c>
      <c r="B85" s="64">
        <v>28.89</v>
      </c>
      <c r="C85" s="64">
        <v>17.940000000000001</v>
      </c>
      <c r="D85" s="64">
        <v>31.89</v>
      </c>
      <c r="E85" s="64">
        <v>4.88</v>
      </c>
      <c r="F85" s="64">
        <v>2.33</v>
      </c>
      <c r="G85" s="64">
        <v>145.41999999999999</v>
      </c>
      <c r="H85" s="64">
        <v>18.059999999999999</v>
      </c>
      <c r="I85" s="64">
        <v>3.11</v>
      </c>
      <c r="J85" s="64">
        <v>0.67</v>
      </c>
      <c r="K85" s="64">
        <v>292.88</v>
      </c>
      <c r="L85" s="64">
        <v>10.4</v>
      </c>
      <c r="M85" s="64">
        <v>74.62</v>
      </c>
      <c r="N85" s="64">
        <v>48.9</v>
      </c>
      <c r="O85" s="64">
        <v>0</v>
      </c>
      <c r="P85" s="64">
        <v>0.89</v>
      </c>
      <c r="Q85" s="64">
        <v>9.58</v>
      </c>
      <c r="R85" s="198"/>
      <c r="S85" s="198"/>
      <c r="T85" s="198"/>
      <c r="U85" s="198"/>
    </row>
    <row r="86" spans="1:26" s="12" customFormat="1" x14ac:dyDescent="0.25">
      <c r="A86" s="214" t="s">
        <v>2533</v>
      </c>
      <c r="B86" s="64">
        <v>37.67</v>
      </c>
      <c r="C86" s="64">
        <v>13.53</v>
      </c>
      <c r="D86" s="64">
        <v>36.619999999999997</v>
      </c>
      <c r="E86" s="64">
        <v>5.0999999999999996</v>
      </c>
      <c r="F86" s="64">
        <v>2.2799999999999998</v>
      </c>
      <c r="G86" s="64">
        <v>142.88999999999999</v>
      </c>
      <c r="H86" s="64">
        <v>37.450000000000003</v>
      </c>
      <c r="I86" s="64">
        <v>2.75</v>
      </c>
      <c r="J86" s="64">
        <v>0.81</v>
      </c>
      <c r="K86" s="64">
        <v>263.74</v>
      </c>
      <c r="L86" s="64">
        <v>10.07</v>
      </c>
      <c r="M86" s="64">
        <v>75.930000000000007</v>
      </c>
      <c r="N86" s="64">
        <v>48.7</v>
      </c>
      <c r="O86" s="64">
        <v>0</v>
      </c>
      <c r="P86" s="64">
        <v>1.01</v>
      </c>
      <c r="Q86" s="64">
        <v>9.61</v>
      </c>
      <c r="R86" s="198"/>
      <c r="S86" s="198"/>
      <c r="T86" s="198"/>
      <c r="U86" s="198"/>
    </row>
    <row r="87" spans="1:26" s="12" customFormat="1" x14ac:dyDescent="0.25">
      <c r="A87" s="214" t="s">
        <v>2534</v>
      </c>
      <c r="B87" s="64">
        <v>43.29</v>
      </c>
      <c r="C87" s="64">
        <v>9.9700000000000006</v>
      </c>
      <c r="D87" s="64">
        <v>39.270000000000003</v>
      </c>
      <c r="E87" s="64">
        <v>5.22</v>
      </c>
      <c r="F87" s="64">
        <v>2.61</v>
      </c>
      <c r="G87" s="64">
        <v>142.5</v>
      </c>
      <c r="H87" s="64">
        <v>37.450000000000003</v>
      </c>
      <c r="I87" s="64">
        <v>2.77</v>
      </c>
      <c r="J87" s="64">
        <v>0.79</v>
      </c>
      <c r="K87" s="64">
        <v>262.98</v>
      </c>
      <c r="L87" s="64">
        <v>9.86</v>
      </c>
      <c r="M87" s="64">
        <v>81.27</v>
      </c>
      <c r="N87" s="64">
        <v>48.9</v>
      </c>
      <c r="O87" s="64">
        <v>0</v>
      </c>
      <c r="P87" s="64">
        <v>1.0900000000000001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4" t="s">
        <v>2535</v>
      </c>
      <c r="B88" s="64">
        <v>51.32</v>
      </c>
      <c r="C88" s="64">
        <v>5.56</v>
      </c>
      <c r="D88" s="64">
        <v>43.41</v>
      </c>
      <c r="E88" s="64">
        <v>5.09</v>
      </c>
      <c r="F88" s="64">
        <v>2.4700000000000002</v>
      </c>
      <c r="G88" s="64">
        <v>142.5</v>
      </c>
      <c r="H88" s="64">
        <v>37.450000000000003</v>
      </c>
      <c r="I88" s="64">
        <v>3.06</v>
      </c>
      <c r="J88" s="64">
        <v>0.54</v>
      </c>
      <c r="K88" s="64">
        <v>299.69</v>
      </c>
      <c r="L88" s="64">
        <v>9.64</v>
      </c>
      <c r="M88" s="64">
        <v>83.96</v>
      </c>
      <c r="N88" s="64">
        <v>48.8</v>
      </c>
      <c r="O88" s="64">
        <v>0</v>
      </c>
      <c r="P88" s="64">
        <v>1.19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4" t="s">
        <v>2536</v>
      </c>
      <c r="B89" s="64">
        <v>61.58</v>
      </c>
      <c r="C89" s="64">
        <v>0.67</v>
      </c>
      <c r="D89" s="64">
        <v>48.62</v>
      </c>
      <c r="E89" s="64">
        <v>4.9800000000000004</v>
      </c>
      <c r="F89" s="64">
        <v>2.35</v>
      </c>
      <c r="G89" s="64">
        <v>142.5</v>
      </c>
      <c r="H89" s="64">
        <v>37.450000000000003</v>
      </c>
      <c r="I89" s="64">
        <v>3.35</v>
      </c>
      <c r="J89" s="64">
        <v>0.82</v>
      </c>
      <c r="K89" s="64">
        <v>293.23</v>
      </c>
      <c r="L89" s="64">
        <v>9.48</v>
      </c>
      <c r="M89" s="64">
        <v>82.12</v>
      </c>
      <c r="N89" s="64">
        <v>48.8</v>
      </c>
      <c r="O89" s="64">
        <v>0</v>
      </c>
      <c r="P89" s="64">
        <v>1.32</v>
      </c>
      <c r="Q89" s="64">
        <v>9.66</v>
      </c>
      <c r="R89" s="198"/>
      <c r="S89" s="198"/>
      <c r="T89" s="198"/>
      <c r="U89" s="198"/>
    </row>
    <row r="90" spans="1:26" s="12" customFormat="1" x14ac:dyDescent="0.25">
      <c r="A90" s="214" t="s">
        <v>2537</v>
      </c>
      <c r="B90" s="64">
        <v>70.81</v>
      </c>
      <c r="C90" s="64">
        <v>0.67</v>
      </c>
      <c r="D90" s="64">
        <v>53.36</v>
      </c>
      <c r="E90" s="64">
        <v>5.23</v>
      </c>
      <c r="F90" s="64">
        <v>2.2400000000000002</v>
      </c>
      <c r="G90" s="64">
        <v>159.41</v>
      </c>
      <c r="H90" s="64">
        <v>50.68</v>
      </c>
      <c r="I90" s="64">
        <v>3.65</v>
      </c>
      <c r="J90" s="64">
        <v>0.28000000000000003</v>
      </c>
      <c r="K90" s="64">
        <v>189.98</v>
      </c>
      <c r="L90" s="64">
        <v>9.35</v>
      </c>
      <c r="M90" s="64">
        <v>82.3</v>
      </c>
      <c r="N90" s="64">
        <v>48.8</v>
      </c>
      <c r="O90" s="64">
        <v>0</v>
      </c>
      <c r="P90" s="64">
        <v>1.47</v>
      </c>
      <c r="Q90" s="64">
        <v>9.66</v>
      </c>
      <c r="R90" s="198"/>
      <c r="S90" s="198"/>
      <c r="T90" s="198"/>
      <c r="U90" s="198"/>
    </row>
    <row r="91" spans="1:26" s="12" customFormat="1" x14ac:dyDescent="0.25">
      <c r="A91" s="214" t="s">
        <v>2538</v>
      </c>
      <c r="B91" s="64">
        <v>77.63</v>
      </c>
      <c r="C91" s="64">
        <v>0.67</v>
      </c>
      <c r="D91" s="64">
        <v>56.87</v>
      </c>
      <c r="E91" s="64">
        <v>5.27</v>
      </c>
      <c r="F91" s="64">
        <v>2.35</v>
      </c>
      <c r="G91" s="64">
        <v>162.01</v>
      </c>
      <c r="H91" s="64">
        <v>50.68</v>
      </c>
      <c r="I91" s="64">
        <v>3.99</v>
      </c>
      <c r="J91" s="64">
        <v>0.45</v>
      </c>
      <c r="K91" s="64">
        <v>231.79</v>
      </c>
      <c r="L91" s="64">
        <v>9.32</v>
      </c>
      <c r="M91" s="64">
        <v>80.62</v>
      </c>
      <c r="N91" s="64">
        <v>48.7</v>
      </c>
      <c r="O91" s="64">
        <v>0</v>
      </c>
      <c r="P91" s="64">
        <v>1.6</v>
      </c>
      <c r="Q91" s="64">
        <v>9.67</v>
      </c>
      <c r="R91" s="198"/>
      <c r="S91" s="198"/>
      <c r="T91" s="198"/>
      <c r="U91" s="198"/>
    </row>
    <row r="92" spans="1:26" s="12" customFormat="1" x14ac:dyDescent="0.25">
      <c r="A92" s="214" t="s">
        <v>2539</v>
      </c>
      <c r="B92" s="64">
        <v>86.36</v>
      </c>
      <c r="C92" s="64">
        <v>0.67</v>
      </c>
      <c r="D92" s="64">
        <v>61.21</v>
      </c>
      <c r="E92" s="64">
        <v>5.36</v>
      </c>
      <c r="F92" s="64">
        <v>2.25</v>
      </c>
      <c r="G92" s="64">
        <v>162.01</v>
      </c>
      <c r="H92" s="64">
        <v>50.68</v>
      </c>
      <c r="I92" s="64">
        <v>4.71</v>
      </c>
      <c r="J92" s="64">
        <v>0.79</v>
      </c>
      <c r="K92" s="64">
        <v>329.7</v>
      </c>
      <c r="L92" s="64">
        <v>9.19</v>
      </c>
      <c r="M92" s="64">
        <v>84.58</v>
      </c>
      <c r="N92" s="64">
        <v>48.8</v>
      </c>
      <c r="O92" s="64">
        <v>0</v>
      </c>
      <c r="P92" s="64">
        <v>1.77</v>
      </c>
      <c r="Q92" s="64">
        <v>9.68</v>
      </c>
      <c r="R92" s="198"/>
      <c r="S92" s="198"/>
      <c r="T92" s="198"/>
      <c r="U92" s="198"/>
    </row>
    <row r="93" spans="1:26" s="12" customFormat="1" x14ac:dyDescent="0.25">
      <c r="A93" s="214" t="s">
        <v>2540</v>
      </c>
      <c r="B93" s="64">
        <v>98.08</v>
      </c>
      <c r="C93" s="64">
        <v>0.67</v>
      </c>
      <c r="D93" s="64">
        <v>67.05</v>
      </c>
      <c r="E93" s="64">
        <v>5.84</v>
      </c>
      <c r="F93" s="64">
        <v>2.4</v>
      </c>
      <c r="G93" s="64">
        <v>162.01</v>
      </c>
      <c r="H93" s="64">
        <v>50.68</v>
      </c>
      <c r="I93" s="64">
        <v>5.29</v>
      </c>
      <c r="J93" s="64">
        <v>0.24</v>
      </c>
      <c r="K93" s="64">
        <v>52.13</v>
      </c>
      <c r="L93" s="64">
        <v>8.9600000000000009</v>
      </c>
      <c r="M93" s="64">
        <v>89.1</v>
      </c>
      <c r="N93" s="64">
        <v>48.9</v>
      </c>
      <c r="O93" s="64">
        <v>0</v>
      </c>
      <c r="P93" s="64">
        <v>2</v>
      </c>
      <c r="Q93" s="64">
        <v>9.69</v>
      </c>
      <c r="R93" s="198"/>
      <c r="S93" s="198"/>
      <c r="T93" s="198"/>
      <c r="U93" s="198"/>
    </row>
    <row r="94" spans="1:26" s="12" customFormat="1" x14ac:dyDescent="0.25">
      <c r="A94" s="214" t="s">
        <v>2541</v>
      </c>
      <c r="B94" s="64">
        <v>108.59</v>
      </c>
      <c r="C94" s="64">
        <v>0.67</v>
      </c>
      <c r="D94" s="64">
        <v>72.33</v>
      </c>
      <c r="E94" s="64">
        <v>5.77</v>
      </c>
      <c r="F94" s="64">
        <v>2.48</v>
      </c>
      <c r="G94" s="64">
        <v>126.56</v>
      </c>
      <c r="H94" s="64">
        <v>66.31</v>
      </c>
      <c r="I94" s="64">
        <v>5.53</v>
      </c>
      <c r="J94" s="64">
        <v>0.54</v>
      </c>
      <c r="K94" s="64">
        <v>181.97</v>
      </c>
      <c r="L94" s="64">
        <v>8.82</v>
      </c>
      <c r="M94" s="64">
        <v>88.02</v>
      </c>
      <c r="N94" s="64">
        <v>48.8</v>
      </c>
      <c r="O94" s="64">
        <v>0</v>
      </c>
      <c r="P94" s="64">
        <v>2.1800000000000002</v>
      </c>
      <c r="Q94" s="64">
        <v>9.69</v>
      </c>
      <c r="R94" s="198"/>
      <c r="S94" s="198"/>
      <c r="T94" s="198"/>
      <c r="U94" s="198"/>
    </row>
    <row r="95" spans="1:26" s="12" customFormat="1" x14ac:dyDescent="0.25">
      <c r="A95" s="214" t="s">
        <v>2542</v>
      </c>
      <c r="B95" s="64">
        <v>120.72</v>
      </c>
      <c r="C95" s="64">
        <v>0.67</v>
      </c>
      <c r="D95" s="64">
        <v>78.05</v>
      </c>
      <c r="E95" s="64">
        <v>5.78</v>
      </c>
      <c r="F95" s="64">
        <v>2.33</v>
      </c>
      <c r="G95" s="64">
        <v>121.11</v>
      </c>
      <c r="H95" s="64">
        <v>66.31</v>
      </c>
      <c r="I95" s="64">
        <v>6.02</v>
      </c>
      <c r="J95" s="64">
        <v>0.74</v>
      </c>
      <c r="K95" s="64">
        <v>304.76</v>
      </c>
      <c r="L95" s="64">
        <v>8.75</v>
      </c>
      <c r="M95" s="64">
        <v>89.3</v>
      </c>
      <c r="N95" s="64">
        <v>48.8</v>
      </c>
      <c r="O95" s="64">
        <v>0</v>
      </c>
      <c r="P95" s="64">
        <v>2.35</v>
      </c>
      <c r="Q95" s="64">
        <v>9.7100000000000009</v>
      </c>
      <c r="R95" s="198"/>
      <c r="S95" s="198"/>
      <c r="T95" s="198"/>
      <c r="U95" s="198"/>
    </row>
    <row r="96" spans="1:26" s="12" customFormat="1" x14ac:dyDescent="0.25">
      <c r="A96" s="214" t="s">
        <v>2543</v>
      </c>
      <c r="B96" s="64">
        <v>129.80000000000001</v>
      </c>
      <c r="C96" s="64">
        <v>0.67</v>
      </c>
      <c r="D96" s="64">
        <v>82.86</v>
      </c>
      <c r="E96" s="64">
        <v>5.82</v>
      </c>
      <c r="F96" s="64">
        <v>2.38</v>
      </c>
      <c r="G96" s="64">
        <v>121.11</v>
      </c>
      <c r="H96" s="64">
        <v>66.31</v>
      </c>
      <c r="I96" s="64">
        <v>7.13</v>
      </c>
      <c r="J96" s="64">
        <v>0.74</v>
      </c>
      <c r="K96" s="64">
        <v>283.5</v>
      </c>
      <c r="L96" s="64">
        <v>8.59</v>
      </c>
      <c r="M96" s="64">
        <v>90.71</v>
      </c>
      <c r="N96" s="64">
        <v>48.7</v>
      </c>
      <c r="O96" s="64">
        <v>0</v>
      </c>
      <c r="P96" s="64">
        <v>2.5299999999999998</v>
      </c>
      <c r="Q96" s="64">
        <v>9.7200000000000006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2544</v>
      </c>
      <c r="B97" s="64">
        <v>134.68</v>
      </c>
      <c r="C97" s="64">
        <v>0.67</v>
      </c>
      <c r="D97" s="64">
        <v>85.51</v>
      </c>
      <c r="E97" s="64">
        <v>5.68</v>
      </c>
      <c r="F97" s="64">
        <v>2.29</v>
      </c>
      <c r="G97" s="64">
        <v>121.11</v>
      </c>
      <c r="H97" s="64">
        <v>66.31</v>
      </c>
      <c r="I97" s="64">
        <v>7.3</v>
      </c>
      <c r="J97" s="64">
        <v>0.79</v>
      </c>
      <c r="K97" s="64">
        <v>215.51</v>
      </c>
      <c r="L97" s="64">
        <v>8.56</v>
      </c>
      <c r="M97" s="64">
        <v>92.52</v>
      </c>
      <c r="N97" s="64">
        <v>48.8</v>
      </c>
      <c r="O97" s="64">
        <v>0</v>
      </c>
      <c r="P97" s="64">
        <v>2.66</v>
      </c>
      <c r="Q97" s="64">
        <v>9.73</v>
      </c>
      <c r="R97" s="198"/>
      <c r="S97" s="198"/>
      <c r="T97" s="198"/>
      <c r="U97" s="198"/>
    </row>
    <row r="98" spans="1:33" s="12" customFormat="1" x14ac:dyDescent="0.25">
      <c r="A98" s="214" t="s">
        <v>2545</v>
      </c>
      <c r="B98" s="64">
        <v>138.59</v>
      </c>
      <c r="C98" s="64">
        <v>0.67</v>
      </c>
      <c r="D98" s="64">
        <v>87.52</v>
      </c>
      <c r="E98" s="64">
        <v>6.12</v>
      </c>
      <c r="F98" s="64">
        <v>2.2799999999999998</v>
      </c>
      <c r="G98" s="64">
        <v>109.21</v>
      </c>
      <c r="H98" s="64">
        <v>48.25</v>
      </c>
      <c r="I98" s="64">
        <v>7.54</v>
      </c>
      <c r="J98" s="64">
        <v>0.17</v>
      </c>
      <c r="K98" s="64">
        <v>257.20999999999998</v>
      </c>
      <c r="L98" s="64">
        <v>8.48</v>
      </c>
      <c r="M98" s="64">
        <v>93.71</v>
      </c>
      <c r="N98" s="64">
        <v>48.6</v>
      </c>
      <c r="O98" s="64">
        <v>0</v>
      </c>
      <c r="P98" s="64">
        <v>2.8</v>
      </c>
      <c r="Q98" s="64">
        <v>9.73</v>
      </c>
      <c r="R98" s="198"/>
      <c r="S98" s="198"/>
      <c r="T98" s="198"/>
      <c r="U98" s="198"/>
    </row>
    <row r="99" spans="1:33" s="12" customFormat="1" x14ac:dyDescent="0.25">
      <c r="A99" s="214" t="s">
        <v>2546</v>
      </c>
      <c r="B99" s="64">
        <v>146.46</v>
      </c>
      <c r="C99" s="64">
        <v>0.67</v>
      </c>
      <c r="D99" s="64">
        <v>91.06</v>
      </c>
      <c r="E99" s="64">
        <v>6.02</v>
      </c>
      <c r="F99" s="64">
        <v>2.31</v>
      </c>
      <c r="G99" s="64">
        <v>107.36</v>
      </c>
      <c r="H99" s="64">
        <v>48.25</v>
      </c>
      <c r="I99" s="64">
        <v>7.89</v>
      </c>
      <c r="J99" s="64">
        <v>0.46</v>
      </c>
      <c r="K99" s="64">
        <v>260.85000000000002</v>
      </c>
      <c r="L99" s="64">
        <v>8.51</v>
      </c>
      <c r="M99" s="64">
        <v>96.66</v>
      </c>
      <c r="N99" s="64">
        <v>48.7</v>
      </c>
      <c r="O99" s="64">
        <v>0</v>
      </c>
      <c r="P99" s="64">
        <v>2.93</v>
      </c>
      <c r="Q99" s="64">
        <v>9.7100000000000009</v>
      </c>
      <c r="R99" s="198"/>
      <c r="S99" s="198"/>
      <c r="T99" s="198"/>
      <c r="U99" s="198"/>
    </row>
    <row r="100" spans="1:33" s="12" customFormat="1" x14ac:dyDescent="0.25">
      <c r="A100" s="214" t="s">
        <v>2547</v>
      </c>
      <c r="B100" s="64">
        <v>152.38999999999999</v>
      </c>
      <c r="C100" s="64">
        <v>0.67</v>
      </c>
      <c r="D100" s="64">
        <v>94.07</v>
      </c>
      <c r="E100" s="64">
        <v>6.33</v>
      </c>
      <c r="F100" s="64">
        <v>2.74</v>
      </c>
      <c r="G100" s="64">
        <v>107.36</v>
      </c>
      <c r="H100" s="64">
        <v>48.25</v>
      </c>
      <c r="I100" s="64">
        <v>8.25</v>
      </c>
      <c r="J100" s="64">
        <v>0.47</v>
      </c>
      <c r="K100" s="64">
        <v>285.77</v>
      </c>
      <c r="L100" s="64">
        <v>8.3000000000000007</v>
      </c>
      <c r="M100" s="64">
        <v>96.88</v>
      </c>
      <c r="N100" s="64">
        <v>48.8</v>
      </c>
      <c r="O100" s="64">
        <v>0</v>
      </c>
      <c r="P100" s="64">
        <v>3.04</v>
      </c>
      <c r="Q100" s="64">
        <v>9.73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2548</v>
      </c>
      <c r="B101" s="64">
        <v>158.66</v>
      </c>
      <c r="C101" s="64">
        <v>0.67</v>
      </c>
      <c r="D101" s="64">
        <v>97.09</v>
      </c>
      <c r="E101" s="64">
        <v>6.37</v>
      </c>
      <c r="F101" s="64">
        <v>2.56</v>
      </c>
      <c r="G101" s="64">
        <v>107.36</v>
      </c>
      <c r="H101" s="64">
        <v>48.25</v>
      </c>
      <c r="I101" s="64">
        <v>8.6300000000000008</v>
      </c>
      <c r="J101" s="64">
        <v>0.83</v>
      </c>
      <c r="K101" s="64">
        <v>325.35000000000002</v>
      </c>
      <c r="L101" s="64">
        <v>8.0399999999999991</v>
      </c>
      <c r="M101" s="64">
        <v>97.52</v>
      </c>
      <c r="N101" s="64">
        <v>49</v>
      </c>
      <c r="O101" s="64">
        <v>0</v>
      </c>
      <c r="P101" s="64">
        <v>3.17</v>
      </c>
      <c r="Q101" s="64">
        <v>9.75</v>
      </c>
      <c r="R101" s="198"/>
      <c r="S101" s="198"/>
      <c r="T101" s="198"/>
      <c r="U101" s="198"/>
    </row>
    <row r="102" spans="1:33" s="12" customFormat="1" x14ac:dyDescent="0.25">
      <c r="A102" s="214" t="s">
        <v>2549</v>
      </c>
      <c r="B102" s="64">
        <v>166.07</v>
      </c>
      <c r="C102" s="64">
        <v>0.67</v>
      </c>
      <c r="D102" s="64">
        <v>100.6</v>
      </c>
      <c r="E102" s="64">
        <v>6.21</v>
      </c>
      <c r="F102" s="64">
        <v>2.64</v>
      </c>
      <c r="G102" s="64">
        <v>108.43</v>
      </c>
      <c r="H102" s="64">
        <v>50.01</v>
      </c>
      <c r="I102" s="64">
        <v>9.66</v>
      </c>
      <c r="J102" s="64">
        <v>0.3</v>
      </c>
      <c r="K102" s="64">
        <v>164.08</v>
      </c>
      <c r="L102" s="64">
        <v>7.97</v>
      </c>
      <c r="M102" s="64">
        <v>96.51</v>
      </c>
      <c r="N102" s="64">
        <v>48.7</v>
      </c>
      <c r="O102" s="64">
        <v>0</v>
      </c>
      <c r="P102" s="64">
        <v>3.3</v>
      </c>
      <c r="Q102" s="64">
        <v>9.75</v>
      </c>
      <c r="R102" s="198"/>
      <c r="S102" s="198"/>
      <c r="T102" s="198"/>
      <c r="U102" s="198"/>
    </row>
    <row r="103" spans="1:33" s="12" customFormat="1" x14ac:dyDescent="0.25">
      <c r="A103" s="214" t="s">
        <v>2550</v>
      </c>
      <c r="B103" s="64">
        <v>169.75</v>
      </c>
      <c r="C103" s="64">
        <v>0.67</v>
      </c>
      <c r="D103" s="64">
        <v>102.26</v>
      </c>
      <c r="E103" s="64">
        <v>6.72</v>
      </c>
      <c r="F103" s="64">
        <v>2.4300000000000002</v>
      </c>
      <c r="G103" s="64">
        <v>108.59</v>
      </c>
      <c r="H103" s="64">
        <v>50.01</v>
      </c>
      <c r="I103" s="64">
        <v>9.59</v>
      </c>
      <c r="J103" s="64">
        <v>0.39</v>
      </c>
      <c r="K103" s="64">
        <v>221.11</v>
      </c>
      <c r="L103" s="64">
        <v>7.81</v>
      </c>
      <c r="M103" s="64">
        <v>96.38</v>
      </c>
      <c r="N103" s="64">
        <v>49</v>
      </c>
      <c r="O103" s="64">
        <v>0</v>
      </c>
      <c r="P103" s="64">
        <v>3.36</v>
      </c>
      <c r="Q103" s="64">
        <v>9.75</v>
      </c>
      <c r="R103" s="198"/>
      <c r="S103" s="198"/>
      <c r="T103" s="198"/>
      <c r="U103" s="198"/>
    </row>
    <row r="104" spans="1:33" s="12" customFormat="1" x14ac:dyDescent="0.25">
      <c r="A104" s="214" t="s">
        <v>2551</v>
      </c>
      <c r="B104" s="64">
        <v>170.96</v>
      </c>
      <c r="C104" s="64">
        <v>0.67</v>
      </c>
      <c r="D104" s="64">
        <v>102.47</v>
      </c>
      <c r="E104" s="64">
        <v>5.99</v>
      </c>
      <c r="F104" s="64">
        <v>2.5099999999999998</v>
      </c>
      <c r="G104" s="64">
        <v>108.59</v>
      </c>
      <c r="H104" s="64">
        <v>50.01</v>
      </c>
      <c r="I104" s="64">
        <v>9.61</v>
      </c>
      <c r="J104" s="64">
        <v>0.23</v>
      </c>
      <c r="K104" s="64">
        <v>237.65</v>
      </c>
      <c r="L104" s="64">
        <v>7.58</v>
      </c>
      <c r="M104" s="64">
        <v>97.34</v>
      </c>
      <c r="N104" s="64">
        <v>48.9</v>
      </c>
      <c r="O104" s="64">
        <v>0</v>
      </c>
      <c r="P104" s="64">
        <v>3.39</v>
      </c>
      <c r="Q104" s="64">
        <v>9.75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</v>
      </c>
      <c r="C106" s="67">
        <f>MIN(C9:C104)</f>
        <v>0.03</v>
      </c>
      <c r="D106" s="67">
        <f t="shared" ref="D106:Q106" si="0">MIN(D9:D104)</f>
        <v>7.0000000000000007E-2</v>
      </c>
      <c r="E106" s="67">
        <f t="shared" si="0"/>
        <v>4.88</v>
      </c>
      <c r="F106" s="67">
        <f t="shared" si="0"/>
        <v>2.11</v>
      </c>
      <c r="G106" s="67">
        <f t="shared" si="0"/>
        <v>20.81</v>
      </c>
      <c r="H106" s="67">
        <f t="shared" si="0"/>
        <v>6.83</v>
      </c>
      <c r="I106" s="67">
        <f t="shared" si="0"/>
        <v>0</v>
      </c>
      <c r="J106" s="67">
        <f t="shared" si="0"/>
        <v>0.11</v>
      </c>
      <c r="K106" s="67">
        <f t="shared" si="0"/>
        <v>5.09</v>
      </c>
      <c r="L106" s="67">
        <f t="shared" si="0"/>
        <v>7.58</v>
      </c>
      <c r="M106" s="67">
        <f t="shared" si="0"/>
        <v>21.77</v>
      </c>
      <c r="N106" s="67">
        <f t="shared" si="0"/>
        <v>42.2</v>
      </c>
      <c r="O106" s="67">
        <f t="shared" si="0"/>
        <v>0</v>
      </c>
      <c r="P106" s="67">
        <f t="shared" si="0"/>
        <v>0.37</v>
      </c>
      <c r="Q106" s="67">
        <f t="shared" si="0"/>
        <v>0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209.67</v>
      </c>
      <c r="C107" s="66">
        <f t="shared" ref="C107:Q107" si="1">MAX(C9:C104)</f>
        <v>30.3</v>
      </c>
      <c r="D107" s="66">
        <f t="shared" si="1"/>
        <v>122.17</v>
      </c>
      <c r="E107" s="66">
        <f t="shared" si="1"/>
        <v>13.42</v>
      </c>
      <c r="F107" s="66">
        <f t="shared" si="1"/>
        <v>13.59</v>
      </c>
      <c r="G107" s="66">
        <f t="shared" si="1"/>
        <v>162.01</v>
      </c>
      <c r="H107" s="66">
        <f t="shared" si="1"/>
        <v>66.31</v>
      </c>
      <c r="I107" s="66">
        <f t="shared" si="1"/>
        <v>9.66</v>
      </c>
      <c r="J107" s="66">
        <f t="shared" si="1"/>
        <v>1.86</v>
      </c>
      <c r="K107" s="66">
        <f t="shared" si="1"/>
        <v>357.83</v>
      </c>
      <c r="L107" s="66">
        <f t="shared" si="1"/>
        <v>26.47</v>
      </c>
      <c r="M107" s="66">
        <f t="shared" si="1"/>
        <v>98.04</v>
      </c>
      <c r="N107" s="66">
        <f t="shared" si="1"/>
        <v>507.7</v>
      </c>
      <c r="O107" s="66">
        <f t="shared" si="1"/>
        <v>0</v>
      </c>
      <c r="P107" s="66">
        <f t="shared" si="1"/>
        <v>5.65</v>
      </c>
      <c r="Q107" s="66">
        <f t="shared" si="1"/>
        <v>9.82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82.324375000000018</v>
      </c>
      <c r="C108" s="67">
        <f t="shared" ref="C108:Q108" si="2">AVERAGE(C9:C104)</f>
        <v>14.410520833333349</v>
      </c>
      <c r="D108" s="67">
        <f t="shared" si="2"/>
        <v>56.826250000000009</v>
      </c>
      <c r="E108" s="67">
        <f t="shared" si="2"/>
        <v>7.9294791666666677</v>
      </c>
      <c r="F108" s="67">
        <f t="shared" si="2"/>
        <v>4.3198958333333355</v>
      </c>
      <c r="G108" s="67">
        <f t="shared" si="2"/>
        <v>76.75847826086958</v>
      </c>
      <c r="H108" s="67">
        <f t="shared" si="2"/>
        <v>29.308804347826094</v>
      </c>
      <c r="I108" s="67">
        <f t="shared" si="2"/>
        <v>2.1129166666666666</v>
      </c>
      <c r="J108" s="67">
        <f t="shared" si="2"/>
        <v>0.78833333333333344</v>
      </c>
      <c r="K108" s="67">
        <f t="shared" si="2"/>
        <v>240.60041666666666</v>
      </c>
      <c r="L108" s="67">
        <f t="shared" si="2"/>
        <v>14.426145833333337</v>
      </c>
      <c r="M108" s="67">
        <f t="shared" si="2"/>
        <v>66.588854166666692</v>
      </c>
      <c r="N108" s="67">
        <f t="shared" si="2"/>
        <v>149.95520833333325</v>
      </c>
      <c r="O108" s="67">
        <f t="shared" si="2"/>
        <v>0</v>
      </c>
      <c r="P108" s="67">
        <f t="shared" si="2"/>
        <v>2.0353124999999994</v>
      </c>
      <c r="Q108" s="67">
        <f t="shared" si="2"/>
        <v>9.5306250000000041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65.248440946286649</v>
      </c>
      <c r="C109" s="67">
        <f t="shared" ref="C109:Q109" si="3">STDEV(C9:C104)</f>
        <v>9.7520610906284961</v>
      </c>
      <c r="D109" s="67">
        <f t="shared" si="3"/>
        <v>32.782117822791264</v>
      </c>
      <c r="E109" s="67">
        <f t="shared" si="3"/>
        <v>1.8838149254227698</v>
      </c>
      <c r="F109" s="67">
        <f t="shared" si="3"/>
        <v>3.1960457459316371</v>
      </c>
      <c r="G109" s="67">
        <f t="shared" si="3"/>
        <v>42.26219457111231</v>
      </c>
      <c r="H109" s="67">
        <f t="shared" si="3"/>
        <v>15.776117005951617</v>
      </c>
      <c r="I109" s="67">
        <f t="shared" si="3"/>
        <v>2.6111219273136692</v>
      </c>
      <c r="J109" s="67">
        <f t="shared" si="3"/>
        <v>0.37651774730427706</v>
      </c>
      <c r="K109" s="67">
        <f t="shared" si="3"/>
        <v>104.34077636502498</v>
      </c>
      <c r="L109" s="67">
        <f t="shared" si="3"/>
        <v>4.7772637774736006</v>
      </c>
      <c r="M109" s="67">
        <f t="shared" si="3"/>
        <v>30.743165637423914</v>
      </c>
      <c r="N109" s="67">
        <f t="shared" si="3"/>
        <v>166.49083924208921</v>
      </c>
      <c r="O109" s="67">
        <f t="shared" si="3"/>
        <v>0</v>
      </c>
      <c r="P109" s="67">
        <f t="shared" si="3"/>
        <v>1.3768040437912732</v>
      </c>
      <c r="Q109" s="67">
        <f t="shared" si="3"/>
        <v>0.99315638509907589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COUNT(G9:G104)+4</f>
        <v>96</v>
      </c>
      <c r="H110" s="66">
        <f>COUNT(H9:H104)+4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C9" sqref="C9:C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2552</v>
      </c>
      <c r="B9" s="64">
        <v>171.72</v>
      </c>
      <c r="C9" s="64">
        <v>12.1</v>
      </c>
      <c r="D9" s="64">
        <v>102.47</v>
      </c>
      <c r="E9" s="64">
        <v>6.79</v>
      </c>
      <c r="F9" s="64">
        <v>2.57</v>
      </c>
      <c r="G9" s="64">
        <v>108.59</v>
      </c>
      <c r="H9" s="64">
        <v>50.01</v>
      </c>
      <c r="I9" s="64">
        <v>9.7899999999999991</v>
      </c>
      <c r="J9" s="64">
        <v>0.39</v>
      </c>
      <c r="K9" s="64">
        <v>146.82</v>
      </c>
      <c r="L9" s="64">
        <v>7.45</v>
      </c>
      <c r="M9" s="64">
        <v>97.92</v>
      </c>
      <c r="N9" s="64">
        <v>48.8</v>
      </c>
      <c r="O9" s="64">
        <v>0</v>
      </c>
      <c r="P9" s="64">
        <v>3.45</v>
      </c>
      <c r="Q9" s="64">
        <v>9.75</v>
      </c>
      <c r="R9" s="198"/>
      <c r="S9" s="198"/>
      <c r="T9" s="198"/>
      <c r="U9" s="198"/>
    </row>
    <row r="10" spans="1:21" s="12" customFormat="1" x14ac:dyDescent="0.25">
      <c r="A10" s="214" t="s">
        <v>2553</v>
      </c>
      <c r="B10" s="64">
        <v>171.78</v>
      </c>
      <c r="C10" s="64">
        <v>9.51</v>
      </c>
      <c r="D10" s="64">
        <v>102.26</v>
      </c>
      <c r="E10" s="64">
        <v>6.82</v>
      </c>
      <c r="F10" s="64">
        <v>2.61</v>
      </c>
      <c r="G10" s="64">
        <v>88.87</v>
      </c>
      <c r="H10" s="64">
        <v>48.25</v>
      </c>
      <c r="I10" s="64">
        <v>9.98</v>
      </c>
      <c r="J10" s="64">
        <v>0.56999999999999995</v>
      </c>
      <c r="K10" s="64">
        <v>245.31</v>
      </c>
      <c r="L10" s="64">
        <v>7.31</v>
      </c>
      <c r="M10" s="64">
        <v>97.94</v>
      </c>
      <c r="N10" s="64">
        <v>49</v>
      </c>
      <c r="O10" s="64">
        <v>0</v>
      </c>
      <c r="P10" s="64">
        <v>3.52</v>
      </c>
      <c r="Q10" s="64">
        <v>9.74</v>
      </c>
      <c r="R10" s="198"/>
      <c r="S10" s="198"/>
      <c r="T10" s="198"/>
      <c r="U10" s="198"/>
    </row>
    <row r="11" spans="1:21" s="12" customFormat="1" x14ac:dyDescent="0.25">
      <c r="A11" s="214" t="s">
        <v>2554</v>
      </c>
      <c r="B11" s="64">
        <v>171.2</v>
      </c>
      <c r="C11" s="64">
        <v>3.4</v>
      </c>
      <c r="D11" s="64">
        <v>101.79</v>
      </c>
      <c r="E11" s="64">
        <v>6.74</v>
      </c>
      <c r="F11" s="64">
        <v>2.35</v>
      </c>
      <c r="G11" s="64">
        <v>85.83</v>
      </c>
      <c r="H11" s="64">
        <v>48.25</v>
      </c>
      <c r="I11" s="64">
        <v>10.19</v>
      </c>
      <c r="J11" s="64">
        <v>0.8</v>
      </c>
      <c r="K11" s="64">
        <v>323.86</v>
      </c>
      <c r="L11" s="64">
        <v>7.02</v>
      </c>
      <c r="M11" s="64">
        <v>97.95</v>
      </c>
      <c r="N11" s="64">
        <v>49</v>
      </c>
      <c r="O11" s="64">
        <v>0</v>
      </c>
      <c r="P11" s="64">
        <v>3.57</v>
      </c>
      <c r="Q11" s="64">
        <v>9.74</v>
      </c>
      <c r="R11" s="198"/>
      <c r="S11" s="198"/>
      <c r="T11" s="198"/>
      <c r="U11" s="198"/>
    </row>
    <row r="12" spans="1:21" s="12" customFormat="1" x14ac:dyDescent="0.25">
      <c r="A12" s="214" t="s">
        <v>2555</v>
      </c>
      <c r="B12" s="64">
        <v>170.79</v>
      </c>
      <c r="C12" s="64">
        <v>4.2</v>
      </c>
      <c r="D12" s="64">
        <v>101.41</v>
      </c>
      <c r="E12" s="64">
        <v>6.83</v>
      </c>
      <c r="F12" s="64">
        <v>2.71</v>
      </c>
      <c r="G12" s="64">
        <v>85.83</v>
      </c>
      <c r="H12" s="64">
        <v>48.25</v>
      </c>
      <c r="I12" s="64">
        <v>10.36</v>
      </c>
      <c r="J12" s="64">
        <v>0.56000000000000005</v>
      </c>
      <c r="K12" s="64">
        <v>22.71</v>
      </c>
      <c r="L12" s="64">
        <v>6.79</v>
      </c>
      <c r="M12" s="64">
        <v>97.95</v>
      </c>
      <c r="N12" s="64">
        <v>49</v>
      </c>
      <c r="O12" s="64">
        <v>0</v>
      </c>
      <c r="P12" s="64">
        <v>3.65</v>
      </c>
      <c r="Q12" s="64">
        <v>9.75</v>
      </c>
      <c r="R12" s="198"/>
      <c r="S12" s="198"/>
      <c r="T12" s="198"/>
      <c r="U12" s="198"/>
    </row>
    <row r="13" spans="1:21" s="12" customFormat="1" x14ac:dyDescent="0.25">
      <c r="A13" s="214" t="s">
        <v>2556</v>
      </c>
      <c r="B13" s="64">
        <v>170.31</v>
      </c>
      <c r="C13" s="64">
        <v>5.12</v>
      </c>
      <c r="D13" s="64">
        <v>100.98</v>
      </c>
      <c r="E13" s="64">
        <v>6.75</v>
      </c>
      <c r="F13" s="64">
        <v>2.73</v>
      </c>
      <c r="G13" s="64">
        <v>85.83</v>
      </c>
      <c r="H13" s="64">
        <v>48.25</v>
      </c>
      <c r="I13" s="64">
        <v>10.52</v>
      </c>
      <c r="J13" s="64">
        <v>0.21</v>
      </c>
      <c r="K13" s="64">
        <v>4.12</v>
      </c>
      <c r="L13" s="64">
        <v>6.82</v>
      </c>
      <c r="M13" s="64">
        <v>97.95</v>
      </c>
      <c r="N13" s="64">
        <v>48.9</v>
      </c>
      <c r="O13" s="64">
        <v>0</v>
      </c>
      <c r="P13" s="64">
        <v>3.08</v>
      </c>
      <c r="Q13" s="64">
        <v>9.76</v>
      </c>
      <c r="R13" s="198"/>
      <c r="S13" s="198"/>
      <c r="T13" s="198"/>
      <c r="U13" s="198"/>
    </row>
    <row r="14" spans="1:21" s="12" customFormat="1" x14ac:dyDescent="0.25">
      <c r="A14" s="214" t="s">
        <v>2557</v>
      </c>
      <c r="B14" s="64">
        <v>169.55</v>
      </c>
      <c r="C14" s="64">
        <v>6.21</v>
      </c>
      <c r="D14" s="64">
        <v>100.47</v>
      </c>
      <c r="E14" s="64">
        <v>6.83</v>
      </c>
      <c r="F14" s="64">
        <v>2.61</v>
      </c>
      <c r="G14" s="64">
        <v>84.29</v>
      </c>
      <c r="H14" s="64">
        <v>45.74</v>
      </c>
      <c r="I14" s="64">
        <v>10.69</v>
      </c>
      <c r="J14" s="64">
        <v>0.23</v>
      </c>
      <c r="K14" s="64">
        <v>258.86</v>
      </c>
      <c r="L14" s="64">
        <v>6.9</v>
      </c>
      <c r="M14" s="64">
        <v>97.95</v>
      </c>
      <c r="N14" s="64">
        <v>48.8</v>
      </c>
      <c r="O14" s="64">
        <v>0</v>
      </c>
      <c r="P14" s="64">
        <v>3.3</v>
      </c>
      <c r="Q14" s="64">
        <v>9.74</v>
      </c>
      <c r="R14" s="198"/>
      <c r="S14" s="198"/>
      <c r="T14" s="198"/>
      <c r="U14" s="198"/>
    </row>
    <row r="15" spans="1:21" s="12" customFormat="1" x14ac:dyDescent="0.25">
      <c r="A15" s="214" t="s">
        <v>2558</v>
      </c>
      <c r="B15" s="64">
        <v>168.16</v>
      </c>
      <c r="C15" s="64">
        <v>7.14</v>
      </c>
      <c r="D15" s="64">
        <v>99.64</v>
      </c>
      <c r="E15" s="64">
        <v>6.66</v>
      </c>
      <c r="F15" s="64">
        <v>2.42</v>
      </c>
      <c r="G15" s="64">
        <v>84.05</v>
      </c>
      <c r="H15" s="64">
        <v>45.74</v>
      </c>
      <c r="I15" s="64">
        <v>10.86</v>
      </c>
      <c r="J15" s="64">
        <v>0.22</v>
      </c>
      <c r="K15" s="64">
        <v>357.91</v>
      </c>
      <c r="L15" s="64">
        <v>6.82</v>
      </c>
      <c r="M15" s="64">
        <v>97.95</v>
      </c>
      <c r="N15" s="64">
        <v>49</v>
      </c>
      <c r="O15" s="64">
        <v>0</v>
      </c>
      <c r="P15" s="64">
        <v>3.34</v>
      </c>
      <c r="Q15" s="64">
        <v>9.74</v>
      </c>
      <c r="R15" s="198"/>
      <c r="S15" s="198"/>
      <c r="T15" s="198"/>
      <c r="U15" s="198"/>
    </row>
    <row r="16" spans="1:21" s="12" customFormat="1" x14ac:dyDescent="0.25">
      <c r="A16" s="214" t="s">
        <v>2559</v>
      </c>
      <c r="B16" s="64">
        <v>165.44</v>
      </c>
      <c r="C16" s="64">
        <v>6.4</v>
      </c>
      <c r="D16" s="64">
        <v>97.86</v>
      </c>
      <c r="E16" s="64">
        <v>6.83</v>
      </c>
      <c r="F16" s="64">
        <v>2.42</v>
      </c>
      <c r="G16" s="64">
        <v>84.05</v>
      </c>
      <c r="H16" s="64">
        <v>45.74</v>
      </c>
      <c r="I16" s="64">
        <v>11.83</v>
      </c>
      <c r="J16" s="64">
        <v>0.39</v>
      </c>
      <c r="K16" s="64">
        <v>20.420000000000002</v>
      </c>
      <c r="L16" s="64">
        <v>6.74</v>
      </c>
      <c r="M16" s="64">
        <v>94.59</v>
      </c>
      <c r="N16" s="64">
        <v>48.9</v>
      </c>
      <c r="O16" s="64">
        <v>0</v>
      </c>
      <c r="P16" s="64">
        <v>3.32</v>
      </c>
      <c r="Q16" s="64">
        <v>9.74</v>
      </c>
      <c r="R16" s="198"/>
      <c r="S16" s="198"/>
      <c r="T16" s="198"/>
      <c r="U16" s="198"/>
    </row>
    <row r="17" spans="1:21" s="12" customFormat="1" x14ac:dyDescent="0.25">
      <c r="A17" s="214" t="s">
        <v>2560</v>
      </c>
      <c r="B17" s="64">
        <v>34.619999999999997</v>
      </c>
      <c r="C17" s="64">
        <v>6.4</v>
      </c>
      <c r="D17" s="64">
        <v>20.059999999999999</v>
      </c>
      <c r="E17" s="64">
        <v>6.58</v>
      </c>
      <c r="F17" s="64">
        <v>2.46</v>
      </c>
      <c r="G17" s="64">
        <v>84.05</v>
      </c>
      <c r="H17" s="64">
        <v>45.74</v>
      </c>
      <c r="I17" s="64">
        <v>11.35</v>
      </c>
      <c r="J17" s="64">
        <v>0.17</v>
      </c>
      <c r="K17" s="64">
        <v>285.99</v>
      </c>
      <c r="L17" s="64">
        <v>7.04</v>
      </c>
      <c r="M17" s="64">
        <v>92.06</v>
      </c>
      <c r="N17" s="64">
        <v>49</v>
      </c>
      <c r="O17" s="64">
        <v>0</v>
      </c>
      <c r="P17" s="64">
        <v>3.27</v>
      </c>
      <c r="Q17" s="64">
        <v>9.73</v>
      </c>
      <c r="R17" s="198"/>
      <c r="S17" s="198"/>
      <c r="T17" s="198"/>
      <c r="U17" s="198"/>
    </row>
    <row r="18" spans="1:21" s="12" customFormat="1" x14ac:dyDescent="0.25">
      <c r="A18" s="214" t="s">
        <v>2561</v>
      </c>
      <c r="B18" s="64">
        <v>1.86</v>
      </c>
      <c r="C18" s="64">
        <v>0.37</v>
      </c>
      <c r="D18" s="64">
        <v>1.02</v>
      </c>
      <c r="E18" s="64">
        <v>6.41</v>
      </c>
      <c r="F18" s="64">
        <v>2.23</v>
      </c>
      <c r="G18" s="64">
        <v>73.89</v>
      </c>
      <c r="H18" s="64">
        <v>41.57</v>
      </c>
      <c r="I18" s="64">
        <v>11.05</v>
      </c>
      <c r="J18" s="64">
        <v>0.66</v>
      </c>
      <c r="K18" s="64">
        <v>248.35</v>
      </c>
      <c r="L18" s="64">
        <v>6.83</v>
      </c>
      <c r="M18" s="64">
        <v>92.6</v>
      </c>
      <c r="N18" s="64">
        <v>49</v>
      </c>
      <c r="O18" s="64">
        <v>0</v>
      </c>
      <c r="P18" s="64">
        <v>3.26</v>
      </c>
      <c r="Q18" s="64">
        <v>9.75</v>
      </c>
      <c r="R18" s="198"/>
      <c r="S18" s="198"/>
      <c r="T18" s="198"/>
      <c r="U18" s="198"/>
    </row>
    <row r="19" spans="1:21" s="12" customFormat="1" x14ac:dyDescent="0.25">
      <c r="A19" s="214" t="s">
        <v>2562</v>
      </c>
      <c r="B19" s="64">
        <v>1.24</v>
      </c>
      <c r="C19" s="64">
        <v>0.88</v>
      </c>
      <c r="D19" s="64">
        <v>1.02</v>
      </c>
      <c r="E19" s="64">
        <v>6.73</v>
      </c>
      <c r="F19" s="64">
        <v>2.56</v>
      </c>
      <c r="G19" s="64">
        <v>72.33</v>
      </c>
      <c r="H19" s="64">
        <v>41.57</v>
      </c>
      <c r="I19" s="64">
        <v>10.99</v>
      </c>
      <c r="J19" s="64">
        <v>0.35</v>
      </c>
      <c r="K19" s="64">
        <v>285.08</v>
      </c>
      <c r="L19" s="64">
        <v>6.58</v>
      </c>
      <c r="M19" s="64">
        <v>94.7</v>
      </c>
      <c r="N19" s="64">
        <v>49.4</v>
      </c>
      <c r="O19" s="64">
        <v>0</v>
      </c>
      <c r="P19" s="64">
        <v>3.21</v>
      </c>
      <c r="Q19" s="64">
        <v>9.74</v>
      </c>
      <c r="R19" s="198"/>
      <c r="S19" s="198"/>
      <c r="T19" s="198"/>
      <c r="U19" s="198"/>
    </row>
    <row r="20" spans="1:21" s="12" customFormat="1" x14ac:dyDescent="0.25">
      <c r="A20" s="214" t="s">
        <v>2563</v>
      </c>
      <c r="B20" s="64">
        <v>1.24</v>
      </c>
      <c r="C20" s="64">
        <v>0.88</v>
      </c>
      <c r="D20" s="64">
        <v>1.02</v>
      </c>
      <c r="E20" s="64">
        <v>6.51</v>
      </c>
      <c r="F20" s="64">
        <v>2.44</v>
      </c>
      <c r="G20" s="64">
        <v>72.33</v>
      </c>
      <c r="H20" s="64">
        <v>41.57</v>
      </c>
      <c r="I20" s="64">
        <v>10.9</v>
      </c>
      <c r="J20" s="64">
        <v>0.63</v>
      </c>
      <c r="K20" s="64">
        <v>294.51</v>
      </c>
      <c r="L20" s="64">
        <v>6.19</v>
      </c>
      <c r="M20" s="64">
        <v>96.96</v>
      </c>
      <c r="N20" s="64">
        <v>49.2</v>
      </c>
      <c r="O20" s="64">
        <v>0</v>
      </c>
      <c r="P20" s="64">
        <v>3.13</v>
      </c>
      <c r="Q20" s="64">
        <v>9.73</v>
      </c>
      <c r="R20" s="198"/>
      <c r="S20" s="198"/>
      <c r="T20" s="198"/>
      <c r="U20" s="198"/>
    </row>
    <row r="21" spans="1:21" s="12" customFormat="1" x14ac:dyDescent="0.25">
      <c r="A21" s="214" t="s">
        <v>2564</v>
      </c>
      <c r="B21" s="64">
        <v>1.24</v>
      </c>
      <c r="C21" s="64">
        <v>0.88</v>
      </c>
      <c r="D21" s="64">
        <v>1.02</v>
      </c>
      <c r="E21" s="64">
        <v>6.27</v>
      </c>
      <c r="F21" s="64">
        <v>2.4300000000000002</v>
      </c>
      <c r="G21" s="64">
        <v>72.33</v>
      </c>
      <c r="H21" s="64">
        <v>41.57</v>
      </c>
      <c r="I21" s="64">
        <v>10.76</v>
      </c>
      <c r="J21" s="64">
        <v>0.84</v>
      </c>
      <c r="K21" s="64">
        <v>323.20999999999998</v>
      </c>
      <c r="L21" s="64">
        <v>6.02</v>
      </c>
      <c r="M21" s="64">
        <v>97.29</v>
      </c>
      <c r="N21" s="64">
        <v>49.2</v>
      </c>
      <c r="O21" s="64">
        <v>0</v>
      </c>
      <c r="P21" s="64">
        <v>3.05</v>
      </c>
      <c r="Q21" s="64">
        <v>9.7200000000000006</v>
      </c>
      <c r="R21" s="198"/>
      <c r="S21" s="198"/>
      <c r="T21" s="198"/>
      <c r="U21" s="198"/>
    </row>
    <row r="22" spans="1:21" s="12" customFormat="1" x14ac:dyDescent="0.25">
      <c r="A22" s="214" t="s">
        <v>2565</v>
      </c>
      <c r="B22" s="64">
        <v>1.24</v>
      </c>
      <c r="C22" s="64">
        <v>0.88</v>
      </c>
      <c r="D22" s="64">
        <v>1.02</v>
      </c>
      <c r="E22" s="64">
        <v>6.39</v>
      </c>
      <c r="F22" s="64">
        <v>2.62</v>
      </c>
      <c r="G22" s="64">
        <v>78.62</v>
      </c>
      <c r="H22" s="64">
        <v>38.67</v>
      </c>
      <c r="I22" s="64">
        <v>10.57</v>
      </c>
      <c r="J22" s="64">
        <v>0.85</v>
      </c>
      <c r="K22" s="64">
        <v>348.68</v>
      </c>
      <c r="L22" s="64">
        <v>5.65</v>
      </c>
      <c r="M22" s="64">
        <v>97.93</v>
      </c>
      <c r="N22" s="64">
        <v>49.4</v>
      </c>
      <c r="O22" s="64">
        <v>0</v>
      </c>
      <c r="P22" s="64">
        <v>2.97</v>
      </c>
      <c r="Q22" s="64">
        <v>9.73</v>
      </c>
      <c r="R22" s="198"/>
      <c r="S22" s="198"/>
      <c r="T22" s="198"/>
      <c r="U22" s="198"/>
    </row>
    <row r="23" spans="1:21" s="12" customFormat="1" x14ac:dyDescent="0.25">
      <c r="A23" s="214" t="s">
        <v>2566</v>
      </c>
      <c r="B23" s="64">
        <v>1.24</v>
      </c>
      <c r="C23" s="64">
        <v>0.88</v>
      </c>
      <c r="D23" s="64">
        <v>1.02</v>
      </c>
      <c r="E23" s="64">
        <v>6.45</v>
      </c>
      <c r="F23" s="64">
        <v>2.5099999999999998</v>
      </c>
      <c r="G23" s="64">
        <v>79.59</v>
      </c>
      <c r="H23" s="64">
        <v>38.67</v>
      </c>
      <c r="I23" s="64">
        <v>11.16</v>
      </c>
      <c r="J23" s="64">
        <v>0.72</v>
      </c>
      <c r="K23" s="64">
        <v>337.33</v>
      </c>
      <c r="L23" s="64">
        <v>5.52</v>
      </c>
      <c r="M23" s="64">
        <v>97.93</v>
      </c>
      <c r="N23" s="64">
        <v>49</v>
      </c>
      <c r="O23" s="64">
        <v>0</v>
      </c>
      <c r="P23" s="64">
        <v>2.87</v>
      </c>
      <c r="Q23" s="64">
        <v>9.7100000000000009</v>
      </c>
      <c r="R23" s="198"/>
      <c r="S23" s="198"/>
      <c r="T23" s="198"/>
      <c r="U23" s="198"/>
    </row>
    <row r="24" spans="1:21" s="12" customFormat="1" x14ac:dyDescent="0.25">
      <c r="A24" s="214" t="s">
        <v>2567</v>
      </c>
      <c r="B24" s="64">
        <v>1.24</v>
      </c>
      <c r="C24" s="64">
        <v>0.88</v>
      </c>
      <c r="D24" s="64">
        <v>1.02</v>
      </c>
      <c r="E24" s="64">
        <v>6.29</v>
      </c>
      <c r="F24" s="64">
        <v>2.4</v>
      </c>
      <c r="G24" s="64">
        <v>79.59</v>
      </c>
      <c r="H24" s="64">
        <v>38.67</v>
      </c>
      <c r="I24" s="64">
        <v>10.46</v>
      </c>
      <c r="J24" s="64">
        <v>0.68</v>
      </c>
      <c r="K24" s="64">
        <v>11.37</v>
      </c>
      <c r="L24" s="64">
        <v>5.69</v>
      </c>
      <c r="M24" s="64">
        <v>94.56</v>
      </c>
      <c r="N24" s="64">
        <v>49</v>
      </c>
      <c r="O24" s="64">
        <v>0</v>
      </c>
      <c r="P24" s="64">
        <v>2.75</v>
      </c>
      <c r="Q24" s="64">
        <v>9.7100000000000009</v>
      </c>
      <c r="R24" s="198"/>
      <c r="S24" s="198"/>
      <c r="T24" s="198"/>
      <c r="U24" s="198"/>
    </row>
    <row r="25" spans="1:21" s="12" customFormat="1" x14ac:dyDescent="0.25">
      <c r="A25" s="214" t="s">
        <v>2568</v>
      </c>
      <c r="B25" s="64">
        <v>1.24</v>
      </c>
      <c r="C25" s="64">
        <v>0.88</v>
      </c>
      <c r="D25" s="64">
        <v>1.02</v>
      </c>
      <c r="E25" s="64">
        <v>6.3</v>
      </c>
      <c r="F25" s="64">
        <v>2.6</v>
      </c>
      <c r="G25" s="64">
        <v>79.59</v>
      </c>
      <c r="H25" s="64">
        <v>38.67</v>
      </c>
      <c r="I25" s="64">
        <v>9.9700000000000006</v>
      </c>
      <c r="J25" s="64">
        <v>0.68</v>
      </c>
      <c r="K25" s="64">
        <v>64.42</v>
      </c>
      <c r="L25" s="64">
        <v>6.36</v>
      </c>
      <c r="M25" s="64">
        <v>84.73</v>
      </c>
      <c r="N25" s="64">
        <v>48.9</v>
      </c>
      <c r="O25" s="64">
        <v>0</v>
      </c>
      <c r="P25" s="64">
        <v>2.61</v>
      </c>
      <c r="Q25" s="64">
        <v>9.7100000000000009</v>
      </c>
      <c r="R25" s="198"/>
      <c r="S25" s="198"/>
      <c r="T25" s="198"/>
      <c r="U25" s="198"/>
    </row>
    <row r="26" spans="1:21" s="12" customFormat="1" x14ac:dyDescent="0.25">
      <c r="A26" s="214" t="s">
        <v>2569</v>
      </c>
      <c r="B26" s="64">
        <v>1.24</v>
      </c>
      <c r="C26" s="64">
        <v>0.88</v>
      </c>
      <c r="D26" s="64">
        <v>1.02</v>
      </c>
      <c r="E26" s="64">
        <v>5.89</v>
      </c>
      <c r="F26" s="64">
        <v>2.7</v>
      </c>
      <c r="G26" s="64">
        <v>59.68</v>
      </c>
      <c r="H26" s="64">
        <v>35.270000000000003</v>
      </c>
      <c r="I26" s="64">
        <v>9.7799999999999994</v>
      </c>
      <c r="J26" s="64">
        <v>0.42</v>
      </c>
      <c r="K26" s="64">
        <v>40.340000000000003</v>
      </c>
      <c r="L26" s="64">
        <v>6.76</v>
      </c>
      <c r="M26" s="64">
        <v>80.95</v>
      </c>
      <c r="N26" s="64">
        <v>49</v>
      </c>
      <c r="O26" s="64">
        <v>0</v>
      </c>
      <c r="P26" s="64">
        <v>2.4700000000000002</v>
      </c>
      <c r="Q26" s="64">
        <v>9.68</v>
      </c>
      <c r="R26" s="198"/>
      <c r="S26" s="198"/>
      <c r="T26" s="198"/>
      <c r="U26" s="198"/>
    </row>
    <row r="27" spans="1:21" s="12" customFormat="1" x14ac:dyDescent="0.25">
      <c r="A27" s="214" t="s">
        <v>2570</v>
      </c>
      <c r="B27" s="64">
        <v>1.24</v>
      </c>
      <c r="C27" s="64">
        <v>0.88</v>
      </c>
      <c r="D27" s="64">
        <v>1.02</v>
      </c>
      <c r="E27" s="64">
        <v>5.89</v>
      </c>
      <c r="F27" s="64">
        <v>2.62</v>
      </c>
      <c r="G27" s="64">
        <v>56.62</v>
      </c>
      <c r="H27" s="64">
        <v>35.270000000000003</v>
      </c>
      <c r="I27" s="64">
        <v>9.52</v>
      </c>
      <c r="J27" s="64">
        <v>0.41</v>
      </c>
      <c r="K27" s="64">
        <v>357.93</v>
      </c>
      <c r="L27" s="64">
        <v>6.82</v>
      </c>
      <c r="M27" s="64">
        <v>81.25</v>
      </c>
      <c r="N27" s="64">
        <v>49.1</v>
      </c>
      <c r="O27" s="64">
        <v>0</v>
      </c>
      <c r="P27" s="64">
        <v>2.33</v>
      </c>
      <c r="Q27" s="64">
        <v>9.69</v>
      </c>
      <c r="R27" s="198"/>
      <c r="S27" s="198"/>
      <c r="T27" s="198"/>
      <c r="U27" s="198"/>
    </row>
    <row r="28" spans="1:21" s="12" customFormat="1" x14ac:dyDescent="0.25">
      <c r="A28" s="214" t="s">
        <v>2571</v>
      </c>
      <c r="B28" s="64">
        <v>1.24</v>
      </c>
      <c r="C28" s="64">
        <v>0.88</v>
      </c>
      <c r="D28" s="64">
        <v>1.02</v>
      </c>
      <c r="E28" s="64">
        <v>5.69</v>
      </c>
      <c r="F28" s="64">
        <v>2.4900000000000002</v>
      </c>
      <c r="G28" s="64">
        <v>56.62</v>
      </c>
      <c r="H28" s="64">
        <v>35.270000000000003</v>
      </c>
      <c r="I28" s="64">
        <v>9.23</v>
      </c>
      <c r="J28" s="64">
        <v>0.59</v>
      </c>
      <c r="K28" s="64">
        <v>333.48</v>
      </c>
      <c r="L28" s="64">
        <v>6.77</v>
      </c>
      <c r="M28" s="64">
        <v>82.64</v>
      </c>
      <c r="N28" s="64">
        <v>49.1</v>
      </c>
      <c r="O28" s="64">
        <v>0</v>
      </c>
      <c r="P28" s="64">
        <v>2.21</v>
      </c>
      <c r="Q28" s="64">
        <v>9.6999999999999993</v>
      </c>
      <c r="R28" s="198"/>
      <c r="S28" s="198"/>
      <c r="T28" s="198"/>
      <c r="U28" s="198"/>
    </row>
    <row r="29" spans="1:21" s="12" customFormat="1" x14ac:dyDescent="0.25">
      <c r="A29" s="214" t="s">
        <v>2572</v>
      </c>
      <c r="B29" s="64">
        <v>1.24</v>
      </c>
      <c r="C29" s="64">
        <v>0.88</v>
      </c>
      <c r="D29" s="64">
        <v>1.02</v>
      </c>
      <c r="E29" s="64">
        <v>5.89</v>
      </c>
      <c r="F29" s="64">
        <v>2.59</v>
      </c>
      <c r="G29" s="64">
        <v>56.62</v>
      </c>
      <c r="H29" s="64">
        <v>35.270000000000003</v>
      </c>
      <c r="I29" s="64">
        <v>8.9600000000000009</v>
      </c>
      <c r="J29" s="64">
        <v>0.93</v>
      </c>
      <c r="K29" s="64">
        <v>349.9</v>
      </c>
      <c r="L29" s="64">
        <v>6.62</v>
      </c>
      <c r="M29" s="64">
        <v>84.64</v>
      </c>
      <c r="N29" s="64">
        <v>49.2</v>
      </c>
      <c r="O29" s="64">
        <v>0</v>
      </c>
      <c r="P29" s="64">
        <v>2.11</v>
      </c>
      <c r="Q29" s="64">
        <v>9.69</v>
      </c>
      <c r="R29" s="198"/>
      <c r="S29" s="198"/>
      <c r="T29" s="198"/>
      <c r="U29" s="198"/>
    </row>
    <row r="30" spans="1:21" s="12" customFormat="1" x14ac:dyDescent="0.25">
      <c r="A30" s="214" t="s">
        <v>2573</v>
      </c>
      <c r="B30" s="64">
        <v>1.24</v>
      </c>
      <c r="C30" s="64">
        <v>0.88</v>
      </c>
      <c r="D30" s="64">
        <v>1.02</v>
      </c>
      <c r="E30" s="64">
        <v>5.7</v>
      </c>
      <c r="F30" s="64">
        <v>2.35</v>
      </c>
      <c r="G30" s="64">
        <v>39.54</v>
      </c>
      <c r="H30" s="64">
        <v>26.24</v>
      </c>
      <c r="I30" s="64">
        <v>8.6999999999999993</v>
      </c>
      <c r="J30" s="64">
        <v>1.07</v>
      </c>
      <c r="K30" s="64">
        <v>356.3</v>
      </c>
      <c r="L30" s="64">
        <v>6.7</v>
      </c>
      <c r="M30" s="64">
        <v>83.59</v>
      </c>
      <c r="N30" s="64">
        <v>49.1</v>
      </c>
      <c r="O30" s="64">
        <v>0</v>
      </c>
      <c r="P30" s="64">
        <v>2.0099999999999998</v>
      </c>
      <c r="Q30" s="64">
        <v>9.68</v>
      </c>
      <c r="R30" s="198"/>
      <c r="S30" s="198"/>
      <c r="T30" s="198"/>
      <c r="U30" s="198"/>
    </row>
    <row r="31" spans="1:21" s="12" customFormat="1" x14ac:dyDescent="0.25">
      <c r="A31" s="214" t="s">
        <v>2574</v>
      </c>
      <c r="B31" s="64">
        <v>1.24</v>
      </c>
      <c r="C31" s="64">
        <v>0.88</v>
      </c>
      <c r="D31" s="64">
        <v>1.02</v>
      </c>
      <c r="E31" s="64">
        <v>5.81</v>
      </c>
      <c r="F31" s="64">
        <v>2.42</v>
      </c>
      <c r="G31" s="64">
        <v>36.909999999999997</v>
      </c>
      <c r="H31" s="64">
        <v>26.24</v>
      </c>
      <c r="I31" s="64">
        <v>8.43</v>
      </c>
      <c r="J31" s="64">
        <v>0.67</v>
      </c>
      <c r="K31" s="64">
        <v>357.54</v>
      </c>
      <c r="L31" s="64">
        <v>6.74</v>
      </c>
      <c r="M31" s="64">
        <v>83.45</v>
      </c>
      <c r="N31" s="64">
        <v>49.3</v>
      </c>
      <c r="O31" s="64">
        <v>0</v>
      </c>
      <c r="P31" s="64">
        <v>1.89</v>
      </c>
      <c r="Q31" s="64">
        <v>9.67</v>
      </c>
      <c r="R31" s="198"/>
      <c r="S31" s="198"/>
      <c r="T31" s="198"/>
      <c r="U31" s="198"/>
    </row>
    <row r="32" spans="1:21" s="12" customFormat="1" x14ac:dyDescent="0.25">
      <c r="A32" s="214" t="s">
        <v>2575</v>
      </c>
      <c r="B32" s="64">
        <v>1.24</v>
      </c>
      <c r="C32" s="64">
        <v>0.88</v>
      </c>
      <c r="D32" s="64">
        <v>1.02</v>
      </c>
      <c r="E32" s="64">
        <v>5.48</v>
      </c>
      <c r="F32" s="64">
        <v>2.36</v>
      </c>
      <c r="G32" s="64">
        <v>36.909999999999997</v>
      </c>
      <c r="H32" s="64">
        <v>26.24</v>
      </c>
      <c r="I32" s="64">
        <v>8.1199999999999992</v>
      </c>
      <c r="J32" s="64">
        <v>0.48</v>
      </c>
      <c r="K32" s="64">
        <v>66.290000000000006</v>
      </c>
      <c r="L32" s="64">
        <v>6.54</v>
      </c>
      <c r="M32" s="64">
        <v>83.88</v>
      </c>
      <c r="N32" s="64">
        <v>49.6</v>
      </c>
      <c r="O32" s="64">
        <v>0</v>
      </c>
      <c r="P32" s="64">
        <v>1.78</v>
      </c>
      <c r="Q32" s="64">
        <v>9.67</v>
      </c>
      <c r="R32" s="198"/>
      <c r="S32" s="198"/>
      <c r="T32" s="198"/>
      <c r="U32" s="198"/>
    </row>
    <row r="33" spans="1:21" s="12" customFormat="1" x14ac:dyDescent="0.25">
      <c r="A33" s="214" t="s">
        <v>2576</v>
      </c>
      <c r="B33" s="64">
        <v>1.24</v>
      </c>
      <c r="C33" s="64">
        <v>0.88</v>
      </c>
      <c r="D33" s="64">
        <v>1.02</v>
      </c>
      <c r="E33" s="64">
        <v>5.42</v>
      </c>
      <c r="F33" s="64">
        <v>2.29</v>
      </c>
      <c r="G33" s="64">
        <v>36.909999999999997</v>
      </c>
      <c r="H33" s="64">
        <v>26.24</v>
      </c>
      <c r="I33" s="64">
        <v>7.83</v>
      </c>
      <c r="J33" s="64">
        <v>0.33</v>
      </c>
      <c r="K33" s="64">
        <v>96.31</v>
      </c>
      <c r="L33" s="64">
        <v>6.42</v>
      </c>
      <c r="M33" s="64">
        <v>85.09</v>
      </c>
      <c r="N33" s="64">
        <v>49.6</v>
      </c>
      <c r="O33" s="64">
        <v>0</v>
      </c>
      <c r="P33" s="64">
        <v>1.68</v>
      </c>
      <c r="Q33" s="64">
        <v>9.66</v>
      </c>
      <c r="R33" s="198"/>
      <c r="S33" s="198"/>
      <c r="T33" s="198"/>
      <c r="U33" s="198"/>
    </row>
    <row r="34" spans="1:21" s="12" customFormat="1" x14ac:dyDescent="0.25">
      <c r="A34" s="214" t="s">
        <v>2577</v>
      </c>
      <c r="B34" s="64">
        <v>1.24</v>
      </c>
      <c r="C34" s="64">
        <v>0.88</v>
      </c>
      <c r="D34" s="64">
        <v>1.02</v>
      </c>
      <c r="E34" s="64">
        <v>5.4</v>
      </c>
      <c r="F34" s="64">
        <v>2.14</v>
      </c>
      <c r="G34" s="64">
        <v>28.27</v>
      </c>
      <c r="H34" s="64">
        <v>20.94</v>
      </c>
      <c r="I34" s="64">
        <v>7.53</v>
      </c>
      <c r="J34" s="64">
        <v>0.54</v>
      </c>
      <c r="K34" s="64">
        <v>157.49</v>
      </c>
      <c r="L34" s="64">
        <v>6.37</v>
      </c>
      <c r="M34" s="64">
        <v>86.45</v>
      </c>
      <c r="N34" s="64">
        <v>50.6</v>
      </c>
      <c r="O34" s="64">
        <v>0</v>
      </c>
      <c r="P34" s="64">
        <v>1.61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4" t="s">
        <v>2578</v>
      </c>
      <c r="B35" s="64">
        <v>1.24</v>
      </c>
      <c r="C35" s="64">
        <v>0.88</v>
      </c>
      <c r="D35" s="64">
        <v>1.02</v>
      </c>
      <c r="E35" s="64">
        <v>5.3</v>
      </c>
      <c r="F35" s="64">
        <v>2.1800000000000002</v>
      </c>
      <c r="G35" s="64">
        <v>26.94</v>
      </c>
      <c r="H35" s="64">
        <v>20.94</v>
      </c>
      <c r="I35" s="64">
        <v>7.29</v>
      </c>
      <c r="J35" s="64">
        <v>0.75</v>
      </c>
      <c r="K35" s="64">
        <v>333.21</v>
      </c>
      <c r="L35" s="64">
        <v>6.15</v>
      </c>
      <c r="M35" s="64">
        <v>89.74</v>
      </c>
      <c r="N35" s="64">
        <v>54.6</v>
      </c>
      <c r="O35" s="64">
        <v>0</v>
      </c>
      <c r="P35" s="64">
        <v>1.58</v>
      </c>
      <c r="Q35" s="64">
        <v>9.66</v>
      </c>
      <c r="R35" s="198"/>
      <c r="S35" s="198"/>
      <c r="T35" s="198"/>
      <c r="U35" s="198"/>
    </row>
    <row r="36" spans="1:21" s="12" customFormat="1" x14ac:dyDescent="0.25">
      <c r="A36" s="214" t="s">
        <v>2579</v>
      </c>
      <c r="B36" s="64">
        <v>1.24</v>
      </c>
      <c r="C36" s="64">
        <v>0.88</v>
      </c>
      <c r="D36" s="64">
        <v>1.02</v>
      </c>
      <c r="E36" s="64">
        <v>5.38</v>
      </c>
      <c r="F36" s="64">
        <v>2.42</v>
      </c>
      <c r="G36" s="64">
        <v>26.94</v>
      </c>
      <c r="H36" s="64">
        <v>20.94</v>
      </c>
      <c r="I36" s="64">
        <v>7.08</v>
      </c>
      <c r="J36" s="64">
        <v>0.28000000000000003</v>
      </c>
      <c r="K36" s="64">
        <v>325.7</v>
      </c>
      <c r="L36" s="64">
        <v>6.11</v>
      </c>
      <c r="M36" s="64">
        <v>91.08</v>
      </c>
      <c r="N36" s="64">
        <v>63.1</v>
      </c>
      <c r="O36" s="64">
        <v>0</v>
      </c>
      <c r="P36" s="64">
        <v>1.55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14" t="s">
        <v>2580</v>
      </c>
      <c r="B37" s="64">
        <v>1.24</v>
      </c>
      <c r="C37" s="64">
        <v>0.88</v>
      </c>
      <c r="D37" s="64">
        <v>1.02</v>
      </c>
      <c r="E37" s="64">
        <v>5.42</v>
      </c>
      <c r="F37" s="64">
        <v>2.5</v>
      </c>
      <c r="G37" s="64">
        <v>26.94</v>
      </c>
      <c r="H37" s="64">
        <v>20.94</v>
      </c>
      <c r="I37" s="64">
        <v>6.88</v>
      </c>
      <c r="J37" s="64">
        <v>0.59</v>
      </c>
      <c r="K37" s="64">
        <v>312.27</v>
      </c>
      <c r="L37" s="64">
        <v>6.4</v>
      </c>
      <c r="M37" s="64">
        <v>92.62</v>
      </c>
      <c r="N37" s="64">
        <v>73.3</v>
      </c>
      <c r="O37" s="64">
        <v>0</v>
      </c>
      <c r="P37" s="64">
        <v>1.67</v>
      </c>
      <c r="Q37" s="64">
        <v>9.66</v>
      </c>
      <c r="R37" s="198"/>
      <c r="S37" s="198"/>
      <c r="T37" s="198"/>
      <c r="U37" s="198"/>
    </row>
    <row r="38" spans="1:21" s="12" customFormat="1" x14ac:dyDescent="0.25">
      <c r="A38" s="214" t="s">
        <v>2581</v>
      </c>
      <c r="B38" s="64">
        <v>1.24</v>
      </c>
      <c r="C38" s="64">
        <v>0.88</v>
      </c>
      <c r="D38" s="64">
        <v>1.02</v>
      </c>
      <c r="E38" s="64">
        <v>5.56</v>
      </c>
      <c r="F38" s="64">
        <v>2.34</v>
      </c>
      <c r="G38" s="64">
        <v>36.19</v>
      </c>
      <c r="H38" s="64">
        <v>18.32</v>
      </c>
      <c r="I38" s="64">
        <v>6.71</v>
      </c>
      <c r="J38" s="64">
        <v>0.75</v>
      </c>
      <c r="K38" s="64">
        <v>346.23</v>
      </c>
      <c r="L38" s="64">
        <v>6.72</v>
      </c>
      <c r="M38" s="64">
        <v>91.99</v>
      </c>
      <c r="N38" s="64">
        <v>85.2</v>
      </c>
      <c r="O38" s="64">
        <v>0</v>
      </c>
      <c r="P38" s="64">
        <v>1.76</v>
      </c>
      <c r="Q38" s="64">
        <v>9.66</v>
      </c>
      <c r="R38" s="198"/>
      <c r="S38" s="198"/>
      <c r="T38" s="198"/>
      <c r="U38" s="198"/>
    </row>
    <row r="39" spans="1:21" s="12" customFormat="1" x14ac:dyDescent="0.25">
      <c r="A39" s="214" t="s">
        <v>2582</v>
      </c>
      <c r="B39" s="64">
        <v>1.24</v>
      </c>
      <c r="C39" s="64">
        <v>0.88</v>
      </c>
      <c r="D39" s="64">
        <v>1.02</v>
      </c>
      <c r="E39" s="64">
        <v>5.34</v>
      </c>
      <c r="F39" s="64">
        <v>2.5099999999999998</v>
      </c>
      <c r="G39" s="64">
        <v>37.619999999999997</v>
      </c>
      <c r="H39" s="64">
        <v>18.32</v>
      </c>
      <c r="I39" s="64">
        <v>6.56</v>
      </c>
      <c r="J39" s="64">
        <v>0.56000000000000005</v>
      </c>
      <c r="K39" s="64">
        <v>4.18</v>
      </c>
      <c r="L39" s="64">
        <v>7.7</v>
      </c>
      <c r="M39" s="64">
        <v>84.91</v>
      </c>
      <c r="N39" s="64">
        <v>140.19999999999999</v>
      </c>
      <c r="O39" s="64">
        <v>0</v>
      </c>
      <c r="P39" s="64">
        <v>1.74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4" t="s">
        <v>2583</v>
      </c>
      <c r="B40" s="64">
        <v>1.24</v>
      </c>
      <c r="C40" s="64">
        <v>0.88</v>
      </c>
      <c r="D40" s="64">
        <v>1.02</v>
      </c>
      <c r="E40" s="64">
        <v>5.03</v>
      </c>
      <c r="F40" s="64">
        <v>2.46</v>
      </c>
      <c r="G40" s="64">
        <v>37.619999999999997</v>
      </c>
      <c r="H40" s="64">
        <v>18.32</v>
      </c>
      <c r="I40" s="64">
        <v>6.96</v>
      </c>
      <c r="J40" s="64">
        <v>0.25</v>
      </c>
      <c r="K40" s="64">
        <v>64.94</v>
      </c>
      <c r="L40" s="64">
        <v>9.98</v>
      </c>
      <c r="M40" s="64">
        <v>70.569999999999993</v>
      </c>
      <c r="N40" s="64">
        <v>211.7</v>
      </c>
      <c r="O40" s="64">
        <v>0</v>
      </c>
      <c r="P40" s="64">
        <v>1.7</v>
      </c>
      <c r="Q40" s="64">
        <v>9.67</v>
      </c>
      <c r="R40" s="198"/>
      <c r="S40" s="198"/>
      <c r="T40" s="198"/>
      <c r="U40" s="198"/>
    </row>
    <row r="41" spans="1:21" s="12" customFormat="1" x14ac:dyDescent="0.25">
      <c r="A41" s="214" t="s">
        <v>2584</v>
      </c>
      <c r="B41" s="64">
        <v>1.24</v>
      </c>
      <c r="C41" s="64">
        <v>0.88</v>
      </c>
      <c r="D41" s="64">
        <v>1.02</v>
      </c>
      <c r="E41" s="64">
        <v>5.1100000000000003</v>
      </c>
      <c r="F41" s="64">
        <v>2.7</v>
      </c>
      <c r="G41" s="64">
        <v>37.619999999999997</v>
      </c>
      <c r="H41" s="64">
        <v>18.32</v>
      </c>
      <c r="I41" s="64">
        <v>6.55</v>
      </c>
      <c r="J41" s="64">
        <v>7.0000000000000007E-2</v>
      </c>
      <c r="K41" s="64">
        <v>70.430000000000007</v>
      </c>
      <c r="L41" s="64">
        <v>11.46</v>
      </c>
      <c r="M41" s="64">
        <v>62.4</v>
      </c>
      <c r="N41" s="64">
        <v>252</v>
      </c>
      <c r="O41" s="64">
        <v>0</v>
      </c>
      <c r="P41" s="64">
        <v>1.66</v>
      </c>
      <c r="Q41" s="64">
        <v>9.68</v>
      </c>
      <c r="R41" s="198"/>
      <c r="S41" s="198"/>
      <c r="T41" s="198"/>
      <c r="U41" s="198"/>
    </row>
    <row r="42" spans="1:21" s="12" customFormat="1" x14ac:dyDescent="0.25">
      <c r="A42" s="214" t="s">
        <v>2585</v>
      </c>
      <c r="B42" s="64">
        <v>1.24</v>
      </c>
      <c r="C42" s="64">
        <v>0.88</v>
      </c>
      <c r="D42" s="64">
        <v>1.02</v>
      </c>
      <c r="E42" s="64">
        <v>5.29</v>
      </c>
      <c r="F42" s="64">
        <v>2.2400000000000002</v>
      </c>
      <c r="G42" s="64">
        <v>48.88</v>
      </c>
      <c r="H42" s="64">
        <v>20.02</v>
      </c>
      <c r="I42" s="64">
        <v>6.26</v>
      </c>
      <c r="J42" s="64">
        <v>0.09</v>
      </c>
      <c r="K42" s="64">
        <v>108.74</v>
      </c>
      <c r="L42" s="64">
        <v>13.09</v>
      </c>
      <c r="M42" s="64">
        <v>55.41</v>
      </c>
      <c r="N42" s="64">
        <v>293.3</v>
      </c>
      <c r="O42" s="64">
        <v>0</v>
      </c>
      <c r="P42" s="64">
        <v>1.61</v>
      </c>
      <c r="Q42" s="64">
        <v>9.67</v>
      </c>
      <c r="R42" s="198"/>
      <c r="S42" s="198"/>
      <c r="T42" s="198"/>
      <c r="U42" s="198"/>
    </row>
    <row r="43" spans="1:21" s="12" customFormat="1" x14ac:dyDescent="0.25">
      <c r="A43" s="214" t="s">
        <v>2586</v>
      </c>
      <c r="B43" s="64">
        <v>1.24</v>
      </c>
      <c r="C43" s="64">
        <v>0.88</v>
      </c>
      <c r="D43" s="64">
        <v>1.02</v>
      </c>
      <c r="E43" s="64">
        <v>5.16</v>
      </c>
      <c r="F43" s="64">
        <v>2.42</v>
      </c>
      <c r="G43" s="64">
        <v>50.61</v>
      </c>
      <c r="H43" s="64">
        <v>20.02</v>
      </c>
      <c r="I43" s="64">
        <v>6.13</v>
      </c>
      <c r="J43" s="64">
        <v>1.62</v>
      </c>
      <c r="K43" s="64">
        <v>122.26</v>
      </c>
      <c r="L43" s="64">
        <v>11.85</v>
      </c>
      <c r="M43" s="64">
        <v>58.29</v>
      </c>
      <c r="N43" s="64">
        <v>324.2</v>
      </c>
      <c r="O43" s="64">
        <v>0</v>
      </c>
      <c r="P43" s="64">
        <v>1.52</v>
      </c>
      <c r="Q43" s="64">
        <v>9.66</v>
      </c>
      <c r="R43" s="198"/>
      <c r="S43" s="198"/>
      <c r="T43" s="198"/>
      <c r="U43" s="198"/>
    </row>
    <row r="44" spans="1:21" s="12" customFormat="1" x14ac:dyDescent="0.25">
      <c r="A44" s="214" t="s">
        <v>2587</v>
      </c>
      <c r="B44" s="64">
        <v>1.24</v>
      </c>
      <c r="C44" s="64">
        <v>0.88</v>
      </c>
      <c r="D44" s="64">
        <v>1.02</v>
      </c>
      <c r="E44" s="64">
        <v>5.07</v>
      </c>
      <c r="F44" s="64">
        <v>2.5299999999999998</v>
      </c>
      <c r="G44" s="64">
        <v>50.61</v>
      </c>
      <c r="H44" s="64">
        <v>20.02</v>
      </c>
      <c r="I44" s="64">
        <v>5.99</v>
      </c>
      <c r="J44" s="64">
        <v>2.0299999999999998</v>
      </c>
      <c r="K44" s="64">
        <v>120.92</v>
      </c>
      <c r="L44" s="64">
        <v>12.1</v>
      </c>
      <c r="M44" s="64">
        <v>57</v>
      </c>
      <c r="N44" s="64">
        <v>350.4</v>
      </c>
      <c r="O44" s="64">
        <v>0</v>
      </c>
      <c r="P44" s="64">
        <v>1.43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4" t="s">
        <v>2588</v>
      </c>
      <c r="B45" s="64">
        <v>1.24</v>
      </c>
      <c r="C45" s="64">
        <v>0.88</v>
      </c>
      <c r="D45" s="64">
        <v>1.02</v>
      </c>
      <c r="E45" s="64">
        <v>5.5</v>
      </c>
      <c r="F45" s="64">
        <v>2.4300000000000002</v>
      </c>
      <c r="G45" s="64">
        <v>50.61</v>
      </c>
      <c r="H45" s="64">
        <v>20.02</v>
      </c>
      <c r="I45" s="64">
        <v>5.83</v>
      </c>
      <c r="J45" s="64">
        <v>1.46</v>
      </c>
      <c r="K45" s="64">
        <v>122.29</v>
      </c>
      <c r="L45" s="64">
        <v>12.39</v>
      </c>
      <c r="M45" s="64">
        <v>55.78</v>
      </c>
      <c r="N45" s="64">
        <v>373.7</v>
      </c>
      <c r="O45" s="64">
        <v>0</v>
      </c>
      <c r="P45" s="64">
        <v>1.36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4" t="s">
        <v>2589</v>
      </c>
      <c r="B46" s="64">
        <v>1.24</v>
      </c>
      <c r="C46" s="64">
        <v>0.88</v>
      </c>
      <c r="D46" s="64">
        <v>1.02</v>
      </c>
      <c r="E46" s="64">
        <v>4.8499999999999996</v>
      </c>
      <c r="F46" s="64">
        <v>2.31</v>
      </c>
      <c r="G46" s="64">
        <v>36.57</v>
      </c>
      <c r="H46" s="64">
        <v>18.61</v>
      </c>
      <c r="I46" s="64">
        <v>5.69</v>
      </c>
      <c r="J46" s="64">
        <v>1.76</v>
      </c>
      <c r="K46" s="64">
        <v>120.03</v>
      </c>
      <c r="L46" s="64">
        <v>13.54</v>
      </c>
      <c r="M46" s="64">
        <v>50.63</v>
      </c>
      <c r="N46" s="64">
        <v>407.4</v>
      </c>
      <c r="O46" s="64">
        <v>0</v>
      </c>
      <c r="P46" s="64">
        <v>1.33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4" t="s">
        <v>2590</v>
      </c>
      <c r="B47" s="64">
        <v>1.24</v>
      </c>
      <c r="C47" s="64">
        <v>0.88</v>
      </c>
      <c r="D47" s="64">
        <v>1.02</v>
      </c>
      <c r="E47" s="64">
        <v>5.13</v>
      </c>
      <c r="F47" s="64">
        <v>2.4300000000000002</v>
      </c>
      <c r="G47" s="64">
        <v>34.42</v>
      </c>
      <c r="H47" s="64">
        <v>18.61</v>
      </c>
      <c r="I47" s="64">
        <v>5.59</v>
      </c>
      <c r="J47" s="64">
        <v>2.4300000000000002</v>
      </c>
      <c r="K47" s="64">
        <v>121.19</v>
      </c>
      <c r="L47" s="64">
        <v>13.23</v>
      </c>
      <c r="M47" s="64">
        <v>48.53</v>
      </c>
      <c r="N47" s="64">
        <v>428.4</v>
      </c>
      <c r="O47" s="64">
        <v>0</v>
      </c>
      <c r="P47" s="64">
        <v>1.26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4" t="s">
        <v>2591</v>
      </c>
      <c r="B48" s="64">
        <v>1.24</v>
      </c>
      <c r="C48" s="64">
        <v>0.88</v>
      </c>
      <c r="D48" s="64">
        <v>1.02</v>
      </c>
      <c r="E48" s="64">
        <v>4.63</v>
      </c>
      <c r="F48" s="64">
        <v>2.54</v>
      </c>
      <c r="G48" s="64">
        <v>34.42</v>
      </c>
      <c r="H48" s="64">
        <v>18.61</v>
      </c>
      <c r="I48" s="64">
        <v>5.48</v>
      </c>
      <c r="J48" s="64">
        <v>2.0499999999999998</v>
      </c>
      <c r="K48" s="64">
        <v>118.58</v>
      </c>
      <c r="L48" s="64">
        <v>13.81</v>
      </c>
      <c r="M48" s="64">
        <v>46.4</v>
      </c>
      <c r="N48" s="64">
        <v>447.2</v>
      </c>
      <c r="O48" s="64">
        <v>0</v>
      </c>
      <c r="P48" s="64">
        <v>1.19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4" t="s">
        <v>2592</v>
      </c>
      <c r="B49" s="64">
        <v>1.1299999999999999</v>
      </c>
      <c r="C49" s="64">
        <v>0.81</v>
      </c>
      <c r="D49" s="64">
        <v>0.93</v>
      </c>
      <c r="E49" s="64">
        <v>5.17</v>
      </c>
      <c r="F49" s="64">
        <v>2.64</v>
      </c>
      <c r="G49" s="64">
        <v>34.42</v>
      </c>
      <c r="H49" s="64">
        <v>18.61</v>
      </c>
      <c r="I49" s="64">
        <v>5.28</v>
      </c>
      <c r="J49" s="64">
        <v>2.09</v>
      </c>
      <c r="K49" s="64">
        <v>120.13</v>
      </c>
      <c r="L49" s="64">
        <v>14.26</v>
      </c>
      <c r="M49" s="64">
        <v>45.14</v>
      </c>
      <c r="N49" s="64">
        <v>465</v>
      </c>
      <c r="O49" s="64">
        <v>0</v>
      </c>
      <c r="P49" s="64">
        <v>1.1000000000000001</v>
      </c>
      <c r="Q49" s="64">
        <v>9.65</v>
      </c>
      <c r="R49" s="198"/>
      <c r="S49" s="198"/>
      <c r="T49" s="198"/>
      <c r="U49" s="198"/>
    </row>
    <row r="50" spans="1:21" s="12" customFormat="1" x14ac:dyDescent="0.25">
      <c r="A50" s="214" t="s">
        <v>2593</v>
      </c>
      <c r="B50" s="64">
        <v>1.1299999999999999</v>
      </c>
      <c r="C50" s="64">
        <v>0.81</v>
      </c>
      <c r="D50" s="64">
        <v>0.93</v>
      </c>
      <c r="E50" s="64">
        <v>5.52</v>
      </c>
      <c r="F50" s="64">
        <v>4.0199999999999996</v>
      </c>
      <c r="G50" s="64">
        <v>15.68</v>
      </c>
      <c r="H50" s="64">
        <v>12.37</v>
      </c>
      <c r="I50" s="64">
        <v>5.5</v>
      </c>
      <c r="J50" s="64">
        <v>2.35</v>
      </c>
      <c r="K50" s="64">
        <v>117.11</v>
      </c>
      <c r="L50" s="64">
        <v>14.42</v>
      </c>
      <c r="M50" s="64">
        <v>43.94</v>
      </c>
      <c r="N50" s="64">
        <v>463.4</v>
      </c>
      <c r="O50" s="64">
        <v>0</v>
      </c>
      <c r="P50" s="64">
        <v>0.83</v>
      </c>
      <c r="Q50" s="64">
        <v>9.6</v>
      </c>
      <c r="R50" s="198"/>
      <c r="S50" s="198"/>
      <c r="T50" s="198"/>
      <c r="U50" s="198"/>
    </row>
    <row r="51" spans="1:21" s="12" customFormat="1" x14ac:dyDescent="0.25">
      <c r="A51" s="214" t="s">
        <v>2594</v>
      </c>
      <c r="B51" s="64">
        <v>1.1299999999999999</v>
      </c>
      <c r="C51" s="64">
        <v>0.81</v>
      </c>
      <c r="D51" s="64">
        <v>0.93</v>
      </c>
      <c r="E51" s="64">
        <v>5.01</v>
      </c>
      <c r="F51" s="64">
        <v>3.99</v>
      </c>
      <c r="G51" s="64">
        <v>15.68</v>
      </c>
      <c r="H51" s="64">
        <v>12.37</v>
      </c>
      <c r="I51" s="64">
        <v>4.76</v>
      </c>
      <c r="J51" s="64">
        <v>1.41</v>
      </c>
      <c r="K51" s="64">
        <v>124.06</v>
      </c>
      <c r="L51" s="64">
        <v>15.7</v>
      </c>
      <c r="M51" s="64">
        <v>42.8</v>
      </c>
      <c r="N51" s="64">
        <v>433.7</v>
      </c>
      <c r="O51" s="64">
        <v>0</v>
      </c>
      <c r="P51" s="64">
        <v>0.73</v>
      </c>
      <c r="Q51" s="64">
        <v>9.49</v>
      </c>
      <c r="R51" s="198"/>
      <c r="S51" s="198"/>
      <c r="T51" s="198"/>
      <c r="U51" s="198"/>
    </row>
    <row r="52" spans="1:21" s="12" customFormat="1" x14ac:dyDescent="0.25">
      <c r="A52" s="214" t="s">
        <v>2595</v>
      </c>
      <c r="B52" s="64">
        <v>1.1299999999999999</v>
      </c>
      <c r="C52" s="64">
        <v>0.81</v>
      </c>
      <c r="D52" s="64">
        <v>0.93</v>
      </c>
      <c r="E52" s="64">
        <v>4.58</v>
      </c>
      <c r="F52" s="64">
        <v>3.01</v>
      </c>
      <c r="G52" s="64">
        <v>15.68</v>
      </c>
      <c r="H52" s="64">
        <v>12.37</v>
      </c>
      <c r="I52" s="64">
        <v>3.93</v>
      </c>
      <c r="J52" s="64">
        <v>1.23</v>
      </c>
      <c r="K52" s="64">
        <v>115.52</v>
      </c>
      <c r="L52" s="64">
        <v>15.85</v>
      </c>
      <c r="M52" s="64">
        <v>42.06</v>
      </c>
      <c r="N52" s="64">
        <v>451.6</v>
      </c>
      <c r="O52" s="64">
        <v>0</v>
      </c>
      <c r="P52" s="64">
        <v>0.7</v>
      </c>
      <c r="Q52" s="64">
        <v>9.4700000000000006</v>
      </c>
      <c r="R52" s="198"/>
      <c r="S52" s="198"/>
      <c r="T52" s="198"/>
      <c r="U52" s="198"/>
    </row>
    <row r="53" spans="1:21" s="12" customFormat="1" x14ac:dyDescent="0.25">
      <c r="A53" s="214" t="s">
        <v>2596</v>
      </c>
      <c r="B53" s="64">
        <v>5.29</v>
      </c>
      <c r="C53" s="64">
        <v>31.15</v>
      </c>
      <c r="D53" s="64">
        <v>20.41</v>
      </c>
      <c r="E53" s="64">
        <v>6.12</v>
      </c>
      <c r="F53" s="64">
        <v>6.88</v>
      </c>
      <c r="G53" s="64">
        <v>15.68</v>
      </c>
      <c r="H53" s="64">
        <v>12.37</v>
      </c>
      <c r="I53" s="64">
        <v>3.46</v>
      </c>
      <c r="J53" s="64">
        <v>1.43</v>
      </c>
      <c r="K53" s="64">
        <v>111.11</v>
      </c>
      <c r="L53" s="64">
        <v>16.940000000000001</v>
      </c>
      <c r="M53" s="64">
        <v>38.33</v>
      </c>
      <c r="N53" s="64">
        <v>492.2</v>
      </c>
      <c r="O53" s="64">
        <v>0</v>
      </c>
      <c r="P53" s="64">
        <v>0.64</v>
      </c>
      <c r="Q53" s="64">
        <v>9.4700000000000006</v>
      </c>
      <c r="R53" s="198"/>
      <c r="S53" s="198"/>
      <c r="T53" s="198"/>
      <c r="U53" s="198"/>
    </row>
    <row r="54" spans="1:21" s="12" customFormat="1" x14ac:dyDescent="0.25">
      <c r="A54" s="214" t="s">
        <v>2597</v>
      </c>
      <c r="B54" s="64">
        <v>3.69</v>
      </c>
      <c r="C54" s="64">
        <v>28.64</v>
      </c>
      <c r="D54" s="64">
        <v>17.920000000000002</v>
      </c>
      <c r="E54" s="64">
        <v>5.57</v>
      </c>
      <c r="F54" s="64">
        <v>6.87</v>
      </c>
      <c r="G54" s="64">
        <v>15.68</v>
      </c>
      <c r="H54" s="64">
        <v>12.37</v>
      </c>
      <c r="I54" s="64">
        <v>3.28</v>
      </c>
      <c r="J54" s="64">
        <v>0.53</v>
      </c>
      <c r="K54" s="64">
        <v>111.68</v>
      </c>
      <c r="L54" s="64">
        <v>17.28</v>
      </c>
      <c r="M54" s="64">
        <v>37.340000000000003</v>
      </c>
      <c r="N54" s="64">
        <v>494.2</v>
      </c>
      <c r="O54" s="64">
        <v>0</v>
      </c>
      <c r="P54" s="64">
        <v>0.49</v>
      </c>
      <c r="Q54" s="64">
        <v>9.43</v>
      </c>
      <c r="R54" s="198"/>
      <c r="S54" s="198"/>
      <c r="T54" s="198"/>
      <c r="U54" s="198"/>
    </row>
    <row r="55" spans="1:21" s="12" customFormat="1" x14ac:dyDescent="0.25">
      <c r="A55" s="214" t="s">
        <v>2598</v>
      </c>
      <c r="B55" s="64">
        <v>3.04</v>
      </c>
      <c r="C55" s="64">
        <v>26.73</v>
      </c>
      <c r="D55" s="64">
        <v>16.399999999999999</v>
      </c>
      <c r="E55" s="64">
        <v>5.46</v>
      </c>
      <c r="F55" s="64">
        <v>4.55</v>
      </c>
      <c r="G55" s="64">
        <v>15.68</v>
      </c>
      <c r="H55" s="64">
        <v>12.37</v>
      </c>
      <c r="I55" s="64">
        <v>2.67</v>
      </c>
      <c r="J55" s="64">
        <v>0.89</v>
      </c>
      <c r="K55" s="64">
        <v>123.39</v>
      </c>
      <c r="L55" s="64">
        <v>17.41</v>
      </c>
      <c r="M55" s="64">
        <v>35.44</v>
      </c>
      <c r="N55" s="64">
        <v>525.5</v>
      </c>
      <c r="O55" s="64">
        <v>0</v>
      </c>
      <c r="P55" s="64">
        <v>0.45</v>
      </c>
      <c r="Q55" s="64">
        <v>9.42</v>
      </c>
      <c r="R55" s="198"/>
      <c r="S55" s="198"/>
      <c r="T55" s="198"/>
      <c r="U55" s="198"/>
    </row>
    <row r="56" spans="1:21" s="12" customFormat="1" x14ac:dyDescent="0.25">
      <c r="A56" s="214" t="s">
        <v>2599</v>
      </c>
      <c r="B56" s="64">
        <v>4.8</v>
      </c>
      <c r="C56" s="64">
        <v>25.11</v>
      </c>
      <c r="D56" s="64">
        <v>16.96</v>
      </c>
      <c r="E56" s="64">
        <v>5.8</v>
      </c>
      <c r="F56" s="64">
        <v>5.09</v>
      </c>
      <c r="G56" s="64">
        <v>18.38</v>
      </c>
      <c r="H56" s="64">
        <v>5.79</v>
      </c>
      <c r="I56" s="64">
        <v>2.25</v>
      </c>
      <c r="J56" s="64">
        <v>1.57</v>
      </c>
      <c r="K56" s="64">
        <v>342.35</v>
      </c>
      <c r="L56" s="64">
        <v>19.239999999999998</v>
      </c>
      <c r="M56" s="64">
        <v>31.95</v>
      </c>
      <c r="N56" s="64">
        <v>499.3</v>
      </c>
      <c r="O56" s="64">
        <v>0</v>
      </c>
      <c r="P56" s="64">
        <v>0.45</v>
      </c>
      <c r="Q56" s="64">
        <v>9.42</v>
      </c>
      <c r="R56" s="198"/>
      <c r="S56" s="198"/>
      <c r="T56" s="198"/>
      <c r="U56" s="198"/>
    </row>
    <row r="57" spans="1:21" s="12" customFormat="1" x14ac:dyDescent="0.25">
      <c r="A57" s="214" t="s">
        <v>2600</v>
      </c>
      <c r="B57" s="64">
        <v>5.85</v>
      </c>
      <c r="C57" s="64">
        <v>23.36</v>
      </c>
      <c r="D57" s="64">
        <v>16.89</v>
      </c>
      <c r="E57" s="64">
        <v>6.67</v>
      </c>
      <c r="F57" s="64">
        <v>6.24</v>
      </c>
      <c r="G57" s="64">
        <v>33.770000000000003</v>
      </c>
      <c r="H57" s="64">
        <v>8.07</v>
      </c>
      <c r="I57" s="64">
        <v>2.14</v>
      </c>
      <c r="J57" s="64">
        <v>0.59</v>
      </c>
      <c r="K57" s="64">
        <v>8.48</v>
      </c>
      <c r="L57" s="64">
        <v>19.850000000000001</v>
      </c>
      <c r="M57" s="64">
        <v>30.62</v>
      </c>
      <c r="N57" s="64">
        <v>497</v>
      </c>
      <c r="O57" s="64">
        <v>0</v>
      </c>
      <c r="P57" s="64">
        <v>0.47</v>
      </c>
      <c r="Q57" s="64">
        <v>9.43</v>
      </c>
      <c r="R57" s="198"/>
      <c r="S57" s="198"/>
      <c r="T57" s="198"/>
      <c r="U57" s="198"/>
    </row>
    <row r="58" spans="1:21" s="12" customFormat="1" x14ac:dyDescent="0.25">
      <c r="A58" s="214" t="s">
        <v>2601</v>
      </c>
      <c r="B58" s="64">
        <v>5.24</v>
      </c>
      <c r="C58" s="64">
        <v>24.49</v>
      </c>
      <c r="D58" s="64">
        <v>17</v>
      </c>
      <c r="E58" s="64">
        <v>6.46</v>
      </c>
      <c r="F58" s="64">
        <v>5.94</v>
      </c>
      <c r="G58" s="64">
        <v>33.770000000000003</v>
      </c>
      <c r="H58" s="64">
        <v>8.07</v>
      </c>
      <c r="I58" s="64">
        <v>2.12</v>
      </c>
      <c r="J58" s="64">
        <v>0.55000000000000004</v>
      </c>
      <c r="K58" s="64">
        <v>329.86</v>
      </c>
      <c r="L58" s="64">
        <v>20.63</v>
      </c>
      <c r="M58" s="64">
        <v>28.79</v>
      </c>
      <c r="N58" s="64">
        <v>452.5</v>
      </c>
      <c r="O58" s="64">
        <v>0</v>
      </c>
      <c r="P58" s="64">
        <v>0.45</v>
      </c>
      <c r="Q58" s="64">
        <v>9.43</v>
      </c>
      <c r="R58" s="198"/>
      <c r="S58" s="198"/>
      <c r="T58" s="198"/>
      <c r="U58" s="198"/>
    </row>
    <row r="59" spans="1:21" s="12" customFormat="1" x14ac:dyDescent="0.25">
      <c r="A59" s="214" t="s">
        <v>2602</v>
      </c>
      <c r="B59" s="64">
        <v>3.89</v>
      </c>
      <c r="C59" s="64">
        <v>26.4</v>
      </c>
      <c r="D59" s="64">
        <v>16.91</v>
      </c>
      <c r="E59" s="64">
        <v>7.06</v>
      </c>
      <c r="F59" s="64">
        <v>6.81</v>
      </c>
      <c r="G59" s="64">
        <v>33.770000000000003</v>
      </c>
      <c r="H59" s="64">
        <v>8.07</v>
      </c>
      <c r="I59" s="64">
        <v>2.12</v>
      </c>
      <c r="J59" s="64">
        <v>0.63</v>
      </c>
      <c r="K59" s="64">
        <v>331.83</v>
      </c>
      <c r="L59" s="64">
        <v>21.46</v>
      </c>
      <c r="M59" s="64">
        <v>26.64</v>
      </c>
      <c r="N59" s="64">
        <v>420.6</v>
      </c>
      <c r="O59" s="64">
        <v>0</v>
      </c>
      <c r="P59" s="64">
        <v>0.44</v>
      </c>
      <c r="Q59" s="64">
        <v>9.42</v>
      </c>
      <c r="R59" s="198"/>
      <c r="S59" s="198"/>
      <c r="T59" s="198"/>
      <c r="U59" s="198"/>
    </row>
    <row r="60" spans="1:21" s="12" customFormat="1" x14ac:dyDescent="0.25">
      <c r="A60" s="214" t="s">
        <v>2603</v>
      </c>
      <c r="B60" s="64">
        <v>3.19</v>
      </c>
      <c r="C60" s="64">
        <v>25.32</v>
      </c>
      <c r="D60" s="64">
        <v>15.79</v>
      </c>
      <c r="E60" s="64">
        <v>7.87</v>
      </c>
      <c r="F60" s="64">
        <v>7.5</v>
      </c>
      <c r="G60" s="64">
        <v>32.81</v>
      </c>
      <c r="H60" s="64">
        <v>9.4</v>
      </c>
      <c r="I60" s="64">
        <v>2.14</v>
      </c>
      <c r="J60" s="64">
        <v>0.71</v>
      </c>
      <c r="K60" s="64">
        <v>354.86</v>
      </c>
      <c r="L60" s="64">
        <v>21.38</v>
      </c>
      <c r="M60" s="64">
        <v>26.55</v>
      </c>
      <c r="N60" s="64">
        <v>398</v>
      </c>
      <c r="O60" s="64">
        <v>0</v>
      </c>
      <c r="P60" s="64">
        <v>0.43</v>
      </c>
      <c r="Q60" s="64">
        <v>9.39</v>
      </c>
      <c r="R60" s="198"/>
      <c r="S60" s="198"/>
      <c r="T60" s="198"/>
      <c r="U60" s="198"/>
    </row>
    <row r="61" spans="1:21" s="12" customFormat="1" x14ac:dyDescent="0.25">
      <c r="A61" s="214" t="s">
        <v>2604</v>
      </c>
      <c r="B61" s="64">
        <v>2.67</v>
      </c>
      <c r="C61" s="64">
        <v>27.38</v>
      </c>
      <c r="D61" s="64">
        <v>16.440000000000001</v>
      </c>
      <c r="E61" s="64">
        <v>9.8699999999999992</v>
      </c>
      <c r="F61" s="64">
        <v>11.11</v>
      </c>
      <c r="G61" s="64">
        <v>31.97</v>
      </c>
      <c r="H61" s="64">
        <v>9.92</v>
      </c>
      <c r="I61" s="64">
        <v>2.0299999999999998</v>
      </c>
      <c r="J61" s="64">
        <v>0.59</v>
      </c>
      <c r="K61" s="64">
        <v>331.14</v>
      </c>
      <c r="L61" s="64">
        <v>19.91</v>
      </c>
      <c r="M61" s="64">
        <v>29.86</v>
      </c>
      <c r="N61" s="64">
        <v>377.1</v>
      </c>
      <c r="O61" s="64">
        <v>0</v>
      </c>
      <c r="P61" s="64">
        <v>0.64</v>
      </c>
      <c r="Q61" s="64">
        <v>9.3699999999999992</v>
      </c>
      <c r="R61" s="198"/>
      <c r="S61" s="198"/>
      <c r="T61" s="198"/>
      <c r="U61" s="198"/>
    </row>
    <row r="62" spans="1:21" s="12" customFormat="1" x14ac:dyDescent="0.25">
      <c r="A62" s="214" t="s">
        <v>2605</v>
      </c>
      <c r="B62" s="64">
        <v>4.7</v>
      </c>
      <c r="C62" s="64">
        <v>27.79</v>
      </c>
      <c r="D62" s="64">
        <v>18.27</v>
      </c>
      <c r="E62" s="64">
        <v>8.44</v>
      </c>
      <c r="F62" s="64">
        <v>10.07</v>
      </c>
      <c r="G62" s="64">
        <v>31.97</v>
      </c>
      <c r="H62" s="64">
        <v>9.92</v>
      </c>
      <c r="I62" s="64">
        <v>1.92</v>
      </c>
      <c r="J62" s="64">
        <v>0.2</v>
      </c>
      <c r="K62" s="64">
        <v>103.69</v>
      </c>
      <c r="L62" s="64">
        <v>20.170000000000002</v>
      </c>
      <c r="M62" s="64">
        <v>28.87</v>
      </c>
      <c r="N62" s="64">
        <v>358.3</v>
      </c>
      <c r="O62" s="64">
        <v>0</v>
      </c>
      <c r="P62" s="64">
        <v>0.68</v>
      </c>
      <c r="Q62" s="64">
        <v>9.33</v>
      </c>
      <c r="R62" s="198"/>
      <c r="S62" s="198"/>
      <c r="T62" s="198"/>
      <c r="U62" s="198"/>
    </row>
    <row r="63" spans="1:21" s="12" customFormat="1" x14ac:dyDescent="0.25">
      <c r="A63" s="214" t="s">
        <v>2606</v>
      </c>
      <c r="B63" s="64">
        <v>2.02</v>
      </c>
      <c r="C63" s="64">
        <v>24.81</v>
      </c>
      <c r="D63" s="64">
        <v>14.58</v>
      </c>
      <c r="E63" s="64">
        <v>11.55</v>
      </c>
      <c r="F63" s="64">
        <v>13.17</v>
      </c>
      <c r="G63" s="64">
        <v>31.97</v>
      </c>
      <c r="H63" s="64">
        <v>9.92</v>
      </c>
      <c r="I63" s="64">
        <v>1.49</v>
      </c>
      <c r="J63" s="64">
        <v>0.75</v>
      </c>
      <c r="K63" s="64">
        <v>123.49</v>
      </c>
      <c r="L63" s="64">
        <v>17.97</v>
      </c>
      <c r="M63" s="64">
        <v>32.61</v>
      </c>
      <c r="N63" s="64">
        <v>339.9</v>
      </c>
      <c r="O63" s="64">
        <v>0</v>
      </c>
      <c r="P63" s="64">
        <v>0.56999999999999995</v>
      </c>
      <c r="Q63" s="64">
        <v>9.3000000000000007</v>
      </c>
      <c r="R63" s="198"/>
      <c r="S63" s="198"/>
      <c r="T63" s="198"/>
      <c r="U63" s="198"/>
    </row>
    <row r="64" spans="1:21" s="12" customFormat="1" x14ac:dyDescent="0.25">
      <c r="A64" s="214" t="s">
        <v>2607</v>
      </c>
      <c r="B64" s="64">
        <v>1.7</v>
      </c>
      <c r="C64" s="64">
        <v>23.03</v>
      </c>
      <c r="D64" s="64">
        <v>13.4</v>
      </c>
      <c r="E64" s="64">
        <v>6.86</v>
      </c>
      <c r="F64" s="64">
        <v>5.65</v>
      </c>
      <c r="G64" s="64">
        <v>30.74</v>
      </c>
      <c r="H64" s="64">
        <v>9.93</v>
      </c>
      <c r="I64" s="64">
        <v>1.32</v>
      </c>
      <c r="J64" s="64">
        <v>1.54</v>
      </c>
      <c r="K64" s="64">
        <v>131.52000000000001</v>
      </c>
      <c r="L64" s="64">
        <v>16.84</v>
      </c>
      <c r="M64" s="64">
        <v>34.340000000000003</v>
      </c>
      <c r="N64" s="64">
        <v>287.8</v>
      </c>
      <c r="O64" s="64">
        <v>0</v>
      </c>
      <c r="P64" s="64">
        <v>0.56000000000000005</v>
      </c>
      <c r="Q64" s="64">
        <v>9.2899999999999991</v>
      </c>
      <c r="R64" s="198"/>
      <c r="S64" s="198"/>
      <c r="T64" s="198"/>
      <c r="U64" s="198"/>
    </row>
    <row r="65" spans="1:21" s="12" customFormat="1" x14ac:dyDescent="0.25">
      <c r="A65" s="214" t="s">
        <v>2608</v>
      </c>
      <c r="B65" s="64">
        <v>1.96</v>
      </c>
      <c r="C65" s="64">
        <v>22.33</v>
      </c>
      <c r="D65" s="64">
        <v>13.24</v>
      </c>
      <c r="E65" s="64">
        <v>6.74</v>
      </c>
      <c r="F65" s="64">
        <v>5.17</v>
      </c>
      <c r="G65" s="64">
        <v>29.71</v>
      </c>
      <c r="H65" s="64">
        <v>9.94</v>
      </c>
      <c r="I65" s="64">
        <v>1.31</v>
      </c>
      <c r="J65" s="64">
        <v>0.25</v>
      </c>
      <c r="K65" s="64">
        <v>160.05000000000001</v>
      </c>
      <c r="L65" s="64">
        <v>16.75</v>
      </c>
      <c r="M65" s="64">
        <v>36.200000000000003</v>
      </c>
      <c r="N65" s="64">
        <v>126.7</v>
      </c>
      <c r="O65" s="64">
        <v>0</v>
      </c>
      <c r="P65" s="64">
        <v>0.56999999999999995</v>
      </c>
      <c r="Q65" s="64">
        <v>9.2799999999999994</v>
      </c>
      <c r="R65" s="198"/>
      <c r="S65" s="198"/>
      <c r="T65" s="198"/>
      <c r="U65" s="198"/>
    </row>
    <row r="66" spans="1:21" s="12" customFormat="1" x14ac:dyDescent="0.25">
      <c r="A66" s="214" t="s">
        <v>2609</v>
      </c>
      <c r="B66" s="64">
        <v>2.1800000000000002</v>
      </c>
      <c r="C66" s="64">
        <v>21.74</v>
      </c>
      <c r="D66" s="64">
        <v>13.11</v>
      </c>
      <c r="E66" s="64">
        <v>6.55</v>
      </c>
      <c r="F66" s="64">
        <v>4.12</v>
      </c>
      <c r="G66" s="64">
        <v>29.71</v>
      </c>
      <c r="H66" s="64">
        <v>9.94</v>
      </c>
      <c r="I66" s="64">
        <v>1.38</v>
      </c>
      <c r="J66" s="64">
        <v>1.56</v>
      </c>
      <c r="K66" s="64">
        <v>123.15</v>
      </c>
      <c r="L66" s="64">
        <v>16.239999999999998</v>
      </c>
      <c r="M66" s="64">
        <v>36.53</v>
      </c>
      <c r="N66" s="64">
        <v>106.3</v>
      </c>
      <c r="O66" s="64">
        <v>0</v>
      </c>
      <c r="P66" s="64">
        <v>0.56000000000000005</v>
      </c>
      <c r="Q66" s="64">
        <v>9.2799999999999994</v>
      </c>
      <c r="R66" s="198"/>
      <c r="S66" s="198"/>
      <c r="T66" s="198"/>
      <c r="U66" s="198"/>
    </row>
    <row r="67" spans="1:21" s="12" customFormat="1" x14ac:dyDescent="0.25">
      <c r="A67" s="214" t="s">
        <v>2610</v>
      </c>
      <c r="B67" s="64">
        <v>2.33</v>
      </c>
      <c r="C67" s="64">
        <v>21.15</v>
      </c>
      <c r="D67" s="64">
        <v>12.92</v>
      </c>
      <c r="E67" s="64">
        <v>6.57</v>
      </c>
      <c r="F67" s="64">
        <v>5.81</v>
      </c>
      <c r="G67" s="64">
        <v>29.71</v>
      </c>
      <c r="H67" s="64">
        <v>9.94</v>
      </c>
      <c r="I67" s="64">
        <v>1.42</v>
      </c>
      <c r="J67" s="64">
        <v>1.0900000000000001</v>
      </c>
      <c r="K67" s="64">
        <v>129.61000000000001</v>
      </c>
      <c r="L67" s="64">
        <v>16.13</v>
      </c>
      <c r="M67" s="64">
        <v>37.19</v>
      </c>
      <c r="N67" s="64">
        <v>94.8</v>
      </c>
      <c r="O67" s="64">
        <v>0</v>
      </c>
      <c r="P67" s="64">
        <v>0.55000000000000004</v>
      </c>
      <c r="Q67" s="64">
        <v>9.2799999999999994</v>
      </c>
      <c r="R67" s="198"/>
      <c r="S67" s="198"/>
      <c r="T67" s="198"/>
      <c r="U67" s="198"/>
    </row>
    <row r="68" spans="1:21" s="12" customFormat="1" x14ac:dyDescent="0.25">
      <c r="A68" s="214" t="s">
        <v>2611</v>
      </c>
      <c r="B68" s="64">
        <v>2.65</v>
      </c>
      <c r="C68" s="64">
        <v>21.24</v>
      </c>
      <c r="D68" s="64">
        <v>13.22</v>
      </c>
      <c r="E68" s="64">
        <v>9.43</v>
      </c>
      <c r="F68" s="64">
        <v>6.34</v>
      </c>
      <c r="G68" s="64">
        <v>28.78</v>
      </c>
      <c r="H68" s="64">
        <v>10.19</v>
      </c>
      <c r="I68" s="64">
        <v>1.46</v>
      </c>
      <c r="J68" s="64">
        <v>0.47</v>
      </c>
      <c r="K68" s="64">
        <v>338.78</v>
      </c>
      <c r="L68" s="64">
        <v>16.21</v>
      </c>
      <c r="M68" s="64">
        <v>38.22</v>
      </c>
      <c r="N68" s="64">
        <v>81.900000000000006</v>
      </c>
      <c r="O68" s="64">
        <v>0</v>
      </c>
      <c r="P68" s="64">
        <v>0.6</v>
      </c>
      <c r="Q68" s="64">
        <v>9.27</v>
      </c>
      <c r="R68" s="198"/>
      <c r="S68" s="198"/>
      <c r="T68" s="198"/>
      <c r="U68" s="198"/>
    </row>
    <row r="69" spans="1:21" s="12" customFormat="1" x14ac:dyDescent="0.25">
      <c r="A69" s="214" t="s">
        <v>2612</v>
      </c>
      <c r="B69" s="64">
        <v>3.61</v>
      </c>
      <c r="C69" s="64">
        <v>21.97</v>
      </c>
      <c r="D69" s="64">
        <v>14.37</v>
      </c>
      <c r="E69" s="64">
        <v>15.54</v>
      </c>
      <c r="F69" s="64">
        <v>9.07</v>
      </c>
      <c r="G69" s="64">
        <v>28</v>
      </c>
      <c r="H69" s="64">
        <v>10.37</v>
      </c>
      <c r="I69" s="64">
        <v>1.49</v>
      </c>
      <c r="J69" s="64">
        <v>0.4</v>
      </c>
      <c r="K69" s="64">
        <v>340.91</v>
      </c>
      <c r="L69" s="64">
        <v>16.84</v>
      </c>
      <c r="M69" s="64">
        <v>35.96</v>
      </c>
      <c r="N69" s="64">
        <v>76.900000000000006</v>
      </c>
      <c r="O69" s="64">
        <v>0</v>
      </c>
      <c r="P69" s="64">
        <v>0.63</v>
      </c>
      <c r="Q69" s="64">
        <v>9.2899999999999991</v>
      </c>
      <c r="R69" s="198"/>
      <c r="S69" s="198"/>
      <c r="T69" s="198"/>
      <c r="U69" s="198"/>
    </row>
    <row r="70" spans="1:21" s="12" customFormat="1" x14ac:dyDescent="0.25">
      <c r="A70" s="214" t="s">
        <v>2613</v>
      </c>
      <c r="B70" s="64">
        <v>6.76</v>
      </c>
      <c r="C70" s="64">
        <v>21.86</v>
      </c>
      <c r="D70" s="64">
        <v>16.84</v>
      </c>
      <c r="E70" s="64">
        <v>15.6</v>
      </c>
      <c r="F70" s="64">
        <v>6.45</v>
      </c>
      <c r="G70" s="64">
        <v>28</v>
      </c>
      <c r="H70" s="64">
        <v>10.37</v>
      </c>
      <c r="I70" s="64">
        <v>1.56</v>
      </c>
      <c r="J70" s="64">
        <v>0.81</v>
      </c>
      <c r="K70" s="64">
        <v>337.43</v>
      </c>
      <c r="L70" s="64">
        <v>17</v>
      </c>
      <c r="M70" s="64">
        <v>35.07</v>
      </c>
      <c r="N70" s="64">
        <v>71.400000000000006</v>
      </c>
      <c r="O70" s="64">
        <v>0</v>
      </c>
      <c r="P70" s="64">
        <v>0.68</v>
      </c>
      <c r="Q70" s="64">
        <v>9.33</v>
      </c>
      <c r="R70" s="198"/>
      <c r="S70" s="198"/>
      <c r="T70" s="198"/>
      <c r="U70" s="198"/>
    </row>
    <row r="71" spans="1:21" s="12" customFormat="1" x14ac:dyDescent="0.25">
      <c r="A71" s="214" t="s">
        <v>2614</v>
      </c>
      <c r="B71" s="64">
        <v>4</v>
      </c>
      <c r="C71" s="64">
        <v>21.11</v>
      </c>
      <c r="D71" s="64">
        <v>14.24</v>
      </c>
      <c r="E71" s="64">
        <v>26.88</v>
      </c>
      <c r="F71" s="64">
        <v>11.69</v>
      </c>
      <c r="G71" s="64">
        <v>28</v>
      </c>
      <c r="H71" s="64">
        <v>10.37</v>
      </c>
      <c r="I71" s="64">
        <v>1.58</v>
      </c>
      <c r="J71" s="64">
        <v>0.46</v>
      </c>
      <c r="K71" s="64">
        <v>147.55000000000001</v>
      </c>
      <c r="L71" s="64">
        <v>16.600000000000001</v>
      </c>
      <c r="M71" s="64">
        <v>34.869999999999997</v>
      </c>
      <c r="N71" s="64">
        <v>65.599999999999994</v>
      </c>
      <c r="O71" s="64">
        <v>0</v>
      </c>
      <c r="P71" s="64">
        <v>0.66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14" t="s">
        <v>2615</v>
      </c>
      <c r="B72" s="64">
        <v>3.03</v>
      </c>
      <c r="C72" s="64">
        <v>20.04</v>
      </c>
      <c r="D72" s="64">
        <v>12.9</v>
      </c>
      <c r="E72" s="64">
        <v>26.08</v>
      </c>
      <c r="F72" s="64">
        <v>13.96</v>
      </c>
      <c r="G72" s="64">
        <v>28.6</v>
      </c>
      <c r="H72" s="64">
        <v>10.8</v>
      </c>
      <c r="I72" s="64">
        <v>1.66</v>
      </c>
      <c r="J72" s="64">
        <v>0.84</v>
      </c>
      <c r="K72" s="64">
        <v>116.21</v>
      </c>
      <c r="L72" s="64">
        <v>16.13</v>
      </c>
      <c r="M72" s="64">
        <v>36.32</v>
      </c>
      <c r="N72" s="64">
        <v>60.4</v>
      </c>
      <c r="O72" s="64">
        <v>0</v>
      </c>
      <c r="P72" s="64">
        <v>0.66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4" t="s">
        <v>2616</v>
      </c>
      <c r="B73" s="64">
        <v>3</v>
      </c>
      <c r="C73" s="64">
        <v>20.11</v>
      </c>
      <c r="D73" s="64">
        <v>12.91</v>
      </c>
      <c r="E73" s="64">
        <v>32.01</v>
      </c>
      <c r="F73" s="64">
        <v>13.23</v>
      </c>
      <c r="G73" s="64">
        <v>29.1</v>
      </c>
      <c r="H73" s="64">
        <v>10.97</v>
      </c>
      <c r="I73" s="64">
        <v>1.58</v>
      </c>
      <c r="J73" s="64">
        <v>0.28999999999999998</v>
      </c>
      <c r="K73" s="64">
        <v>102.92</v>
      </c>
      <c r="L73" s="64">
        <v>16.03</v>
      </c>
      <c r="M73" s="64">
        <v>36.380000000000003</v>
      </c>
      <c r="N73" s="64">
        <v>54.2</v>
      </c>
      <c r="O73" s="64">
        <v>0</v>
      </c>
      <c r="P73" s="64">
        <v>0.7</v>
      </c>
      <c r="Q73" s="64">
        <v>9.36</v>
      </c>
      <c r="R73" s="198"/>
      <c r="S73" s="198"/>
      <c r="T73" s="198"/>
      <c r="U73" s="198"/>
    </row>
    <row r="74" spans="1:21" s="12" customFormat="1" x14ac:dyDescent="0.25">
      <c r="A74" s="214" t="s">
        <v>2617</v>
      </c>
      <c r="B74" s="64">
        <v>2.99</v>
      </c>
      <c r="C74" s="64">
        <v>21.05</v>
      </c>
      <c r="D74" s="64">
        <v>13.39</v>
      </c>
      <c r="E74" s="64">
        <v>26.91</v>
      </c>
      <c r="F74" s="64">
        <v>10.45</v>
      </c>
      <c r="G74" s="64">
        <v>29.1</v>
      </c>
      <c r="H74" s="64">
        <v>10.97</v>
      </c>
      <c r="I74" s="64">
        <v>1.52</v>
      </c>
      <c r="J74" s="64">
        <v>0.53</v>
      </c>
      <c r="K74" s="64">
        <v>111.01</v>
      </c>
      <c r="L74" s="64">
        <v>15.78</v>
      </c>
      <c r="M74" s="64">
        <v>38.42</v>
      </c>
      <c r="N74" s="64">
        <v>49</v>
      </c>
      <c r="O74" s="64">
        <v>0</v>
      </c>
      <c r="P74" s="64">
        <v>0.71</v>
      </c>
      <c r="Q74" s="64">
        <v>9.36</v>
      </c>
      <c r="R74" s="198"/>
      <c r="S74" s="198"/>
      <c r="T74" s="198"/>
      <c r="U74" s="198"/>
    </row>
    <row r="75" spans="1:21" s="12" customFormat="1" x14ac:dyDescent="0.25">
      <c r="A75" s="214" t="s">
        <v>2618</v>
      </c>
      <c r="B75" s="64">
        <v>3.09</v>
      </c>
      <c r="C75" s="64">
        <v>23.23</v>
      </c>
      <c r="D75" s="64">
        <v>14.61</v>
      </c>
      <c r="E75" s="64">
        <v>25.8</v>
      </c>
      <c r="F75" s="64">
        <v>8.8000000000000007</v>
      </c>
      <c r="G75" s="64">
        <v>29.1</v>
      </c>
      <c r="H75" s="64">
        <v>10.97</v>
      </c>
      <c r="I75" s="64">
        <v>1.58</v>
      </c>
      <c r="J75" s="64">
        <v>0.75</v>
      </c>
      <c r="K75" s="64">
        <v>124.02</v>
      </c>
      <c r="L75" s="64">
        <v>15.48</v>
      </c>
      <c r="M75" s="64">
        <v>40.29</v>
      </c>
      <c r="N75" s="64">
        <v>43.7</v>
      </c>
      <c r="O75" s="64">
        <v>0</v>
      </c>
      <c r="P75" s="64">
        <v>0.73</v>
      </c>
      <c r="Q75" s="64">
        <v>9.36</v>
      </c>
      <c r="R75" s="198"/>
      <c r="S75" s="198"/>
      <c r="T75" s="198"/>
      <c r="U75" s="198"/>
    </row>
    <row r="76" spans="1:21" s="12" customFormat="1" x14ac:dyDescent="0.25">
      <c r="A76" s="214" t="s">
        <v>2619</v>
      </c>
      <c r="B76" s="64">
        <v>3.35</v>
      </c>
      <c r="C76" s="64">
        <v>25.67</v>
      </c>
      <c r="D76" s="64">
        <v>16.100000000000001</v>
      </c>
      <c r="E76" s="64">
        <v>18.96</v>
      </c>
      <c r="F76" s="64">
        <v>6.3</v>
      </c>
      <c r="G76" s="64">
        <v>29.34</v>
      </c>
      <c r="H76" s="64">
        <v>11.2</v>
      </c>
      <c r="I76" s="64">
        <v>1.65</v>
      </c>
      <c r="J76" s="64">
        <v>0.38</v>
      </c>
      <c r="K76" s="64">
        <v>154.82</v>
      </c>
      <c r="L76" s="64">
        <v>15.08</v>
      </c>
      <c r="M76" s="64">
        <v>42</v>
      </c>
      <c r="N76" s="64">
        <v>38.5</v>
      </c>
      <c r="O76" s="64">
        <v>0</v>
      </c>
      <c r="P76" s="64">
        <v>0.74</v>
      </c>
      <c r="Q76" s="64">
        <v>9.36</v>
      </c>
      <c r="R76" s="198"/>
      <c r="S76" s="198"/>
      <c r="T76" s="198"/>
      <c r="U76" s="198"/>
    </row>
    <row r="77" spans="1:21" s="12" customFormat="1" x14ac:dyDescent="0.25">
      <c r="A77" s="214" t="s">
        <v>2620</v>
      </c>
      <c r="B77" s="64">
        <v>4.22</v>
      </c>
      <c r="C77" s="64">
        <v>21.78</v>
      </c>
      <c r="D77" s="64">
        <v>14.76</v>
      </c>
      <c r="E77" s="64">
        <v>7.91</v>
      </c>
      <c r="F77" s="64">
        <v>2.82</v>
      </c>
      <c r="G77" s="64">
        <v>29.54</v>
      </c>
      <c r="H77" s="64">
        <v>11.29</v>
      </c>
      <c r="I77" s="64">
        <v>1.76</v>
      </c>
      <c r="J77" s="64">
        <v>0.3</v>
      </c>
      <c r="K77" s="64">
        <v>318.89999999999998</v>
      </c>
      <c r="L77" s="64">
        <v>14.38</v>
      </c>
      <c r="M77" s="64">
        <v>50.5</v>
      </c>
      <c r="N77" s="64">
        <v>34.1</v>
      </c>
      <c r="O77" s="64">
        <v>0</v>
      </c>
      <c r="P77" s="64">
        <v>0.71</v>
      </c>
      <c r="Q77" s="64">
        <v>9.33</v>
      </c>
      <c r="R77" s="198"/>
      <c r="S77" s="198"/>
      <c r="T77" s="198"/>
      <c r="U77" s="198"/>
    </row>
    <row r="78" spans="1:21" s="12" customFormat="1" x14ac:dyDescent="0.25">
      <c r="A78" s="214" t="s">
        <v>2621</v>
      </c>
      <c r="B78" s="64">
        <v>10.65</v>
      </c>
      <c r="C78" s="64">
        <v>19.57</v>
      </c>
      <c r="D78" s="64">
        <v>18.77</v>
      </c>
      <c r="E78" s="64">
        <v>7.5</v>
      </c>
      <c r="F78" s="64">
        <v>2.52</v>
      </c>
      <c r="G78" s="64">
        <v>29.54</v>
      </c>
      <c r="H78" s="64">
        <v>11.29</v>
      </c>
      <c r="I78" s="64">
        <v>1.82</v>
      </c>
      <c r="J78" s="64">
        <v>0.41</v>
      </c>
      <c r="K78" s="64">
        <v>4.0999999999999996</v>
      </c>
      <c r="L78" s="64">
        <v>13.42</v>
      </c>
      <c r="M78" s="64">
        <v>60.64</v>
      </c>
      <c r="N78" s="64">
        <v>31.2</v>
      </c>
      <c r="O78" s="64">
        <v>0</v>
      </c>
      <c r="P78" s="64">
        <v>0.83</v>
      </c>
      <c r="Q78" s="64">
        <v>9.31</v>
      </c>
      <c r="R78" s="198"/>
      <c r="S78" s="198"/>
      <c r="T78" s="198"/>
      <c r="U78" s="198"/>
    </row>
    <row r="79" spans="1:21" s="12" customFormat="1" x14ac:dyDescent="0.25">
      <c r="A79" s="214" t="s">
        <v>2622</v>
      </c>
      <c r="B79" s="64">
        <v>11.41</v>
      </c>
      <c r="C79" s="64">
        <v>21.34</v>
      </c>
      <c r="D79" s="64">
        <v>20.3</v>
      </c>
      <c r="E79" s="64">
        <v>7.19</v>
      </c>
      <c r="F79" s="64">
        <v>2.52</v>
      </c>
      <c r="G79" s="64">
        <v>29.54</v>
      </c>
      <c r="H79" s="64">
        <v>11.29</v>
      </c>
      <c r="I79" s="64">
        <v>2.06</v>
      </c>
      <c r="J79" s="64">
        <v>0.37</v>
      </c>
      <c r="K79" s="64">
        <v>110.88</v>
      </c>
      <c r="L79" s="64">
        <v>12.72</v>
      </c>
      <c r="M79" s="64">
        <v>56.83</v>
      </c>
      <c r="N79" s="64">
        <v>29.7</v>
      </c>
      <c r="O79" s="64">
        <v>0</v>
      </c>
      <c r="P79" s="64">
        <v>0.85</v>
      </c>
      <c r="Q79" s="64">
        <v>9.33</v>
      </c>
      <c r="R79" s="198"/>
      <c r="S79" s="198"/>
      <c r="T79" s="198"/>
      <c r="U79" s="198"/>
    </row>
    <row r="80" spans="1:21" s="12" customFormat="1" x14ac:dyDescent="0.25">
      <c r="A80" s="214" t="s">
        <v>2623</v>
      </c>
      <c r="B80" s="64">
        <v>13.18</v>
      </c>
      <c r="C80" s="64">
        <v>20.62</v>
      </c>
      <c r="D80" s="64">
        <v>21.34</v>
      </c>
      <c r="E80" s="64">
        <v>7.2</v>
      </c>
      <c r="F80" s="64">
        <v>2.67</v>
      </c>
      <c r="G80" s="64">
        <v>35.619999999999997</v>
      </c>
      <c r="H80" s="64">
        <v>16.39</v>
      </c>
      <c r="I80" s="64">
        <v>2.2999999999999998</v>
      </c>
      <c r="J80" s="64">
        <v>0.4</v>
      </c>
      <c r="K80" s="64">
        <v>129.87</v>
      </c>
      <c r="L80" s="64">
        <v>12.43</v>
      </c>
      <c r="M80" s="64">
        <v>56.79</v>
      </c>
      <c r="N80" s="64">
        <v>29.7</v>
      </c>
      <c r="O80" s="64">
        <v>0</v>
      </c>
      <c r="P80" s="64">
        <v>0.9</v>
      </c>
      <c r="Q80" s="64">
        <v>9.34</v>
      </c>
      <c r="R80" s="198"/>
      <c r="S80" s="198"/>
      <c r="T80" s="198"/>
      <c r="U80" s="198"/>
    </row>
    <row r="81" spans="1:26" s="12" customFormat="1" x14ac:dyDescent="0.25">
      <c r="A81" s="214" t="s">
        <v>2624</v>
      </c>
      <c r="B81" s="64">
        <v>14.72</v>
      </c>
      <c r="C81" s="64">
        <v>16.95</v>
      </c>
      <c r="D81" s="64">
        <v>21.2</v>
      </c>
      <c r="E81" s="64">
        <v>5.74</v>
      </c>
      <c r="F81" s="64">
        <v>2.56</v>
      </c>
      <c r="G81" s="64">
        <v>40.94</v>
      </c>
      <c r="H81" s="64">
        <v>18.41</v>
      </c>
      <c r="I81" s="64">
        <v>2.34</v>
      </c>
      <c r="J81" s="64">
        <v>0.06</v>
      </c>
      <c r="K81" s="64">
        <v>217.01</v>
      </c>
      <c r="L81" s="64">
        <v>11.69</v>
      </c>
      <c r="M81" s="64">
        <v>63.96</v>
      </c>
      <c r="N81" s="64">
        <v>29.9</v>
      </c>
      <c r="O81" s="64">
        <v>0</v>
      </c>
      <c r="P81" s="64">
        <v>0.9</v>
      </c>
      <c r="Q81" s="64">
        <v>9.35</v>
      </c>
      <c r="R81" s="198"/>
      <c r="S81" s="198"/>
      <c r="T81" s="198"/>
      <c r="U81" s="198"/>
    </row>
    <row r="82" spans="1:26" s="12" customFormat="1" x14ac:dyDescent="0.25">
      <c r="A82" s="214" t="s">
        <v>2625</v>
      </c>
      <c r="B82" s="64">
        <v>16.64</v>
      </c>
      <c r="C82" s="64">
        <v>15.89</v>
      </c>
      <c r="D82" s="64">
        <v>21.65</v>
      </c>
      <c r="E82" s="64">
        <v>5.85</v>
      </c>
      <c r="F82" s="64">
        <v>2.39</v>
      </c>
      <c r="G82" s="64">
        <v>40.94</v>
      </c>
      <c r="H82" s="64">
        <v>18.41</v>
      </c>
      <c r="I82" s="64">
        <v>2.34</v>
      </c>
      <c r="J82" s="64">
        <v>0.39</v>
      </c>
      <c r="K82" s="64">
        <v>301.54000000000002</v>
      </c>
      <c r="L82" s="64">
        <v>11.18</v>
      </c>
      <c r="M82" s="64">
        <v>69.510000000000005</v>
      </c>
      <c r="N82" s="64">
        <v>29.7</v>
      </c>
      <c r="O82" s="64">
        <v>0</v>
      </c>
      <c r="P82" s="64">
        <v>0.97</v>
      </c>
      <c r="Q82" s="64">
        <v>9.3699999999999992</v>
      </c>
      <c r="R82" s="198"/>
      <c r="S82" s="198"/>
      <c r="T82" s="198"/>
      <c r="U82" s="198"/>
    </row>
    <row r="83" spans="1:26" s="12" customFormat="1" x14ac:dyDescent="0.25">
      <c r="A83" s="214" t="s">
        <v>2626</v>
      </c>
      <c r="B83" s="64">
        <v>21.6</v>
      </c>
      <c r="C83" s="64">
        <v>13.93</v>
      </c>
      <c r="D83" s="64">
        <v>24.59</v>
      </c>
      <c r="E83" s="64">
        <v>5.98</v>
      </c>
      <c r="F83" s="64">
        <v>2.5</v>
      </c>
      <c r="G83" s="64">
        <v>40.94</v>
      </c>
      <c r="H83" s="64">
        <v>18.41</v>
      </c>
      <c r="I83" s="64">
        <v>2.4900000000000002</v>
      </c>
      <c r="J83" s="64">
        <v>0.36</v>
      </c>
      <c r="K83" s="64">
        <v>322.33</v>
      </c>
      <c r="L83" s="64">
        <v>10.73</v>
      </c>
      <c r="M83" s="64">
        <v>72.05</v>
      </c>
      <c r="N83" s="64">
        <v>29.7</v>
      </c>
      <c r="O83" s="64">
        <v>0</v>
      </c>
      <c r="P83" s="64">
        <v>1.05</v>
      </c>
      <c r="Q83" s="64">
        <v>9.41</v>
      </c>
      <c r="R83" s="198"/>
      <c r="S83" s="198"/>
      <c r="T83" s="198"/>
      <c r="U83" s="198"/>
    </row>
    <row r="84" spans="1:26" s="12" customFormat="1" x14ac:dyDescent="0.25">
      <c r="A84" s="214" t="s">
        <v>2627</v>
      </c>
      <c r="B84" s="64">
        <v>25.47</v>
      </c>
      <c r="C84" s="64">
        <v>11.19</v>
      </c>
      <c r="D84" s="64">
        <v>26.27</v>
      </c>
      <c r="E84" s="64">
        <v>5.89</v>
      </c>
      <c r="F84" s="64">
        <v>2.36</v>
      </c>
      <c r="G84" s="64">
        <v>49.08</v>
      </c>
      <c r="H84" s="64">
        <v>21.88</v>
      </c>
      <c r="I84" s="64">
        <v>2.67</v>
      </c>
      <c r="J84" s="64">
        <v>0.28000000000000003</v>
      </c>
      <c r="K84" s="64">
        <v>46.87</v>
      </c>
      <c r="L84" s="64">
        <v>10.42</v>
      </c>
      <c r="M84" s="64">
        <v>77.290000000000006</v>
      </c>
      <c r="N84" s="64">
        <v>29.5</v>
      </c>
      <c r="O84" s="64">
        <v>0</v>
      </c>
      <c r="P84" s="64">
        <v>1.1399999999999999</v>
      </c>
      <c r="Q84" s="64">
        <v>9.4600000000000009</v>
      </c>
      <c r="R84" s="198"/>
      <c r="S84" s="198"/>
      <c r="T84" s="198"/>
      <c r="U84" s="198"/>
    </row>
    <row r="85" spans="1:26" s="12" customFormat="1" x14ac:dyDescent="0.25">
      <c r="A85" s="214" t="s">
        <v>2628</v>
      </c>
      <c r="B85" s="64">
        <v>28.52</v>
      </c>
      <c r="C85" s="64">
        <v>8.91</v>
      </c>
      <c r="D85" s="64">
        <v>27.53</v>
      </c>
      <c r="E85" s="64">
        <v>5.68</v>
      </c>
      <c r="F85" s="64">
        <v>2.29</v>
      </c>
      <c r="G85" s="64">
        <v>56.2</v>
      </c>
      <c r="H85" s="64">
        <v>24.51</v>
      </c>
      <c r="I85" s="64">
        <v>3.09</v>
      </c>
      <c r="J85" s="64">
        <v>0.16</v>
      </c>
      <c r="K85" s="64">
        <v>150.1</v>
      </c>
      <c r="L85" s="64">
        <v>10.43</v>
      </c>
      <c r="M85" s="64">
        <v>76.17</v>
      </c>
      <c r="N85" s="64">
        <v>29.2</v>
      </c>
      <c r="O85" s="64">
        <v>0</v>
      </c>
      <c r="P85" s="64">
        <v>1.05</v>
      </c>
      <c r="Q85" s="64">
        <v>9.5</v>
      </c>
      <c r="R85" s="198"/>
      <c r="S85" s="198"/>
      <c r="T85" s="198"/>
      <c r="U85" s="198"/>
    </row>
    <row r="86" spans="1:26" s="12" customFormat="1" x14ac:dyDescent="0.25">
      <c r="A86" s="214" t="s">
        <v>2629</v>
      </c>
      <c r="B86" s="64">
        <v>31.87</v>
      </c>
      <c r="C86" s="64">
        <v>7.16</v>
      </c>
      <c r="D86" s="64">
        <v>29.3</v>
      </c>
      <c r="E86" s="64">
        <v>5.8</v>
      </c>
      <c r="F86" s="64">
        <v>2.4300000000000002</v>
      </c>
      <c r="G86" s="64">
        <v>56.2</v>
      </c>
      <c r="H86" s="64">
        <v>24.51</v>
      </c>
      <c r="I86" s="64">
        <v>3.45</v>
      </c>
      <c r="J86" s="64">
        <v>0.39</v>
      </c>
      <c r="K86" s="64">
        <v>326.12</v>
      </c>
      <c r="L86" s="64">
        <v>10.17</v>
      </c>
      <c r="M86" s="64">
        <v>80.290000000000006</v>
      </c>
      <c r="N86" s="64">
        <v>29.7</v>
      </c>
      <c r="O86" s="64">
        <v>0</v>
      </c>
      <c r="P86" s="64">
        <v>1.21</v>
      </c>
      <c r="Q86" s="64">
        <v>9.5299999999999994</v>
      </c>
      <c r="R86" s="198"/>
      <c r="S86" s="198"/>
      <c r="T86" s="198"/>
      <c r="U86" s="198"/>
    </row>
    <row r="87" spans="1:26" s="12" customFormat="1" x14ac:dyDescent="0.25">
      <c r="A87" s="214" t="s">
        <v>2630</v>
      </c>
      <c r="B87" s="64">
        <v>35.200000000000003</v>
      </c>
      <c r="C87" s="64">
        <v>4.71</v>
      </c>
      <c r="D87" s="64">
        <v>30.69</v>
      </c>
      <c r="E87" s="64">
        <v>5.74</v>
      </c>
      <c r="F87" s="64">
        <v>2.2599999999999998</v>
      </c>
      <c r="G87" s="64">
        <v>56.2</v>
      </c>
      <c r="H87" s="64">
        <v>24.51</v>
      </c>
      <c r="I87" s="64">
        <v>3.75</v>
      </c>
      <c r="J87" s="64">
        <v>0.41</v>
      </c>
      <c r="K87" s="64">
        <v>297.86</v>
      </c>
      <c r="L87" s="64">
        <v>9.8000000000000007</v>
      </c>
      <c r="M87" s="64">
        <v>85.34</v>
      </c>
      <c r="N87" s="64">
        <v>29.6</v>
      </c>
      <c r="O87" s="64">
        <v>0</v>
      </c>
      <c r="P87" s="64">
        <v>1.31</v>
      </c>
      <c r="Q87" s="64">
        <v>9.6</v>
      </c>
      <c r="R87" s="198"/>
      <c r="S87" s="198"/>
      <c r="T87" s="198"/>
      <c r="U87" s="198"/>
    </row>
    <row r="88" spans="1:26" s="12" customFormat="1" x14ac:dyDescent="0.25">
      <c r="A88" s="214" t="s">
        <v>2631</v>
      </c>
      <c r="B88" s="64">
        <v>43.22</v>
      </c>
      <c r="C88" s="64">
        <v>1.26</v>
      </c>
      <c r="D88" s="64">
        <v>35.03</v>
      </c>
      <c r="E88" s="64">
        <v>5.72</v>
      </c>
      <c r="F88" s="64">
        <v>2.11</v>
      </c>
      <c r="G88" s="64">
        <v>61.14</v>
      </c>
      <c r="H88" s="64">
        <v>29.61</v>
      </c>
      <c r="I88" s="64">
        <v>4.08</v>
      </c>
      <c r="J88" s="64">
        <v>0.41</v>
      </c>
      <c r="K88" s="64">
        <v>175.24</v>
      </c>
      <c r="L88" s="64">
        <v>9.58</v>
      </c>
      <c r="M88" s="64">
        <v>86.16</v>
      </c>
      <c r="N88" s="64">
        <v>29.5</v>
      </c>
      <c r="O88" s="64">
        <v>0</v>
      </c>
      <c r="P88" s="64">
        <v>1.43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4" t="s">
        <v>2632</v>
      </c>
      <c r="B89" s="64">
        <v>43.56</v>
      </c>
      <c r="C89" s="64">
        <v>1.26</v>
      </c>
      <c r="D89" s="64">
        <v>34.81</v>
      </c>
      <c r="E89" s="64">
        <v>5.86</v>
      </c>
      <c r="F89" s="64">
        <v>2.2400000000000002</v>
      </c>
      <c r="G89" s="64">
        <v>65.459999999999994</v>
      </c>
      <c r="H89" s="64">
        <v>31.63</v>
      </c>
      <c r="I89" s="64">
        <v>4.08</v>
      </c>
      <c r="J89" s="64">
        <v>0.42</v>
      </c>
      <c r="K89" s="64">
        <v>175.23</v>
      </c>
      <c r="L89" s="64">
        <v>9.59</v>
      </c>
      <c r="M89" s="64">
        <v>82.39</v>
      </c>
      <c r="N89" s="64">
        <v>29.5</v>
      </c>
      <c r="O89" s="64">
        <v>0</v>
      </c>
      <c r="P89" s="64">
        <v>1.5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4" t="s">
        <v>2633</v>
      </c>
      <c r="B90" s="64">
        <v>45.74</v>
      </c>
      <c r="C90" s="64">
        <v>1.26</v>
      </c>
      <c r="D90" s="64">
        <v>36.03</v>
      </c>
      <c r="E90" s="64">
        <v>5.92</v>
      </c>
      <c r="F90" s="64">
        <v>2.33</v>
      </c>
      <c r="G90" s="64">
        <v>65.459999999999994</v>
      </c>
      <c r="H90" s="64">
        <v>31.63</v>
      </c>
      <c r="I90" s="64">
        <v>4.2</v>
      </c>
      <c r="J90" s="64">
        <v>0.35</v>
      </c>
      <c r="K90" s="64">
        <v>256.33999999999997</v>
      </c>
      <c r="L90" s="64">
        <v>9.4</v>
      </c>
      <c r="M90" s="64">
        <v>86.3</v>
      </c>
      <c r="N90" s="64">
        <v>29.5</v>
      </c>
      <c r="O90" s="64">
        <v>0</v>
      </c>
      <c r="P90" s="64">
        <v>1.59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4" t="s">
        <v>2634</v>
      </c>
      <c r="B91" s="64">
        <v>47.59</v>
      </c>
      <c r="C91" s="64">
        <v>1.26</v>
      </c>
      <c r="D91" s="64">
        <v>36.840000000000003</v>
      </c>
      <c r="E91" s="64">
        <v>5.81</v>
      </c>
      <c r="F91" s="64">
        <v>2.63</v>
      </c>
      <c r="G91" s="64">
        <v>65.459999999999994</v>
      </c>
      <c r="H91" s="64">
        <v>31.63</v>
      </c>
      <c r="I91" s="64">
        <v>4.33</v>
      </c>
      <c r="J91" s="64">
        <v>0.25</v>
      </c>
      <c r="K91" s="64">
        <v>272.76</v>
      </c>
      <c r="L91" s="64">
        <v>9.14</v>
      </c>
      <c r="M91" s="64">
        <v>85.21</v>
      </c>
      <c r="N91" s="64">
        <v>29.5</v>
      </c>
      <c r="O91" s="64">
        <v>0</v>
      </c>
      <c r="P91" s="64">
        <v>1.64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4" t="s">
        <v>2635</v>
      </c>
      <c r="B92" s="64">
        <v>50.16</v>
      </c>
      <c r="C92" s="64">
        <v>1.26</v>
      </c>
      <c r="D92" s="64">
        <v>38.14</v>
      </c>
      <c r="E92" s="64">
        <v>6.01</v>
      </c>
      <c r="F92" s="64">
        <v>2.4</v>
      </c>
      <c r="G92" s="64">
        <v>67.58</v>
      </c>
      <c r="H92" s="64">
        <v>31.5</v>
      </c>
      <c r="I92" s="64">
        <v>4.8499999999999996</v>
      </c>
      <c r="J92" s="64">
        <v>0.42</v>
      </c>
      <c r="K92" s="64">
        <v>283.61</v>
      </c>
      <c r="L92" s="64">
        <v>9.02</v>
      </c>
      <c r="M92" s="64">
        <v>87.92</v>
      </c>
      <c r="N92" s="64">
        <v>29.5</v>
      </c>
      <c r="O92" s="64">
        <v>0</v>
      </c>
      <c r="P92" s="64">
        <v>1.71</v>
      </c>
      <c r="Q92" s="64">
        <v>9.65</v>
      </c>
      <c r="R92" s="198"/>
      <c r="S92" s="198"/>
      <c r="T92" s="198"/>
      <c r="U92" s="198"/>
    </row>
    <row r="93" spans="1:26" s="12" customFormat="1" x14ac:dyDescent="0.25">
      <c r="A93" s="214" t="s">
        <v>2636</v>
      </c>
      <c r="B93" s="64">
        <v>54.19</v>
      </c>
      <c r="C93" s="64">
        <v>1.26</v>
      </c>
      <c r="D93" s="64">
        <v>40.119999999999997</v>
      </c>
      <c r="E93" s="64">
        <v>6.29</v>
      </c>
      <c r="F93" s="64">
        <v>2.4300000000000002</v>
      </c>
      <c r="G93" s="64">
        <v>69.430000000000007</v>
      </c>
      <c r="H93" s="64">
        <v>31.44</v>
      </c>
      <c r="I93" s="64">
        <v>5.13</v>
      </c>
      <c r="J93" s="64">
        <v>0.4</v>
      </c>
      <c r="K93" s="64">
        <v>318.70999999999998</v>
      </c>
      <c r="L93" s="64">
        <v>8.8699999999999992</v>
      </c>
      <c r="M93" s="64">
        <v>90.64</v>
      </c>
      <c r="N93" s="64">
        <v>29.5</v>
      </c>
      <c r="O93" s="64">
        <v>0</v>
      </c>
      <c r="P93" s="64">
        <v>1.79</v>
      </c>
      <c r="Q93" s="64">
        <v>9.65</v>
      </c>
      <c r="R93" s="198"/>
      <c r="S93" s="198"/>
      <c r="T93" s="198"/>
      <c r="U93" s="198"/>
    </row>
    <row r="94" spans="1:26" s="12" customFormat="1" x14ac:dyDescent="0.25">
      <c r="A94" s="214" t="s">
        <v>2637</v>
      </c>
      <c r="B94" s="64">
        <v>59.68</v>
      </c>
      <c r="C94" s="64">
        <v>1.26</v>
      </c>
      <c r="D94" s="64">
        <v>42.82</v>
      </c>
      <c r="E94" s="64">
        <v>6.06</v>
      </c>
      <c r="F94" s="64">
        <v>2.62</v>
      </c>
      <c r="G94" s="64">
        <v>69.430000000000007</v>
      </c>
      <c r="H94" s="64">
        <v>31.44</v>
      </c>
      <c r="I94" s="64">
        <v>4.87</v>
      </c>
      <c r="J94" s="64">
        <v>0.33</v>
      </c>
      <c r="K94" s="64">
        <v>289.25</v>
      </c>
      <c r="L94" s="64">
        <v>8.6</v>
      </c>
      <c r="M94" s="64">
        <v>92.27</v>
      </c>
      <c r="N94" s="64">
        <v>29.6</v>
      </c>
      <c r="O94" s="64">
        <v>0</v>
      </c>
      <c r="P94" s="64">
        <v>1.92</v>
      </c>
      <c r="Q94" s="64">
        <v>9.66</v>
      </c>
      <c r="R94" s="198"/>
      <c r="S94" s="198"/>
      <c r="T94" s="198"/>
      <c r="U94" s="198"/>
    </row>
    <row r="95" spans="1:26" s="12" customFormat="1" x14ac:dyDescent="0.25">
      <c r="A95" s="214" t="s">
        <v>2638</v>
      </c>
      <c r="B95" s="64">
        <v>65.25</v>
      </c>
      <c r="C95" s="64">
        <v>1.26</v>
      </c>
      <c r="D95" s="64">
        <v>45.53</v>
      </c>
      <c r="E95" s="64">
        <v>6.43</v>
      </c>
      <c r="F95" s="64">
        <v>2.89</v>
      </c>
      <c r="G95" s="64">
        <v>69.430000000000007</v>
      </c>
      <c r="H95" s="64">
        <v>31.44</v>
      </c>
      <c r="I95" s="64">
        <v>4.95</v>
      </c>
      <c r="J95" s="64">
        <v>0.42</v>
      </c>
      <c r="K95" s="64">
        <v>270.83</v>
      </c>
      <c r="L95" s="64">
        <v>8.42</v>
      </c>
      <c r="M95" s="64">
        <v>92.44</v>
      </c>
      <c r="N95" s="64">
        <v>29.5</v>
      </c>
      <c r="O95" s="64">
        <v>0</v>
      </c>
      <c r="P95" s="64">
        <v>2.0099999999999998</v>
      </c>
      <c r="Q95" s="64">
        <v>9.67</v>
      </c>
      <c r="R95" s="198"/>
      <c r="S95" s="198"/>
      <c r="T95" s="198"/>
      <c r="U95" s="198"/>
    </row>
    <row r="96" spans="1:26" s="12" customFormat="1" x14ac:dyDescent="0.25">
      <c r="A96" s="214" t="s">
        <v>2639</v>
      </c>
      <c r="B96" s="64">
        <v>70.13</v>
      </c>
      <c r="C96" s="64">
        <v>1.26</v>
      </c>
      <c r="D96" s="64">
        <v>47.79</v>
      </c>
      <c r="E96" s="64">
        <v>6.47</v>
      </c>
      <c r="F96" s="64">
        <v>2.71</v>
      </c>
      <c r="G96" s="64">
        <v>75.540000000000006</v>
      </c>
      <c r="H96" s="64">
        <v>36.5</v>
      </c>
      <c r="I96" s="64">
        <v>5.68</v>
      </c>
      <c r="J96" s="64">
        <v>0.39</v>
      </c>
      <c r="K96" s="64">
        <v>309.06</v>
      </c>
      <c r="L96" s="64">
        <v>8.1999999999999993</v>
      </c>
      <c r="M96" s="64">
        <v>93.06</v>
      </c>
      <c r="N96" s="64">
        <v>29.5</v>
      </c>
      <c r="O96" s="64">
        <v>0</v>
      </c>
      <c r="P96" s="64">
        <v>2.0699999999999998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2640</v>
      </c>
      <c r="B97" s="64">
        <v>75.59</v>
      </c>
      <c r="C97" s="64">
        <v>1.26</v>
      </c>
      <c r="D97" s="64">
        <v>50.38</v>
      </c>
      <c r="E97" s="64">
        <v>6.36</v>
      </c>
      <c r="F97" s="64">
        <v>2.58</v>
      </c>
      <c r="G97" s="64">
        <v>80.88</v>
      </c>
      <c r="H97" s="64">
        <v>38.5</v>
      </c>
      <c r="I97" s="64">
        <v>5.67</v>
      </c>
      <c r="J97" s="64">
        <v>0.23</v>
      </c>
      <c r="K97" s="64">
        <v>348.96</v>
      </c>
      <c r="L97" s="64">
        <v>8.0299999999999994</v>
      </c>
      <c r="M97" s="64">
        <v>97.83</v>
      </c>
      <c r="N97" s="64">
        <v>29.4</v>
      </c>
      <c r="O97" s="64">
        <v>0</v>
      </c>
      <c r="P97" s="64">
        <v>2.15</v>
      </c>
      <c r="Q97" s="64">
        <v>9.68</v>
      </c>
      <c r="R97" s="198"/>
      <c r="S97" s="198"/>
      <c r="T97" s="198"/>
      <c r="U97" s="198"/>
    </row>
    <row r="98" spans="1:33" s="12" customFormat="1" x14ac:dyDescent="0.25">
      <c r="A98" s="214" t="s">
        <v>2641</v>
      </c>
      <c r="B98" s="64">
        <v>84.25</v>
      </c>
      <c r="C98" s="64">
        <v>1.26</v>
      </c>
      <c r="D98" s="64">
        <v>54.61</v>
      </c>
      <c r="E98" s="64">
        <v>6.46</v>
      </c>
      <c r="F98" s="64">
        <v>2.5499999999999998</v>
      </c>
      <c r="G98" s="64">
        <v>80.88</v>
      </c>
      <c r="H98" s="64">
        <v>38.5</v>
      </c>
      <c r="I98" s="64">
        <v>5.74</v>
      </c>
      <c r="J98" s="64">
        <v>0.2</v>
      </c>
      <c r="K98" s="64">
        <v>289.36</v>
      </c>
      <c r="L98" s="64">
        <v>7.98</v>
      </c>
      <c r="M98" s="64">
        <v>98.47</v>
      </c>
      <c r="N98" s="64">
        <v>29.4</v>
      </c>
      <c r="O98" s="64">
        <v>0</v>
      </c>
      <c r="P98" s="64">
        <v>2.27</v>
      </c>
      <c r="Q98" s="64">
        <v>9.68</v>
      </c>
      <c r="R98" s="198"/>
      <c r="S98" s="198"/>
      <c r="T98" s="198"/>
      <c r="U98" s="198"/>
    </row>
    <row r="99" spans="1:33" s="12" customFormat="1" x14ac:dyDescent="0.25">
      <c r="A99" s="214" t="s">
        <v>2642</v>
      </c>
      <c r="B99" s="64">
        <v>91.9</v>
      </c>
      <c r="C99" s="64">
        <v>1.26</v>
      </c>
      <c r="D99" s="64">
        <v>58.45</v>
      </c>
      <c r="E99" s="64">
        <v>6.41</v>
      </c>
      <c r="F99" s="64">
        <v>2.4500000000000002</v>
      </c>
      <c r="G99" s="64">
        <v>80.88</v>
      </c>
      <c r="H99" s="64">
        <v>38.5</v>
      </c>
      <c r="I99" s="64">
        <v>6.5</v>
      </c>
      <c r="J99" s="64">
        <v>0.44</v>
      </c>
      <c r="K99" s="64">
        <v>338.63</v>
      </c>
      <c r="L99" s="64">
        <v>7.91</v>
      </c>
      <c r="M99" s="64">
        <v>101.89</v>
      </c>
      <c r="N99" s="64">
        <v>29.4</v>
      </c>
      <c r="O99" s="64">
        <v>0</v>
      </c>
      <c r="P99" s="64">
        <v>2.39</v>
      </c>
      <c r="Q99" s="64">
        <v>9.67</v>
      </c>
      <c r="R99" s="198"/>
      <c r="S99" s="198"/>
      <c r="T99" s="198"/>
      <c r="U99" s="198"/>
    </row>
    <row r="100" spans="1:33" s="12" customFormat="1" x14ac:dyDescent="0.25">
      <c r="A100" s="214" t="s">
        <v>2643</v>
      </c>
      <c r="B100" s="64">
        <v>97.28</v>
      </c>
      <c r="C100" s="64">
        <v>1.26</v>
      </c>
      <c r="D100" s="64">
        <v>61.02</v>
      </c>
      <c r="E100" s="64">
        <v>6.66</v>
      </c>
      <c r="F100" s="64">
        <v>2.29</v>
      </c>
      <c r="G100" s="64">
        <v>84.68</v>
      </c>
      <c r="H100" s="64">
        <v>38.89</v>
      </c>
      <c r="I100" s="64">
        <v>6.46</v>
      </c>
      <c r="J100" s="64">
        <v>0.11</v>
      </c>
      <c r="K100" s="64">
        <v>309.25</v>
      </c>
      <c r="L100" s="64">
        <v>7.85</v>
      </c>
      <c r="M100" s="64">
        <v>98.91</v>
      </c>
      <c r="N100" s="64">
        <v>29.2</v>
      </c>
      <c r="O100" s="64">
        <v>0</v>
      </c>
      <c r="P100" s="64">
        <v>2.5</v>
      </c>
      <c r="Q100" s="64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2644</v>
      </c>
      <c r="B101" s="64">
        <v>99.67</v>
      </c>
      <c r="C101" s="64">
        <v>1.26</v>
      </c>
      <c r="D101" s="64">
        <v>62.12</v>
      </c>
      <c r="E101" s="64">
        <v>6.43</v>
      </c>
      <c r="F101" s="64">
        <v>2.13</v>
      </c>
      <c r="G101" s="64">
        <v>87.85</v>
      </c>
      <c r="H101" s="64">
        <v>39.19</v>
      </c>
      <c r="I101" s="64">
        <v>6.56</v>
      </c>
      <c r="J101" s="64">
        <v>0.49</v>
      </c>
      <c r="K101" s="64">
        <v>346.74</v>
      </c>
      <c r="L101" s="64">
        <v>7.83</v>
      </c>
      <c r="M101" s="64">
        <v>100.01</v>
      </c>
      <c r="N101" s="64">
        <v>29.5</v>
      </c>
      <c r="O101" s="64">
        <v>0</v>
      </c>
      <c r="P101" s="64">
        <v>2.56</v>
      </c>
      <c r="Q101" s="64">
        <v>9.7100000000000009</v>
      </c>
      <c r="R101" s="198"/>
      <c r="S101" s="198"/>
      <c r="T101" s="198"/>
      <c r="U101" s="198"/>
    </row>
    <row r="102" spans="1:33" s="12" customFormat="1" x14ac:dyDescent="0.25">
      <c r="A102" s="214" t="s">
        <v>2645</v>
      </c>
      <c r="B102" s="64">
        <v>101.5</v>
      </c>
      <c r="C102" s="64">
        <v>1.26</v>
      </c>
      <c r="D102" s="64">
        <v>62.96</v>
      </c>
      <c r="E102" s="64">
        <v>6.56</v>
      </c>
      <c r="F102" s="64">
        <v>2.23</v>
      </c>
      <c r="G102" s="64">
        <v>87.85</v>
      </c>
      <c r="H102" s="64">
        <v>39.19</v>
      </c>
      <c r="I102" s="64">
        <v>6.77</v>
      </c>
      <c r="J102" s="64">
        <v>0.3</v>
      </c>
      <c r="K102" s="64">
        <v>104.16</v>
      </c>
      <c r="L102" s="64">
        <v>7.54</v>
      </c>
      <c r="M102" s="64">
        <v>102.23</v>
      </c>
      <c r="N102" s="64">
        <v>29.4</v>
      </c>
      <c r="O102" s="64">
        <v>0</v>
      </c>
      <c r="P102" s="64">
        <v>2.62</v>
      </c>
      <c r="Q102" s="64">
        <v>9.6999999999999993</v>
      </c>
      <c r="R102" s="198"/>
      <c r="S102" s="198"/>
      <c r="T102" s="198"/>
      <c r="U102" s="198"/>
    </row>
    <row r="103" spans="1:33" s="12" customFormat="1" x14ac:dyDescent="0.25">
      <c r="A103" s="214" t="s">
        <v>2646</v>
      </c>
      <c r="B103" s="64">
        <v>102.85</v>
      </c>
      <c r="C103" s="64">
        <v>1.26</v>
      </c>
      <c r="D103" s="64">
        <v>63.46</v>
      </c>
      <c r="E103" s="64">
        <v>6.43</v>
      </c>
      <c r="F103" s="64">
        <v>2.31</v>
      </c>
      <c r="G103" s="64">
        <v>87.85</v>
      </c>
      <c r="H103" s="64">
        <v>39.19</v>
      </c>
      <c r="I103" s="64">
        <v>6.9</v>
      </c>
      <c r="J103" s="64">
        <v>0.16</v>
      </c>
      <c r="K103" s="64">
        <v>293.14999999999998</v>
      </c>
      <c r="L103" s="64">
        <v>7.44</v>
      </c>
      <c r="M103" s="64">
        <v>101.5</v>
      </c>
      <c r="N103" s="64">
        <v>29.3</v>
      </c>
      <c r="O103" s="64">
        <v>0</v>
      </c>
      <c r="P103" s="64">
        <v>2.64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4" t="s">
        <v>2647</v>
      </c>
      <c r="B104" s="64">
        <v>103.69</v>
      </c>
      <c r="C104" s="64">
        <v>1.26</v>
      </c>
      <c r="D104" s="64">
        <v>63.77</v>
      </c>
      <c r="E104" s="64">
        <v>6.05</v>
      </c>
      <c r="F104" s="64">
        <v>2.11</v>
      </c>
      <c r="G104" s="64">
        <v>88.56</v>
      </c>
      <c r="H104" s="64">
        <v>40.43</v>
      </c>
      <c r="I104" s="64">
        <v>7.02</v>
      </c>
      <c r="J104" s="64">
        <v>0.33</v>
      </c>
      <c r="K104" s="64">
        <v>271.89</v>
      </c>
      <c r="L104" s="64">
        <v>7.34</v>
      </c>
      <c r="M104" s="64">
        <v>99.32</v>
      </c>
      <c r="N104" s="64">
        <v>29.5</v>
      </c>
      <c r="O104" s="64">
        <v>0</v>
      </c>
      <c r="P104" s="64">
        <v>2.67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1.1299999999999999</v>
      </c>
      <c r="C106" s="67">
        <f>MIN(C9:C104)</f>
        <v>0.37</v>
      </c>
      <c r="D106" s="67">
        <f t="shared" ref="D106:Q106" si="0">MIN(D9:D104)</f>
        <v>0.93</v>
      </c>
      <c r="E106" s="67">
        <f t="shared" si="0"/>
        <v>4.58</v>
      </c>
      <c r="F106" s="67">
        <f t="shared" si="0"/>
        <v>2.11</v>
      </c>
      <c r="G106" s="67">
        <f t="shared" si="0"/>
        <v>15.68</v>
      </c>
      <c r="H106" s="67">
        <f t="shared" si="0"/>
        <v>5.79</v>
      </c>
      <c r="I106" s="67">
        <f t="shared" si="0"/>
        <v>1.31</v>
      </c>
      <c r="J106" s="67">
        <f t="shared" si="0"/>
        <v>0.06</v>
      </c>
      <c r="K106" s="67">
        <f t="shared" si="0"/>
        <v>4.0999999999999996</v>
      </c>
      <c r="L106" s="67">
        <f t="shared" si="0"/>
        <v>5.52</v>
      </c>
      <c r="M106" s="67">
        <f t="shared" si="0"/>
        <v>26.55</v>
      </c>
      <c r="N106" s="67">
        <f t="shared" si="0"/>
        <v>29.2</v>
      </c>
      <c r="O106" s="67">
        <f t="shared" si="0"/>
        <v>0</v>
      </c>
      <c r="P106" s="67">
        <f t="shared" si="0"/>
        <v>0.43</v>
      </c>
      <c r="Q106" s="67">
        <f t="shared" si="0"/>
        <v>9.27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171.78</v>
      </c>
      <c r="C107" s="66">
        <f t="shared" ref="C107:Q107" si="1">MAX(C9:C104)</f>
        <v>31.15</v>
      </c>
      <c r="D107" s="66">
        <f t="shared" si="1"/>
        <v>102.47</v>
      </c>
      <c r="E107" s="66">
        <f t="shared" si="1"/>
        <v>32.01</v>
      </c>
      <c r="F107" s="66">
        <f t="shared" si="1"/>
        <v>13.96</v>
      </c>
      <c r="G107" s="66">
        <f t="shared" si="1"/>
        <v>108.59</v>
      </c>
      <c r="H107" s="66">
        <f t="shared" si="1"/>
        <v>50.01</v>
      </c>
      <c r="I107" s="66">
        <f t="shared" si="1"/>
        <v>11.83</v>
      </c>
      <c r="J107" s="66">
        <f t="shared" si="1"/>
        <v>2.4300000000000002</v>
      </c>
      <c r="K107" s="66">
        <f t="shared" si="1"/>
        <v>357.93</v>
      </c>
      <c r="L107" s="66">
        <f t="shared" si="1"/>
        <v>21.46</v>
      </c>
      <c r="M107" s="66">
        <f t="shared" si="1"/>
        <v>102.23</v>
      </c>
      <c r="N107" s="66">
        <f t="shared" si="1"/>
        <v>525.5</v>
      </c>
      <c r="O107" s="66">
        <f t="shared" si="1"/>
        <v>0</v>
      </c>
      <c r="P107" s="66">
        <f t="shared" si="1"/>
        <v>3.65</v>
      </c>
      <c r="Q107" s="66">
        <f t="shared" si="1"/>
        <v>9.76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30.957395833333347</v>
      </c>
      <c r="C108" s="67">
        <f t="shared" ref="C108:Q108" si="2">AVERAGE(C9:C104)</f>
        <v>8.8507291666666639</v>
      </c>
      <c r="D108" s="67">
        <f t="shared" si="2"/>
        <v>24.181041666666655</v>
      </c>
      <c r="E108" s="67">
        <f t="shared" si="2"/>
        <v>7.6834374999999957</v>
      </c>
      <c r="F108" s="67">
        <f t="shared" si="2"/>
        <v>3.8739583333333338</v>
      </c>
      <c r="G108" s="67">
        <f t="shared" si="2"/>
        <v>50.537812499999994</v>
      </c>
      <c r="H108" s="67">
        <f t="shared" si="2"/>
        <v>24.833124999999992</v>
      </c>
      <c r="I108" s="67">
        <f t="shared" si="2"/>
        <v>5.5728124999999951</v>
      </c>
      <c r="J108" s="67">
        <f t="shared" si="2"/>
        <v>0.65781250000000002</v>
      </c>
      <c r="K108" s="67">
        <f t="shared" si="2"/>
        <v>207.61385416666675</v>
      </c>
      <c r="L108" s="67">
        <f t="shared" si="2"/>
        <v>11.142604166666665</v>
      </c>
      <c r="M108" s="67">
        <f t="shared" si="2"/>
        <v>69.63437500000002</v>
      </c>
      <c r="N108" s="67">
        <f t="shared" si="2"/>
        <v>140.01041666666669</v>
      </c>
      <c r="O108" s="67">
        <f t="shared" si="2"/>
        <v>0</v>
      </c>
      <c r="P108" s="67">
        <f t="shared" si="2"/>
        <v>1.6416666666666659</v>
      </c>
      <c r="Q108" s="67">
        <f t="shared" si="2"/>
        <v>9.5676041666666674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50.698139221428576</v>
      </c>
      <c r="C109" s="67">
        <f t="shared" ref="C109:Q109" si="3">STDEV(C9:C104)</f>
        <v>10.134298328972454</v>
      </c>
      <c r="D109" s="67">
        <f t="shared" si="3"/>
        <v>29.1284707705335</v>
      </c>
      <c r="E109" s="67">
        <f t="shared" si="3"/>
        <v>5.1589482461621037</v>
      </c>
      <c r="F109" s="67">
        <f t="shared" si="3"/>
        <v>2.7946235898188383</v>
      </c>
      <c r="G109" s="67">
        <f t="shared" si="3"/>
        <v>23.808672290094353</v>
      </c>
      <c r="H109" s="67">
        <f t="shared" si="3"/>
        <v>12.962368717296961</v>
      </c>
      <c r="I109" s="67">
        <f t="shared" si="3"/>
        <v>3.2630530434661558</v>
      </c>
      <c r="J109" s="67">
        <f t="shared" si="3"/>
        <v>0.52049208118755041</v>
      </c>
      <c r="K109" s="67">
        <f t="shared" si="3"/>
        <v>114.59477824394293</v>
      </c>
      <c r="L109" s="67">
        <f t="shared" si="3"/>
        <v>4.5851949955187195</v>
      </c>
      <c r="M109" s="67">
        <f t="shared" si="3"/>
        <v>25.656978852074349</v>
      </c>
      <c r="N109" s="67">
        <f t="shared" si="3"/>
        <v>162.80658817599729</v>
      </c>
      <c r="O109" s="67">
        <f t="shared" si="3"/>
        <v>0</v>
      </c>
      <c r="P109" s="67">
        <f t="shared" si="3"/>
        <v>0.9508784488889237</v>
      </c>
      <c r="Q109" s="67">
        <f t="shared" si="3"/>
        <v>0.15933245476157992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2648</v>
      </c>
      <c r="B9" s="64">
        <v>103.67</v>
      </c>
      <c r="C9" s="64">
        <v>11.38</v>
      </c>
      <c r="D9" s="64">
        <v>63.35</v>
      </c>
      <c r="E9" s="64">
        <v>5.76</v>
      </c>
      <c r="F9" s="64">
        <v>2.13</v>
      </c>
      <c r="G9" s="64">
        <v>89.19</v>
      </c>
      <c r="H9" s="64">
        <v>40.909999999999997</v>
      </c>
      <c r="I9" s="64">
        <v>7.75</v>
      </c>
      <c r="J9" s="64">
        <v>0.15</v>
      </c>
      <c r="K9" s="64">
        <v>338.59</v>
      </c>
      <c r="L9" s="64">
        <v>7.14</v>
      </c>
      <c r="M9" s="64">
        <v>98.5</v>
      </c>
      <c r="N9" s="64">
        <v>29.3</v>
      </c>
      <c r="O9" s="64">
        <v>0</v>
      </c>
      <c r="P9" s="64">
        <v>2.7</v>
      </c>
      <c r="Q9" s="64">
        <v>9.69</v>
      </c>
      <c r="R9" s="198"/>
      <c r="S9" s="198"/>
      <c r="T9" s="198"/>
      <c r="U9" s="198"/>
    </row>
    <row r="10" spans="1:21" s="12" customFormat="1" x14ac:dyDescent="0.25">
      <c r="A10" s="214" t="s">
        <v>2649</v>
      </c>
      <c r="B10" s="64">
        <v>103.5</v>
      </c>
      <c r="C10" s="64">
        <v>11.75</v>
      </c>
      <c r="D10" s="64">
        <v>63.21</v>
      </c>
      <c r="E10" s="64">
        <v>5.85</v>
      </c>
      <c r="F10" s="64">
        <v>2.14</v>
      </c>
      <c r="G10" s="64">
        <v>89.19</v>
      </c>
      <c r="H10" s="64">
        <v>40.909999999999997</v>
      </c>
      <c r="I10" s="64">
        <v>8.19</v>
      </c>
      <c r="J10" s="64">
        <v>0.47</v>
      </c>
      <c r="K10" s="64">
        <v>279.69</v>
      </c>
      <c r="L10" s="64">
        <v>6.96</v>
      </c>
      <c r="M10" s="64">
        <v>98.28</v>
      </c>
      <c r="N10" s="64">
        <v>29.1</v>
      </c>
      <c r="O10" s="64">
        <v>0</v>
      </c>
      <c r="P10" s="64">
        <v>2.74</v>
      </c>
      <c r="Q10" s="64">
        <v>9.7200000000000006</v>
      </c>
      <c r="R10" s="198"/>
      <c r="S10" s="198"/>
      <c r="T10" s="198"/>
      <c r="U10" s="198"/>
    </row>
    <row r="11" spans="1:21" s="12" customFormat="1" x14ac:dyDescent="0.25">
      <c r="A11" s="214" t="s">
        <v>2650</v>
      </c>
      <c r="B11" s="64">
        <v>101.46</v>
      </c>
      <c r="C11" s="64">
        <v>11.87</v>
      </c>
      <c r="D11" s="64">
        <v>62.15</v>
      </c>
      <c r="E11" s="64">
        <v>5.8</v>
      </c>
      <c r="F11" s="64">
        <v>2.2200000000000002</v>
      </c>
      <c r="G11" s="64">
        <v>89.19</v>
      </c>
      <c r="H11" s="64">
        <v>40.909999999999997</v>
      </c>
      <c r="I11" s="64">
        <v>7.73</v>
      </c>
      <c r="J11" s="64">
        <v>0.49</v>
      </c>
      <c r="K11" s="64">
        <v>273.27999999999997</v>
      </c>
      <c r="L11" s="64">
        <v>7.07</v>
      </c>
      <c r="M11" s="64">
        <v>96.95</v>
      </c>
      <c r="N11" s="64">
        <v>29.1</v>
      </c>
      <c r="O11" s="64">
        <v>0</v>
      </c>
      <c r="P11" s="64">
        <v>2.72</v>
      </c>
      <c r="Q11" s="64">
        <v>9.7100000000000009</v>
      </c>
      <c r="R11" s="198"/>
      <c r="S11" s="198"/>
      <c r="T11" s="198"/>
      <c r="U11" s="198"/>
    </row>
    <row r="12" spans="1:21" s="12" customFormat="1" x14ac:dyDescent="0.25">
      <c r="A12" s="214" t="s">
        <v>2651</v>
      </c>
      <c r="B12" s="64">
        <v>98.24</v>
      </c>
      <c r="C12" s="64">
        <v>12.33</v>
      </c>
      <c r="D12" s="64">
        <v>60.56</v>
      </c>
      <c r="E12" s="64">
        <v>5.76</v>
      </c>
      <c r="F12" s="64">
        <v>2.33</v>
      </c>
      <c r="G12" s="64">
        <v>84.39</v>
      </c>
      <c r="H12" s="64">
        <v>38.39</v>
      </c>
      <c r="I12" s="64">
        <v>7.55</v>
      </c>
      <c r="J12" s="64">
        <v>0.41</v>
      </c>
      <c r="K12" s="64">
        <v>313.27999999999997</v>
      </c>
      <c r="L12" s="64">
        <v>7.11</v>
      </c>
      <c r="M12" s="64">
        <v>96.5</v>
      </c>
      <c r="N12" s="64">
        <v>29.3</v>
      </c>
      <c r="O12" s="64">
        <v>0</v>
      </c>
      <c r="P12" s="64">
        <v>2.69</v>
      </c>
      <c r="Q12" s="64">
        <v>9.6999999999999993</v>
      </c>
      <c r="R12" s="198"/>
      <c r="S12" s="198"/>
      <c r="T12" s="198"/>
      <c r="U12" s="198"/>
    </row>
    <row r="13" spans="1:21" s="12" customFormat="1" x14ac:dyDescent="0.25">
      <c r="A13" s="214" t="s">
        <v>2652</v>
      </c>
      <c r="B13" s="64">
        <v>95.05</v>
      </c>
      <c r="C13" s="64">
        <v>13.06</v>
      </c>
      <c r="D13" s="64">
        <v>58.81</v>
      </c>
      <c r="E13" s="64">
        <v>5.62</v>
      </c>
      <c r="F13" s="64">
        <v>2.54</v>
      </c>
      <c r="G13" s="64">
        <v>80.2</v>
      </c>
      <c r="H13" s="64">
        <v>37.4</v>
      </c>
      <c r="I13" s="64">
        <v>8.08</v>
      </c>
      <c r="J13" s="64">
        <v>0.2</v>
      </c>
      <c r="K13" s="64">
        <v>123.73</v>
      </c>
      <c r="L13" s="64">
        <v>7.03</v>
      </c>
      <c r="M13" s="64">
        <v>96.16</v>
      </c>
      <c r="N13" s="64">
        <v>29.4</v>
      </c>
      <c r="O13" s="64">
        <v>0</v>
      </c>
      <c r="P13" s="64">
        <v>2.21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4" t="s">
        <v>2653</v>
      </c>
      <c r="B14" s="64">
        <v>103.85</v>
      </c>
      <c r="C14" s="64">
        <v>13.84</v>
      </c>
      <c r="D14" s="64">
        <v>67.11</v>
      </c>
      <c r="E14" s="64">
        <v>5.66</v>
      </c>
      <c r="F14" s="64">
        <v>2.34</v>
      </c>
      <c r="G14" s="64">
        <v>80.2</v>
      </c>
      <c r="H14" s="64">
        <v>37.4</v>
      </c>
      <c r="I14" s="64">
        <v>7.63</v>
      </c>
      <c r="J14" s="64">
        <v>0.28999999999999998</v>
      </c>
      <c r="K14" s="64">
        <v>212.06</v>
      </c>
      <c r="L14" s="64">
        <v>7.03</v>
      </c>
      <c r="M14" s="64">
        <v>95.92</v>
      </c>
      <c r="N14" s="64">
        <v>29.1</v>
      </c>
      <c r="O14" s="64">
        <v>0</v>
      </c>
      <c r="P14" s="64">
        <v>2.2799999999999998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4" t="s">
        <v>2654</v>
      </c>
      <c r="B15" s="64">
        <v>103.36</v>
      </c>
      <c r="C15" s="64">
        <v>14.51</v>
      </c>
      <c r="D15" s="64">
        <v>66.64</v>
      </c>
      <c r="E15" s="64">
        <v>5.9</v>
      </c>
      <c r="F15" s="64">
        <v>2.74</v>
      </c>
      <c r="G15" s="64">
        <v>80.2</v>
      </c>
      <c r="H15" s="64">
        <v>37.4</v>
      </c>
      <c r="I15" s="64">
        <v>7.32</v>
      </c>
      <c r="J15" s="64">
        <v>0.23</v>
      </c>
      <c r="K15" s="64">
        <v>286.93</v>
      </c>
      <c r="L15" s="64">
        <v>6.95</v>
      </c>
      <c r="M15" s="64">
        <v>97</v>
      </c>
      <c r="N15" s="64">
        <v>29.3</v>
      </c>
      <c r="O15" s="64">
        <v>0</v>
      </c>
      <c r="P15" s="64">
        <v>2.2200000000000002</v>
      </c>
      <c r="Q15" s="64">
        <v>9.69</v>
      </c>
      <c r="R15" s="198"/>
      <c r="S15" s="198"/>
      <c r="T15" s="198"/>
      <c r="U15" s="198"/>
    </row>
    <row r="16" spans="1:21" s="12" customFormat="1" x14ac:dyDescent="0.25">
      <c r="A16" s="214" t="s">
        <v>2655</v>
      </c>
      <c r="B16" s="64">
        <v>100.15</v>
      </c>
      <c r="C16" s="64">
        <v>15.17</v>
      </c>
      <c r="D16" s="64">
        <v>65.150000000000006</v>
      </c>
      <c r="E16" s="64">
        <v>5.49</v>
      </c>
      <c r="F16" s="64">
        <v>2.4700000000000002</v>
      </c>
      <c r="G16" s="64">
        <v>72.77</v>
      </c>
      <c r="H16" s="64">
        <v>35.14</v>
      </c>
      <c r="I16" s="64">
        <v>7.26</v>
      </c>
      <c r="J16" s="64">
        <v>0.13</v>
      </c>
      <c r="K16" s="64">
        <v>211.9</v>
      </c>
      <c r="L16" s="64">
        <v>6.86</v>
      </c>
      <c r="M16" s="64">
        <v>98.69</v>
      </c>
      <c r="N16" s="64">
        <v>29.3</v>
      </c>
      <c r="O16" s="64">
        <v>0</v>
      </c>
      <c r="P16" s="64">
        <v>2.19</v>
      </c>
      <c r="Q16" s="64">
        <v>9.69</v>
      </c>
      <c r="R16" s="198"/>
      <c r="S16" s="198"/>
      <c r="T16" s="198"/>
      <c r="U16" s="198"/>
    </row>
    <row r="17" spans="1:21" s="12" customFormat="1" x14ac:dyDescent="0.25">
      <c r="A17" s="214" t="s">
        <v>2656</v>
      </c>
      <c r="B17" s="64">
        <v>97.01</v>
      </c>
      <c r="C17" s="64">
        <v>15.74</v>
      </c>
      <c r="D17" s="64">
        <v>63.48</v>
      </c>
      <c r="E17" s="64">
        <v>5.73</v>
      </c>
      <c r="F17" s="64">
        <v>2.42</v>
      </c>
      <c r="G17" s="64">
        <v>66.28</v>
      </c>
      <c r="H17" s="64">
        <v>34.24</v>
      </c>
      <c r="I17" s="64">
        <v>7.79</v>
      </c>
      <c r="J17" s="64">
        <v>0.37</v>
      </c>
      <c r="K17" s="64">
        <v>157.26</v>
      </c>
      <c r="L17" s="64">
        <v>6.94</v>
      </c>
      <c r="M17" s="64">
        <v>98.89</v>
      </c>
      <c r="N17" s="64">
        <v>28.7</v>
      </c>
      <c r="O17" s="64">
        <v>0</v>
      </c>
      <c r="P17" s="64">
        <v>2.13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4" t="s">
        <v>2657</v>
      </c>
      <c r="B18" s="64">
        <v>94.04</v>
      </c>
      <c r="C18" s="64">
        <v>16.39</v>
      </c>
      <c r="D18" s="64">
        <v>61.77</v>
      </c>
      <c r="E18" s="64">
        <v>5.45</v>
      </c>
      <c r="F18" s="64">
        <v>2.46</v>
      </c>
      <c r="G18" s="64">
        <v>66.28</v>
      </c>
      <c r="H18" s="64">
        <v>34.24</v>
      </c>
      <c r="I18" s="64">
        <v>7.38</v>
      </c>
      <c r="J18" s="64">
        <v>0.4</v>
      </c>
      <c r="K18" s="64">
        <v>305.88</v>
      </c>
      <c r="L18" s="64">
        <v>6.71</v>
      </c>
      <c r="M18" s="64">
        <v>99.15</v>
      </c>
      <c r="N18" s="64">
        <v>29.9</v>
      </c>
      <c r="O18" s="64">
        <v>0</v>
      </c>
      <c r="P18" s="64">
        <v>2.09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4" t="s">
        <v>2658</v>
      </c>
      <c r="B19" s="64">
        <v>91.19</v>
      </c>
      <c r="C19" s="64">
        <v>16.899999999999999</v>
      </c>
      <c r="D19" s="64">
        <v>60.15</v>
      </c>
      <c r="E19" s="64">
        <v>5.34</v>
      </c>
      <c r="F19" s="64">
        <v>2.64</v>
      </c>
      <c r="G19" s="64">
        <v>66.28</v>
      </c>
      <c r="H19" s="64">
        <v>34.24</v>
      </c>
      <c r="I19" s="64">
        <v>7.14</v>
      </c>
      <c r="J19" s="64">
        <v>0.25</v>
      </c>
      <c r="K19" s="64">
        <v>237.14</v>
      </c>
      <c r="L19" s="64">
        <v>6.21</v>
      </c>
      <c r="M19" s="64">
        <v>98.16</v>
      </c>
      <c r="N19" s="64">
        <v>29.5</v>
      </c>
      <c r="O19" s="64">
        <v>0</v>
      </c>
      <c r="P19" s="64">
        <v>2.0699999999999998</v>
      </c>
      <c r="Q19" s="64">
        <v>9.67</v>
      </c>
      <c r="R19" s="198"/>
      <c r="S19" s="198"/>
      <c r="T19" s="198"/>
      <c r="U19" s="198"/>
    </row>
    <row r="20" spans="1:21" s="12" customFormat="1" x14ac:dyDescent="0.25">
      <c r="A20" s="214" t="s">
        <v>2659</v>
      </c>
      <c r="B20" s="64">
        <v>88.52</v>
      </c>
      <c r="C20" s="64">
        <v>17.04</v>
      </c>
      <c r="D20" s="64">
        <v>58.67</v>
      </c>
      <c r="E20" s="64">
        <v>5.27</v>
      </c>
      <c r="F20" s="64">
        <v>2.2599999999999998</v>
      </c>
      <c r="G20" s="64">
        <v>71.88</v>
      </c>
      <c r="H20" s="64">
        <v>36.03</v>
      </c>
      <c r="I20" s="64">
        <v>7.19</v>
      </c>
      <c r="J20" s="64">
        <v>0.17</v>
      </c>
      <c r="K20" s="64">
        <v>183.32</v>
      </c>
      <c r="L20" s="64">
        <v>5.97</v>
      </c>
      <c r="M20" s="64">
        <v>97.41</v>
      </c>
      <c r="N20" s="64">
        <v>29.5</v>
      </c>
      <c r="O20" s="64">
        <v>0</v>
      </c>
      <c r="P20" s="64">
        <v>2.0699999999999998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4" t="s">
        <v>2660</v>
      </c>
      <c r="B21" s="64">
        <v>86.28</v>
      </c>
      <c r="C21" s="64">
        <v>17.670000000000002</v>
      </c>
      <c r="D21" s="64">
        <v>57.4</v>
      </c>
      <c r="E21" s="64">
        <v>5.34</v>
      </c>
      <c r="F21" s="64">
        <v>2.57</v>
      </c>
      <c r="G21" s="64">
        <v>76.56</v>
      </c>
      <c r="H21" s="64">
        <v>37.39</v>
      </c>
      <c r="I21" s="64">
        <v>7.26</v>
      </c>
      <c r="J21" s="64">
        <v>0.37</v>
      </c>
      <c r="K21" s="64">
        <v>121.9</v>
      </c>
      <c r="L21" s="64">
        <v>5.78</v>
      </c>
      <c r="M21" s="64">
        <v>97.6</v>
      </c>
      <c r="N21" s="64">
        <v>29.4</v>
      </c>
      <c r="O21" s="64">
        <v>0</v>
      </c>
      <c r="P21" s="64">
        <v>2.0699999999999998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4" t="s">
        <v>2661</v>
      </c>
      <c r="B22" s="64">
        <v>84</v>
      </c>
      <c r="C22" s="64">
        <v>18.29</v>
      </c>
      <c r="D22" s="64">
        <v>56.11</v>
      </c>
      <c r="E22" s="64">
        <v>5.21</v>
      </c>
      <c r="F22" s="64">
        <v>2.77</v>
      </c>
      <c r="G22" s="64">
        <v>76.56</v>
      </c>
      <c r="H22" s="64">
        <v>37.39</v>
      </c>
      <c r="I22" s="64">
        <v>7.33</v>
      </c>
      <c r="J22" s="64">
        <v>0.16</v>
      </c>
      <c r="K22" s="64">
        <v>249.26</v>
      </c>
      <c r="L22" s="64">
        <v>5.69</v>
      </c>
      <c r="M22" s="64">
        <v>98.07</v>
      </c>
      <c r="N22" s="64">
        <v>29.4</v>
      </c>
      <c r="O22" s="64">
        <v>0</v>
      </c>
      <c r="P22" s="64">
        <v>2.08</v>
      </c>
      <c r="Q22" s="64">
        <v>9.66</v>
      </c>
      <c r="R22" s="198"/>
      <c r="S22" s="198"/>
      <c r="T22" s="198"/>
      <c r="U22" s="198"/>
    </row>
    <row r="23" spans="1:21" s="12" customFormat="1" x14ac:dyDescent="0.25">
      <c r="A23" s="214" t="s">
        <v>2662</v>
      </c>
      <c r="B23" s="64">
        <v>82.34</v>
      </c>
      <c r="C23" s="64">
        <v>18.63</v>
      </c>
      <c r="D23" s="64">
        <v>55.24</v>
      </c>
      <c r="E23" s="64">
        <v>5.47</v>
      </c>
      <c r="F23" s="64">
        <v>2.84</v>
      </c>
      <c r="G23" s="64">
        <v>76.56</v>
      </c>
      <c r="H23" s="64">
        <v>37.39</v>
      </c>
      <c r="I23" s="64">
        <v>7.38</v>
      </c>
      <c r="J23" s="64">
        <v>0.47</v>
      </c>
      <c r="K23" s="64">
        <v>357.15</v>
      </c>
      <c r="L23" s="64">
        <v>5.56</v>
      </c>
      <c r="M23" s="64">
        <v>96.75</v>
      </c>
      <c r="N23" s="64">
        <v>29.4</v>
      </c>
      <c r="O23" s="64">
        <v>0</v>
      </c>
      <c r="P23" s="64">
        <v>2.1</v>
      </c>
      <c r="Q23" s="64">
        <v>9.66</v>
      </c>
      <c r="R23" s="198"/>
      <c r="S23" s="198"/>
      <c r="T23" s="198"/>
      <c r="U23" s="198"/>
    </row>
    <row r="24" spans="1:21" s="12" customFormat="1" x14ac:dyDescent="0.25">
      <c r="A24" s="214" t="s">
        <v>2663</v>
      </c>
      <c r="B24" s="64">
        <v>81.98</v>
      </c>
      <c r="C24" s="64">
        <v>19.03</v>
      </c>
      <c r="D24" s="64">
        <v>54.91</v>
      </c>
      <c r="E24" s="64">
        <v>5.0599999999999996</v>
      </c>
      <c r="F24" s="64">
        <v>2.78</v>
      </c>
      <c r="G24" s="64">
        <v>83.64</v>
      </c>
      <c r="H24" s="64">
        <v>40.89</v>
      </c>
      <c r="I24" s="64">
        <v>7.44</v>
      </c>
      <c r="J24" s="64">
        <v>0.26</v>
      </c>
      <c r="K24" s="64">
        <v>117.75</v>
      </c>
      <c r="L24" s="64">
        <v>5.44</v>
      </c>
      <c r="M24" s="64">
        <v>97.05</v>
      </c>
      <c r="N24" s="64">
        <v>29.4</v>
      </c>
      <c r="O24" s="64">
        <v>0</v>
      </c>
      <c r="P24" s="64">
        <v>2.13</v>
      </c>
      <c r="Q24" s="64">
        <v>9.67</v>
      </c>
      <c r="R24" s="198"/>
      <c r="S24" s="198"/>
      <c r="T24" s="198"/>
      <c r="U24" s="198"/>
    </row>
    <row r="25" spans="1:21" s="12" customFormat="1" x14ac:dyDescent="0.25">
      <c r="A25" s="214" t="s">
        <v>2664</v>
      </c>
      <c r="B25" s="64">
        <v>81.209999999999994</v>
      </c>
      <c r="C25" s="64">
        <v>19.010000000000002</v>
      </c>
      <c r="D25" s="64">
        <v>54.41</v>
      </c>
      <c r="E25" s="64">
        <v>5.36</v>
      </c>
      <c r="F25" s="64">
        <v>2.41</v>
      </c>
      <c r="G25" s="64">
        <v>89.56</v>
      </c>
      <c r="H25" s="64">
        <v>42.28</v>
      </c>
      <c r="I25" s="64">
        <v>7.53</v>
      </c>
      <c r="J25" s="64">
        <v>0.08</v>
      </c>
      <c r="K25" s="64">
        <v>312.20999999999998</v>
      </c>
      <c r="L25" s="64">
        <v>5.4</v>
      </c>
      <c r="M25" s="64">
        <v>97.13</v>
      </c>
      <c r="N25" s="64">
        <v>29.3</v>
      </c>
      <c r="O25" s="64">
        <v>0</v>
      </c>
      <c r="P25" s="64">
        <v>2.15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4" t="s">
        <v>2665</v>
      </c>
      <c r="B26" s="64">
        <v>81.209999999999994</v>
      </c>
      <c r="C26" s="64">
        <v>18.91</v>
      </c>
      <c r="D26" s="64">
        <v>54.1</v>
      </c>
      <c r="E26" s="64">
        <v>5.44</v>
      </c>
      <c r="F26" s="64">
        <v>2.5499999999999998</v>
      </c>
      <c r="G26" s="64">
        <v>89.56</v>
      </c>
      <c r="H26" s="64">
        <v>42.28</v>
      </c>
      <c r="I26" s="64">
        <v>7.61</v>
      </c>
      <c r="J26" s="64">
        <v>0.3</v>
      </c>
      <c r="K26" s="64">
        <v>107.49</v>
      </c>
      <c r="L26" s="64">
        <v>5.56</v>
      </c>
      <c r="M26" s="64">
        <v>97.17</v>
      </c>
      <c r="N26" s="64">
        <v>29</v>
      </c>
      <c r="O26" s="64">
        <v>0</v>
      </c>
      <c r="P26" s="64">
        <v>2.16</v>
      </c>
      <c r="Q26" s="64">
        <v>9.67</v>
      </c>
      <c r="R26" s="198"/>
      <c r="S26" s="198"/>
      <c r="T26" s="198"/>
      <c r="U26" s="198"/>
    </row>
    <row r="27" spans="1:21" s="12" customFormat="1" x14ac:dyDescent="0.25">
      <c r="A27" s="214" t="s">
        <v>2666</v>
      </c>
      <c r="B27" s="64">
        <v>80.790000000000006</v>
      </c>
      <c r="C27" s="64">
        <v>19.079999999999998</v>
      </c>
      <c r="D27" s="64">
        <v>53.76</v>
      </c>
      <c r="E27" s="64">
        <v>5.2</v>
      </c>
      <c r="F27" s="64">
        <v>2.11</v>
      </c>
      <c r="G27" s="64">
        <v>89.56</v>
      </c>
      <c r="H27" s="64">
        <v>42.28</v>
      </c>
      <c r="I27" s="64">
        <v>7.69</v>
      </c>
      <c r="J27" s="64">
        <v>0.46</v>
      </c>
      <c r="K27" s="64">
        <v>338.93</v>
      </c>
      <c r="L27" s="64">
        <v>5.81</v>
      </c>
      <c r="M27" s="64">
        <v>97.13</v>
      </c>
      <c r="N27" s="64">
        <v>28.8</v>
      </c>
      <c r="O27" s="64">
        <v>0</v>
      </c>
      <c r="P27" s="64">
        <v>2.2000000000000002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4" t="s">
        <v>2667</v>
      </c>
      <c r="B28" s="64">
        <v>78.95</v>
      </c>
      <c r="C28" s="64">
        <v>19.12</v>
      </c>
      <c r="D28" s="64">
        <v>53.09</v>
      </c>
      <c r="E28" s="64">
        <v>5.6</v>
      </c>
      <c r="F28" s="64">
        <v>2.13</v>
      </c>
      <c r="G28" s="64">
        <v>90.09</v>
      </c>
      <c r="H28" s="64">
        <v>43.92</v>
      </c>
      <c r="I28" s="64">
        <v>8.36</v>
      </c>
      <c r="J28" s="64">
        <v>0.34</v>
      </c>
      <c r="K28" s="64">
        <v>19.22</v>
      </c>
      <c r="L28" s="64">
        <v>6.06</v>
      </c>
      <c r="M28" s="64">
        <v>95.31</v>
      </c>
      <c r="N28" s="64">
        <v>29.1</v>
      </c>
      <c r="O28" s="64">
        <v>0</v>
      </c>
      <c r="P28" s="64">
        <v>2.2000000000000002</v>
      </c>
      <c r="Q28" s="64">
        <v>9.66</v>
      </c>
      <c r="R28" s="198"/>
      <c r="S28" s="198"/>
      <c r="T28" s="198"/>
      <c r="U28" s="198"/>
    </row>
    <row r="29" spans="1:21" s="12" customFormat="1" x14ac:dyDescent="0.25">
      <c r="A29" s="214" t="s">
        <v>2668</v>
      </c>
      <c r="B29" s="64">
        <v>76.16</v>
      </c>
      <c r="C29" s="64">
        <v>19.100000000000001</v>
      </c>
      <c r="D29" s="64">
        <v>51.81</v>
      </c>
      <c r="E29" s="64">
        <v>5.45</v>
      </c>
      <c r="F29" s="64">
        <v>2.4700000000000002</v>
      </c>
      <c r="G29" s="64">
        <v>90.56</v>
      </c>
      <c r="H29" s="64">
        <v>44.57</v>
      </c>
      <c r="I29" s="64">
        <v>8</v>
      </c>
      <c r="J29" s="64">
        <v>0.3</v>
      </c>
      <c r="K29" s="64">
        <v>82.91</v>
      </c>
      <c r="L29" s="64">
        <v>5.98</v>
      </c>
      <c r="M29" s="64">
        <v>92.66</v>
      </c>
      <c r="N29" s="64">
        <v>29.3</v>
      </c>
      <c r="O29" s="64">
        <v>0</v>
      </c>
      <c r="P29" s="64">
        <v>2.17</v>
      </c>
      <c r="Q29" s="64">
        <v>9.66</v>
      </c>
      <c r="R29" s="198"/>
      <c r="S29" s="198"/>
      <c r="T29" s="198"/>
      <c r="U29" s="198"/>
    </row>
    <row r="30" spans="1:21" s="12" customFormat="1" x14ac:dyDescent="0.25">
      <c r="A30" s="214" t="s">
        <v>2669</v>
      </c>
      <c r="B30" s="64">
        <v>73.12</v>
      </c>
      <c r="C30" s="64">
        <v>19.22</v>
      </c>
      <c r="D30" s="64">
        <v>50.34</v>
      </c>
      <c r="E30" s="64">
        <v>5.5</v>
      </c>
      <c r="F30" s="64">
        <v>2.38</v>
      </c>
      <c r="G30" s="64">
        <v>90.56</v>
      </c>
      <c r="H30" s="64">
        <v>44.57</v>
      </c>
      <c r="I30" s="64">
        <v>7.72</v>
      </c>
      <c r="J30" s="64">
        <v>0.21</v>
      </c>
      <c r="K30" s="64">
        <v>65.36</v>
      </c>
      <c r="L30" s="64">
        <v>5.86</v>
      </c>
      <c r="M30" s="64">
        <v>92.07</v>
      </c>
      <c r="N30" s="64">
        <v>29.4</v>
      </c>
      <c r="O30" s="64">
        <v>0</v>
      </c>
      <c r="P30" s="64">
        <v>2.11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4" t="s">
        <v>2670</v>
      </c>
      <c r="B31" s="64">
        <v>70.069999999999993</v>
      </c>
      <c r="C31" s="64">
        <v>19.34</v>
      </c>
      <c r="D31" s="64">
        <v>48.82</v>
      </c>
      <c r="E31" s="64">
        <v>5.47</v>
      </c>
      <c r="F31" s="64">
        <v>2.56</v>
      </c>
      <c r="G31" s="64">
        <v>90.56</v>
      </c>
      <c r="H31" s="64">
        <v>44.57</v>
      </c>
      <c r="I31" s="64">
        <v>7.58</v>
      </c>
      <c r="J31" s="64">
        <v>0.03</v>
      </c>
      <c r="K31" s="64">
        <v>66.08</v>
      </c>
      <c r="L31" s="64">
        <v>5.76</v>
      </c>
      <c r="M31" s="64">
        <v>91.83</v>
      </c>
      <c r="N31" s="64">
        <v>29.4</v>
      </c>
      <c r="O31" s="64">
        <v>0</v>
      </c>
      <c r="P31" s="64">
        <v>2.04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4" t="s">
        <v>2671</v>
      </c>
      <c r="B32" s="64">
        <v>67.400000000000006</v>
      </c>
      <c r="C32" s="64">
        <v>19.329999999999998</v>
      </c>
      <c r="D32" s="64">
        <v>47.47</v>
      </c>
      <c r="E32" s="64">
        <v>5.37</v>
      </c>
      <c r="F32" s="64">
        <v>2.39</v>
      </c>
      <c r="G32" s="64">
        <v>68.06</v>
      </c>
      <c r="H32" s="64">
        <v>39.729999999999997</v>
      </c>
      <c r="I32" s="64">
        <v>7.4</v>
      </c>
      <c r="J32" s="64">
        <v>0.15</v>
      </c>
      <c r="K32" s="64">
        <v>61.57</v>
      </c>
      <c r="L32" s="64">
        <v>5.81</v>
      </c>
      <c r="M32" s="64">
        <v>89.26</v>
      </c>
      <c r="N32" s="64">
        <v>29.2</v>
      </c>
      <c r="O32" s="64">
        <v>0</v>
      </c>
      <c r="P32" s="64">
        <v>1.98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4" t="s">
        <v>2672</v>
      </c>
      <c r="B33" s="64">
        <v>64.81</v>
      </c>
      <c r="C33" s="64">
        <v>19.100000000000001</v>
      </c>
      <c r="D33" s="64">
        <v>46.12</v>
      </c>
      <c r="E33" s="64">
        <v>5.41</v>
      </c>
      <c r="F33" s="64">
        <v>2.35</v>
      </c>
      <c r="G33" s="64">
        <v>49.24</v>
      </c>
      <c r="H33" s="64">
        <v>37.81</v>
      </c>
      <c r="I33" s="64">
        <v>7.76</v>
      </c>
      <c r="J33" s="64">
        <v>0.19</v>
      </c>
      <c r="K33" s="64">
        <v>71.260000000000005</v>
      </c>
      <c r="L33" s="64">
        <v>5.8</v>
      </c>
      <c r="M33" s="64">
        <v>87.75</v>
      </c>
      <c r="N33" s="64">
        <v>29.4</v>
      </c>
      <c r="O33" s="64">
        <v>0</v>
      </c>
      <c r="P33" s="64">
        <v>1.91</v>
      </c>
      <c r="Q33" s="64">
        <v>9.67</v>
      </c>
      <c r="R33" s="198"/>
      <c r="S33" s="198"/>
      <c r="T33" s="198"/>
      <c r="U33" s="198"/>
    </row>
    <row r="34" spans="1:21" s="12" customFormat="1" x14ac:dyDescent="0.25">
      <c r="A34" s="214" t="s">
        <v>2673</v>
      </c>
      <c r="B34" s="64">
        <v>62.51</v>
      </c>
      <c r="C34" s="64">
        <v>19.100000000000001</v>
      </c>
      <c r="D34" s="64">
        <v>44.95</v>
      </c>
      <c r="E34" s="64">
        <v>5.72</v>
      </c>
      <c r="F34" s="64">
        <v>2.5</v>
      </c>
      <c r="G34" s="64">
        <v>49.24</v>
      </c>
      <c r="H34" s="64">
        <v>37.81</v>
      </c>
      <c r="I34" s="64">
        <v>7.21</v>
      </c>
      <c r="J34" s="64">
        <v>0.33</v>
      </c>
      <c r="K34" s="64">
        <v>1.1599999999999999</v>
      </c>
      <c r="L34" s="64">
        <v>5.77</v>
      </c>
      <c r="M34" s="64">
        <v>87</v>
      </c>
      <c r="N34" s="64">
        <v>30.3</v>
      </c>
      <c r="O34" s="64">
        <v>0</v>
      </c>
      <c r="P34" s="64">
        <v>1.82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4" t="s">
        <v>2674</v>
      </c>
      <c r="B35" s="64">
        <v>60.93</v>
      </c>
      <c r="C35" s="64">
        <v>19.100000000000001</v>
      </c>
      <c r="D35" s="64">
        <v>44.2</v>
      </c>
      <c r="E35" s="64">
        <v>5.55</v>
      </c>
      <c r="F35" s="64">
        <v>2.58</v>
      </c>
      <c r="G35" s="64">
        <v>49.24</v>
      </c>
      <c r="H35" s="64">
        <v>37.81</v>
      </c>
      <c r="I35" s="64">
        <v>6.81</v>
      </c>
      <c r="J35" s="64">
        <v>0.49</v>
      </c>
      <c r="K35" s="64">
        <v>329.6</v>
      </c>
      <c r="L35" s="64">
        <v>5.82</v>
      </c>
      <c r="M35" s="64">
        <v>86.98</v>
      </c>
      <c r="N35" s="64">
        <v>33.799999999999997</v>
      </c>
      <c r="O35" s="64">
        <v>0</v>
      </c>
      <c r="P35" s="64">
        <v>1.71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4" t="s">
        <v>2675</v>
      </c>
      <c r="B36" s="64">
        <v>59.65</v>
      </c>
      <c r="C36" s="64">
        <v>19.100000000000001</v>
      </c>
      <c r="D36" s="64">
        <v>43.58</v>
      </c>
      <c r="E36" s="64">
        <v>5.35</v>
      </c>
      <c r="F36" s="64">
        <v>2.4500000000000002</v>
      </c>
      <c r="G36" s="64">
        <v>42.74</v>
      </c>
      <c r="H36" s="64">
        <v>34.020000000000003</v>
      </c>
      <c r="I36" s="64">
        <v>6.61</v>
      </c>
      <c r="J36" s="64">
        <v>0.14000000000000001</v>
      </c>
      <c r="K36" s="64">
        <v>338.88</v>
      </c>
      <c r="L36" s="64">
        <v>6.02</v>
      </c>
      <c r="M36" s="64">
        <v>85.52</v>
      </c>
      <c r="N36" s="64">
        <v>42</v>
      </c>
      <c r="O36" s="64">
        <v>0</v>
      </c>
      <c r="P36" s="64">
        <v>1.63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4" t="s">
        <v>2676</v>
      </c>
      <c r="B37" s="64">
        <v>58.43</v>
      </c>
      <c r="C37" s="64">
        <v>19.100000000000001</v>
      </c>
      <c r="D37" s="64">
        <v>43.1</v>
      </c>
      <c r="E37" s="64">
        <v>4.74</v>
      </c>
      <c r="F37" s="64">
        <v>2.25</v>
      </c>
      <c r="G37" s="64">
        <v>37.31</v>
      </c>
      <c r="H37" s="64">
        <v>31.15</v>
      </c>
      <c r="I37" s="64">
        <v>6.42</v>
      </c>
      <c r="J37" s="64">
        <v>0.1</v>
      </c>
      <c r="K37" s="64">
        <v>60.07</v>
      </c>
      <c r="L37" s="64">
        <v>6.45</v>
      </c>
      <c r="M37" s="64">
        <v>81.56</v>
      </c>
      <c r="N37" s="64">
        <v>52.2</v>
      </c>
      <c r="O37" s="64">
        <v>0</v>
      </c>
      <c r="P37" s="64">
        <v>1.63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4" t="s">
        <v>2677</v>
      </c>
      <c r="B38" s="64">
        <v>57.23</v>
      </c>
      <c r="C38" s="64">
        <v>0.23</v>
      </c>
      <c r="D38" s="64">
        <v>42.62</v>
      </c>
      <c r="E38" s="64">
        <v>5.12</v>
      </c>
      <c r="F38" s="64">
        <v>2.2999999999999998</v>
      </c>
      <c r="G38" s="64">
        <v>37.31</v>
      </c>
      <c r="H38" s="64">
        <v>31.15</v>
      </c>
      <c r="I38" s="64">
        <v>6.27</v>
      </c>
      <c r="J38" s="64">
        <v>0.15</v>
      </c>
      <c r="K38" s="64">
        <v>7.51</v>
      </c>
      <c r="L38" s="64">
        <v>7</v>
      </c>
      <c r="M38" s="64">
        <v>77.599999999999994</v>
      </c>
      <c r="N38" s="64">
        <v>64.099999999999994</v>
      </c>
      <c r="O38" s="64">
        <v>0</v>
      </c>
      <c r="P38" s="64">
        <v>1.65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4" t="s">
        <v>2678</v>
      </c>
      <c r="B39" s="64">
        <v>56.03</v>
      </c>
      <c r="C39" s="64">
        <v>1.2</v>
      </c>
      <c r="D39" s="64">
        <v>42.13</v>
      </c>
      <c r="E39" s="64">
        <v>5.17</v>
      </c>
      <c r="F39" s="64">
        <v>2.5499999999999998</v>
      </c>
      <c r="G39" s="64">
        <v>37.31</v>
      </c>
      <c r="H39" s="64">
        <v>31.15</v>
      </c>
      <c r="I39" s="64">
        <v>6.12</v>
      </c>
      <c r="J39" s="64">
        <v>0.69</v>
      </c>
      <c r="K39" s="64">
        <v>116.34</v>
      </c>
      <c r="L39" s="64">
        <v>7.54</v>
      </c>
      <c r="M39" s="64">
        <v>72.92</v>
      </c>
      <c r="N39" s="64">
        <v>112.4</v>
      </c>
      <c r="O39" s="64">
        <v>0</v>
      </c>
      <c r="P39" s="64">
        <v>1.58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4" t="s">
        <v>2679</v>
      </c>
      <c r="B40" s="64">
        <v>54.57</v>
      </c>
      <c r="C40" s="64">
        <v>2.0299999999999998</v>
      </c>
      <c r="D40" s="64">
        <v>41.45</v>
      </c>
      <c r="E40" s="64">
        <v>5.76</v>
      </c>
      <c r="F40" s="64">
        <v>2.5</v>
      </c>
      <c r="G40" s="64">
        <v>36.19</v>
      </c>
      <c r="H40" s="64">
        <v>26.46</v>
      </c>
      <c r="I40" s="64">
        <v>5.96</v>
      </c>
      <c r="J40" s="64">
        <v>0.37</v>
      </c>
      <c r="K40" s="64">
        <v>118.16</v>
      </c>
      <c r="L40" s="64">
        <v>9.08</v>
      </c>
      <c r="M40" s="64">
        <v>64.900000000000006</v>
      </c>
      <c r="N40" s="64">
        <v>178.8</v>
      </c>
      <c r="O40" s="64">
        <v>0</v>
      </c>
      <c r="P40" s="64">
        <v>1.51</v>
      </c>
      <c r="Q40" s="64">
        <v>9.6300000000000008</v>
      </c>
      <c r="R40" s="198"/>
      <c r="S40" s="198"/>
      <c r="T40" s="198"/>
      <c r="U40" s="198"/>
    </row>
    <row r="41" spans="1:21" s="12" customFormat="1" x14ac:dyDescent="0.25">
      <c r="A41" s="214" t="s">
        <v>2680</v>
      </c>
      <c r="B41" s="64">
        <v>53.42</v>
      </c>
      <c r="C41" s="64">
        <v>3.02</v>
      </c>
      <c r="D41" s="64">
        <v>40.9</v>
      </c>
      <c r="E41" s="64">
        <v>5.86</v>
      </c>
      <c r="F41" s="64">
        <v>2.8</v>
      </c>
      <c r="G41" s="64">
        <v>35.26</v>
      </c>
      <c r="H41" s="64">
        <v>24.6</v>
      </c>
      <c r="I41" s="64">
        <v>5.78</v>
      </c>
      <c r="J41" s="64">
        <v>0.57999999999999996</v>
      </c>
      <c r="K41" s="64">
        <v>113.37</v>
      </c>
      <c r="L41" s="64">
        <v>10.199999999999999</v>
      </c>
      <c r="M41" s="64">
        <v>59.65</v>
      </c>
      <c r="N41" s="64">
        <v>217.5</v>
      </c>
      <c r="O41" s="64">
        <v>0</v>
      </c>
      <c r="P41" s="64">
        <v>1.46</v>
      </c>
      <c r="Q41" s="64">
        <v>9.6300000000000008</v>
      </c>
      <c r="R41" s="198"/>
      <c r="S41" s="198"/>
      <c r="T41" s="198"/>
      <c r="U41" s="198"/>
    </row>
    <row r="42" spans="1:21" s="12" customFormat="1" x14ac:dyDescent="0.25">
      <c r="A42" s="214" t="s">
        <v>2681</v>
      </c>
      <c r="B42" s="64">
        <v>52.35</v>
      </c>
      <c r="C42" s="64">
        <v>3.95</v>
      </c>
      <c r="D42" s="64">
        <v>40.380000000000003</v>
      </c>
      <c r="E42" s="64">
        <v>5.75</v>
      </c>
      <c r="F42" s="64">
        <v>2.61</v>
      </c>
      <c r="G42" s="64">
        <v>35.26</v>
      </c>
      <c r="H42" s="64">
        <v>24.6</v>
      </c>
      <c r="I42" s="64">
        <v>5.63</v>
      </c>
      <c r="J42" s="64">
        <v>0.14000000000000001</v>
      </c>
      <c r="K42" s="64">
        <v>85.43</v>
      </c>
      <c r="L42" s="64">
        <v>11.78</v>
      </c>
      <c r="M42" s="64">
        <v>54.25</v>
      </c>
      <c r="N42" s="64">
        <v>250.1</v>
      </c>
      <c r="O42" s="64">
        <v>0</v>
      </c>
      <c r="P42" s="64">
        <v>1.42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2682</v>
      </c>
      <c r="B43" s="64">
        <v>51.33</v>
      </c>
      <c r="C43" s="64">
        <v>5.39</v>
      </c>
      <c r="D43" s="64">
        <v>39.94</v>
      </c>
      <c r="E43" s="64">
        <v>5.94</v>
      </c>
      <c r="F43" s="64">
        <v>2.5</v>
      </c>
      <c r="G43" s="64">
        <v>35.26</v>
      </c>
      <c r="H43" s="64">
        <v>24.6</v>
      </c>
      <c r="I43" s="64">
        <v>5.49</v>
      </c>
      <c r="J43" s="64">
        <v>0.75</v>
      </c>
      <c r="K43" s="64">
        <v>338.03</v>
      </c>
      <c r="L43" s="64">
        <v>14.73</v>
      </c>
      <c r="M43" s="64">
        <v>42.73</v>
      </c>
      <c r="N43" s="64">
        <v>280.39999999999998</v>
      </c>
      <c r="O43" s="64">
        <v>0</v>
      </c>
      <c r="P43" s="64">
        <v>1.38</v>
      </c>
      <c r="Q43" s="64">
        <v>9.61</v>
      </c>
      <c r="R43" s="198"/>
      <c r="S43" s="198"/>
      <c r="T43" s="198"/>
      <c r="U43" s="198"/>
    </row>
    <row r="44" spans="1:21" s="12" customFormat="1" x14ac:dyDescent="0.25">
      <c r="A44" s="214" t="s">
        <v>2683</v>
      </c>
      <c r="B44" s="64">
        <v>50.29</v>
      </c>
      <c r="C44" s="64">
        <v>5.39</v>
      </c>
      <c r="D44" s="64">
        <v>39.26</v>
      </c>
      <c r="E44" s="64">
        <v>5.66</v>
      </c>
      <c r="F44" s="64">
        <v>2.25</v>
      </c>
      <c r="G44" s="64">
        <v>34.49</v>
      </c>
      <c r="H44" s="64">
        <v>22.56</v>
      </c>
      <c r="I44" s="64">
        <v>5.36</v>
      </c>
      <c r="J44" s="64">
        <v>0.38</v>
      </c>
      <c r="K44" s="64">
        <v>5.45</v>
      </c>
      <c r="L44" s="64">
        <v>16.07</v>
      </c>
      <c r="M44" s="64">
        <v>37.979999999999997</v>
      </c>
      <c r="N44" s="64">
        <v>310.89999999999998</v>
      </c>
      <c r="O44" s="64">
        <v>0</v>
      </c>
      <c r="P44" s="64">
        <v>1.36</v>
      </c>
      <c r="Q44" s="64">
        <v>9.6300000000000008</v>
      </c>
      <c r="R44" s="198"/>
      <c r="S44" s="198"/>
      <c r="T44" s="198"/>
      <c r="U44" s="198"/>
    </row>
    <row r="45" spans="1:21" s="12" customFormat="1" x14ac:dyDescent="0.25">
      <c r="A45" s="214" t="s">
        <v>2684</v>
      </c>
      <c r="B45" s="64">
        <v>48.95</v>
      </c>
      <c r="C45" s="64">
        <v>0.08</v>
      </c>
      <c r="D45" s="64">
        <v>38.909999999999997</v>
      </c>
      <c r="E45" s="64">
        <v>5.6</v>
      </c>
      <c r="F45" s="64">
        <v>2.59</v>
      </c>
      <c r="G45" s="64">
        <v>33.82</v>
      </c>
      <c r="H45" s="64">
        <v>21.76</v>
      </c>
      <c r="I45" s="64">
        <v>5.24</v>
      </c>
      <c r="J45" s="64">
        <v>1.7</v>
      </c>
      <c r="K45" s="64">
        <v>119.29</v>
      </c>
      <c r="L45" s="64">
        <v>13.53</v>
      </c>
      <c r="M45" s="64">
        <v>45.42</v>
      </c>
      <c r="N45" s="64">
        <v>339.8</v>
      </c>
      <c r="O45" s="64">
        <v>0</v>
      </c>
      <c r="P45" s="64">
        <v>1.35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4" t="s">
        <v>2685</v>
      </c>
      <c r="B46" s="64">
        <v>47.07</v>
      </c>
      <c r="C46" s="64">
        <v>0.7</v>
      </c>
      <c r="D46" s="64">
        <v>38.11</v>
      </c>
      <c r="E46" s="64">
        <v>6.01</v>
      </c>
      <c r="F46" s="64">
        <v>2.56</v>
      </c>
      <c r="G46" s="64">
        <v>33.82</v>
      </c>
      <c r="H46" s="64">
        <v>21.76</v>
      </c>
      <c r="I46" s="64">
        <v>5.18</v>
      </c>
      <c r="J46" s="64">
        <v>1.43</v>
      </c>
      <c r="K46" s="64">
        <v>120.04</v>
      </c>
      <c r="L46" s="64">
        <v>13.27</v>
      </c>
      <c r="M46" s="64">
        <v>46.71</v>
      </c>
      <c r="N46" s="64">
        <v>354.3</v>
      </c>
      <c r="O46" s="64">
        <v>0</v>
      </c>
      <c r="P46" s="64">
        <v>1.34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4" t="s">
        <v>2686</v>
      </c>
      <c r="B47" s="64">
        <v>47.61</v>
      </c>
      <c r="C47" s="64">
        <v>0.36</v>
      </c>
      <c r="D47" s="64">
        <v>38.36</v>
      </c>
      <c r="E47" s="64">
        <v>5.89</v>
      </c>
      <c r="F47" s="64">
        <v>2.2200000000000002</v>
      </c>
      <c r="G47" s="64">
        <v>33.82</v>
      </c>
      <c r="H47" s="64">
        <v>21.76</v>
      </c>
      <c r="I47" s="64">
        <v>5.08</v>
      </c>
      <c r="J47" s="64">
        <v>1.06</v>
      </c>
      <c r="K47" s="64">
        <v>118.39</v>
      </c>
      <c r="L47" s="64">
        <v>13.59</v>
      </c>
      <c r="M47" s="64">
        <v>46.05</v>
      </c>
      <c r="N47" s="64">
        <v>371.2</v>
      </c>
      <c r="O47" s="64">
        <v>0</v>
      </c>
      <c r="P47" s="64">
        <v>1.32</v>
      </c>
      <c r="Q47" s="64">
        <v>9.65</v>
      </c>
      <c r="R47" s="198"/>
      <c r="S47" s="198"/>
      <c r="T47" s="198"/>
      <c r="U47" s="198"/>
    </row>
    <row r="48" spans="1:21" s="12" customFormat="1" x14ac:dyDescent="0.25">
      <c r="A48" s="214" t="s">
        <v>2687</v>
      </c>
      <c r="B48" s="64">
        <v>46.66</v>
      </c>
      <c r="C48" s="64">
        <v>1.27</v>
      </c>
      <c r="D48" s="64">
        <v>38.090000000000003</v>
      </c>
      <c r="E48" s="64">
        <v>5.58</v>
      </c>
      <c r="F48" s="64">
        <v>2.41</v>
      </c>
      <c r="G48" s="64">
        <v>34.950000000000003</v>
      </c>
      <c r="H48" s="64">
        <v>18.63</v>
      </c>
      <c r="I48" s="64">
        <v>4.99</v>
      </c>
      <c r="J48" s="64">
        <v>0.28000000000000003</v>
      </c>
      <c r="K48" s="64">
        <v>8.69</v>
      </c>
      <c r="L48" s="64">
        <v>16.68</v>
      </c>
      <c r="M48" s="64">
        <v>37.03</v>
      </c>
      <c r="N48" s="64">
        <v>378</v>
      </c>
      <c r="O48" s="64">
        <v>0</v>
      </c>
      <c r="P48" s="64">
        <v>1.28</v>
      </c>
      <c r="Q48" s="64">
        <v>9.6199999999999992</v>
      </c>
      <c r="R48" s="198"/>
      <c r="S48" s="198"/>
      <c r="T48" s="198"/>
      <c r="U48" s="198"/>
    </row>
    <row r="49" spans="1:21" s="12" customFormat="1" x14ac:dyDescent="0.25">
      <c r="A49" s="214" t="s">
        <v>2688</v>
      </c>
      <c r="B49" s="64">
        <v>40.79</v>
      </c>
      <c r="C49" s="64">
        <v>7.78</v>
      </c>
      <c r="D49" s="64">
        <v>36.78</v>
      </c>
      <c r="E49" s="64">
        <v>7.69</v>
      </c>
      <c r="F49" s="64">
        <v>2.57</v>
      </c>
      <c r="G49" s="64">
        <v>35.89</v>
      </c>
      <c r="H49" s="64">
        <v>17.39</v>
      </c>
      <c r="I49" s="64">
        <v>4.91</v>
      </c>
      <c r="J49" s="64">
        <v>0.18</v>
      </c>
      <c r="K49" s="64">
        <v>4.7</v>
      </c>
      <c r="L49" s="64">
        <v>17.43</v>
      </c>
      <c r="M49" s="64">
        <v>36</v>
      </c>
      <c r="N49" s="64">
        <v>394.5</v>
      </c>
      <c r="O49" s="64">
        <v>0</v>
      </c>
      <c r="P49" s="64">
        <v>1.1299999999999999</v>
      </c>
      <c r="Q49" s="64">
        <v>9.6</v>
      </c>
      <c r="R49" s="198"/>
      <c r="S49" s="198"/>
      <c r="T49" s="198"/>
      <c r="U49" s="198"/>
    </row>
    <row r="50" spans="1:21" s="12" customFormat="1" x14ac:dyDescent="0.25">
      <c r="A50" s="214" t="s">
        <v>2689</v>
      </c>
      <c r="B50" s="64">
        <v>20.84</v>
      </c>
      <c r="C50" s="64">
        <v>31.71</v>
      </c>
      <c r="D50" s="64">
        <v>33.28</v>
      </c>
      <c r="E50" s="64">
        <v>12.8</v>
      </c>
      <c r="F50" s="64">
        <v>3.05</v>
      </c>
      <c r="G50" s="64">
        <v>35.89</v>
      </c>
      <c r="H50" s="64">
        <v>17.39</v>
      </c>
      <c r="I50" s="64">
        <v>4.8099999999999996</v>
      </c>
      <c r="J50" s="64">
        <v>0.31</v>
      </c>
      <c r="K50" s="64">
        <v>26.97</v>
      </c>
      <c r="L50" s="64">
        <v>17.55</v>
      </c>
      <c r="M50" s="64">
        <v>34.369999999999997</v>
      </c>
      <c r="N50" s="64">
        <v>406.4</v>
      </c>
      <c r="O50" s="64">
        <v>0</v>
      </c>
      <c r="P50" s="64">
        <v>0.69</v>
      </c>
      <c r="Q50" s="64">
        <v>9.48</v>
      </c>
      <c r="R50" s="198"/>
      <c r="S50" s="198"/>
      <c r="T50" s="198"/>
      <c r="U50" s="198"/>
    </row>
    <row r="51" spans="1:21" s="12" customFormat="1" x14ac:dyDescent="0.25">
      <c r="A51" s="214" t="s">
        <v>2690</v>
      </c>
      <c r="B51" s="64">
        <v>17.03</v>
      </c>
      <c r="C51" s="64">
        <v>35.25</v>
      </c>
      <c r="D51" s="64">
        <v>32.07</v>
      </c>
      <c r="E51" s="64">
        <v>8.2200000000000006</v>
      </c>
      <c r="F51" s="64">
        <v>3.43</v>
      </c>
      <c r="G51" s="64">
        <v>35.89</v>
      </c>
      <c r="H51" s="64">
        <v>17.39</v>
      </c>
      <c r="I51" s="64">
        <v>4.04</v>
      </c>
      <c r="J51" s="64">
        <v>1.03</v>
      </c>
      <c r="K51" s="64">
        <v>339.5</v>
      </c>
      <c r="L51" s="64">
        <v>20.07</v>
      </c>
      <c r="M51" s="64">
        <v>28.83</v>
      </c>
      <c r="N51" s="64">
        <v>409.2</v>
      </c>
      <c r="O51" s="64">
        <v>0</v>
      </c>
      <c r="P51" s="64">
        <v>0.68</v>
      </c>
      <c r="Q51" s="64">
        <v>9.4</v>
      </c>
      <c r="R51" s="198"/>
      <c r="S51" s="198"/>
      <c r="T51" s="198"/>
      <c r="U51" s="198"/>
    </row>
    <row r="52" spans="1:21" s="12" customFormat="1" x14ac:dyDescent="0.25">
      <c r="A52" s="214" t="s">
        <v>2691</v>
      </c>
      <c r="B52" s="64">
        <v>17.21</v>
      </c>
      <c r="C52" s="64">
        <v>34.130000000000003</v>
      </c>
      <c r="D52" s="64">
        <v>31.63</v>
      </c>
      <c r="E52" s="64">
        <v>7.09</v>
      </c>
      <c r="F52" s="64">
        <v>3.44</v>
      </c>
      <c r="G52" s="64">
        <v>40.880000000000003</v>
      </c>
      <c r="H52" s="64">
        <v>18.8</v>
      </c>
      <c r="I52" s="64">
        <v>2.97</v>
      </c>
      <c r="J52" s="64">
        <v>1.04</v>
      </c>
      <c r="K52" s="64">
        <v>339.24</v>
      </c>
      <c r="L52" s="64">
        <v>20.75</v>
      </c>
      <c r="M52" s="64">
        <v>27.47</v>
      </c>
      <c r="N52" s="64">
        <v>410.2</v>
      </c>
      <c r="O52" s="64">
        <v>0</v>
      </c>
      <c r="P52" s="64">
        <v>0.69</v>
      </c>
      <c r="Q52" s="64">
        <v>9.3699999999999992</v>
      </c>
      <c r="R52" s="198"/>
      <c r="S52" s="198"/>
      <c r="T52" s="198"/>
      <c r="U52" s="198"/>
    </row>
    <row r="53" spans="1:21" s="12" customFormat="1" x14ac:dyDescent="0.25">
      <c r="A53" s="214" t="s">
        <v>2692</v>
      </c>
      <c r="B53" s="64">
        <v>17.66</v>
      </c>
      <c r="C53" s="64">
        <v>31.85</v>
      </c>
      <c r="D53" s="64">
        <v>30.8</v>
      </c>
      <c r="E53" s="64">
        <v>6.63</v>
      </c>
      <c r="F53" s="64">
        <v>3.13</v>
      </c>
      <c r="G53" s="64">
        <v>45.06</v>
      </c>
      <c r="H53" s="64">
        <v>19.87</v>
      </c>
      <c r="I53" s="64">
        <v>2.66</v>
      </c>
      <c r="J53" s="64">
        <v>0.95</v>
      </c>
      <c r="K53" s="64">
        <v>332.28</v>
      </c>
      <c r="L53" s="64">
        <v>21.22</v>
      </c>
      <c r="M53" s="64">
        <v>26.21</v>
      </c>
      <c r="N53" s="64">
        <v>415.1</v>
      </c>
      <c r="O53" s="64">
        <v>0</v>
      </c>
      <c r="P53" s="64">
        <v>0.72</v>
      </c>
      <c r="Q53" s="64">
        <v>9.3800000000000008</v>
      </c>
      <c r="R53" s="198"/>
      <c r="S53" s="198"/>
      <c r="T53" s="198"/>
      <c r="U53" s="198"/>
    </row>
    <row r="54" spans="1:21" s="12" customFormat="1" x14ac:dyDescent="0.25">
      <c r="A54" s="214" t="s">
        <v>2693</v>
      </c>
      <c r="B54" s="64">
        <v>17.22</v>
      </c>
      <c r="C54" s="64">
        <v>32.06</v>
      </c>
      <c r="D54" s="64">
        <v>30.56</v>
      </c>
      <c r="E54" s="64">
        <v>6.35</v>
      </c>
      <c r="F54" s="64">
        <v>2.86</v>
      </c>
      <c r="G54" s="64">
        <v>45.06</v>
      </c>
      <c r="H54" s="64">
        <v>19.87</v>
      </c>
      <c r="I54" s="64">
        <v>2.68</v>
      </c>
      <c r="J54" s="64">
        <v>0.84</v>
      </c>
      <c r="K54" s="64">
        <v>332.15</v>
      </c>
      <c r="L54" s="64">
        <v>21.55</v>
      </c>
      <c r="M54" s="64">
        <v>25.5</v>
      </c>
      <c r="N54" s="64">
        <v>429.6</v>
      </c>
      <c r="O54" s="64">
        <v>0</v>
      </c>
      <c r="P54" s="64">
        <v>0.72</v>
      </c>
      <c r="Q54" s="64">
        <v>9.39</v>
      </c>
      <c r="R54" s="198"/>
      <c r="S54" s="198"/>
      <c r="T54" s="198"/>
      <c r="U54" s="198"/>
    </row>
    <row r="55" spans="1:21" s="12" customFormat="1" x14ac:dyDescent="0.25">
      <c r="A55" s="214" t="s">
        <v>2694</v>
      </c>
      <c r="B55" s="64">
        <v>16.86</v>
      </c>
      <c r="C55" s="64">
        <v>31.51</v>
      </c>
      <c r="D55" s="64">
        <v>29.98</v>
      </c>
      <c r="E55" s="64">
        <v>5.15</v>
      </c>
      <c r="F55" s="64">
        <v>2.3199999999999998</v>
      </c>
      <c r="G55" s="64">
        <v>45.06</v>
      </c>
      <c r="H55" s="64">
        <v>19.87</v>
      </c>
      <c r="I55" s="64">
        <v>2.7</v>
      </c>
      <c r="J55" s="64">
        <v>0.17</v>
      </c>
      <c r="K55" s="64">
        <v>332.4</v>
      </c>
      <c r="L55" s="64">
        <v>19.670000000000002</v>
      </c>
      <c r="M55" s="64">
        <v>28.55</v>
      </c>
      <c r="N55" s="64">
        <v>429.1</v>
      </c>
      <c r="O55" s="64">
        <v>0</v>
      </c>
      <c r="P55" s="64">
        <v>0.71</v>
      </c>
      <c r="Q55" s="64">
        <v>9.4</v>
      </c>
      <c r="R55" s="198"/>
      <c r="S55" s="198"/>
      <c r="T55" s="198"/>
      <c r="U55" s="198"/>
    </row>
    <row r="56" spans="1:21" s="12" customFormat="1" x14ac:dyDescent="0.25">
      <c r="A56" s="214" t="s">
        <v>2695</v>
      </c>
      <c r="B56" s="64">
        <v>13.44</v>
      </c>
      <c r="C56" s="64">
        <v>32.700000000000003</v>
      </c>
      <c r="D56" s="64">
        <v>27.86</v>
      </c>
      <c r="E56" s="64">
        <v>6.27</v>
      </c>
      <c r="F56" s="64">
        <v>3.36</v>
      </c>
      <c r="G56" s="64">
        <v>42.83</v>
      </c>
      <c r="H56" s="64">
        <v>19.16</v>
      </c>
      <c r="I56" s="64">
        <v>2.69</v>
      </c>
      <c r="J56" s="64">
        <v>0.34</v>
      </c>
      <c r="K56" s="64">
        <v>326.43</v>
      </c>
      <c r="L56" s="64">
        <v>20.59</v>
      </c>
      <c r="M56" s="64">
        <v>27.17</v>
      </c>
      <c r="N56" s="64">
        <v>417.6</v>
      </c>
      <c r="O56" s="64">
        <v>0</v>
      </c>
      <c r="P56" s="64">
        <v>0.66</v>
      </c>
      <c r="Q56" s="64">
        <v>9.3800000000000008</v>
      </c>
      <c r="R56" s="198"/>
      <c r="S56" s="198"/>
      <c r="T56" s="198"/>
      <c r="U56" s="198"/>
    </row>
    <row r="57" spans="1:21" s="12" customFormat="1" x14ac:dyDescent="0.25">
      <c r="A57" s="214" t="s">
        <v>2696</v>
      </c>
      <c r="B57" s="64">
        <v>9.4600000000000009</v>
      </c>
      <c r="C57" s="64">
        <v>35.049999999999997</v>
      </c>
      <c r="D57" s="64">
        <v>25.9</v>
      </c>
      <c r="E57" s="64">
        <v>6.51</v>
      </c>
      <c r="F57" s="64">
        <v>3.66</v>
      </c>
      <c r="G57" s="64">
        <v>40.97</v>
      </c>
      <c r="H57" s="64">
        <v>18.88</v>
      </c>
      <c r="I57" s="64">
        <v>2.66</v>
      </c>
      <c r="J57" s="64">
        <v>0.3</v>
      </c>
      <c r="K57" s="64">
        <v>339.36</v>
      </c>
      <c r="L57" s="64">
        <v>19.34</v>
      </c>
      <c r="M57" s="64">
        <v>30.12</v>
      </c>
      <c r="N57" s="64">
        <v>395.1</v>
      </c>
      <c r="O57" s="64">
        <v>0</v>
      </c>
      <c r="P57" s="64">
        <v>0.64</v>
      </c>
      <c r="Q57" s="64">
        <v>9.3699999999999992</v>
      </c>
      <c r="R57" s="198"/>
      <c r="S57" s="198"/>
      <c r="T57" s="198"/>
      <c r="U57" s="198"/>
    </row>
    <row r="58" spans="1:21" s="12" customFormat="1" x14ac:dyDescent="0.25">
      <c r="A58" s="214" t="s">
        <v>2697</v>
      </c>
      <c r="B58" s="64">
        <v>8.3800000000000008</v>
      </c>
      <c r="C58" s="64">
        <v>35.96</v>
      </c>
      <c r="D58" s="64">
        <v>25.5</v>
      </c>
      <c r="E58" s="64">
        <v>16.39</v>
      </c>
      <c r="F58" s="64">
        <v>6.39</v>
      </c>
      <c r="G58" s="64">
        <v>40.97</v>
      </c>
      <c r="H58" s="64">
        <v>18.88</v>
      </c>
      <c r="I58" s="64">
        <v>2.52</v>
      </c>
      <c r="J58" s="64">
        <v>0.24</v>
      </c>
      <c r="K58" s="64">
        <v>104.6</v>
      </c>
      <c r="L58" s="64">
        <v>19.16</v>
      </c>
      <c r="M58" s="64">
        <v>29.63</v>
      </c>
      <c r="N58" s="64">
        <v>369.6</v>
      </c>
      <c r="O58" s="64">
        <v>0</v>
      </c>
      <c r="P58" s="64">
        <v>0.59</v>
      </c>
      <c r="Q58" s="64">
        <v>9.35</v>
      </c>
      <c r="R58" s="198"/>
      <c r="S58" s="198"/>
      <c r="T58" s="198"/>
      <c r="U58" s="198"/>
    </row>
    <row r="59" spans="1:21" s="12" customFormat="1" x14ac:dyDescent="0.25">
      <c r="A59" s="214" t="s">
        <v>2698</v>
      </c>
      <c r="B59" s="64">
        <v>6.47</v>
      </c>
      <c r="C59" s="64">
        <v>36.25</v>
      </c>
      <c r="D59" s="64">
        <v>24.13</v>
      </c>
      <c r="E59" s="64">
        <v>12.3</v>
      </c>
      <c r="F59" s="64">
        <v>6.51</v>
      </c>
      <c r="G59" s="64">
        <v>40.97</v>
      </c>
      <c r="H59" s="64">
        <v>18.88</v>
      </c>
      <c r="I59" s="64">
        <v>2.39</v>
      </c>
      <c r="J59" s="64">
        <v>0.93</v>
      </c>
      <c r="K59" s="64">
        <v>123.98</v>
      </c>
      <c r="L59" s="64">
        <v>17.559999999999999</v>
      </c>
      <c r="M59" s="64">
        <v>33.74</v>
      </c>
      <c r="N59" s="64">
        <v>363.7</v>
      </c>
      <c r="O59" s="64">
        <v>0</v>
      </c>
      <c r="P59" s="64">
        <v>0.55000000000000004</v>
      </c>
      <c r="Q59" s="64">
        <v>9.34</v>
      </c>
      <c r="R59" s="198"/>
      <c r="S59" s="198"/>
      <c r="T59" s="198"/>
      <c r="U59" s="198"/>
    </row>
    <row r="60" spans="1:21" s="12" customFormat="1" x14ac:dyDescent="0.25">
      <c r="A60" s="214" t="s">
        <v>2699</v>
      </c>
      <c r="B60" s="64">
        <v>6.05</v>
      </c>
      <c r="C60" s="64">
        <v>35.54</v>
      </c>
      <c r="D60" s="64">
        <v>23.42</v>
      </c>
      <c r="E60" s="64">
        <v>12.4</v>
      </c>
      <c r="F60" s="64">
        <v>5.18</v>
      </c>
      <c r="G60" s="64">
        <v>36.880000000000003</v>
      </c>
      <c r="H60" s="64">
        <v>17.27</v>
      </c>
      <c r="I60" s="64">
        <v>2.2400000000000002</v>
      </c>
      <c r="J60" s="64">
        <v>0.99</v>
      </c>
      <c r="K60" s="64">
        <v>140.43</v>
      </c>
      <c r="L60" s="64">
        <v>17.91</v>
      </c>
      <c r="M60" s="64">
        <v>31.73</v>
      </c>
      <c r="N60" s="64">
        <v>345.5</v>
      </c>
      <c r="O60" s="64">
        <v>0</v>
      </c>
      <c r="P60" s="64">
        <v>0.55000000000000004</v>
      </c>
      <c r="Q60" s="64">
        <v>9.34</v>
      </c>
      <c r="R60" s="198"/>
      <c r="S60" s="198"/>
      <c r="T60" s="198"/>
      <c r="U60" s="198"/>
    </row>
    <row r="61" spans="1:21" s="12" customFormat="1" x14ac:dyDescent="0.25">
      <c r="A61" s="214" t="s">
        <v>2700</v>
      </c>
      <c r="B61" s="64">
        <v>6.04</v>
      </c>
      <c r="C61" s="64">
        <v>34.82</v>
      </c>
      <c r="D61" s="64">
        <v>23.04</v>
      </c>
      <c r="E61" s="64">
        <v>16.53</v>
      </c>
      <c r="F61" s="64">
        <v>6.72</v>
      </c>
      <c r="G61" s="64">
        <v>33.46</v>
      </c>
      <c r="H61" s="64">
        <v>16.64</v>
      </c>
      <c r="I61" s="64">
        <v>2.14</v>
      </c>
      <c r="J61" s="64">
        <v>0.13</v>
      </c>
      <c r="K61" s="64">
        <v>55.86</v>
      </c>
      <c r="L61" s="64">
        <v>17.7</v>
      </c>
      <c r="M61" s="64">
        <v>33</v>
      </c>
      <c r="N61" s="64">
        <v>330.4</v>
      </c>
      <c r="O61" s="64">
        <v>0</v>
      </c>
      <c r="P61" s="64">
        <v>0.69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4" t="s">
        <v>2701</v>
      </c>
      <c r="B62" s="64">
        <v>6.68</v>
      </c>
      <c r="C62" s="64">
        <v>33.67</v>
      </c>
      <c r="D62" s="64">
        <v>22.95</v>
      </c>
      <c r="E62" s="64">
        <v>12.98</v>
      </c>
      <c r="F62" s="64">
        <v>5.61</v>
      </c>
      <c r="G62" s="64">
        <v>33.46</v>
      </c>
      <c r="H62" s="64">
        <v>16.64</v>
      </c>
      <c r="I62" s="64">
        <v>2.37</v>
      </c>
      <c r="J62" s="64">
        <v>0.63</v>
      </c>
      <c r="K62" s="64">
        <v>317.08</v>
      </c>
      <c r="L62" s="64">
        <v>19.97</v>
      </c>
      <c r="M62" s="64">
        <v>28.01</v>
      </c>
      <c r="N62" s="64">
        <v>313.5</v>
      </c>
      <c r="O62" s="64">
        <v>0</v>
      </c>
      <c r="P62" s="64">
        <v>0.76</v>
      </c>
      <c r="Q62" s="64">
        <v>9.33</v>
      </c>
      <c r="R62" s="198"/>
      <c r="S62" s="198"/>
      <c r="T62" s="198"/>
      <c r="U62" s="198"/>
    </row>
    <row r="63" spans="1:21" s="12" customFormat="1" x14ac:dyDescent="0.25">
      <c r="A63" s="214" t="s">
        <v>2702</v>
      </c>
      <c r="B63" s="64">
        <v>7.36</v>
      </c>
      <c r="C63" s="64">
        <v>32.119999999999997</v>
      </c>
      <c r="D63" s="64">
        <v>22.68</v>
      </c>
      <c r="E63" s="64">
        <v>17.09</v>
      </c>
      <c r="F63" s="64">
        <v>6.35</v>
      </c>
      <c r="G63" s="64">
        <v>33.46</v>
      </c>
      <c r="H63" s="64">
        <v>16.64</v>
      </c>
      <c r="I63" s="64">
        <v>2.39</v>
      </c>
      <c r="J63" s="64">
        <v>0.04</v>
      </c>
      <c r="K63" s="64">
        <v>226.71</v>
      </c>
      <c r="L63" s="64">
        <v>19.059999999999999</v>
      </c>
      <c r="M63" s="64">
        <v>29.44</v>
      </c>
      <c r="N63" s="64">
        <v>305.3</v>
      </c>
      <c r="O63" s="64">
        <v>0</v>
      </c>
      <c r="P63" s="64">
        <v>0.74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4" t="s">
        <v>2703</v>
      </c>
      <c r="B64" s="64">
        <v>7.19</v>
      </c>
      <c r="C64" s="64">
        <v>28.93</v>
      </c>
      <c r="D64" s="64">
        <v>20.87</v>
      </c>
      <c r="E64" s="64">
        <v>15.77</v>
      </c>
      <c r="F64" s="64">
        <v>6.34</v>
      </c>
      <c r="G64" s="64">
        <v>35.86</v>
      </c>
      <c r="H64" s="64">
        <v>15.23</v>
      </c>
      <c r="I64" s="64">
        <v>2.4500000000000002</v>
      </c>
      <c r="J64" s="64">
        <v>1.05</v>
      </c>
      <c r="K64" s="64">
        <v>334.37</v>
      </c>
      <c r="L64" s="64">
        <v>19.52</v>
      </c>
      <c r="M64" s="64">
        <v>27.73</v>
      </c>
      <c r="N64" s="64">
        <v>267.39999999999998</v>
      </c>
      <c r="O64" s="64">
        <v>0</v>
      </c>
      <c r="P64" s="64">
        <v>0.74</v>
      </c>
      <c r="Q64" s="64">
        <v>9.35</v>
      </c>
      <c r="R64" s="198"/>
      <c r="S64" s="198"/>
      <c r="T64" s="198"/>
      <c r="U64" s="198"/>
    </row>
    <row r="65" spans="1:21" s="12" customFormat="1" x14ac:dyDescent="0.25">
      <c r="A65" s="214" t="s">
        <v>2704</v>
      </c>
      <c r="B65" s="64">
        <v>7.47</v>
      </c>
      <c r="C65" s="64">
        <v>31.18</v>
      </c>
      <c r="D65" s="64">
        <v>22.27</v>
      </c>
      <c r="E65" s="64">
        <v>7.7</v>
      </c>
      <c r="F65" s="64">
        <v>4.5599999999999996</v>
      </c>
      <c r="G65" s="64">
        <v>37.869999999999997</v>
      </c>
      <c r="H65" s="64">
        <v>14.67</v>
      </c>
      <c r="I65" s="64">
        <v>2.4</v>
      </c>
      <c r="J65" s="64">
        <v>1.29</v>
      </c>
      <c r="K65" s="64">
        <v>327.81</v>
      </c>
      <c r="L65" s="64">
        <v>19.43</v>
      </c>
      <c r="M65" s="64">
        <v>26.38</v>
      </c>
      <c r="N65" s="64">
        <v>136.1</v>
      </c>
      <c r="O65" s="64">
        <v>0</v>
      </c>
      <c r="P65" s="64">
        <v>0.75</v>
      </c>
      <c r="Q65" s="64">
        <v>9.35</v>
      </c>
      <c r="R65" s="198"/>
      <c r="S65" s="198"/>
      <c r="T65" s="198"/>
      <c r="U65" s="198"/>
    </row>
    <row r="66" spans="1:21" s="12" customFormat="1" x14ac:dyDescent="0.25">
      <c r="A66" s="214" t="s">
        <v>2705</v>
      </c>
      <c r="B66" s="64">
        <v>8.66</v>
      </c>
      <c r="C66" s="64">
        <v>33.729999999999997</v>
      </c>
      <c r="D66" s="64">
        <v>24.57</v>
      </c>
      <c r="E66" s="64">
        <v>8.9600000000000009</v>
      </c>
      <c r="F66" s="64">
        <v>5.43</v>
      </c>
      <c r="G66" s="64">
        <v>37.869999999999997</v>
      </c>
      <c r="H66" s="64">
        <v>14.67</v>
      </c>
      <c r="I66" s="64">
        <v>2.44</v>
      </c>
      <c r="J66" s="64">
        <v>1.25</v>
      </c>
      <c r="K66" s="64">
        <v>333.6</v>
      </c>
      <c r="L66" s="64">
        <v>18.72</v>
      </c>
      <c r="M66" s="64">
        <v>26.37</v>
      </c>
      <c r="N66" s="64">
        <v>96.6</v>
      </c>
      <c r="O66" s="64">
        <v>0</v>
      </c>
      <c r="P66" s="64">
        <v>0.72</v>
      </c>
      <c r="Q66" s="64">
        <v>9.35</v>
      </c>
      <c r="R66" s="198"/>
      <c r="S66" s="198"/>
      <c r="T66" s="198"/>
      <c r="U66" s="198"/>
    </row>
    <row r="67" spans="1:21" s="12" customFormat="1" x14ac:dyDescent="0.25">
      <c r="A67" s="214" t="s">
        <v>2706</v>
      </c>
      <c r="B67" s="64">
        <v>6.92</v>
      </c>
      <c r="C67" s="64">
        <v>33.630000000000003</v>
      </c>
      <c r="D67" s="64">
        <v>23.12</v>
      </c>
      <c r="E67" s="64">
        <v>9.3800000000000008</v>
      </c>
      <c r="F67" s="64">
        <v>5.43</v>
      </c>
      <c r="G67" s="64">
        <v>37.869999999999997</v>
      </c>
      <c r="H67" s="64">
        <v>14.67</v>
      </c>
      <c r="I67" s="64">
        <v>2.38</v>
      </c>
      <c r="J67" s="64">
        <v>0.64</v>
      </c>
      <c r="K67" s="64">
        <v>335.2</v>
      </c>
      <c r="L67" s="64">
        <v>18.09</v>
      </c>
      <c r="M67" s="64">
        <v>27.94</v>
      </c>
      <c r="N67" s="64">
        <v>88.1</v>
      </c>
      <c r="O67" s="64">
        <v>0</v>
      </c>
      <c r="P67" s="64">
        <v>0.71</v>
      </c>
      <c r="Q67" s="64">
        <v>9.34</v>
      </c>
      <c r="R67" s="198"/>
      <c r="S67" s="198"/>
      <c r="T67" s="198"/>
      <c r="U67" s="198"/>
    </row>
    <row r="68" spans="1:21" s="12" customFormat="1" x14ac:dyDescent="0.25">
      <c r="A68" s="214" t="s">
        <v>2707</v>
      </c>
      <c r="B68" s="64">
        <v>7.09</v>
      </c>
      <c r="C68" s="64">
        <v>31.77</v>
      </c>
      <c r="D68" s="64">
        <v>22.29</v>
      </c>
      <c r="E68" s="64">
        <v>15.47</v>
      </c>
      <c r="F68" s="64">
        <v>8.4499999999999993</v>
      </c>
      <c r="G68" s="64">
        <v>28.98</v>
      </c>
      <c r="H68" s="64">
        <v>14.29</v>
      </c>
      <c r="I68" s="64">
        <v>2.29</v>
      </c>
      <c r="J68" s="64">
        <v>0.78</v>
      </c>
      <c r="K68" s="64">
        <v>336.53</v>
      </c>
      <c r="L68" s="64">
        <v>17.489999999999998</v>
      </c>
      <c r="M68" s="64">
        <v>28.44</v>
      </c>
      <c r="N68" s="64">
        <v>76</v>
      </c>
      <c r="O68" s="64">
        <v>0</v>
      </c>
      <c r="P68" s="64">
        <v>0.68</v>
      </c>
      <c r="Q68" s="64">
        <v>9.32</v>
      </c>
      <c r="R68" s="198"/>
      <c r="S68" s="198"/>
      <c r="T68" s="198"/>
      <c r="U68" s="198"/>
    </row>
    <row r="69" spans="1:21" s="12" customFormat="1" x14ac:dyDescent="0.25">
      <c r="A69" s="214" t="s">
        <v>2708</v>
      </c>
      <c r="B69" s="64">
        <v>7.67</v>
      </c>
      <c r="C69" s="64">
        <v>33.590000000000003</v>
      </c>
      <c r="D69" s="64">
        <v>23.7</v>
      </c>
      <c r="E69" s="64">
        <v>8.0299999999999994</v>
      </c>
      <c r="F69" s="64">
        <v>4.4000000000000004</v>
      </c>
      <c r="G69" s="64">
        <v>21.54</v>
      </c>
      <c r="H69" s="64">
        <v>13.99</v>
      </c>
      <c r="I69" s="64">
        <v>1.95</v>
      </c>
      <c r="J69" s="64">
        <v>0.76</v>
      </c>
      <c r="K69" s="64">
        <v>312.45999999999998</v>
      </c>
      <c r="L69" s="64">
        <v>17.2</v>
      </c>
      <c r="M69" s="64">
        <v>30.88</v>
      </c>
      <c r="N69" s="64">
        <v>71.2</v>
      </c>
      <c r="O69" s="64">
        <v>0</v>
      </c>
      <c r="P69" s="64">
        <v>0.72</v>
      </c>
      <c r="Q69" s="64">
        <v>9.32</v>
      </c>
      <c r="R69" s="198"/>
      <c r="S69" s="198"/>
      <c r="T69" s="198"/>
      <c r="U69" s="198"/>
    </row>
    <row r="70" spans="1:21" s="12" customFormat="1" x14ac:dyDescent="0.25">
      <c r="A70" s="214" t="s">
        <v>2709</v>
      </c>
      <c r="B70" s="64">
        <v>7.31</v>
      </c>
      <c r="C70" s="64">
        <v>32.130000000000003</v>
      </c>
      <c r="D70" s="64">
        <v>22.65</v>
      </c>
      <c r="E70" s="64">
        <v>6.29</v>
      </c>
      <c r="F70" s="64">
        <v>3.58</v>
      </c>
      <c r="G70" s="64">
        <v>21.54</v>
      </c>
      <c r="H70" s="64">
        <v>13.99</v>
      </c>
      <c r="I70" s="64">
        <v>2.04</v>
      </c>
      <c r="J70" s="64">
        <v>1.43</v>
      </c>
      <c r="K70" s="64">
        <v>340.71</v>
      </c>
      <c r="L70" s="64">
        <v>17.059999999999999</v>
      </c>
      <c r="M70" s="64">
        <v>30.35</v>
      </c>
      <c r="N70" s="64">
        <v>66.599999999999994</v>
      </c>
      <c r="O70" s="64">
        <v>0</v>
      </c>
      <c r="P70" s="64">
        <v>0.73</v>
      </c>
      <c r="Q70" s="64">
        <v>9.33</v>
      </c>
      <c r="R70" s="198"/>
      <c r="S70" s="198"/>
      <c r="T70" s="198"/>
      <c r="U70" s="198"/>
    </row>
    <row r="71" spans="1:21" s="12" customFormat="1" x14ac:dyDescent="0.25">
      <c r="A71" s="214" t="s">
        <v>2710</v>
      </c>
      <c r="B71" s="64">
        <v>8.36</v>
      </c>
      <c r="C71" s="64">
        <v>31.38</v>
      </c>
      <c r="D71" s="64">
        <v>23.09</v>
      </c>
      <c r="E71" s="64">
        <v>7.5</v>
      </c>
      <c r="F71" s="64">
        <v>5.45</v>
      </c>
      <c r="G71" s="64">
        <v>21.54</v>
      </c>
      <c r="H71" s="64">
        <v>13.99</v>
      </c>
      <c r="I71" s="64">
        <v>2.15</v>
      </c>
      <c r="J71" s="64">
        <v>1.24</v>
      </c>
      <c r="K71" s="64">
        <v>338.09</v>
      </c>
      <c r="L71" s="64">
        <v>16.95</v>
      </c>
      <c r="M71" s="64">
        <v>30.38</v>
      </c>
      <c r="N71" s="64">
        <v>61.2</v>
      </c>
      <c r="O71" s="64">
        <v>0</v>
      </c>
      <c r="P71" s="64">
        <v>0.73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4" t="s">
        <v>2711</v>
      </c>
      <c r="B72" s="64">
        <v>8.4499999999999993</v>
      </c>
      <c r="C72" s="64">
        <v>32.32</v>
      </c>
      <c r="D72" s="64">
        <v>23.66</v>
      </c>
      <c r="E72" s="64">
        <v>7.16</v>
      </c>
      <c r="F72" s="64">
        <v>5.61</v>
      </c>
      <c r="G72" s="64">
        <v>28.29</v>
      </c>
      <c r="H72" s="64">
        <v>14.41</v>
      </c>
      <c r="I72" s="64">
        <v>1.97</v>
      </c>
      <c r="J72" s="64">
        <v>1.18</v>
      </c>
      <c r="K72" s="64">
        <v>340.99</v>
      </c>
      <c r="L72" s="64">
        <v>16.760000000000002</v>
      </c>
      <c r="M72" s="64">
        <v>30.83</v>
      </c>
      <c r="N72" s="64">
        <v>57.2</v>
      </c>
      <c r="O72" s="64">
        <v>0</v>
      </c>
      <c r="P72" s="64">
        <v>0.77</v>
      </c>
      <c r="Q72" s="64">
        <v>9.35</v>
      </c>
      <c r="R72" s="198"/>
      <c r="S72" s="198"/>
      <c r="T72" s="198"/>
      <c r="U72" s="198"/>
    </row>
    <row r="73" spans="1:21" s="12" customFormat="1" x14ac:dyDescent="0.25">
      <c r="A73" s="214" t="s">
        <v>2712</v>
      </c>
      <c r="B73" s="64">
        <v>12.85</v>
      </c>
      <c r="C73" s="64">
        <v>33.520000000000003</v>
      </c>
      <c r="D73" s="64">
        <v>27.82</v>
      </c>
      <c r="E73" s="64">
        <v>9.85</v>
      </c>
      <c r="F73" s="64">
        <v>5.67</v>
      </c>
      <c r="G73" s="64">
        <v>33.93</v>
      </c>
      <c r="H73" s="64">
        <v>14.58</v>
      </c>
      <c r="I73" s="64">
        <v>1.85</v>
      </c>
      <c r="J73" s="64">
        <v>0.83</v>
      </c>
      <c r="K73" s="64">
        <v>343.54</v>
      </c>
      <c r="L73" s="64">
        <v>16.5</v>
      </c>
      <c r="M73" s="64">
        <v>31.29</v>
      </c>
      <c r="N73" s="64">
        <v>52.2</v>
      </c>
      <c r="O73" s="64">
        <v>0</v>
      </c>
      <c r="P73" s="64">
        <v>0.83</v>
      </c>
      <c r="Q73" s="64">
        <v>9.34</v>
      </c>
      <c r="R73" s="198"/>
      <c r="S73" s="198"/>
      <c r="T73" s="198"/>
      <c r="U73" s="198"/>
    </row>
    <row r="74" spans="1:21" s="12" customFormat="1" x14ac:dyDescent="0.25">
      <c r="A74" s="214" t="s">
        <v>2713</v>
      </c>
      <c r="B74" s="64">
        <v>15.38</v>
      </c>
      <c r="C74" s="64">
        <v>33.97</v>
      </c>
      <c r="D74" s="64">
        <v>30.08</v>
      </c>
      <c r="E74" s="64">
        <v>13.46</v>
      </c>
      <c r="F74" s="64">
        <v>5.64</v>
      </c>
      <c r="G74" s="64">
        <v>33.93</v>
      </c>
      <c r="H74" s="64">
        <v>14.58</v>
      </c>
      <c r="I74" s="64">
        <v>1.87</v>
      </c>
      <c r="J74" s="64">
        <v>0.78</v>
      </c>
      <c r="K74" s="64">
        <v>350.55</v>
      </c>
      <c r="L74" s="64">
        <v>16.149999999999999</v>
      </c>
      <c r="M74" s="64">
        <v>32.07</v>
      </c>
      <c r="N74" s="64">
        <v>48.2</v>
      </c>
      <c r="O74" s="64">
        <v>0</v>
      </c>
      <c r="P74" s="64">
        <v>0.92</v>
      </c>
      <c r="Q74" s="64">
        <v>9.35</v>
      </c>
      <c r="R74" s="198"/>
      <c r="S74" s="198"/>
      <c r="T74" s="198"/>
      <c r="U74" s="198"/>
    </row>
    <row r="75" spans="1:21" s="12" customFormat="1" x14ac:dyDescent="0.25">
      <c r="A75" s="214" t="s">
        <v>2714</v>
      </c>
      <c r="B75" s="64">
        <v>14.56</v>
      </c>
      <c r="C75" s="64">
        <v>36.659999999999997</v>
      </c>
      <c r="D75" s="64">
        <v>30.58</v>
      </c>
      <c r="E75" s="64">
        <v>14.91</v>
      </c>
      <c r="F75" s="64">
        <v>6.34</v>
      </c>
      <c r="G75" s="64">
        <v>33.93</v>
      </c>
      <c r="H75" s="64">
        <v>14.58</v>
      </c>
      <c r="I75" s="64">
        <v>1.94</v>
      </c>
      <c r="J75" s="64">
        <v>0.49</v>
      </c>
      <c r="K75" s="64">
        <v>3.37</v>
      </c>
      <c r="L75" s="64">
        <v>15.58</v>
      </c>
      <c r="M75" s="64">
        <v>33.49</v>
      </c>
      <c r="N75" s="64">
        <v>43.7</v>
      </c>
      <c r="O75" s="64">
        <v>0</v>
      </c>
      <c r="P75" s="64">
        <v>0.96</v>
      </c>
      <c r="Q75" s="64">
        <v>9.36</v>
      </c>
      <c r="R75" s="198"/>
      <c r="S75" s="198"/>
      <c r="T75" s="198"/>
      <c r="U75" s="198"/>
    </row>
    <row r="76" spans="1:21" s="12" customFormat="1" x14ac:dyDescent="0.25">
      <c r="A76" s="214" t="s">
        <v>2715</v>
      </c>
      <c r="B76" s="64">
        <v>20.03</v>
      </c>
      <c r="C76" s="64">
        <v>34.61</v>
      </c>
      <c r="D76" s="64">
        <v>34.14</v>
      </c>
      <c r="E76" s="64">
        <v>22.98</v>
      </c>
      <c r="F76" s="64">
        <v>8.2200000000000006</v>
      </c>
      <c r="G76" s="64">
        <v>32.479999999999997</v>
      </c>
      <c r="H76" s="64">
        <v>14.21</v>
      </c>
      <c r="I76" s="64">
        <v>1.99</v>
      </c>
      <c r="J76" s="64">
        <v>0.68</v>
      </c>
      <c r="K76" s="64">
        <v>343.72</v>
      </c>
      <c r="L76" s="64">
        <v>15.19</v>
      </c>
      <c r="M76" s="64">
        <v>35.03</v>
      </c>
      <c r="N76" s="64">
        <v>39.1</v>
      </c>
      <c r="O76" s="64">
        <v>0</v>
      </c>
      <c r="P76" s="64">
        <v>1.1599999999999999</v>
      </c>
      <c r="Q76" s="64">
        <v>9.3699999999999992</v>
      </c>
      <c r="R76" s="198"/>
      <c r="S76" s="198"/>
      <c r="T76" s="198"/>
      <c r="U76" s="198"/>
    </row>
    <row r="77" spans="1:21" s="12" customFormat="1" x14ac:dyDescent="0.25">
      <c r="A77" s="214" t="s">
        <v>2716</v>
      </c>
      <c r="B77" s="64">
        <v>23.84</v>
      </c>
      <c r="C77" s="64">
        <v>34.67</v>
      </c>
      <c r="D77" s="64">
        <v>37.229999999999997</v>
      </c>
      <c r="E77" s="64">
        <v>16.16</v>
      </c>
      <c r="F77" s="64">
        <v>3.86</v>
      </c>
      <c r="G77" s="64">
        <v>31.26</v>
      </c>
      <c r="H77" s="64">
        <v>14.06</v>
      </c>
      <c r="I77" s="64">
        <v>2.23</v>
      </c>
      <c r="J77" s="64">
        <v>0.5</v>
      </c>
      <c r="K77" s="64">
        <v>338.98</v>
      </c>
      <c r="L77" s="64">
        <v>14.56</v>
      </c>
      <c r="M77" s="64">
        <v>37.409999999999997</v>
      </c>
      <c r="N77" s="64">
        <v>34.299999999999997</v>
      </c>
      <c r="O77" s="64">
        <v>0</v>
      </c>
      <c r="P77" s="64">
        <v>1.3</v>
      </c>
      <c r="Q77" s="64">
        <v>9.39</v>
      </c>
      <c r="R77" s="198"/>
      <c r="S77" s="198"/>
      <c r="T77" s="198"/>
      <c r="U77" s="198"/>
    </row>
    <row r="78" spans="1:21" s="12" customFormat="1" x14ac:dyDescent="0.25">
      <c r="A78" s="214" t="s">
        <v>2717</v>
      </c>
      <c r="B78" s="64">
        <v>14.51</v>
      </c>
      <c r="C78" s="64">
        <v>36.74</v>
      </c>
      <c r="D78" s="64">
        <v>30.84</v>
      </c>
      <c r="E78" s="64">
        <v>16.73</v>
      </c>
      <c r="F78" s="64">
        <v>4.6399999999999997</v>
      </c>
      <c r="G78" s="64">
        <v>31.26</v>
      </c>
      <c r="H78" s="64">
        <v>14.06</v>
      </c>
      <c r="I78" s="64">
        <v>2.69</v>
      </c>
      <c r="J78" s="64">
        <v>0.18</v>
      </c>
      <c r="K78" s="64">
        <v>65.5</v>
      </c>
      <c r="L78" s="64">
        <v>13.89</v>
      </c>
      <c r="M78" s="64">
        <v>38.15</v>
      </c>
      <c r="N78" s="64">
        <v>30.9</v>
      </c>
      <c r="O78" s="64">
        <v>0</v>
      </c>
      <c r="P78" s="64">
        <v>1.19</v>
      </c>
      <c r="Q78" s="64">
        <v>9.41</v>
      </c>
      <c r="R78" s="198"/>
      <c r="S78" s="198"/>
      <c r="T78" s="198"/>
      <c r="U78" s="198"/>
    </row>
    <row r="79" spans="1:21" s="12" customFormat="1" x14ac:dyDescent="0.25">
      <c r="A79" s="214" t="s">
        <v>2718</v>
      </c>
      <c r="B79" s="64">
        <v>21.2</v>
      </c>
      <c r="C79" s="64">
        <v>33.44</v>
      </c>
      <c r="D79" s="64">
        <v>34.479999999999997</v>
      </c>
      <c r="E79" s="64">
        <v>13.42</v>
      </c>
      <c r="F79" s="64">
        <v>3.48</v>
      </c>
      <c r="G79" s="64">
        <v>31.26</v>
      </c>
      <c r="H79" s="64">
        <v>14.06</v>
      </c>
      <c r="I79" s="64">
        <v>3.25</v>
      </c>
      <c r="J79" s="64">
        <v>0.27</v>
      </c>
      <c r="K79" s="64">
        <v>68.739999999999995</v>
      </c>
      <c r="L79" s="64">
        <v>13.44</v>
      </c>
      <c r="M79" s="64">
        <v>40.340000000000003</v>
      </c>
      <c r="N79" s="64">
        <v>29.9</v>
      </c>
      <c r="O79" s="64">
        <v>0</v>
      </c>
      <c r="P79" s="64">
        <v>1.3</v>
      </c>
      <c r="Q79" s="64">
        <v>9.42</v>
      </c>
      <c r="R79" s="198"/>
      <c r="S79" s="198"/>
      <c r="T79" s="198"/>
      <c r="U79" s="198"/>
    </row>
    <row r="80" spans="1:21" s="12" customFormat="1" x14ac:dyDescent="0.25">
      <c r="A80" s="214" t="s">
        <v>2719</v>
      </c>
      <c r="B80" s="64">
        <v>15.47</v>
      </c>
      <c r="C80" s="64">
        <v>35.75</v>
      </c>
      <c r="D80" s="64">
        <v>31.08</v>
      </c>
      <c r="E80" s="64">
        <v>11.81</v>
      </c>
      <c r="F80" s="64">
        <v>4.05</v>
      </c>
      <c r="G80" s="64">
        <v>44.7</v>
      </c>
      <c r="H80" s="64">
        <v>16.93</v>
      </c>
      <c r="I80" s="64">
        <v>3.31</v>
      </c>
      <c r="J80" s="64">
        <v>0.46</v>
      </c>
      <c r="K80" s="64">
        <v>81.88</v>
      </c>
      <c r="L80" s="64">
        <v>13.01</v>
      </c>
      <c r="M80" s="64">
        <v>41.66</v>
      </c>
      <c r="N80" s="64">
        <v>29.5</v>
      </c>
      <c r="O80" s="64">
        <v>0</v>
      </c>
      <c r="P80" s="64">
        <v>1.34</v>
      </c>
      <c r="Q80" s="64">
        <v>9.43</v>
      </c>
      <c r="R80" s="198"/>
      <c r="S80" s="198"/>
      <c r="T80" s="198"/>
      <c r="U80" s="198"/>
    </row>
    <row r="81" spans="1:26" s="12" customFormat="1" x14ac:dyDescent="0.25">
      <c r="A81" s="214" t="s">
        <v>2720</v>
      </c>
      <c r="B81" s="64">
        <v>48.97</v>
      </c>
      <c r="C81" s="64">
        <v>18.59</v>
      </c>
      <c r="D81" s="64">
        <v>48.98</v>
      </c>
      <c r="E81" s="64">
        <v>9.27</v>
      </c>
      <c r="F81" s="64">
        <v>3.29</v>
      </c>
      <c r="G81" s="64">
        <v>55.95</v>
      </c>
      <c r="H81" s="64">
        <v>18.059999999999999</v>
      </c>
      <c r="I81" s="64">
        <v>3.6</v>
      </c>
      <c r="J81" s="64">
        <v>0.38</v>
      </c>
      <c r="K81" s="64">
        <v>332.01</v>
      </c>
      <c r="L81" s="64">
        <v>12.64</v>
      </c>
      <c r="M81" s="64">
        <v>46.69</v>
      </c>
      <c r="N81" s="64">
        <v>30</v>
      </c>
      <c r="O81" s="64">
        <v>0</v>
      </c>
      <c r="P81" s="64">
        <v>1.76</v>
      </c>
      <c r="Q81" s="64">
        <v>9.4499999999999993</v>
      </c>
      <c r="R81" s="198"/>
      <c r="S81" s="198"/>
      <c r="T81" s="198"/>
      <c r="U81" s="198"/>
    </row>
    <row r="82" spans="1:26" s="12" customFormat="1" x14ac:dyDescent="0.25">
      <c r="A82" s="214" t="s">
        <v>2721</v>
      </c>
      <c r="B82" s="64">
        <v>29.96</v>
      </c>
      <c r="C82" s="64">
        <v>23.7</v>
      </c>
      <c r="D82" s="64">
        <v>36.409999999999997</v>
      </c>
      <c r="E82" s="64">
        <v>7.89</v>
      </c>
      <c r="F82" s="64">
        <v>2.5</v>
      </c>
      <c r="G82" s="64">
        <v>55.95</v>
      </c>
      <c r="H82" s="64">
        <v>18.059999999999999</v>
      </c>
      <c r="I82" s="64">
        <v>3.61</v>
      </c>
      <c r="J82" s="64">
        <v>0.39</v>
      </c>
      <c r="K82" s="64">
        <v>293.04000000000002</v>
      </c>
      <c r="L82" s="64">
        <v>11.57</v>
      </c>
      <c r="M82" s="64">
        <v>55.48</v>
      </c>
      <c r="N82" s="64">
        <v>29.9</v>
      </c>
      <c r="O82" s="64">
        <v>0</v>
      </c>
      <c r="P82" s="64">
        <v>1.55</v>
      </c>
      <c r="Q82" s="64">
        <v>9.4600000000000009</v>
      </c>
      <c r="R82" s="198"/>
      <c r="S82" s="198"/>
      <c r="T82" s="198"/>
      <c r="U82" s="198"/>
    </row>
    <row r="83" spans="1:26" s="12" customFormat="1" x14ac:dyDescent="0.25">
      <c r="A83" s="214" t="s">
        <v>2722</v>
      </c>
      <c r="B83" s="64">
        <v>27.34</v>
      </c>
      <c r="C83" s="64">
        <v>22.21</v>
      </c>
      <c r="D83" s="64">
        <v>33.53</v>
      </c>
      <c r="E83" s="64">
        <v>6.16</v>
      </c>
      <c r="F83" s="64">
        <v>2.52</v>
      </c>
      <c r="G83" s="64">
        <v>55.95</v>
      </c>
      <c r="H83" s="64">
        <v>18.059999999999999</v>
      </c>
      <c r="I83" s="64">
        <v>4.4400000000000004</v>
      </c>
      <c r="J83" s="64">
        <v>0.14000000000000001</v>
      </c>
      <c r="K83" s="64">
        <v>216.64</v>
      </c>
      <c r="L83" s="64">
        <v>10.82</v>
      </c>
      <c r="M83" s="64">
        <v>61.48</v>
      </c>
      <c r="N83" s="64">
        <v>29.8</v>
      </c>
      <c r="O83" s="64">
        <v>0</v>
      </c>
      <c r="P83" s="64">
        <v>1.46</v>
      </c>
      <c r="Q83" s="64">
        <v>9.49</v>
      </c>
      <c r="R83" s="198"/>
      <c r="S83" s="198"/>
      <c r="T83" s="198"/>
      <c r="U83" s="198"/>
    </row>
    <row r="84" spans="1:26" s="12" customFormat="1" x14ac:dyDescent="0.25">
      <c r="A84" s="214" t="s">
        <v>2723</v>
      </c>
      <c r="B84" s="64">
        <v>26.76</v>
      </c>
      <c r="C84" s="64">
        <v>20.57</v>
      </c>
      <c r="D84" s="64">
        <v>32.21</v>
      </c>
      <c r="E84" s="64">
        <v>5.14</v>
      </c>
      <c r="F84" s="64">
        <v>2.52</v>
      </c>
      <c r="G84" s="64">
        <v>61.69</v>
      </c>
      <c r="H84" s="64">
        <v>21.79</v>
      </c>
      <c r="I84" s="64">
        <v>4.91</v>
      </c>
      <c r="J84" s="64">
        <v>0.48</v>
      </c>
      <c r="K84" s="64">
        <v>117.32</v>
      </c>
      <c r="L84" s="64">
        <v>10.25</v>
      </c>
      <c r="M84" s="64">
        <v>67.94</v>
      </c>
      <c r="N84" s="64">
        <v>29.7</v>
      </c>
      <c r="O84" s="64">
        <v>0</v>
      </c>
      <c r="P84" s="64">
        <v>1.36</v>
      </c>
      <c r="Q84" s="64">
        <v>9.49</v>
      </c>
      <c r="R84" s="198"/>
      <c r="S84" s="198"/>
      <c r="T84" s="198"/>
      <c r="U84" s="198"/>
    </row>
    <row r="85" spans="1:26" s="12" customFormat="1" x14ac:dyDescent="0.25">
      <c r="A85" s="214" t="s">
        <v>2724</v>
      </c>
      <c r="B85" s="64">
        <v>34.840000000000003</v>
      </c>
      <c r="C85" s="64">
        <v>16.2</v>
      </c>
      <c r="D85" s="64">
        <v>36.4</v>
      </c>
      <c r="E85" s="64">
        <v>5.3</v>
      </c>
      <c r="F85" s="64">
        <v>2.6</v>
      </c>
      <c r="G85" s="64">
        <v>66.489999999999995</v>
      </c>
      <c r="H85" s="64">
        <v>24.63</v>
      </c>
      <c r="I85" s="64">
        <v>3.88</v>
      </c>
      <c r="J85" s="64">
        <v>0.54</v>
      </c>
      <c r="K85" s="64">
        <v>96.9</v>
      </c>
      <c r="L85" s="64">
        <v>10.119999999999999</v>
      </c>
      <c r="M85" s="64">
        <v>66.069999999999993</v>
      </c>
      <c r="N85" s="64">
        <v>29.4</v>
      </c>
      <c r="O85" s="64">
        <v>0</v>
      </c>
      <c r="P85" s="64">
        <v>1.27</v>
      </c>
      <c r="Q85" s="64">
        <v>9.52</v>
      </c>
      <c r="R85" s="198"/>
      <c r="S85" s="198"/>
      <c r="T85" s="198"/>
      <c r="U85" s="198"/>
    </row>
    <row r="86" spans="1:26" s="12" customFormat="1" x14ac:dyDescent="0.25">
      <c r="A86" s="214" t="s">
        <v>2725</v>
      </c>
      <c r="B86" s="64">
        <v>38.549999999999997</v>
      </c>
      <c r="C86" s="64">
        <v>13.21</v>
      </c>
      <c r="D86" s="64">
        <v>37.82</v>
      </c>
      <c r="E86" s="64">
        <v>4.84</v>
      </c>
      <c r="F86" s="64">
        <v>2.6</v>
      </c>
      <c r="G86" s="64">
        <v>66.489999999999995</v>
      </c>
      <c r="H86" s="64">
        <v>24.63</v>
      </c>
      <c r="I86" s="64">
        <v>3.66</v>
      </c>
      <c r="J86" s="64">
        <v>0.4</v>
      </c>
      <c r="K86" s="64">
        <v>128.68</v>
      </c>
      <c r="L86" s="64">
        <v>9.7799999999999994</v>
      </c>
      <c r="M86" s="64">
        <v>70.98</v>
      </c>
      <c r="N86" s="64">
        <v>29.5</v>
      </c>
      <c r="O86" s="64">
        <v>0</v>
      </c>
      <c r="P86" s="64">
        <v>1.41</v>
      </c>
      <c r="Q86" s="64">
        <v>9.58</v>
      </c>
      <c r="R86" s="198"/>
      <c r="S86" s="198"/>
      <c r="T86" s="198"/>
      <c r="U86" s="198"/>
    </row>
    <row r="87" spans="1:26" s="12" customFormat="1" x14ac:dyDescent="0.25">
      <c r="A87" s="214" t="s">
        <v>2726</v>
      </c>
      <c r="B87" s="64">
        <v>43.77</v>
      </c>
      <c r="C87" s="64">
        <v>10.01</v>
      </c>
      <c r="D87" s="64">
        <v>40.33</v>
      </c>
      <c r="E87" s="64">
        <v>4.66</v>
      </c>
      <c r="F87" s="64">
        <v>2.65</v>
      </c>
      <c r="G87" s="64">
        <v>66.489999999999995</v>
      </c>
      <c r="H87" s="64">
        <v>24.63</v>
      </c>
      <c r="I87" s="64">
        <v>3.9</v>
      </c>
      <c r="J87" s="64">
        <v>0.17</v>
      </c>
      <c r="K87" s="64">
        <v>45.68</v>
      </c>
      <c r="L87" s="64">
        <v>9.66</v>
      </c>
      <c r="M87" s="64">
        <v>73.63</v>
      </c>
      <c r="N87" s="64">
        <v>29.5</v>
      </c>
      <c r="O87" s="64">
        <v>0</v>
      </c>
      <c r="P87" s="64">
        <v>1.51</v>
      </c>
      <c r="Q87" s="64">
        <v>9.6199999999999992</v>
      </c>
      <c r="R87" s="198"/>
      <c r="S87" s="198"/>
      <c r="T87" s="198"/>
      <c r="U87" s="198"/>
    </row>
    <row r="88" spans="1:26" s="12" customFormat="1" x14ac:dyDescent="0.25">
      <c r="A88" s="214" t="s">
        <v>2727</v>
      </c>
      <c r="B88" s="64">
        <v>50.59</v>
      </c>
      <c r="C88" s="64">
        <v>5.77</v>
      </c>
      <c r="D88" s="64">
        <v>43.58</v>
      </c>
      <c r="E88" s="64">
        <v>4.9000000000000004</v>
      </c>
      <c r="F88" s="64">
        <v>2.59</v>
      </c>
      <c r="G88" s="64">
        <v>75.38</v>
      </c>
      <c r="H88" s="64">
        <v>29.46</v>
      </c>
      <c r="I88" s="64">
        <v>4.17</v>
      </c>
      <c r="J88" s="64">
        <v>0.08</v>
      </c>
      <c r="K88" s="64">
        <v>10.1</v>
      </c>
      <c r="L88" s="64">
        <v>9.49</v>
      </c>
      <c r="M88" s="64">
        <v>76.11</v>
      </c>
      <c r="N88" s="64">
        <v>29.3</v>
      </c>
      <c r="O88" s="64">
        <v>0</v>
      </c>
      <c r="P88" s="64">
        <v>1.63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4" t="s">
        <v>2728</v>
      </c>
      <c r="B89" s="64">
        <v>57.04</v>
      </c>
      <c r="C89" s="64">
        <v>1.89</v>
      </c>
      <c r="D89" s="64">
        <v>46.73</v>
      </c>
      <c r="E89" s="64">
        <v>4.8499999999999996</v>
      </c>
      <c r="F89" s="64">
        <v>2.48</v>
      </c>
      <c r="G89" s="64">
        <v>82.82</v>
      </c>
      <c r="H89" s="64">
        <v>31.38</v>
      </c>
      <c r="I89" s="64">
        <v>4.5</v>
      </c>
      <c r="J89" s="64">
        <v>0.15</v>
      </c>
      <c r="K89" s="64">
        <v>258.63</v>
      </c>
      <c r="L89" s="64">
        <v>9.34</v>
      </c>
      <c r="M89" s="64">
        <v>75.55</v>
      </c>
      <c r="N89" s="64">
        <v>29.4</v>
      </c>
      <c r="O89" s="64">
        <v>0</v>
      </c>
      <c r="P89" s="64">
        <v>1.75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4" t="s">
        <v>2729</v>
      </c>
      <c r="B90" s="64">
        <v>63.36</v>
      </c>
      <c r="C90" s="64">
        <v>1.89</v>
      </c>
      <c r="D90" s="64">
        <v>49.73</v>
      </c>
      <c r="E90" s="64">
        <v>5.0999999999999996</v>
      </c>
      <c r="F90" s="64">
        <v>2.37</v>
      </c>
      <c r="G90" s="64">
        <v>82.82</v>
      </c>
      <c r="H90" s="64">
        <v>31.38</v>
      </c>
      <c r="I90" s="64">
        <v>4.8099999999999996</v>
      </c>
      <c r="J90" s="64">
        <v>0.45</v>
      </c>
      <c r="K90" s="64">
        <v>279.70999999999998</v>
      </c>
      <c r="L90" s="64">
        <v>9.2899999999999991</v>
      </c>
      <c r="M90" s="64">
        <v>73.05</v>
      </c>
      <c r="N90" s="64">
        <v>29.5</v>
      </c>
      <c r="O90" s="64">
        <v>0</v>
      </c>
      <c r="P90" s="64">
        <v>1.85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4" t="s">
        <v>2730</v>
      </c>
      <c r="B91" s="64">
        <v>69.52</v>
      </c>
      <c r="C91" s="64">
        <v>1.89</v>
      </c>
      <c r="D91" s="64">
        <v>52.78</v>
      </c>
      <c r="E91" s="64">
        <v>4.92</v>
      </c>
      <c r="F91" s="64">
        <v>2.46</v>
      </c>
      <c r="G91" s="64">
        <v>82.82</v>
      </c>
      <c r="H91" s="64">
        <v>31.38</v>
      </c>
      <c r="I91" s="64">
        <v>5.13</v>
      </c>
      <c r="J91" s="64">
        <v>0.05</v>
      </c>
      <c r="K91" s="64">
        <v>114.82</v>
      </c>
      <c r="L91" s="64">
        <v>9.0500000000000007</v>
      </c>
      <c r="M91" s="64">
        <v>76.94</v>
      </c>
      <c r="N91" s="64">
        <v>29.4</v>
      </c>
      <c r="O91" s="64">
        <v>0</v>
      </c>
      <c r="P91" s="64">
        <v>1.97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4" t="s">
        <v>2731</v>
      </c>
      <c r="B92" s="64">
        <v>77.73</v>
      </c>
      <c r="C92" s="64">
        <v>1.89</v>
      </c>
      <c r="D92" s="64">
        <v>56.64</v>
      </c>
      <c r="E92" s="64">
        <v>5.47</v>
      </c>
      <c r="F92" s="64">
        <v>2.2999999999999998</v>
      </c>
      <c r="G92" s="64">
        <v>87.87</v>
      </c>
      <c r="H92" s="64">
        <v>36.01</v>
      </c>
      <c r="I92" s="64">
        <v>5.45</v>
      </c>
      <c r="J92" s="64">
        <v>0.39</v>
      </c>
      <c r="K92" s="64">
        <v>10.48</v>
      </c>
      <c r="L92" s="64">
        <v>8.9600000000000009</v>
      </c>
      <c r="M92" s="64">
        <v>81.69</v>
      </c>
      <c r="N92" s="64">
        <v>29.6</v>
      </c>
      <c r="O92" s="64">
        <v>0</v>
      </c>
      <c r="P92" s="64">
        <v>2.12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4" t="s">
        <v>2732</v>
      </c>
      <c r="B93" s="64">
        <v>89.04</v>
      </c>
      <c r="C93" s="64">
        <v>1.89</v>
      </c>
      <c r="D93" s="64">
        <v>62.23</v>
      </c>
      <c r="E93" s="64">
        <v>5.14</v>
      </c>
      <c r="F93" s="64">
        <v>2.39</v>
      </c>
      <c r="G93" s="64">
        <v>92.1</v>
      </c>
      <c r="H93" s="64">
        <v>37.85</v>
      </c>
      <c r="I93" s="64">
        <v>5.8</v>
      </c>
      <c r="J93" s="64">
        <v>0.38</v>
      </c>
      <c r="K93" s="64">
        <v>223.87</v>
      </c>
      <c r="L93" s="64">
        <v>8.6</v>
      </c>
      <c r="M93" s="64">
        <v>82.65</v>
      </c>
      <c r="N93" s="64">
        <v>29.3</v>
      </c>
      <c r="O93" s="64">
        <v>0</v>
      </c>
      <c r="P93" s="64">
        <v>2.31</v>
      </c>
      <c r="Q93" s="64">
        <v>9.68</v>
      </c>
      <c r="R93" s="198"/>
      <c r="S93" s="198"/>
      <c r="T93" s="198"/>
      <c r="U93" s="198"/>
    </row>
    <row r="94" spans="1:26" s="12" customFormat="1" x14ac:dyDescent="0.25">
      <c r="A94" s="214" t="s">
        <v>2733</v>
      </c>
      <c r="B94" s="64">
        <v>100.43</v>
      </c>
      <c r="C94" s="64">
        <v>1.89</v>
      </c>
      <c r="D94" s="64">
        <v>67.53</v>
      </c>
      <c r="E94" s="64">
        <v>5.2</v>
      </c>
      <c r="F94" s="64">
        <v>2.27</v>
      </c>
      <c r="G94" s="64">
        <v>92.1</v>
      </c>
      <c r="H94" s="64">
        <v>37.85</v>
      </c>
      <c r="I94" s="64">
        <v>6.23</v>
      </c>
      <c r="J94" s="64">
        <v>0.43</v>
      </c>
      <c r="K94" s="64">
        <v>324.98</v>
      </c>
      <c r="L94" s="64">
        <v>8.58</v>
      </c>
      <c r="M94" s="64">
        <v>81.180000000000007</v>
      </c>
      <c r="N94" s="64">
        <v>29.5</v>
      </c>
      <c r="O94" s="64">
        <v>0</v>
      </c>
      <c r="P94" s="64">
        <v>2.4700000000000002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4" t="s">
        <v>2734</v>
      </c>
      <c r="B95" s="64">
        <v>107.47</v>
      </c>
      <c r="C95" s="64">
        <v>1.89</v>
      </c>
      <c r="D95" s="64">
        <v>71</v>
      </c>
      <c r="E95" s="64">
        <v>5.36</v>
      </c>
      <c r="F95" s="64">
        <v>2.12</v>
      </c>
      <c r="G95" s="64">
        <v>92.1</v>
      </c>
      <c r="H95" s="64">
        <v>37.85</v>
      </c>
      <c r="I95" s="64">
        <v>6.74</v>
      </c>
      <c r="J95" s="64">
        <v>0.36</v>
      </c>
      <c r="K95" s="64">
        <v>291.17</v>
      </c>
      <c r="L95" s="64">
        <v>8.27</v>
      </c>
      <c r="M95" s="64">
        <v>79.819999999999993</v>
      </c>
      <c r="N95" s="64">
        <v>29.4</v>
      </c>
      <c r="O95" s="64">
        <v>0</v>
      </c>
      <c r="P95" s="64">
        <v>2.58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14" t="s">
        <v>2735</v>
      </c>
      <c r="B96" s="64">
        <v>113.02</v>
      </c>
      <c r="C96" s="64">
        <v>1.89</v>
      </c>
      <c r="D96" s="64">
        <v>73.53</v>
      </c>
      <c r="E96" s="64">
        <v>5.34</v>
      </c>
      <c r="F96" s="64">
        <v>2.29</v>
      </c>
      <c r="G96" s="64">
        <v>98.02</v>
      </c>
      <c r="H96" s="64">
        <v>43.43</v>
      </c>
      <c r="I96" s="64">
        <v>7.2</v>
      </c>
      <c r="J96" s="64">
        <v>0.5</v>
      </c>
      <c r="K96" s="64">
        <v>329.53</v>
      </c>
      <c r="L96" s="64">
        <v>8.1300000000000008</v>
      </c>
      <c r="M96" s="64">
        <v>86.23</v>
      </c>
      <c r="N96" s="64">
        <v>29.4</v>
      </c>
      <c r="O96" s="64">
        <v>0</v>
      </c>
      <c r="P96" s="64">
        <v>2.67</v>
      </c>
      <c r="Q96" s="64">
        <v>9.68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2736</v>
      </c>
      <c r="B97" s="64">
        <v>119.45</v>
      </c>
      <c r="C97" s="64">
        <v>1.89</v>
      </c>
      <c r="D97" s="64">
        <v>76.349999999999994</v>
      </c>
      <c r="E97" s="64">
        <v>5.57</v>
      </c>
      <c r="F97" s="64">
        <v>2.85</v>
      </c>
      <c r="G97" s="64">
        <v>102.97</v>
      </c>
      <c r="H97" s="64">
        <v>45.64</v>
      </c>
      <c r="I97" s="64">
        <v>7.55</v>
      </c>
      <c r="J97" s="64">
        <v>0.5</v>
      </c>
      <c r="K97" s="64">
        <v>289.49</v>
      </c>
      <c r="L97" s="64">
        <v>7.84</v>
      </c>
      <c r="M97" s="64">
        <v>86.37</v>
      </c>
      <c r="N97" s="64">
        <v>29.4</v>
      </c>
      <c r="O97" s="64">
        <v>0</v>
      </c>
      <c r="P97" s="64">
        <v>2.82</v>
      </c>
      <c r="Q97" s="64">
        <v>9.69</v>
      </c>
      <c r="R97" s="198"/>
      <c r="S97" s="198"/>
      <c r="T97" s="198"/>
      <c r="U97" s="198"/>
    </row>
    <row r="98" spans="1:33" s="12" customFormat="1" x14ac:dyDescent="0.25">
      <c r="A98" s="214" t="s">
        <v>2737</v>
      </c>
      <c r="B98" s="64">
        <v>86.11</v>
      </c>
      <c r="C98" s="64">
        <v>1.89</v>
      </c>
      <c r="D98" s="64">
        <v>55.62</v>
      </c>
      <c r="E98" s="64">
        <v>5.89</v>
      </c>
      <c r="F98" s="64">
        <v>2.69</v>
      </c>
      <c r="G98" s="64">
        <v>102.97</v>
      </c>
      <c r="H98" s="64">
        <v>45.64</v>
      </c>
      <c r="I98" s="64">
        <v>7.85</v>
      </c>
      <c r="J98" s="64">
        <v>0.32</v>
      </c>
      <c r="K98" s="64">
        <v>251.98</v>
      </c>
      <c r="L98" s="64">
        <v>7.78</v>
      </c>
      <c r="M98" s="64">
        <v>81.09</v>
      </c>
      <c r="N98" s="64">
        <v>29.5</v>
      </c>
      <c r="O98" s="64">
        <v>0</v>
      </c>
      <c r="P98" s="64">
        <v>2.86</v>
      </c>
      <c r="Q98" s="64">
        <v>9.69</v>
      </c>
      <c r="R98" s="198"/>
      <c r="S98" s="198"/>
      <c r="T98" s="198"/>
      <c r="U98" s="198"/>
    </row>
    <row r="99" spans="1:33" s="12" customFormat="1" x14ac:dyDescent="0.25">
      <c r="A99" s="214" t="s">
        <v>2738</v>
      </c>
      <c r="B99" s="64">
        <v>57.32</v>
      </c>
      <c r="C99" s="64">
        <v>1.89</v>
      </c>
      <c r="D99" s="64">
        <v>39.25</v>
      </c>
      <c r="E99" s="64">
        <v>5.85</v>
      </c>
      <c r="F99" s="64">
        <v>2.5299999999999998</v>
      </c>
      <c r="G99" s="64">
        <v>102.97</v>
      </c>
      <c r="H99" s="64">
        <v>45.64</v>
      </c>
      <c r="I99" s="64">
        <v>8.17</v>
      </c>
      <c r="J99" s="64">
        <v>0.48</v>
      </c>
      <c r="K99" s="64">
        <v>106.92</v>
      </c>
      <c r="L99" s="64">
        <v>7.69</v>
      </c>
      <c r="M99" s="64">
        <v>83.71</v>
      </c>
      <c r="N99" s="64">
        <v>29.4</v>
      </c>
      <c r="O99" s="64">
        <v>0</v>
      </c>
      <c r="P99" s="64">
        <v>2.87</v>
      </c>
      <c r="Q99" s="64">
        <v>9.6999999999999993</v>
      </c>
      <c r="R99" s="198"/>
      <c r="S99" s="198"/>
      <c r="T99" s="198"/>
      <c r="U99" s="198"/>
    </row>
    <row r="100" spans="1:33" s="12" customFormat="1" x14ac:dyDescent="0.25">
      <c r="A100" s="214" t="s">
        <v>2739</v>
      </c>
      <c r="B100" s="64">
        <v>77.459999999999994</v>
      </c>
      <c r="C100" s="64">
        <v>1.89</v>
      </c>
      <c r="D100" s="64">
        <v>57.42</v>
      </c>
      <c r="E100" s="64">
        <v>5.73</v>
      </c>
      <c r="F100" s="64">
        <v>2.46</v>
      </c>
      <c r="G100" s="64">
        <v>95.62</v>
      </c>
      <c r="H100" s="64">
        <v>43.97</v>
      </c>
      <c r="I100" s="64">
        <v>8.31</v>
      </c>
      <c r="J100" s="64">
        <v>0.36</v>
      </c>
      <c r="K100" s="64">
        <v>88.71</v>
      </c>
      <c r="L100" s="64">
        <v>7.56</v>
      </c>
      <c r="M100" s="64">
        <v>87.73</v>
      </c>
      <c r="N100" s="64">
        <v>29.5</v>
      </c>
      <c r="O100" s="64">
        <v>0</v>
      </c>
      <c r="P100" s="64">
        <v>2.91</v>
      </c>
      <c r="Q100" s="64">
        <v>9.6999999999999993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2740</v>
      </c>
      <c r="B101" s="64">
        <v>131.81</v>
      </c>
      <c r="C101" s="64">
        <v>1.89</v>
      </c>
      <c r="D101" s="64">
        <v>97.07</v>
      </c>
      <c r="E101" s="64">
        <v>5.78</v>
      </c>
      <c r="F101" s="64">
        <v>2.59</v>
      </c>
      <c r="G101" s="64">
        <v>89.47</v>
      </c>
      <c r="H101" s="64">
        <v>42.7</v>
      </c>
      <c r="I101" s="64">
        <v>9.02</v>
      </c>
      <c r="J101" s="64">
        <v>0.49</v>
      </c>
      <c r="K101" s="64">
        <v>350.64</v>
      </c>
      <c r="L101" s="64">
        <v>7.3</v>
      </c>
      <c r="M101" s="64">
        <v>89.73</v>
      </c>
      <c r="N101" s="64">
        <v>29.5</v>
      </c>
      <c r="O101" s="64">
        <v>0</v>
      </c>
      <c r="P101" s="64">
        <v>2.97</v>
      </c>
      <c r="Q101" s="64">
        <v>9.6999999999999993</v>
      </c>
      <c r="R101" s="198"/>
      <c r="S101" s="198"/>
      <c r="T101" s="198"/>
      <c r="U101" s="198"/>
    </row>
    <row r="102" spans="1:33" s="12" customFormat="1" x14ac:dyDescent="0.25">
      <c r="A102" s="214" t="s">
        <v>2741</v>
      </c>
      <c r="B102" s="64">
        <v>136.16</v>
      </c>
      <c r="C102" s="64">
        <v>1.89</v>
      </c>
      <c r="D102" s="64">
        <v>99.2</v>
      </c>
      <c r="E102" s="64">
        <v>5.85</v>
      </c>
      <c r="F102" s="64">
        <v>2.4700000000000002</v>
      </c>
      <c r="G102" s="64">
        <v>89.47</v>
      </c>
      <c r="H102" s="64">
        <v>42.7</v>
      </c>
      <c r="I102" s="64">
        <v>8.73</v>
      </c>
      <c r="J102" s="64">
        <v>0.1</v>
      </c>
      <c r="K102" s="64">
        <v>294.19</v>
      </c>
      <c r="L102" s="64">
        <v>7.23</v>
      </c>
      <c r="M102" s="64">
        <v>93.2</v>
      </c>
      <c r="N102" s="64">
        <v>29.1</v>
      </c>
      <c r="O102" s="64">
        <v>0</v>
      </c>
      <c r="P102" s="64">
        <v>2.98</v>
      </c>
      <c r="Q102" s="64">
        <v>9.6999999999999993</v>
      </c>
      <c r="R102" s="198"/>
      <c r="S102" s="198"/>
      <c r="T102" s="198"/>
      <c r="U102" s="198"/>
    </row>
    <row r="103" spans="1:33" s="12" customFormat="1" x14ac:dyDescent="0.25">
      <c r="A103" s="214" t="s">
        <v>2742</v>
      </c>
      <c r="B103" s="64">
        <v>137.91</v>
      </c>
      <c r="C103" s="64">
        <v>1.89</v>
      </c>
      <c r="D103" s="64">
        <v>99.75</v>
      </c>
      <c r="E103" s="64">
        <v>5.84</v>
      </c>
      <c r="F103" s="64">
        <v>2.56</v>
      </c>
      <c r="G103" s="64">
        <v>89.47</v>
      </c>
      <c r="H103" s="64">
        <v>42.7</v>
      </c>
      <c r="I103" s="64">
        <v>8.6300000000000008</v>
      </c>
      <c r="J103" s="64">
        <v>0.14000000000000001</v>
      </c>
      <c r="K103" s="64">
        <v>337.14</v>
      </c>
      <c r="L103" s="64">
        <v>7.34</v>
      </c>
      <c r="M103" s="64">
        <v>91.02</v>
      </c>
      <c r="N103" s="64">
        <v>29.2</v>
      </c>
      <c r="O103" s="64">
        <v>0</v>
      </c>
      <c r="P103" s="64">
        <v>2.97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4" t="s">
        <v>2743</v>
      </c>
      <c r="B104" s="64">
        <v>136.09</v>
      </c>
      <c r="C104" s="64">
        <v>1.89</v>
      </c>
      <c r="D104" s="64">
        <v>98.23</v>
      </c>
      <c r="E104" s="64">
        <v>5.83</v>
      </c>
      <c r="F104" s="64">
        <v>2.62</v>
      </c>
      <c r="G104" s="64">
        <v>86.69</v>
      </c>
      <c r="H104" s="64">
        <v>40.81</v>
      </c>
      <c r="I104" s="64">
        <v>8.77</v>
      </c>
      <c r="J104" s="64">
        <v>0.28999999999999998</v>
      </c>
      <c r="K104" s="64">
        <v>298.74</v>
      </c>
      <c r="L104" s="64">
        <v>7.34</v>
      </c>
      <c r="M104" s="64">
        <v>91.25</v>
      </c>
      <c r="N104" s="64">
        <v>29.4</v>
      </c>
      <c r="O104" s="64">
        <v>0</v>
      </c>
      <c r="P104" s="64">
        <v>2.94</v>
      </c>
      <c r="Q104" s="64">
        <v>9.6999999999999993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6.04</v>
      </c>
      <c r="C106" s="67">
        <f>MIN(C9:C104)</f>
        <v>0.08</v>
      </c>
      <c r="D106" s="67">
        <f t="shared" ref="D106:Q106" si="0">MIN(D9:D104)</f>
        <v>20.87</v>
      </c>
      <c r="E106" s="67">
        <f t="shared" si="0"/>
        <v>4.66</v>
      </c>
      <c r="F106" s="67">
        <f t="shared" si="0"/>
        <v>2.11</v>
      </c>
      <c r="G106" s="67">
        <f t="shared" si="0"/>
        <v>21.54</v>
      </c>
      <c r="H106" s="67">
        <f t="shared" si="0"/>
        <v>13.99</v>
      </c>
      <c r="I106" s="67">
        <f t="shared" si="0"/>
        <v>1.85</v>
      </c>
      <c r="J106" s="67">
        <f t="shared" si="0"/>
        <v>0.03</v>
      </c>
      <c r="K106" s="67">
        <f t="shared" si="0"/>
        <v>1.1599999999999999</v>
      </c>
      <c r="L106" s="67">
        <f t="shared" si="0"/>
        <v>5.4</v>
      </c>
      <c r="M106" s="67">
        <f t="shared" si="0"/>
        <v>25.5</v>
      </c>
      <c r="N106" s="67">
        <f t="shared" si="0"/>
        <v>28.7</v>
      </c>
      <c r="O106" s="67">
        <f t="shared" si="0"/>
        <v>0</v>
      </c>
      <c r="P106" s="67">
        <f t="shared" si="0"/>
        <v>0.55000000000000004</v>
      </c>
      <c r="Q106" s="67">
        <f t="shared" si="0"/>
        <v>9.32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137.91</v>
      </c>
      <c r="C107" s="66">
        <f t="shared" ref="C107:Q107" si="1">MAX(C9:C104)</f>
        <v>36.74</v>
      </c>
      <c r="D107" s="66">
        <f t="shared" si="1"/>
        <v>99.75</v>
      </c>
      <c r="E107" s="66">
        <f t="shared" si="1"/>
        <v>22.98</v>
      </c>
      <c r="F107" s="66">
        <f t="shared" si="1"/>
        <v>8.4499999999999993</v>
      </c>
      <c r="G107" s="66">
        <f t="shared" si="1"/>
        <v>102.97</v>
      </c>
      <c r="H107" s="66">
        <f t="shared" si="1"/>
        <v>45.64</v>
      </c>
      <c r="I107" s="66">
        <f t="shared" si="1"/>
        <v>9.02</v>
      </c>
      <c r="J107" s="66">
        <f t="shared" si="1"/>
        <v>1.7</v>
      </c>
      <c r="K107" s="66">
        <f t="shared" si="1"/>
        <v>357.15</v>
      </c>
      <c r="L107" s="66">
        <f t="shared" si="1"/>
        <v>21.55</v>
      </c>
      <c r="M107" s="66">
        <f t="shared" si="1"/>
        <v>99.15</v>
      </c>
      <c r="N107" s="66">
        <f t="shared" si="1"/>
        <v>429.6</v>
      </c>
      <c r="O107" s="66">
        <f t="shared" si="1"/>
        <v>0</v>
      </c>
      <c r="P107" s="66">
        <f t="shared" si="1"/>
        <v>2.98</v>
      </c>
      <c r="Q107" s="66">
        <f t="shared" si="1"/>
        <v>9.7200000000000006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54.943125000000016</v>
      </c>
      <c r="C108" s="67">
        <f t="shared" ref="C108:Q108" si="2">AVERAGE(C9:C104)</f>
        <v>17.966145833333353</v>
      </c>
      <c r="D108" s="67">
        <f t="shared" si="2"/>
        <v>45.270625000000003</v>
      </c>
      <c r="E108" s="67">
        <f t="shared" si="2"/>
        <v>7.469479166666666</v>
      </c>
      <c r="F108" s="67">
        <f t="shared" si="2"/>
        <v>3.2762499999999992</v>
      </c>
      <c r="G108" s="67">
        <f t="shared" si="2"/>
        <v>59.048437499999999</v>
      </c>
      <c r="H108" s="67">
        <f t="shared" si="2"/>
        <v>28.425937499999993</v>
      </c>
      <c r="I108" s="67">
        <f t="shared" si="2"/>
        <v>5.27760416666667</v>
      </c>
      <c r="J108" s="67">
        <f t="shared" si="2"/>
        <v>0.47260416666666666</v>
      </c>
      <c r="K108" s="67">
        <f t="shared" si="2"/>
        <v>206.28812499999992</v>
      </c>
      <c r="L108" s="67">
        <f t="shared" si="2"/>
        <v>11.434583333333334</v>
      </c>
      <c r="M108" s="67">
        <f t="shared" si="2"/>
        <v>64.435312499999952</v>
      </c>
      <c r="N108" s="67">
        <f t="shared" si="2"/>
        <v>118.94166666666668</v>
      </c>
      <c r="O108" s="67">
        <f t="shared" si="2"/>
        <v>0</v>
      </c>
      <c r="P108" s="67">
        <f t="shared" si="2"/>
        <v>1.634479166666666</v>
      </c>
      <c r="Q108" s="67">
        <f t="shared" si="2"/>
        <v>9.5565625000000036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37.42749367461245</v>
      </c>
      <c r="C109" s="67">
        <f t="shared" ref="C109:Q109" si="3">STDEV(C9:C104)</f>
        <v>12.657441278784434</v>
      </c>
      <c r="D109" s="67">
        <f t="shared" si="3"/>
        <v>18.122844369091599</v>
      </c>
      <c r="E109" s="67">
        <f t="shared" si="3"/>
        <v>3.7273903301432805</v>
      </c>
      <c r="F109" s="67">
        <f t="shared" si="3"/>
        <v>1.4587335891829369</v>
      </c>
      <c r="G109" s="67">
        <f t="shared" si="3"/>
        <v>24.836979489552927</v>
      </c>
      <c r="H109" s="67">
        <f t="shared" si="3"/>
        <v>11.009516990994674</v>
      </c>
      <c r="I109" s="67">
        <f t="shared" si="3"/>
        <v>2.2853025803538345</v>
      </c>
      <c r="J109" s="67">
        <f t="shared" si="3"/>
        <v>0.3577686544231054</v>
      </c>
      <c r="K109" s="67">
        <f t="shared" si="3"/>
        <v>122.33236741127587</v>
      </c>
      <c r="L109" s="67">
        <f t="shared" si="3"/>
        <v>5.1830139406306728</v>
      </c>
      <c r="M109" s="67">
        <f t="shared" si="3"/>
        <v>27.792048349847619</v>
      </c>
      <c r="N109" s="67">
        <f t="shared" si="3"/>
        <v>141.60477070960314</v>
      </c>
      <c r="O109" s="67">
        <f t="shared" si="3"/>
        <v>0</v>
      </c>
      <c r="P109" s="67">
        <f t="shared" si="3"/>
        <v>0.72922723307357573</v>
      </c>
      <c r="Q109" s="67">
        <f t="shared" si="3"/>
        <v>0.14223648303182684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0" sqref="G12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2744</v>
      </c>
      <c r="B9" s="64">
        <v>132.47</v>
      </c>
      <c r="C9" s="64">
        <v>12.1</v>
      </c>
      <c r="D9" s="64">
        <v>95.83</v>
      </c>
      <c r="E9" s="64">
        <v>6.3</v>
      </c>
      <c r="F9" s="64">
        <v>2.64</v>
      </c>
      <c r="G9" s="64">
        <v>84.36</v>
      </c>
      <c r="H9" s="64">
        <v>40.07</v>
      </c>
      <c r="I9" s="64">
        <v>9.49</v>
      </c>
      <c r="J9" s="64">
        <v>0.82</v>
      </c>
      <c r="K9" s="64">
        <v>348.45</v>
      </c>
      <c r="L9" s="64">
        <v>7.38</v>
      </c>
      <c r="M9" s="64">
        <v>90.02</v>
      </c>
      <c r="N9" s="64">
        <v>28.3</v>
      </c>
      <c r="O9" s="64">
        <v>0</v>
      </c>
      <c r="P9" s="64">
        <v>2.91</v>
      </c>
      <c r="Q9" s="64">
        <v>9.7100000000000009</v>
      </c>
      <c r="R9" s="198"/>
      <c r="S9" s="198"/>
      <c r="T9" s="198"/>
      <c r="U9" s="198"/>
    </row>
    <row r="10" spans="1:21" s="12" customFormat="1" x14ac:dyDescent="0.25">
      <c r="A10" s="214" t="s">
        <v>2745</v>
      </c>
      <c r="B10" s="64">
        <v>126.92</v>
      </c>
      <c r="C10" s="64">
        <v>9.51</v>
      </c>
      <c r="D10" s="64">
        <v>92.82</v>
      </c>
      <c r="E10" s="64">
        <v>6.67</v>
      </c>
      <c r="F10" s="64">
        <v>2.5099999999999998</v>
      </c>
      <c r="G10" s="64">
        <v>84.36</v>
      </c>
      <c r="H10" s="64">
        <v>40.07</v>
      </c>
      <c r="I10" s="64">
        <v>9.01</v>
      </c>
      <c r="J10" s="64">
        <v>0.88</v>
      </c>
      <c r="K10" s="64">
        <v>346.33</v>
      </c>
      <c r="L10" s="64">
        <v>7.63</v>
      </c>
      <c r="M10" s="64">
        <v>82.68</v>
      </c>
      <c r="N10" s="64">
        <v>29</v>
      </c>
      <c r="O10" s="64">
        <v>0</v>
      </c>
      <c r="P10" s="64">
        <v>2.91</v>
      </c>
      <c r="Q10" s="64">
        <v>9.6999999999999993</v>
      </c>
      <c r="R10" s="198"/>
      <c r="S10" s="198"/>
      <c r="T10" s="198"/>
      <c r="U10" s="198"/>
    </row>
    <row r="11" spans="1:21" s="12" customFormat="1" x14ac:dyDescent="0.25">
      <c r="A11" s="214" t="s">
        <v>2746</v>
      </c>
      <c r="B11" s="64">
        <v>124.3</v>
      </c>
      <c r="C11" s="64">
        <v>3.4</v>
      </c>
      <c r="D11" s="64">
        <v>91.09</v>
      </c>
      <c r="E11" s="64">
        <v>6.21</v>
      </c>
      <c r="F11" s="64">
        <v>2.42</v>
      </c>
      <c r="G11" s="64">
        <v>84.36</v>
      </c>
      <c r="H11" s="64">
        <v>40.07</v>
      </c>
      <c r="I11" s="64">
        <v>8.8000000000000007</v>
      </c>
      <c r="J11" s="64">
        <v>0.31</v>
      </c>
      <c r="K11" s="64">
        <v>263.91000000000003</v>
      </c>
      <c r="L11" s="64">
        <v>7.3</v>
      </c>
      <c r="M11" s="64">
        <v>85.64</v>
      </c>
      <c r="N11" s="64">
        <v>29.7</v>
      </c>
      <c r="O11" s="64">
        <v>0</v>
      </c>
      <c r="P11" s="64">
        <v>2.89</v>
      </c>
      <c r="Q11" s="64">
        <v>9.6999999999999993</v>
      </c>
      <c r="R11" s="198"/>
      <c r="S11" s="198"/>
      <c r="T11" s="198"/>
      <c r="U11" s="198"/>
    </row>
    <row r="12" spans="1:21" s="12" customFormat="1" x14ac:dyDescent="0.25">
      <c r="A12" s="214" t="s">
        <v>2747</v>
      </c>
      <c r="B12" s="64">
        <v>120.71</v>
      </c>
      <c r="C12" s="64">
        <v>4.2</v>
      </c>
      <c r="D12" s="64">
        <v>88.83</v>
      </c>
      <c r="E12" s="64">
        <v>6.66</v>
      </c>
      <c r="F12" s="64">
        <v>2.35</v>
      </c>
      <c r="G12" s="64">
        <v>87.6</v>
      </c>
      <c r="H12" s="64">
        <v>42.17</v>
      </c>
      <c r="I12" s="64">
        <v>9.52</v>
      </c>
      <c r="J12" s="64">
        <v>0.25</v>
      </c>
      <c r="K12" s="64">
        <v>211.13</v>
      </c>
      <c r="L12" s="64">
        <v>7.06</v>
      </c>
      <c r="M12" s="64">
        <v>87.05</v>
      </c>
      <c r="N12" s="64">
        <v>29.6</v>
      </c>
      <c r="O12" s="64">
        <v>0</v>
      </c>
      <c r="P12" s="64">
        <v>2.87</v>
      </c>
      <c r="Q12" s="64">
        <v>9.69</v>
      </c>
      <c r="R12" s="198"/>
      <c r="S12" s="198"/>
      <c r="T12" s="198"/>
      <c r="U12" s="198"/>
    </row>
    <row r="13" spans="1:21" s="12" customFormat="1" x14ac:dyDescent="0.25">
      <c r="A13" s="214" t="s">
        <v>2748</v>
      </c>
      <c r="B13" s="64">
        <v>117.16</v>
      </c>
      <c r="C13" s="64">
        <v>5.12</v>
      </c>
      <c r="D13" s="64">
        <v>86.63</v>
      </c>
      <c r="E13" s="64">
        <v>6.19</v>
      </c>
      <c r="F13" s="64">
        <v>2.44</v>
      </c>
      <c r="G13" s="64">
        <v>90.31</v>
      </c>
      <c r="H13" s="64">
        <v>43</v>
      </c>
      <c r="I13" s="64">
        <v>9.07</v>
      </c>
      <c r="J13" s="64">
        <v>0.33</v>
      </c>
      <c r="K13" s="64">
        <v>104.83</v>
      </c>
      <c r="L13" s="64">
        <v>6.78</v>
      </c>
      <c r="M13" s="64">
        <v>89.14</v>
      </c>
      <c r="N13" s="64">
        <v>29.6</v>
      </c>
      <c r="O13" s="64">
        <v>0</v>
      </c>
      <c r="P13" s="64">
        <v>2.48</v>
      </c>
      <c r="Q13" s="64">
        <v>9.68</v>
      </c>
      <c r="R13" s="198"/>
      <c r="S13" s="198"/>
      <c r="T13" s="198"/>
      <c r="U13" s="198"/>
    </row>
    <row r="14" spans="1:21" s="12" customFormat="1" x14ac:dyDescent="0.25">
      <c r="A14" s="214" t="s">
        <v>2749</v>
      </c>
      <c r="B14" s="64">
        <v>113.63</v>
      </c>
      <c r="C14" s="64">
        <v>6.21</v>
      </c>
      <c r="D14" s="64">
        <v>84.38</v>
      </c>
      <c r="E14" s="64">
        <v>6.12</v>
      </c>
      <c r="F14" s="64">
        <v>2.4</v>
      </c>
      <c r="G14" s="64">
        <v>90.31</v>
      </c>
      <c r="H14" s="64">
        <v>43</v>
      </c>
      <c r="I14" s="64">
        <v>8.82</v>
      </c>
      <c r="J14" s="64">
        <v>0.32</v>
      </c>
      <c r="K14" s="64">
        <v>45.64</v>
      </c>
      <c r="L14" s="64">
        <v>6.6</v>
      </c>
      <c r="M14" s="64">
        <v>91.01</v>
      </c>
      <c r="N14" s="64">
        <v>29.6</v>
      </c>
      <c r="O14" s="64">
        <v>0</v>
      </c>
      <c r="P14" s="64">
        <v>2.57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4" t="s">
        <v>2750</v>
      </c>
      <c r="B15" s="64">
        <v>110.24</v>
      </c>
      <c r="C15" s="64">
        <v>7.14</v>
      </c>
      <c r="D15" s="64">
        <v>81.92</v>
      </c>
      <c r="E15" s="64">
        <v>5.95</v>
      </c>
      <c r="F15" s="64">
        <v>2.5299999999999998</v>
      </c>
      <c r="G15" s="64">
        <v>90.31</v>
      </c>
      <c r="H15" s="64">
        <v>43</v>
      </c>
      <c r="I15" s="64">
        <v>8.7799999999999994</v>
      </c>
      <c r="J15" s="64">
        <v>0.27</v>
      </c>
      <c r="K15" s="64">
        <v>15.35</v>
      </c>
      <c r="L15" s="64">
        <v>6.24</v>
      </c>
      <c r="M15" s="64">
        <v>94.75</v>
      </c>
      <c r="N15" s="64">
        <v>29.6</v>
      </c>
      <c r="O15" s="64">
        <v>0</v>
      </c>
      <c r="P15" s="64">
        <v>2.57</v>
      </c>
      <c r="Q15" s="64">
        <v>9.68</v>
      </c>
      <c r="R15" s="198"/>
      <c r="S15" s="198"/>
      <c r="T15" s="198"/>
      <c r="U15" s="198"/>
    </row>
    <row r="16" spans="1:21" s="12" customFormat="1" x14ac:dyDescent="0.25">
      <c r="A16" s="214" t="s">
        <v>2751</v>
      </c>
      <c r="B16" s="64">
        <v>106.97</v>
      </c>
      <c r="C16" s="64">
        <v>6.4</v>
      </c>
      <c r="D16" s="64">
        <v>79.959999999999994</v>
      </c>
      <c r="E16" s="64">
        <v>5.82</v>
      </c>
      <c r="F16" s="64">
        <v>2.2999999999999998</v>
      </c>
      <c r="G16" s="64">
        <v>93.7</v>
      </c>
      <c r="H16" s="64">
        <v>45.82</v>
      </c>
      <c r="I16" s="64">
        <v>9.44</v>
      </c>
      <c r="J16" s="64">
        <v>0.41</v>
      </c>
      <c r="K16" s="64">
        <v>149.11000000000001</v>
      </c>
      <c r="L16" s="64">
        <v>6.08</v>
      </c>
      <c r="M16" s="64">
        <v>96.56</v>
      </c>
      <c r="N16" s="64">
        <v>29.3</v>
      </c>
      <c r="O16" s="64">
        <v>0</v>
      </c>
      <c r="P16" s="64">
        <v>2.58</v>
      </c>
      <c r="Q16" s="64">
        <v>9.69</v>
      </c>
      <c r="R16" s="198"/>
      <c r="S16" s="198"/>
      <c r="T16" s="198"/>
      <c r="U16" s="198"/>
    </row>
    <row r="17" spans="1:21" s="12" customFormat="1" x14ac:dyDescent="0.25">
      <c r="A17" s="214" t="s">
        <v>2752</v>
      </c>
      <c r="B17" s="64">
        <v>103.61</v>
      </c>
      <c r="C17" s="64">
        <v>6.4</v>
      </c>
      <c r="D17" s="64">
        <v>78.040000000000006</v>
      </c>
      <c r="E17" s="64">
        <v>6.22</v>
      </c>
      <c r="F17" s="64">
        <v>2.4500000000000002</v>
      </c>
      <c r="G17" s="64">
        <v>96.53</v>
      </c>
      <c r="H17" s="64">
        <v>46.93</v>
      </c>
      <c r="I17" s="64">
        <v>9.02</v>
      </c>
      <c r="J17" s="64">
        <v>0.5</v>
      </c>
      <c r="K17" s="64">
        <v>221.32</v>
      </c>
      <c r="L17" s="64">
        <v>6.08</v>
      </c>
      <c r="M17" s="64">
        <v>96.44</v>
      </c>
      <c r="N17" s="64">
        <v>29.3</v>
      </c>
      <c r="O17" s="64">
        <v>0</v>
      </c>
      <c r="P17" s="64">
        <v>2.58</v>
      </c>
      <c r="Q17" s="64">
        <v>9.69</v>
      </c>
      <c r="R17" s="198"/>
      <c r="S17" s="198"/>
      <c r="T17" s="198"/>
      <c r="U17" s="198"/>
    </row>
    <row r="18" spans="1:21" s="12" customFormat="1" x14ac:dyDescent="0.25">
      <c r="A18" s="214" t="s">
        <v>2753</v>
      </c>
      <c r="B18" s="64">
        <v>100.38</v>
      </c>
      <c r="C18" s="64">
        <v>0.37</v>
      </c>
      <c r="D18" s="64">
        <v>76.08</v>
      </c>
      <c r="E18" s="64">
        <v>6.1</v>
      </c>
      <c r="F18" s="64">
        <v>2.35</v>
      </c>
      <c r="G18" s="64">
        <v>96.53</v>
      </c>
      <c r="H18" s="64">
        <v>46.93</v>
      </c>
      <c r="I18" s="64">
        <v>8.77</v>
      </c>
      <c r="J18" s="64">
        <v>0.39</v>
      </c>
      <c r="K18" s="64">
        <v>298.26</v>
      </c>
      <c r="L18" s="64">
        <v>5.86</v>
      </c>
      <c r="M18" s="64">
        <v>96.81</v>
      </c>
      <c r="N18" s="64">
        <v>29.5</v>
      </c>
      <c r="O18" s="64">
        <v>0</v>
      </c>
      <c r="P18" s="64">
        <v>2.5499999999999998</v>
      </c>
      <c r="Q18" s="64">
        <v>9.68</v>
      </c>
      <c r="R18" s="198"/>
      <c r="S18" s="198"/>
      <c r="T18" s="198"/>
      <c r="U18" s="198"/>
    </row>
    <row r="19" spans="1:21" s="12" customFormat="1" x14ac:dyDescent="0.25">
      <c r="A19" s="214" t="s">
        <v>2754</v>
      </c>
      <c r="B19" s="64">
        <v>97.1</v>
      </c>
      <c r="C19" s="64">
        <v>0.88</v>
      </c>
      <c r="D19" s="64">
        <v>74.16</v>
      </c>
      <c r="E19" s="64">
        <v>5.98</v>
      </c>
      <c r="F19" s="64">
        <v>2.39</v>
      </c>
      <c r="G19" s="64">
        <v>96.53</v>
      </c>
      <c r="H19" s="64">
        <v>46.93</v>
      </c>
      <c r="I19" s="64">
        <v>8.74</v>
      </c>
      <c r="J19" s="64">
        <v>0.28999999999999998</v>
      </c>
      <c r="K19" s="64">
        <v>109.94</v>
      </c>
      <c r="L19" s="64">
        <v>5.64</v>
      </c>
      <c r="M19" s="64">
        <v>97.2</v>
      </c>
      <c r="N19" s="64">
        <v>29.3</v>
      </c>
      <c r="O19" s="64">
        <v>0</v>
      </c>
      <c r="P19" s="64">
        <v>2.5299999999999998</v>
      </c>
      <c r="Q19" s="64">
        <v>9.69</v>
      </c>
      <c r="R19" s="198"/>
      <c r="S19" s="198"/>
      <c r="T19" s="198"/>
      <c r="U19" s="198"/>
    </row>
    <row r="20" spans="1:21" s="12" customFormat="1" x14ac:dyDescent="0.25">
      <c r="A20" s="214" t="s">
        <v>2755</v>
      </c>
      <c r="B20" s="64">
        <v>93.94</v>
      </c>
      <c r="C20" s="64">
        <v>0.88</v>
      </c>
      <c r="D20" s="64">
        <v>72.239999999999995</v>
      </c>
      <c r="E20" s="64">
        <v>6.35</v>
      </c>
      <c r="F20" s="64">
        <v>2.2400000000000002</v>
      </c>
      <c r="G20" s="64">
        <v>105.04</v>
      </c>
      <c r="H20" s="64">
        <v>51.65</v>
      </c>
      <c r="I20" s="64">
        <v>8.68</v>
      </c>
      <c r="J20" s="64">
        <v>0.47</v>
      </c>
      <c r="K20" s="64">
        <v>110.16</v>
      </c>
      <c r="L20" s="64">
        <v>5.56</v>
      </c>
      <c r="M20" s="64">
        <v>97.25</v>
      </c>
      <c r="N20" s="64">
        <v>29.4</v>
      </c>
      <c r="O20" s="64">
        <v>0</v>
      </c>
      <c r="P20" s="64">
        <v>2.5</v>
      </c>
      <c r="Q20" s="64">
        <v>9.67</v>
      </c>
      <c r="R20" s="198"/>
      <c r="S20" s="198"/>
      <c r="T20" s="198"/>
      <c r="U20" s="198"/>
    </row>
    <row r="21" spans="1:21" s="12" customFormat="1" x14ac:dyDescent="0.25">
      <c r="A21" s="214" t="s">
        <v>2756</v>
      </c>
      <c r="B21" s="64">
        <v>90.74</v>
      </c>
      <c r="C21" s="64">
        <v>0.88</v>
      </c>
      <c r="D21" s="64">
        <v>70.319999999999993</v>
      </c>
      <c r="E21" s="64">
        <v>6.08</v>
      </c>
      <c r="F21" s="64">
        <v>2.7</v>
      </c>
      <c r="G21" s="64">
        <v>112.98</v>
      </c>
      <c r="H21" s="64">
        <v>55.24</v>
      </c>
      <c r="I21" s="64">
        <v>9.23</v>
      </c>
      <c r="J21" s="64">
        <v>0.34</v>
      </c>
      <c r="K21" s="64">
        <v>153.46</v>
      </c>
      <c r="L21" s="64">
        <v>5.35</v>
      </c>
      <c r="M21" s="64">
        <v>97.31</v>
      </c>
      <c r="N21" s="64">
        <v>29.3</v>
      </c>
      <c r="O21" s="64">
        <v>0</v>
      </c>
      <c r="P21" s="64">
        <v>2.4700000000000002</v>
      </c>
      <c r="Q21" s="64">
        <v>9.68</v>
      </c>
      <c r="R21" s="198"/>
      <c r="S21" s="198"/>
      <c r="T21" s="198"/>
      <c r="U21" s="198"/>
    </row>
    <row r="22" spans="1:21" s="12" customFormat="1" x14ac:dyDescent="0.25">
      <c r="A22" s="214" t="s">
        <v>2757</v>
      </c>
      <c r="B22" s="64">
        <v>87.5</v>
      </c>
      <c r="C22" s="64">
        <v>0.88</v>
      </c>
      <c r="D22" s="64">
        <v>68.2</v>
      </c>
      <c r="E22" s="64">
        <v>5.66</v>
      </c>
      <c r="F22" s="64">
        <v>2.58</v>
      </c>
      <c r="G22" s="64">
        <v>112.98</v>
      </c>
      <c r="H22" s="64">
        <v>55.24</v>
      </c>
      <c r="I22" s="64">
        <v>8.73</v>
      </c>
      <c r="J22" s="64">
        <v>0.34</v>
      </c>
      <c r="K22" s="64">
        <v>228.12</v>
      </c>
      <c r="L22" s="64">
        <v>5.48</v>
      </c>
      <c r="M22" s="64">
        <v>97.35</v>
      </c>
      <c r="N22" s="64">
        <v>29</v>
      </c>
      <c r="O22" s="64">
        <v>0</v>
      </c>
      <c r="P22" s="64">
        <v>2.41</v>
      </c>
      <c r="Q22" s="64">
        <v>9.67</v>
      </c>
      <c r="R22" s="198"/>
      <c r="S22" s="198"/>
      <c r="T22" s="198"/>
      <c r="U22" s="198"/>
    </row>
    <row r="23" spans="1:21" s="12" customFormat="1" x14ac:dyDescent="0.25">
      <c r="A23" s="214" t="s">
        <v>2758</v>
      </c>
      <c r="B23" s="64">
        <v>84.53</v>
      </c>
      <c r="C23" s="64">
        <v>0.88</v>
      </c>
      <c r="D23" s="64">
        <v>65.77</v>
      </c>
      <c r="E23" s="64">
        <v>5.95</v>
      </c>
      <c r="F23" s="64">
        <v>2.42</v>
      </c>
      <c r="G23" s="64">
        <v>112.98</v>
      </c>
      <c r="H23" s="64">
        <v>55.24</v>
      </c>
      <c r="I23" s="64">
        <v>8.4</v>
      </c>
      <c r="J23" s="64">
        <v>0.2</v>
      </c>
      <c r="K23" s="64">
        <v>324.33</v>
      </c>
      <c r="L23" s="64">
        <v>5.59</v>
      </c>
      <c r="M23" s="64">
        <v>96.64</v>
      </c>
      <c r="N23" s="64">
        <v>29.6</v>
      </c>
      <c r="O23" s="64">
        <v>0</v>
      </c>
      <c r="P23" s="64">
        <v>2.34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4" t="s">
        <v>2759</v>
      </c>
      <c r="B24" s="64">
        <v>81.12</v>
      </c>
      <c r="C24" s="64">
        <v>0.88</v>
      </c>
      <c r="D24" s="64">
        <v>63.92</v>
      </c>
      <c r="E24" s="64">
        <v>5.71</v>
      </c>
      <c r="F24" s="64">
        <v>2.4700000000000002</v>
      </c>
      <c r="G24" s="64">
        <v>87.41</v>
      </c>
      <c r="H24" s="64">
        <v>48.07</v>
      </c>
      <c r="I24" s="64">
        <v>8.25</v>
      </c>
      <c r="J24" s="64">
        <v>0.49</v>
      </c>
      <c r="K24" s="64">
        <v>21.91</v>
      </c>
      <c r="L24" s="64">
        <v>5.14</v>
      </c>
      <c r="M24" s="64">
        <v>96.33</v>
      </c>
      <c r="N24" s="64">
        <v>29.5</v>
      </c>
      <c r="O24" s="64">
        <v>0</v>
      </c>
      <c r="P24" s="64">
        <v>2.25</v>
      </c>
      <c r="Q24" s="64">
        <v>9.67</v>
      </c>
      <c r="R24" s="198"/>
      <c r="S24" s="198"/>
      <c r="T24" s="198"/>
      <c r="U24" s="198"/>
    </row>
    <row r="25" spans="1:21" s="12" customFormat="1" x14ac:dyDescent="0.25">
      <c r="A25" s="214" t="s">
        <v>2760</v>
      </c>
      <c r="B25" s="64">
        <v>77.319999999999993</v>
      </c>
      <c r="C25" s="64">
        <v>3.47</v>
      </c>
      <c r="D25" s="64">
        <v>62.14</v>
      </c>
      <c r="E25" s="64">
        <v>5.64</v>
      </c>
      <c r="F25" s="64">
        <v>2.39</v>
      </c>
      <c r="G25" s="64">
        <v>65.040000000000006</v>
      </c>
      <c r="H25" s="64">
        <v>45.23</v>
      </c>
      <c r="I25" s="64">
        <v>8.09</v>
      </c>
      <c r="J25" s="64">
        <v>0.5</v>
      </c>
      <c r="K25" s="64">
        <v>28.53</v>
      </c>
      <c r="L25" s="64">
        <v>5.0599999999999996</v>
      </c>
      <c r="M25" s="64">
        <v>97.18</v>
      </c>
      <c r="N25" s="64">
        <v>29.3</v>
      </c>
      <c r="O25" s="64">
        <v>0</v>
      </c>
      <c r="P25" s="64">
        <v>2.14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4" t="s">
        <v>2761</v>
      </c>
      <c r="B26" s="64">
        <v>73.86</v>
      </c>
      <c r="C26" s="64">
        <v>5.52</v>
      </c>
      <c r="D26" s="64">
        <v>60.44</v>
      </c>
      <c r="E26" s="64">
        <v>5.07</v>
      </c>
      <c r="F26" s="64">
        <v>2.48</v>
      </c>
      <c r="G26" s="64">
        <v>65.040000000000006</v>
      </c>
      <c r="H26" s="64">
        <v>45.23</v>
      </c>
      <c r="I26" s="64">
        <v>8.52</v>
      </c>
      <c r="J26" s="64">
        <v>0.48</v>
      </c>
      <c r="K26" s="64">
        <v>28.53</v>
      </c>
      <c r="L26" s="64">
        <v>5.08</v>
      </c>
      <c r="M26" s="64">
        <v>94.34</v>
      </c>
      <c r="N26" s="64">
        <v>29.3</v>
      </c>
      <c r="O26" s="64">
        <v>0</v>
      </c>
      <c r="P26" s="64">
        <v>2.06</v>
      </c>
      <c r="Q26" s="64">
        <v>9.66</v>
      </c>
      <c r="R26" s="198"/>
      <c r="S26" s="198"/>
      <c r="T26" s="198"/>
      <c r="U26" s="198"/>
    </row>
    <row r="27" spans="1:21" s="12" customFormat="1" x14ac:dyDescent="0.25">
      <c r="A27" s="214" t="s">
        <v>2762</v>
      </c>
      <c r="B27" s="64">
        <v>70.41</v>
      </c>
      <c r="C27" s="64">
        <v>7.25</v>
      </c>
      <c r="D27" s="64">
        <v>58.57</v>
      </c>
      <c r="E27" s="64">
        <v>5.5</v>
      </c>
      <c r="F27" s="64">
        <v>2.44</v>
      </c>
      <c r="G27" s="64">
        <v>65.040000000000006</v>
      </c>
      <c r="H27" s="64">
        <v>45.23</v>
      </c>
      <c r="I27" s="64">
        <v>7.93</v>
      </c>
      <c r="J27" s="64">
        <v>0.35</v>
      </c>
      <c r="K27" s="64">
        <v>309.14999999999998</v>
      </c>
      <c r="L27" s="64">
        <v>5.23</v>
      </c>
      <c r="M27" s="64">
        <v>92.17</v>
      </c>
      <c r="N27" s="64">
        <v>29.3</v>
      </c>
      <c r="O27" s="64">
        <v>0</v>
      </c>
      <c r="P27" s="64">
        <v>1.97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14" t="s">
        <v>2763</v>
      </c>
      <c r="B28" s="64">
        <v>67.17</v>
      </c>
      <c r="C28" s="64">
        <v>8.68</v>
      </c>
      <c r="D28" s="64">
        <v>56.72</v>
      </c>
      <c r="E28" s="64">
        <v>5.46</v>
      </c>
      <c r="F28" s="64">
        <v>2.2400000000000002</v>
      </c>
      <c r="G28" s="64">
        <v>52.76</v>
      </c>
      <c r="H28" s="64">
        <v>38.47</v>
      </c>
      <c r="I28" s="64">
        <v>7.49</v>
      </c>
      <c r="J28" s="64">
        <v>0.03</v>
      </c>
      <c r="K28" s="64">
        <v>133.46</v>
      </c>
      <c r="L28" s="64">
        <v>5.17</v>
      </c>
      <c r="M28" s="64">
        <v>90.51</v>
      </c>
      <c r="N28" s="64">
        <v>29.1</v>
      </c>
      <c r="O28" s="64">
        <v>0</v>
      </c>
      <c r="P28" s="64">
        <v>1.89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4" t="s">
        <v>2764</v>
      </c>
      <c r="B29" s="64">
        <v>64.14</v>
      </c>
      <c r="C29" s="64">
        <v>10.16</v>
      </c>
      <c r="D29" s="64">
        <v>55.06</v>
      </c>
      <c r="E29" s="64">
        <v>5.55</v>
      </c>
      <c r="F29" s="64">
        <v>2.2799999999999998</v>
      </c>
      <c r="G29" s="64">
        <v>42.49</v>
      </c>
      <c r="H29" s="64">
        <v>35.79</v>
      </c>
      <c r="I29" s="64">
        <v>7.27</v>
      </c>
      <c r="J29" s="64">
        <v>0.5</v>
      </c>
      <c r="K29" s="64">
        <v>342.47</v>
      </c>
      <c r="L29" s="64">
        <v>5.12</v>
      </c>
      <c r="M29" s="64">
        <v>94.68</v>
      </c>
      <c r="N29" s="64">
        <v>29.5</v>
      </c>
      <c r="O29" s="64">
        <v>0</v>
      </c>
      <c r="P29" s="64">
        <v>1.83</v>
      </c>
      <c r="Q29" s="64">
        <v>9.66</v>
      </c>
      <c r="R29" s="198"/>
      <c r="S29" s="198"/>
      <c r="T29" s="198"/>
      <c r="U29" s="198"/>
    </row>
    <row r="30" spans="1:21" s="12" customFormat="1" x14ac:dyDescent="0.25">
      <c r="A30" s="214" t="s">
        <v>2765</v>
      </c>
      <c r="B30" s="64">
        <v>62.43</v>
      </c>
      <c r="C30" s="64">
        <v>11.08</v>
      </c>
      <c r="D30" s="64">
        <v>54.18</v>
      </c>
      <c r="E30" s="64">
        <v>5.51</v>
      </c>
      <c r="F30" s="64">
        <v>2.54</v>
      </c>
      <c r="G30" s="64">
        <v>42.49</v>
      </c>
      <c r="H30" s="64">
        <v>35.79</v>
      </c>
      <c r="I30" s="64">
        <v>7.06</v>
      </c>
      <c r="J30" s="64">
        <v>0.49</v>
      </c>
      <c r="K30" s="64">
        <v>342.7</v>
      </c>
      <c r="L30" s="64">
        <v>4.75</v>
      </c>
      <c r="M30" s="64">
        <v>96.54</v>
      </c>
      <c r="N30" s="64">
        <v>29.5</v>
      </c>
      <c r="O30" s="64">
        <v>0</v>
      </c>
      <c r="P30" s="64">
        <v>1.76</v>
      </c>
      <c r="Q30" s="64">
        <v>9.66</v>
      </c>
      <c r="R30" s="198"/>
      <c r="S30" s="198"/>
      <c r="T30" s="198"/>
      <c r="U30" s="198"/>
    </row>
    <row r="31" spans="1:21" s="12" customFormat="1" x14ac:dyDescent="0.25">
      <c r="A31" s="214" t="s">
        <v>2766</v>
      </c>
      <c r="B31" s="64">
        <v>60.51</v>
      </c>
      <c r="C31" s="64">
        <v>11.91</v>
      </c>
      <c r="D31" s="64">
        <v>53.07</v>
      </c>
      <c r="E31" s="64">
        <v>5.17</v>
      </c>
      <c r="F31" s="64">
        <v>2.54</v>
      </c>
      <c r="G31" s="64">
        <v>42.49</v>
      </c>
      <c r="H31" s="64">
        <v>35.79</v>
      </c>
      <c r="I31" s="64">
        <v>6.88</v>
      </c>
      <c r="J31" s="64">
        <v>0.41</v>
      </c>
      <c r="K31" s="64">
        <v>314.7</v>
      </c>
      <c r="L31" s="64">
        <v>4.5999999999999996</v>
      </c>
      <c r="M31" s="64">
        <v>96.37</v>
      </c>
      <c r="N31" s="64">
        <v>29.2</v>
      </c>
      <c r="O31" s="64">
        <v>0</v>
      </c>
      <c r="P31" s="64">
        <v>1.69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4" t="s">
        <v>2767</v>
      </c>
      <c r="B32" s="64">
        <v>58.73</v>
      </c>
      <c r="C32" s="64">
        <v>12.94</v>
      </c>
      <c r="D32" s="64">
        <v>52.18</v>
      </c>
      <c r="E32" s="64">
        <v>5.2</v>
      </c>
      <c r="F32" s="64">
        <v>2.27</v>
      </c>
      <c r="G32" s="64">
        <v>45.25</v>
      </c>
      <c r="H32" s="64">
        <v>30.88</v>
      </c>
      <c r="I32" s="64">
        <v>7.22</v>
      </c>
      <c r="J32" s="64">
        <v>0.52</v>
      </c>
      <c r="K32" s="64">
        <v>261.52999999999997</v>
      </c>
      <c r="L32" s="64">
        <v>4.75</v>
      </c>
      <c r="M32" s="64">
        <v>97.24</v>
      </c>
      <c r="N32" s="64">
        <v>29.2</v>
      </c>
      <c r="O32" s="64">
        <v>0</v>
      </c>
      <c r="P32" s="64">
        <v>1.64</v>
      </c>
      <c r="Q32" s="64">
        <v>9.64</v>
      </c>
      <c r="R32" s="198"/>
      <c r="S32" s="198"/>
      <c r="T32" s="198"/>
      <c r="U32" s="198"/>
    </row>
    <row r="33" spans="1:21" s="12" customFormat="1" x14ac:dyDescent="0.25">
      <c r="A33" s="214" t="s">
        <v>2768</v>
      </c>
      <c r="B33" s="64">
        <v>58.26</v>
      </c>
      <c r="C33" s="64">
        <v>12.56</v>
      </c>
      <c r="D33" s="64">
        <v>51.6</v>
      </c>
      <c r="E33" s="64">
        <v>5.24</v>
      </c>
      <c r="F33" s="64">
        <v>2.3199999999999998</v>
      </c>
      <c r="G33" s="64">
        <v>47.65</v>
      </c>
      <c r="H33" s="64">
        <v>28.94</v>
      </c>
      <c r="I33" s="64">
        <v>6.74</v>
      </c>
      <c r="J33" s="64">
        <v>0.47</v>
      </c>
      <c r="K33" s="64">
        <v>277.75</v>
      </c>
      <c r="L33" s="64">
        <v>4.55</v>
      </c>
      <c r="M33" s="64">
        <v>97.3</v>
      </c>
      <c r="N33" s="64">
        <v>29.6</v>
      </c>
      <c r="O33" s="64">
        <v>0</v>
      </c>
      <c r="P33" s="64">
        <v>1.6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4" t="s">
        <v>2769</v>
      </c>
      <c r="B34" s="64">
        <v>59.83</v>
      </c>
      <c r="C34" s="64">
        <v>12.39</v>
      </c>
      <c r="D34" s="64">
        <v>52.77</v>
      </c>
      <c r="E34" s="64">
        <v>5.41</v>
      </c>
      <c r="F34" s="64">
        <v>2.57</v>
      </c>
      <c r="G34" s="64">
        <v>47.65</v>
      </c>
      <c r="H34" s="64">
        <v>28.94</v>
      </c>
      <c r="I34" s="64">
        <v>6.39</v>
      </c>
      <c r="J34" s="64">
        <v>0.46</v>
      </c>
      <c r="K34" s="64">
        <v>262.27</v>
      </c>
      <c r="L34" s="64">
        <v>4.3600000000000003</v>
      </c>
      <c r="M34" s="64">
        <v>97.39</v>
      </c>
      <c r="N34" s="64">
        <v>30.3</v>
      </c>
      <c r="O34" s="64">
        <v>0</v>
      </c>
      <c r="P34" s="64">
        <v>1.62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4" t="s">
        <v>2770</v>
      </c>
      <c r="B35" s="64">
        <v>62.28</v>
      </c>
      <c r="C35" s="64">
        <v>11.7</v>
      </c>
      <c r="D35" s="64">
        <v>54.38</v>
      </c>
      <c r="E35" s="64">
        <v>5.26</v>
      </c>
      <c r="F35" s="64">
        <v>2.36</v>
      </c>
      <c r="G35" s="64">
        <v>47.65</v>
      </c>
      <c r="H35" s="64">
        <v>28.94</v>
      </c>
      <c r="I35" s="64">
        <v>6.26</v>
      </c>
      <c r="J35" s="64">
        <v>0.5</v>
      </c>
      <c r="K35" s="64">
        <v>258.58</v>
      </c>
      <c r="L35" s="64">
        <v>4.41</v>
      </c>
      <c r="M35" s="64">
        <v>97.51</v>
      </c>
      <c r="N35" s="64">
        <v>33.4</v>
      </c>
      <c r="O35" s="64">
        <v>0</v>
      </c>
      <c r="P35" s="64">
        <v>1.61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4" t="s">
        <v>2771</v>
      </c>
      <c r="B36" s="64">
        <v>65.78</v>
      </c>
      <c r="C36" s="64">
        <v>10.46</v>
      </c>
      <c r="D36" s="64">
        <v>56.54</v>
      </c>
      <c r="E36" s="64">
        <v>5.31</v>
      </c>
      <c r="F36" s="64">
        <v>2.35</v>
      </c>
      <c r="G36" s="64">
        <v>49.7</v>
      </c>
      <c r="H36" s="64">
        <v>27.82</v>
      </c>
      <c r="I36" s="64">
        <v>6.16</v>
      </c>
      <c r="J36" s="64">
        <v>0.46</v>
      </c>
      <c r="K36" s="64">
        <v>243.13</v>
      </c>
      <c r="L36" s="64">
        <v>4.7300000000000004</v>
      </c>
      <c r="M36" s="64">
        <v>97.6</v>
      </c>
      <c r="N36" s="64">
        <v>40.799999999999997</v>
      </c>
      <c r="O36" s="64">
        <v>0</v>
      </c>
      <c r="P36" s="64">
        <v>1.64</v>
      </c>
      <c r="Q36" s="64">
        <v>9.65</v>
      </c>
      <c r="R36" s="198"/>
      <c r="S36" s="198"/>
      <c r="T36" s="198"/>
      <c r="U36" s="198"/>
    </row>
    <row r="37" spans="1:21" s="12" customFormat="1" x14ac:dyDescent="0.25">
      <c r="A37" s="214" t="s">
        <v>2772</v>
      </c>
      <c r="B37" s="64">
        <v>70.430000000000007</v>
      </c>
      <c r="C37" s="64">
        <v>8.58</v>
      </c>
      <c r="D37" s="64">
        <v>59.29</v>
      </c>
      <c r="E37" s="64">
        <v>5.31</v>
      </c>
      <c r="F37" s="64">
        <v>2.46</v>
      </c>
      <c r="G37" s="64">
        <v>51.41</v>
      </c>
      <c r="H37" s="64">
        <v>26.97</v>
      </c>
      <c r="I37" s="64">
        <v>6.11</v>
      </c>
      <c r="J37" s="64">
        <v>0.25</v>
      </c>
      <c r="K37" s="64">
        <v>320.33</v>
      </c>
      <c r="L37" s="64">
        <v>5</v>
      </c>
      <c r="M37" s="64">
        <v>97.69</v>
      </c>
      <c r="N37" s="64">
        <v>51.2</v>
      </c>
      <c r="O37" s="64">
        <v>0</v>
      </c>
      <c r="P37" s="64">
        <v>1.58</v>
      </c>
      <c r="Q37" s="64">
        <v>9.65</v>
      </c>
      <c r="R37" s="198"/>
      <c r="S37" s="198"/>
      <c r="T37" s="198"/>
      <c r="U37" s="198"/>
    </row>
    <row r="38" spans="1:21" s="12" customFormat="1" x14ac:dyDescent="0.25">
      <c r="A38" s="214" t="s">
        <v>2773</v>
      </c>
      <c r="B38" s="64">
        <v>77.709999999999994</v>
      </c>
      <c r="C38" s="64">
        <v>4.97</v>
      </c>
      <c r="D38" s="64">
        <v>63.24</v>
      </c>
      <c r="E38" s="64">
        <v>5.69</v>
      </c>
      <c r="F38" s="64">
        <v>2.58</v>
      </c>
      <c r="G38" s="64">
        <v>51.41</v>
      </c>
      <c r="H38" s="64">
        <v>26.97</v>
      </c>
      <c r="I38" s="64">
        <v>6.13</v>
      </c>
      <c r="J38" s="64">
        <v>0.16</v>
      </c>
      <c r="K38" s="64">
        <v>86.87</v>
      </c>
      <c r="L38" s="64">
        <v>5.74</v>
      </c>
      <c r="M38" s="64">
        <v>92.53</v>
      </c>
      <c r="N38" s="64">
        <v>63</v>
      </c>
      <c r="O38" s="64">
        <v>0</v>
      </c>
      <c r="P38" s="64">
        <v>1.7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4" t="s">
        <v>2774</v>
      </c>
      <c r="B39" s="64">
        <v>79.98</v>
      </c>
      <c r="C39" s="64">
        <v>4.12</v>
      </c>
      <c r="D39" s="64">
        <v>64.61</v>
      </c>
      <c r="E39" s="64">
        <v>5.61</v>
      </c>
      <c r="F39" s="64">
        <v>2.83</v>
      </c>
      <c r="G39" s="64">
        <v>51.41</v>
      </c>
      <c r="H39" s="64">
        <v>26.97</v>
      </c>
      <c r="I39" s="64">
        <v>6.23</v>
      </c>
      <c r="J39" s="64">
        <v>0.62</v>
      </c>
      <c r="K39" s="64">
        <v>115.14</v>
      </c>
      <c r="L39" s="64">
        <v>6.92</v>
      </c>
      <c r="M39" s="64">
        <v>80.56</v>
      </c>
      <c r="N39" s="64">
        <v>105</v>
      </c>
      <c r="O39" s="64">
        <v>0</v>
      </c>
      <c r="P39" s="64">
        <v>1.67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4" t="s">
        <v>2775</v>
      </c>
      <c r="B40" s="64">
        <v>78.89</v>
      </c>
      <c r="C40" s="64">
        <v>3.87</v>
      </c>
      <c r="D40" s="64">
        <v>63.6</v>
      </c>
      <c r="E40" s="64">
        <v>5.0999999999999996</v>
      </c>
      <c r="F40" s="64">
        <v>2.52</v>
      </c>
      <c r="G40" s="64">
        <v>58.48</v>
      </c>
      <c r="H40" s="64">
        <v>30.39</v>
      </c>
      <c r="I40" s="64">
        <v>6.29</v>
      </c>
      <c r="J40" s="64">
        <v>0.1</v>
      </c>
      <c r="K40" s="64">
        <v>19.079999999999998</v>
      </c>
      <c r="L40" s="64">
        <v>9</v>
      </c>
      <c r="M40" s="64">
        <v>70.900000000000006</v>
      </c>
      <c r="N40" s="64">
        <v>167.7</v>
      </c>
      <c r="O40" s="64">
        <v>0</v>
      </c>
      <c r="P40" s="64">
        <v>1.62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4" t="s">
        <v>2776</v>
      </c>
      <c r="B41" s="64">
        <v>77.41</v>
      </c>
      <c r="C41" s="64">
        <v>3.94</v>
      </c>
      <c r="D41" s="64">
        <v>62.46</v>
      </c>
      <c r="E41" s="64">
        <v>5.69</v>
      </c>
      <c r="F41" s="64">
        <v>2.65</v>
      </c>
      <c r="G41" s="64">
        <v>64.67</v>
      </c>
      <c r="H41" s="64">
        <v>31.74</v>
      </c>
      <c r="I41" s="64">
        <v>6.2</v>
      </c>
      <c r="J41" s="64">
        <v>1.03</v>
      </c>
      <c r="K41" s="64">
        <v>118.73</v>
      </c>
      <c r="L41" s="64">
        <v>9.51</v>
      </c>
      <c r="M41" s="64">
        <v>66.19</v>
      </c>
      <c r="N41" s="64">
        <v>204.8</v>
      </c>
      <c r="O41" s="64">
        <v>0</v>
      </c>
      <c r="P41" s="64">
        <v>1.55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4" t="s">
        <v>2777</v>
      </c>
      <c r="B42" s="64">
        <v>74.959999999999994</v>
      </c>
      <c r="C42" s="64">
        <v>5.44</v>
      </c>
      <c r="D42" s="64">
        <v>61.28</v>
      </c>
      <c r="E42" s="64">
        <v>5.79</v>
      </c>
      <c r="F42" s="64">
        <v>2.52</v>
      </c>
      <c r="G42" s="64">
        <v>64.67</v>
      </c>
      <c r="H42" s="64">
        <v>31.74</v>
      </c>
      <c r="I42" s="64">
        <v>6.09</v>
      </c>
      <c r="J42" s="64">
        <v>0.28999999999999998</v>
      </c>
      <c r="K42" s="64">
        <v>63.03</v>
      </c>
      <c r="L42" s="64">
        <v>11.02</v>
      </c>
      <c r="M42" s="64">
        <v>60.44</v>
      </c>
      <c r="N42" s="64">
        <v>234.2</v>
      </c>
      <c r="O42" s="64">
        <v>0</v>
      </c>
      <c r="P42" s="64">
        <v>1.46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4" t="s">
        <v>2778</v>
      </c>
      <c r="B43" s="64">
        <v>72.209999999999994</v>
      </c>
      <c r="C43" s="64">
        <v>7.2</v>
      </c>
      <c r="D43" s="64">
        <v>59.99</v>
      </c>
      <c r="E43" s="64">
        <v>5.8</v>
      </c>
      <c r="F43" s="64">
        <v>2.57</v>
      </c>
      <c r="G43" s="64">
        <v>64.67</v>
      </c>
      <c r="H43" s="64">
        <v>31.74</v>
      </c>
      <c r="I43" s="64">
        <v>5.96</v>
      </c>
      <c r="J43" s="64">
        <v>0.49</v>
      </c>
      <c r="K43" s="64">
        <v>340.76</v>
      </c>
      <c r="L43" s="64">
        <v>12.93</v>
      </c>
      <c r="M43" s="64">
        <v>50.82</v>
      </c>
      <c r="N43" s="64">
        <v>266.60000000000002</v>
      </c>
      <c r="O43" s="64">
        <v>0</v>
      </c>
      <c r="P43" s="64">
        <v>1.38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4" t="s">
        <v>2779</v>
      </c>
      <c r="B44" s="64">
        <v>69.349999999999994</v>
      </c>
      <c r="C44" s="64">
        <v>8.8699999999999992</v>
      </c>
      <c r="D44" s="64">
        <v>58.57</v>
      </c>
      <c r="E44" s="64">
        <v>5.63</v>
      </c>
      <c r="F44" s="64">
        <v>2.35</v>
      </c>
      <c r="G44" s="64">
        <v>53.68</v>
      </c>
      <c r="H44" s="64">
        <v>25.68</v>
      </c>
      <c r="I44" s="64">
        <v>5.8</v>
      </c>
      <c r="J44" s="64">
        <v>0.8</v>
      </c>
      <c r="K44" s="64">
        <v>347.18</v>
      </c>
      <c r="L44" s="64">
        <v>14.19</v>
      </c>
      <c r="M44" s="64">
        <v>45.93</v>
      </c>
      <c r="N44" s="64">
        <v>289.5</v>
      </c>
      <c r="O44" s="64">
        <v>0</v>
      </c>
      <c r="P44" s="64">
        <v>1.33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4" t="s">
        <v>2780</v>
      </c>
      <c r="B45" s="64">
        <v>66.45</v>
      </c>
      <c r="C45" s="64">
        <v>10.78</v>
      </c>
      <c r="D45" s="64">
        <v>57.25</v>
      </c>
      <c r="E45" s="64">
        <v>5.71</v>
      </c>
      <c r="F45" s="64">
        <v>2.46</v>
      </c>
      <c r="G45" s="64">
        <v>44.06</v>
      </c>
      <c r="H45" s="64">
        <v>23.28</v>
      </c>
      <c r="I45" s="64">
        <v>6.06</v>
      </c>
      <c r="J45" s="64">
        <v>0.73</v>
      </c>
      <c r="K45" s="64">
        <v>342.02</v>
      </c>
      <c r="L45" s="64">
        <v>15.36</v>
      </c>
      <c r="M45" s="64">
        <v>42.11</v>
      </c>
      <c r="N45" s="64">
        <v>312.2</v>
      </c>
      <c r="O45" s="64">
        <v>0</v>
      </c>
      <c r="P45" s="64">
        <v>1.29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4" t="s">
        <v>2781</v>
      </c>
      <c r="B46" s="64">
        <v>63.43</v>
      </c>
      <c r="C46" s="64">
        <v>12.84</v>
      </c>
      <c r="D46" s="64">
        <v>55.9</v>
      </c>
      <c r="E46" s="64">
        <v>5.93</v>
      </c>
      <c r="F46" s="64">
        <v>2.36</v>
      </c>
      <c r="G46" s="64">
        <v>44.06</v>
      </c>
      <c r="H46" s="64">
        <v>23.28</v>
      </c>
      <c r="I46" s="64">
        <v>5.66</v>
      </c>
      <c r="J46" s="64">
        <v>0.82</v>
      </c>
      <c r="K46" s="64">
        <v>117.14</v>
      </c>
      <c r="L46" s="64">
        <v>14.36</v>
      </c>
      <c r="M46" s="64">
        <v>46.23</v>
      </c>
      <c r="N46" s="64">
        <v>336</v>
      </c>
      <c r="O46" s="64">
        <v>0</v>
      </c>
      <c r="P46" s="64">
        <v>1.25</v>
      </c>
      <c r="Q46" s="64">
        <v>9.64</v>
      </c>
      <c r="R46" s="198"/>
      <c r="S46" s="198"/>
      <c r="T46" s="198"/>
      <c r="U46" s="198"/>
    </row>
    <row r="47" spans="1:21" s="12" customFormat="1" x14ac:dyDescent="0.25">
      <c r="A47" s="214" t="s">
        <v>2782</v>
      </c>
      <c r="B47" s="64">
        <v>60.54</v>
      </c>
      <c r="C47" s="64">
        <v>14.66</v>
      </c>
      <c r="D47" s="64">
        <v>54.53</v>
      </c>
      <c r="E47" s="64">
        <v>5.73</v>
      </c>
      <c r="F47" s="64">
        <v>2.35</v>
      </c>
      <c r="G47" s="64">
        <v>44.06</v>
      </c>
      <c r="H47" s="64">
        <v>23.28</v>
      </c>
      <c r="I47" s="64">
        <v>5.37</v>
      </c>
      <c r="J47" s="64">
        <v>0.24</v>
      </c>
      <c r="K47" s="64">
        <v>57.72</v>
      </c>
      <c r="L47" s="64">
        <v>13.89</v>
      </c>
      <c r="M47" s="64">
        <v>47.04</v>
      </c>
      <c r="N47" s="64">
        <v>356.2</v>
      </c>
      <c r="O47" s="64">
        <v>0</v>
      </c>
      <c r="P47" s="64">
        <v>1.21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4" t="s">
        <v>2783</v>
      </c>
      <c r="B48" s="64">
        <v>57.74</v>
      </c>
      <c r="C48" s="64">
        <v>16.53</v>
      </c>
      <c r="D48" s="64">
        <v>53.26</v>
      </c>
      <c r="E48" s="64">
        <v>5.51</v>
      </c>
      <c r="F48" s="64">
        <v>2.52</v>
      </c>
      <c r="G48" s="64">
        <v>41.37</v>
      </c>
      <c r="H48" s="64">
        <v>23.85</v>
      </c>
      <c r="I48" s="64">
        <v>5.25</v>
      </c>
      <c r="J48" s="64">
        <v>1.1000000000000001</v>
      </c>
      <c r="K48" s="64">
        <v>119.09</v>
      </c>
      <c r="L48" s="64">
        <v>14.29</v>
      </c>
      <c r="M48" s="64">
        <v>46.41</v>
      </c>
      <c r="N48" s="64">
        <v>374</v>
      </c>
      <c r="O48" s="64">
        <v>0</v>
      </c>
      <c r="P48" s="64">
        <v>1.19</v>
      </c>
      <c r="Q48" s="64">
        <v>9.65</v>
      </c>
      <c r="R48" s="198"/>
      <c r="S48" s="198"/>
      <c r="T48" s="198"/>
      <c r="U48" s="198"/>
    </row>
    <row r="49" spans="1:21" s="12" customFormat="1" x14ac:dyDescent="0.25">
      <c r="A49" s="214" t="s">
        <v>2784</v>
      </c>
      <c r="B49" s="64">
        <v>54.95</v>
      </c>
      <c r="C49" s="64">
        <v>18.11</v>
      </c>
      <c r="D49" s="64">
        <v>51.85</v>
      </c>
      <c r="E49" s="64">
        <v>5.7</v>
      </c>
      <c r="F49" s="64">
        <v>2.5299999999999998</v>
      </c>
      <c r="G49" s="64">
        <v>39.119999999999997</v>
      </c>
      <c r="H49" s="64">
        <v>24.08</v>
      </c>
      <c r="I49" s="64">
        <v>5.14</v>
      </c>
      <c r="J49" s="64">
        <v>0.91</v>
      </c>
      <c r="K49" s="64">
        <v>112.76</v>
      </c>
      <c r="L49" s="64">
        <v>13.97</v>
      </c>
      <c r="M49" s="64">
        <v>47.47</v>
      </c>
      <c r="N49" s="64">
        <v>393.8</v>
      </c>
      <c r="O49" s="64">
        <v>0</v>
      </c>
      <c r="P49" s="64">
        <v>1.1599999999999999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4" t="s">
        <v>2785</v>
      </c>
      <c r="B50" s="64">
        <v>53.05</v>
      </c>
      <c r="C50" s="64">
        <v>18.18</v>
      </c>
      <c r="D50" s="64">
        <v>50.37</v>
      </c>
      <c r="E50" s="64">
        <v>5.41</v>
      </c>
      <c r="F50" s="64">
        <v>2.2200000000000002</v>
      </c>
      <c r="G50" s="64">
        <v>39.119999999999997</v>
      </c>
      <c r="H50" s="64">
        <v>24.08</v>
      </c>
      <c r="I50" s="64">
        <v>5.03</v>
      </c>
      <c r="J50" s="64">
        <v>1.27</v>
      </c>
      <c r="K50" s="64">
        <v>121.5</v>
      </c>
      <c r="L50" s="64">
        <v>14.49</v>
      </c>
      <c r="M50" s="64">
        <v>44.32</v>
      </c>
      <c r="N50" s="64">
        <v>404.4</v>
      </c>
      <c r="O50" s="64">
        <v>0</v>
      </c>
      <c r="P50" s="64">
        <v>1.1200000000000001</v>
      </c>
      <c r="Q50" s="64">
        <v>9.65</v>
      </c>
      <c r="R50" s="198"/>
      <c r="S50" s="198"/>
      <c r="T50" s="198"/>
      <c r="U50" s="198"/>
    </row>
    <row r="51" spans="1:21" s="12" customFormat="1" x14ac:dyDescent="0.25">
      <c r="A51" s="214" t="s">
        <v>2786</v>
      </c>
      <c r="B51" s="64">
        <v>49.6</v>
      </c>
      <c r="C51" s="64">
        <v>20.13</v>
      </c>
      <c r="D51" s="64">
        <v>48.62</v>
      </c>
      <c r="E51" s="64">
        <v>5.49</v>
      </c>
      <c r="F51" s="64">
        <v>2.88</v>
      </c>
      <c r="G51" s="64">
        <v>39.119999999999997</v>
      </c>
      <c r="H51" s="64">
        <v>24.08</v>
      </c>
      <c r="I51" s="64">
        <v>4.93</v>
      </c>
      <c r="J51" s="64">
        <v>1.44</v>
      </c>
      <c r="K51" s="64">
        <v>343.21</v>
      </c>
      <c r="L51" s="64">
        <v>17.34</v>
      </c>
      <c r="M51" s="64">
        <v>36.630000000000003</v>
      </c>
      <c r="N51" s="64">
        <v>402.5</v>
      </c>
      <c r="O51" s="64">
        <v>0</v>
      </c>
      <c r="P51" s="64">
        <v>1.08</v>
      </c>
      <c r="Q51" s="64">
        <v>9.6300000000000008</v>
      </c>
      <c r="R51" s="198"/>
      <c r="S51" s="198"/>
      <c r="T51" s="198"/>
      <c r="U51" s="198"/>
    </row>
    <row r="52" spans="1:21" s="12" customFormat="1" x14ac:dyDescent="0.25">
      <c r="A52" s="214" t="s">
        <v>2787</v>
      </c>
      <c r="B52" s="64">
        <v>45.98</v>
      </c>
      <c r="C52" s="64">
        <v>23.04</v>
      </c>
      <c r="D52" s="64">
        <v>47.23</v>
      </c>
      <c r="E52" s="64">
        <v>6.23</v>
      </c>
      <c r="F52" s="64">
        <v>2.35</v>
      </c>
      <c r="G52" s="64">
        <v>37.659999999999997</v>
      </c>
      <c r="H52" s="64">
        <v>22.04</v>
      </c>
      <c r="I52" s="64">
        <v>4.8099999999999996</v>
      </c>
      <c r="J52" s="64">
        <v>0.85</v>
      </c>
      <c r="K52" s="64">
        <v>342.99</v>
      </c>
      <c r="L52" s="64">
        <v>19.23</v>
      </c>
      <c r="M52" s="64">
        <v>31.94</v>
      </c>
      <c r="N52" s="64">
        <v>404.9</v>
      </c>
      <c r="O52" s="64">
        <v>0</v>
      </c>
      <c r="P52" s="64">
        <v>1.06</v>
      </c>
      <c r="Q52" s="64">
        <v>9.64</v>
      </c>
      <c r="R52" s="198"/>
      <c r="S52" s="198"/>
      <c r="T52" s="198"/>
      <c r="U52" s="198"/>
    </row>
    <row r="53" spans="1:21" s="12" customFormat="1" x14ac:dyDescent="0.25">
      <c r="A53" s="214" t="s">
        <v>2788</v>
      </c>
      <c r="B53" s="64">
        <v>43.85</v>
      </c>
      <c r="C53" s="64">
        <v>24.73</v>
      </c>
      <c r="D53" s="64">
        <v>46.41</v>
      </c>
      <c r="E53" s="64">
        <v>6.49</v>
      </c>
      <c r="F53" s="64">
        <v>2.57</v>
      </c>
      <c r="G53" s="64">
        <v>36.369999999999997</v>
      </c>
      <c r="H53" s="64">
        <v>20.49</v>
      </c>
      <c r="I53" s="64">
        <v>4.68</v>
      </c>
      <c r="J53" s="64">
        <v>0.32</v>
      </c>
      <c r="K53" s="64">
        <v>12.58</v>
      </c>
      <c r="L53" s="64">
        <v>18.05</v>
      </c>
      <c r="M53" s="64">
        <v>34.81</v>
      </c>
      <c r="N53" s="64">
        <v>421.3</v>
      </c>
      <c r="O53" s="64">
        <v>0</v>
      </c>
      <c r="P53" s="64">
        <v>1.07</v>
      </c>
      <c r="Q53" s="64">
        <v>9.6199999999999992</v>
      </c>
      <c r="R53" s="198"/>
      <c r="S53" s="198"/>
      <c r="T53" s="198"/>
      <c r="U53" s="198"/>
    </row>
    <row r="54" spans="1:21" s="12" customFormat="1" x14ac:dyDescent="0.25">
      <c r="A54" s="214" t="s">
        <v>2789</v>
      </c>
      <c r="B54" s="64">
        <v>42.08</v>
      </c>
      <c r="C54" s="64">
        <v>24.97</v>
      </c>
      <c r="D54" s="64">
        <v>45.11</v>
      </c>
      <c r="E54" s="64">
        <v>5.99</v>
      </c>
      <c r="F54" s="64">
        <v>2.86</v>
      </c>
      <c r="G54" s="64">
        <v>36.369999999999997</v>
      </c>
      <c r="H54" s="64">
        <v>20.49</v>
      </c>
      <c r="I54" s="64">
        <v>4.54</v>
      </c>
      <c r="J54" s="64">
        <v>0.47</v>
      </c>
      <c r="K54" s="64">
        <v>337.61</v>
      </c>
      <c r="L54" s="64">
        <v>20.190000000000001</v>
      </c>
      <c r="M54" s="64">
        <v>28.33</v>
      </c>
      <c r="N54" s="64">
        <v>425.4</v>
      </c>
      <c r="O54" s="64">
        <v>0</v>
      </c>
      <c r="P54" s="64">
        <v>1.06</v>
      </c>
      <c r="Q54" s="64">
        <v>9.6</v>
      </c>
      <c r="R54" s="198"/>
      <c r="S54" s="198"/>
      <c r="T54" s="198"/>
      <c r="U54" s="198"/>
    </row>
    <row r="55" spans="1:21" s="12" customFormat="1" x14ac:dyDescent="0.25">
      <c r="A55" s="214" t="s">
        <v>2790</v>
      </c>
      <c r="B55" s="64">
        <v>39.97</v>
      </c>
      <c r="C55" s="64">
        <v>24.8</v>
      </c>
      <c r="D55" s="64">
        <v>43.33</v>
      </c>
      <c r="E55" s="64">
        <v>5.85</v>
      </c>
      <c r="F55" s="64">
        <v>2.65</v>
      </c>
      <c r="G55" s="64">
        <v>36.369999999999997</v>
      </c>
      <c r="H55" s="64">
        <v>20.49</v>
      </c>
      <c r="I55" s="64">
        <v>4.4400000000000004</v>
      </c>
      <c r="J55" s="64">
        <v>1</v>
      </c>
      <c r="K55" s="64">
        <v>139.55000000000001</v>
      </c>
      <c r="L55" s="64">
        <v>17.100000000000001</v>
      </c>
      <c r="M55" s="64">
        <v>33.53</v>
      </c>
      <c r="N55" s="64">
        <v>431.9</v>
      </c>
      <c r="O55" s="64">
        <v>0</v>
      </c>
      <c r="P55" s="64">
        <v>1.03</v>
      </c>
      <c r="Q55" s="64">
        <v>9.59</v>
      </c>
      <c r="R55" s="198"/>
      <c r="S55" s="198"/>
      <c r="T55" s="198"/>
      <c r="U55" s="198"/>
    </row>
    <row r="56" spans="1:21" s="12" customFormat="1" x14ac:dyDescent="0.25">
      <c r="A56" s="214" t="s">
        <v>2791</v>
      </c>
      <c r="B56" s="64">
        <v>36.94</v>
      </c>
      <c r="C56" s="64">
        <v>28.08</v>
      </c>
      <c r="D56" s="64">
        <v>42.62</v>
      </c>
      <c r="E56" s="64">
        <v>5.85</v>
      </c>
      <c r="F56" s="64">
        <v>3.18</v>
      </c>
      <c r="G56" s="64">
        <v>27.81</v>
      </c>
      <c r="H56" s="64">
        <v>17.77</v>
      </c>
      <c r="I56" s="64">
        <v>4.38</v>
      </c>
      <c r="J56" s="64">
        <v>0.1</v>
      </c>
      <c r="K56" s="64">
        <v>149.80000000000001</v>
      </c>
      <c r="L56" s="64">
        <v>18.329999999999998</v>
      </c>
      <c r="M56" s="64">
        <v>31.5</v>
      </c>
      <c r="N56" s="64">
        <v>421.5</v>
      </c>
      <c r="O56" s="64">
        <v>0</v>
      </c>
      <c r="P56" s="64">
        <v>0.99</v>
      </c>
      <c r="Q56" s="64">
        <v>9.59</v>
      </c>
      <c r="R56" s="198"/>
      <c r="S56" s="198"/>
      <c r="T56" s="198"/>
      <c r="U56" s="198"/>
    </row>
    <row r="57" spans="1:21" s="12" customFormat="1" x14ac:dyDescent="0.25">
      <c r="A57" s="214" t="s">
        <v>2792</v>
      </c>
      <c r="B57" s="64">
        <v>36.49</v>
      </c>
      <c r="C57" s="64">
        <v>29.09</v>
      </c>
      <c r="D57" s="64">
        <v>42.78</v>
      </c>
      <c r="E57" s="64">
        <v>8.17</v>
      </c>
      <c r="F57" s="64">
        <v>3.63</v>
      </c>
      <c r="G57" s="64">
        <v>20.65</v>
      </c>
      <c r="H57" s="64">
        <v>16.690000000000001</v>
      </c>
      <c r="I57" s="64">
        <v>4.3099999999999996</v>
      </c>
      <c r="J57" s="64">
        <v>0.65</v>
      </c>
      <c r="K57" s="64">
        <v>327.73</v>
      </c>
      <c r="L57" s="64">
        <v>19.96</v>
      </c>
      <c r="M57" s="64">
        <v>28.58</v>
      </c>
      <c r="N57" s="64">
        <v>411.3</v>
      </c>
      <c r="O57" s="64">
        <v>0</v>
      </c>
      <c r="P57" s="64">
        <v>0.98</v>
      </c>
      <c r="Q57" s="64">
        <v>9.58</v>
      </c>
      <c r="R57" s="198"/>
      <c r="S57" s="198"/>
      <c r="T57" s="198"/>
      <c r="U57" s="198"/>
    </row>
    <row r="58" spans="1:21" s="12" customFormat="1" x14ac:dyDescent="0.25">
      <c r="A58" s="214" t="s">
        <v>2793</v>
      </c>
      <c r="B58" s="64">
        <v>36.119999999999997</v>
      </c>
      <c r="C58" s="64">
        <v>29.87</v>
      </c>
      <c r="D58" s="64">
        <v>42.89</v>
      </c>
      <c r="E58" s="64">
        <v>5.99</v>
      </c>
      <c r="F58" s="64">
        <v>2.84</v>
      </c>
      <c r="G58" s="64">
        <v>20.65</v>
      </c>
      <c r="H58" s="64">
        <v>16.690000000000001</v>
      </c>
      <c r="I58" s="64">
        <v>4.21</v>
      </c>
      <c r="J58" s="64">
        <v>0.64</v>
      </c>
      <c r="K58" s="64">
        <v>330.17</v>
      </c>
      <c r="L58" s="64">
        <v>19.71</v>
      </c>
      <c r="M58" s="64">
        <v>29.58</v>
      </c>
      <c r="N58" s="64">
        <v>394.6</v>
      </c>
      <c r="O58" s="64">
        <v>0</v>
      </c>
      <c r="P58" s="64">
        <v>0.95</v>
      </c>
      <c r="Q58" s="64">
        <v>9.56</v>
      </c>
      <c r="R58" s="198"/>
      <c r="S58" s="198"/>
      <c r="T58" s="198"/>
      <c r="U58" s="198"/>
    </row>
    <row r="59" spans="1:21" s="12" customFormat="1" x14ac:dyDescent="0.25">
      <c r="A59" s="214" t="s">
        <v>2794</v>
      </c>
      <c r="B59" s="64">
        <v>31.98</v>
      </c>
      <c r="C59" s="64">
        <v>32.85</v>
      </c>
      <c r="D59" s="64">
        <v>41.13</v>
      </c>
      <c r="E59" s="64">
        <v>7.97</v>
      </c>
      <c r="F59" s="64">
        <v>3.58</v>
      </c>
      <c r="G59" s="64">
        <v>20.65</v>
      </c>
      <c r="H59" s="64">
        <v>16.690000000000001</v>
      </c>
      <c r="I59" s="64">
        <v>4.1100000000000003</v>
      </c>
      <c r="J59" s="64">
        <v>0.22</v>
      </c>
      <c r="K59" s="64">
        <v>50.94</v>
      </c>
      <c r="L59" s="64">
        <v>19.600000000000001</v>
      </c>
      <c r="M59" s="64">
        <v>29.84</v>
      </c>
      <c r="N59" s="64">
        <v>368.2</v>
      </c>
      <c r="O59" s="64">
        <v>0</v>
      </c>
      <c r="P59" s="64">
        <v>0.89</v>
      </c>
      <c r="Q59" s="64">
        <v>9.5399999999999991</v>
      </c>
      <c r="R59" s="198"/>
      <c r="S59" s="198"/>
      <c r="T59" s="198"/>
      <c r="U59" s="198"/>
    </row>
    <row r="60" spans="1:21" s="12" customFormat="1" x14ac:dyDescent="0.25">
      <c r="A60" s="214" t="s">
        <v>2795</v>
      </c>
      <c r="B60" s="64">
        <v>31.53</v>
      </c>
      <c r="C60" s="64">
        <v>32.6</v>
      </c>
      <c r="D60" s="64">
        <v>40.64</v>
      </c>
      <c r="E60" s="64">
        <v>7.16</v>
      </c>
      <c r="F60" s="64">
        <v>3.05</v>
      </c>
      <c r="G60" s="64">
        <v>29.55</v>
      </c>
      <c r="H60" s="64">
        <v>14.17</v>
      </c>
      <c r="I60" s="64">
        <v>4.04</v>
      </c>
      <c r="J60" s="64">
        <v>0.7</v>
      </c>
      <c r="K60" s="64">
        <v>333.08</v>
      </c>
      <c r="L60" s="64">
        <v>19.78</v>
      </c>
      <c r="M60" s="64">
        <v>29.45</v>
      </c>
      <c r="N60" s="64">
        <v>340.8</v>
      </c>
      <c r="O60" s="64">
        <v>0</v>
      </c>
      <c r="P60" s="64">
        <v>0.89</v>
      </c>
      <c r="Q60" s="64">
        <v>9.5399999999999991</v>
      </c>
      <c r="R60" s="198"/>
      <c r="S60" s="198"/>
      <c r="T60" s="198"/>
      <c r="U60" s="198"/>
    </row>
    <row r="61" spans="1:21" s="12" customFormat="1" x14ac:dyDescent="0.25">
      <c r="A61" s="214" t="s">
        <v>2796</v>
      </c>
      <c r="B61" s="64">
        <v>31.43</v>
      </c>
      <c r="C61" s="64">
        <v>33.630000000000003</v>
      </c>
      <c r="D61" s="64">
        <v>41.1</v>
      </c>
      <c r="E61" s="64">
        <v>7.28</v>
      </c>
      <c r="F61" s="64">
        <v>2.9</v>
      </c>
      <c r="G61" s="64">
        <v>37.340000000000003</v>
      </c>
      <c r="H61" s="64">
        <v>13.18</v>
      </c>
      <c r="I61" s="64">
        <v>3.96</v>
      </c>
      <c r="J61" s="64">
        <v>0.14000000000000001</v>
      </c>
      <c r="K61" s="64">
        <v>301.01</v>
      </c>
      <c r="L61" s="64">
        <v>19.440000000000001</v>
      </c>
      <c r="M61" s="64">
        <v>30.99</v>
      </c>
      <c r="N61" s="64">
        <v>333.6</v>
      </c>
      <c r="O61" s="64">
        <v>0</v>
      </c>
      <c r="P61" s="64">
        <v>1.08</v>
      </c>
      <c r="Q61" s="64">
        <v>9.52</v>
      </c>
      <c r="R61" s="198"/>
      <c r="S61" s="198"/>
      <c r="T61" s="198"/>
      <c r="U61" s="198"/>
    </row>
    <row r="62" spans="1:21" s="12" customFormat="1" x14ac:dyDescent="0.25">
      <c r="A62" s="214" t="s">
        <v>2797</v>
      </c>
      <c r="B62" s="64">
        <v>30.94</v>
      </c>
      <c r="C62" s="64">
        <v>33.89</v>
      </c>
      <c r="D62" s="64">
        <v>40.840000000000003</v>
      </c>
      <c r="E62" s="64">
        <v>7.13</v>
      </c>
      <c r="F62" s="64">
        <v>2.75</v>
      </c>
      <c r="G62" s="64">
        <v>37.340000000000003</v>
      </c>
      <c r="H62" s="64">
        <v>13.18</v>
      </c>
      <c r="I62" s="64">
        <v>3.9</v>
      </c>
      <c r="J62" s="64">
        <v>0.81</v>
      </c>
      <c r="K62" s="64">
        <v>312.23</v>
      </c>
      <c r="L62" s="64">
        <v>19.8</v>
      </c>
      <c r="M62" s="64">
        <v>26.82</v>
      </c>
      <c r="N62" s="64">
        <v>338.7</v>
      </c>
      <c r="O62" s="64">
        <v>0</v>
      </c>
      <c r="P62" s="64">
        <v>1.1299999999999999</v>
      </c>
      <c r="Q62" s="64">
        <v>9.5</v>
      </c>
      <c r="R62" s="198"/>
      <c r="S62" s="198"/>
      <c r="T62" s="198"/>
      <c r="U62" s="198"/>
    </row>
    <row r="63" spans="1:21" s="12" customFormat="1" x14ac:dyDescent="0.25">
      <c r="A63" s="214" t="s">
        <v>2798</v>
      </c>
      <c r="B63" s="64">
        <v>28.09</v>
      </c>
      <c r="C63" s="64">
        <v>35.72</v>
      </c>
      <c r="D63" s="64">
        <v>39.51</v>
      </c>
      <c r="E63" s="64">
        <v>6.61</v>
      </c>
      <c r="F63" s="64">
        <v>3.1</v>
      </c>
      <c r="G63" s="64">
        <v>37.340000000000003</v>
      </c>
      <c r="H63" s="64">
        <v>13.18</v>
      </c>
      <c r="I63" s="64">
        <v>3.86</v>
      </c>
      <c r="J63" s="64">
        <v>0.92</v>
      </c>
      <c r="K63" s="64">
        <v>309.14999999999998</v>
      </c>
      <c r="L63" s="64">
        <v>18.93</v>
      </c>
      <c r="M63" s="64">
        <v>27.39</v>
      </c>
      <c r="N63" s="64">
        <v>331.6</v>
      </c>
      <c r="O63" s="64">
        <v>0</v>
      </c>
      <c r="P63" s="64">
        <v>1.0900000000000001</v>
      </c>
      <c r="Q63" s="64">
        <v>9.49</v>
      </c>
      <c r="R63" s="198"/>
      <c r="S63" s="198"/>
      <c r="T63" s="198"/>
      <c r="U63" s="198"/>
    </row>
    <row r="64" spans="1:21" s="12" customFormat="1" x14ac:dyDescent="0.25">
      <c r="A64" s="214" t="s">
        <v>2799</v>
      </c>
      <c r="B64" s="64">
        <v>22.67</v>
      </c>
      <c r="C64" s="64">
        <v>37.590000000000003</v>
      </c>
      <c r="D64" s="64">
        <v>36.14</v>
      </c>
      <c r="E64" s="64">
        <v>7.35</v>
      </c>
      <c r="F64" s="64">
        <v>4.12</v>
      </c>
      <c r="G64" s="64">
        <v>38.299999999999997</v>
      </c>
      <c r="H64" s="64">
        <v>14.2</v>
      </c>
      <c r="I64" s="64">
        <v>3.8</v>
      </c>
      <c r="J64" s="64">
        <v>1.45</v>
      </c>
      <c r="K64" s="64">
        <v>341.87</v>
      </c>
      <c r="L64" s="64">
        <v>19.8</v>
      </c>
      <c r="M64" s="64">
        <v>24.99</v>
      </c>
      <c r="N64" s="64">
        <v>300.2</v>
      </c>
      <c r="O64" s="64">
        <v>0</v>
      </c>
      <c r="P64" s="64">
        <v>1.04</v>
      </c>
      <c r="Q64" s="64">
        <v>9.4700000000000006</v>
      </c>
      <c r="R64" s="198"/>
      <c r="S64" s="198"/>
      <c r="T64" s="198"/>
      <c r="U64" s="198"/>
    </row>
    <row r="65" spans="1:21" s="12" customFormat="1" x14ac:dyDescent="0.25">
      <c r="A65" s="214" t="s">
        <v>2800</v>
      </c>
      <c r="B65" s="64">
        <v>22.17</v>
      </c>
      <c r="C65" s="64">
        <v>39.69</v>
      </c>
      <c r="D65" s="64">
        <v>36.840000000000003</v>
      </c>
      <c r="E65" s="64">
        <v>5.99</v>
      </c>
      <c r="F65" s="64">
        <v>3.01</v>
      </c>
      <c r="G65" s="64">
        <v>39.11</v>
      </c>
      <c r="H65" s="64">
        <v>14.6</v>
      </c>
      <c r="I65" s="64">
        <v>3.6</v>
      </c>
      <c r="J65" s="64">
        <v>1.1499999999999999</v>
      </c>
      <c r="K65" s="64">
        <v>337.21</v>
      </c>
      <c r="L65" s="64">
        <v>19.34</v>
      </c>
      <c r="M65" s="64">
        <v>25.74</v>
      </c>
      <c r="N65" s="64">
        <v>130.69999999999999</v>
      </c>
      <c r="O65" s="64">
        <v>0</v>
      </c>
      <c r="P65" s="64">
        <v>1.03</v>
      </c>
      <c r="Q65" s="64">
        <v>9.4600000000000009</v>
      </c>
      <c r="R65" s="198"/>
      <c r="S65" s="198"/>
      <c r="T65" s="198"/>
      <c r="U65" s="198"/>
    </row>
    <row r="66" spans="1:21" s="12" customFormat="1" x14ac:dyDescent="0.25">
      <c r="A66" s="214" t="s">
        <v>2801</v>
      </c>
      <c r="B66" s="64">
        <v>20.87</v>
      </c>
      <c r="C66" s="64">
        <v>38.68</v>
      </c>
      <c r="D66" s="64">
        <v>35.270000000000003</v>
      </c>
      <c r="E66" s="64">
        <v>6.36</v>
      </c>
      <c r="F66" s="64">
        <v>4.71</v>
      </c>
      <c r="G66" s="64">
        <v>39.11</v>
      </c>
      <c r="H66" s="64">
        <v>14.6</v>
      </c>
      <c r="I66" s="64">
        <v>3.54</v>
      </c>
      <c r="J66" s="64">
        <v>1.26</v>
      </c>
      <c r="K66" s="64">
        <v>331.7</v>
      </c>
      <c r="L66" s="64">
        <v>18.46</v>
      </c>
      <c r="M66" s="64">
        <v>26.86</v>
      </c>
      <c r="N66" s="64">
        <v>90.4</v>
      </c>
      <c r="O66" s="64">
        <v>0</v>
      </c>
      <c r="P66" s="64">
        <v>0.97</v>
      </c>
      <c r="Q66" s="64">
        <v>9.44</v>
      </c>
      <c r="R66" s="198"/>
      <c r="S66" s="198"/>
      <c r="T66" s="198"/>
      <c r="U66" s="198"/>
    </row>
    <row r="67" spans="1:21" s="12" customFormat="1" x14ac:dyDescent="0.25">
      <c r="A67" s="214" t="s">
        <v>2802</v>
      </c>
      <c r="B67" s="64">
        <v>18.8</v>
      </c>
      <c r="C67" s="64">
        <v>39.840000000000003</v>
      </c>
      <c r="D67" s="64">
        <v>34.22</v>
      </c>
      <c r="E67" s="64">
        <v>6.02</v>
      </c>
      <c r="F67" s="64">
        <v>4.1100000000000003</v>
      </c>
      <c r="G67" s="64">
        <v>39.11</v>
      </c>
      <c r="H67" s="64">
        <v>14.6</v>
      </c>
      <c r="I67" s="64">
        <v>3.37</v>
      </c>
      <c r="J67" s="64">
        <v>0.94</v>
      </c>
      <c r="K67" s="64">
        <v>327.58</v>
      </c>
      <c r="L67" s="64">
        <v>18.260000000000002</v>
      </c>
      <c r="M67" s="64">
        <v>26.85</v>
      </c>
      <c r="N67" s="64">
        <v>80.3</v>
      </c>
      <c r="O67" s="64">
        <v>0</v>
      </c>
      <c r="P67" s="64">
        <v>0.97</v>
      </c>
      <c r="Q67" s="64">
        <v>9.43</v>
      </c>
      <c r="R67" s="198"/>
      <c r="S67" s="198"/>
      <c r="T67" s="198"/>
      <c r="U67" s="198"/>
    </row>
    <row r="68" spans="1:21" s="12" customFormat="1" x14ac:dyDescent="0.25">
      <c r="A68" s="214" t="s">
        <v>2803</v>
      </c>
      <c r="B68" s="64">
        <v>17.72</v>
      </c>
      <c r="C68" s="64">
        <v>40.86</v>
      </c>
      <c r="D68" s="64">
        <v>33.880000000000003</v>
      </c>
      <c r="E68" s="64">
        <v>11.11</v>
      </c>
      <c r="F68" s="64">
        <v>6.77</v>
      </c>
      <c r="G68" s="64">
        <v>34.659999999999997</v>
      </c>
      <c r="H68" s="64">
        <v>14.48</v>
      </c>
      <c r="I68" s="64">
        <v>3.24</v>
      </c>
      <c r="J68" s="64">
        <v>1.43</v>
      </c>
      <c r="K68" s="64">
        <v>340.33</v>
      </c>
      <c r="L68" s="64">
        <v>17.8</v>
      </c>
      <c r="M68" s="64">
        <v>26.87</v>
      </c>
      <c r="N68" s="64">
        <v>70.900000000000006</v>
      </c>
      <c r="O68" s="64">
        <v>0</v>
      </c>
      <c r="P68" s="64">
        <v>0.89</v>
      </c>
      <c r="Q68" s="64">
        <v>9.43</v>
      </c>
      <c r="R68" s="198"/>
      <c r="S68" s="198"/>
      <c r="T68" s="198"/>
      <c r="U68" s="198"/>
    </row>
    <row r="69" spans="1:21" s="12" customFormat="1" x14ac:dyDescent="0.25">
      <c r="A69" s="214" t="s">
        <v>2804</v>
      </c>
      <c r="B69" s="64">
        <v>21.7</v>
      </c>
      <c r="C69" s="64">
        <v>41.06</v>
      </c>
      <c r="D69" s="64">
        <v>37.18</v>
      </c>
      <c r="E69" s="64">
        <v>9.81</v>
      </c>
      <c r="F69" s="64">
        <v>6.45</v>
      </c>
      <c r="G69" s="64">
        <v>30.93</v>
      </c>
      <c r="H69" s="64">
        <v>14.39</v>
      </c>
      <c r="I69" s="64">
        <v>2.97</v>
      </c>
      <c r="J69" s="64">
        <v>1.21</v>
      </c>
      <c r="K69" s="64">
        <v>339.64</v>
      </c>
      <c r="L69" s="64">
        <v>17.399999999999999</v>
      </c>
      <c r="M69" s="64">
        <v>24.9</v>
      </c>
      <c r="N69" s="64">
        <v>65.5</v>
      </c>
      <c r="O69" s="64">
        <v>0</v>
      </c>
      <c r="P69" s="64">
        <v>0.92</v>
      </c>
      <c r="Q69" s="64">
        <v>9.42</v>
      </c>
      <c r="R69" s="198"/>
      <c r="S69" s="198"/>
      <c r="T69" s="198"/>
      <c r="U69" s="198"/>
    </row>
    <row r="70" spans="1:21" s="12" customFormat="1" x14ac:dyDescent="0.25">
      <c r="A70" s="214" t="s">
        <v>2805</v>
      </c>
      <c r="B70" s="64">
        <v>14.42</v>
      </c>
      <c r="C70" s="64">
        <v>39.07</v>
      </c>
      <c r="D70" s="64">
        <v>30.31</v>
      </c>
      <c r="E70" s="64">
        <v>11.09</v>
      </c>
      <c r="F70" s="64">
        <v>9.83</v>
      </c>
      <c r="G70" s="64">
        <v>30.93</v>
      </c>
      <c r="H70" s="64">
        <v>14.39</v>
      </c>
      <c r="I70" s="64">
        <v>2.92</v>
      </c>
      <c r="J70" s="64">
        <v>1.0900000000000001</v>
      </c>
      <c r="K70" s="64">
        <v>341.36</v>
      </c>
      <c r="L70" s="64">
        <v>17.03</v>
      </c>
      <c r="M70" s="64">
        <v>25.4</v>
      </c>
      <c r="N70" s="64">
        <v>62.3</v>
      </c>
      <c r="O70" s="64">
        <v>0</v>
      </c>
      <c r="P70" s="64">
        <v>0.87</v>
      </c>
      <c r="Q70" s="64">
        <v>9.41</v>
      </c>
      <c r="R70" s="198"/>
      <c r="S70" s="198"/>
      <c r="T70" s="198"/>
      <c r="U70" s="198"/>
    </row>
    <row r="71" spans="1:21" s="12" customFormat="1" x14ac:dyDescent="0.25">
      <c r="A71" s="214" t="s">
        <v>2806</v>
      </c>
      <c r="B71" s="64">
        <v>13.55</v>
      </c>
      <c r="C71" s="64">
        <v>41.27</v>
      </c>
      <c r="D71" s="64">
        <v>30.75</v>
      </c>
      <c r="E71" s="64">
        <v>8.17</v>
      </c>
      <c r="F71" s="64">
        <v>8.2100000000000009</v>
      </c>
      <c r="G71" s="64">
        <v>30.93</v>
      </c>
      <c r="H71" s="64">
        <v>14.39</v>
      </c>
      <c r="I71" s="64">
        <v>2.68</v>
      </c>
      <c r="J71" s="64">
        <v>0.79</v>
      </c>
      <c r="K71" s="64">
        <v>322.38</v>
      </c>
      <c r="L71" s="64">
        <v>16.690000000000001</v>
      </c>
      <c r="M71" s="64">
        <v>27.18</v>
      </c>
      <c r="N71" s="64">
        <v>57.8</v>
      </c>
      <c r="O71" s="64">
        <v>0</v>
      </c>
      <c r="P71" s="64">
        <v>0.86</v>
      </c>
      <c r="Q71" s="64">
        <v>9.4</v>
      </c>
      <c r="R71" s="198"/>
      <c r="S71" s="198"/>
      <c r="T71" s="198"/>
      <c r="U71" s="198"/>
    </row>
    <row r="72" spans="1:21" s="12" customFormat="1" x14ac:dyDescent="0.25">
      <c r="A72" s="214" t="s">
        <v>2807</v>
      </c>
      <c r="B72" s="64">
        <v>12.54</v>
      </c>
      <c r="C72" s="64">
        <v>43.2</v>
      </c>
      <c r="D72" s="64">
        <v>30.95</v>
      </c>
      <c r="E72" s="64">
        <v>11.98</v>
      </c>
      <c r="F72" s="64">
        <v>10.07</v>
      </c>
      <c r="G72" s="64">
        <v>26.46</v>
      </c>
      <c r="H72" s="64">
        <v>12.28</v>
      </c>
      <c r="I72" s="64">
        <v>2.85</v>
      </c>
      <c r="J72" s="64">
        <v>0.54</v>
      </c>
      <c r="K72" s="64">
        <v>311.23</v>
      </c>
      <c r="L72" s="64">
        <v>16.41</v>
      </c>
      <c r="M72" s="64">
        <v>28.5</v>
      </c>
      <c r="N72" s="64">
        <v>54.8</v>
      </c>
      <c r="O72" s="64">
        <v>0</v>
      </c>
      <c r="P72" s="64">
        <v>0.92</v>
      </c>
      <c r="Q72" s="64">
        <v>9.4</v>
      </c>
      <c r="R72" s="198"/>
      <c r="S72" s="198"/>
      <c r="T72" s="198"/>
      <c r="U72" s="198"/>
    </row>
    <row r="73" spans="1:21" s="12" customFormat="1" x14ac:dyDescent="0.25">
      <c r="A73" s="214" t="s">
        <v>2808</v>
      </c>
      <c r="B73" s="64">
        <v>14.38</v>
      </c>
      <c r="C73" s="64">
        <v>40.07</v>
      </c>
      <c r="D73" s="64">
        <v>30.79</v>
      </c>
      <c r="E73" s="64">
        <v>10.07</v>
      </c>
      <c r="F73" s="64">
        <v>6.07</v>
      </c>
      <c r="G73" s="64">
        <v>22.55</v>
      </c>
      <c r="H73" s="64">
        <v>11.45</v>
      </c>
      <c r="I73" s="64">
        <v>2.62</v>
      </c>
      <c r="J73" s="64">
        <v>0.74</v>
      </c>
      <c r="K73" s="64">
        <v>313.55</v>
      </c>
      <c r="L73" s="64">
        <v>16.32</v>
      </c>
      <c r="M73" s="64">
        <v>29.84</v>
      </c>
      <c r="N73" s="64">
        <v>50.9</v>
      </c>
      <c r="O73" s="64">
        <v>0</v>
      </c>
      <c r="P73" s="64">
        <v>0.92</v>
      </c>
      <c r="Q73" s="64">
        <v>9.4</v>
      </c>
      <c r="R73" s="198"/>
      <c r="S73" s="198"/>
      <c r="T73" s="198"/>
      <c r="U73" s="198"/>
    </row>
    <row r="74" spans="1:21" s="12" customFormat="1" x14ac:dyDescent="0.25">
      <c r="A74" s="214" t="s">
        <v>2809</v>
      </c>
      <c r="B74" s="64">
        <v>14.39</v>
      </c>
      <c r="C74" s="64">
        <v>39.69</v>
      </c>
      <c r="D74" s="64">
        <v>30.6</v>
      </c>
      <c r="E74" s="64">
        <v>6.31</v>
      </c>
      <c r="F74" s="64">
        <v>4.32</v>
      </c>
      <c r="G74" s="64">
        <v>22.55</v>
      </c>
      <c r="H74" s="64">
        <v>11.45</v>
      </c>
      <c r="I74" s="64">
        <v>2.44</v>
      </c>
      <c r="J74" s="64">
        <v>1.21</v>
      </c>
      <c r="K74" s="64">
        <v>326.61</v>
      </c>
      <c r="L74" s="64">
        <v>16.12</v>
      </c>
      <c r="M74" s="64">
        <v>29.55</v>
      </c>
      <c r="N74" s="64">
        <v>47.6</v>
      </c>
      <c r="O74" s="64">
        <v>0</v>
      </c>
      <c r="P74" s="64">
        <v>0.93</v>
      </c>
      <c r="Q74" s="64">
        <v>9.4</v>
      </c>
      <c r="R74" s="198"/>
      <c r="S74" s="198"/>
      <c r="T74" s="198"/>
      <c r="U74" s="198"/>
    </row>
    <row r="75" spans="1:21" s="12" customFormat="1" x14ac:dyDescent="0.25">
      <c r="A75" s="214" t="s">
        <v>2810</v>
      </c>
      <c r="B75" s="64">
        <v>12.06</v>
      </c>
      <c r="C75" s="64">
        <v>40.5</v>
      </c>
      <c r="D75" s="64">
        <v>29.15</v>
      </c>
      <c r="E75" s="64">
        <v>5.9</v>
      </c>
      <c r="F75" s="64">
        <v>3.77</v>
      </c>
      <c r="G75" s="64">
        <v>22.55</v>
      </c>
      <c r="H75" s="64">
        <v>11.45</v>
      </c>
      <c r="I75" s="64">
        <v>2.63</v>
      </c>
      <c r="J75" s="64">
        <v>1.1100000000000001</v>
      </c>
      <c r="K75" s="64">
        <v>322.18</v>
      </c>
      <c r="L75" s="64">
        <v>15.69</v>
      </c>
      <c r="M75" s="64">
        <v>30.12</v>
      </c>
      <c r="N75" s="64">
        <v>44</v>
      </c>
      <c r="O75" s="64">
        <v>0</v>
      </c>
      <c r="P75" s="64">
        <v>0.92</v>
      </c>
      <c r="Q75" s="64">
        <v>9.39</v>
      </c>
      <c r="R75" s="198"/>
      <c r="S75" s="198"/>
      <c r="T75" s="198"/>
      <c r="U75" s="198"/>
    </row>
    <row r="76" spans="1:21" s="12" customFormat="1" x14ac:dyDescent="0.25">
      <c r="A76" s="214" t="s">
        <v>2811</v>
      </c>
      <c r="B76" s="64">
        <v>13.24</v>
      </c>
      <c r="C76" s="64">
        <v>41.19</v>
      </c>
      <c r="D76" s="64">
        <v>30.46</v>
      </c>
      <c r="E76" s="64">
        <v>5.0199999999999996</v>
      </c>
      <c r="F76" s="64">
        <v>2.62</v>
      </c>
      <c r="G76" s="64">
        <v>24.78</v>
      </c>
      <c r="H76" s="64">
        <v>11.13</v>
      </c>
      <c r="I76" s="64">
        <v>2.72</v>
      </c>
      <c r="J76" s="64">
        <v>1.22</v>
      </c>
      <c r="K76" s="64">
        <v>332.88</v>
      </c>
      <c r="L76" s="64">
        <v>15.21</v>
      </c>
      <c r="M76" s="64">
        <v>30.87</v>
      </c>
      <c r="N76" s="64">
        <v>39.4</v>
      </c>
      <c r="O76" s="64">
        <v>0</v>
      </c>
      <c r="P76" s="64">
        <v>0.92</v>
      </c>
      <c r="Q76" s="64">
        <v>9.3800000000000008</v>
      </c>
      <c r="R76" s="198"/>
      <c r="S76" s="198"/>
      <c r="T76" s="198"/>
      <c r="U76" s="198"/>
    </row>
    <row r="77" spans="1:21" s="12" customFormat="1" x14ac:dyDescent="0.25">
      <c r="A77" s="214" t="s">
        <v>2812</v>
      </c>
      <c r="B77" s="64">
        <v>14.43</v>
      </c>
      <c r="C77" s="64">
        <v>41.53</v>
      </c>
      <c r="D77" s="64">
        <v>31.59</v>
      </c>
      <c r="E77" s="64">
        <v>5.55</v>
      </c>
      <c r="F77" s="64">
        <v>3.15</v>
      </c>
      <c r="G77" s="64">
        <v>26.65</v>
      </c>
      <c r="H77" s="64">
        <v>11</v>
      </c>
      <c r="I77" s="64">
        <v>2.8</v>
      </c>
      <c r="J77" s="64">
        <v>1.01</v>
      </c>
      <c r="K77" s="64">
        <v>330.2</v>
      </c>
      <c r="L77" s="64">
        <v>14.73</v>
      </c>
      <c r="M77" s="64">
        <v>32.83</v>
      </c>
      <c r="N77" s="64">
        <v>34.700000000000003</v>
      </c>
      <c r="O77" s="64">
        <v>0</v>
      </c>
      <c r="P77" s="64">
        <v>0.9</v>
      </c>
      <c r="Q77" s="64">
        <v>9.3699999999999992</v>
      </c>
      <c r="R77" s="198"/>
      <c r="S77" s="198"/>
      <c r="T77" s="198"/>
      <c r="U77" s="198"/>
    </row>
    <row r="78" spans="1:21" s="12" customFormat="1" x14ac:dyDescent="0.25">
      <c r="A78" s="214" t="s">
        <v>2813</v>
      </c>
      <c r="B78" s="64">
        <v>16.27</v>
      </c>
      <c r="C78" s="64">
        <v>43.04</v>
      </c>
      <c r="D78" s="64">
        <v>33.86</v>
      </c>
      <c r="E78" s="64">
        <v>5.3</v>
      </c>
      <c r="F78" s="64">
        <v>2.84</v>
      </c>
      <c r="G78" s="64">
        <v>26.65</v>
      </c>
      <c r="H78" s="64">
        <v>11</v>
      </c>
      <c r="I78" s="64">
        <v>2.84</v>
      </c>
      <c r="J78" s="64">
        <v>0.76</v>
      </c>
      <c r="K78" s="64">
        <v>329.87</v>
      </c>
      <c r="L78" s="64">
        <v>13.99</v>
      </c>
      <c r="M78" s="64">
        <v>35.74</v>
      </c>
      <c r="N78" s="64">
        <v>31.2</v>
      </c>
      <c r="O78" s="64">
        <v>0</v>
      </c>
      <c r="P78" s="64">
        <v>0.94</v>
      </c>
      <c r="Q78" s="64">
        <v>9.3699999999999992</v>
      </c>
      <c r="R78" s="198"/>
      <c r="S78" s="198"/>
      <c r="T78" s="198"/>
      <c r="U78" s="198"/>
    </row>
    <row r="79" spans="1:21" s="12" customFormat="1" x14ac:dyDescent="0.25">
      <c r="A79" s="214" t="s">
        <v>2814</v>
      </c>
      <c r="B79" s="64">
        <v>16.82</v>
      </c>
      <c r="C79" s="64">
        <v>42.71</v>
      </c>
      <c r="D79" s="64">
        <v>34.130000000000003</v>
      </c>
      <c r="E79" s="64">
        <v>5.22</v>
      </c>
      <c r="F79" s="64">
        <v>2.99</v>
      </c>
      <c r="G79" s="64">
        <v>26.65</v>
      </c>
      <c r="H79" s="64">
        <v>11</v>
      </c>
      <c r="I79" s="64">
        <v>2.86</v>
      </c>
      <c r="J79" s="64">
        <v>0.5</v>
      </c>
      <c r="K79" s="64">
        <v>342.85</v>
      </c>
      <c r="L79" s="64">
        <v>13.14</v>
      </c>
      <c r="M79" s="64">
        <v>37.549999999999997</v>
      </c>
      <c r="N79" s="64">
        <v>30.2</v>
      </c>
      <c r="O79" s="64">
        <v>0</v>
      </c>
      <c r="P79" s="64">
        <v>1.01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14" t="s">
        <v>2815</v>
      </c>
      <c r="B80" s="64">
        <v>16.420000000000002</v>
      </c>
      <c r="C80" s="64">
        <v>40.880000000000003</v>
      </c>
      <c r="D80" s="64">
        <v>32.85</v>
      </c>
      <c r="E80" s="64">
        <v>5.05</v>
      </c>
      <c r="F80" s="64">
        <v>2.71</v>
      </c>
      <c r="G80" s="64">
        <v>32.270000000000003</v>
      </c>
      <c r="H80" s="64">
        <v>12.41</v>
      </c>
      <c r="I80" s="64">
        <v>2.99</v>
      </c>
      <c r="J80" s="64">
        <v>0.21</v>
      </c>
      <c r="K80" s="64">
        <v>256.62</v>
      </c>
      <c r="L80" s="64">
        <v>12.33</v>
      </c>
      <c r="M80" s="64">
        <v>40.15</v>
      </c>
      <c r="N80" s="64">
        <v>29.9</v>
      </c>
      <c r="O80" s="64">
        <v>0</v>
      </c>
      <c r="P80" s="64">
        <v>0.99</v>
      </c>
      <c r="Q80" s="64">
        <v>9.3800000000000008</v>
      </c>
      <c r="R80" s="198"/>
      <c r="S80" s="198"/>
      <c r="T80" s="198"/>
      <c r="U80" s="198"/>
    </row>
    <row r="81" spans="1:26" s="12" customFormat="1" x14ac:dyDescent="0.25">
      <c r="A81" s="214" t="s">
        <v>2816</v>
      </c>
      <c r="B81" s="64">
        <v>16.63</v>
      </c>
      <c r="C81" s="64">
        <v>39.909999999999997</v>
      </c>
      <c r="D81" s="64">
        <v>32.51</v>
      </c>
      <c r="E81" s="64">
        <v>4.74</v>
      </c>
      <c r="F81" s="64">
        <v>2.5299999999999998</v>
      </c>
      <c r="G81" s="64">
        <v>36.97</v>
      </c>
      <c r="H81" s="64">
        <v>12.97</v>
      </c>
      <c r="I81" s="64">
        <v>3.06</v>
      </c>
      <c r="J81" s="64">
        <v>0.53</v>
      </c>
      <c r="K81" s="64">
        <v>120.11</v>
      </c>
      <c r="L81" s="64">
        <v>11.6</v>
      </c>
      <c r="M81" s="64">
        <v>44.6</v>
      </c>
      <c r="N81" s="64">
        <v>29.7</v>
      </c>
      <c r="O81" s="64">
        <v>0</v>
      </c>
      <c r="P81" s="64">
        <v>1</v>
      </c>
      <c r="Q81" s="64">
        <v>9.4</v>
      </c>
      <c r="R81" s="198"/>
      <c r="S81" s="198"/>
      <c r="T81" s="198"/>
      <c r="U81" s="198"/>
    </row>
    <row r="82" spans="1:26" s="12" customFormat="1" x14ac:dyDescent="0.25">
      <c r="A82" s="214" t="s">
        <v>2817</v>
      </c>
      <c r="B82" s="64">
        <v>19.29</v>
      </c>
      <c r="C82" s="64">
        <v>39.380000000000003</v>
      </c>
      <c r="D82" s="64">
        <v>34.36</v>
      </c>
      <c r="E82" s="64">
        <v>4.5199999999999996</v>
      </c>
      <c r="F82" s="64">
        <v>2.72</v>
      </c>
      <c r="G82" s="64">
        <v>36.97</v>
      </c>
      <c r="H82" s="64">
        <v>12.97</v>
      </c>
      <c r="I82" s="64">
        <v>3.06</v>
      </c>
      <c r="J82" s="64">
        <v>0.45</v>
      </c>
      <c r="K82" s="64">
        <v>113.14</v>
      </c>
      <c r="L82" s="64">
        <v>10.93</v>
      </c>
      <c r="M82" s="64">
        <v>51.92</v>
      </c>
      <c r="N82" s="64">
        <v>29.7</v>
      </c>
      <c r="O82" s="64">
        <v>0</v>
      </c>
      <c r="P82" s="64">
        <v>1.02</v>
      </c>
      <c r="Q82" s="64">
        <v>9.41</v>
      </c>
      <c r="R82" s="198"/>
      <c r="S82" s="198"/>
      <c r="T82" s="198"/>
      <c r="U82" s="198"/>
    </row>
    <row r="83" spans="1:26" s="12" customFormat="1" x14ac:dyDescent="0.25">
      <c r="A83" s="214" t="s">
        <v>2818</v>
      </c>
      <c r="B83" s="64">
        <v>21.49</v>
      </c>
      <c r="C83" s="64">
        <v>37.42</v>
      </c>
      <c r="D83" s="64">
        <v>35.1</v>
      </c>
      <c r="E83" s="64">
        <v>4.51</v>
      </c>
      <c r="F83" s="64">
        <v>2.67</v>
      </c>
      <c r="G83" s="64">
        <v>36.97</v>
      </c>
      <c r="H83" s="64">
        <v>12.97</v>
      </c>
      <c r="I83" s="64">
        <v>3.11</v>
      </c>
      <c r="J83" s="64">
        <v>0.27</v>
      </c>
      <c r="K83" s="64">
        <v>117.89</v>
      </c>
      <c r="L83" s="64">
        <v>10.5</v>
      </c>
      <c r="M83" s="64">
        <v>57.46</v>
      </c>
      <c r="N83" s="64">
        <v>29.5</v>
      </c>
      <c r="O83" s="64">
        <v>0</v>
      </c>
      <c r="P83" s="64">
        <v>1.06</v>
      </c>
      <c r="Q83" s="64">
        <v>9.43</v>
      </c>
      <c r="R83" s="198"/>
      <c r="S83" s="198"/>
      <c r="T83" s="198"/>
      <c r="U83" s="198"/>
    </row>
    <row r="84" spans="1:26" s="12" customFormat="1" x14ac:dyDescent="0.25">
      <c r="A84" s="214" t="s">
        <v>2819</v>
      </c>
      <c r="B84" s="64">
        <v>25.68</v>
      </c>
      <c r="C84" s="64">
        <v>35.51</v>
      </c>
      <c r="D84" s="64">
        <v>37.47</v>
      </c>
      <c r="E84" s="64">
        <v>4.42</v>
      </c>
      <c r="F84" s="64">
        <v>2.4900000000000002</v>
      </c>
      <c r="G84" s="64">
        <v>56.57</v>
      </c>
      <c r="H84" s="64">
        <v>16.43</v>
      </c>
      <c r="I84" s="64">
        <v>3.24</v>
      </c>
      <c r="J84" s="64">
        <v>0.01</v>
      </c>
      <c r="K84" s="64">
        <v>50.34</v>
      </c>
      <c r="L84" s="64">
        <v>10.08</v>
      </c>
      <c r="M84" s="64">
        <v>60.99</v>
      </c>
      <c r="N84" s="64">
        <v>29.5</v>
      </c>
      <c r="O84" s="64">
        <v>0</v>
      </c>
      <c r="P84" s="64">
        <v>1.1399999999999999</v>
      </c>
      <c r="Q84" s="64">
        <v>9.4499999999999993</v>
      </c>
      <c r="R84" s="198"/>
      <c r="S84" s="198"/>
      <c r="T84" s="198"/>
      <c r="U84" s="198"/>
    </row>
    <row r="85" spans="1:26" s="12" customFormat="1" x14ac:dyDescent="0.25">
      <c r="A85" s="214" t="s">
        <v>2820</v>
      </c>
      <c r="B85" s="64">
        <v>42.54</v>
      </c>
      <c r="C85" s="64">
        <v>28.75</v>
      </c>
      <c r="D85" s="64">
        <v>47.44</v>
      </c>
      <c r="E85" s="64">
        <v>5.16</v>
      </c>
      <c r="F85" s="64">
        <v>2.3199999999999998</v>
      </c>
      <c r="G85" s="64">
        <v>72.97</v>
      </c>
      <c r="H85" s="64">
        <v>19.05</v>
      </c>
      <c r="I85" s="64">
        <v>3.41</v>
      </c>
      <c r="J85" s="64">
        <v>0.36</v>
      </c>
      <c r="K85" s="64">
        <v>13.14</v>
      </c>
      <c r="L85" s="64">
        <v>9.7799999999999994</v>
      </c>
      <c r="M85" s="64">
        <v>63.63</v>
      </c>
      <c r="N85" s="64">
        <v>29.3</v>
      </c>
      <c r="O85" s="64">
        <v>0</v>
      </c>
      <c r="P85" s="64">
        <v>1.39</v>
      </c>
      <c r="Q85" s="64">
        <v>9.5</v>
      </c>
      <c r="R85" s="198"/>
      <c r="S85" s="198"/>
      <c r="T85" s="198"/>
      <c r="U85" s="198"/>
    </row>
    <row r="86" spans="1:26" s="12" customFormat="1" x14ac:dyDescent="0.25">
      <c r="A86" s="214" t="s">
        <v>2821</v>
      </c>
      <c r="B86" s="64">
        <v>61.56</v>
      </c>
      <c r="C86" s="64">
        <v>22.82</v>
      </c>
      <c r="D86" s="64">
        <v>59.48</v>
      </c>
      <c r="E86" s="64">
        <v>5.33</v>
      </c>
      <c r="F86" s="64">
        <v>2.46</v>
      </c>
      <c r="G86" s="64">
        <v>72.97</v>
      </c>
      <c r="H86" s="64">
        <v>19.05</v>
      </c>
      <c r="I86" s="64">
        <v>3.65</v>
      </c>
      <c r="J86" s="64">
        <v>0.26</v>
      </c>
      <c r="K86" s="64">
        <v>327</v>
      </c>
      <c r="L86" s="64">
        <v>9.44</v>
      </c>
      <c r="M86" s="64">
        <v>67.72</v>
      </c>
      <c r="N86" s="64">
        <v>29.5</v>
      </c>
      <c r="O86" s="64">
        <v>0</v>
      </c>
      <c r="P86" s="64">
        <v>1.7</v>
      </c>
      <c r="Q86" s="64">
        <v>9.56</v>
      </c>
      <c r="R86" s="198"/>
      <c r="S86" s="198"/>
      <c r="T86" s="198"/>
      <c r="U86" s="198"/>
    </row>
    <row r="87" spans="1:26" s="12" customFormat="1" x14ac:dyDescent="0.25">
      <c r="A87" s="214" t="s">
        <v>2822</v>
      </c>
      <c r="B87" s="64">
        <v>69.13</v>
      </c>
      <c r="C87" s="64">
        <v>18.68</v>
      </c>
      <c r="D87" s="64">
        <v>63.05</v>
      </c>
      <c r="E87" s="64">
        <v>5.31</v>
      </c>
      <c r="F87" s="64">
        <v>2.4300000000000002</v>
      </c>
      <c r="G87" s="64">
        <v>72.97</v>
      </c>
      <c r="H87" s="64">
        <v>19.05</v>
      </c>
      <c r="I87" s="64">
        <v>4.5199999999999996</v>
      </c>
      <c r="J87" s="64">
        <v>0.38</v>
      </c>
      <c r="K87" s="64">
        <v>121.61</v>
      </c>
      <c r="L87" s="64">
        <v>9.1300000000000008</v>
      </c>
      <c r="M87" s="64">
        <v>67.37</v>
      </c>
      <c r="N87" s="64">
        <v>29.4</v>
      </c>
      <c r="O87" s="64">
        <v>0</v>
      </c>
      <c r="P87" s="64">
        <v>1.78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4" t="s">
        <v>2823</v>
      </c>
      <c r="B88" s="64">
        <v>81.099999999999994</v>
      </c>
      <c r="C88" s="64">
        <v>17.61</v>
      </c>
      <c r="D88" s="64">
        <v>71.97</v>
      </c>
      <c r="E88" s="64">
        <v>5.69</v>
      </c>
      <c r="F88" s="64">
        <v>2.42</v>
      </c>
      <c r="G88" s="64">
        <v>94.99</v>
      </c>
      <c r="H88" s="64">
        <v>27.79</v>
      </c>
      <c r="I88" s="64">
        <v>5.0599999999999996</v>
      </c>
      <c r="J88" s="64">
        <v>0.38</v>
      </c>
      <c r="K88" s="64">
        <v>264.55</v>
      </c>
      <c r="L88" s="64">
        <v>8.91</v>
      </c>
      <c r="M88" s="64">
        <v>71.34</v>
      </c>
      <c r="N88" s="64">
        <v>29.5</v>
      </c>
      <c r="O88" s="64">
        <v>0</v>
      </c>
      <c r="P88" s="64">
        <v>2.0299999999999998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4" t="s">
        <v>2824</v>
      </c>
      <c r="B89" s="64">
        <v>76.92</v>
      </c>
      <c r="C89" s="64">
        <v>14.01</v>
      </c>
      <c r="D89" s="64">
        <v>67.19</v>
      </c>
      <c r="E89" s="64">
        <v>6</v>
      </c>
      <c r="F89" s="64">
        <v>2.59</v>
      </c>
      <c r="G89" s="64">
        <v>113.42</v>
      </c>
      <c r="H89" s="64">
        <v>31.25</v>
      </c>
      <c r="I89" s="64">
        <v>5.23</v>
      </c>
      <c r="J89" s="64">
        <v>0.11</v>
      </c>
      <c r="K89" s="64">
        <v>146.52000000000001</v>
      </c>
      <c r="L89" s="64">
        <v>8.6</v>
      </c>
      <c r="M89" s="64">
        <v>73.94</v>
      </c>
      <c r="N89" s="64">
        <v>29.3</v>
      </c>
      <c r="O89" s="64">
        <v>0</v>
      </c>
      <c r="P89" s="64">
        <v>1.91</v>
      </c>
      <c r="Q89" s="64">
        <v>9.65</v>
      </c>
      <c r="R89" s="198"/>
      <c r="S89" s="198"/>
      <c r="T89" s="198"/>
      <c r="U89" s="198"/>
    </row>
    <row r="90" spans="1:26" s="12" customFormat="1" x14ac:dyDescent="0.25">
      <c r="A90" s="214" t="s">
        <v>2825</v>
      </c>
      <c r="B90" s="64">
        <v>87.64</v>
      </c>
      <c r="C90" s="64">
        <v>10.11</v>
      </c>
      <c r="D90" s="64">
        <v>73.86</v>
      </c>
      <c r="E90" s="64">
        <v>5.86</v>
      </c>
      <c r="F90" s="64">
        <v>2.5</v>
      </c>
      <c r="G90" s="64">
        <v>113.42</v>
      </c>
      <c r="H90" s="64">
        <v>31.25</v>
      </c>
      <c r="I90" s="64">
        <v>6.06</v>
      </c>
      <c r="J90" s="64">
        <v>0.23</v>
      </c>
      <c r="K90" s="64">
        <v>99.07</v>
      </c>
      <c r="L90" s="64">
        <v>8.5399999999999991</v>
      </c>
      <c r="M90" s="64">
        <v>82.33</v>
      </c>
      <c r="N90" s="64">
        <v>29.3</v>
      </c>
      <c r="O90" s="64">
        <v>0</v>
      </c>
      <c r="P90" s="64">
        <v>2.2599999999999998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4" t="s">
        <v>2826</v>
      </c>
      <c r="B91" s="64">
        <v>89.3</v>
      </c>
      <c r="C91" s="64">
        <v>7.33</v>
      </c>
      <c r="D91" s="64">
        <v>73.53</v>
      </c>
      <c r="E91" s="64">
        <v>5.72</v>
      </c>
      <c r="F91" s="64">
        <v>2.66</v>
      </c>
      <c r="G91" s="64">
        <v>113.42</v>
      </c>
      <c r="H91" s="64">
        <v>31.25</v>
      </c>
      <c r="I91" s="64">
        <v>6.25</v>
      </c>
      <c r="J91" s="64">
        <v>0.46</v>
      </c>
      <c r="K91" s="64">
        <v>320.74</v>
      </c>
      <c r="L91" s="64">
        <v>8.41</v>
      </c>
      <c r="M91" s="64">
        <v>87.58</v>
      </c>
      <c r="N91" s="64">
        <v>29.2</v>
      </c>
      <c r="O91" s="64">
        <v>0</v>
      </c>
      <c r="P91" s="64">
        <v>2.2599999999999998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4" t="s">
        <v>2827</v>
      </c>
      <c r="B92" s="64">
        <v>94.5</v>
      </c>
      <c r="C92" s="64">
        <v>5.24</v>
      </c>
      <c r="D92" s="64">
        <v>76.84</v>
      </c>
      <c r="E92" s="64">
        <v>5.73</v>
      </c>
      <c r="F92" s="64">
        <v>2.56</v>
      </c>
      <c r="G92" s="64">
        <v>112.3</v>
      </c>
      <c r="H92" s="64">
        <v>37.01</v>
      </c>
      <c r="I92" s="64">
        <v>6.55</v>
      </c>
      <c r="J92" s="64">
        <v>0.43</v>
      </c>
      <c r="K92" s="64">
        <v>287.77999999999997</v>
      </c>
      <c r="L92" s="64">
        <v>8.1999999999999993</v>
      </c>
      <c r="M92" s="64">
        <v>93.52</v>
      </c>
      <c r="N92" s="64">
        <v>29.4</v>
      </c>
      <c r="O92" s="64">
        <v>0</v>
      </c>
      <c r="P92" s="64">
        <v>2.46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4" t="s">
        <v>2828</v>
      </c>
      <c r="B93" s="64">
        <v>94.86</v>
      </c>
      <c r="C93" s="64">
        <v>4.21</v>
      </c>
      <c r="D93" s="64">
        <v>76.59</v>
      </c>
      <c r="E93" s="64">
        <v>6.01</v>
      </c>
      <c r="F93" s="64">
        <v>2.8</v>
      </c>
      <c r="G93" s="64">
        <v>111.36</v>
      </c>
      <c r="H93" s="64">
        <v>39.29</v>
      </c>
      <c r="I93" s="64">
        <v>6.72</v>
      </c>
      <c r="J93" s="64">
        <v>0.51</v>
      </c>
      <c r="K93" s="64">
        <v>315.20999999999998</v>
      </c>
      <c r="L93" s="64">
        <v>8.02</v>
      </c>
      <c r="M93" s="64">
        <v>92.31</v>
      </c>
      <c r="N93" s="64">
        <v>29.2</v>
      </c>
      <c r="O93" s="64">
        <v>0</v>
      </c>
      <c r="P93" s="64">
        <v>2.4900000000000002</v>
      </c>
      <c r="Q93" s="64">
        <v>9.67</v>
      </c>
      <c r="R93" s="198"/>
      <c r="S93" s="198"/>
      <c r="T93" s="198"/>
      <c r="U93" s="198"/>
    </row>
    <row r="94" spans="1:26" s="12" customFormat="1" x14ac:dyDescent="0.25">
      <c r="A94" s="214" t="s">
        <v>2829</v>
      </c>
      <c r="B94" s="64">
        <v>100.74</v>
      </c>
      <c r="C94" s="64">
        <v>1.07</v>
      </c>
      <c r="D94" s="64">
        <v>79.41</v>
      </c>
      <c r="E94" s="64">
        <v>5.68</v>
      </c>
      <c r="F94" s="64">
        <v>2.46</v>
      </c>
      <c r="G94" s="64">
        <v>111.36</v>
      </c>
      <c r="H94" s="64">
        <v>39.29</v>
      </c>
      <c r="I94" s="64">
        <v>7.29</v>
      </c>
      <c r="J94" s="64">
        <v>0.48</v>
      </c>
      <c r="K94" s="64">
        <v>349.35</v>
      </c>
      <c r="L94" s="64">
        <v>7.96</v>
      </c>
      <c r="M94" s="64">
        <v>92.42</v>
      </c>
      <c r="N94" s="64">
        <v>29.3</v>
      </c>
      <c r="O94" s="64">
        <v>0</v>
      </c>
      <c r="P94" s="64">
        <v>2.63</v>
      </c>
      <c r="Q94" s="64">
        <v>9.68</v>
      </c>
      <c r="R94" s="198"/>
      <c r="S94" s="198"/>
      <c r="T94" s="198"/>
      <c r="U94" s="198"/>
    </row>
    <row r="95" spans="1:26" s="12" customFormat="1" x14ac:dyDescent="0.25">
      <c r="A95" s="214" t="s">
        <v>2830</v>
      </c>
      <c r="B95" s="64">
        <v>112.01</v>
      </c>
      <c r="C95" s="64">
        <v>1.07</v>
      </c>
      <c r="D95" s="64">
        <v>85.55</v>
      </c>
      <c r="E95" s="64">
        <v>5.96</v>
      </c>
      <c r="F95" s="64">
        <v>2.69</v>
      </c>
      <c r="G95" s="64">
        <v>111.36</v>
      </c>
      <c r="H95" s="64">
        <v>39.29</v>
      </c>
      <c r="I95" s="64">
        <v>7.46</v>
      </c>
      <c r="J95" s="64">
        <v>0.11</v>
      </c>
      <c r="K95" s="64">
        <v>296.33</v>
      </c>
      <c r="L95" s="64">
        <v>7.76</v>
      </c>
      <c r="M95" s="64">
        <v>91.52</v>
      </c>
      <c r="N95" s="64">
        <v>29.3</v>
      </c>
      <c r="O95" s="64">
        <v>0</v>
      </c>
      <c r="P95" s="64">
        <v>2.81</v>
      </c>
      <c r="Q95" s="64">
        <v>9.69</v>
      </c>
      <c r="R95" s="198"/>
      <c r="S95" s="198"/>
      <c r="T95" s="198"/>
      <c r="U95" s="198"/>
    </row>
    <row r="96" spans="1:26" s="12" customFormat="1" x14ac:dyDescent="0.25">
      <c r="A96" s="214" t="s">
        <v>2831</v>
      </c>
      <c r="B96" s="64">
        <v>119.68</v>
      </c>
      <c r="C96" s="64">
        <v>1.07</v>
      </c>
      <c r="D96" s="64">
        <v>89.88</v>
      </c>
      <c r="E96" s="64">
        <v>5.91</v>
      </c>
      <c r="F96" s="64">
        <v>2.61</v>
      </c>
      <c r="G96" s="64">
        <v>113.81</v>
      </c>
      <c r="H96" s="64">
        <v>46.11</v>
      </c>
      <c r="I96" s="64">
        <v>7.85</v>
      </c>
      <c r="J96" s="64">
        <v>0.15</v>
      </c>
      <c r="K96" s="64">
        <v>255.65</v>
      </c>
      <c r="L96" s="64">
        <v>7.59</v>
      </c>
      <c r="M96" s="64">
        <v>93.63</v>
      </c>
      <c r="N96" s="64">
        <v>29.2</v>
      </c>
      <c r="O96" s="64">
        <v>0</v>
      </c>
      <c r="P96" s="64">
        <v>2.96</v>
      </c>
      <c r="Q96" s="64">
        <v>9.6999999999999993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2832</v>
      </c>
      <c r="B97" s="64">
        <v>127.1</v>
      </c>
      <c r="C97" s="64">
        <v>1.07</v>
      </c>
      <c r="D97" s="64">
        <v>93.84</v>
      </c>
      <c r="E97" s="64">
        <v>6.28</v>
      </c>
      <c r="F97" s="64">
        <v>2.54</v>
      </c>
      <c r="G97" s="64">
        <v>115.85</v>
      </c>
      <c r="H97" s="64">
        <v>48.81</v>
      </c>
      <c r="I97" s="64">
        <v>8.32</v>
      </c>
      <c r="J97" s="64">
        <v>0.59</v>
      </c>
      <c r="K97" s="64">
        <v>323.76</v>
      </c>
      <c r="L97" s="64">
        <v>7.5</v>
      </c>
      <c r="M97" s="64">
        <v>96.78</v>
      </c>
      <c r="N97" s="64">
        <v>29.2</v>
      </c>
      <c r="O97" s="64">
        <v>0</v>
      </c>
      <c r="P97" s="64">
        <v>3.14</v>
      </c>
      <c r="Q97" s="64">
        <v>9.7100000000000009</v>
      </c>
      <c r="R97" s="198"/>
      <c r="S97" s="198"/>
      <c r="T97" s="198"/>
      <c r="U97" s="198"/>
    </row>
    <row r="98" spans="1:33" s="12" customFormat="1" x14ac:dyDescent="0.25">
      <c r="A98" s="214" t="s">
        <v>2833</v>
      </c>
      <c r="B98" s="64">
        <v>134.03</v>
      </c>
      <c r="C98" s="64">
        <v>1.07</v>
      </c>
      <c r="D98" s="64">
        <v>97.63</v>
      </c>
      <c r="E98" s="64">
        <v>5.92</v>
      </c>
      <c r="F98" s="64">
        <v>2.4700000000000002</v>
      </c>
      <c r="G98" s="64">
        <v>115.85</v>
      </c>
      <c r="H98" s="64">
        <v>48.81</v>
      </c>
      <c r="I98" s="64">
        <v>8.7100000000000009</v>
      </c>
      <c r="J98" s="64">
        <v>0.47</v>
      </c>
      <c r="K98" s="64">
        <v>300.45</v>
      </c>
      <c r="L98" s="64">
        <v>7.4</v>
      </c>
      <c r="M98" s="64">
        <v>94.19</v>
      </c>
      <c r="N98" s="64">
        <v>28.9</v>
      </c>
      <c r="O98" s="64">
        <v>0</v>
      </c>
      <c r="P98" s="64">
        <v>3.34</v>
      </c>
      <c r="Q98" s="64">
        <v>9.6999999999999993</v>
      </c>
      <c r="R98" s="198"/>
      <c r="S98" s="198"/>
      <c r="T98" s="198"/>
      <c r="U98" s="198"/>
    </row>
    <row r="99" spans="1:33" s="12" customFormat="1" x14ac:dyDescent="0.25">
      <c r="A99" s="214" t="s">
        <v>2834</v>
      </c>
      <c r="B99" s="64">
        <v>137.99</v>
      </c>
      <c r="C99" s="64">
        <v>1.07</v>
      </c>
      <c r="D99" s="64">
        <v>99.57</v>
      </c>
      <c r="E99" s="64">
        <v>6.42</v>
      </c>
      <c r="F99" s="64">
        <v>2.54</v>
      </c>
      <c r="G99" s="64">
        <v>115.85</v>
      </c>
      <c r="H99" s="64">
        <v>48.81</v>
      </c>
      <c r="I99" s="64">
        <v>9.18</v>
      </c>
      <c r="J99" s="64">
        <v>0.53</v>
      </c>
      <c r="K99" s="64">
        <v>295.48</v>
      </c>
      <c r="L99" s="64">
        <v>7.55</v>
      </c>
      <c r="M99" s="64">
        <v>84.41</v>
      </c>
      <c r="N99" s="64">
        <v>29.3</v>
      </c>
      <c r="O99" s="64">
        <v>0</v>
      </c>
      <c r="P99" s="64">
        <v>3.41</v>
      </c>
      <c r="Q99" s="64">
        <v>9.7100000000000009</v>
      </c>
      <c r="R99" s="198"/>
      <c r="S99" s="198"/>
      <c r="T99" s="198"/>
      <c r="U99" s="198"/>
    </row>
    <row r="100" spans="1:33" s="12" customFormat="1" x14ac:dyDescent="0.25">
      <c r="A100" s="214" t="s">
        <v>2835</v>
      </c>
      <c r="B100" s="64">
        <v>137.63999999999999</v>
      </c>
      <c r="C100" s="64">
        <v>1.07</v>
      </c>
      <c r="D100" s="64">
        <v>99.15</v>
      </c>
      <c r="E100" s="64">
        <v>6.11</v>
      </c>
      <c r="F100" s="64">
        <v>2.5099999999999998</v>
      </c>
      <c r="G100" s="64">
        <v>80.58</v>
      </c>
      <c r="H100" s="64">
        <v>47.82</v>
      </c>
      <c r="I100" s="64">
        <v>9.59</v>
      </c>
      <c r="J100" s="64">
        <v>0.42</v>
      </c>
      <c r="K100" s="64">
        <v>336.8</v>
      </c>
      <c r="L100" s="64">
        <v>7.41</v>
      </c>
      <c r="M100" s="64">
        <v>81.08</v>
      </c>
      <c r="N100" s="64">
        <v>29.6</v>
      </c>
      <c r="O100" s="64">
        <v>0</v>
      </c>
      <c r="P100" s="64">
        <v>3.39</v>
      </c>
      <c r="Q100" s="64">
        <v>9.7100000000000009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2836</v>
      </c>
      <c r="B101" s="64">
        <v>135.66999999999999</v>
      </c>
      <c r="C101" s="64">
        <v>1.07</v>
      </c>
      <c r="D101" s="64">
        <v>97.73</v>
      </c>
      <c r="E101" s="64">
        <v>6.24</v>
      </c>
      <c r="F101" s="64">
        <v>2.56</v>
      </c>
      <c r="G101" s="64">
        <v>49.82</v>
      </c>
      <c r="H101" s="64">
        <v>47.06</v>
      </c>
      <c r="I101" s="64">
        <v>10.52</v>
      </c>
      <c r="J101" s="64">
        <v>0.43</v>
      </c>
      <c r="K101" s="64">
        <v>134.43</v>
      </c>
      <c r="L101" s="64">
        <v>7.08</v>
      </c>
      <c r="M101" s="64">
        <v>85.34</v>
      </c>
      <c r="N101" s="64">
        <v>29.4</v>
      </c>
      <c r="O101" s="64">
        <v>0</v>
      </c>
      <c r="P101" s="64">
        <v>3.38</v>
      </c>
      <c r="Q101" s="64">
        <v>9.6999999999999993</v>
      </c>
      <c r="R101" s="198"/>
      <c r="S101" s="198"/>
      <c r="T101" s="198"/>
      <c r="U101" s="198"/>
    </row>
    <row r="102" spans="1:33" s="12" customFormat="1" x14ac:dyDescent="0.25">
      <c r="A102" s="214" t="s">
        <v>2837</v>
      </c>
      <c r="B102" s="64">
        <v>134.46</v>
      </c>
      <c r="C102" s="64">
        <v>1.07</v>
      </c>
      <c r="D102" s="64">
        <v>97.02</v>
      </c>
      <c r="E102" s="64">
        <v>6.43</v>
      </c>
      <c r="F102" s="64">
        <v>2.62</v>
      </c>
      <c r="G102" s="64">
        <v>49.82</v>
      </c>
      <c r="H102" s="64">
        <v>47.06</v>
      </c>
      <c r="I102" s="64">
        <v>10</v>
      </c>
      <c r="J102" s="64">
        <v>0.54</v>
      </c>
      <c r="K102" s="64">
        <v>142.32</v>
      </c>
      <c r="L102" s="64">
        <v>6.78</v>
      </c>
      <c r="M102" s="64">
        <v>89.77</v>
      </c>
      <c r="N102" s="64">
        <v>29.3</v>
      </c>
      <c r="O102" s="64">
        <v>0</v>
      </c>
      <c r="P102" s="64">
        <v>3.37</v>
      </c>
      <c r="Q102" s="64">
        <v>9.6999999999999993</v>
      </c>
      <c r="R102" s="198"/>
      <c r="S102" s="198"/>
      <c r="T102" s="198"/>
      <c r="U102" s="198"/>
    </row>
    <row r="103" spans="1:33" s="12" customFormat="1" x14ac:dyDescent="0.25">
      <c r="A103" s="214" t="s">
        <v>2838</v>
      </c>
      <c r="B103" s="64">
        <v>41.42</v>
      </c>
      <c r="C103" s="64">
        <v>2.2200000000000002</v>
      </c>
      <c r="D103" s="64">
        <v>29.89</v>
      </c>
      <c r="E103" s="64">
        <v>6.18</v>
      </c>
      <c r="F103" s="64">
        <v>2.61</v>
      </c>
      <c r="G103" s="64">
        <v>49.82</v>
      </c>
      <c r="H103" s="64">
        <v>47.06</v>
      </c>
      <c r="I103" s="64">
        <v>9.69</v>
      </c>
      <c r="J103" s="64">
        <v>0.46</v>
      </c>
      <c r="K103" s="64">
        <v>189.32</v>
      </c>
      <c r="L103" s="64">
        <v>6.69</v>
      </c>
      <c r="M103" s="64">
        <v>90.91</v>
      </c>
      <c r="N103" s="64">
        <v>29.2</v>
      </c>
      <c r="O103" s="64">
        <v>0</v>
      </c>
      <c r="P103" s="64">
        <v>3.35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4" t="s">
        <v>2839</v>
      </c>
      <c r="B104" s="64">
        <v>0</v>
      </c>
      <c r="C104" s="64">
        <v>3.21</v>
      </c>
      <c r="D104" s="64">
        <v>0</v>
      </c>
      <c r="E104" s="64">
        <v>5.19</v>
      </c>
      <c r="F104" s="64">
        <v>2.44</v>
      </c>
      <c r="G104" s="64">
        <v>64.239999999999995</v>
      </c>
      <c r="H104" s="64">
        <v>42.91</v>
      </c>
      <c r="I104" s="64">
        <v>9.6999999999999993</v>
      </c>
      <c r="J104" s="64">
        <v>0.4</v>
      </c>
      <c r="K104" s="64">
        <v>230.86</v>
      </c>
      <c r="L104" s="64">
        <v>6.42</v>
      </c>
      <c r="M104" s="64">
        <v>93.65</v>
      </c>
      <c r="N104" s="64">
        <v>29.4</v>
      </c>
      <c r="O104" s="64">
        <v>0</v>
      </c>
      <c r="P104" s="64">
        <v>3.34</v>
      </c>
      <c r="Q104" s="64">
        <v>9.7100000000000009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</v>
      </c>
      <c r="C106" s="67">
        <f>MIN(C9:C104)</f>
        <v>0.37</v>
      </c>
      <c r="D106" s="67">
        <f t="shared" ref="D106:Q106" si="0">MIN(D9:D104)</f>
        <v>0</v>
      </c>
      <c r="E106" s="67">
        <f t="shared" si="0"/>
        <v>4.42</v>
      </c>
      <c r="F106" s="67">
        <f t="shared" si="0"/>
        <v>2.2200000000000002</v>
      </c>
      <c r="G106" s="67">
        <f t="shared" si="0"/>
        <v>20.65</v>
      </c>
      <c r="H106" s="67">
        <f t="shared" si="0"/>
        <v>11</v>
      </c>
      <c r="I106" s="67">
        <f t="shared" si="0"/>
        <v>2.44</v>
      </c>
      <c r="J106" s="67">
        <f t="shared" si="0"/>
        <v>0.01</v>
      </c>
      <c r="K106" s="67">
        <f t="shared" si="0"/>
        <v>12.58</v>
      </c>
      <c r="L106" s="67">
        <f t="shared" si="0"/>
        <v>4.3600000000000003</v>
      </c>
      <c r="M106" s="67">
        <f t="shared" si="0"/>
        <v>24.9</v>
      </c>
      <c r="N106" s="67">
        <f t="shared" si="0"/>
        <v>28.3</v>
      </c>
      <c r="O106" s="67">
        <f t="shared" si="0"/>
        <v>0</v>
      </c>
      <c r="P106" s="67">
        <f t="shared" si="0"/>
        <v>0.86</v>
      </c>
      <c r="Q106" s="67">
        <f t="shared" si="0"/>
        <v>9.3699999999999992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137.99</v>
      </c>
      <c r="C107" s="66">
        <f t="shared" ref="C107:Q107" si="1">MAX(C9:C104)</f>
        <v>43.2</v>
      </c>
      <c r="D107" s="66">
        <f t="shared" si="1"/>
        <v>99.57</v>
      </c>
      <c r="E107" s="66">
        <f t="shared" si="1"/>
        <v>11.98</v>
      </c>
      <c r="F107" s="66">
        <f t="shared" si="1"/>
        <v>10.07</v>
      </c>
      <c r="G107" s="66">
        <f t="shared" si="1"/>
        <v>115.85</v>
      </c>
      <c r="H107" s="66">
        <f t="shared" si="1"/>
        <v>55.24</v>
      </c>
      <c r="I107" s="66">
        <f t="shared" si="1"/>
        <v>10.52</v>
      </c>
      <c r="J107" s="66">
        <f t="shared" si="1"/>
        <v>1.45</v>
      </c>
      <c r="K107" s="66">
        <f t="shared" si="1"/>
        <v>349.35</v>
      </c>
      <c r="L107" s="66">
        <f t="shared" si="1"/>
        <v>20.190000000000001</v>
      </c>
      <c r="M107" s="66">
        <f t="shared" si="1"/>
        <v>97.69</v>
      </c>
      <c r="N107" s="66">
        <f t="shared" si="1"/>
        <v>431.9</v>
      </c>
      <c r="O107" s="66">
        <f t="shared" si="1"/>
        <v>0</v>
      </c>
      <c r="P107" s="66">
        <f t="shared" si="1"/>
        <v>3.41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64.14552083333335</v>
      </c>
      <c r="C108" s="67">
        <f t="shared" ref="C108:Q108" si="2">AVERAGE(C9:C104)</f>
        <v>17.527604166666663</v>
      </c>
      <c r="D108" s="67">
        <f t="shared" si="2"/>
        <v>57.232083333333328</v>
      </c>
      <c r="E108" s="67">
        <f t="shared" si="2"/>
        <v>6.132604166666666</v>
      </c>
      <c r="F108" s="67">
        <f t="shared" si="2"/>
        <v>3.0018750000000005</v>
      </c>
      <c r="G108" s="67">
        <f t="shared" si="2"/>
        <v>60.48749999999999</v>
      </c>
      <c r="H108" s="67">
        <f t="shared" si="2"/>
        <v>29.22760416666668</v>
      </c>
      <c r="I108" s="67">
        <f t="shared" si="2"/>
        <v>5.9932291666666702</v>
      </c>
      <c r="J108" s="67">
        <f t="shared" si="2"/>
        <v>0.5669791666666667</v>
      </c>
      <c r="K108" s="67">
        <f t="shared" si="2"/>
        <v>229.44124999999997</v>
      </c>
      <c r="L108" s="67">
        <f t="shared" si="2"/>
        <v>10.903229166666669</v>
      </c>
      <c r="M108" s="67">
        <f t="shared" si="2"/>
        <v>65.535312500000003</v>
      </c>
      <c r="N108" s="67">
        <f t="shared" si="2"/>
        <v>118.21249999999998</v>
      </c>
      <c r="O108" s="67">
        <f t="shared" si="2"/>
        <v>0</v>
      </c>
      <c r="P108" s="67">
        <f t="shared" si="2"/>
        <v>1.7634375000000002</v>
      </c>
      <c r="Q108" s="67">
        <f t="shared" si="2"/>
        <v>9.5952083333333285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37.609165256687376</v>
      </c>
      <c r="C109" s="67">
        <f t="shared" ref="C109:Q109" si="3">STDEV(C9:C104)</f>
        <v>14.984351819905967</v>
      </c>
      <c r="D109" s="67">
        <f t="shared" si="3"/>
        <v>21.149868578248707</v>
      </c>
      <c r="E109" s="67">
        <f t="shared" si="3"/>
        <v>1.3061677532236899</v>
      </c>
      <c r="F109" s="67">
        <f t="shared" si="3"/>
        <v>1.4050640086562081</v>
      </c>
      <c r="G109" s="67">
        <f t="shared" si="3"/>
        <v>30.383052755390501</v>
      </c>
      <c r="H109" s="67">
        <f t="shared" si="3"/>
        <v>13.565545267702548</v>
      </c>
      <c r="I109" s="67">
        <f t="shared" si="3"/>
        <v>2.3284639141634527</v>
      </c>
      <c r="J109" s="67">
        <f t="shared" si="3"/>
        <v>0.34522035614697694</v>
      </c>
      <c r="K109" s="67">
        <f t="shared" si="3"/>
        <v>112.24141367465147</v>
      </c>
      <c r="L109" s="67">
        <f t="shared" si="3"/>
        <v>5.2523026518784883</v>
      </c>
      <c r="M109" s="67">
        <f t="shared" si="3"/>
        <v>28.45022404696255</v>
      </c>
      <c r="N109" s="67">
        <f t="shared" si="3"/>
        <v>141.88229832839394</v>
      </c>
      <c r="O109" s="67">
        <f t="shared" si="3"/>
        <v>0</v>
      </c>
      <c r="P109" s="67">
        <f t="shared" si="3"/>
        <v>0.79508864533922741</v>
      </c>
      <c r="Q109" s="67">
        <f t="shared" si="3"/>
        <v>0.10882123599513455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21" sqref="G12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225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2840</v>
      </c>
      <c r="B9" s="212" t="s">
        <v>42</v>
      </c>
      <c r="C9" s="212" t="s">
        <v>42</v>
      </c>
      <c r="D9" s="212" t="s">
        <v>42</v>
      </c>
      <c r="E9" s="64">
        <v>5.53</v>
      </c>
      <c r="F9" s="64">
        <v>2.5099999999999998</v>
      </c>
      <c r="G9" s="64">
        <v>76.31</v>
      </c>
      <c r="H9" s="64">
        <v>41.26</v>
      </c>
      <c r="I9" s="64">
        <v>9.6999999999999993</v>
      </c>
      <c r="J9" s="64">
        <v>0.44</v>
      </c>
      <c r="K9" s="64">
        <v>176.58</v>
      </c>
      <c r="L9" s="64">
        <v>6.19</v>
      </c>
      <c r="M9" s="64">
        <v>96.64</v>
      </c>
      <c r="N9" s="64">
        <v>29.2</v>
      </c>
      <c r="O9" s="64">
        <v>0</v>
      </c>
      <c r="P9" s="64">
        <v>3.33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4" t="s">
        <v>2841</v>
      </c>
      <c r="B10" s="212" t="s">
        <v>42</v>
      </c>
      <c r="C10" s="212" t="s">
        <v>42</v>
      </c>
      <c r="D10" s="212" t="s">
        <v>42</v>
      </c>
      <c r="E10" s="64">
        <v>5.65</v>
      </c>
      <c r="F10" s="64">
        <v>2.54</v>
      </c>
      <c r="G10" s="64">
        <v>76.31</v>
      </c>
      <c r="H10" s="64">
        <v>41.26</v>
      </c>
      <c r="I10" s="64">
        <v>10.48</v>
      </c>
      <c r="J10" s="64">
        <v>0.55000000000000004</v>
      </c>
      <c r="K10" s="64">
        <v>232.64</v>
      </c>
      <c r="L10" s="64">
        <v>6.17</v>
      </c>
      <c r="M10" s="64">
        <v>97.66</v>
      </c>
      <c r="N10" s="64">
        <v>29.3</v>
      </c>
      <c r="O10" s="64">
        <v>0</v>
      </c>
      <c r="P10" s="64">
        <v>3.29</v>
      </c>
      <c r="Q10" s="64">
        <v>9.69</v>
      </c>
      <c r="R10" s="198"/>
      <c r="S10" s="198"/>
      <c r="T10" s="198"/>
      <c r="U10" s="198"/>
    </row>
    <row r="11" spans="1:21" s="12" customFormat="1" x14ac:dyDescent="0.25">
      <c r="A11" s="214" t="s">
        <v>2842</v>
      </c>
      <c r="B11" s="212" t="s">
        <v>42</v>
      </c>
      <c r="C11" s="212" t="s">
        <v>42</v>
      </c>
      <c r="D11" s="212" t="s">
        <v>42</v>
      </c>
      <c r="E11" s="64">
        <v>5.41</v>
      </c>
      <c r="F11" s="64">
        <v>2.39</v>
      </c>
      <c r="G11" s="64">
        <v>76.31</v>
      </c>
      <c r="H11" s="64">
        <v>41.26</v>
      </c>
      <c r="I11" s="64">
        <v>9.9499999999999993</v>
      </c>
      <c r="J11" s="64">
        <v>0.56999999999999995</v>
      </c>
      <c r="K11" s="64">
        <v>229.39</v>
      </c>
      <c r="L11" s="64">
        <v>6.32</v>
      </c>
      <c r="M11" s="64">
        <v>95.25</v>
      </c>
      <c r="N11" s="64">
        <v>29.1</v>
      </c>
      <c r="O11" s="64">
        <v>0</v>
      </c>
      <c r="P11" s="64">
        <v>3.26</v>
      </c>
      <c r="Q11" s="64">
        <v>9.69</v>
      </c>
      <c r="R11" s="198"/>
      <c r="S11" s="198"/>
      <c r="T11" s="198"/>
      <c r="U11" s="198"/>
    </row>
    <row r="12" spans="1:21" s="12" customFormat="1" x14ac:dyDescent="0.25">
      <c r="A12" s="214" t="s">
        <v>2843</v>
      </c>
      <c r="B12" s="212" t="s">
        <v>42</v>
      </c>
      <c r="C12" s="212" t="s">
        <v>42</v>
      </c>
      <c r="D12" s="212" t="s">
        <v>42</v>
      </c>
      <c r="E12" s="64">
        <v>5.84</v>
      </c>
      <c r="F12" s="64">
        <v>2.35</v>
      </c>
      <c r="G12" s="64">
        <v>67.040000000000006</v>
      </c>
      <c r="H12" s="64">
        <v>39.51</v>
      </c>
      <c r="I12" s="64">
        <v>9.6199999999999992</v>
      </c>
      <c r="J12" s="64">
        <v>0.12</v>
      </c>
      <c r="K12" s="64">
        <v>297.25</v>
      </c>
      <c r="L12" s="64">
        <v>6.07</v>
      </c>
      <c r="M12" s="64">
        <v>95.09</v>
      </c>
      <c r="N12" s="64">
        <v>29.2</v>
      </c>
      <c r="O12" s="64">
        <v>0</v>
      </c>
      <c r="P12" s="64">
        <v>3.2</v>
      </c>
      <c r="Q12" s="64">
        <v>9.6999999999999993</v>
      </c>
      <c r="R12" s="198"/>
      <c r="S12" s="198"/>
      <c r="T12" s="198"/>
      <c r="U12" s="198"/>
    </row>
    <row r="13" spans="1:21" s="12" customFormat="1" x14ac:dyDescent="0.25">
      <c r="A13" s="214" t="s">
        <v>2844</v>
      </c>
      <c r="B13" s="212" t="s">
        <v>42</v>
      </c>
      <c r="C13" s="212" t="s">
        <v>42</v>
      </c>
      <c r="D13" s="212" t="s">
        <v>42</v>
      </c>
      <c r="E13" s="64">
        <v>5.52</v>
      </c>
      <c r="F13" s="64">
        <v>2.56</v>
      </c>
      <c r="G13" s="64">
        <v>59.29</v>
      </c>
      <c r="H13" s="64">
        <v>38.82</v>
      </c>
      <c r="I13" s="64">
        <v>10.27</v>
      </c>
      <c r="J13" s="64">
        <v>0.24</v>
      </c>
      <c r="K13" s="64">
        <v>244.99</v>
      </c>
      <c r="L13" s="64">
        <v>6.13</v>
      </c>
      <c r="M13" s="64">
        <v>95.86</v>
      </c>
      <c r="N13" s="64">
        <v>29</v>
      </c>
      <c r="O13" s="64">
        <v>0</v>
      </c>
      <c r="P13" s="64">
        <v>2.62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4" t="s">
        <v>2845</v>
      </c>
      <c r="B14" s="212" t="s">
        <v>42</v>
      </c>
      <c r="C14" s="212" t="s">
        <v>42</v>
      </c>
      <c r="D14" s="212" t="s">
        <v>42</v>
      </c>
      <c r="E14" s="64">
        <v>5.81</v>
      </c>
      <c r="F14" s="64">
        <v>2.54</v>
      </c>
      <c r="G14" s="64">
        <v>59.29</v>
      </c>
      <c r="H14" s="64">
        <v>38.82</v>
      </c>
      <c r="I14" s="64">
        <v>9.69</v>
      </c>
      <c r="J14" s="64">
        <v>0.21</v>
      </c>
      <c r="K14" s="64">
        <v>282.72000000000003</v>
      </c>
      <c r="L14" s="64">
        <v>6.07</v>
      </c>
      <c r="M14" s="64">
        <v>96.7</v>
      </c>
      <c r="N14" s="64">
        <v>29.3</v>
      </c>
      <c r="O14" s="64">
        <v>0</v>
      </c>
      <c r="P14" s="64">
        <v>2.71</v>
      </c>
      <c r="Q14" s="64">
        <v>9.68</v>
      </c>
      <c r="R14" s="198"/>
      <c r="S14" s="198"/>
      <c r="T14" s="198"/>
      <c r="U14" s="198"/>
    </row>
    <row r="15" spans="1:21" s="12" customFormat="1" x14ac:dyDescent="0.25">
      <c r="A15" s="214" t="s">
        <v>2846</v>
      </c>
      <c r="B15" s="212" t="s">
        <v>42</v>
      </c>
      <c r="C15" s="212" t="s">
        <v>42</v>
      </c>
      <c r="D15" s="212" t="s">
        <v>42</v>
      </c>
      <c r="E15" s="64">
        <v>5.4</v>
      </c>
      <c r="F15" s="64">
        <v>2.5299999999999998</v>
      </c>
      <c r="G15" s="64">
        <v>59.29</v>
      </c>
      <c r="H15" s="64">
        <v>38.82</v>
      </c>
      <c r="I15" s="64">
        <v>10</v>
      </c>
      <c r="J15" s="64">
        <v>0.14000000000000001</v>
      </c>
      <c r="K15" s="64">
        <v>248.36</v>
      </c>
      <c r="L15" s="64">
        <v>5.77</v>
      </c>
      <c r="M15" s="64">
        <v>97.17</v>
      </c>
      <c r="N15" s="64">
        <v>29.5</v>
      </c>
      <c r="O15" s="64">
        <v>0</v>
      </c>
      <c r="P15" s="64">
        <v>2.66</v>
      </c>
      <c r="Q15" s="64">
        <v>9.68</v>
      </c>
      <c r="R15" s="198"/>
      <c r="S15" s="198"/>
      <c r="T15" s="198"/>
      <c r="U15" s="198"/>
    </row>
    <row r="16" spans="1:21" s="12" customFormat="1" x14ac:dyDescent="0.25">
      <c r="A16" s="214" t="s">
        <v>2847</v>
      </c>
      <c r="B16" s="212" t="s">
        <v>42</v>
      </c>
      <c r="C16" s="212" t="s">
        <v>42</v>
      </c>
      <c r="D16" s="212" t="s">
        <v>42</v>
      </c>
      <c r="E16" s="64">
        <v>5.38</v>
      </c>
      <c r="F16" s="64">
        <v>2.72</v>
      </c>
      <c r="G16" s="64">
        <v>62.81</v>
      </c>
      <c r="H16" s="64">
        <v>38.58</v>
      </c>
      <c r="I16" s="64">
        <v>9.43</v>
      </c>
      <c r="J16" s="64">
        <v>0.18</v>
      </c>
      <c r="K16" s="64">
        <v>104.81</v>
      </c>
      <c r="L16" s="64">
        <v>5.49</v>
      </c>
      <c r="M16" s="64">
        <v>97.99</v>
      </c>
      <c r="N16" s="64">
        <v>29.3</v>
      </c>
      <c r="O16" s="64">
        <v>0</v>
      </c>
      <c r="P16" s="64">
        <v>2.59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4" t="s">
        <v>2848</v>
      </c>
      <c r="B17" s="212" t="s">
        <v>42</v>
      </c>
      <c r="C17" s="212" t="s">
        <v>42</v>
      </c>
      <c r="D17" s="212" t="s">
        <v>42</v>
      </c>
      <c r="E17" s="64">
        <v>5.59</v>
      </c>
      <c r="F17" s="64">
        <v>2.62</v>
      </c>
      <c r="G17" s="64">
        <v>65.900000000000006</v>
      </c>
      <c r="H17" s="64">
        <v>38.479999999999997</v>
      </c>
      <c r="I17" s="64">
        <v>9.08</v>
      </c>
      <c r="J17" s="64">
        <v>0.45</v>
      </c>
      <c r="K17" s="64">
        <v>346.19</v>
      </c>
      <c r="L17" s="64">
        <v>5.23</v>
      </c>
      <c r="M17" s="64">
        <v>98.02</v>
      </c>
      <c r="N17" s="64">
        <v>29.4</v>
      </c>
      <c r="O17" s="64">
        <v>0</v>
      </c>
      <c r="P17" s="64">
        <v>2.5499999999999998</v>
      </c>
      <c r="Q17" s="64">
        <v>9.66</v>
      </c>
      <c r="R17" s="198"/>
      <c r="S17" s="198"/>
      <c r="T17" s="198"/>
      <c r="U17" s="198"/>
    </row>
    <row r="18" spans="1:21" s="12" customFormat="1" x14ac:dyDescent="0.25">
      <c r="A18" s="214" t="s">
        <v>2849</v>
      </c>
      <c r="B18" s="212" t="s">
        <v>42</v>
      </c>
      <c r="C18" s="212" t="s">
        <v>42</v>
      </c>
      <c r="D18" s="212" t="s">
        <v>42</v>
      </c>
      <c r="E18" s="64">
        <v>5.57</v>
      </c>
      <c r="F18" s="64">
        <v>2.5299999999999998</v>
      </c>
      <c r="G18" s="64">
        <v>65.900000000000006</v>
      </c>
      <c r="H18" s="64">
        <v>38.479999999999997</v>
      </c>
      <c r="I18" s="64">
        <v>9.73</v>
      </c>
      <c r="J18" s="64">
        <v>0.22</v>
      </c>
      <c r="K18" s="64">
        <v>45.11</v>
      </c>
      <c r="L18" s="64">
        <v>5.1100000000000003</v>
      </c>
      <c r="M18" s="64">
        <v>98.03</v>
      </c>
      <c r="N18" s="64">
        <v>29.4</v>
      </c>
      <c r="O18" s="64">
        <v>0</v>
      </c>
      <c r="P18" s="64">
        <v>2.52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4" t="s">
        <v>2850</v>
      </c>
      <c r="B19" s="212" t="s">
        <v>42</v>
      </c>
      <c r="C19" s="212" t="s">
        <v>42</v>
      </c>
      <c r="D19" s="212" t="s">
        <v>42</v>
      </c>
      <c r="E19" s="64">
        <v>5.12</v>
      </c>
      <c r="F19" s="64">
        <v>2.42</v>
      </c>
      <c r="G19" s="64">
        <v>65.900000000000006</v>
      </c>
      <c r="H19" s="64">
        <v>38.479999999999997</v>
      </c>
      <c r="I19" s="64">
        <v>9.2200000000000006</v>
      </c>
      <c r="J19" s="64">
        <v>0.45</v>
      </c>
      <c r="K19" s="64">
        <v>122.52</v>
      </c>
      <c r="L19" s="64">
        <v>5.03</v>
      </c>
      <c r="M19" s="64">
        <v>97.76</v>
      </c>
      <c r="N19" s="64">
        <v>29.2</v>
      </c>
      <c r="O19" s="64">
        <v>0</v>
      </c>
      <c r="P19" s="64">
        <v>2.4900000000000002</v>
      </c>
      <c r="Q19" s="64">
        <v>9.68</v>
      </c>
      <c r="R19" s="198"/>
      <c r="S19" s="198"/>
      <c r="T19" s="198"/>
      <c r="U19" s="198"/>
    </row>
    <row r="20" spans="1:21" s="12" customFormat="1" x14ac:dyDescent="0.25">
      <c r="A20" s="214" t="s">
        <v>2851</v>
      </c>
      <c r="B20" s="212" t="s">
        <v>42</v>
      </c>
      <c r="C20" s="212" t="s">
        <v>42</v>
      </c>
      <c r="D20" s="212" t="s">
        <v>42</v>
      </c>
      <c r="E20" s="64">
        <v>5.23</v>
      </c>
      <c r="F20" s="64">
        <v>2.29</v>
      </c>
      <c r="G20" s="64">
        <v>84.07</v>
      </c>
      <c r="H20" s="64">
        <v>42.34</v>
      </c>
      <c r="I20" s="64">
        <v>8.92</v>
      </c>
      <c r="J20" s="64">
        <v>0.23</v>
      </c>
      <c r="K20" s="64">
        <v>73.12</v>
      </c>
      <c r="L20" s="64">
        <v>4.93</v>
      </c>
      <c r="M20" s="64">
        <v>97.38</v>
      </c>
      <c r="N20" s="64">
        <v>29.3</v>
      </c>
      <c r="O20" s="64">
        <v>0</v>
      </c>
      <c r="P20" s="64">
        <v>2.4700000000000002</v>
      </c>
      <c r="Q20" s="64">
        <v>9.68</v>
      </c>
      <c r="R20" s="198"/>
      <c r="S20" s="198"/>
      <c r="T20" s="198"/>
      <c r="U20" s="198"/>
    </row>
    <row r="21" spans="1:21" s="12" customFormat="1" x14ac:dyDescent="0.25">
      <c r="A21" s="214" t="s">
        <v>2852</v>
      </c>
      <c r="B21" s="212" t="s">
        <v>42</v>
      </c>
      <c r="C21" s="212" t="s">
        <v>42</v>
      </c>
      <c r="D21" s="212" t="s">
        <v>42</v>
      </c>
      <c r="E21" s="64">
        <v>5.48</v>
      </c>
      <c r="F21" s="64">
        <v>2.37</v>
      </c>
      <c r="G21" s="64">
        <v>99.27</v>
      </c>
      <c r="H21" s="64">
        <v>45.28</v>
      </c>
      <c r="I21" s="64">
        <v>8.86</v>
      </c>
      <c r="J21" s="64">
        <v>0.54</v>
      </c>
      <c r="K21" s="64">
        <v>8.82</v>
      </c>
      <c r="L21" s="64">
        <v>4.76</v>
      </c>
      <c r="M21" s="64">
        <v>97.46</v>
      </c>
      <c r="N21" s="64">
        <v>29.4</v>
      </c>
      <c r="O21" s="64">
        <v>0</v>
      </c>
      <c r="P21" s="64">
        <v>2.4500000000000002</v>
      </c>
      <c r="Q21" s="64">
        <v>9.68</v>
      </c>
      <c r="R21" s="198"/>
      <c r="S21" s="198"/>
      <c r="T21" s="198"/>
      <c r="U21" s="198"/>
    </row>
    <row r="22" spans="1:21" s="12" customFormat="1" x14ac:dyDescent="0.25">
      <c r="A22" s="214" t="s">
        <v>2853</v>
      </c>
      <c r="B22" s="212" t="s">
        <v>42</v>
      </c>
      <c r="C22" s="212" t="s">
        <v>42</v>
      </c>
      <c r="D22" s="212" t="s">
        <v>42</v>
      </c>
      <c r="E22" s="64">
        <v>4.99</v>
      </c>
      <c r="F22" s="64">
        <v>2.2400000000000002</v>
      </c>
      <c r="G22" s="64">
        <v>99.27</v>
      </c>
      <c r="H22" s="64">
        <v>45.28</v>
      </c>
      <c r="I22" s="64">
        <v>8.7899999999999991</v>
      </c>
      <c r="J22" s="64">
        <v>0.4</v>
      </c>
      <c r="K22" s="64">
        <v>188.49</v>
      </c>
      <c r="L22" s="64">
        <v>4.8</v>
      </c>
      <c r="M22" s="64">
        <v>97.51</v>
      </c>
      <c r="N22" s="64">
        <v>29.1</v>
      </c>
      <c r="O22" s="64">
        <v>0</v>
      </c>
      <c r="P22" s="64">
        <v>2.4</v>
      </c>
      <c r="Q22" s="64">
        <v>9.65</v>
      </c>
      <c r="R22" s="198"/>
      <c r="S22" s="198"/>
      <c r="T22" s="198"/>
      <c r="U22" s="198"/>
    </row>
    <row r="23" spans="1:21" s="12" customFormat="1" x14ac:dyDescent="0.25">
      <c r="A23" s="214" t="s">
        <v>2854</v>
      </c>
      <c r="B23" s="212" t="s">
        <v>42</v>
      </c>
      <c r="C23" s="212" t="s">
        <v>42</v>
      </c>
      <c r="D23" s="212" t="s">
        <v>42</v>
      </c>
      <c r="E23" s="64">
        <v>5.12</v>
      </c>
      <c r="F23" s="64">
        <v>2.58</v>
      </c>
      <c r="G23" s="64">
        <v>99.27</v>
      </c>
      <c r="H23" s="64">
        <v>45.28</v>
      </c>
      <c r="I23" s="64">
        <v>8.69</v>
      </c>
      <c r="J23" s="64">
        <v>0.52</v>
      </c>
      <c r="K23" s="64">
        <v>254.29</v>
      </c>
      <c r="L23" s="64">
        <v>5.0599999999999996</v>
      </c>
      <c r="M23" s="64">
        <v>97.57</v>
      </c>
      <c r="N23" s="64">
        <v>29.3</v>
      </c>
      <c r="O23" s="64">
        <v>0</v>
      </c>
      <c r="P23" s="64">
        <v>2.35</v>
      </c>
      <c r="Q23" s="64">
        <v>9.67</v>
      </c>
      <c r="R23" s="198"/>
      <c r="S23" s="198"/>
      <c r="T23" s="198"/>
      <c r="U23" s="198"/>
    </row>
    <row r="24" spans="1:21" s="12" customFormat="1" x14ac:dyDescent="0.25">
      <c r="A24" s="214" t="s">
        <v>2855</v>
      </c>
      <c r="B24" s="212" t="s">
        <v>42</v>
      </c>
      <c r="C24" s="212" t="s">
        <v>42</v>
      </c>
      <c r="D24" s="212" t="s">
        <v>42</v>
      </c>
      <c r="E24" s="64">
        <v>4.7</v>
      </c>
      <c r="F24" s="64">
        <v>2.39</v>
      </c>
      <c r="G24" s="64">
        <v>82.63</v>
      </c>
      <c r="H24" s="64">
        <v>42.54</v>
      </c>
      <c r="I24" s="64">
        <v>8.5500000000000007</v>
      </c>
      <c r="J24" s="64">
        <v>0.49</v>
      </c>
      <c r="K24" s="64">
        <v>239.23</v>
      </c>
      <c r="L24" s="64">
        <v>4.8600000000000003</v>
      </c>
      <c r="M24" s="64">
        <v>97.53</v>
      </c>
      <c r="N24" s="64">
        <v>29.1</v>
      </c>
      <c r="O24" s="64">
        <v>0</v>
      </c>
      <c r="P24" s="64">
        <v>2.31</v>
      </c>
      <c r="Q24" s="64">
        <v>9.67</v>
      </c>
      <c r="R24" s="198"/>
      <c r="S24" s="198"/>
      <c r="T24" s="198"/>
      <c r="U24" s="198"/>
    </row>
    <row r="25" spans="1:21" s="12" customFormat="1" x14ac:dyDescent="0.25">
      <c r="A25" s="214" t="s">
        <v>2856</v>
      </c>
      <c r="B25" s="212" t="s">
        <v>42</v>
      </c>
      <c r="C25" s="212" t="s">
        <v>42</v>
      </c>
      <c r="D25" s="212" t="s">
        <v>42</v>
      </c>
      <c r="E25" s="64">
        <v>4.63</v>
      </c>
      <c r="F25" s="64">
        <v>2.79</v>
      </c>
      <c r="G25" s="64">
        <v>68.069999999999993</v>
      </c>
      <c r="H25" s="64">
        <v>41.46</v>
      </c>
      <c r="I25" s="64">
        <v>8.41</v>
      </c>
      <c r="J25" s="64">
        <v>0.28000000000000003</v>
      </c>
      <c r="K25" s="64">
        <v>164.24</v>
      </c>
      <c r="L25" s="64">
        <v>4.72</v>
      </c>
      <c r="M25" s="64">
        <v>97.38</v>
      </c>
      <c r="N25" s="64">
        <v>29.3</v>
      </c>
      <c r="O25" s="64">
        <v>0</v>
      </c>
      <c r="P25" s="64">
        <v>2.25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4" t="s">
        <v>2857</v>
      </c>
      <c r="B26" s="212" t="s">
        <v>42</v>
      </c>
      <c r="C26" s="212" t="s">
        <v>42</v>
      </c>
      <c r="D26" s="212" t="s">
        <v>42</v>
      </c>
      <c r="E26" s="64">
        <v>4.51</v>
      </c>
      <c r="F26" s="64">
        <v>2.1800000000000002</v>
      </c>
      <c r="G26" s="64">
        <v>68.069999999999993</v>
      </c>
      <c r="H26" s="64">
        <v>41.46</v>
      </c>
      <c r="I26" s="64">
        <v>8.27</v>
      </c>
      <c r="J26" s="64">
        <v>0.39</v>
      </c>
      <c r="K26" s="64">
        <v>157.5</v>
      </c>
      <c r="L26" s="64">
        <v>4.63</v>
      </c>
      <c r="M26" s="64">
        <v>97.46</v>
      </c>
      <c r="N26" s="64">
        <v>29.1</v>
      </c>
      <c r="O26" s="64">
        <v>0</v>
      </c>
      <c r="P26" s="64">
        <v>2.2000000000000002</v>
      </c>
      <c r="Q26" s="64">
        <v>9.66</v>
      </c>
      <c r="R26" s="198"/>
      <c r="S26" s="198"/>
      <c r="T26" s="198"/>
      <c r="U26" s="198"/>
    </row>
    <row r="27" spans="1:21" s="12" customFormat="1" x14ac:dyDescent="0.25">
      <c r="A27" s="214" t="s">
        <v>2858</v>
      </c>
      <c r="B27" s="212" t="s">
        <v>42</v>
      </c>
      <c r="C27" s="212" t="s">
        <v>42</v>
      </c>
      <c r="D27" s="212" t="s">
        <v>42</v>
      </c>
      <c r="E27" s="64">
        <v>5.0199999999999996</v>
      </c>
      <c r="F27" s="64">
        <v>2.3199999999999998</v>
      </c>
      <c r="G27" s="64">
        <v>68.069999999999993</v>
      </c>
      <c r="H27" s="64">
        <v>41.46</v>
      </c>
      <c r="I27" s="64">
        <v>8.1</v>
      </c>
      <c r="J27" s="64">
        <v>0.22</v>
      </c>
      <c r="K27" s="64">
        <v>285.43</v>
      </c>
      <c r="L27" s="64">
        <v>4.78</v>
      </c>
      <c r="M27" s="64">
        <v>96.63</v>
      </c>
      <c r="N27" s="64">
        <v>29.1</v>
      </c>
      <c r="O27" s="64">
        <v>0</v>
      </c>
      <c r="P27" s="64">
        <v>2.17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14" t="s">
        <v>2859</v>
      </c>
      <c r="B28" s="212" t="s">
        <v>42</v>
      </c>
      <c r="C28" s="212" t="s">
        <v>42</v>
      </c>
      <c r="D28" s="212" t="s">
        <v>42</v>
      </c>
      <c r="E28" s="64">
        <v>5.13</v>
      </c>
      <c r="F28" s="64">
        <v>2.2799999999999998</v>
      </c>
      <c r="G28" s="64">
        <v>73.66</v>
      </c>
      <c r="H28" s="64">
        <v>39.26</v>
      </c>
      <c r="I28" s="64">
        <v>8.57</v>
      </c>
      <c r="J28" s="64">
        <v>0.5</v>
      </c>
      <c r="K28" s="64">
        <v>335.07</v>
      </c>
      <c r="L28" s="64">
        <v>5.04</v>
      </c>
      <c r="M28" s="64">
        <v>93.63</v>
      </c>
      <c r="N28" s="64">
        <v>29.1</v>
      </c>
      <c r="O28" s="64">
        <v>0</v>
      </c>
      <c r="P28" s="64">
        <v>2.12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4" t="s">
        <v>2860</v>
      </c>
      <c r="B29" s="212" t="s">
        <v>42</v>
      </c>
      <c r="C29" s="212" t="s">
        <v>42</v>
      </c>
      <c r="D29" s="212" t="s">
        <v>42</v>
      </c>
      <c r="E29" s="64">
        <v>4.68</v>
      </c>
      <c r="F29" s="64">
        <v>2.16</v>
      </c>
      <c r="G29" s="64">
        <v>78.34</v>
      </c>
      <c r="H29" s="64">
        <v>38.39</v>
      </c>
      <c r="I29" s="64">
        <v>7.99</v>
      </c>
      <c r="J29" s="64">
        <v>0.51</v>
      </c>
      <c r="K29" s="64">
        <v>287.61</v>
      </c>
      <c r="L29" s="64">
        <v>4.9800000000000004</v>
      </c>
      <c r="M29" s="64">
        <v>94.64</v>
      </c>
      <c r="N29" s="64">
        <v>29.4</v>
      </c>
      <c r="O29" s="64">
        <v>0</v>
      </c>
      <c r="P29" s="64">
        <v>2.06</v>
      </c>
      <c r="Q29" s="64">
        <v>9.66</v>
      </c>
      <c r="R29" s="198"/>
      <c r="S29" s="198"/>
      <c r="T29" s="198"/>
      <c r="U29" s="198"/>
    </row>
    <row r="30" spans="1:21" s="12" customFormat="1" x14ac:dyDescent="0.25">
      <c r="A30" s="214" t="s">
        <v>2861</v>
      </c>
      <c r="B30" s="212" t="s">
        <v>42</v>
      </c>
      <c r="C30" s="212" t="s">
        <v>42</v>
      </c>
      <c r="D30" s="212" t="s">
        <v>42</v>
      </c>
      <c r="E30" s="64">
        <v>5.04</v>
      </c>
      <c r="F30" s="64">
        <v>2.21</v>
      </c>
      <c r="G30" s="64">
        <v>78.34</v>
      </c>
      <c r="H30" s="64">
        <v>38.39</v>
      </c>
      <c r="I30" s="64">
        <v>7.56</v>
      </c>
      <c r="J30" s="64">
        <v>0.54</v>
      </c>
      <c r="K30" s="64">
        <v>273.54000000000002</v>
      </c>
      <c r="L30" s="64">
        <v>4.83</v>
      </c>
      <c r="M30" s="64">
        <v>95.95</v>
      </c>
      <c r="N30" s="64">
        <v>29.3</v>
      </c>
      <c r="O30" s="64">
        <v>0</v>
      </c>
      <c r="P30" s="64">
        <v>1.98</v>
      </c>
      <c r="Q30" s="64">
        <v>9.6300000000000008</v>
      </c>
      <c r="R30" s="198"/>
      <c r="S30" s="198"/>
      <c r="T30" s="198"/>
      <c r="U30" s="198"/>
    </row>
    <row r="31" spans="1:21" s="12" customFormat="1" x14ac:dyDescent="0.25">
      <c r="A31" s="214" t="s">
        <v>2862</v>
      </c>
      <c r="B31" s="212" t="s">
        <v>42</v>
      </c>
      <c r="C31" s="212" t="s">
        <v>42</v>
      </c>
      <c r="D31" s="212" t="s">
        <v>42</v>
      </c>
      <c r="E31" s="64">
        <v>5.07</v>
      </c>
      <c r="F31" s="64">
        <v>2.35</v>
      </c>
      <c r="G31" s="64">
        <v>78.34</v>
      </c>
      <c r="H31" s="64">
        <v>38.39</v>
      </c>
      <c r="I31" s="64">
        <v>7.36</v>
      </c>
      <c r="J31" s="64">
        <v>0.48</v>
      </c>
      <c r="K31" s="64">
        <v>249.18</v>
      </c>
      <c r="L31" s="64">
        <v>4.7300000000000004</v>
      </c>
      <c r="M31" s="64">
        <v>95.93</v>
      </c>
      <c r="N31" s="64">
        <v>29.1</v>
      </c>
      <c r="O31" s="64">
        <v>0</v>
      </c>
      <c r="P31" s="64">
        <v>1.91</v>
      </c>
      <c r="Q31" s="64">
        <v>9.64</v>
      </c>
      <c r="R31" s="198"/>
      <c r="S31" s="198"/>
      <c r="T31" s="198"/>
      <c r="U31" s="198"/>
    </row>
    <row r="32" spans="1:21" s="12" customFormat="1" x14ac:dyDescent="0.25">
      <c r="A32" s="214" t="s">
        <v>2863</v>
      </c>
      <c r="B32" s="212" t="s">
        <v>42</v>
      </c>
      <c r="C32" s="212" t="s">
        <v>42</v>
      </c>
      <c r="D32" s="212" t="s">
        <v>42</v>
      </c>
      <c r="E32" s="64">
        <v>4.8</v>
      </c>
      <c r="F32" s="64">
        <v>2.48</v>
      </c>
      <c r="G32" s="64">
        <v>35.69</v>
      </c>
      <c r="H32" s="64">
        <v>34.14</v>
      </c>
      <c r="I32" s="64">
        <v>7.14</v>
      </c>
      <c r="J32" s="64">
        <v>0.57999999999999996</v>
      </c>
      <c r="K32" s="64">
        <v>272.51</v>
      </c>
      <c r="L32" s="64">
        <v>4.67</v>
      </c>
      <c r="M32" s="64">
        <v>96.95</v>
      </c>
      <c r="N32" s="64">
        <v>29.2</v>
      </c>
      <c r="O32" s="64">
        <v>0</v>
      </c>
      <c r="P32" s="64">
        <v>1.85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4" t="s">
        <v>2864</v>
      </c>
      <c r="B33" s="212" t="s">
        <v>42</v>
      </c>
      <c r="C33" s="212" t="s">
        <v>42</v>
      </c>
      <c r="D33" s="212" t="s">
        <v>42</v>
      </c>
      <c r="E33" s="64">
        <v>4.6100000000000003</v>
      </c>
      <c r="F33" s="64">
        <v>2.5099999999999998</v>
      </c>
      <c r="G33" s="64">
        <v>0</v>
      </c>
      <c r="H33" s="64">
        <v>32.46</v>
      </c>
      <c r="I33" s="64">
        <v>7.49</v>
      </c>
      <c r="J33" s="64">
        <v>0.54</v>
      </c>
      <c r="K33" s="64">
        <v>321.06</v>
      </c>
      <c r="L33" s="64">
        <v>4.4000000000000004</v>
      </c>
      <c r="M33" s="64">
        <v>97.77</v>
      </c>
      <c r="N33" s="64">
        <v>29.6</v>
      </c>
      <c r="O33" s="64">
        <v>0</v>
      </c>
      <c r="P33" s="64">
        <v>1.77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4" t="s">
        <v>2865</v>
      </c>
      <c r="B34" s="212" t="s">
        <v>42</v>
      </c>
      <c r="C34" s="212" t="s">
        <v>42</v>
      </c>
      <c r="D34" s="212" t="s">
        <v>42</v>
      </c>
      <c r="E34" s="64">
        <v>5.12</v>
      </c>
      <c r="F34" s="64">
        <v>2.48</v>
      </c>
      <c r="G34" s="64">
        <v>0</v>
      </c>
      <c r="H34" s="64">
        <v>32.46</v>
      </c>
      <c r="I34" s="64">
        <v>6.97</v>
      </c>
      <c r="J34" s="64">
        <v>0.49</v>
      </c>
      <c r="K34" s="64">
        <v>20.67</v>
      </c>
      <c r="L34" s="64">
        <v>3.89</v>
      </c>
      <c r="M34" s="64">
        <v>97.77</v>
      </c>
      <c r="N34" s="64">
        <v>30.4</v>
      </c>
      <c r="O34" s="64">
        <v>0</v>
      </c>
      <c r="P34" s="64">
        <v>1.68</v>
      </c>
      <c r="Q34" s="64">
        <v>9.66</v>
      </c>
      <c r="R34" s="198"/>
      <c r="S34" s="198"/>
      <c r="T34" s="198"/>
      <c r="U34" s="198"/>
    </row>
    <row r="35" spans="1:21" s="12" customFormat="1" x14ac:dyDescent="0.25">
      <c r="A35" s="214" t="s">
        <v>2866</v>
      </c>
      <c r="B35" s="212" t="s">
        <v>42</v>
      </c>
      <c r="C35" s="212" t="s">
        <v>42</v>
      </c>
      <c r="D35" s="212" t="s">
        <v>42</v>
      </c>
      <c r="E35" s="64">
        <v>4.92</v>
      </c>
      <c r="F35" s="64">
        <v>2.5499999999999998</v>
      </c>
      <c r="G35" s="64">
        <v>0</v>
      </c>
      <c r="H35" s="64">
        <v>32.46</v>
      </c>
      <c r="I35" s="64">
        <v>6.61</v>
      </c>
      <c r="J35" s="64">
        <v>0.28999999999999998</v>
      </c>
      <c r="K35" s="64">
        <v>16.71</v>
      </c>
      <c r="L35" s="64">
        <v>3.82</v>
      </c>
      <c r="M35" s="64">
        <v>97.77</v>
      </c>
      <c r="N35" s="64">
        <v>33.5</v>
      </c>
      <c r="O35" s="64">
        <v>0</v>
      </c>
      <c r="P35" s="64">
        <v>1.62</v>
      </c>
      <c r="Q35" s="64">
        <v>9.64</v>
      </c>
      <c r="R35" s="198"/>
      <c r="S35" s="198"/>
      <c r="T35" s="198"/>
      <c r="U35" s="198"/>
    </row>
    <row r="36" spans="1:21" s="12" customFormat="1" x14ac:dyDescent="0.25">
      <c r="A36" s="214" t="s">
        <v>2867</v>
      </c>
      <c r="B36" s="212" t="s">
        <v>42</v>
      </c>
      <c r="C36" s="212" t="s">
        <v>42</v>
      </c>
      <c r="D36" s="212" t="s">
        <v>42</v>
      </c>
      <c r="E36" s="64">
        <v>4.54</v>
      </c>
      <c r="F36" s="64">
        <v>2.42</v>
      </c>
      <c r="G36" s="64">
        <v>55.07</v>
      </c>
      <c r="H36" s="64">
        <v>31.34</v>
      </c>
      <c r="I36" s="64">
        <v>6.98</v>
      </c>
      <c r="J36" s="64">
        <v>0.4</v>
      </c>
      <c r="K36" s="64">
        <v>320.27999999999997</v>
      </c>
      <c r="L36" s="64">
        <v>3.96</v>
      </c>
      <c r="M36" s="64">
        <v>97.75</v>
      </c>
      <c r="N36" s="64">
        <v>40.9</v>
      </c>
      <c r="O36" s="64">
        <v>0</v>
      </c>
      <c r="P36" s="64">
        <v>1.56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4" t="s">
        <v>2868</v>
      </c>
      <c r="B37" s="212" t="s">
        <v>42</v>
      </c>
      <c r="C37" s="212" t="s">
        <v>42</v>
      </c>
      <c r="D37" s="212" t="s">
        <v>42</v>
      </c>
      <c r="E37" s="64">
        <v>4.75</v>
      </c>
      <c r="F37" s="64">
        <v>2.38</v>
      </c>
      <c r="G37" s="64">
        <v>103.26</v>
      </c>
      <c r="H37" s="64">
        <v>30.49</v>
      </c>
      <c r="I37" s="64">
        <v>6.54</v>
      </c>
      <c r="J37" s="64">
        <v>0.45</v>
      </c>
      <c r="K37" s="64">
        <v>268.54000000000002</v>
      </c>
      <c r="L37" s="64">
        <v>4.4400000000000004</v>
      </c>
      <c r="M37" s="64">
        <v>97.75</v>
      </c>
      <c r="N37" s="64">
        <v>50.1</v>
      </c>
      <c r="O37" s="64">
        <v>0</v>
      </c>
      <c r="P37" s="64">
        <v>1.68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4" t="s">
        <v>2869</v>
      </c>
      <c r="B38" s="212" t="s">
        <v>42</v>
      </c>
      <c r="C38" s="212" t="s">
        <v>42</v>
      </c>
      <c r="D38" s="212" t="s">
        <v>42</v>
      </c>
      <c r="E38" s="64">
        <v>5.03</v>
      </c>
      <c r="F38" s="64">
        <v>2.38</v>
      </c>
      <c r="G38" s="64">
        <v>103.26</v>
      </c>
      <c r="H38" s="64">
        <v>30.49</v>
      </c>
      <c r="I38" s="64">
        <v>6.26</v>
      </c>
      <c r="J38" s="64">
        <v>0.05</v>
      </c>
      <c r="K38" s="64">
        <v>45.49</v>
      </c>
      <c r="L38" s="64">
        <v>5.37</v>
      </c>
      <c r="M38" s="64">
        <v>92.52</v>
      </c>
      <c r="N38" s="64">
        <v>60.4</v>
      </c>
      <c r="O38" s="64">
        <v>0</v>
      </c>
      <c r="P38" s="64">
        <v>1.75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4" t="s">
        <v>2870</v>
      </c>
      <c r="B39" s="212" t="s">
        <v>42</v>
      </c>
      <c r="C39" s="212" t="s">
        <v>42</v>
      </c>
      <c r="D39" s="212" t="s">
        <v>42</v>
      </c>
      <c r="E39" s="64">
        <v>4.84</v>
      </c>
      <c r="F39" s="64">
        <v>2.39</v>
      </c>
      <c r="G39" s="64">
        <v>103.26</v>
      </c>
      <c r="H39" s="64">
        <v>30.49</v>
      </c>
      <c r="I39" s="64">
        <v>6.17</v>
      </c>
      <c r="J39" s="64">
        <v>0.72</v>
      </c>
      <c r="K39" s="64">
        <v>116.88</v>
      </c>
      <c r="L39" s="64">
        <v>6.68</v>
      </c>
      <c r="M39" s="64">
        <v>78.48</v>
      </c>
      <c r="N39" s="64">
        <v>108.5</v>
      </c>
      <c r="O39" s="64">
        <v>0</v>
      </c>
      <c r="P39" s="64">
        <v>1.72</v>
      </c>
      <c r="Q39" s="64">
        <v>9.66</v>
      </c>
      <c r="R39" s="198"/>
      <c r="S39" s="198"/>
      <c r="T39" s="198"/>
      <c r="U39" s="198"/>
    </row>
    <row r="40" spans="1:21" s="12" customFormat="1" x14ac:dyDescent="0.25">
      <c r="A40" s="214" t="s">
        <v>2871</v>
      </c>
      <c r="B40" s="212" t="s">
        <v>42</v>
      </c>
      <c r="C40" s="212" t="s">
        <v>42</v>
      </c>
      <c r="D40" s="212" t="s">
        <v>42</v>
      </c>
      <c r="E40" s="64">
        <v>4.51</v>
      </c>
      <c r="F40" s="64">
        <v>2.4500000000000002</v>
      </c>
      <c r="G40" s="64">
        <v>69.89</v>
      </c>
      <c r="H40" s="64">
        <v>27.51</v>
      </c>
      <c r="I40" s="64">
        <v>6.13</v>
      </c>
      <c r="J40" s="64">
        <v>1.1499999999999999</v>
      </c>
      <c r="K40" s="64">
        <v>123.06</v>
      </c>
      <c r="L40" s="64">
        <v>8.4</v>
      </c>
      <c r="M40" s="64">
        <v>66.69</v>
      </c>
      <c r="N40" s="64">
        <v>185.2</v>
      </c>
      <c r="O40" s="64">
        <v>0</v>
      </c>
      <c r="P40" s="64">
        <v>1.68</v>
      </c>
      <c r="Q40" s="64">
        <v>9.67</v>
      </c>
      <c r="R40" s="198"/>
      <c r="S40" s="198"/>
      <c r="T40" s="198"/>
      <c r="U40" s="198"/>
    </row>
    <row r="41" spans="1:21" s="12" customFormat="1" x14ac:dyDescent="0.25">
      <c r="A41" s="214" t="s">
        <v>2872</v>
      </c>
      <c r="B41" s="212" t="s">
        <v>42</v>
      </c>
      <c r="C41" s="212" t="s">
        <v>42</v>
      </c>
      <c r="D41" s="212" t="s">
        <v>42</v>
      </c>
      <c r="E41" s="64">
        <v>4.2</v>
      </c>
      <c r="F41" s="64">
        <v>2.42</v>
      </c>
      <c r="G41" s="64">
        <v>40.69</v>
      </c>
      <c r="H41" s="64">
        <v>26.33</v>
      </c>
      <c r="I41" s="64">
        <v>6.06</v>
      </c>
      <c r="J41" s="64">
        <v>1.21</v>
      </c>
      <c r="K41" s="64">
        <v>122.69</v>
      </c>
      <c r="L41" s="64">
        <v>9.69</v>
      </c>
      <c r="M41" s="64">
        <v>59.42</v>
      </c>
      <c r="N41" s="64">
        <v>224.7</v>
      </c>
      <c r="O41" s="64">
        <v>0</v>
      </c>
      <c r="P41" s="64">
        <v>1.62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4" t="s">
        <v>2873</v>
      </c>
      <c r="B42" s="212" t="s">
        <v>42</v>
      </c>
      <c r="C42" s="212" t="s">
        <v>42</v>
      </c>
      <c r="D42" s="212" t="s">
        <v>42</v>
      </c>
      <c r="E42" s="64">
        <v>4.4800000000000004</v>
      </c>
      <c r="F42" s="64">
        <v>2.38</v>
      </c>
      <c r="G42" s="64">
        <v>40.69</v>
      </c>
      <c r="H42" s="64">
        <v>26.33</v>
      </c>
      <c r="I42" s="64">
        <v>5.95</v>
      </c>
      <c r="J42" s="64">
        <v>0.76</v>
      </c>
      <c r="K42" s="64">
        <v>123.02</v>
      </c>
      <c r="L42" s="64">
        <v>10.43</v>
      </c>
      <c r="M42" s="64">
        <v>55.85</v>
      </c>
      <c r="N42" s="64">
        <v>259</v>
      </c>
      <c r="O42" s="64">
        <v>0</v>
      </c>
      <c r="P42" s="64">
        <v>1.56</v>
      </c>
      <c r="Q42" s="64">
        <v>9.65</v>
      </c>
      <c r="R42" s="198"/>
      <c r="S42" s="198"/>
      <c r="T42" s="198"/>
      <c r="U42" s="198"/>
    </row>
    <row r="43" spans="1:21" s="12" customFormat="1" x14ac:dyDescent="0.25">
      <c r="A43" s="214" t="s">
        <v>2874</v>
      </c>
      <c r="B43" s="212" t="s">
        <v>42</v>
      </c>
      <c r="C43" s="212" t="s">
        <v>42</v>
      </c>
      <c r="D43" s="212" t="s">
        <v>42</v>
      </c>
      <c r="E43" s="64">
        <v>4.1500000000000004</v>
      </c>
      <c r="F43" s="64">
        <v>2.38</v>
      </c>
      <c r="G43" s="64">
        <v>40.69</v>
      </c>
      <c r="H43" s="64">
        <v>26.33</v>
      </c>
      <c r="I43" s="64">
        <v>5.8</v>
      </c>
      <c r="J43" s="64">
        <v>0.36</v>
      </c>
      <c r="K43" s="64">
        <v>110.45</v>
      </c>
      <c r="L43" s="64">
        <v>11.83</v>
      </c>
      <c r="M43" s="64">
        <v>50.37</v>
      </c>
      <c r="N43" s="64">
        <v>288.7</v>
      </c>
      <c r="O43" s="64">
        <v>0</v>
      </c>
      <c r="P43" s="64">
        <v>1.53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4" t="s">
        <v>2875</v>
      </c>
      <c r="B44" s="212" t="s">
        <v>42</v>
      </c>
      <c r="C44" s="212" t="s">
        <v>42</v>
      </c>
      <c r="D44" s="212" t="s">
        <v>42</v>
      </c>
      <c r="E44" s="64">
        <v>4.21</v>
      </c>
      <c r="F44" s="64">
        <v>2.33</v>
      </c>
      <c r="G44" s="64">
        <v>35.1</v>
      </c>
      <c r="H44" s="64">
        <v>22.58</v>
      </c>
      <c r="I44" s="64">
        <v>5.64</v>
      </c>
      <c r="J44" s="64">
        <v>0.69</v>
      </c>
      <c r="K44" s="64">
        <v>113.63</v>
      </c>
      <c r="L44" s="64">
        <v>12.5</v>
      </c>
      <c r="M44" s="64">
        <v>48.13</v>
      </c>
      <c r="N44" s="64">
        <v>316.5</v>
      </c>
      <c r="O44" s="64">
        <v>0</v>
      </c>
      <c r="P44" s="64">
        <v>1.52</v>
      </c>
      <c r="Q44" s="64">
        <v>9.64</v>
      </c>
      <c r="R44" s="198"/>
      <c r="S44" s="198"/>
      <c r="T44" s="198"/>
      <c r="U44" s="198"/>
    </row>
    <row r="45" spans="1:21" s="12" customFormat="1" x14ac:dyDescent="0.25">
      <c r="A45" s="214" t="s">
        <v>2876</v>
      </c>
      <c r="B45" s="212" t="s">
        <v>42</v>
      </c>
      <c r="C45" s="212" t="s">
        <v>42</v>
      </c>
      <c r="D45" s="212" t="s">
        <v>42</v>
      </c>
      <c r="E45" s="64">
        <v>4.67</v>
      </c>
      <c r="F45" s="64">
        <v>2.5499999999999998</v>
      </c>
      <c r="G45" s="64">
        <v>30.43</v>
      </c>
      <c r="H45" s="64">
        <v>21.09</v>
      </c>
      <c r="I45" s="64">
        <v>5.49</v>
      </c>
      <c r="J45" s="64">
        <v>1.03</v>
      </c>
      <c r="K45" s="64">
        <v>111.43</v>
      </c>
      <c r="L45" s="64">
        <v>13.04</v>
      </c>
      <c r="M45" s="64">
        <v>46.31</v>
      </c>
      <c r="N45" s="64">
        <v>341</v>
      </c>
      <c r="O45" s="64">
        <v>0</v>
      </c>
      <c r="P45" s="64">
        <v>1.5</v>
      </c>
      <c r="Q45" s="64">
        <v>9.64</v>
      </c>
      <c r="R45" s="198"/>
      <c r="S45" s="198"/>
      <c r="T45" s="198"/>
      <c r="U45" s="198"/>
    </row>
    <row r="46" spans="1:21" s="12" customFormat="1" x14ac:dyDescent="0.25">
      <c r="A46" s="214" t="s">
        <v>2877</v>
      </c>
      <c r="B46" s="212" t="s">
        <v>42</v>
      </c>
      <c r="C46" s="212" t="s">
        <v>42</v>
      </c>
      <c r="D46" s="212" t="s">
        <v>42</v>
      </c>
      <c r="E46" s="64">
        <v>4.5199999999999996</v>
      </c>
      <c r="F46" s="64">
        <v>2.4</v>
      </c>
      <c r="G46" s="64">
        <v>30.43</v>
      </c>
      <c r="H46" s="64">
        <v>21.09</v>
      </c>
      <c r="I46" s="64">
        <v>5.35</v>
      </c>
      <c r="J46" s="64">
        <v>1.47</v>
      </c>
      <c r="K46" s="64">
        <v>121.86</v>
      </c>
      <c r="L46" s="64">
        <v>12.3</v>
      </c>
      <c r="M46" s="64">
        <v>49.34</v>
      </c>
      <c r="N46" s="64">
        <v>358.7</v>
      </c>
      <c r="O46" s="64">
        <v>0</v>
      </c>
      <c r="P46" s="64">
        <v>1.47</v>
      </c>
      <c r="Q46" s="64">
        <v>9.6300000000000008</v>
      </c>
      <c r="R46" s="198"/>
      <c r="S46" s="198"/>
      <c r="T46" s="198"/>
      <c r="U46" s="198"/>
    </row>
    <row r="47" spans="1:21" s="12" customFormat="1" x14ac:dyDescent="0.25">
      <c r="A47" s="214" t="s">
        <v>2878</v>
      </c>
      <c r="B47" s="64">
        <v>51.81</v>
      </c>
      <c r="C47" s="64">
        <v>18.73</v>
      </c>
      <c r="D47" s="64">
        <v>49.66</v>
      </c>
      <c r="E47" s="64">
        <v>4.59</v>
      </c>
      <c r="F47" s="64">
        <v>2.5499999999999998</v>
      </c>
      <c r="G47" s="64">
        <v>30.43</v>
      </c>
      <c r="H47" s="64">
        <v>21.09</v>
      </c>
      <c r="I47" s="64">
        <v>5.23</v>
      </c>
      <c r="J47" s="64">
        <v>0.37</v>
      </c>
      <c r="K47" s="64">
        <v>123.44</v>
      </c>
      <c r="L47" s="64">
        <v>14.13</v>
      </c>
      <c r="M47" s="64">
        <v>42.23</v>
      </c>
      <c r="N47" s="64">
        <v>373.6</v>
      </c>
      <c r="O47" s="64">
        <v>0</v>
      </c>
      <c r="P47" s="64">
        <v>1.43</v>
      </c>
      <c r="Q47" s="64">
        <v>9.64</v>
      </c>
      <c r="R47" s="198"/>
      <c r="S47" s="198"/>
      <c r="T47" s="198"/>
      <c r="U47" s="198"/>
    </row>
    <row r="48" spans="1:21" s="12" customFormat="1" x14ac:dyDescent="0.25">
      <c r="A48" s="214" t="s">
        <v>2879</v>
      </c>
      <c r="B48" s="64">
        <v>49.46</v>
      </c>
      <c r="C48" s="64">
        <v>20.329999999999998</v>
      </c>
      <c r="D48" s="64">
        <v>48.61</v>
      </c>
      <c r="E48" s="64">
        <v>4.7699999999999996</v>
      </c>
      <c r="F48" s="64">
        <v>2.81</v>
      </c>
      <c r="G48" s="64">
        <v>31.91</v>
      </c>
      <c r="H48" s="64">
        <v>20.49</v>
      </c>
      <c r="I48" s="64">
        <v>5.1100000000000003</v>
      </c>
      <c r="J48" s="64">
        <v>2.1</v>
      </c>
      <c r="K48" s="64">
        <v>124.04</v>
      </c>
      <c r="L48" s="64">
        <v>13.09</v>
      </c>
      <c r="M48" s="64">
        <v>44.1</v>
      </c>
      <c r="N48" s="64">
        <v>402.3</v>
      </c>
      <c r="O48" s="64">
        <v>0</v>
      </c>
      <c r="P48" s="64">
        <v>1.39</v>
      </c>
      <c r="Q48" s="64">
        <v>9.64</v>
      </c>
      <c r="R48" s="198"/>
      <c r="S48" s="198"/>
      <c r="T48" s="198"/>
      <c r="U48" s="198"/>
    </row>
    <row r="49" spans="1:21" s="12" customFormat="1" x14ac:dyDescent="0.25">
      <c r="A49" s="214" t="s">
        <v>2880</v>
      </c>
      <c r="B49" s="64">
        <v>45.73</v>
      </c>
      <c r="C49" s="64">
        <v>21.74</v>
      </c>
      <c r="D49" s="64">
        <v>46.35</v>
      </c>
      <c r="E49" s="64">
        <v>4.59</v>
      </c>
      <c r="F49" s="64">
        <v>2.8</v>
      </c>
      <c r="G49" s="64">
        <v>33.159999999999997</v>
      </c>
      <c r="H49" s="64">
        <v>20.260000000000002</v>
      </c>
      <c r="I49" s="64">
        <v>4.99</v>
      </c>
      <c r="J49" s="64">
        <v>2.02</v>
      </c>
      <c r="K49" s="64">
        <v>124.09</v>
      </c>
      <c r="L49" s="64">
        <v>13.29</v>
      </c>
      <c r="M49" s="64">
        <v>43.24</v>
      </c>
      <c r="N49" s="64">
        <v>410.5</v>
      </c>
      <c r="O49" s="64">
        <v>0</v>
      </c>
      <c r="P49" s="64">
        <v>1.33</v>
      </c>
      <c r="Q49" s="64">
        <v>9.64</v>
      </c>
      <c r="R49" s="198"/>
      <c r="S49" s="198"/>
      <c r="T49" s="198"/>
      <c r="U49" s="198"/>
    </row>
    <row r="50" spans="1:21" s="12" customFormat="1" x14ac:dyDescent="0.25">
      <c r="A50" s="214" t="s">
        <v>2881</v>
      </c>
      <c r="B50" s="64">
        <v>45.19</v>
      </c>
      <c r="C50" s="64">
        <v>22.24</v>
      </c>
      <c r="D50" s="64">
        <v>46.18</v>
      </c>
      <c r="E50" s="64">
        <v>4.3099999999999996</v>
      </c>
      <c r="F50" s="64">
        <v>2.72</v>
      </c>
      <c r="G50" s="64">
        <v>33.159999999999997</v>
      </c>
      <c r="H50" s="64">
        <v>20.260000000000002</v>
      </c>
      <c r="I50" s="64">
        <v>5.23</v>
      </c>
      <c r="J50" s="64">
        <v>0.47</v>
      </c>
      <c r="K50" s="64">
        <v>112.02</v>
      </c>
      <c r="L50" s="64">
        <v>15.06</v>
      </c>
      <c r="M50" s="64">
        <v>38.729999999999997</v>
      </c>
      <c r="N50" s="64">
        <v>414.1</v>
      </c>
      <c r="O50" s="64">
        <v>0</v>
      </c>
      <c r="P50" s="64">
        <v>1.29</v>
      </c>
      <c r="Q50" s="64">
        <v>9.6300000000000008</v>
      </c>
      <c r="R50" s="198"/>
      <c r="S50" s="198"/>
      <c r="T50" s="198"/>
      <c r="U50" s="198"/>
    </row>
    <row r="51" spans="1:21" s="12" customFormat="1" x14ac:dyDescent="0.25">
      <c r="A51" s="214" t="s">
        <v>2882</v>
      </c>
      <c r="B51" s="64">
        <v>43.72</v>
      </c>
      <c r="C51" s="64">
        <v>23.43</v>
      </c>
      <c r="D51" s="64">
        <v>45.62</v>
      </c>
      <c r="E51" s="64">
        <v>4.5</v>
      </c>
      <c r="F51" s="64">
        <v>2.76</v>
      </c>
      <c r="G51" s="64">
        <v>33.159999999999997</v>
      </c>
      <c r="H51" s="64">
        <v>20.260000000000002</v>
      </c>
      <c r="I51" s="64">
        <v>5.24</v>
      </c>
      <c r="J51" s="64">
        <v>1.62</v>
      </c>
      <c r="K51" s="64">
        <v>122.81</v>
      </c>
      <c r="L51" s="64">
        <v>15.23</v>
      </c>
      <c r="M51" s="64">
        <v>37.04</v>
      </c>
      <c r="N51" s="64">
        <v>428.4</v>
      </c>
      <c r="O51" s="64">
        <v>0</v>
      </c>
      <c r="P51" s="64">
        <v>1.21</v>
      </c>
      <c r="Q51" s="64">
        <v>9.61</v>
      </c>
      <c r="R51" s="198"/>
      <c r="S51" s="198"/>
      <c r="T51" s="198"/>
      <c r="U51" s="198"/>
    </row>
    <row r="52" spans="1:21" s="12" customFormat="1" x14ac:dyDescent="0.25">
      <c r="A52" s="214" t="s">
        <v>2883</v>
      </c>
      <c r="B52" s="64">
        <v>41.44</v>
      </c>
      <c r="C52" s="64">
        <v>24.77</v>
      </c>
      <c r="D52" s="64">
        <v>44.49</v>
      </c>
      <c r="E52" s="64">
        <v>4.22</v>
      </c>
      <c r="F52" s="64">
        <v>2.4300000000000002</v>
      </c>
      <c r="G52" s="64">
        <v>26.79</v>
      </c>
      <c r="H52" s="64">
        <v>18.8</v>
      </c>
      <c r="I52" s="64">
        <v>4.7699999999999996</v>
      </c>
      <c r="J52" s="64">
        <v>1.39</v>
      </c>
      <c r="K52" s="64">
        <v>129.83000000000001</v>
      </c>
      <c r="L52" s="64">
        <v>15.23</v>
      </c>
      <c r="M52" s="64">
        <v>36.36</v>
      </c>
      <c r="N52" s="64">
        <v>431.5</v>
      </c>
      <c r="O52" s="64">
        <v>0</v>
      </c>
      <c r="P52" s="64">
        <v>1.1499999999999999</v>
      </c>
      <c r="Q52" s="64">
        <v>9.6</v>
      </c>
      <c r="R52" s="198"/>
      <c r="S52" s="198"/>
      <c r="T52" s="198"/>
      <c r="U52" s="198"/>
    </row>
    <row r="53" spans="1:21" s="12" customFormat="1" x14ac:dyDescent="0.25">
      <c r="A53" s="214" t="s">
        <v>2884</v>
      </c>
      <c r="B53" s="64">
        <v>39.159999999999997</v>
      </c>
      <c r="C53" s="64">
        <v>26.05</v>
      </c>
      <c r="D53" s="64">
        <v>43.34</v>
      </c>
      <c r="E53" s="64">
        <v>4.04</v>
      </c>
      <c r="F53" s="64">
        <v>2.57</v>
      </c>
      <c r="G53" s="64">
        <v>21.46</v>
      </c>
      <c r="H53" s="64">
        <v>17.7</v>
      </c>
      <c r="I53" s="64">
        <v>4.5199999999999996</v>
      </c>
      <c r="J53" s="64">
        <v>1.1299999999999999</v>
      </c>
      <c r="K53" s="64">
        <v>125.46</v>
      </c>
      <c r="L53" s="64">
        <v>16.13</v>
      </c>
      <c r="M53" s="64">
        <v>33.6</v>
      </c>
      <c r="N53" s="64">
        <v>429.6</v>
      </c>
      <c r="O53" s="64">
        <v>0</v>
      </c>
      <c r="P53" s="64">
        <v>1.1100000000000001</v>
      </c>
      <c r="Q53" s="64">
        <v>9.57</v>
      </c>
      <c r="R53" s="198"/>
      <c r="S53" s="198"/>
      <c r="T53" s="198"/>
      <c r="U53" s="198"/>
    </row>
    <row r="54" spans="1:21" s="12" customFormat="1" x14ac:dyDescent="0.25">
      <c r="A54" s="214" t="s">
        <v>2885</v>
      </c>
      <c r="B54" s="64">
        <v>36.83</v>
      </c>
      <c r="C54" s="64">
        <v>27.37</v>
      </c>
      <c r="D54" s="64">
        <v>42.16</v>
      </c>
      <c r="E54" s="64">
        <v>4.28</v>
      </c>
      <c r="F54" s="64">
        <v>2.61</v>
      </c>
      <c r="G54" s="64">
        <v>21.46</v>
      </c>
      <c r="H54" s="64">
        <v>17.7</v>
      </c>
      <c r="I54" s="64">
        <v>4.41</v>
      </c>
      <c r="J54" s="64">
        <v>1.06</v>
      </c>
      <c r="K54" s="64">
        <v>319.41000000000003</v>
      </c>
      <c r="L54" s="64">
        <v>18.95</v>
      </c>
      <c r="M54" s="64">
        <v>27.84</v>
      </c>
      <c r="N54" s="64">
        <v>425.1</v>
      </c>
      <c r="O54" s="64">
        <v>0</v>
      </c>
      <c r="P54" s="64">
        <v>1.07</v>
      </c>
      <c r="Q54" s="64">
        <v>9.5399999999999991</v>
      </c>
      <c r="R54" s="198"/>
      <c r="S54" s="198"/>
      <c r="T54" s="198"/>
      <c r="U54" s="198"/>
    </row>
    <row r="55" spans="1:21" s="12" customFormat="1" x14ac:dyDescent="0.25">
      <c r="A55" s="214" t="s">
        <v>2886</v>
      </c>
      <c r="B55" s="64">
        <v>34.26</v>
      </c>
      <c r="C55" s="64">
        <v>29.24</v>
      </c>
      <c r="D55" s="64">
        <v>41.08</v>
      </c>
      <c r="E55" s="64">
        <v>4.26</v>
      </c>
      <c r="F55" s="64">
        <v>2.57</v>
      </c>
      <c r="G55" s="64">
        <v>21.46</v>
      </c>
      <c r="H55" s="64">
        <v>17.7</v>
      </c>
      <c r="I55" s="64">
        <v>4.29</v>
      </c>
      <c r="J55" s="64">
        <v>0.82</v>
      </c>
      <c r="K55" s="64">
        <v>341.65</v>
      </c>
      <c r="L55" s="64">
        <v>19.87</v>
      </c>
      <c r="M55" s="64">
        <v>26.59</v>
      </c>
      <c r="N55" s="64">
        <v>420.3</v>
      </c>
      <c r="O55" s="64">
        <v>0</v>
      </c>
      <c r="P55" s="64">
        <v>1.04</v>
      </c>
      <c r="Q55" s="64">
        <v>9.5299999999999994</v>
      </c>
      <c r="R55" s="198"/>
      <c r="S55" s="198"/>
      <c r="T55" s="198"/>
      <c r="U55" s="198"/>
    </row>
    <row r="56" spans="1:21" s="12" customFormat="1" x14ac:dyDescent="0.25">
      <c r="A56" s="214" t="s">
        <v>2887</v>
      </c>
      <c r="B56" s="64">
        <v>31.49</v>
      </c>
      <c r="C56" s="64">
        <v>31.35</v>
      </c>
      <c r="D56" s="64">
        <v>39.96</v>
      </c>
      <c r="E56" s="64">
        <v>3.86</v>
      </c>
      <c r="F56" s="64">
        <v>2.56</v>
      </c>
      <c r="G56" s="64">
        <v>22.65</v>
      </c>
      <c r="H56" s="64">
        <v>15.9</v>
      </c>
      <c r="I56" s="64">
        <v>4.1900000000000004</v>
      </c>
      <c r="J56" s="64">
        <v>0.25</v>
      </c>
      <c r="K56" s="64">
        <v>336.79</v>
      </c>
      <c r="L56" s="64">
        <v>19.62</v>
      </c>
      <c r="M56" s="64">
        <v>25.4</v>
      </c>
      <c r="N56" s="64">
        <v>425.9</v>
      </c>
      <c r="O56" s="64">
        <v>0</v>
      </c>
      <c r="P56" s="64">
        <v>1.02</v>
      </c>
      <c r="Q56" s="64">
        <v>9.51</v>
      </c>
      <c r="R56" s="198"/>
      <c r="S56" s="198"/>
      <c r="T56" s="198"/>
      <c r="U56" s="198"/>
    </row>
    <row r="57" spans="1:21" s="12" customFormat="1" x14ac:dyDescent="0.25">
      <c r="A57" s="214" t="s">
        <v>2888</v>
      </c>
      <c r="B57" s="64">
        <v>28.65</v>
      </c>
      <c r="C57" s="64">
        <v>33.31</v>
      </c>
      <c r="D57" s="64">
        <v>38.700000000000003</v>
      </c>
      <c r="E57" s="64">
        <v>3.97</v>
      </c>
      <c r="F57" s="64">
        <v>2.66</v>
      </c>
      <c r="G57" s="64">
        <v>23.69</v>
      </c>
      <c r="H57" s="64">
        <v>15.18</v>
      </c>
      <c r="I57" s="64">
        <v>4.07</v>
      </c>
      <c r="J57" s="64">
        <v>0.12</v>
      </c>
      <c r="K57" s="64">
        <v>34.68</v>
      </c>
      <c r="L57" s="64">
        <v>18.27</v>
      </c>
      <c r="M57" s="64">
        <v>28.85</v>
      </c>
      <c r="N57" s="64">
        <v>429.8</v>
      </c>
      <c r="O57" s="64">
        <v>0</v>
      </c>
      <c r="P57" s="64">
        <v>0.98</v>
      </c>
      <c r="Q57" s="64">
        <v>9.49</v>
      </c>
      <c r="R57" s="198"/>
      <c r="S57" s="198"/>
      <c r="T57" s="198"/>
      <c r="U57" s="198"/>
    </row>
    <row r="58" spans="1:21" s="12" customFormat="1" x14ac:dyDescent="0.25">
      <c r="A58" s="214" t="s">
        <v>2889</v>
      </c>
      <c r="B58" s="64">
        <v>25.57</v>
      </c>
      <c r="C58" s="64">
        <v>35.36</v>
      </c>
      <c r="D58" s="64">
        <v>37.299999999999997</v>
      </c>
      <c r="E58" s="64">
        <v>4.1100000000000003</v>
      </c>
      <c r="F58" s="64">
        <v>2.61</v>
      </c>
      <c r="G58" s="64">
        <v>23.69</v>
      </c>
      <c r="H58" s="64">
        <v>15.18</v>
      </c>
      <c r="I58" s="64">
        <v>3.96</v>
      </c>
      <c r="J58" s="64">
        <v>0.54</v>
      </c>
      <c r="K58" s="64">
        <v>345.83</v>
      </c>
      <c r="L58" s="64">
        <v>20.25</v>
      </c>
      <c r="M58" s="64">
        <v>24.76</v>
      </c>
      <c r="N58" s="64">
        <v>410.5</v>
      </c>
      <c r="O58" s="64">
        <v>0</v>
      </c>
      <c r="P58" s="64">
        <v>0.95</v>
      </c>
      <c r="Q58" s="64">
        <v>9.48</v>
      </c>
      <c r="R58" s="198"/>
      <c r="S58" s="198"/>
      <c r="T58" s="198"/>
      <c r="U58" s="198"/>
    </row>
    <row r="59" spans="1:21" s="12" customFormat="1" x14ac:dyDescent="0.25">
      <c r="A59" s="214" t="s">
        <v>2890</v>
      </c>
      <c r="B59" s="64">
        <v>22.87</v>
      </c>
      <c r="C59" s="64">
        <v>37.47</v>
      </c>
      <c r="D59" s="64">
        <v>36.24</v>
      </c>
      <c r="E59" s="64">
        <v>4.28</v>
      </c>
      <c r="F59" s="64">
        <v>3.53</v>
      </c>
      <c r="G59" s="64">
        <v>23.69</v>
      </c>
      <c r="H59" s="64">
        <v>15.18</v>
      </c>
      <c r="I59" s="64">
        <v>3.88</v>
      </c>
      <c r="J59" s="64">
        <v>0.64</v>
      </c>
      <c r="K59" s="64">
        <v>356.31</v>
      </c>
      <c r="L59" s="64">
        <v>19.760000000000002</v>
      </c>
      <c r="M59" s="64">
        <v>25.42</v>
      </c>
      <c r="N59" s="64">
        <v>397.3</v>
      </c>
      <c r="O59" s="64">
        <v>0</v>
      </c>
      <c r="P59" s="64">
        <v>0.93</v>
      </c>
      <c r="Q59" s="64">
        <v>9.4600000000000009</v>
      </c>
      <c r="R59" s="198"/>
      <c r="S59" s="198"/>
      <c r="T59" s="198"/>
      <c r="U59" s="198"/>
    </row>
    <row r="60" spans="1:21" s="12" customFormat="1" x14ac:dyDescent="0.25">
      <c r="A60" s="214" t="s">
        <v>2891</v>
      </c>
      <c r="B60" s="64">
        <v>16.54</v>
      </c>
      <c r="C60" s="64">
        <v>39.28</v>
      </c>
      <c r="D60" s="64">
        <v>32.11</v>
      </c>
      <c r="E60" s="64">
        <v>8.15</v>
      </c>
      <c r="F60" s="64">
        <v>7.59</v>
      </c>
      <c r="G60" s="64">
        <v>25.29</v>
      </c>
      <c r="H60" s="64">
        <v>13.97</v>
      </c>
      <c r="I60" s="64">
        <v>3.79</v>
      </c>
      <c r="J60" s="64">
        <v>0.42</v>
      </c>
      <c r="K60" s="64">
        <v>323.73</v>
      </c>
      <c r="L60" s="64">
        <v>20.28</v>
      </c>
      <c r="M60" s="64">
        <v>24.82</v>
      </c>
      <c r="N60" s="64">
        <v>374.6</v>
      </c>
      <c r="O60" s="64">
        <v>0</v>
      </c>
      <c r="P60" s="64">
        <v>0.85</v>
      </c>
      <c r="Q60" s="64">
        <v>9.4499999999999993</v>
      </c>
      <c r="R60" s="198"/>
      <c r="S60" s="198"/>
      <c r="T60" s="198"/>
      <c r="U60" s="198"/>
    </row>
    <row r="61" spans="1:21" s="12" customFormat="1" x14ac:dyDescent="0.25">
      <c r="A61" s="214" t="s">
        <v>2892</v>
      </c>
      <c r="B61" s="64">
        <v>17.760000000000002</v>
      </c>
      <c r="C61" s="64">
        <v>39.69</v>
      </c>
      <c r="D61" s="64">
        <v>33.31</v>
      </c>
      <c r="E61" s="64">
        <v>7.64</v>
      </c>
      <c r="F61" s="64">
        <v>4.59</v>
      </c>
      <c r="G61" s="64">
        <v>26.7</v>
      </c>
      <c r="H61" s="64">
        <v>13.49</v>
      </c>
      <c r="I61" s="64">
        <v>3.62</v>
      </c>
      <c r="J61" s="64">
        <v>1.06</v>
      </c>
      <c r="K61" s="64">
        <v>327.97</v>
      </c>
      <c r="L61" s="64">
        <v>20.79</v>
      </c>
      <c r="M61" s="64">
        <v>23.59</v>
      </c>
      <c r="N61" s="64">
        <v>355.5</v>
      </c>
      <c r="O61" s="64">
        <v>0</v>
      </c>
      <c r="P61" s="64">
        <v>0.92</v>
      </c>
      <c r="Q61" s="64">
        <v>9.43</v>
      </c>
      <c r="R61" s="198"/>
      <c r="S61" s="198"/>
      <c r="T61" s="198"/>
      <c r="U61" s="198"/>
    </row>
    <row r="62" spans="1:21" s="12" customFormat="1" x14ac:dyDescent="0.25">
      <c r="A62" s="214" t="s">
        <v>2893</v>
      </c>
      <c r="B62" s="64">
        <v>17.059999999999999</v>
      </c>
      <c r="C62" s="64">
        <v>41.82</v>
      </c>
      <c r="D62" s="64">
        <v>33.85</v>
      </c>
      <c r="E62" s="64">
        <v>8.14</v>
      </c>
      <c r="F62" s="64">
        <v>5.0199999999999996</v>
      </c>
      <c r="G62" s="64">
        <v>26.7</v>
      </c>
      <c r="H62" s="64">
        <v>13.49</v>
      </c>
      <c r="I62" s="64">
        <v>3.41</v>
      </c>
      <c r="J62" s="64">
        <v>0.88</v>
      </c>
      <c r="K62" s="64">
        <v>320.93</v>
      </c>
      <c r="L62" s="64">
        <v>20.9</v>
      </c>
      <c r="M62" s="64">
        <v>22.9</v>
      </c>
      <c r="N62" s="64">
        <v>337.9</v>
      </c>
      <c r="O62" s="64">
        <v>0</v>
      </c>
      <c r="P62" s="64">
        <v>1.01</v>
      </c>
      <c r="Q62" s="64">
        <v>9.43</v>
      </c>
      <c r="R62" s="198"/>
      <c r="S62" s="198"/>
      <c r="T62" s="198"/>
      <c r="U62" s="198"/>
    </row>
    <row r="63" spans="1:21" s="12" customFormat="1" x14ac:dyDescent="0.25">
      <c r="A63" s="214" t="s">
        <v>2894</v>
      </c>
      <c r="B63" s="64">
        <v>14.4</v>
      </c>
      <c r="C63" s="64">
        <v>44.14</v>
      </c>
      <c r="D63" s="64">
        <v>32.93</v>
      </c>
      <c r="E63" s="64">
        <v>6.34</v>
      </c>
      <c r="F63" s="64">
        <v>5.51</v>
      </c>
      <c r="G63" s="64">
        <v>26.7</v>
      </c>
      <c r="H63" s="64">
        <v>13.49</v>
      </c>
      <c r="I63" s="64">
        <v>3.41</v>
      </c>
      <c r="J63" s="64">
        <v>0.66</v>
      </c>
      <c r="K63" s="64">
        <v>313.72000000000003</v>
      </c>
      <c r="L63" s="64">
        <v>19.57</v>
      </c>
      <c r="M63" s="64">
        <v>24.88</v>
      </c>
      <c r="N63" s="64">
        <v>317</v>
      </c>
      <c r="O63" s="64">
        <v>0</v>
      </c>
      <c r="P63" s="64">
        <v>1.01</v>
      </c>
      <c r="Q63" s="64">
        <v>9.42</v>
      </c>
      <c r="R63" s="198"/>
      <c r="S63" s="198"/>
      <c r="T63" s="198"/>
      <c r="U63" s="198"/>
    </row>
    <row r="64" spans="1:21" s="12" customFormat="1" x14ac:dyDescent="0.25">
      <c r="A64" s="214" t="s">
        <v>2895</v>
      </c>
      <c r="B64" s="64">
        <v>13.47</v>
      </c>
      <c r="C64" s="64">
        <v>45.93</v>
      </c>
      <c r="D64" s="64">
        <v>33.119999999999997</v>
      </c>
      <c r="E64" s="64">
        <v>15.05</v>
      </c>
      <c r="F64" s="64">
        <v>6.4</v>
      </c>
      <c r="G64" s="64">
        <v>35.4</v>
      </c>
      <c r="H64" s="64">
        <v>14.29</v>
      </c>
      <c r="I64" s="64">
        <v>3.31</v>
      </c>
      <c r="J64" s="64">
        <v>0.81</v>
      </c>
      <c r="K64" s="64">
        <v>331.29</v>
      </c>
      <c r="L64" s="64">
        <v>19.87</v>
      </c>
      <c r="M64" s="64">
        <v>23.84</v>
      </c>
      <c r="N64" s="64">
        <v>280.3</v>
      </c>
      <c r="O64" s="64">
        <v>0</v>
      </c>
      <c r="P64" s="64">
        <v>1.01</v>
      </c>
      <c r="Q64" s="64">
        <v>9.4</v>
      </c>
      <c r="R64" s="198"/>
      <c r="S64" s="198"/>
      <c r="T64" s="198"/>
      <c r="U64" s="198"/>
    </row>
    <row r="65" spans="1:21" s="12" customFormat="1" x14ac:dyDescent="0.25">
      <c r="A65" s="214" t="s">
        <v>2896</v>
      </c>
      <c r="B65" s="64">
        <v>11.9</v>
      </c>
      <c r="C65" s="64">
        <v>45.09</v>
      </c>
      <c r="D65" s="64">
        <v>31.42</v>
      </c>
      <c r="E65" s="64">
        <v>11.19</v>
      </c>
      <c r="F65" s="64">
        <v>5.36</v>
      </c>
      <c r="G65" s="64">
        <v>42.68</v>
      </c>
      <c r="H65" s="64">
        <v>14.6</v>
      </c>
      <c r="I65" s="64">
        <v>3.33</v>
      </c>
      <c r="J65" s="64">
        <v>0.75</v>
      </c>
      <c r="K65" s="64">
        <v>326.33</v>
      </c>
      <c r="L65" s="64">
        <v>18.440000000000001</v>
      </c>
      <c r="M65" s="64">
        <v>22.95</v>
      </c>
      <c r="N65" s="64">
        <v>141.69999999999999</v>
      </c>
      <c r="O65" s="64">
        <v>0</v>
      </c>
      <c r="P65" s="64">
        <v>0.96</v>
      </c>
      <c r="Q65" s="64">
        <v>9.39</v>
      </c>
      <c r="R65" s="198"/>
      <c r="S65" s="198"/>
      <c r="T65" s="198"/>
      <c r="U65" s="198"/>
    </row>
    <row r="66" spans="1:21" s="12" customFormat="1" x14ac:dyDescent="0.25">
      <c r="A66" s="214" t="s">
        <v>2897</v>
      </c>
      <c r="B66" s="64">
        <v>10.72</v>
      </c>
      <c r="C66" s="64">
        <v>44.1</v>
      </c>
      <c r="D66" s="64">
        <v>29.96</v>
      </c>
      <c r="E66" s="64">
        <v>12.03</v>
      </c>
      <c r="F66" s="64">
        <v>5.54</v>
      </c>
      <c r="G66" s="64">
        <v>42.68</v>
      </c>
      <c r="H66" s="64">
        <v>14.6</v>
      </c>
      <c r="I66" s="64">
        <v>3.2</v>
      </c>
      <c r="J66" s="64">
        <v>1.1399999999999999</v>
      </c>
      <c r="K66" s="64">
        <v>317.39</v>
      </c>
      <c r="L66" s="64">
        <v>18.95</v>
      </c>
      <c r="M66" s="64">
        <v>21.03</v>
      </c>
      <c r="N66" s="64">
        <v>100</v>
      </c>
      <c r="O66" s="64">
        <v>0</v>
      </c>
      <c r="P66" s="64">
        <v>0.96</v>
      </c>
      <c r="Q66" s="64">
        <v>9.39</v>
      </c>
      <c r="R66" s="198"/>
      <c r="S66" s="198"/>
      <c r="T66" s="198"/>
      <c r="U66" s="198"/>
    </row>
    <row r="67" spans="1:21" s="12" customFormat="1" x14ac:dyDescent="0.25">
      <c r="A67" s="214" t="s">
        <v>2898</v>
      </c>
      <c r="B67" s="64">
        <v>11.35</v>
      </c>
      <c r="C67" s="64">
        <v>44.43</v>
      </c>
      <c r="D67" s="64">
        <v>30.64</v>
      </c>
      <c r="E67" s="64">
        <v>12.76</v>
      </c>
      <c r="F67" s="64">
        <v>5.57</v>
      </c>
      <c r="G67" s="64">
        <v>42.68</v>
      </c>
      <c r="H67" s="64">
        <v>14.6</v>
      </c>
      <c r="I67" s="64">
        <v>3.09</v>
      </c>
      <c r="J67" s="64">
        <v>1.1599999999999999</v>
      </c>
      <c r="K67" s="64">
        <v>332.65</v>
      </c>
      <c r="L67" s="64">
        <v>18.64</v>
      </c>
      <c r="M67" s="64">
        <v>20.79</v>
      </c>
      <c r="N67" s="64">
        <v>84.4</v>
      </c>
      <c r="O67" s="64">
        <v>0</v>
      </c>
      <c r="P67" s="64">
        <v>0.93</v>
      </c>
      <c r="Q67" s="64">
        <v>9.3800000000000008</v>
      </c>
      <c r="R67" s="198"/>
      <c r="S67" s="198"/>
      <c r="T67" s="198"/>
      <c r="U67" s="198"/>
    </row>
    <row r="68" spans="1:21" s="12" customFormat="1" x14ac:dyDescent="0.25">
      <c r="A68" s="214" t="s">
        <v>2899</v>
      </c>
      <c r="B68" s="64">
        <v>11.67</v>
      </c>
      <c r="C68" s="64">
        <v>44.93</v>
      </c>
      <c r="D68" s="64">
        <v>31.16</v>
      </c>
      <c r="E68" s="64">
        <v>4.79</v>
      </c>
      <c r="F68" s="64">
        <v>3.24</v>
      </c>
      <c r="G68" s="64">
        <v>39.72</v>
      </c>
      <c r="H68" s="64">
        <v>15.28</v>
      </c>
      <c r="I68" s="64">
        <v>3.07</v>
      </c>
      <c r="J68" s="64">
        <v>1.1000000000000001</v>
      </c>
      <c r="K68" s="64">
        <v>333.66</v>
      </c>
      <c r="L68" s="64">
        <v>18.13</v>
      </c>
      <c r="M68" s="64">
        <v>21.56</v>
      </c>
      <c r="N68" s="64">
        <v>72.8</v>
      </c>
      <c r="O68" s="64">
        <v>0</v>
      </c>
      <c r="P68" s="64">
        <v>0.95</v>
      </c>
      <c r="Q68" s="64">
        <v>9.3699999999999992</v>
      </c>
      <c r="R68" s="198"/>
      <c r="S68" s="198"/>
      <c r="T68" s="198"/>
      <c r="U68" s="198"/>
    </row>
    <row r="69" spans="1:21" s="12" customFormat="1" x14ac:dyDescent="0.25">
      <c r="A69" s="214" t="s">
        <v>2900</v>
      </c>
      <c r="B69" s="64">
        <v>11.61</v>
      </c>
      <c r="C69" s="64">
        <v>43.53</v>
      </c>
      <c r="D69" s="64">
        <v>30.38</v>
      </c>
      <c r="E69" s="64">
        <v>8.06</v>
      </c>
      <c r="F69" s="64">
        <v>4.53</v>
      </c>
      <c r="G69" s="64">
        <v>37.25</v>
      </c>
      <c r="H69" s="64">
        <v>15.79</v>
      </c>
      <c r="I69" s="64">
        <v>3.04</v>
      </c>
      <c r="J69" s="64">
        <v>1.1399999999999999</v>
      </c>
      <c r="K69" s="64">
        <v>321.83999999999997</v>
      </c>
      <c r="L69" s="64">
        <v>17.7</v>
      </c>
      <c r="M69" s="64">
        <v>23.45</v>
      </c>
      <c r="N69" s="64">
        <v>65.900000000000006</v>
      </c>
      <c r="O69" s="64">
        <v>0</v>
      </c>
      <c r="P69" s="64">
        <v>0.91</v>
      </c>
      <c r="Q69" s="64">
        <v>9.3699999999999992</v>
      </c>
      <c r="R69" s="198"/>
      <c r="S69" s="198"/>
      <c r="T69" s="198"/>
      <c r="U69" s="198"/>
    </row>
    <row r="70" spans="1:21" s="12" customFormat="1" x14ac:dyDescent="0.25">
      <c r="A70" s="214" t="s">
        <v>2901</v>
      </c>
      <c r="B70" s="64">
        <v>12.64</v>
      </c>
      <c r="C70" s="64">
        <v>42.97</v>
      </c>
      <c r="D70" s="64">
        <v>30.91</v>
      </c>
      <c r="E70" s="64">
        <v>5.64</v>
      </c>
      <c r="F70" s="64">
        <v>4.28</v>
      </c>
      <c r="G70" s="64">
        <v>37.25</v>
      </c>
      <c r="H70" s="64">
        <v>15.79</v>
      </c>
      <c r="I70" s="64">
        <v>3.02</v>
      </c>
      <c r="J70" s="64">
        <v>0.97</v>
      </c>
      <c r="K70" s="64">
        <v>324.72000000000003</v>
      </c>
      <c r="L70" s="64">
        <v>17.350000000000001</v>
      </c>
      <c r="M70" s="64">
        <v>21.87</v>
      </c>
      <c r="N70" s="64">
        <v>61.9</v>
      </c>
      <c r="O70" s="64">
        <v>0</v>
      </c>
      <c r="P70" s="64">
        <v>0.89</v>
      </c>
      <c r="Q70" s="64">
        <v>9.3699999999999992</v>
      </c>
      <c r="R70" s="198"/>
      <c r="S70" s="198"/>
      <c r="T70" s="198"/>
      <c r="U70" s="198"/>
    </row>
    <row r="71" spans="1:21" s="12" customFormat="1" x14ac:dyDescent="0.25">
      <c r="A71" s="214" t="s">
        <v>2902</v>
      </c>
      <c r="B71" s="64">
        <v>11.33</v>
      </c>
      <c r="C71" s="64">
        <v>42.73</v>
      </c>
      <c r="D71" s="64">
        <v>29.74</v>
      </c>
      <c r="E71" s="64">
        <v>4.99</v>
      </c>
      <c r="F71" s="64">
        <v>5.34</v>
      </c>
      <c r="G71" s="64">
        <v>37.25</v>
      </c>
      <c r="H71" s="64">
        <v>15.79</v>
      </c>
      <c r="I71" s="64">
        <v>3.09</v>
      </c>
      <c r="J71" s="64">
        <v>1.1599999999999999</v>
      </c>
      <c r="K71" s="64">
        <v>338.03</v>
      </c>
      <c r="L71" s="64">
        <v>17.05</v>
      </c>
      <c r="M71" s="64">
        <v>20.47</v>
      </c>
      <c r="N71" s="64">
        <v>55.9</v>
      </c>
      <c r="O71" s="64">
        <v>0</v>
      </c>
      <c r="P71" s="64">
        <v>0.87</v>
      </c>
      <c r="Q71" s="64">
        <v>9.3800000000000008</v>
      </c>
      <c r="R71" s="198"/>
      <c r="S71" s="198"/>
      <c r="T71" s="198"/>
      <c r="U71" s="198"/>
    </row>
    <row r="72" spans="1:21" s="12" customFormat="1" x14ac:dyDescent="0.25">
      <c r="A72" s="214" t="s">
        <v>2903</v>
      </c>
      <c r="B72" s="64">
        <v>10.47</v>
      </c>
      <c r="C72" s="64">
        <v>41.86</v>
      </c>
      <c r="D72" s="64">
        <v>28.59</v>
      </c>
      <c r="E72" s="64">
        <v>8.8000000000000007</v>
      </c>
      <c r="F72" s="64">
        <v>5.22</v>
      </c>
      <c r="G72" s="64">
        <v>29.88</v>
      </c>
      <c r="H72" s="64">
        <v>13.12</v>
      </c>
      <c r="I72" s="64">
        <v>2.98</v>
      </c>
      <c r="J72" s="64">
        <v>0.81</v>
      </c>
      <c r="K72" s="64">
        <v>295.94</v>
      </c>
      <c r="L72" s="64">
        <v>16.77</v>
      </c>
      <c r="M72" s="64">
        <v>23</v>
      </c>
      <c r="N72" s="64">
        <v>53</v>
      </c>
      <c r="O72" s="64">
        <v>0</v>
      </c>
      <c r="P72" s="64">
        <v>0.82</v>
      </c>
      <c r="Q72" s="64">
        <v>9.3699999999999992</v>
      </c>
      <c r="R72" s="198"/>
      <c r="S72" s="198"/>
      <c r="T72" s="198"/>
      <c r="U72" s="198"/>
    </row>
    <row r="73" spans="1:21" s="12" customFormat="1" x14ac:dyDescent="0.25">
      <c r="A73" s="214" t="s">
        <v>2904</v>
      </c>
      <c r="B73" s="64">
        <v>12.61</v>
      </c>
      <c r="C73" s="64">
        <v>43.92</v>
      </c>
      <c r="D73" s="64">
        <v>31.38</v>
      </c>
      <c r="E73" s="64">
        <v>9.98</v>
      </c>
      <c r="F73" s="64">
        <v>4.72</v>
      </c>
      <c r="G73" s="64">
        <v>23.42</v>
      </c>
      <c r="H73" s="64">
        <v>12.06</v>
      </c>
      <c r="I73" s="64">
        <v>2.81</v>
      </c>
      <c r="J73" s="64">
        <v>0.82</v>
      </c>
      <c r="K73" s="64">
        <v>327.63</v>
      </c>
      <c r="L73" s="64">
        <v>16.43</v>
      </c>
      <c r="M73" s="64">
        <v>24.3</v>
      </c>
      <c r="N73" s="64">
        <v>49.7</v>
      </c>
      <c r="O73" s="64">
        <v>0</v>
      </c>
      <c r="P73" s="64">
        <v>0.87</v>
      </c>
      <c r="Q73" s="64">
        <v>9.3699999999999992</v>
      </c>
      <c r="R73" s="198"/>
      <c r="S73" s="198"/>
      <c r="T73" s="198"/>
      <c r="U73" s="198"/>
    </row>
    <row r="74" spans="1:21" s="12" customFormat="1" x14ac:dyDescent="0.25">
      <c r="A74" s="214" t="s">
        <v>2905</v>
      </c>
      <c r="B74" s="64">
        <v>13.5</v>
      </c>
      <c r="C74" s="64">
        <v>44.09</v>
      </c>
      <c r="D74" s="64">
        <v>32.19</v>
      </c>
      <c r="E74" s="64">
        <v>7.23</v>
      </c>
      <c r="F74" s="64">
        <v>3.73</v>
      </c>
      <c r="G74" s="64">
        <v>23.42</v>
      </c>
      <c r="H74" s="64">
        <v>12.06</v>
      </c>
      <c r="I74" s="64">
        <v>2.72</v>
      </c>
      <c r="J74" s="64">
        <v>0.95</v>
      </c>
      <c r="K74" s="64">
        <v>332.42</v>
      </c>
      <c r="L74" s="64">
        <v>16.190000000000001</v>
      </c>
      <c r="M74" s="64">
        <v>23.84</v>
      </c>
      <c r="N74" s="64">
        <v>46.5</v>
      </c>
      <c r="O74" s="64">
        <v>0</v>
      </c>
      <c r="P74" s="64">
        <v>0.89</v>
      </c>
      <c r="Q74" s="64">
        <v>9.36</v>
      </c>
      <c r="R74" s="198"/>
      <c r="S74" s="198"/>
      <c r="T74" s="198"/>
      <c r="U74" s="198"/>
    </row>
    <row r="75" spans="1:21" s="12" customFormat="1" x14ac:dyDescent="0.25">
      <c r="A75" s="214" t="s">
        <v>2906</v>
      </c>
      <c r="B75" s="64">
        <v>14.69</v>
      </c>
      <c r="C75" s="64">
        <v>44.04</v>
      </c>
      <c r="D75" s="64">
        <v>33.11</v>
      </c>
      <c r="E75" s="64">
        <v>9.0500000000000007</v>
      </c>
      <c r="F75" s="64">
        <v>4.9400000000000004</v>
      </c>
      <c r="G75" s="64">
        <v>23.42</v>
      </c>
      <c r="H75" s="64">
        <v>12.06</v>
      </c>
      <c r="I75" s="64">
        <v>2.74</v>
      </c>
      <c r="J75" s="64">
        <v>0.69</v>
      </c>
      <c r="K75" s="64">
        <v>331.42</v>
      </c>
      <c r="L75" s="64">
        <v>15.75</v>
      </c>
      <c r="M75" s="64">
        <v>25.57</v>
      </c>
      <c r="N75" s="64">
        <v>43.2</v>
      </c>
      <c r="O75" s="64">
        <v>0</v>
      </c>
      <c r="P75" s="64">
        <v>0.95</v>
      </c>
      <c r="Q75" s="64">
        <v>9.3699999999999992</v>
      </c>
      <c r="R75" s="198"/>
      <c r="S75" s="198"/>
      <c r="T75" s="198"/>
      <c r="U75" s="198"/>
    </row>
    <row r="76" spans="1:21" s="12" customFormat="1" x14ac:dyDescent="0.25">
      <c r="A76" s="214" t="s">
        <v>2907</v>
      </c>
      <c r="B76" s="64">
        <v>13.07</v>
      </c>
      <c r="C76" s="64">
        <v>42.77</v>
      </c>
      <c r="D76" s="64">
        <v>31.15</v>
      </c>
      <c r="E76" s="64">
        <v>7.98</v>
      </c>
      <c r="F76" s="64">
        <v>5.36</v>
      </c>
      <c r="G76" s="64">
        <v>26.31</v>
      </c>
      <c r="H76" s="64">
        <v>12.11</v>
      </c>
      <c r="I76" s="64">
        <v>2.8</v>
      </c>
      <c r="J76" s="64">
        <v>0.6</v>
      </c>
      <c r="K76" s="64">
        <v>308.29000000000002</v>
      </c>
      <c r="L76" s="64">
        <v>15.24</v>
      </c>
      <c r="M76" s="64">
        <v>27.85</v>
      </c>
      <c r="N76" s="64">
        <v>39.4</v>
      </c>
      <c r="O76" s="64">
        <v>0</v>
      </c>
      <c r="P76" s="64">
        <v>0.91</v>
      </c>
      <c r="Q76" s="64">
        <v>9.3699999999999992</v>
      </c>
      <c r="R76" s="198"/>
      <c r="S76" s="198"/>
      <c r="T76" s="198"/>
      <c r="U76" s="198"/>
    </row>
    <row r="77" spans="1:21" s="12" customFormat="1" x14ac:dyDescent="0.25">
      <c r="A77" s="214" t="s">
        <v>2908</v>
      </c>
      <c r="B77" s="64">
        <v>16.829999999999998</v>
      </c>
      <c r="C77" s="64">
        <v>46.39</v>
      </c>
      <c r="D77" s="64">
        <v>36.06</v>
      </c>
      <c r="E77" s="64">
        <v>8.0399999999999991</v>
      </c>
      <c r="F77" s="64">
        <v>3.45</v>
      </c>
      <c r="G77" s="64">
        <v>28.72</v>
      </c>
      <c r="H77" s="64">
        <v>12.13</v>
      </c>
      <c r="I77" s="64">
        <v>2.78</v>
      </c>
      <c r="J77" s="64">
        <v>0.42</v>
      </c>
      <c r="K77" s="64">
        <v>286.64999999999998</v>
      </c>
      <c r="L77" s="64">
        <v>14.34</v>
      </c>
      <c r="M77" s="64">
        <v>31.26</v>
      </c>
      <c r="N77" s="64">
        <v>34.9</v>
      </c>
      <c r="O77" s="64">
        <v>0</v>
      </c>
      <c r="P77" s="64">
        <v>1.02</v>
      </c>
      <c r="Q77" s="64">
        <v>9.3699999999999992</v>
      </c>
      <c r="R77" s="198"/>
      <c r="S77" s="198"/>
      <c r="T77" s="198"/>
      <c r="U77" s="198"/>
    </row>
    <row r="78" spans="1:21" s="12" customFormat="1" x14ac:dyDescent="0.25">
      <c r="A78" s="214" t="s">
        <v>2909</v>
      </c>
      <c r="B78" s="64">
        <v>11.18</v>
      </c>
      <c r="C78" s="64">
        <v>51.83</v>
      </c>
      <c r="D78" s="64">
        <v>34.369999999999997</v>
      </c>
      <c r="E78" s="64">
        <v>11.31</v>
      </c>
      <c r="F78" s="64">
        <v>4.83</v>
      </c>
      <c r="G78" s="64">
        <v>28.72</v>
      </c>
      <c r="H78" s="64">
        <v>12.13</v>
      </c>
      <c r="I78" s="64">
        <v>2.87</v>
      </c>
      <c r="J78" s="64">
        <v>0.54</v>
      </c>
      <c r="K78" s="64">
        <v>252.97</v>
      </c>
      <c r="L78" s="64">
        <v>13.35</v>
      </c>
      <c r="M78" s="64">
        <v>34.94</v>
      </c>
      <c r="N78" s="64">
        <v>31.4</v>
      </c>
      <c r="O78" s="64">
        <v>0</v>
      </c>
      <c r="P78" s="64">
        <v>1.1200000000000001</v>
      </c>
      <c r="Q78" s="64">
        <v>9.3699999999999992</v>
      </c>
      <c r="R78" s="198"/>
      <c r="S78" s="198"/>
      <c r="T78" s="198"/>
      <c r="U78" s="198"/>
    </row>
    <row r="79" spans="1:21" s="12" customFormat="1" x14ac:dyDescent="0.25">
      <c r="A79" s="214" t="s">
        <v>2910</v>
      </c>
      <c r="B79" s="64">
        <v>16.329999999999998</v>
      </c>
      <c r="C79" s="64">
        <v>49.68</v>
      </c>
      <c r="D79" s="64">
        <v>37.369999999999997</v>
      </c>
      <c r="E79" s="64">
        <v>9.5399999999999991</v>
      </c>
      <c r="F79" s="64">
        <v>2.91</v>
      </c>
      <c r="G79" s="64">
        <v>28.72</v>
      </c>
      <c r="H79" s="64">
        <v>12.13</v>
      </c>
      <c r="I79" s="64">
        <v>3</v>
      </c>
      <c r="J79" s="64">
        <v>0.27</v>
      </c>
      <c r="K79" s="64">
        <v>268.64999999999998</v>
      </c>
      <c r="L79" s="64">
        <v>12.3</v>
      </c>
      <c r="M79" s="64">
        <v>38.82</v>
      </c>
      <c r="N79" s="64">
        <v>30.1</v>
      </c>
      <c r="O79" s="64">
        <v>0</v>
      </c>
      <c r="P79" s="64">
        <v>1.1200000000000001</v>
      </c>
      <c r="Q79" s="64">
        <v>9.39</v>
      </c>
      <c r="R79" s="198"/>
      <c r="S79" s="198"/>
      <c r="T79" s="198"/>
      <c r="U79" s="198"/>
    </row>
    <row r="80" spans="1:21" s="12" customFormat="1" x14ac:dyDescent="0.25">
      <c r="A80" s="214" t="s">
        <v>2911</v>
      </c>
      <c r="B80" s="64">
        <v>30.52</v>
      </c>
      <c r="C80" s="64">
        <v>41.63</v>
      </c>
      <c r="D80" s="64">
        <v>44.55</v>
      </c>
      <c r="E80" s="64">
        <v>8.48</v>
      </c>
      <c r="F80" s="64">
        <v>2.64</v>
      </c>
      <c r="G80" s="64">
        <v>35.17</v>
      </c>
      <c r="H80" s="64">
        <v>14.42</v>
      </c>
      <c r="I80" s="64">
        <v>3.4</v>
      </c>
      <c r="J80" s="64">
        <v>0.08</v>
      </c>
      <c r="K80" s="64">
        <v>181.85</v>
      </c>
      <c r="L80" s="64">
        <v>11.49</v>
      </c>
      <c r="M80" s="64">
        <v>43.43</v>
      </c>
      <c r="N80" s="64">
        <v>29.8</v>
      </c>
      <c r="O80" s="64">
        <v>0</v>
      </c>
      <c r="P80" s="64">
        <v>1.26</v>
      </c>
      <c r="Q80" s="64">
        <v>9.4</v>
      </c>
      <c r="R80" s="198"/>
      <c r="S80" s="198"/>
      <c r="T80" s="198"/>
      <c r="U80" s="198"/>
    </row>
    <row r="81" spans="1:26" s="12" customFormat="1" x14ac:dyDescent="0.25">
      <c r="A81" s="214" t="s">
        <v>2912</v>
      </c>
      <c r="B81" s="64">
        <v>38.07</v>
      </c>
      <c r="C81" s="64">
        <v>39.53</v>
      </c>
      <c r="D81" s="64">
        <v>49.51</v>
      </c>
      <c r="E81" s="64">
        <v>8.06</v>
      </c>
      <c r="F81" s="64">
        <v>2.42</v>
      </c>
      <c r="G81" s="64">
        <v>40.57</v>
      </c>
      <c r="H81" s="64">
        <v>15.33</v>
      </c>
      <c r="I81" s="64">
        <v>3.66</v>
      </c>
      <c r="J81" s="64">
        <v>0.39</v>
      </c>
      <c r="K81" s="64">
        <v>299.75</v>
      </c>
      <c r="L81" s="64">
        <v>10.87</v>
      </c>
      <c r="M81" s="64">
        <v>48.5</v>
      </c>
      <c r="N81" s="64">
        <v>29.6</v>
      </c>
      <c r="O81" s="64">
        <v>0</v>
      </c>
      <c r="P81" s="64">
        <v>1.39</v>
      </c>
      <c r="Q81" s="64">
        <v>9.41</v>
      </c>
      <c r="R81" s="198"/>
      <c r="S81" s="198"/>
      <c r="T81" s="198"/>
      <c r="U81" s="198"/>
    </row>
    <row r="82" spans="1:26" s="12" customFormat="1" x14ac:dyDescent="0.25">
      <c r="A82" s="214" t="s">
        <v>2913</v>
      </c>
      <c r="B82" s="64">
        <v>32.22</v>
      </c>
      <c r="C82" s="64">
        <v>36.770000000000003</v>
      </c>
      <c r="D82" s="64">
        <v>43.37</v>
      </c>
      <c r="E82" s="64">
        <v>7.65</v>
      </c>
      <c r="F82" s="64">
        <v>2.36</v>
      </c>
      <c r="G82" s="64">
        <v>40.57</v>
      </c>
      <c r="H82" s="64">
        <v>15.33</v>
      </c>
      <c r="I82" s="64">
        <v>3.97</v>
      </c>
      <c r="J82" s="64">
        <v>0.49</v>
      </c>
      <c r="K82" s="64">
        <v>297.06</v>
      </c>
      <c r="L82" s="64">
        <v>10.46</v>
      </c>
      <c r="M82" s="64">
        <v>50.36</v>
      </c>
      <c r="N82" s="64">
        <v>29.5</v>
      </c>
      <c r="O82" s="64">
        <v>0</v>
      </c>
      <c r="P82" s="64">
        <v>1.41</v>
      </c>
      <c r="Q82" s="64">
        <v>9.4499999999999993</v>
      </c>
      <c r="R82" s="198"/>
      <c r="S82" s="198"/>
      <c r="T82" s="198"/>
      <c r="U82" s="198"/>
    </row>
    <row r="83" spans="1:26" s="12" customFormat="1" x14ac:dyDescent="0.25">
      <c r="A83" s="214" t="s">
        <v>2914</v>
      </c>
      <c r="B83" s="64">
        <v>31.54</v>
      </c>
      <c r="C83" s="64">
        <v>37.549999999999997</v>
      </c>
      <c r="D83" s="64">
        <v>43.24</v>
      </c>
      <c r="E83" s="64">
        <v>7.5</v>
      </c>
      <c r="F83" s="64">
        <v>2.35</v>
      </c>
      <c r="G83" s="64">
        <v>40.57</v>
      </c>
      <c r="H83" s="64">
        <v>15.33</v>
      </c>
      <c r="I83" s="64">
        <v>4.3899999999999997</v>
      </c>
      <c r="J83" s="64">
        <v>0.49</v>
      </c>
      <c r="K83" s="64">
        <v>146.03</v>
      </c>
      <c r="L83" s="64">
        <v>10.06</v>
      </c>
      <c r="M83" s="64">
        <v>51.17</v>
      </c>
      <c r="N83" s="64">
        <v>29.4</v>
      </c>
      <c r="O83" s="64">
        <v>0</v>
      </c>
      <c r="P83" s="64">
        <v>1.33</v>
      </c>
      <c r="Q83" s="64">
        <v>9.4600000000000009</v>
      </c>
      <c r="R83" s="198"/>
      <c r="S83" s="198"/>
      <c r="T83" s="198"/>
      <c r="U83" s="198"/>
    </row>
    <row r="84" spans="1:26" s="12" customFormat="1" x14ac:dyDescent="0.25">
      <c r="A84" s="214" t="s">
        <v>2915</v>
      </c>
      <c r="B84" s="64">
        <v>35.61</v>
      </c>
      <c r="C84" s="64">
        <v>35.659999999999997</v>
      </c>
      <c r="D84" s="64">
        <v>45.51</v>
      </c>
      <c r="E84" s="64">
        <v>7.3</v>
      </c>
      <c r="F84" s="64">
        <v>2.13</v>
      </c>
      <c r="G84" s="64">
        <v>51.62</v>
      </c>
      <c r="H84" s="64">
        <v>17.57</v>
      </c>
      <c r="I84" s="64">
        <v>4.41</v>
      </c>
      <c r="J84" s="64">
        <v>0.52</v>
      </c>
      <c r="K84" s="64">
        <v>148.5</v>
      </c>
      <c r="L84" s="64">
        <v>9.68</v>
      </c>
      <c r="M84" s="64">
        <v>53.81</v>
      </c>
      <c r="N84" s="64">
        <v>29.5</v>
      </c>
      <c r="O84" s="64">
        <v>0</v>
      </c>
      <c r="P84" s="64">
        <v>1.42</v>
      </c>
      <c r="Q84" s="64">
        <v>9.49</v>
      </c>
      <c r="R84" s="198"/>
      <c r="S84" s="198"/>
      <c r="T84" s="198"/>
      <c r="U84" s="198"/>
    </row>
    <row r="85" spans="1:26" s="12" customFormat="1" x14ac:dyDescent="0.25">
      <c r="A85" s="214" t="s">
        <v>2916</v>
      </c>
      <c r="B85" s="64">
        <v>33.47</v>
      </c>
      <c r="C85" s="64">
        <v>33.200000000000003</v>
      </c>
      <c r="D85" s="64">
        <v>42.5</v>
      </c>
      <c r="E85" s="64">
        <v>6.93</v>
      </c>
      <c r="F85" s="64">
        <v>2.4500000000000002</v>
      </c>
      <c r="G85" s="64">
        <v>60.86</v>
      </c>
      <c r="H85" s="64">
        <v>19.27</v>
      </c>
      <c r="I85" s="64">
        <v>4.49</v>
      </c>
      <c r="J85" s="64">
        <v>0.52</v>
      </c>
      <c r="K85" s="64">
        <v>148.49</v>
      </c>
      <c r="L85" s="64">
        <v>9.27</v>
      </c>
      <c r="M85" s="64">
        <v>56.34</v>
      </c>
      <c r="N85" s="64">
        <v>29.5</v>
      </c>
      <c r="O85" s="64">
        <v>0</v>
      </c>
      <c r="P85" s="64">
        <v>1.23</v>
      </c>
      <c r="Q85" s="64">
        <v>9.52</v>
      </c>
      <c r="R85" s="198"/>
      <c r="S85" s="198"/>
      <c r="T85" s="198"/>
      <c r="U85" s="198"/>
    </row>
    <row r="86" spans="1:26" s="12" customFormat="1" x14ac:dyDescent="0.25">
      <c r="A86" s="214" t="s">
        <v>2917</v>
      </c>
      <c r="B86" s="64">
        <v>35.44</v>
      </c>
      <c r="C86" s="64">
        <v>30.57</v>
      </c>
      <c r="D86" s="64">
        <v>42.71</v>
      </c>
      <c r="E86" s="64">
        <v>6.45</v>
      </c>
      <c r="F86" s="64">
        <v>2.41</v>
      </c>
      <c r="G86" s="64">
        <v>60.86</v>
      </c>
      <c r="H86" s="64">
        <v>19.27</v>
      </c>
      <c r="I86" s="64">
        <v>4.49</v>
      </c>
      <c r="J86" s="64">
        <v>0.28000000000000003</v>
      </c>
      <c r="K86" s="64">
        <v>205.29</v>
      </c>
      <c r="L86" s="64">
        <v>9.06</v>
      </c>
      <c r="M86" s="64">
        <v>60.52</v>
      </c>
      <c r="N86" s="64">
        <v>29.3</v>
      </c>
      <c r="O86" s="64">
        <v>0</v>
      </c>
      <c r="P86" s="64">
        <v>1.27</v>
      </c>
      <c r="Q86" s="64">
        <v>9.5299999999999994</v>
      </c>
      <c r="R86" s="198"/>
      <c r="S86" s="198"/>
      <c r="T86" s="198"/>
      <c r="U86" s="198"/>
    </row>
    <row r="87" spans="1:26" s="12" customFormat="1" x14ac:dyDescent="0.25">
      <c r="A87" s="214" t="s">
        <v>2918</v>
      </c>
      <c r="B87" s="64">
        <v>44.36</v>
      </c>
      <c r="C87" s="64">
        <v>27.3</v>
      </c>
      <c r="D87" s="64">
        <v>48.16</v>
      </c>
      <c r="E87" s="64">
        <v>6.43</v>
      </c>
      <c r="F87" s="64">
        <v>2.5</v>
      </c>
      <c r="G87" s="64">
        <v>60.86</v>
      </c>
      <c r="H87" s="64">
        <v>19.27</v>
      </c>
      <c r="I87" s="64">
        <v>4.24</v>
      </c>
      <c r="J87" s="64">
        <v>0.46</v>
      </c>
      <c r="K87" s="64">
        <v>134.27000000000001</v>
      </c>
      <c r="L87" s="64">
        <v>8.7799999999999994</v>
      </c>
      <c r="M87" s="64">
        <v>63.65</v>
      </c>
      <c r="N87" s="64">
        <v>29.2</v>
      </c>
      <c r="O87" s="64">
        <v>0</v>
      </c>
      <c r="P87" s="64">
        <v>1.34</v>
      </c>
      <c r="Q87" s="64">
        <v>9.58</v>
      </c>
      <c r="R87" s="198"/>
      <c r="S87" s="198"/>
      <c r="T87" s="198"/>
      <c r="U87" s="198"/>
    </row>
    <row r="88" spans="1:26" s="12" customFormat="1" x14ac:dyDescent="0.25">
      <c r="A88" s="214" t="s">
        <v>2919</v>
      </c>
      <c r="B88" s="64">
        <v>54.53</v>
      </c>
      <c r="C88" s="64">
        <v>22.43</v>
      </c>
      <c r="D88" s="64">
        <v>53.77</v>
      </c>
      <c r="E88" s="64">
        <v>6.77</v>
      </c>
      <c r="F88" s="64">
        <v>2.31</v>
      </c>
      <c r="G88" s="64">
        <v>72.98</v>
      </c>
      <c r="H88" s="64">
        <v>25.33</v>
      </c>
      <c r="I88" s="64">
        <v>4.33</v>
      </c>
      <c r="J88" s="64">
        <v>0.57999999999999996</v>
      </c>
      <c r="K88" s="64">
        <v>133.86000000000001</v>
      </c>
      <c r="L88" s="64">
        <v>8.5299999999999994</v>
      </c>
      <c r="M88" s="64">
        <v>67.03</v>
      </c>
      <c r="N88" s="64">
        <v>29.2</v>
      </c>
      <c r="O88" s="64">
        <v>0</v>
      </c>
      <c r="P88" s="64">
        <v>1.43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4" t="s">
        <v>2920</v>
      </c>
      <c r="B89" s="64">
        <v>65.13</v>
      </c>
      <c r="C89" s="64">
        <v>17.649999999999999</v>
      </c>
      <c r="D89" s="64">
        <v>59.77</v>
      </c>
      <c r="E89" s="64">
        <v>6.8</v>
      </c>
      <c r="F89" s="64">
        <v>2.5499999999999998</v>
      </c>
      <c r="G89" s="64">
        <v>83.12</v>
      </c>
      <c r="H89" s="64">
        <v>27.73</v>
      </c>
      <c r="I89" s="64">
        <v>4.6100000000000003</v>
      </c>
      <c r="J89" s="64">
        <v>0.18</v>
      </c>
      <c r="K89" s="64">
        <v>195.06</v>
      </c>
      <c r="L89" s="64">
        <v>8.4700000000000006</v>
      </c>
      <c r="M89" s="64">
        <v>66.959999999999994</v>
      </c>
      <c r="N89" s="64">
        <v>29.1</v>
      </c>
      <c r="O89" s="64">
        <v>0</v>
      </c>
      <c r="P89" s="64">
        <v>1.51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4" t="s">
        <v>2921</v>
      </c>
      <c r="B90" s="64">
        <v>74.19</v>
      </c>
      <c r="C90" s="64">
        <v>13.66</v>
      </c>
      <c r="D90" s="64">
        <v>64.959999999999994</v>
      </c>
      <c r="E90" s="64">
        <v>7.01</v>
      </c>
      <c r="F90" s="64">
        <v>2.5099999999999998</v>
      </c>
      <c r="G90" s="64">
        <v>83.12</v>
      </c>
      <c r="H90" s="64">
        <v>27.73</v>
      </c>
      <c r="I90" s="64">
        <v>4.87</v>
      </c>
      <c r="J90" s="64">
        <v>0.48</v>
      </c>
      <c r="K90" s="64">
        <v>306.92</v>
      </c>
      <c r="L90" s="64">
        <v>8.26</v>
      </c>
      <c r="M90" s="64">
        <v>73.09</v>
      </c>
      <c r="N90" s="64">
        <v>29.4</v>
      </c>
      <c r="O90" s="64">
        <v>0</v>
      </c>
      <c r="P90" s="64">
        <v>1.65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4" t="s">
        <v>2922</v>
      </c>
      <c r="B91" s="64">
        <v>82.57</v>
      </c>
      <c r="C91" s="64">
        <v>10.39</v>
      </c>
      <c r="D91" s="64">
        <v>69.97</v>
      </c>
      <c r="E91" s="64">
        <v>6.79</v>
      </c>
      <c r="F91" s="64">
        <v>2.34</v>
      </c>
      <c r="G91" s="64">
        <v>83.12</v>
      </c>
      <c r="H91" s="64">
        <v>27.73</v>
      </c>
      <c r="I91" s="64">
        <v>5.1100000000000003</v>
      </c>
      <c r="J91" s="64">
        <v>0.53</v>
      </c>
      <c r="K91" s="64">
        <v>321.98</v>
      </c>
      <c r="L91" s="64">
        <v>7.98</v>
      </c>
      <c r="M91" s="64">
        <v>75.489999999999995</v>
      </c>
      <c r="N91" s="64">
        <v>29.4</v>
      </c>
      <c r="O91" s="64">
        <v>0</v>
      </c>
      <c r="P91" s="64">
        <v>1.8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4" t="s">
        <v>2923</v>
      </c>
      <c r="B92" s="64">
        <v>90.91</v>
      </c>
      <c r="C92" s="64">
        <v>6.52</v>
      </c>
      <c r="D92" s="64">
        <v>74.63</v>
      </c>
      <c r="E92" s="64">
        <v>6.84</v>
      </c>
      <c r="F92" s="64">
        <v>2.2200000000000002</v>
      </c>
      <c r="G92" s="64">
        <v>90.72</v>
      </c>
      <c r="H92" s="64">
        <v>35.01</v>
      </c>
      <c r="I92" s="64">
        <v>5.93</v>
      </c>
      <c r="J92" s="64">
        <v>0.24</v>
      </c>
      <c r="K92" s="64">
        <v>290.14</v>
      </c>
      <c r="L92" s="64">
        <v>7.71</v>
      </c>
      <c r="M92" s="64">
        <v>77.790000000000006</v>
      </c>
      <c r="N92" s="64">
        <v>29.4</v>
      </c>
      <c r="O92" s="64">
        <v>0</v>
      </c>
      <c r="P92" s="64">
        <v>2</v>
      </c>
      <c r="Q92" s="64">
        <v>9.67</v>
      </c>
      <c r="R92" s="198"/>
      <c r="S92" s="198"/>
      <c r="T92" s="198"/>
      <c r="U92" s="198"/>
    </row>
    <row r="93" spans="1:26" s="12" customFormat="1" x14ac:dyDescent="0.25">
      <c r="A93" s="214" t="s">
        <v>2924</v>
      </c>
      <c r="B93" s="64">
        <v>97.1</v>
      </c>
      <c r="C93" s="64">
        <v>3.72</v>
      </c>
      <c r="D93" s="64">
        <v>78.14</v>
      </c>
      <c r="E93" s="64">
        <v>7.23</v>
      </c>
      <c r="F93" s="64">
        <v>2.16</v>
      </c>
      <c r="G93" s="64">
        <v>97.09</v>
      </c>
      <c r="H93" s="64">
        <v>37.89</v>
      </c>
      <c r="I93" s="64">
        <v>6.01</v>
      </c>
      <c r="J93" s="64">
        <v>0.47</v>
      </c>
      <c r="K93" s="64">
        <v>292.85000000000002</v>
      </c>
      <c r="L93" s="64">
        <v>7.63</v>
      </c>
      <c r="M93" s="64">
        <v>79.41</v>
      </c>
      <c r="N93" s="64">
        <v>29.3</v>
      </c>
      <c r="O93" s="64">
        <v>0</v>
      </c>
      <c r="P93" s="64">
        <v>2.1800000000000002</v>
      </c>
      <c r="Q93" s="64">
        <v>9.68</v>
      </c>
      <c r="R93" s="198"/>
      <c r="S93" s="198"/>
      <c r="T93" s="198"/>
      <c r="U93" s="198"/>
    </row>
    <row r="94" spans="1:26" s="12" customFormat="1" x14ac:dyDescent="0.25">
      <c r="A94" s="214" t="s">
        <v>2925</v>
      </c>
      <c r="B94" s="64">
        <v>103.2</v>
      </c>
      <c r="C94" s="64">
        <v>0.78</v>
      </c>
      <c r="D94" s="64">
        <v>81.44</v>
      </c>
      <c r="E94" s="64">
        <v>7.03</v>
      </c>
      <c r="F94" s="64">
        <v>2.4700000000000002</v>
      </c>
      <c r="G94" s="64">
        <v>97.09</v>
      </c>
      <c r="H94" s="64">
        <v>37.89</v>
      </c>
      <c r="I94" s="64">
        <v>6.31</v>
      </c>
      <c r="J94" s="64">
        <v>0.52</v>
      </c>
      <c r="K94" s="64">
        <v>311.25</v>
      </c>
      <c r="L94" s="64">
        <v>7.37</v>
      </c>
      <c r="M94" s="64">
        <v>82.4</v>
      </c>
      <c r="N94" s="64">
        <v>29.4</v>
      </c>
      <c r="O94" s="64">
        <v>0</v>
      </c>
      <c r="P94" s="64">
        <v>2.36</v>
      </c>
      <c r="Q94" s="64">
        <v>9.68</v>
      </c>
      <c r="R94" s="198"/>
      <c r="S94" s="198"/>
      <c r="T94" s="198"/>
      <c r="U94" s="198"/>
    </row>
    <row r="95" spans="1:26" s="12" customFormat="1" x14ac:dyDescent="0.25">
      <c r="A95" s="214" t="s">
        <v>2926</v>
      </c>
      <c r="B95" s="64">
        <v>108.99</v>
      </c>
      <c r="C95" s="64">
        <v>0.78</v>
      </c>
      <c r="D95" s="64">
        <v>84.36</v>
      </c>
      <c r="E95" s="64">
        <v>7.26</v>
      </c>
      <c r="F95" s="64">
        <v>2.5499999999999998</v>
      </c>
      <c r="G95" s="64">
        <v>97.09</v>
      </c>
      <c r="H95" s="64">
        <v>37.89</v>
      </c>
      <c r="I95" s="64">
        <v>6.85</v>
      </c>
      <c r="J95" s="64">
        <v>0.53</v>
      </c>
      <c r="K95" s="64">
        <v>321.33999999999997</v>
      </c>
      <c r="L95" s="64">
        <v>7.13</v>
      </c>
      <c r="M95" s="64">
        <v>84.84</v>
      </c>
      <c r="N95" s="64">
        <v>29.4</v>
      </c>
      <c r="O95" s="64">
        <v>0</v>
      </c>
      <c r="P95" s="64">
        <v>2.5499999999999998</v>
      </c>
      <c r="Q95" s="64">
        <v>9.68</v>
      </c>
      <c r="R95" s="198"/>
      <c r="S95" s="198"/>
      <c r="T95" s="198"/>
      <c r="U95" s="198"/>
    </row>
    <row r="96" spans="1:26" s="12" customFormat="1" x14ac:dyDescent="0.25">
      <c r="A96" s="214" t="s">
        <v>2927</v>
      </c>
      <c r="B96" s="64">
        <v>115.28</v>
      </c>
      <c r="C96" s="64">
        <v>0.78</v>
      </c>
      <c r="D96" s="64">
        <v>87.61</v>
      </c>
      <c r="E96" s="64">
        <v>7.19</v>
      </c>
      <c r="F96" s="64">
        <v>2.29</v>
      </c>
      <c r="G96" s="64">
        <v>118.06</v>
      </c>
      <c r="H96" s="64">
        <v>46.84</v>
      </c>
      <c r="I96" s="64">
        <v>7.37</v>
      </c>
      <c r="J96" s="64">
        <v>0.42</v>
      </c>
      <c r="K96" s="64">
        <v>38.74</v>
      </c>
      <c r="L96" s="64">
        <v>7.1</v>
      </c>
      <c r="M96" s="64">
        <v>88.51</v>
      </c>
      <c r="N96" s="64">
        <v>29.2</v>
      </c>
      <c r="O96" s="64">
        <v>0</v>
      </c>
      <c r="P96" s="64">
        <v>2.7</v>
      </c>
      <c r="Q96" s="64">
        <v>9.66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2928</v>
      </c>
      <c r="B97" s="64">
        <v>127.49</v>
      </c>
      <c r="C97" s="64">
        <v>0.78</v>
      </c>
      <c r="D97" s="64">
        <v>94.67</v>
      </c>
      <c r="E97" s="64">
        <v>7.52</v>
      </c>
      <c r="F97" s="64">
        <v>2.14</v>
      </c>
      <c r="G97" s="64">
        <v>135.62</v>
      </c>
      <c r="H97" s="64">
        <v>50.38</v>
      </c>
      <c r="I97" s="64">
        <v>7.85</v>
      </c>
      <c r="J97" s="64">
        <v>0.42</v>
      </c>
      <c r="K97" s="64">
        <v>278.86</v>
      </c>
      <c r="L97" s="64">
        <v>6.95</v>
      </c>
      <c r="M97" s="64">
        <v>91.89</v>
      </c>
      <c r="N97" s="64">
        <v>29.3</v>
      </c>
      <c r="O97" s="64">
        <v>0</v>
      </c>
      <c r="P97" s="64">
        <v>2.9</v>
      </c>
      <c r="Q97" s="64">
        <v>9.68</v>
      </c>
      <c r="R97" s="198"/>
      <c r="S97" s="198"/>
      <c r="T97" s="198"/>
      <c r="U97" s="198"/>
    </row>
    <row r="98" spans="1:33" s="12" customFormat="1" x14ac:dyDescent="0.25">
      <c r="A98" s="214" t="s">
        <v>2929</v>
      </c>
      <c r="B98" s="64">
        <v>135.63999999999999</v>
      </c>
      <c r="C98" s="64">
        <v>0.78</v>
      </c>
      <c r="D98" s="64">
        <v>99.25</v>
      </c>
      <c r="E98" s="64">
        <v>7.64</v>
      </c>
      <c r="F98" s="64">
        <v>2.31</v>
      </c>
      <c r="G98" s="64">
        <v>135.62</v>
      </c>
      <c r="H98" s="64">
        <v>50.38</v>
      </c>
      <c r="I98" s="64">
        <v>8.27</v>
      </c>
      <c r="J98" s="64">
        <v>0.33</v>
      </c>
      <c r="K98" s="64">
        <v>296.27999999999997</v>
      </c>
      <c r="L98" s="64">
        <v>6.76</v>
      </c>
      <c r="M98" s="64">
        <v>94.46</v>
      </c>
      <c r="N98" s="64">
        <v>29.3</v>
      </c>
      <c r="O98" s="64">
        <v>0</v>
      </c>
      <c r="P98" s="64">
        <v>3.05</v>
      </c>
      <c r="Q98" s="64">
        <v>9.6999999999999993</v>
      </c>
      <c r="R98" s="198"/>
      <c r="S98" s="198"/>
      <c r="T98" s="198"/>
      <c r="U98" s="198"/>
    </row>
    <row r="99" spans="1:33" s="12" customFormat="1" x14ac:dyDescent="0.25">
      <c r="A99" s="214" t="s">
        <v>2930</v>
      </c>
      <c r="B99" s="64">
        <v>143.07</v>
      </c>
      <c r="C99" s="64">
        <v>0.78</v>
      </c>
      <c r="D99" s="64">
        <v>103.36</v>
      </c>
      <c r="E99" s="64">
        <v>7.75</v>
      </c>
      <c r="F99" s="64">
        <v>2.36</v>
      </c>
      <c r="G99" s="64">
        <v>135.62</v>
      </c>
      <c r="H99" s="64">
        <v>50.38</v>
      </c>
      <c r="I99" s="64">
        <v>8.69</v>
      </c>
      <c r="J99" s="64">
        <v>0.3</v>
      </c>
      <c r="K99" s="64">
        <v>224.27</v>
      </c>
      <c r="L99" s="64">
        <v>6.56</v>
      </c>
      <c r="M99" s="64">
        <v>96.05</v>
      </c>
      <c r="N99" s="64">
        <v>29.4</v>
      </c>
      <c r="O99" s="64">
        <v>0</v>
      </c>
      <c r="P99" s="64">
        <v>3.18</v>
      </c>
      <c r="Q99" s="64">
        <v>9.6999999999999993</v>
      </c>
      <c r="R99" s="198"/>
      <c r="S99" s="198"/>
      <c r="T99" s="198"/>
      <c r="U99" s="198"/>
    </row>
    <row r="100" spans="1:33" s="12" customFormat="1" x14ac:dyDescent="0.25">
      <c r="A100" s="214" t="s">
        <v>2931</v>
      </c>
      <c r="B100" s="64">
        <v>151.15</v>
      </c>
      <c r="C100" s="64">
        <v>0.78</v>
      </c>
      <c r="D100" s="64">
        <v>107.84</v>
      </c>
      <c r="E100" s="64">
        <v>7.97</v>
      </c>
      <c r="F100" s="64">
        <v>2.58</v>
      </c>
      <c r="G100" s="64">
        <v>132.16</v>
      </c>
      <c r="H100" s="64">
        <v>54.91</v>
      </c>
      <c r="I100" s="64">
        <v>9.06</v>
      </c>
      <c r="J100" s="64">
        <v>0.3</v>
      </c>
      <c r="K100" s="64">
        <v>325.76</v>
      </c>
      <c r="L100" s="64">
        <v>6.46</v>
      </c>
      <c r="M100" s="64">
        <v>94.05</v>
      </c>
      <c r="N100" s="64">
        <v>29.1</v>
      </c>
      <c r="O100" s="64">
        <v>0</v>
      </c>
      <c r="P100" s="64">
        <v>3.3</v>
      </c>
      <c r="Q100" s="64">
        <v>9.69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2932</v>
      </c>
      <c r="B101" s="64">
        <v>154.81</v>
      </c>
      <c r="C101" s="64">
        <v>0.78</v>
      </c>
      <c r="D101" s="64">
        <v>109.87</v>
      </c>
      <c r="E101" s="64">
        <v>8.01</v>
      </c>
      <c r="F101" s="64">
        <v>2.41</v>
      </c>
      <c r="G101" s="64">
        <v>129.13</v>
      </c>
      <c r="H101" s="64">
        <v>58.35</v>
      </c>
      <c r="I101" s="64">
        <v>9.42</v>
      </c>
      <c r="J101" s="64">
        <v>0.53</v>
      </c>
      <c r="K101" s="64">
        <v>301.61</v>
      </c>
      <c r="L101" s="64">
        <v>6.55</v>
      </c>
      <c r="M101" s="64">
        <v>87.48</v>
      </c>
      <c r="N101" s="64">
        <v>29.2</v>
      </c>
      <c r="O101" s="64">
        <v>0</v>
      </c>
      <c r="P101" s="64">
        <v>3.37</v>
      </c>
      <c r="Q101" s="64">
        <v>9.7100000000000009</v>
      </c>
      <c r="R101" s="198"/>
      <c r="S101" s="198"/>
      <c r="T101" s="198"/>
      <c r="U101" s="198"/>
    </row>
    <row r="102" spans="1:33" s="12" customFormat="1" x14ac:dyDescent="0.25">
      <c r="A102" s="214" t="s">
        <v>2933</v>
      </c>
      <c r="B102" s="64">
        <v>156.18</v>
      </c>
      <c r="C102" s="64">
        <v>0.78</v>
      </c>
      <c r="D102" s="64">
        <v>110.46</v>
      </c>
      <c r="E102" s="64">
        <v>8.07</v>
      </c>
      <c r="F102" s="64">
        <v>2.4700000000000002</v>
      </c>
      <c r="G102" s="64">
        <v>129.13</v>
      </c>
      <c r="H102" s="64">
        <v>58.35</v>
      </c>
      <c r="I102" s="64">
        <v>9.68</v>
      </c>
      <c r="J102" s="64">
        <v>0.37</v>
      </c>
      <c r="K102" s="64">
        <v>279.5</v>
      </c>
      <c r="L102" s="64">
        <v>6.45</v>
      </c>
      <c r="M102" s="64">
        <v>82.96</v>
      </c>
      <c r="N102" s="64">
        <v>29.3</v>
      </c>
      <c r="O102" s="64">
        <v>0</v>
      </c>
      <c r="P102" s="64">
        <v>3.38</v>
      </c>
      <c r="Q102" s="64">
        <v>9.7100000000000009</v>
      </c>
      <c r="R102" s="198"/>
      <c r="S102" s="198"/>
      <c r="T102" s="198"/>
      <c r="U102" s="198"/>
    </row>
    <row r="103" spans="1:33" s="12" customFormat="1" x14ac:dyDescent="0.25">
      <c r="A103" s="214" t="s">
        <v>2934</v>
      </c>
      <c r="B103" s="64">
        <v>154.55000000000001</v>
      </c>
      <c r="C103" s="64">
        <v>0.78</v>
      </c>
      <c r="D103" s="64">
        <v>109.09</v>
      </c>
      <c r="E103" s="64">
        <v>8.11</v>
      </c>
      <c r="F103" s="64">
        <v>2.37</v>
      </c>
      <c r="G103" s="64">
        <v>129.13</v>
      </c>
      <c r="H103" s="64">
        <v>58.35</v>
      </c>
      <c r="I103" s="64">
        <v>9.84</v>
      </c>
      <c r="J103" s="64">
        <v>0.47</v>
      </c>
      <c r="K103" s="64">
        <v>5.69</v>
      </c>
      <c r="L103" s="64">
        <v>6.2</v>
      </c>
      <c r="M103" s="64">
        <v>84.53</v>
      </c>
      <c r="N103" s="64">
        <v>29.5</v>
      </c>
      <c r="O103" s="64">
        <v>0</v>
      </c>
      <c r="P103" s="64">
        <v>3.34</v>
      </c>
      <c r="Q103" s="64">
        <v>9.7100000000000009</v>
      </c>
      <c r="R103" s="198"/>
      <c r="S103" s="198"/>
      <c r="T103" s="198"/>
      <c r="U103" s="198"/>
    </row>
    <row r="104" spans="1:33" s="12" customFormat="1" x14ac:dyDescent="0.25">
      <c r="A104" s="214" t="s">
        <v>2935</v>
      </c>
      <c r="B104" s="64">
        <v>151.16999999999999</v>
      </c>
      <c r="C104" s="64">
        <v>0.78</v>
      </c>
      <c r="D104" s="64">
        <v>106.77</v>
      </c>
      <c r="E104" s="64">
        <v>5.39</v>
      </c>
      <c r="F104" s="64">
        <v>2.2999999999999998</v>
      </c>
      <c r="G104" s="64">
        <v>109.79</v>
      </c>
      <c r="H104" s="64">
        <v>47.94</v>
      </c>
      <c r="I104" s="64">
        <v>9.85</v>
      </c>
      <c r="J104" s="64">
        <v>0.71</v>
      </c>
      <c r="K104" s="64">
        <v>118.04</v>
      </c>
      <c r="L104" s="64">
        <v>5.98</v>
      </c>
      <c r="M104" s="64">
        <v>87.19</v>
      </c>
      <c r="N104" s="64">
        <v>29.1</v>
      </c>
      <c r="O104" s="64">
        <v>0</v>
      </c>
      <c r="P104" s="64">
        <v>3.26</v>
      </c>
      <c r="Q104" s="64">
        <v>9.6999999999999993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10.47</v>
      </c>
      <c r="C106" s="67">
        <f>MIN(C9:C104)</f>
        <v>0.78</v>
      </c>
      <c r="D106" s="67">
        <f t="shared" ref="D106:Q106" si="0">MIN(D9:D104)</f>
        <v>28.59</v>
      </c>
      <c r="E106" s="67">
        <f t="shared" si="0"/>
        <v>3.86</v>
      </c>
      <c r="F106" s="67">
        <f t="shared" si="0"/>
        <v>2.13</v>
      </c>
      <c r="G106" s="67">
        <f t="shared" si="0"/>
        <v>0</v>
      </c>
      <c r="H106" s="67">
        <f t="shared" si="0"/>
        <v>12.06</v>
      </c>
      <c r="I106" s="67">
        <f t="shared" si="0"/>
        <v>2.72</v>
      </c>
      <c r="J106" s="67">
        <f t="shared" si="0"/>
        <v>0.05</v>
      </c>
      <c r="K106" s="67">
        <f t="shared" si="0"/>
        <v>5.69</v>
      </c>
      <c r="L106" s="67">
        <f t="shared" si="0"/>
        <v>3.82</v>
      </c>
      <c r="M106" s="67">
        <f t="shared" si="0"/>
        <v>20.47</v>
      </c>
      <c r="N106" s="67">
        <f t="shared" si="0"/>
        <v>29</v>
      </c>
      <c r="O106" s="67">
        <f t="shared" si="0"/>
        <v>0</v>
      </c>
      <c r="P106" s="67">
        <f t="shared" si="0"/>
        <v>0.82</v>
      </c>
      <c r="Q106" s="67">
        <f t="shared" si="0"/>
        <v>9.36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156.18</v>
      </c>
      <c r="C107" s="66">
        <f t="shared" ref="C107:Q107" si="1">MAX(C9:C104)</f>
        <v>51.83</v>
      </c>
      <c r="D107" s="66">
        <f t="shared" si="1"/>
        <v>110.46</v>
      </c>
      <c r="E107" s="66">
        <f t="shared" si="1"/>
        <v>15.05</v>
      </c>
      <c r="F107" s="66">
        <f t="shared" si="1"/>
        <v>7.59</v>
      </c>
      <c r="G107" s="66">
        <f t="shared" si="1"/>
        <v>135.62</v>
      </c>
      <c r="H107" s="66">
        <f t="shared" si="1"/>
        <v>58.35</v>
      </c>
      <c r="I107" s="66">
        <f t="shared" si="1"/>
        <v>10.48</v>
      </c>
      <c r="J107" s="66">
        <f t="shared" si="1"/>
        <v>2.1</v>
      </c>
      <c r="K107" s="66">
        <f t="shared" si="1"/>
        <v>356.31</v>
      </c>
      <c r="L107" s="66">
        <f t="shared" si="1"/>
        <v>20.9</v>
      </c>
      <c r="M107" s="66">
        <f t="shared" si="1"/>
        <v>98.03</v>
      </c>
      <c r="N107" s="66">
        <f t="shared" si="1"/>
        <v>431.5</v>
      </c>
      <c r="O107" s="66">
        <f t="shared" si="1"/>
        <v>0</v>
      </c>
      <c r="P107" s="66">
        <f t="shared" si="1"/>
        <v>3.38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51.939655172413794</v>
      </c>
      <c r="C108" s="67">
        <f t="shared" ref="C108:Q108" si="2">AVERAGE(C9:C104)</f>
        <v>27.58224137931035</v>
      </c>
      <c r="D108" s="67">
        <f t="shared" si="2"/>
        <v>52.740517241379315</v>
      </c>
      <c r="E108" s="67">
        <f t="shared" si="2"/>
        <v>6.2962500000000015</v>
      </c>
      <c r="F108" s="67">
        <f t="shared" si="2"/>
        <v>2.971666666666668</v>
      </c>
      <c r="G108" s="67">
        <f t="shared" si="2"/>
        <v>58.640624999999993</v>
      </c>
      <c r="H108" s="67">
        <f t="shared" si="2"/>
        <v>28.504583333333319</v>
      </c>
      <c r="I108" s="67">
        <f t="shared" si="2"/>
        <v>6.0509375000000007</v>
      </c>
      <c r="J108" s="67">
        <f t="shared" si="2"/>
        <v>0.6078125000000002</v>
      </c>
      <c r="K108" s="67">
        <f t="shared" si="2"/>
        <v>224.70145833333333</v>
      </c>
      <c r="L108" s="67">
        <f t="shared" si="2"/>
        <v>10.477083333333336</v>
      </c>
      <c r="M108" s="67">
        <f t="shared" si="2"/>
        <v>63.915729166666665</v>
      </c>
      <c r="N108" s="67">
        <f t="shared" si="2"/>
        <v>122.26770833333329</v>
      </c>
      <c r="O108" s="67">
        <f t="shared" si="2"/>
        <v>0</v>
      </c>
      <c r="P108" s="67">
        <f t="shared" si="2"/>
        <v>1.7800000000000011</v>
      </c>
      <c r="Q108" s="67">
        <f t="shared" si="2"/>
        <v>9.5789583333333308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46.517607719541893</v>
      </c>
      <c r="C109" s="67">
        <f t="shared" ref="C109:Q109" si="3">STDEV(C9:C104)</f>
        <v>16.881898646349743</v>
      </c>
      <c r="D109" s="67">
        <f t="shared" si="3"/>
        <v>25.607189808786256</v>
      </c>
      <c r="E109" s="67">
        <f t="shared" si="3"/>
        <v>2.1081846768200672</v>
      </c>
      <c r="F109" s="67">
        <f t="shared" si="3"/>
        <v>1.1232103113436795</v>
      </c>
      <c r="G109" s="67">
        <f t="shared" si="3"/>
        <v>34.250981294048586</v>
      </c>
      <c r="H109" s="67">
        <f t="shared" si="3"/>
        <v>13.20841732553961</v>
      </c>
      <c r="I109" s="67">
        <f t="shared" si="3"/>
        <v>2.400701247607278</v>
      </c>
      <c r="J109" s="67">
        <f t="shared" si="3"/>
        <v>0.38834928154135201</v>
      </c>
      <c r="K109" s="67">
        <f t="shared" si="3"/>
        <v>101.6142501090241</v>
      </c>
      <c r="L109" s="67">
        <f t="shared" si="3"/>
        <v>5.4383880964601294</v>
      </c>
      <c r="M109" s="67">
        <f t="shared" si="3"/>
        <v>30.057790889333976</v>
      </c>
      <c r="N109" s="67">
        <f t="shared" si="3"/>
        <v>148.07577398416257</v>
      </c>
      <c r="O109" s="67">
        <f t="shared" si="3"/>
        <v>0</v>
      </c>
      <c r="P109" s="67">
        <f t="shared" si="3"/>
        <v>0.77431395781243406</v>
      </c>
      <c r="Q109" s="67">
        <f t="shared" si="3"/>
        <v>0.11943268675980917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COUNT(B9:B104)+38</f>
        <v>96</v>
      </c>
      <c r="C110" s="66">
        <f t="shared" ref="C110:D110" si="4">COUNT(C9:C104)+38</f>
        <v>96</v>
      </c>
      <c r="D110" s="66">
        <f t="shared" si="4"/>
        <v>96</v>
      </c>
      <c r="E110" s="66">
        <f t="shared" ref="B110:Q110" si="5">COUNT(E9:E104)</f>
        <v>96</v>
      </c>
      <c r="F110" s="66">
        <f t="shared" si="5"/>
        <v>96</v>
      </c>
      <c r="G110" s="66">
        <f t="shared" si="5"/>
        <v>96</v>
      </c>
      <c r="H110" s="66">
        <f t="shared" si="5"/>
        <v>96</v>
      </c>
      <c r="I110" s="66">
        <f t="shared" si="5"/>
        <v>96</v>
      </c>
      <c r="J110" s="66">
        <f t="shared" si="5"/>
        <v>96</v>
      </c>
      <c r="K110" s="66">
        <f t="shared" si="5"/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 t="shared" si="5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G119" sqref="G11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2936</v>
      </c>
      <c r="B9" s="64">
        <v>147.4</v>
      </c>
      <c r="C9" s="64">
        <v>12.1</v>
      </c>
      <c r="D9" s="64">
        <v>104.43</v>
      </c>
      <c r="E9" s="64">
        <v>5.76</v>
      </c>
      <c r="F9" s="64">
        <v>2.75</v>
      </c>
      <c r="G9" s="64">
        <v>93.62</v>
      </c>
      <c r="H9" s="64">
        <v>43.82</v>
      </c>
      <c r="I9" s="64">
        <v>9.75</v>
      </c>
      <c r="J9" s="64">
        <v>0.27</v>
      </c>
      <c r="K9" s="64">
        <v>267.24</v>
      </c>
      <c r="L9" s="64">
        <v>5.9</v>
      </c>
      <c r="M9" s="64">
        <v>88.46</v>
      </c>
      <c r="N9" s="64">
        <v>29.2</v>
      </c>
      <c r="O9" s="64">
        <v>0</v>
      </c>
      <c r="P9" s="64">
        <v>3.17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4" t="s">
        <v>2937</v>
      </c>
      <c r="B10" s="64">
        <v>142.87</v>
      </c>
      <c r="C10" s="64">
        <v>9.51</v>
      </c>
      <c r="D10" s="64">
        <v>101.6</v>
      </c>
      <c r="E10" s="64">
        <v>5.97</v>
      </c>
      <c r="F10" s="64">
        <v>2.5299999999999998</v>
      </c>
      <c r="G10" s="64">
        <v>93.62</v>
      </c>
      <c r="H10" s="64">
        <v>43.82</v>
      </c>
      <c r="I10" s="64">
        <v>9.6199999999999992</v>
      </c>
      <c r="J10" s="64">
        <v>0.21</v>
      </c>
      <c r="K10" s="64">
        <v>7.06</v>
      </c>
      <c r="L10" s="64">
        <v>5.73</v>
      </c>
      <c r="M10" s="64">
        <v>89.61</v>
      </c>
      <c r="N10" s="64">
        <v>29.5</v>
      </c>
      <c r="O10" s="64">
        <v>0</v>
      </c>
      <c r="P10" s="64">
        <v>3.1</v>
      </c>
      <c r="Q10" s="64">
        <v>9.69</v>
      </c>
      <c r="R10" s="198"/>
      <c r="S10" s="198"/>
      <c r="T10" s="198"/>
      <c r="U10" s="198"/>
    </row>
    <row r="11" spans="1:21" s="12" customFormat="1" x14ac:dyDescent="0.25">
      <c r="A11" s="214" t="s">
        <v>2938</v>
      </c>
      <c r="B11" s="64">
        <v>137.51</v>
      </c>
      <c r="C11" s="64">
        <v>3.4</v>
      </c>
      <c r="D11" s="64">
        <v>98.33</v>
      </c>
      <c r="E11" s="64">
        <v>5.58</v>
      </c>
      <c r="F11" s="64">
        <v>2.63</v>
      </c>
      <c r="G11" s="64">
        <v>93.62</v>
      </c>
      <c r="H11" s="64">
        <v>43.82</v>
      </c>
      <c r="I11" s="64">
        <v>9.51</v>
      </c>
      <c r="J11" s="64">
        <v>0.53</v>
      </c>
      <c r="K11" s="64">
        <v>102.7</v>
      </c>
      <c r="L11" s="64">
        <v>5.48</v>
      </c>
      <c r="M11" s="64">
        <v>89.42</v>
      </c>
      <c r="N11" s="64">
        <v>29.3</v>
      </c>
      <c r="O11" s="64">
        <v>0</v>
      </c>
      <c r="P11" s="64">
        <v>3.02</v>
      </c>
      <c r="Q11" s="64">
        <v>9.6999999999999993</v>
      </c>
      <c r="R11" s="198"/>
      <c r="S11" s="198"/>
      <c r="T11" s="198"/>
      <c r="U11" s="198"/>
    </row>
    <row r="12" spans="1:21" s="12" customFormat="1" x14ac:dyDescent="0.25">
      <c r="A12" s="214" t="s">
        <v>2939</v>
      </c>
      <c r="B12" s="64">
        <v>131.79</v>
      </c>
      <c r="C12" s="64">
        <v>4.2</v>
      </c>
      <c r="D12" s="64">
        <v>95.03</v>
      </c>
      <c r="E12" s="64">
        <v>5.85</v>
      </c>
      <c r="F12" s="64">
        <v>2.65</v>
      </c>
      <c r="G12" s="64">
        <v>81.52</v>
      </c>
      <c r="H12" s="64">
        <v>40.729999999999997</v>
      </c>
      <c r="I12" s="64">
        <v>10.130000000000001</v>
      </c>
      <c r="J12" s="64">
        <v>0.24</v>
      </c>
      <c r="K12" s="64">
        <v>69.53</v>
      </c>
      <c r="L12" s="64">
        <v>5.31</v>
      </c>
      <c r="M12" s="64">
        <v>91.36</v>
      </c>
      <c r="N12" s="64">
        <v>29.5</v>
      </c>
      <c r="O12" s="64">
        <v>0</v>
      </c>
      <c r="P12" s="64">
        <v>2.94</v>
      </c>
      <c r="Q12" s="64">
        <v>9.7100000000000009</v>
      </c>
      <c r="R12" s="198"/>
      <c r="S12" s="198"/>
      <c r="T12" s="198"/>
      <c r="U12" s="198"/>
    </row>
    <row r="13" spans="1:21" s="12" customFormat="1" x14ac:dyDescent="0.25">
      <c r="A13" s="214" t="s">
        <v>2940</v>
      </c>
      <c r="B13" s="64">
        <v>126.08</v>
      </c>
      <c r="C13" s="64">
        <v>5.12</v>
      </c>
      <c r="D13" s="64">
        <v>91.71</v>
      </c>
      <c r="E13" s="64">
        <v>5.99</v>
      </c>
      <c r="F13" s="64">
        <v>2.58</v>
      </c>
      <c r="G13" s="64">
        <v>71.39</v>
      </c>
      <c r="H13" s="64">
        <v>39.5</v>
      </c>
      <c r="I13" s="64">
        <v>9.52</v>
      </c>
      <c r="J13" s="64">
        <v>0.28999999999999998</v>
      </c>
      <c r="K13" s="64">
        <v>32.380000000000003</v>
      </c>
      <c r="L13" s="64">
        <v>5.26</v>
      </c>
      <c r="M13" s="64">
        <v>95.06</v>
      </c>
      <c r="N13" s="64">
        <v>29.2</v>
      </c>
      <c r="O13" s="64">
        <v>0</v>
      </c>
      <c r="P13" s="64">
        <v>2.4900000000000002</v>
      </c>
      <c r="Q13" s="64">
        <v>9.6999999999999993</v>
      </c>
      <c r="R13" s="198"/>
      <c r="S13" s="198"/>
      <c r="T13" s="198"/>
      <c r="U13" s="198"/>
    </row>
    <row r="14" spans="1:21" s="12" customFormat="1" x14ac:dyDescent="0.25">
      <c r="A14" s="214" t="s">
        <v>2941</v>
      </c>
      <c r="B14" s="64">
        <v>121.32</v>
      </c>
      <c r="C14" s="64">
        <v>6.21</v>
      </c>
      <c r="D14" s="64">
        <v>88.98</v>
      </c>
      <c r="E14" s="64">
        <v>5.47</v>
      </c>
      <c r="F14" s="64">
        <v>2.64</v>
      </c>
      <c r="G14" s="64">
        <v>71.39</v>
      </c>
      <c r="H14" s="64">
        <v>39.5</v>
      </c>
      <c r="I14" s="64">
        <v>9.15</v>
      </c>
      <c r="J14" s="64">
        <v>0.21</v>
      </c>
      <c r="K14" s="64">
        <v>276.54000000000002</v>
      </c>
      <c r="L14" s="64">
        <v>5.4</v>
      </c>
      <c r="M14" s="64">
        <v>95.09</v>
      </c>
      <c r="N14" s="64">
        <v>29.1</v>
      </c>
      <c r="O14" s="64">
        <v>0</v>
      </c>
      <c r="P14" s="64">
        <v>2.57</v>
      </c>
      <c r="Q14" s="64">
        <v>9.6999999999999993</v>
      </c>
      <c r="R14" s="198"/>
      <c r="S14" s="198"/>
      <c r="T14" s="198"/>
      <c r="U14" s="198"/>
    </row>
    <row r="15" spans="1:21" s="12" customFormat="1" x14ac:dyDescent="0.25">
      <c r="A15" s="214" t="s">
        <v>2942</v>
      </c>
      <c r="B15" s="64">
        <v>116.85</v>
      </c>
      <c r="C15" s="64">
        <v>7.14</v>
      </c>
      <c r="D15" s="64">
        <v>86.3</v>
      </c>
      <c r="E15" s="64">
        <v>5.24</v>
      </c>
      <c r="F15" s="64">
        <v>2.33</v>
      </c>
      <c r="G15" s="64">
        <v>71.39</v>
      </c>
      <c r="H15" s="64">
        <v>39.5</v>
      </c>
      <c r="I15" s="64">
        <v>9.06</v>
      </c>
      <c r="J15" s="64">
        <v>0.38</v>
      </c>
      <c r="K15" s="64">
        <v>333.94</v>
      </c>
      <c r="L15" s="64">
        <v>5.69</v>
      </c>
      <c r="M15" s="64">
        <v>90.63</v>
      </c>
      <c r="N15" s="64">
        <v>28.8</v>
      </c>
      <c r="O15" s="64">
        <v>0</v>
      </c>
      <c r="P15" s="64">
        <v>2.5299999999999998</v>
      </c>
      <c r="Q15" s="64">
        <v>9.68</v>
      </c>
      <c r="R15" s="198"/>
      <c r="S15" s="198"/>
      <c r="T15" s="198"/>
      <c r="U15" s="198"/>
    </row>
    <row r="16" spans="1:21" s="12" customFormat="1" x14ac:dyDescent="0.25">
      <c r="A16" s="214" t="s">
        <v>2943</v>
      </c>
      <c r="B16" s="64">
        <v>112.73</v>
      </c>
      <c r="C16" s="64">
        <v>6.4</v>
      </c>
      <c r="D16" s="64">
        <v>84</v>
      </c>
      <c r="E16" s="64">
        <v>5.27</v>
      </c>
      <c r="F16" s="64">
        <v>2.35</v>
      </c>
      <c r="G16" s="64">
        <v>69.040000000000006</v>
      </c>
      <c r="H16" s="64">
        <v>39.229999999999997</v>
      </c>
      <c r="I16" s="64">
        <v>9.01</v>
      </c>
      <c r="J16" s="64">
        <v>0.3</v>
      </c>
      <c r="K16" s="64">
        <v>255.69</v>
      </c>
      <c r="L16" s="64">
        <v>5.81</v>
      </c>
      <c r="M16" s="64">
        <v>86.76</v>
      </c>
      <c r="N16" s="64">
        <v>29.4</v>
      </c>
      <c r="O16" s="64">
        <v>0</v>
      </c>
      <c r="P16" s="64">
        <v>2.52</v>
      </c>
      <c r="Q16" s="64">
        <v>9.68</v>
      </c>
      <c r="R16" s="198"/>
      <c r="S16" s="198"/>
      <c r="T16" s="198"/>
      <c r="U16" s="198"/>
    </row>
    <row r="17" spans="1:21" s="12" customFormat="1" x14ac:dyDescent="0.25">
      <c r="A17" s="214" t="s">
        <v>2944</v>
      </c>
      <c r="B17" s="64">
        <v>108.43</v>
      </c>
      <c r="C17" s="64">
        <v>6.4</v>
      </c>
      <c r="D17" s="64">
        <v>81.239999999999995</v>
      </c>
      <c r="E17" s="64">
        <v>5.36</v>
      </c>
      <c r="F17" s="64">
        <v>2.62</v>
      </c>
      <c r="G17" s="64">
        <v>66.98</v>
      </c>
      <c r="H17" s="64">
        <v>39.119999999999997</v>
      </c>
      <c r="I17" s="64">
        <v>8.99</v>
      </c>
      <c r="J17" s="64">
        <v>0.55000000000000004</v>
      </c>
      <c r="K17" s="64">
        <v>180.98</v>
      </c>
      <c r="L17" s="64">
        <v>5.56</v>
      </c>
      <c r="M17" s="64">
        <v>87.25</v>
      </c>
      <c r="N17" s="64">
        <v>29.3</v>
      </c>
      <c r="O17" s="64">
        <v>0</v>
      </c>
      <c r="P17" s="64">
        <v>2.5</v>
      </c>
      <c r="Q17" s="64">
        <v>9.68</v>
      </c>
      <c r="R17" s="198"/>
      <c r="S17" s="198"/>
      <c r="T17" s="198"/>
      <c r="U17" s="198"/>
    </row>
    <row r="18" spans="1:21" s="12" customFormat="1" x14ac:dyDescent="0.25">
      <c r="A18" s="214" t="s">
        <v>2945</v>
      </c>
      <c r="B18" s="64">
        <v>104.02</v>
      </c>
      <c r="C18" s="64">
        <v>0.37</v>
      </c>
      <c r="D18" s="64">
        <v>78.89</v>
      </c>
      <c r="E18" s="64">
        <v>5.12</v>
      </c>
      <c r="F18" s="64">
        <v>2.42</v>
      </c>
      <c r="G18" s="64">
        <v>66.98</v>
      </c>
      <c r="H18" s="64">
        <v>39.119999999999997</v>
      </c>
      <c r="I18" s="64">
        <v>8.94</v>
      </c>
      <c r="J18" s="64">
        <v>0.09</v>
      </c>
      <c r="K18" s="64">
        <v>196.11</v>
      </c>
      <c r="L18" s="64">
        <v>5.23</v>
      </c>
      <c r="M18" s="64">
        <v>91.97</v>
      </c>
      <c r="N18" s="64">
        <v>29.5</v>
      </c>
      <c r="O18" s="64">
        <v>0</v>
      </c>
      <c r="P18" s="64">
        <v>2.4900000000000002</v>
      </c>
      <c r="Q18" s="64">
        <v>9.69</v>
      </c>
      <c r="R18" s="198"/>
      <c r="S18" s="198"/>
      <c r="T18" s="198"/>
      <c r="U18" s="198"/>
    </row>
    <row r="19" spans="1:21" s="12" customFormat="1" x14ac:dyDescent="0.25">
      <c r="A19" s="214" t="s">
        <v>2946</v>
      </c>
      <c r="B19" s="64">
        <v>99.86</v>
      </c>
      <c r="C19" s="64">
        <v>0.88</v>
      </c>
      <c r="D19" s="64">
        <v>76.680000000000007</v>
      </c>
      <c r="E19" s="64">
        <v>4.75</v>
      </c>
      <c r="F19" s="64">
        <v>2.5299999999999998</v>
      </c>
      <c r="G19" s="64">
        <v>66.98</v>
      </c>
      <c r="H19" s="64">
        <v>39.119999999999997</v>
      </c>
      <c r="I19" s="64">
        <v>8.8699999999999992</v>
      </c>
      <c r="J19" s="64">
        <v>0.35</v>
      </c>
      <c r="K19" s="64">
        <v>287.83999999999997</v>
      </c>
      <c r="L19" s="64">
        <v>4.9400000000000004</v>
      </c>
      <c r="M19" s="64">
        <v>95.37</v>
      </c>
      <c r="N19" s="64">
        <v>29.4</v>
      </c>
      <c r="O19" s="64">
        <v>0</v>
      </c>
      <c r="P19" s="64">
        <v>2.4900000000000002</v>
      </c>
      <c r="Q19" s="64">
        <v>9.68</v>
      </c>
      <c r="R19" s="198"/>
      <c r="S19" s="198"/>
      <c r="T19" s="198"/>
      <c r="U19" s="198"/>
    </row>
    <row r="20" spans="1:21" s="12" customFormat="1" x14ac:dyDescent="0.25">
      <c r="A20" s="214" t="s">
        <v>2947</v>
      </c>
      <c r="B20" s="64">
        <v>96.07</v>
      </c>
      <c r="C20" s="64">
        <v>0.88</v>
      </c>
      <c r="D20" s="64">
        <v>74.53</v>
      </c>
      <c r="E20" s="64">
        <v>5.21</v>
      </c>
      <c r="F20" s="64">
        <v>2.1800000000000002</v>
      </c>
      <c r="G20" s="64">
        <v>87.47</v>
      </c>
      <c r="H20" s="64">
        <v>42.61</v>
      </c>
      <c r="I20" s="64">
        <v>8.81</v>
      </c>
      <c r="J20" s="64">
        <v>0.35</v>
      </c>
      <c r="K20" s="64">
        <v>287.58</v>
      </c>
      <c r="L20" s="64">
        <v>4.9000000000000004</v>
      </c>
      <c r="M20" s="64">
        <v>97.57</v>
      </c>
      <c r="N20" s="64">
        <v>29.4</v>
      </c>
      <c r="O20" s="64">
        <v>0</v>
      </c>
      <c r="P20" s="64">
        <v>2.48</v>
      </c>
      <c r="Q20" s="64">
        <v>9.67</v>
      </c>
      <c r="R20" s="198"/>
      <c r="S20" s="198"/>
      <c r="T20" s="198"/>
      <c r="U20" s="198"/>
    </row>
    <row r="21" spans="1:21" s="12" customFormat="1" x14ac:dyDescent="0.25">
      <c r="A21" s="214" t="s">
        <v>2948</v>
      </c>
      <c r="B21" s="64">
        <v>92.74</v>
      </c>
      <c r="C21" s="64">
        <v>0.88</v>
      </c>
      <c r="D21" s="64">
        <v>72.48</v>
      </c>
      <c r="E21" s="64">
        <v>5.03</v>
      </c>
      <c r="F21" s="64">
        <v>2.1800000000000002</v>
      </c>
      <c r="G21" s="64">
        <v>104.6</v>
      </c>
      <c r="H21" s="64">
        <v>45.26</v>
      </c>
      <c r="I21" s="64">
        <v>8.74</v>
      </c>
      <c r="J21" s="64">
        <v>0.56999999999999995</v>
      </c>
      <c r="K21" s="64">
        <v>254.56</v>
      </c>
      <c r="L21" s="64">
        <v>4.7699999999999996</v>
      </c>
      <c r="M21" s="64">
        <v>97.75</v>
      </c>
      <c r="N21" s="64">
        <v>29.3</v>
      </c>
      <c r="O21" s="64">
        <v>0</v>
      </c>
      <c r="P21" s="64">
        <v>2.4900000000000002</v>
      </c>
      <c r="Q21" s="64">
        <v>9.68</v>
      </c>
      <c r="R21" s="198"/>
      <c r="S21" s="198"/>
      <c r="T21" s="198"/>
      <c r="U21" s="198"/>
    </row>
    <row r="22" spans="1:21" s="12" customFormat="1" x14ac:dyDescent="0.25">
      <c r="A22" s="214" t="s">
        <v>2949</v>
      </c>
      <c r="B22" s="64">
        <v>89.71</v>
      </c>
      <c r="C22" s="64">
        <v>0.88</v>
      </c>
      <c r="D22" s="64">
        <v>70.760000000000005</v>
      </c>
      <c r="E22" s="64">
        <v>5.14</v>
      </c>
      <c r="F22" s="64">
        <v>2.5099999999999998</v>
      </c>
      <c r="G22" s="64">
        <v>104.6</v>
      </c>
      <c r="H22" s="64">
        <v>45.26</v>
      </c>
      <c r="I22" s="64">
        <v>8.69</v>
      </c>
      <c r="J22" s="64">
        <v>0.51</v>
      </c>
      <c r="K22" s="64">
        <v>332.88</v>
      </c>
      <c r="L22" s="64">
        <v>4.5199999999999996</v>
      </c>
      <c r="M22" s="64">
        <v>97.79</v>
      </c>
      <c r="N22" s="64">
        <v>29.6</v>
      </c>
      <c r="O22" s="64">
        <v>0</v>
      </c>
      <c r="P22" s="64">
        <v>2.4500000000000002</v>
      </c>
      <c r="Q22" s="64">
        <v>9.68</v>
      </c>
      <c r="R22" s="198"/>
      <c r="S22" s="198"/>
      <c r="T22" s="198"/>
      <c r="U22" s="198"/>
    </row>
    <row r="23" spans="1:21" s="12" customFormat="1" x14ac:dyDescent="0.25">
      <c r="A23" s="214" t="s">
        <v>2950</v>
      </c>
      <c r="B23" s="64">
        <v>86.67</v>
      </c>
      <c r="C23" s="64">
        <v>0.88</v>
      </c>
      <c r="D23" s="64">
        <v>68.819999999999993</v>
      </c>
      <c r="E23" s="64">
        <v>5.36</v>
      </c>
      <c r="F23" s="64">
        <v>2.46</v>
      </c>
      <c r="G23" s="64">
        <v>104.6</v>
      </c>
      <c r="H23" s="64">
        <v>45.26</v>
      </c>
      <c r="I23" s="64">
        <v>8.6300000000000008</v>
      </c>
      <c r="J23" s="64">
        <v>0.42</v>
      </c>
      <c r="K23" s="64">
        <v>245.66</v>
      </c>
      <c r="L23" s="64">
        <v>4.33</v>
      </c>
      <c r="M23" s="64">
        <v>97.84</v>
      </c>
      <c r="N23" s="64">
        <v>29.2</v>
      </c>
      <c r="O23" s="64">
        <v>0</v>
      </c>
      <c r="P23" s="64">
        <v>2.42</v>
      </c>
      <c r="Q23" s="64">
        <v>9.68</v>
      </c>
      <c r="R23" s="198"/>
      <c r="S23" s="198"/>
      <c r="T23" s="198"/>
      <c r="U23" s="198"/>
    </row>
    <row r="24" spans="1:21" s="12" customFormat="1" x14ac:dyDescent="0.25">
      <c r="A24" s="214" t="s">
        <v>2951</v>
      </c>
      <c r="B24" s="64">
        <v>83.61</v>
      </c>
      <c r="C24" s="64">
        <v>0.88</v>
      </c>
      <c r="D24" s="64">
        <v>66.89</v>
      </c>
      <c r="E24" s="64">
        <v>5.23</v>
      </c>
      <c r="F24" s="64">
        <v>2.4300000000000002</v>
      </c>
      <c r="G24" s="64">
        <v>79.290000000000006</v>
      </c>
      <c r="H24" s="64">
        <v>38.6</v>
      </c>
      <c r="I24" s="64">
        <v>8.58</v>
      </c>
      <c r="J24" s="64">
        <v>0.4</v>
      </c>
      <c r="K24" s="64">
        <v>328.9</v>
      </c>
      <c r="L24" s="64">
        <v>4.2699999999999996</v>
      </c>
      <c r="M24" s="64">
        <v>97.6</v>
      </c>
      <c r="N24" s="64">
        <v>29.4</v>
      </c>
      <c r="O24" s="64">
        <v>0</v>
      </c>
      <c r="P24" s="64">
        <v>2.38</v>
      </c>
      <c r="Q24" s="64">
        <v>9.67</v>
      </c>
      <c r="R24" s="198"/>
      <c r="S24" s="198"/>
      <c r="T24" s="198"/>
      <c r="U24" s="198"/>
    </row>
    <row r="25" spans="1:21" s="12" customFormat="1" x14ac:dyDescent="0.25">
      <c r="A25" s="214" t="s">
        <v>2952</v>
      </c>
      <c r="B25" s="64">
        <v>81.47</v>
      </c>
      <c r="C25" s="64">
        <v>3.64</v>
      </c>
      <c r="D25" s="64">
        <v>65.55</v>
      </c>
      <c r="E25" s="64">
        <v>5.37</v>
      </c>
      <c r="F25" s="64">
        <v>2.57</v>
      </c>
      <c r="G25" s="64">
        <v>57.15</v>
      </c>
      <c r="H25" s="64">
        <v>35.96</v>
      </c>
      <c r="I25" s="64">
        <v>8.52</v>
      </c>
      <c r="J25" s="64">
        <v>0.5</v>
      </c>
      <c r="K25" s="64">
        <v>5.54</v>
      </c>
      <c r="L25" s="64">
        <v>3.94</v>
      </c>
      <c r="M25" s="64">
        <v>97.58</v>
      </c>
      <c r="N25" s="64">
        <v>29.5</v>
      </c>
      <c r="O25" s="64">
        <v>0</v>
      </c>
      <c r="P25" s="64">
        <v>2.34</v>
      </c>
      <c r="Q25" s="64">
        <v>9.66</v>
      </c>
      <c r="R25" s="198"/>
      <c r="S25" s="198"/>
      <c r="T25" s="198"/>
      <c r="U25" s="198"/>
    </row>
    <row r="26" spans="1:21" s="12" customFormat="1" x14ac:dyDescent="0.25">
      <c r="A26" s="214" t="s">
        <v>2953</v>
      </c>
      <c r="B26" s="64">
        <v>79.349999999999994</v>
      </c>
      <c r="C26" s="64">
        <v>4.28</v>
      </c>
      <c r="D26" s="64">
        <v>64.19</v>
      </c>
      <c r="E26" s="64">
        <v>5.0999999999999996</v>
      </c>
      <c r="F26" s="64">
        <v>2.4500000000000002</v>
      </c>
      <c r="G26" s="64">
        <v>57.15</v>
      </c>
      <c r="H26" s="64">
        <v>35.96</v>
      </c>
      <c r="I26" s="64">
        <v>8.48</v>
      </c>
      <c r="J26" s="64">
        <v>0.48</v>
      </c>
      <c r="K26" s="64">
        <v>334.05</v>
      </c>
      <c r="L26" s="64">
        <v>3.8</v>
      </c>
      <c r="M26" s="64">
        <v>97.61</v>
      </c>
      <c r="N26" s="64">
        <v>29.4</v>
      </c>
      <c r="O26" s="64">
        <v>0</v>
      </c>
      <c r="P26" s="64">
        <v>2.25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4" t="s">
        <v>2954</v>
      </c>
      <c r="B27" s="64">
        <v>76.52</v>
      </c>
      <c r="C27" s="64">
        <v>5.37</v>
      </c>
      <c r="D27" s="64">
        <v>62.5</v>
      </c>
      <c r="E27" s="64">
        <v>5.45</v>
      </c>
      <c r="F27" s="64">
        <v>2.4900000000000002</v>
      </c>
      <c r="G27" s="64">
        <v>57.15</v>
      </c>
      <c r="H27" s="64">
        <v>35.96</v>
      </c>
      <c r="I27" s="64">
        <v>8.4600000000000009</v>
      </c>
      <c r="J27" s="64">
        <v>0.56000000000000005</v>
      </c>
      <c r="K27" s="64">
        <v>298.45</v>
      </c>
      <c r="L27" s="64">
        <v>3.96</v>
      </c>
      <c r="M27" s="64">
        <v>97.62</v>
      </c>
      <c r="N27" s="64">
        <v>29.1</v>
      </c>
      <c r="O27" s="64">
        <v>0</v>
      </c>
      <c r="P27" s="64">
        <v>2.16</v>
      </c>
      <c r="Q27" s="64">
        <v>9.66</v>
      </c>
      <c r="R27" s="198"/>
      <c r="S27" s="198"/>
      <c r="T27" s="198"/>
      <c r="U27" s="198"/>
    </row>
    <row r="28" spans="1:21" s="12" customFormat="1" x14ac:dyDescent="0.25">
      <c r="A28" s="214" t="s">
        <v>2955</v>
      </c>
      <c r="B28" s="64">
        <v>73.55</v>
      </c>
      <c r="C28" s="64">
        <v>6.86</v>
      </c>
      <c r="D28" s="64">
        <v>60.89</v>
      </c>
      <c r="E28" s="64">
        <v>4.6900000000000004</v>
      </c>
      <c r="F28" s="64">
        <v>2.36</v>
      </c>
      <c r="G28" s="64">
        <v>52.91</v>
      </c>
      <c r="H28" s="64">
        <v>34.07</v>
      </c>
      <c r="I28" s="64">
        <v>8.39</v>
      </c>
      <c r="J28" s="64">
        <v>0.43</v>
      </c>
      <c r="K28" s="64">
        <v>256.44</v>
      </c>
      <c r="L28" s="64">
        <v>4.26</v>
      </c>
      <c r="M28" s="64">
        <v>94.85</v>
      </c>
      <c r="N28" s="64">
        <v>29</v>
      </c>
      <c r="O28" s="64">
        <v>0</v>
      </c>
      <c r="P28" s="64">
        <v>2.09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4" t="s">
        <v>2956</v>
      </c>
      <c r="B29" s="64">
        <v>70.540000000000006</v>
      </c>
      <c r="C29" s="64">
        <v>8.19</v>
      </c>
      <c r="D29" s="64">
        <v>59.17</v>
      </c>
      <c r="E29" s="64">
        <v>4.6900000000000004</v>
      </c>
      <c r="F29" s="64">
        <v>2.5499999999999998</v>
      </c>
      <c r="G29" s="64">
        <v>49.2</v>
      </c>
      <c r="H29" s="64">
        <v>33.33</v>
      </c>
      <c r="I29" s="64">
        <v>8.24</v>
      </c>
      <c r="J29" s="64">
        <v>0.35</v>
      </c>
      <c r="K29" s="64">
        <v>291.02999999999997</v>
      </c>
      <c r="L29" s="64">
        <v>4.68</v>
      </c>
      <c r="M29" s="64">
        <v>88.18</v>
      </c>
      <c r="N29" s="64">
        <v>29.1</v>
      </c>
      <c r="O29" s="64">
        <v>0</v>
      </c>
      <c r="P29" s="64">
        <v>2.02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4" t="s">
        <v>2957</v>
      </c>
      <c r="B30" s="64">
        <v>67.47</v>
      </c>
      <c r="C30" s="64">
        <v>9.81</v>
      </c>
      <c r="D30" s="64">
        <v>57.55</v>
      </c>
      <c r="E30" s="64">
        <v>4.8600000000000003</v>
      </c>
      <c r="F30" s="64">
        <v>2.68</v>
      </c>
      <c r="G30" s="64">
        <v>49.2</v>
      </c>
      <c r="H30" s="64">
        <v>33.33</v>
      </c>
      <c r="I30" s="64">
        <v>8.1199999999999992</v>
      </c>
      <c r="J30" s="64">
        <v>0.47</v>
      </c>
      <c r="K30" s="64">
        <v>297.39999999999998</v>
      </c>
      <c r="L30" s="64">
        <v>4.38</v>
      </c>
      <c r="M30" s="64">
        <v>90.6</v>
      </c>
      <c r="N30" s="64">
        <v>29.5</v>
      </c>
      <c r="O30" s="64">
        <v>0</v>
      </c>
      <c r="P30" s="64">
        <v>1.93</v>
      </c>
      <c r="Q30" s="64">
        <v>9.64</v>
      </c>
      <c r="R30" s="198"/>
      <c r="S30" s="198"/>
      <c r="T30" s="198"/>
      <c r="U30" s="198"/>
    </row>
    <row r="31" spans="1:21" s="12" customFormat="1" x14ac:dyDescent="0.25">
      <c r="A31" s="214" t="s">
        <v>2958</v>
      </c>
      <c r="B31" s="64">
        <v>66.12</v>
      </c>
      <c r="C31" s="64">
        <v>10.61</v>
      </c>
      <c r="D31" s="64">
        <v>56.89</v>
      </c>
      <c r="E31" s="64">
        <v>4.67</v>
      </c>
      <c r="F31" s="64">
        <v>2.56</v>
      </c>
      <c r="G31" s="64">
        <v>49.2</v>
      </c>
      <c r="H31" s="64">
        <v>33.33</v>
      </c>
      <c r="I31" s="64">
        <v>7.96</v>
      </c>
      <c r="J31" s="64">
        <v>0.37</v>
      </c>
      <c r="K31" s="64">
        <v>166.16</v>
      </c>
      <c r="L31" s="64">
        <v>4.05</v>
      </c>
      <c r="M31" s="64">
        <v>93.18</v>
      </c>
      <c r="N31" s="64">
        <v>29.4</v>
      </c>
      <c r="O31" s="64">
        <v>0</v>
      </c>
      <c r="P31" s="64">
        <v>1.86</v>
      </c>
      <c r="Q31" s="64">
        <v>9.65</v>
      </c>
      <c r="R31" s="198"/>
      <c r="S31" s="198"/>
      <c r="T31" s="198"/>
      <c r="U31" s="198"/>
    </row>
    <row r="32" spans="1:21" s="12" customFormat="1" x14ac:dyDescent="0.25">
      <c r="A32" s="214" t="s">
        <v>2959</v>
      </c>
      <c r="B32" s="64">
        <v>65.849999999999994</v>
      </c>
      <c r="C32" s="64">
        <v>11.02</v>
      </c>
      <c r="D32" s="64">
        <v>56.89</v>
      </c>
      <c r="E32" s="64">
        <v>4.7</v>
      </c>
      <c r="F32" s="64">
        <v>2.4300000000000002</v>
      </c>
      <c r="G32" s="64">
        <v>47.01</v>
      </c>
      <c r="H32" s="64">
        <v>28.71</v>
      </c>
      <c r="I32" s="64">
        <v>7.75</v>
      </c>
      <c r="J32" s="64">
        <v>0.45</v>
      </c>
      <c r="K32" s="64">
        <v>262.94</v>
      </c>
      <c r="L32" s="64">
        <v>4.2300000000000004</v>
      </c>
      <c r="M32" s="64">
        <v>96.99</v>
      </c>
      <c r="N32" s="64">
        <v>29.2</v>
      </c>
      <c r="O32" s="64">
        <v>0</v>
      </c>
      <c r="P32" s="64">
        <v>1.79</v>
      </c>
      <c r="Q32" s="64">
        <v>9.65</v>
      </c>
      <c r="R32" s="198"/>
      <c r="S32" s="198"/>
      <c r="T32" s="198"/>
      <c r="U32" s="198"/>
    </row>
    <row r="33" spans="1:21" s="12" customFormat="1" x14ac:dyDescent="0.25">
      <c r="A33" s="214" t="s">
        <v>2960</v>
      </c>
      <c r="B33" s="64">
        <v>67.2</v>
      </c>
      <c r="C33" s="64">
        <v>10.63</v>
      </c>
      <c r="D33" s="64">
        <v>57.77</v>
      </c>
      <c r="E33" s="64">
        <v>4.7300000000000004</v>
      </c>
      <c r="F33" s="64">
        <v>2.44</v>
      </c>
      <c r="G33" s="64">
        <v>45.18</v>
      </c>
      <c r="H33" s="64">
        <v>26.88</v>
      </c>
      <c r="I33" s="64">
        <v>7.56</v>
      </c>
      <c r="J33" s="64">
        <v>0.52</v>
      </c>
      <c r="K33" s="64">
        <v>243.18</v>
      </c>
      <c r="L33" s="64">
        <v>4.03</v>
      </c>
      <c r="M33" s="64">
        <v>97.68</v>
      </c>
      <c r="N33" s="64">
        <v>29.4</v>
      </c>
      <c r="O33" s="64">
        <v>0</v>
      </c>
      <c r="P33" s="64">
        <v>1.75</v>
      </c>
      <c r="Q33" s="64">
        <v>9.65</v>
      </c>
      <c r="R33" s="198"/>
      <c r="S33" s="198"/>
      <c r="T33" s="198"/>
      <c r="U33" s="198"/>
    </row>
    <row r="34" spans="1:21" s="12" customFormat="1" x14ac:dyDescent="0.25">
      <c r="A34" s="214" t="s">
        <v>2961</v>
      </c>
      <c r="B34" s="64">
        <v>67.930000000000007</v>
      </c>
      <c r="C34" s="64">
        <v>10.15</v>
      </c>
      <c r="D34" s="64">
        <v>58.1</v>
      </c>
      <c r="E34" s="64">
        <v>4.7699999999999996</v>
      </c>
      <c r="F34" s="64">
        <v>2.46</v>
      </c>
      <c r="G34" s="64">
        <v>45.18</v>
      </c>
      <c r="H34" s="64">
        <v>26.88</v>
      </c>
      <c r="I34" s="64">
        <v>8.09</v>
      </c>
      <c r="J34" s="64">
        <v>0.53</v>
      </c>
      <c r="K34" s="64">
        <v>219.67</v>
      </c>
      <c r="L34" s="64">
        <v>3.67</v>
      </c>
      <c r="M34" s="64">
        <v>97.78</v>
      </c>
      <c r="N34" s="64">
        <v>30.2</v>
      </c>
      <c r="O34" s="64">
        <v>0</v>
      </c>
      <c r="P34" s="64">
        <v>1.72</v>
      </c>
      <c r="Q34" s="64">
        <v>9.65</v>
      </c>
      <c r="R34" s="198"/>
      <c r="S34" s="198"/>
      <c r="T34" s="198"/>
      <c r="U34" s="198"/>
    </row>
    <row r="35" spans="1:21" s="12" customFormat="1" x14ac:dyDescent="0.25">
      <c r="A35" s="214" t="s">
        <v>2962</v>
      </c>
      <c r="B35" s="64">
        <v>67.98</v>
      </c>
      <c r="C35" s="64">
        <v>9.23</v>
      </c>
      <c r="D35" s="64">
        <v>57.66</v>
      </c>
      <c r="E35" s="64">
        <v>4.82</v>
      </c>
      <c r="F35" s="64">
        <v>2.42</v>
      </c>
      <c r="G35" s="64">
        <v>45.18</v>
      </c>
      <c r="H35" s="64">
        <v>26.88</v>
      </c>
      <c r="I35" s="64">
        <v>7.76</v>
      </c>
      <c r="J35" s="64">
        <v>0.49</v>
      </c>
      <c r="K35" s="64">
        <v>296.12</v>
      </c>
      <c r="L35" s="64">
        <v>3.49</v>
      </c>
      <c r="M35" s="64">
        <v>97.82</v>
      </c>
      <c r="N35" s="64">
        <v>33.200000000000003</v>
      </c>
      <c r="O35" s="64">
        <v>0</v>
      </c>
      <c r="P35" s="64">
        <v>1.71</v>
      </c>
      <c r="Q35" s="64">
        <v>9.65</v>
      </c>
      <c r="R35" s="198"/>
      <c r="S35" s="198"/>
      <c r="T35" s="198"/>
      <c r="U35" s="198"/>
    </row>
    <row r="36" spans="1:21" s="12" customFormat="1" x14ac:dyDescent="0.25">
      <c r="A36" s="214" t="s">
        <v>2963</v>
      </c>
      <c r="B36" s="64">
        <v>70.540000000000006</v>
      </c>
      <c r="C36" s="64">
        <v>8.2100000000000009</v>
      </c>
      <c r="D36" s="64">
        <v>59.18</v>
      </c>
      <c r="E36" s="64">
        <v>4.7300000000000004</v>
      </c>
      <c r="F36" s="64">
        <v>2.38</v>
      </c>
      <c r="G36" s="64">
        <v>62.01</v>
      </c>
      <c r="H36" s="64">
        <v>31.63</v>
      </c>
      <c r="I36" s="64">
        <v>7.62</v>
      </c>
      <c r="J36" s="64">
        <v>0.64</v>
      </c>
      <c r="K36" s="64">
        <v>190.56</v>
      </c>
      <c r="L36" s="64">
        <v>4.2699999999999996</v>
      </c>
      <c r="M36" s="64">
        <v>97.8</v>
      </c>
      <c r="N36" s="64">
        <v>39.200000000000003</v>
      </c>
      <c r="O36" s="64">
        <v>0</v>
      </c>
      <c r="P36" s="64">
        <v>1.73</v>
      </c>
      <c r="Q36" s="64">
        <v>9.66</v>
      </c>
      <c r="R36" s="198"/>
      <c r="S36" s="198"/>
      <c r="T36" s="198"/>
      <c r="U36" s="198"/>
    </row>
    <row r="37" spans="1:21" s="12" customFormat="1" x14ac:dyDescent="0.25">
      <c r="A37" s="214" t="s">
        <v>2964</v>
      </c>
      <c r="B37" s="64">
        <v>71.03</v>
      </c>
      <c r="C37" s="64">
        <v>8.4</v>
      </c>
      <c r="D37" s="64">
        <v>59.68</v>
      </c>
      <c r="E37" s="64">
        <v>5.1100000000000003</v>
      </c>
      <c r="F37" s="64">
        <v>2.62</v>
      </c>
      <c r="G37" s="64">
        <v>76.09</v>
      </c>
      <c r="H37" s="64">
        <v>35.24</v>
      </c>
      <c r="I37" s="64">
        <v>7.65</v>
      </c>
      <c r="J37" s="64">
        <v>0.74</v>
      </c>
      <c r="K37" s="64">
        <v>172.62</v>
      </c>
      <c r="L37" s="64">
        <v>5.04</v>
      </c>
      <c r="M37" s="64">
        <v>97.8</v>
      </c>
      <c r="N37" s="64">
        <v>49.3</v>
      </c>
      <c r="O37" s="64">
        <v>0</v>
      </c>
      <c r="P37" s="64">
        <v>1.74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4" t="s">
        <v>2965</v>
      </c>
      <c r="B38" s="64">
        <v>68.459999999999994</v>
      </c>
      <c r="C38" s="64">
        <v>9.7100000000000009</v>
      </c>
      <c r="D38" s="64">
        <v>58.3</v>
      </c>
      <c r="E38" s="64">
        <v>4.88</v>
      </c>
      <c r="F38" s="64">
        <v>2.65</v>
      </c>
      <c r="G38" s="64">
        <v>76.09</v>
      </c>
      <c r="H38" s="64">
        <v>35.24</v>
      </c>
      <c r="I38" s="64">
        <v>7.66</v>
      </c>
      <c r="J38" s="64">
        <v>0.62</v>
      </c>
      <c r="K38" s="64">
        <v>153.46</v>
      </c>
      <c r="L38" s="64">
        <v>5.44</v>
      </c>
      <c r="M38" s="64">
        <v>95.74</v>
      </c>
      <c r="N38" s="64">
        <v>60.5</v>
      </c>
      <c r="O38" s="64">
        <v>0</v>
      </c>
      <c r="P38" s="64">
        <v>1.78</v>
      </c>
      <c r="Q38" s="64">
        <v>9.65</v>
      </c>
      <c r="R38" s="198"/>
      <c r="S38" s="198"/>
      <c r="T38" s="198"/>
      <c r="U38" s="198"/>
    </row>
    <row r="39" spans="1:21" s="12" customFormat="1" x14ac:dyDescent="0.25">
      <c r="A39" s="214" t="s">
        <v>2966</v>
      </c>
      <c r="B39" s="64">
        <v>65.44</v>
      </c>
      <c r="C39" s="64">
        <v>11.48</v>
      </c>
      <c r="D39" s="64">
        <v>56.8</v>
      </c>
      <c r="E39" s="64">
        <v>4.97</v>
      </c>
      <c r="F39" s="64">
        <v>2.52</v>
      </c>
      <c r="G39" s="64">
        <v>76.09</v>
      </c>
      <c r="H39" s="64">
        <v>35.24</v>
      </c>
      <c r="I39" s="64">
        <v>7.52</v>
      </c>
      <c r="J39" s="64">
        <v>0.92</v>
      </c>
      <c r="K39" s="64">
        <v>111.5</v>
      </c>
      <c r="L39" s="64">
        <v>6.18</v>
      </c>
      <c r="M39" s="64">
        <v>86.77</v>
      </c>
      <c r="N39" s="64">
        <v>105.1</v>
      </c>
      <c r="O39" s="64">
        <v>0</v>
      </c>
      <c r="P39" s="64">
        <v>1.73</v>
      </c>
      <c r="Q39" s="64">
        <v>9.65</v>
      </c>
      <c r="R39" s="198"/>
      <c r="S39" s="198"/>
      <c r="T39" s="198"/>
      <c r="U39" s="198"/>
    </row>
    <row r="40" spans="1:21" s="12" customFormat="1" x14ac:dyDescent="0.25">
      <c r="A40" s="214" t="s">
        <v>2967</v>
      </c>
      <c r="B40" s="64">
        <v>62.66</v>
      </c>
      <c r="C40" s="64">
        <v>12.76</v>
      </c>
      <c r="D40" s="64">
        <v>55.24</v>
      </c>
      <c r="E40" s="64">
        <v>4.04</v>
      </c>
      <c r="F40" s="64">
        <v>2.54</v>
      </c>
      <c r="G40" s="64">
        <v>51.28</v>
      </c>
      <c r="H40" s="64">
        <v>28.03</v>
      </c>
      <c r="I40" s="64">
        <v>7.31</v>
      </c>
      <c r="J40" s="64">
        <v>1.29</v>
      </c>
      <c r="K40" s="64">
        <v>114.88</v>
      </c>
      <c r="L40" s="64">
        <v>7.66</v>
      </c>
      <c r="M40" s="64">
        <v>76.17</v>
      </c>
      <c r="N40" s="64">
        <v>181.7</v>
      </c>
      <c r="O40" s="64">
        <v>0</v>
      </c>
      <c r="P40" s="64">
        <v>1.68</v>
      </c>
      <c r="Q40" s="64">
        <v>9.65</v>
      </c>
      <c r="R40" s="198"/>
      <c r="S40" s="198"/>
      <c r="T40" s="198"/>
      <c r="U40" s="198"/>
    </row>
    <row r="41" spans="1:21" s="12" customFormat="1" x14ac:dyDescent="0.25">
      <c r="A41" s="214" t="s">
        <v>2968</v>
      </c>
      <c r="B41" s="64">
        <v>59.55</v>
      </c>
      <c r="C41" s="64">
        <v>14.07</v>
      </c>
      <c r="D41" s="64">
        <v>53.43</v>
      </c>
      <c r="E41" s="64">
        <v>4.99</v>
      </c>
      <c r="F41" s="64">
        <v>2.4500000000000002</v>
      </c>
      <c r="G41" s="64">
        <v>29.58</v>
      </c>
      <c r="H41" s="64">
        <v>25.18</v>
      </c>
      <c r="I41" s="64">
        <v>7.11</v>
      </c>
      <c r="J41" s="64">
        <v>1.41</v>
      </c>
      <c r="K41" s="64">
        <v>120.06</v>
      </c>
      <c r="L41" s="64">
        <v>8.8000000000000007</v>
      </c>
      <c r="M41" s="64">
        <v>69.62</v>
      </c>
      <c r="N41" s="64">
        <v>216.6</v>
      </c>
      <c r="O41" s="64">
        <v>0</v>
      </c>
      <c r="P41" s="64">
        <v>1.63</v>
      </c>
      <c r="Q41" s="64">
        <v>9.64</v>
      </c>
      <c r="R41" s="198"/>
      <c r="S41" s="198"/>
      <c r="T41" s="198"/>
      <c r="U41" s="198"/>
    </row>
    <row r="42" spans="1:21" s="12" customFormat="1" x14ac:dyDescent="0.25">
      <c r="A42" s="214" t="s">
        <v>2969</v>
      </c>
      <c r="B42" s="64">
        <v>57.09</v>
      </c>
      <c r="C42" s="64">
        <v>15.03</v>
      </c>
      <c r="D42" s="64">
        <v>51.96</v>
      </c>
      <c r="E42" s="64">
        <v>5.04</v>
      </c>
      <c r="F42" s="64">
        <v>2.71</v>
      </c>
      <c r="G42" s="64">
        <v>29.58</v>
      </c>
      <c r="H42" s="64">
        <v>25.18</v>
      </c>
      <c r="I42" s="64">
        <v>6.95</v>
      </c>
      <c r="J42" s="64">
        <v>1.57</v>
      </c>
      <c r="K42" s="64">
        <v>117.77</v>
      </c>
      <c r="L42" s="64">
        <v>9.27</v>
      </c>
      <c r="M42" s="64">
        <v>67.14</v>
      </c>
      <c r="N42" s="64">
        <v>249.1</v>
      </c>
      <c r="O42" s="64">
        <v>0</v>
      </c>
      <c r="P42" s="64">
        <v>1.58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2970</v>
      </c>
      <c r="B43" s="64">
        <v>54.78</v>
      </c>
      <c r="C43" s="64">
        <v>15.89</v>
      </c>
      <c r="D43" s="64">
        <v>50.55</v>
      </c>
      <c r="E43" s="64">
        <v>4.78</v>
      </c>
      <c r="F43" s="64">
        <v>2.64</v>
      </c>
      <c r="G43" s="64">
        <v>29.58</v>
      </c>
      <c r="H43" s="64">
        <v>25.18</v>
      </c>
      <c r="I43" s="64">
        <v>6.76</v>
      </c>
      <c r="J43" s="64">
        <v>1.35</v>
      </c>
      <c r="K43" s="64">
        <v>118.45</v>
      </c>
      <c r="L43" s="64">
        <v>10.210000000000001</v>
      </c>
      <c r="M43" s="64">
        <v>62.25</v>
      </c>
      <c r="N43" s="64">
        <v>277.7</v>
      </c>
      <c r="O43" s="64">
        <v>0</v>
      </c>
      <c r="P43" s="64">
        <v>1.49</v>
      </c>
      <c r="Q43" s="64">
        <v>9.6300000000000008</v>
      </c>
      <c r="R43" s="198"/>
      <c r="S43" s="198"/>
      <c r="T43" s="198"/>
      <c r="U43" s="198"/>
    </row>
    <row r="44" spans="1:21" s="12" customFormat="1" x14ac:dyDescent="0.25">
      <c r="A44" s="214" t="s">
        <v>2971</v>
      </c>
      <c r="B44" s="64">
        <v>52.18</v>
      </c>
      <c r="C44" s="64">
        <v>17.649999999999999</v>
      </c>
      <c r="D44" s="64">
        <v>49.39</v>
      </c>
      <c r="E44" s="64">
        <v>5.2</v>
      </c>
      <c r="F44" s="64">
        <v>2.41</v>
      </c>
      <c r="G44" s="64">
        <v>32.39</v>
      </c>
      <c r="H44" s="64">
        <v>20.05</v>
      </c>
      <c r="I44" s="64">
        <v>7.05</v>
      </c>
      <c r="J44" s="64">
        <v>1.17</v>
      </c>
      <c r="K44" s="64">
        <v>116.35</v>
      </c>
      <c r="L44" s="64">
        <v>11.15</v>
      </c>
      <c r="M44" s="64">
        <v>57.98</v>
      </c>
      <c r="N44" s="64">
        <v>300.3</v>
      </c>
      <c r="O44" s="64">
        <v>0</v>
      </c>
      <c r="P44" s="64">
        <v>1.42</v>
      </c>
      <c r="Q44" s="64">
        <v>9.6199999999999992</v>
      </c>
      <c r="R44" s="198"/>
      <c r="S44" s="198"/>
      <c r="T44" s="198"/>
      <c r="U44" s="198"/>
    </row>
    <row r="45" spans="1:21" s="12" customFormat="1" x14ac:dyDescent="0.25">
      <c r="A45" s="214" t="s">
        <v>2972</v>
      </c>
      <c r="B45" s="64">
        <v>49.52</v>
      </c>
      <c r="C45" s="64">
        <v>19.440000000000001</v>
      </c>
      <c r="D45" s="64">
        <v>48.19</v>
      </c>
      <c r="E45" s="64">
        <v>5.0199999999999996</v>
      </c>
      <c r="F45" s="64">
        <v>2.4300000000000002</v>
      </c>
      <c r="G45" s="64">
        <v>34.85</v>
      </c>
      <c r="H45" s="64">
        <v>18.02</v>
      </c>
      <c r="I45" s="64">
        <v>6.61</v>
      </c>
      <c r="J45" s="64">
        <v>1.35</v>
      </c>
      <c r="K45" s="64">
        <v>128.87</v>
      </c>
      <c r="L45" s="64">
        <v>11.84</v>
      </c>
      <c r="M45" s="64">
        <v>54.99</v>
      </c>
      <c r="N45" s="64">
        <v>319.10000000000002</v>
      </c>
      <c r="O45" s="64">
        <v>0</v>
      </c>
      <c r="P45" s="64">
        <v>1.37</v>
      </c>
      <c r="Q45" s="64">
        <v>9.6300000000000008</v>
      </c>
      <c r="R45" s="198"/>
      <c r="S45" s="198"/>
      <c r="T45" s="198"/>
      <c r="U45" s="198"/>
    </row>
    <row r="46" spans="1:21" s="12" customFormat="1" x14ac:dyDescent="0.25">
      <c r="A46" s="214" t="s">
        <v>2973</v>
      </c>
      <c r="B46" s="64">
        <v>45.99</v>
      </c>
      <c r="C46" s="64">
        <v>21.7</v>
      </c>
      <c r="D46" s="64">
        <v>46.55</v>
      </c>
      <c r="E46" s="64">
        <v>4.78</v>
      </c>
      <c r="F46" s="64">
        <v>2.3199999999999998</v>
      </c>
      <c r="G46" s="64">
        <v>34.85</v>
      </c>
      <c r="H46" s="64">
        <v>18.02</v>
      </c>
      <c r="I46" s="64">
        <v>6.28</v>
      </c>
      <c r="J46" s="64">
        <v>1.71</v>
      </c>
      <c r="K46" s="64">
        <v>122.36</v>
      </c>
      <c r="L46" s="64">
        <v>11.66</v>
      </c>
      <c r="M46" s="64">
        <v>54.97</v>
      </c>
      <c r="N46" s="64">
        <v>343.6</v>
      </c>
      <c r="O46" s="64">
        <v>0</v>
      </c>
      <c r="P46" s="64">
        <v>1.31</v>
      </c>
      <c r="Q46" s="64">
        <v>9.6199999999999992</v>
      </c>
      <c r="R46" s="198"/>
      <c r="S46" s="198"/>
      <c r="T46" s="198"/>
      <c r="U46" s="198"/>
    </row>
    <row r="47" spans="1:21" s="12" customFormat="1" x14ac:dyDescent="0.25">
      <c r="A47" s="214" t="s">
        <v>2974</v>
      </c>
      <c r="B47" s="64">
        <v>44.8</v>
      </c>
      <c r="C47" s="64">
        <v>22.69</v>
      </c>
      <c r="D47" s="64">
        <v>46.1</v>
      </c>
      <c r="E47" s="64">
        <v>4.78</v>
      </c>
      <c r="F47" s="64">
        <v>2.64</v>
      </c>
      <c r="G47" s="64">
        <v>34.85</v>
      </c>
      <c r="H47" s="64">
        <v>18.02</v>
      </c>
      <c r="I47" s="64">
        <v>6.13</v>
      </c>
      <c r="J47" s="64">
        <v>0.68</v>
      </c>
      <c r="K47" s="64">
        <v>114.71</v>
      </c>
      <c r="L47" s="64">
        <v>13.17</v>
      </c>
      <c r="M47" s="64">
        <v>49.02</v>
      </c>
      <c r="N47" s="64">
        <v>358.1</v>
      </c>
      <c r="O47" s="64">
        <v>0</v>
      </c>
      <c r="P47" s="64">
        <v>1.27</v>
      </c>
      <c r="Q47" s="64">
        <v>9.61</v>
      </c>
      <c r="R47" s="198"/>
      <c r="S47" s="198"/>
      <c r="T47" s="198"/>
      <c r="U47" s="198"/>
    </row>
    <row r="48" spans="1:21" s="12" customFormat="1" x14ac:dyDescent="0.25">
      <c r="A48" s="214" t="s">
        <v>2975</v>
      </c>
      <c r="B48" s="64">
        <v>44.54</v>
      </c>
      <c r="C48" s="64">
        <v>23.7</v>
      </c>
      <c r="D48" s="64">
        <v>46.43</v>
      </c>
      <c r="E48" s="64">
        <v>4.59</v>
      </c>
      <c r="F48" s="64">
        <v>2.4</v>
      </c>
      <c r="G48" s="64">
        <v>34.85</v>
      </c>
      <c r="H48" s="64">
        <v>15.23</v>
      </c>
      <c r="I48" s="64">
        <v>5.99</v>
      </c>
      <c r="J48" s="64">
        <v>0.67</v>
      </c>
      <c r="K48" s="64">
        <v>108.35</v>
      </c>
      <c r="L48" s="64">
        <v>14.25</v>
      </c>
      <c r="M48" s="64">
        <v>44.66</v>
      </c>
      <c r="N48" s="64">
        <v>376.8</v>
      </c>
      <c r="O48" s="64">
        <v>0</v>
      </c>
      <c r="P48" s="64">
        <v>1.24</v>
      </c>
      <c r="Q48" s="64">
        <v>9.61</v>
      </c>
      <c r="R48" s="198"/>
      <c r="S48" s="198"/>
      <c r="T48" s="198"/>
      <c r="U48" s="198"/>
    </row>
    <row r="49" spans="1:21" s="12" customFormat="1" x14ac:dyDescent="0.25">
      <c r="A49" s="214" t="s">
        <v>2976</v>
      </c>
      <c r="B49" s="64">
        <v>31.38</v>
      </c>
      <c r="C49" s="64">
        <v>43.01</v>
      </c>
      <c r="D49" s="64">
        <v>45.96</v>
      </c>
      <c r="E49" s="64">
        <v>8.18</v>
      </c>
      <c r="F49" s="64">
        <v>2.52</v>
      </c>
      <c r="G49" s="64">
        <v>34.85</v>
      </c>
      <c r="H49" s="64">
        <v>10.119999999999999</v>
      </c>
      <c r="I49" s="64">
        <v>5.83</v>
      </c>
      <c r="J49" s="64">
        <v>0.38</v>
      </c>
      <c r="K49" s="64">
        <v>104.59</v>
      </c>
      <c r="L49" s="64">
        <v>15.65</v>
      </c>
      <c r="M49" s="64">
        <v>39.880000000000003</v>
      </c>
      <c r="N49" s="64">
        <v>392</v>
      </c>
      <c r="O49" s="64">
        <v>0</v>
      </c>
      <c r="P49" s="64">
        <v>0.93</v>
      </c>
      <c r="Q49" s="64">
        <v>9.56</v>
      </c>
      <c r="R49" s="198"/>
      <c r="S49" s="198"/>
      <c r="T49" s="198"/>
      <c r="U49" s="198"/>
    </row>
    <row r="50" spans="1:21" s="12" customFormat="1" x14ac:dyDescent="0.25">
      <c r="A50" s="214" t="s">
        <v>2977</v>
      </c>
      <c r="B50" s="64">
        <v>7.33</v>
      </c>
      <c r="C50" s="64">
        <v>64.989999999999995</v>
      </c>
      <c r="D50" s="64">
        <v>38.159999999999997</v>
      </c>
      <c r="E50" s="64">
        <v>11.22</v>
      </c>
      <c r="F50" s="64">
        <v>4.8899999999999997</v>
      </c>
      <c r="G50" s="64">
        <v>34.85</v>
      </c>
      <c r="H50" s="64">
        <v>10.119999999999999</v>
      </c>
      <c r="I50" s="64">
        <v>5.66</v>
      </c>
      <c r="J50" s="64">
        <v>1.22</v>
      </c>
      <c r="K50" s="64">
        <v>118.61</v>
      </c>
      <c r="L50" s="64">
        <v>14.53</v>
      </c>
      <c r="M50" s="64">
        <v>43.88</v>
      </c>
      <c r="N50" s="64">
        <v>404.4</v>
      </c>
      <c r="O50" s="64">
        <v>0</v>
      </c>
      <c r="P50" s="64">
        <v>0.46</v>
      </c>
      <c r="Q50" s="64">
        <v>9.44</v>
      </c>
      <c r="R50" s="198"/>
      <c r="S50" s="198"/>
      <c r="T50" s="198"/>
      <c r="U50" s="198"/>
    </row>
    <row r="51" spans="1:21" s="12" customFormat="1" x14ac:dyDescent="0.25">
      <c r="A51" s="214" t="s">
        <v>2978</v>
      </c>
      <c r="B51" s="64">
        <v>3.46</v>
      </c>
      <c r="C51" s="64">
        <v>63.96</v>
      </c>
      <c r="D51" s="64">
        <v>34.520000000000003</v>
      </c>
      <c r="E51" s="64">
        <v>5.74</v>
      </c>
      <c r="F51" s="64">
        <v>3.68</v>
      </c>
      <c r="G51" s="64">
        <v>34.85</v>
      </c>
      <c r="H51" s="64">
        <v>10.119999999999999</v>
      </c>
      <c r="I51" s="64">
        <v>3.75</v>
      </c>
      <c r="J51" s="64">
        <v>1.34</v>
      </c>
      <c r="K51" s="64">
        <v>123.42</v>
      </c>
      <c r="L51" s="64">
        <v>14.54</v>
      </c>
      <c r="M51" s="64">
        <v>42.1</v>
      </c>
      <c r="N51" s="64">
        <v>412.9</v>
      </c>
      <c r="O51" s="64">
        <v>0</v>
      </c>
      <c r="P51" s="64">
        <v>0.43</v>
      </c>
      <c r="Q51" s="64">
        <v>9.36</v>
      </c>
      <c r="R51" s="198"/>
      <c r="S51" s="198"/>
      <c r="T51" s="198"/>
      <c r="U51" s="198"/>
    </row>
    <row r="52" spans="1:21" s="12" customFormat="1" x14ac:dyDescent="0.25">
      <c r="A52" s="214" t="s">
        <v>2979</v>
      </c>
      <c r="B52" s="64">
        <v>3.03</v>
      </c>
      <c r="C52" s="64">
        <v>62.19</v>
      </c>
      <c r="D52" s="64">
        <v>33.24</v>
      </c>
      <c r="E52" s="64">
        <v>5.23</v>
      </c>
      <c r="F52" s="64">
        <v>3.75</v>
      </c>
      <c r="G52" s="64">
        <v>34.85</v>
      </c>
      <c r="H52" s="64">
        <v>10.119999999999999</v>
      </c>
      <c r="I52" s="64">
        <v>2.9</v>
      </c>
      <c r="J52" s="64">
        <v>1.64</v>
      </c>
      <c r="K52" s="64">
        <v>127.64</v>
      </c>
      <c r="L52" s="64">
        <v>14.69</v>
      </c>
      <c r="M52" s="64">
        <v>42.27</v>
      </c>
      <c r="N52" s="64">
        <v>420.9</v>
      </c>
      <c r="O52" s="64">
        <v>0</v>
      </c>
      <c r="P52" s="64">
        <v>0.43</v>
      </c>
      <c r="Q52" s="64">
        <v>9.34</v>
      </c>
      <c r="R52" s="198"/>
      <c r="S52" s="198"/>
      <c r="T52" s="198"/>
      <c r="U52" s="198"/>
    </row>
    <row r="53" spans="1:21" s="12" customFormat="1" x14ac:dyDescent="0.25">
      <c r="A53" s="214" t="s">
        <v>2980</v>
      </c>
      <c r="B53" s="64">
        <v>2.5</v>
      </c>
      <c r="C53" s="64">
        <v>60.97</v>
      </c>
      <c r="D53" s="64">
        <v>32.19</v>
      </c>
      <c r="E53" s="64">
        <v>5.04</v>
      </c>
      <c r="F53" s="64">
        <v>3.91</v>
      </c>
      <c r="G53" s="64">
        <v>19.489999999999998</v>
      </c>
      <c r="H53" s="64">
        <v>7.57</v>
      </c>
      <c r="I53" s="64">
        <v>3.91</v>
      </c>
      <c r="J53" s="64">
        <v>1.1499999999999999</v>
      </c>
      <c r="K53" s="64">
        <v>127.23</v>
      </c>
      <c r="L53" s="64">
        <v>16.37</v>
      </c>
      <c r="M53" s="64">
        <v>37.54</v>
      </c>
      <c r="N53" s="64">
        <v>427.3</v>
      </c>
      <c r="O53" s="64">
        <v>0</v>
      </c>
      <c r="P53" s="64">
        <v>0.42</v>
      </c>
      <c r="Q53" s="64">
        <v>9.34</v>
      </c>
      <c r="R53" s="198"/>
      <c r="S53" s="198"/>
      <c r="T53" s="198"/>
      <c r="U53" s="198"/>
    </row>
    <row r="54" spans="1:21" s="12" customFormat="1" x14ac:dyDescent="0.25">
      <c r="A54" s="214" t="s">
        <v>2981</v>
      </c>
      <c r="B54" s="64">
        <v>1.75</v>
      </c>
      <c r="C54" s="64">
        <v>59.15</v>
      </c>
      <c r="D54" s="64">
        <v>30.63</v>
      </c>
      <c r="E54" s="64">
        <v>5.54</v>
      </c>
      <c r="F54" s="64">
        <v>4.46</v>
      </c>
      <c r="G54" s="64">
        <v>40.79</v>
      </c>
      <c r="H54" s="64">
        <v>11.79</v>
      </c>
      <c r="I54" s="64">
        <v>4.08</v>
      </c>
      <c r="J54" s="64">
        <v>1.0900000000000001</v>
      </c>
      <c r="K54" s="64">
        <v>117.59</v>
      </c>
      <c r="L54" s="64">
        <v>21.8</v>
      </c>
      <c r="M54" s="64">
        <v>35.83</v>
      </c>
      <c r="N54" s="64">
        <v>433.9</v>
      </c>
      <c r="O54" s="64">
        <v>0</v>
      </c>
      <c r="P54" s="64">
        <v>0.4</v>
      </c>
      <c r="Q54" s="64">
        <v>9.34</v>
      </c>
      <c r="R54" s="198"/>
      <c r="S54" s="198"/>
      <c r="T54" s="198"/>
      <c r="U54" s="198"/>
    </row>
    <row r="55" spans="1:21" s="12" customFormat="1" x14ac:dyDescent="0.25">
      <c r="A55" s="214" t="s">
        <v>2982</v>
      </c>
      <c r="B55" s="64">
        <v>2.2999999999999998</v>
      </c>
      <c r="C55" s="64">
        <v>56.63</v>
      </c>
      <c r="D55" s="64">
        <v>29.75</v>
      </c>
      <c r="E55" s="64">
        <v>5.17</v>
      </c>
      <c r="F55" s="64">
        <v>4.16</v>
      </c>
      <c r="G55" s="64">
        <v>40.79</v>
      </c>
      <c r="H55" s="64">
        <v>11.79</v>
      </c>
      <c r="I55" s="64">
        <v>3.67</v>
      </c>
      <c r="J55" s="64">
        <v>0.7</v>
      </c>
      <c r="K55" s="64">
        <v>339.3</v>
      </c>
      <c r="L55" s="64">
        <v>24.36</v>
      </c>
      <c r="M55" s="64">
        <v>28.7</v>
      </c>
      <c r="N55" s="64">
        <v>426.7</v>
      </c>
      <c r="O55" s="64">
        <v>0</v>
      </c>
      <c r="P55" s="64">
        <v>0.41</v>
      </c>
      <c r="Q55" s="64">
        <v>9.35</v>
      </c>
      <c r="R55" s="198"/>
      <c r="S55" s="198"/>
      <c r="T55" s="198"/>
      <c r="U55" s="198"/>
    </row>
    <row r="56" spans="1:21" s="12" customFormat="1" x14ac:dyDescent="0.25">
      <c r="A56" s="214" t="s">
        <v>2983</v>
      </c>
      <c r="B56" s="64">
        <v>2.94</v>
      </c>
      <c r="C56" s="64">
        <v>55.28</v>
      </c>
      <c r="D56" s="64">
        <v>29.56</v>
      </c>
      <c r="E56" s="64">
        <v>5.49</v>
      </c>
      <c r="F56" s="64">
        <v>4.32</v>
      </c>
      <c r="G56" s="64">
        <v>40.79</v>
      </c>
      <c r="H56" s="64">
        <v>11.79</v>
      </c>
      <c r="I56" s="64">
        <v>3.38</v>
      </c>
      <c r="J56" s="64">
        <v>1.21</v>
      </c>
      <c r="K56" s="64">
        <v>336.38</v>
      </c>
      <c r="L56" s="64">
        <v>27.11</v>
      </c>
      <c r="M56" s="64">
        <v>24.06</v>
      </c>
      <c r="N56" s="64">
        <v>411.4</v>
      </c>
      <c r="O56" s="64">
        <v>0</v>
      </c>
      <c r="P56" s="64">
        <v>0.44</v>
      </c>
      <c r="Q56" s="64">
        <v>9.35</v>
      </c>
      <c r="R56" s="198"/>
      <c r="S56" s="198"/>
      <c r="T56" s="198"/>
      <c r="U56" s="198"/>
    </row>
    <row r="57" spans="1:21" s="12" customFormat="1" x14ac:dyDescent="0.25">
      <c r="A57" s="214" t="s">
        <v>2984</v>
      </c>
      <c r="B57" s="64">
        <v>3.93</v>
      </c>
      <c r="C57" s="64">
        <v>53.55</v>
      </c>
      <c r="D57" s="64">
        <v>29.45</v>
      </c>
      <c r="E57" s="64">
        <v>6.86</v>
      </c>
      <c r="F57" s="64">
        <v>5.38</v>
      </c>
      <c r="G57" s="64">
        <v>41.5</v>
      </c>
      <c r="H57" s="64">
        <v>11.21</v>
      </c>
      <c r="I57" s="64">
        <v>3.31</v>
      </c>
      <c r="J57" s="64">
        <v>0.49</v>
      </c>
      <c r="K57" s="64">
        <v>22.14</v>
      </c>
      <c r="L57" s="64">
        <v>26.71</v>
      </c>
      <c r="M57" s="64">
        <v>24.77</v>
      </c>
      <c r="N57" s="64">
        <v>411.9</v>
      </c>
      <c r="O57" s="64">
        <v>0</v>
      </c>
      <c r="P57" s="64">
        <v>0.48</v>
      </c>
      <c r="Q57" s="64">
        <v>9.3699999999999992</v>
      </c>
      <c r="R57" s="198"/>
      <c r="S57" s="198"/>
      <c r="T57" s="198"/>
      <c r="U57" s="198"/>
    </row>
    <row r="58" spans="1:21" s="12" customFormat="1" x14ac:dyDescent="0.25">
      <c r="A58" s="214" t="s">
        <v>2985</v>
      </c>
      <c r="B58" s="64">
        <v>2.69</v>
      </c>
      <c r="C58" s="64">
        <v>53.4</v>
      </c>
      <c r="D58" s="64">
        <v>28.38</v>
      </c>
      <c r="E58" s="64">
        <v>6.05</v>
      </c>
      <c r="F58" s="64">
        <v>4.76</v>
      </c>
      <c r="G58" s="64">
        <v>42.26</v>
      </c>
      <c r="H58" s="64">
        <v>10.89</v>
      </c>
      <c r="I58" s="64">
        <v>3.26</v>
      </c>
      <c r="J58" s="64">
        <v>0.56000000000000005</v>
      </c>
      <c r="K58" s="64">
        <v>333.54</v>
      </c>
      <c r="L58" s="64">
        <v>25.92</v>
      </c>
      <c r="M58" s="64">
        <v>26.07</v>
      </c>
      <c r="N58" s="64">
        <v>395.6</v>
      </c>
      <c r="O58" s="64">
        <v>0</v>
      </c>
      <c r="P58" s="64">
        <v>0.49</v>
      </c>
      <c r="Q58" s="64">
        <v>9.3699999999999992</v>
      </c>
      <c r="R58" s="198"/>
      <c r="S58" s="198"/>
      <c r="T58" s="198"/>
      <c r="U58" s="198"/>
    </row>
    <row r="59" spans="1:21" s="12" customFormat="1" x14ac:dyDescent="0.25">
      <c r="A59" s="214" t="s">
        <v>2986</v>
      </c>
      <c r="B59" s="64">
        <v>2.4700000000000002</v>
      </c>
      <c r="C59" s="64">
        <v>55.08</v>
      </c>
      <c r="D59" s="64">
        <v>29.08</v>
      </c>
      <c r="E59" s="64">
        <v>7.85</v>
      </c>
      <c r="F59" s="64">
        <v>9.42</v>
      </c>
      <c r="G59" s="64">
        <v>42.26</v>
      </c>
      <c r="H59" s="64">
        <v>10.89</v>
      </c>
      <c r="I59" s="64">
        <v>3.22</v>
      </c>
      <c r="J59" s="64">
        <v>0.36</v>
      </c>
      <c r="K59" s="64">
        <v>9.48</v>
      </c>
      <c r="L59" s="64">
        <v>25.97</v>
      </c>
      <c r="M59" s="64">
        <v>26.54</v>
      </c>
      <c r="N59" s="64">
        <v>377.6</v>
      </c>
      <c r="O59" s="64">
        <v>0</v>
      </c>
      <c r="P59" s="64">
        <v>0.51</v>
      </c>
      <c r="Q59" s="64">
        <v>9.3699999999999992</v>
      </c>
      <c r="R59" s="198"/>
      <c r="S59" s="198"/>
      <c r="T59" s="198"/>
      <c r="U59" s="198"/>
    </row>
    <row r="60" spans="1:21" s="12" customFormat="1" x14ac:dyDescent="0.25">
      <c r="A60" s="214" t="s">
        <v>2987</v>
      </c>
      <c r="B60" s="64">
        <v>1.05</v>
      </c>
      <c r="C60" s="64">
        <v>55.83</v>
      </c>
      <c r="D60" s="64">
        <v>28.34</v>
      </c>
      <c r="E60" s="64">
        <v>6.52</v>
      </c>
      <c r="F60" s="64">
        <v>5.74</v>
      </c>
      <c r="G60" s="64">
        <v>42.26</v>
      </c>
      <c r="H60" s="64">
        <v>10.89</v>
      </c>
      <c r="I60" s="64">
        <v>3.19</v>
      </c>
      <c r="J60" s="64">
        <v>0.14000000000000001</v>
      </c>
      <c r="K60" s="64">
        <v>256.55</v>
      </c>
      <c r="L60" s="64">
        <v>25.94</v>
      </c>
      <c r="M60" s="64">
        <v>25.73</v>
      </c>
      <c r="N60" s="64">
        <v>356.7</v>
      </c>
      <c r="O60" s="64">
        <v>0</v>
      </c>
      <c r="P60" s="64">
        <v>0.5</v>
      </c>
      <c r="Q60" s="64">
        <v>9.36</v>
      </c>
      <c r="R60" s="198"/>
      <c r="S60" s="198"/>
      <c r="T60" s="198"/>
      <c r="U60" s="198"/>
    </row>
    <row r="61" spans="1:21" s="12" customFormat="1" x14ac:dyDescent="0.25">
      <c r="A61" s="214" t="s">
        <v>2988</v>
      </c>
      <c r="B61" s="64">
        <v>0.82</v>
      </c>
      <c r="C61" s="64">
        <v>56.08</v>
      </c>
      <c r="D61" s="64">
        <v>28.28</v>
      </c>
      <c r="E61" s="64">
        <v>5.62</v>
      </c>
      <c r="F61" s="64">
        <v>4.6100000000000003</v>
      </c>
      <c r="G61" s="64">
        <v>41.19</v>
      </c>
      <c r="H61" s="64">
        <v>10.66</v>
      </c>
      <c r="I61" s="64">
        <v>3.11</v>
      </c>
      <c r="J61" s="64">
        <v>0.73</v>
      </c>
      <c r="K61" s="64">
        <v>321.04000000000002</v>
      </c>
      <c r="L61" s="64">
        <v>26.55</v>
      </c>
      <c r="M61" s="64">
        <v>25.13</v>
      </c>
      <c r="N61" s="64">
        <v>329.3</v>
      </c>
      <c r="O61" s="64">
        <v>0</v>
      </c>
      <c r="P61" s="64">
        <v>0.7</v>
      </c>
      <c r="Q61" s="64">
        <v>9.34</v>
      </c>
      <c r="R61" s="198"/>
      <c r="S61" s="198"/>
      <c r="T61" s="198"/>
      <c r="U61" s="198"/>
    </row>
    <row r="62" spans="1:21" s="12" customFormat="1" x14ac:dyDescent="0.25">
      <c r="A62" s="214" t="s">
        <v>2989</v>
      </c>
      <c r="B62" s="64">
        <v>1.05</v>
      </c>
      <c r="C62" s="64">
        <v>55.42</v>
      </c>
      <c r="D62" s="64">
        <v>28.12</v>
      </c>
      <c r="E62" s="64">
        <v>5.98</v>
      </c>
      <c r="F62" s="64">
        <v>4.51</v>
      </c>
      <c r="G62" s="64">
        <v>40.01</v>
      </c>
      <c r="H62" s="64">
        <v>10.52</v>
      </c>
      <c r="I62" s="64">
        <v>3.12</v>
      </c>
      <c r="J62" s="64">
        <v>0.35</v>
      </c>
      <c r="K62" s="64">
        <v>1.44</v>
      </c>
      <c r="L62" s="64">
        <v>25.64</v>
      </c>
      <c r="M62" s="64">
        <v>27.2</v>
      </c>
      <c r="N62" s="64">
        <v>317.10000000000002</v>
      </c>
      <c r="O62" s="64">
        <v>0</v>
      </c>
      <c r="P62" s="64">
        <v>0.77</v>
      </c>
      <c r="Q62" s="64">
        <v>9.34</v>
      </c>
      <c r="R62" s="198"/>
      <c r="S62" s="198"/>
      <c r="T62" s="198"/>
      <c r="U62" s="198"/>
    </row>
    <row r="63" spans="1:21" s="12" customFormat="1" x14ac:dyDescent="0.25">
      <c r="A63" s="214" t="s">
        <v>2990</v>
      </c>
      <c r="B63" s="64">
        <v>1.45</v>
      </c>
      <c r="C63" s="64">
        <v>53.7</v>
      </c>
      <c r="D63" s="64">
        <v>27.54</v>
      </c>
      <c r="E63" s="64">
        <v>8.89</v>
      </c>
      <c r="F63" s="64">
        <v>6.33</v>
      </c>
      <c r="G63" s="64">
        <v>40.01</v>
      </c>
      <c r="H63" s="64">
        <v>10.52</v>
      </c>
      <c r="I63" s="64">
        <v>3.12</v>
      </c>
      <c r="J63" s="64">
        <v>0.33</v>
      </c>
      <c r="K63" s="64">
        <v>350.47</v>
      </c>
      <c r="L63" s="64">
        <v>25.57</v>
      </c>
      <c r="M63" s="64">
        <v>26.85</v>
      </c>
      <c r="N63" s="64">
        <v>294.89999999999998</v>
      </c>
      <c r="O63" s="64">
        <v>0</v>
      </c>
      <c r="P63" s="64">
        <v>0.78</v>
      </c>
      <c r="Q63" s="64">
        <v>9.35</v>
      </c>
      <c r="R63" s="198"/>
      <c r="S63" s="198"/>
      <c r="T63" s="198"/>
      <c r="U63" s="198"/>
    </row>
    <row r="64" spans="1:21" s="12" customFormat="1" x14ac:dyDescent="0.25">
      <c r="A64" s="214" t="s">
        <v>2991</v>
      </c>
      <c r="B64" s="64">
        <v>1.08</v>
      </c>
      <c r="C64" s="64">
        <v>55.1</v>
      </c>
      <c r="D64" s="64">
        <v>27.98</v>
      </c>
      <c r="E64" s="64">
        <v>20.56</v>
      </c>
      <c r="F64" s="64">
        <v>13.81</v>
      </c>
      <c r="G64" s="64">
        <v>40.01</v>
      </c>
      <c r="H64" s="64">
        <v>10.52</v>
      </c>
      <c r="I64" s="64">
        <v>3.08</v>
      </c>
      <c r="J64" s="64">
        <v>0.54</v>
      </c>
      <c r="K64" s="64">
        <v>327.20999999999998</v>
      </c>
      <c r="L64" s="64">
        <v>25.89</v>
      </c>
      <c r="M64" s="64">
        <v>26.66</v>
      </c>
      <c r="N64" s="64">
        <v>251.2</v>
      </c>
      <c r="O64" s="64">
        <v>0</v>
      </c>
      <c r="P64" s="64">
        <v>0.87</v>
      </c>
      <c r="Q64" s="64">
        <v>9.36</v>
      </c>
      <c r="R64" s="198"/>
      <c r="S64" s="198"/>
      <c r="T64" s="198"/>
      <c r="U64" s="198"/>
    </row>
    <row r="65" spans="1:21" s="12" customFormat="1" x14ac:dyDescent="0.25">
      <c r="A65" s="214" t="s">
        <v>2992</v>
      </c>
      <c r="B65" s="64">
        <v>0.94</v>
      </c>
      <c r="C65" s="64">
        <v>60.47</v>
      </c>
      <c r="D65" s="64">
        <v>30.67</v>
      </c>
      <c r="E65" s="64">
        <v>12.93</v>
      </c>
      <c r="F65" s="64">
        <v>8.68</v>
      </c>
      <c r="G65" s="64">
        <v>38.65</v>
      </c>
      <c r="H65" s="64">
        <v>11.29</v>
      </c>
      <c r="I65" s="64">
        <v>3.01</v>
      </c>
      <c r="J65" s="64">
        <v>0.33</v>
      </c>
      <c r="K65" s="64">
        <v>300.12</v>
      </c>
      <c r="L65" s="64">
        <v>25.24</v>
      </c>
      <c r="M65" s="64">
        <v>28.32</v>
      </c>
      <c r="N65" s="64">
        <v>136.9</v>
      </c>
      <c r="O65" s="64">
        <v>0</v>
      </c>
      <c r="P65" s="64">
        <v>0.95</v>
      </c>
      <c r="Q65" s="64">
        <v>9.34</v>
      </c>
      <c r="R65" s="198"/>
      <c r="S65" s="198"/>
      <c r="T65" s="198"/>
      <c r="U65" s="198"/>
    </row>
    <row r="66" spans="1:21" s="12" customFormat="1" x14ac:dyDescent="0.25">
      <c r="A66" s="214" t="s">
        <v>2993</v>
      </c>
      <c r="B66" s="64">
        <v>1.56</v>
      </c>
      <c r="C66" s="64">
        <v>58.85</v>
      </c>
      <c r="D66" s="64">
        <v>30.32</v>
      </c>
      <c r="E66" s="64">
        <v>10.6</v>
      </c>
      <c r="F66" s="64">
        <v>5.2</v>
      </c>
      <c r="G66" s="64">
        <v>37.17</v>
      </c>
      <c r="H66" s="64">
        <v>12.27</v>
      </c>
      <c r="I66" s="64">
        <v>2.61</v>
      </c>
      <c r="J66" s="64">
        <v>0.82</v>
      </c>
      <c r="K66" s="64">
        <v>351.26</v>
      </c>
      <c r="L66" s="64">
        <v>24.9</v>
      </c>
      <c r="M66" s="64">
        <v>28.41</v>
      </c>
      <c r="N66" s="64">
        <v>106.8</v>
      </c>
      <c r="O66" s="64">
        <v>0</v>
      </c>
      <c r="P66" s="64">
        <v>0.97</v>
      </c>
      <c r="Q66" s="64">
        <v>9.32</v>
      </c>
      <c r="R66" s="198"/>
      <c r="S66" s="198"/>
      <c r="T66" s="198"/>
      <c r="U66" s="198"/>
    </row>
    <row r="67" spans="1:21" s="12" customFormat="1" x14ac:dyDescent="0.25">
      <c r="A67" s="214" t="s">
        <v>2994</v>
      </c>
      <c r="B67" s="64">
        <v>1.77</v>
      </c>
      <c r="C67" s="64">
        <v>57.16</v>
      </c>
      <c r="D67" s="64">
        <v>29.6</v>
      </c>
      <c r="E67" s="64">
        <v>8.0399999999999991</v>
      </c>
      <c r="F67" s="64">
        <v>4.82</v>
      </c>
      <c r="G67" s="64">
        <v>37.17</v>
      </c>
      <c r="H67" s="64">
        <v>12.27</v>
      </c>
      <c r="I67" s="64">
        <v>2.5299999999999998</v>
      </c>
      <c r="J67" s="64">
        <v>0.76</v>
      </c>
      <c r="K67" s="64">
        <v>331.81</v>
      </c>
      <c r="L67" s="64">
        <v>24.64</v>
      </c>
      <c r="M67" s="64">
        <v>28.97</v>
      </c>
      <c r="N67" s="64">
        <v>97</v>
      </c>
      <c r="O67" s="64">
        <v>0</v>
      </c>
      <c r="P67" s="64">
        <v>0.96</v>
      </c>
      <c r="Q67" s="64">
        <v>9.34</v>
      </c>
      <c r="R67" s="198"/>
      <c r="S67" s="198"/>
      <c r="T67" s="198"/>
      <c r="U67" s="198"/>
    </row>
    <row r="68" spans="1:21" s="12" customFormat="1" x14ac:dyDescent="0.25">
      <c r="A68" s="214" t="s">
        <v>2995</v>
      </c>
      <c r="B68" s="64">
        <v>1.7</v>
      </c>
      <c r="C68" s="64">
        <v>51.67</v>
      </c>
      <c r="D68" s="64">
        <v>26.68</v>
      </c>
      <c r="E68" s="64">
        <v>10.53</v>
      </c>
      <c r="F68" s="64">
        <v>4.5</v>
      </c>
      <c r="G68" s="64">
        <v>37.17</v>
      </c>
      <c r="H68" s="64">
        <v>12.27</v>
      </c>
      <c r="I68" s="64">
        <v>2.57</v>
      </c>
      <c r="J68" s="64">
        <v>1.31</v>
      </c>
      <c r="K68" s="64">
        <v>334.5</v>
      </c>
      <c r="L68" s="64">
        <v>24.63</v>
      </c>
      <c r="M68" s="64">
        <v>28.66</v>
      </c>
      <c r="N68" s="64">
        <v>85.2</v>
      </c>
      <c r="O68" s="64">
        <v>0</v>
      </c>
      <c r="P68" s="64">
        <v>0.96</v>
      </c>
      <c r="Q68" s="64">
        <v>9.34</v>
      </c>
      <c r="R68" s="198"/>
      <c r="S68" s="198"/>
      <c r="T68" s="198"/>
      <c r="U68" s="198"/>
    </row>
    <row r="69" spans="1:21" s="12" customFormat="1" x14ac:dyDescent="0.25">
      <c r="A69" s="214" t="s">
        <v>2996</v>
      </c>
      <c r="B69" s="64">
        <v>2.83</v>
      </c>
      <c r="C69" s="64">
        <v>53.24</v>
      </c>
      <c r="D69" s="64">
        <v>28.41</v>
      </c>
      <c r="E69" s="64">
        <v>6.75</v>
      </c>
      <c r="F69" s="64">
        <v>3.42</v>
      </c>
      <c r="G69" s="64">
        <v>41.81</v>
      </c>
      <c r="H69" s="64">
        <v>12.38</v>
      </c>
      <c r="I69" s="64">
        <v>2.59</v>
      </c>
      <c r="J69" s="64">
        <v>1.39</v>
      </c>
      <c r="K69" s="64">
        <v>344.58</v>
      </c>
      <c r="L69" s="64">
        <v>24.24</v>
      </c>
      <c r="M69" s="64">
        <v>29.16</v>
      </c>
      <c r="N69" s="64">
        <v>77.099999999999994</v>
      </c>
      <c r="O69" s="64">
        <v>0</v>
      </c>
      <c r="P69" s="64">
        <v>0.98</v>
      </c>
      <c r="Q69" s="64">
        <v>9.35</v>
      </c>
      <c r="R69" s="198"/>
      <c r="S69" s="198"/>
      <c r="T69" s="198"/>
      <c r="U69" s="198"/>
    </row>
    <row r="70" spans="1:21" s="12" customFormat="1" x14ac:dyDescent="0.25">
      <c r="A70" s="214" t="s">
        <v>2997</v>
      </c>
      <c r="B70" s="64">
        <v>4.1100000000000003</v>
      </c>
      <c r="C70" s="64">
        <v>51.49</v>
      </c>
      <c r="D70" s="64">
        <v>28.52</v>
      </c>
      <c r="E70" s="64">
        <v>16.11</v>
      </c>
      <c r="F70" s="64">
        <v>6.12</v>
      </c>
      <c r="G70" s="64">
        <v>46.89</v>
      </c>
      <c r="H70" s="64">
        <v>12.44</v>
      </c>
      <c r="I70" s="64">
        <v>2.65</v>
      </c>
      <c r="J70" s="64">
        <v>1.48</v>
      </c>
      <c r="K70" s="64">
        <v>340.37</v>
      </c>
      <c r="L70" s="64">
        <v>23.84</v>
      </c>
      <c r="M70" s="64">
        <v>29.3</v>
      </c>
      <c r="N70" s="64">
        <v>71.099999999999994</v>
      </c>
      <c r="O70" s="64">
        <v>0</v>
      </c>
      <c r="P70" s="64">
        <v>1</v>
      </c>
      <c r="Q70" s="64">
        <v>9.35</v>
      </c>
      <c r="R70" s="198"/>
      <c r="S70" s="198"/>
      <c r="T70" s="198"/>
      <c r="U70" s="198"/>
    </row>
    <row r="71" spans="1:21" s="12" customFormat="1" x14ac:dyDescent="0.25">
      <c r="A71" s="214" t="s">
        <v>2998</v>
      </c>
      <c r="B71" s="64">
        <v>5.81</v>
      </c>
      <c r="C71" s="64">
        <v>51.78</v>
      </c>
      <c r="D71" s="64">
        <v>30.04</v>
      </c>
      <c r="E71" s="64">
        <v>18.16</v>
      </c>
      <c r="F71" s="64">
        <v>7.93</v>
      </c>
      <c r="G71" s="64">
        <v>46.89</v>
      </c>
      <c r="H71" s="64">
        <v>12.44</v>
      </c>
      <c r="I71" s="64">
        <v>2.69</v>
      </c>
      <c r="J71" s="64">
        <v>1.21</v>
      </c>
      <c r="K71" s="64">
        <v>346.35</v>
      </c>
      <c r="L71" s="64">
        <v>23.58</v>
      </c>
      <c r="M71" s="64">
        <v>29.53</v>
      </c>
      <c r="N71" s="64">
        <v>64.5</v>
      </c>
      <c r="O71" s="64">
        <v>0</v>
      </c>
      <c r="P71" s="64">
        <v>1.01</v>
      </c>
      <c r="Q71" s="64">
        <v>9.35</v>
      </c>
      <c r="R71" s="198"/>
      <c r="S71" s="198"/>
      <c r="T71" s="198"/>
      <c r="U71" s="198"/>
    </row>
    <row r="72" spans="1:21" s="12" customFormat="1" x14ac:dyDescent="0.25">
      <c r="A72" s="214" t="s">
        <v>2999</v>
      </c>
      <c r="B72" s="64">
        <v>5.82</v>
      </c>
      <c r="C72" s="64">
        <v>52.57</v>
      </c>
      <c r="D72" s="64">
        <v>30.45</v>
      </c>
      <c r="E72" s="64">
        <v>21.97</v>
      </c>
      <c r="F72" s="64">
        <v>7.39</v>
      </c>
      <c r="G72" s="64">
        <v>46.89</v>
      </c>
      <c r="H72" s="64">
        <v>12.44</v>
      </c>
      <c r="I72" s="64">
        <v>2.69</v>
      </c>
      <c r="J72" s="64">
        <v>1.04</v>
      </c>
      <c r="K72" s="64">
        <v>326.12</v>
      </c>
      <c r="L72" s="64">
        <v>23.34</v>
      </c>
      <c r="M72" s="64">
        <v>30.33</v>
      </c>
      <c r="N72" s="64">
        <v>59.3</v>
      </c>
      <c r="O72" s="64">
        <v>0</v>
      </c>
      <c r="P72" s="64">
        <v>1.04</v>
      </c>
      <c r="Q72" s="64">
        <v>9.36</v>
      </c>
      <c r="R72" s="198"/>
      <c r="S72" s="198"/>
      <c r="T72" s="198"/>
      <c r="U72" s="198"/>
    </row>
    <row r="73" spans="1:21" s="12" customFormat="1" x14ac:dyDescent="0.25">
      <c r="A73" s="214" t="s">
        <v>3000</v>
      </c>
      <c r="B73" s="64">
        <v>9.2899999999999991</v>
      </c>
      <c r="C73" s="64">
        <v>57.77</v>
      </c>
      <c r="D73" s="64">
        <v>35.950000000000003</v>
      </c>
      <c r="E73" s="64">
        <v>33.53</v>
      </c>
      <c r="F73" s="64">
        <v>9.81</v>
      </c>
      <c r="G73" s="64">
        <v>46.07</v>
      </c>
      <c r="H73" s="64">
        <v>13.38</v>
      </c>
      <c r="I73" s="64">
        <v>2.66</v>
      </c>
      <c r="J73" s="64">
        <v>0.9</v>
      </c>
      <c r="K73" s="64">
        <v>336.74</v>
      </c>
      <c r="L73" s="64">
        <v>23.02</v>
      </c>
      <c r="M73" s="64">
        <v>30.66</v>
      </c>
      <c r="N73" s="64">
        <v>53.6</v>
      </c>
      <c r="O73" s="64">
        <v>0</v>
      </c>
      <c r="P73" s="64">
        <v>1.1000000000000001</v>
      </c>
      <c r="Q73" s="64">
        <v>9.3699999999999992</v>
      </c>
      <c r="R73" s="198"/>
      <c r="S73" s="198"/>
      <c r="T73" s="198"/>
      <c r="U73" s="198"/>
    </row>
    <row r="74" spans="1:21" s="12" customFormat="1" x14ac:dyDescent="0.25">
      <c r="A74" s="214" t="s">
        <v>3001</v>
      </c>
      <c r="B74" s="64">
        <v>9.1300000000000008</v>
      </c>
      <c r="C74" s="64">
        <v>56.99</v>
      </c>
      <c r="D74" s="64">
        <v>35.42</v>
      </c>
      <c r="E74" s="64">
        <v>30.65</v>
      </c>
      <c r="F74" s="64">
        <v>7.15</v>
      </c>
      <c r="G74" s="64">
        <v>45.17</v>
      </c>
      <c r="H74" s="64">
        <v>13.91</v>
      </c>
      <c r="I74" s="64">
        <v>2.68</v>
      </c>
      <c r="J74" s="64">
        <v>0.68</v>
      </c>
      <c r="K74" s="64">
        <v>344.42</v>
      </c>
      <c r="L74" s="64">
        <v>22.47</v>
      </c>
      <c r="M74" s="64">
        <v>33.590000000000003</v>
      </c>
      <c r="N74" s="64">
        <v>48.7</v>
      </c>
      <c r="O74" s="64">
        <v>0</v>
      </c>
      <c r="P74" s="64">
        <v>1.1499999999999999</v>
      </c>
      <c r="Q74" s="64">
        <v>9.3800000000000008</v>
      </c>
      <c r="R74" s="198"/>
      <c r="S74" s="198"/>
      <c r="T74" s="198"/>
      <c r="U74" s="198"/>
    </row>
    <row r="75" spans="1:21" s="12" customFormat="1" x14ac:dyDescent="0.25">
      <c r="A75" s="214" t="s">
        <v>3002</v>
      </c>
      <c r="B75" s="64">
        <v>13.45</v>
      </c>
      <c r="C75" s="64">
        <v>53.32</v>
      </c>
      <c r="D75" s="64">
        <v>36.96</v>
      </c>
      <c r="E75" s="64">
        <v>24.3</v>
      </c>
      <c r="F75" s="64">
        <v>6.37</v>
      </c>
      <c r="G75" s="64">
        <v>45.17</v>
      </c>
      <c r="H75" s="64">
        <v>13.91</v>
      </c>
      <c r="I75" s="64">
        <v>2.64</v>
      </c>
      <c r="J75" s="64">
        <v>1</v>
      </c>
      <c r="K75" s="64">
        <v>349.91</v>
      </c>
      <c r="L75" s="64">
        <v>21.98</v>
      </c>
      <c r="M75" s="64">
        <v>34.03</v>
      </c>
      <c r="N75" s="64">
        <v>44.4</v>
      </c>
      <c r="O75" s="64">
        <v>0</v>
      </c>
      <c r="P75" s="64">
        <v>1.21</v>
      </c>
      <c r="Q75" s="64">
        <v>9.39</v>
      </c>
      <c r="R75" s="198"/>
      <c r="S75" s="198"/>
      <c r="T75" s="198"/>
      <c r="U75" s="198"/>
    </row>
    <row r="76" spans="1:21" s="12" customFormat="1" x14ac:dyDescent="0.25">
      <c r="A76" s="214" t="s">
        <v>3003</v>
      </c>
      <c r="B76" s="64">
        <v>15.56</v>
      </c>
      <c r="C76" s="64">
        <v>59.56</v>
      </c>
      <c r="D76" s="64">
        <v>41.91</v>
      </c>
      <c r="E76" s="64">
        <v>24.44</v>
      </c>
      <c r="F76" s="64">
        <v>4.32</v>
      </c>
      <c r="G76" s="64">
        <v>45.17</v>
      </c>
      <c r="H76" s="64">
        <v>13.91</v>
      </c>
      <c r="I76" s="64">
        <v>2.74</v>
      </c>
      <c r="J76" s="64">
        <v>0.28999999999999998</v>
      </c>
      <c r="K76" s="64">
        <v>16.739999999999998</v>
      </c>
      <c r="L76" s="64">
        <v>3.36</v>
      </c>
      <c r="M76" s="64">
        <v>35.909999999999997</v>
      </c>
      <c r="N76" s="64">
        <v>39.700000000000003</v>
      </c>
      <c r="O76" s="64">
        <v>0</v>
      </c>
      <c r="P76" s="64">
        <v>1.33</v>
      </c>
      <c r="Q76" s="64">
        <v>9.41</v>
      </c>
      <c r="R76" s="198"/>
      <c r="S76" s="198"/>
      <c r="T76" s="198"/>
      <c r="U76" s="198"/>
    </row>
    <row r="77" spans="1:21" s="12" customFormat="1" x14ac:dyDescent="0.25">
      <c r="A77" s="214" t="s">
        <v>3004</v>
      </c>
      <c r="B77" s="64">
        <v>10.69</v>
      </c>
      <c r="C77" s="64">
        <v>57.82</v>
      </c>
      <c r="D77" s="64">
        <v>37.1</v>
      </c>
      <c r="E77" s="64">
        <v>18.309999999999999</v>
      </c>
      <c r="F77" s="64">
        <v>3.87</v>
      </c>
      <c r="G77" s="64">
        <v>48.91</v>
      </c>
      <c r="H77" s="64">
        <v>15.87</v>
      </c>
      <c r="I77" s="64">
        <v>2.9</v>
      </c>
      <c r="J77" s="64">
        <v>0.61</v>
      </c>
      <c r="K77" s="64">
        <v>0.09</v>
      </c>
      <c r="L77" s="64">
        <v>20.5</v>
      </c>
      <c r="M77" s="64">
        <v>43.65</v>
      </c>
      <c r="N77" s="64">
        <v>34.799999999999997</v>
      </c>
      <c r="O77" s="64">
        <v>0</v>
      </c>
      <c r="P77" s="64">
        <v>1.22</v>
      </c>
      <c r="Q77" s="64">
        <v>9.42</v>
      </c>
      <c r="R77" s="198"/>
      <c r="S77" s="198"/>
      <c r="T77" s="198"/>
      <c r="U77" s="198"/>
    </row>
    <row r="78" spans="1:21" s="12" customFormat="1" x14ac:dyDescent="0.25">
      <c r="A78" s="214" t="s">
        <v>3005</v>
      </c>
      <c r="B78" s="64">
        <v>11.92</v>
      </c>
      <c r="C78" s="64">
        <v>53.14</v>
      </c>
      <c r="D78" s="64">
        <v>35.65</v>
      </c>
      <c r="E78" s="64">
        <v>8.02</v>
      </c>
      <c r="F78" s="64">
        <v>2.97</v>
      </c>
      <c r="G78" s="64">
        <v>52.74</v>
      </c>
      <c r="H78" s="64">
        <v>16.89</v>
      </c>
      <c r="I78" s="64">
        <v>3.21</v>
      </c>
      <c r="J78" s="64">
        <v>0.51</v>
      </c>
      <c r="K78" s="64">
        <v>35.299999999999997</v>
      </c>
      <c r="L78" s="64">
        <v>19.61</v>
      </c>
      <c r="M78" s="64">
        <v>43.4</v>
      </c>
      <c r="N78" s="64">
        <v>31.2</v>
      </c>
      <c r="O78" s="64">
        <v>0</v>
      </c>
      <c r="P78" s="64">
        <v>1.27</v>
      </c>
      <c r="Q78" s="64">
        <v>9.43</v>
      </c>
      <c r="R78" s="198"/>
      <c r="S78" s="198"/>
      <c r="T78" s="198"/>
      <c r="U78" s="198"/>
    </row>
    <row r="79" spans="1:21" s="12" customFormat="1" x14ac:dyDescent="0.25">
      <c r="A79" s="214" t="s">
        <v>3006</v>
      </c>
      <c r="B79" s="64">
        <v>16.97</v>
      </c>
      <c r="C79" s="64">
        <v>54.25</v>
      </c>
      <c r="D79" s="64">
        <v>40.28</v>
      </c>
      <c r="E79" s="64">
        <v>7.42</v>
      </c>
      <c r="F79" s="64">
        <v>2.78</v>
      </c>
      <c r="G79" s="64">
        <v>52.74</v>
      </c>
      <c r="H79" s="64">
        <v>16.89</v>
      </c>
      <c r="I79" s="64">
        <v>3.13</v>
      </c>
      <c r="J79" s="64">
        <v>0.33</v>
      </c>
      <c r="K79" s="64">
        <v>44.46</v>
      </c>
      <c r="L79" s="64">
        <v>19.09</v>
      </c>
      <c r="M79" s="64">
        <v>44.29</v>
      </c>
      <c r="N79" s="64">
        <v>30</v>
      </c>
      <c r="O79" s="64">
        <v>0</v>
      </c>
      <c r="P79" s="64">
        <v>1.41</v>
      </c>
      <c r="Q79" s="64">
        <v>9.4600000000000009</v>
      </c>
      <c r="R79" s="198"/>
      <c r="S79" s="198"/>
      <c r="T79" s="198"/>
      <c r="U79" s="198"/>
    </row>
    <row r="80" spans="1:21" s="12" customFormat="1" x14ac:dyDescent="0.25">
      <c r="A80" s="214" t="s">
        <v>3007</v>
      </c>
      <c r="B80" s="64">
        <v>18.71</v>
      </c>
      <c r="C80" s="64">
        <v>52.02</v>
      </c>
      <c r="D80" s="64">
        <v>40.51</v>
      </c>
      <c r="E80" s="64">
        <v>7.2</v>
      </c>
      <c r="F80" s="64">
        <v>2.61</v>
      </c>
      <c r="G80" s="64">
        <v>52.74</v>
      </c>
      <c r="H80" s="64">
        <v>16.89</v>
      </c>
      <c r="I80" s="64">
        <v>3.49</v>
      </c>
      <c r="J80" s="64">
        <v>0.37</v>
      </c>
      <c r="K80" s="64">
        <v>17.25</v>
      </c>
      <c r="L80" s="64">
        <v>18.739999999999998</v>
      </c>
      <c r="M80" s="64">
        <v>43.38</v>
      </c>
      <c r="N80" s="64">
        <v>29.6</v>
      </c>
      <c r="O80" s="64">
        <v>0</v>
      </c>
      <c r="P80" s="64">
        <v>1.47</v>
      </c>
      <c r="Q80" s="64">
        <v>9.4700000000000006</v>
      </c>
      <c r="R80" s="198"/>
      <c r="S80" s="198"/>
      <c r="T80" s="198"/>
      <c r="U80" s="198"/>
    </row>
    <row r="81" spans="1:26" s="12" customFormat="1" x14ac:dyDescent="0.25">
      <c r="A81" s="214" t="s">
        <v>3008</v>
      </c>
      <c r="B81" s="64">
        <v>17.23</v>
      </c>
      <c r="C81" s="64">
        <v>51.93</v>
      </c>
      <c r="D81" s="64">
        <v>39.270000000000003</v>
      </c>
      <c r="E81" s="64">
        <v>6.69</v>
      </c>
      <c r="F81" s="64">
        <v>2.37</v>
      </c>
      <c r="G81" s="64">
        <v>60.16</v>
      </c>
      <c r="H81" s="64">
        <v>19.21</v>
      </c>
      <c r="I81" s="64">
        <v>3.72</v>
      </c>
      <c r="J81" s="64">
        <v>0.43</v>
      </c>
      <c r="K81" s="64">
        <v>81.59</v>
      </c>
      <c r="L81" s="64">
        <v>18.46</v>
      </c>
      <c r="M81" s="64">
        <v>42.38</v>
      </c>
      <c r="N81" s="64">
        <v>29.7</v>
      </c>
      <c r="O81" s="64">
        <v>0</v>
      </c>
      <c r="P81" s="64">
        <v>1.48</v>
      </c>
      <c r="Q81" s="64">
        <v>9.4700000000000006</v>
      </c>
      <c r="R81" s="198"/>
      <c r="S81" s="198"/>
      <c r="T81" s="198"/>
      <c r="U81" s="198"/>
    </row>
    <row r="82" spans="1:26" s="12" customFormat="1" x14ac:dyDescent="0.25">
      <c r="A82" s="214" t="s">
        <v>3009</v>
      </c>
      <c r="B82" s="64">
        <v>18.37</v>
      </c>
      <c r="C82" s="64">
        <v>50.02</v>
      </c>
      <c r="D82" s="64">
        <v>39.18</v>
      </c>
      <c r="E82" s="64">
        <v>5.88</v>
      </c>
      <c r="F82" s="64">
        <v>2.4700000000000002</v>
      </c>
      <c r="G82" s="64">
        <v>68.260000000000005</v>
      </c>
      <c r="H82" s="64">
        <v>22.26</v>
      </c>
      <c r="I82" s="64">
        <v>4.1100000000000003</v>
      </c>
      <c r="J82" s="64">
        <v>0.16</v>
      </c>
      <c r="K82" s="64">
        <v>193.02</v>
      </c>
      <c r="L82" s="64">
        <v>17.7</v>
      </c>
      <c r="M82" s="64">
        <v>47.52</v>
      </c>
      <c r="N82" s="64">
        <v>29.7</v>
      </c>
      <c r="O82" s="64">
        <v>0</v>
      </c>
      <c r="P82" s="64">
        <v>1.53</v>
      </c>
      <c r="Q82" s="64">
        <v>9.4700000000000006</v>
      </c>
      <c r="R82" s="198"/>
      <c r="S82" s="198"/>
      <c r="T82" s="198"/>
      <c r="U82" s="198"/>
    </row>
    <row r="83" spans="1:26" s="12" customFormat="1" x14ac:dyDescent="0.25">
      <c r="A83" s="214" t="s">
        <v>3010</v>
      </c>
      <c r="B83" s="64">
        <v>20.85</v>
      </c>
      <c r="C83" s="64">
        <v>47.78</v>
      </c>
      <c r="D83" s="64">
        <v>40.01</v>
      </c>
      <c r="E83" s="64">
        <v>6</v>
      </c>
      <c r="F83" s="64">
        <v>2.44</v>
      </c>
      <c r="G83" s="64">
        <v>68.260000000000005</v>
      </c>
      <c r="H83" s="64">
        <v>22.26</v>
      </c>
      <c r="I83" s="64">
        <v>4.3099999999999996</v>
      </c>
      <c r="J83" s="64">
        <v>0.18</v>
      </c>
      <c r="K83" s="64">
        <v>181.35</v>
      </c>
      <c r="L83" s="64">
        <v>17.07</v>
      </c>
      <c r="M83" s="64">
        <v>52.04</v>
      </c>
      <c r="N83" s="64">
        <v>29.7</v>
      </c>
      <c r="O83" s="64">
        <v>0</v>
      </c>
      <c r="P83" s="64">
        <v>1.57</v>
      </c>
      <c r="Q83" s="64">
        <v>9.48</v>
      </c>
      <c r="R83" s="198"/>
      <c r="S83" s="198"/>
      <c r="T83" s="198"/>
      <c r="U83" s="198"/>
    </row>
    <row r="84" spans="1:26" s="12" customFormat="1" x14ac:dyDescent="0.25">
      <c r="A84" s="214" t="s">
        <v>3011</v>
      </c>
      <c r="B84" s="64">
        <v>24.94</v>
      </c>
      <c r="C84" s="64">
        <v>45.18</v>
      </c>
      <c r="D84" s="64">
        <v>41.93</v>
      </c>
      <c r="E84" s="64">
        <v>5.99</v>
      </c>
      <c r="F84" s="64">
        <v>2.39</v>
      </c>
      <c r="G84" s="64">
        <v>68.260000000000005</v>
      </c>
      <c r="H84" s="64">
        <v>22.26</v>
      </c>
      <c r="I84" s="64">
        <v>4.42</v>
      </c>
      <c r="J84" s="64">
        <v>0.28000000000000003</v>
      </c>
      <c r="K84" s="64">
        <v>100.92</v>
      </c>
      <c r="L84" s="64">
        <v>16.46</v>
      </c>
      <c r="M84" s="64">
        <v>58.85</v>
      </c>
      <c r="N84" s="64">
        <v>29.7</v>
      </c>
      <c r="O84" s="64">
        <v>0</v>
      </c>
      <c r="P84" s="64">
        <v>1.65</v>
      </c>
      <c r="Q84" s="64">
        <v>9.51</v>
      </c>
      <c r="R84" s="198"/>
      <c r="S84" s="198"/>
      <c r="T84" s="198"/>
      <c r="U84" s="198"/>
    </row>
    <row r="85" spans="1:26" s="12" customFormat="1" x14ac:dyDescent="0.25">
      <c r="A85" s="214" t="s">
        <v>3012</v>
      </c>
      <c r="B85" s="64">
        <v>31.23</v>
      </c>
      <c r="C85" s="64">
        <v>41.95</v>
      </c>
      <c r="D85" s="64">
        <v>45.28</v>
      </c>
      <c r="E85" s="64">
        <v>6.08</v>
      </c>
      <c r="F85" s="64">
        <v>2.4900000000000002</v>
      </c>
      <c r="G85" s="64">
        <v>72.239999999999995</v>
      </c>
      <c r="H85" s="64">
        <v>23.17</v>
      </c>
      <c r="I85" s="64">
        <v>4.57</v>
      </c>
      <c r="J85" s="64">
        <v>0.21</v>
      </c>
      <c r="K85" s="64">
        <v>159.82</v>
      </c>
      <c r="L85" s="64">
        <v>15.97</v>
      </c>
      <c r="M85" s="64">
        <v>63.1</v>
      </c>
      <c r="N85" s="64">
        <v>29.4</v>
      </c>
      <c r="O85" s="64">
        <v>0</v>
      </c>
      <c r="P85" s="64">
        <v>1.48</v>
      </c>
      <c r="Q85" s="64">
        <v>9.5500000000000007</v>
      </c>
      <c r="R85" s="198"/>
      <c r="S85" s="198"/>
      <c r="T85" s="198"/>
      <c r="U85" s="198"/>
    </row>
    <row r="86" spans="1:26" s="12" customFormat="1" x14ac:dyDescent="0.25">
      <c r="A86" s="214" t="s">
        <v>3013</v>
      </c>
      <c r="B86" s="64">
        <v>38.04</v>
      </c>
      <c r="C86" s="64">
        <v>38.31</v>
      </c>
      <c r="D86" s="64">
        <v>48.84</v>
      </c>
      <c r="E86" s="64">
        <v>6.03</v>
      </c>
      <c r="F86" s="64">
        <v>2.74</v>
      </c>
      <c r="G86" s="64">
        <v>76.59</v>
      </c>
      <c r="H86" s="64">
        <v>23.72</v>
      </c>
      <c r="I86" s="64">
        <v>4.79</v>
      </c>
      <c r="J86" s="64">
        <v>0.45</v>
      </c>
      <c r="K86" s="64">
        <v>337.93</v>
      </c>
      <c r="L86" s="64">
        <v>15.72</v>
      </c>
      <c r="M86" s="64">
        <v>66.12</v>
      </c>
      <c r="N86" s="64">
        <v>29.4</v>
      </c>
      <c r="O86" s="64">
        <v>0</v>
      </c>
      <c r="P86" s="64">
        <v>1.68</v>
      </c>
      <c r="Q86" s="64">
        <v>9.6</v>
      </c>
      <c r="R86" s="198"/>
      <c r="S86" s="198"/>
      <c r="T86" s="198"/>
      <c r="U86" s="198"/>
    </row>
    <row r="87" spans="1:26" s="12" customFormat="1" x14ac:dyDescent="0.25">
      <c r="A87" s="214" t="s">
        <v>3014</v>
      </c>
      <c r="B87" s="64">
        <v>45.13</v>
      </c>
      <c r="C87" s="64">
        <v>34.630000000000003</v>
      </c>
      <c r="D87" s="64">
        <v>52.61</v>
      </c>
      <c r="E87" s="64">
        <v>6.07</v>
      </c>
      <c r="F87" s="64">
        <v>2.34</v>
      </c>
      <c r="G87" s="64">
        <v>76.59</v>
      </c>
      <c r="H87" s="64">
        <v>23.72</v>
      </c>
      <c r="I87" s="64">
        <v>5.01</v>
      </c>
      <c r="J87" s="64">
        <v>0.41</v>
      </c>
      <c r="K87" s="64">
        <v>331.69</v>
      </c>
      <c r="L87" s="64">
        <v>15.26</v>
      </c>
      <c r="M87" s="64">
        <v>83.35</v>
      </c>
      <c r="N87" s="64">
        <v>29.5</v>
      </c>
      <c r="O87" s="64">
        <v>0</v>
      </c>
      <c r="P87" s="64">
        <v>1.87</v>
      </c>
      <c r="Q87" s="64">
        <v>9.64</v>
      </c>
      <c r="R87" s="198"/>
      <c r="S87" s="198"/>
      <c r="T87" s="198"/>
      <c r="U87" s="198"/>
    </row>
    <row r="88" spans="1:26" s="12" customFormat="1" x14ac:dyDescent="0.25">
      <c r="A88" s="214" t="s">
        <v>3015</v>
      </c>
      <c r="B88" s="64">
        <v>53.63</v>
      </c>
      <c r="C88" s="64">
        <v>29.63</v>
      </c>
      <c r="D88" s="64">
        <v>56.81</v>
      </c>
      <c r="E88" s="64">
        <v>6.17</v>
      </c>
      <c r="F88" s="64">
        <v>2.44</v>
      </c>
      <c r="G88" s="64">
        <v>76.59</v>
      </c>
      <c r="H88" s="64">
        <v>23.72</v>
      </c>
      <c r="I88" s="64">
        <v>5.31</v>
      </c>
      <c r="J88" s="64">
        <v>0.34</v>
      </c>
      <c r="K88" s="64">
        <v>344.98</v>
      </c>
      <c r="L88" s="64">
        <v>15.09</v>
      </c>
      <c r="M88" s="64">
        <v>78.28</v>
      </c>
      <c r="N88" s="64">
        <v>29.3</v>
      </c>
      <c r="O88" s="64">
        <v>0</v>
      </c>
      <c r="P88" s="64">
        <v>2.13</v>
      </c>
      <c r="Q88" s="64">
        <v>9.6300000000000008</v>
      </c>
      <c r="R88" s="198"/>
      <c r="S88" s="198"/>
      <c r="T88" s="198"/>
      <c r="U88" s="198"/>
    </row>
    <row r="89" spans="1:26" s="12" customFormat="1" x14ac:dyDescent="0.25">
      <c r="A89" s="214" t="s">
        <v>3016</v>
      </c>
      <c r="B89" s="64">
        <v>59.98</v>
      </c>
      <c r="C89" s="64">
        <v>27.4</v>
      </c>
      <c r="D89" s="64">
        <v>60.74</v>
      </c>
      <c r="E89" s="64">
        <v>6.1</v>
      </c>
      <c r="F89" s="64">
        <v>2.16</v>
      </c>
      <c r="G89" s="64">
        <v>83.31</v>
      </c>
      <c r="H89" s="64">
        <v>27.4</v>
      </c>
      <c r="I89" s="64">
        <v>5.86</v>
      </c>
      <c r="J89" s="64">
        <v>0.26</v>
      </c>
      <c r="K89" s="64">
        <v>81.66</v>
      </c>
      <c r="L89" s="64">
        <v>14.87</v>
      </c>
      <c r="M89" s="64">
        <v>79.14</v>
      </c>
      <c r="N89" s="64">
        <v>29.2</v>
      </c>
      <c r="O89" s="64">
        <v>0</v>
      </c>
      <c r="P89" s="64">
        <v>2.2799999999999998</v>
      </c>
      <c r="Q89" s="64">
        <v>9.64</v>
      </c>
      <c r="R89" s="198"/>
      <c r="S89" s="198"/>
      <c r="T89" s="198"/>
      <c r="U89" s="198"/>
    </row>
    <row r="90" spans="1:26" s="12" customFormat="1" x14ac:dyDescent="0.25">
      <c r="A90" s="214" t="s">
        <v>3017</v>
      </c>
      <c r="B90" s="64">
        <v>69.89</v>
      </c>
      <c r="C90" s="64">
        <v>20.46</v>
      </c>
      <c r="D90" s="64">
        <v>65.05</v>
      </c>
      <c r="E90" s="64">
        <v>6.1</v>
      </c>
      <c r="F90" s="64">
        <v>2.35</v>
      </c>
      <c r="G90" s="64">
        <v>90.67</v>
      </c>
      <c r="H90" s="64">
        <v>29.59</v>
      </c>
      <c r="I90" s="64">
        <v>6.25</v>
      </c>
      <c r="J90" s="64">
        <v>0.59</v>
      </c>
      <c r="K90" s="64">
        <v>218.5</v>
      </c>
      <c r="L90" s="64">
        <v>14.69</v>
      </c>
      <c r="M90" s="64">
        <v>80.58</v>
      </c>
      <c r="N90" s="64">
        <v>29.4</v>
      </c>
      <c r="O90" s="64">
        <v>0</v>
      </c>
      <c r="P90" s="64">
        <v>2.4300000000000002</v>
      </c>
      <c r="Q90" s="64">
        <v>9.64</v>
      </c>
      <c r="R90" s="198"/>
      <c r="S90" s="198"/>
      <c r="T90" s="198"/>
      <c r="U90" s="198"/>
    </row>
    <row r="91" spans="1:26" s="12" customFormat="1" x14ac:dyDescent="0.25">
      <c r="A91" s="214" t="s">
        <v>3018</v>
      </c>
      <c r="B91" s="64">
        <v>81.790000000000006</v>
      </c>
      <c r="C91" s="64">
        <v>14.24</v>
      </c>
      <c r="D91" s="64">
        <v>71.180000000000007</v>
      </c>
      <c r="E91" s="64">
        <v>6.41</v>
      </c>
      <c r="F91" s="64">
        <v>2.73</v>
      </c>
      <c r="G91" s="64">
        <v>90.67</v>
      </c>
      <c r="H91" s="64">
        <v>29.59</v>
      </c>
      <c r="I91" s="64">
        <v>6.63</v>
      </c>
      <c r="J91" s="64">
        <v>0.54</v>
      </c>
      <c r="K91" s="64">
        <v>299.32</v>
      </c>
      <c r="L91" s="64">
        <v>14.5</v>
      </c>
      <c r="M91" s="64">
        <v>85.59</v>
      </c>
      <c r="N91" s="64">
        <v>29.3</v>
      </c>
      <c r="O91" s="64">
        <v>0</v>
      </c>
      <c r="P91" s="64">
        <v>2.69</v>
      </c>
      <c r="Q91" s="64">
        <v>9.65</v>
      </c>
      <c r="R91" s="198"/>
      <c r="S91" s="198"/>
      <c r="T91" s="198"/>
      <c r="U91" s="198"/>
    </row>
    <row r="92" spans="1:26" s="12" customFormat="1" x14ac:dyDescent="0.25">
      <c r="A92" s="214" t="s">
        <v>3019</v>
      </c>
      <c r="B92" s="64">
        <v>89.32</v>
      </c>
      <c r="C92" s="64">
        <v>11.48</v>
      </c>
      <c r="D92" s="64">
        <v>75.95</v>
      </c>
      <c r="E92" s="64">
        <v>6.39</v>
      </c>
      <c r="F92" s="64">
        <v>2.59</v>
      </c>
      <c r="G92" s="64">
        <v>90.67</v>
      </c>
      <c r="H92" s="64">
        <v>29.59</v>
      </c>
      <c r="I92" s="64">
        <v>7.02</v>
      </c>
      <c r="J92" s="64">
        <v>0.56999999999999995</v>
      </c>
      <c r="K92" s="64">
        <v>323.26</v>
      </c>
      <c r="L92" s="64">
        <v>14.19</v>
      </c>
      <c r="M92" s="64">
        <v>91</v>
      </c>
      <c r="N92" s="64">
        <v>29.5</v>
      </c>
      <c r="O92" s="64">
        <v>0</v>
      </c>
      <c r="P92" s="64">
        <v>2.79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4" t="s">
        <v>3020</v>
      </c>
      <c r="B93" s="64">
        <v>99.84</v>
      </c>
      <c r="C93" s="64">
        <v>5.87</v>
      </c>
      <c r="D93" s="64">
        <v>81.41</v>
      </c>
      <c r="E93" s="64">
        <v>6.72</v>
      </c>
      <c r="F93" s="64">
        <v>2.5499999999999998</v>
      </c>
      <c r="G93" s="64">
        <v>109.91</v>
      </c>
      <c r="H93" s="64">
        <v>32.69</v>
      </c>
      <c r="I93" s="64">
        <v>7.51</v>
      </c>
      <c r="J93" s="64">
        <v>0.44</v>
      </c>
      <c r="K93" s="64">
        <v>354.37</v>
      </c>
      <c r="L93" s="64">
        <v>14.03</v>
      </c>
      <c r="M93" s="64">
        <v>96.42</v>
      </c>
      <c r="N93" s="64">
        <v>29.4</v>
      </c>
      <c r="O93" s="64">
        <v>0</v>
      </c>
      <c r="P93" s="64">
        <v>3.07</v>
      </c>
      <c r="Q93" s="64">
        <v>9.67</v>
      </c>
      <c r="R93" s="198"/>
      <c r="S93" s="198"/>
      <c r="T93" s="198"/>
      <c r="U93" s="198"/>
    </row>
    <row r="94" spans="1:26" s="12" customFormat="1" x14ac:dyDescent="0.25">
      <c r="A94" s="214" t="s">
        <v>3021</v>
      </c>
      <c r="B94" s="64">
        <v>105.57</v>
      </c>
      <c r="C94" s="64">
        <v>3.27</v>
      </c>
      <c r="D94" s="64">
        <v>84.69</v>
      </c>
      <c r="E94" s="64">
        <v>6.33</v>
      </c>
      <c r="F94" s="64">
        <v>2.83</v>
      </c>
      <c r="G94" s="64">
        <v>130.94999999999999</v>
      </c>
      <c r="H94" s="64">
        <v>34.53</v>
      </c>
      <c r="I94" s="64">
        <v>7.78</v>
      </c>
      <c r="J94" s="64">
        <v>0.48</v>
      </c>
      <c r="K94" s="64">
        <v>217.44</v>
      </c>
      <c r="L94" s="64">
        <v>13.9</v>
      </c>
      <c r="M94" s="64">
        <v>94.92</v>
      </c>
      <c r="N94" s="64">
        <v>29.3</v>
      </c>
      <c r="O94" s="64">
        <v>0</v>
      </c>
      <c r="P94" s="64">
        <v>3.19</v>
      </c>
      <c r="Q94" s="64">
        <v>9.68</v>
      </c>
      <c r="R94" s="198"/>
      <c r="S94" s="198"/>
      <c r="T94" s="198"/>
      <c r="U94" s="198"/>
    </row>
    <row r="95" spans="1:26" s="12" customFormat="1" x14ac:dyDescent="0.25">
      <c r="A95" s="214" t="s">
        <v>3022</v>
      </c>
      <c r="B95" s="64">
        <v>108.41</v>
      </c>
      <c r="C95" s="64">
        <v>1.92</v>
      </c>
      <c r="D95" s="64">
        <v>86.26</v>
      </c>
      <c r="E95" s="64">
        <v>6.77</v>
      </c>
      <c r="F95" s="64">
        <v>2.7</v>
      </c>
      <c r="G95" s="64">
        <v>130.94999999999999</v>
      </c>
      <c r="H95" s="64">
        <v>34.53</v>
      </c>
      <c r="I95" s="64">
        <v>9.0299999999999994</v>
      </c>
      <c r="J95" s="64">
        <v>0.54</v>
      </c>
      <c r="K95" s="64">
        <v>254.33</v>
      </c>
      <c r="L95" s="64">
        <v>13.87</v>
      </c>
      <c r="M95" s="64">
        <v>91.49</v>
      </c>
      <c r="N95" s="64">
        <v>29.3</v>
      </c>
      <c r="O95" s="64">
        <v>0</v>
      </c>
      <c r="P95" s="64">
        <v>3.26</v>
      </c>
      <c r="Q95" s="64">
        <v>9.69</v>
      </c>
      <c r="R95" s="198"/>
      <c r="S95" s="198"/>
      <c r="T95" s="198"/>
      <c r="U95" s="198"/>
    </row>
    <row r="96" spans="1:26" s="12" customFormat="1" x14ac:dyDescent="0.25">
      <c r="A96" s="214" t="s">
        <v>3023</v>
      </c>
      <c r="B96" s="64">
        <v>117.34</v>
      </c>
      <c r="C96" s="64">
        <v>1.92</v>
      </c>
      <c r="D96" s="64">
        <v>90.91</v>
      </c>
      <c r="E96" s="64">
        <v>6.93</v>
      </c>
      <c r="F96" s="64">
        <v>2.52</v>
      </c>
      <c r="G96" s="64">
        <v>130.94999999999999</v>
      </c>
      <c r="H96" s="64">
        <v>34.53</v>
      </c>
      <c r="I96" s="64">
        <v>8.7899999999999991</v>
      </c>
      <c r="J96" s="64">
        <v>0.34</v>
      </c>
      <c r="K96" s="64">
        <v>341.58</v>
      </c>
      <c r="L96" s="64">
        <v>13.89</v>
      </c>
      <c r="M96" s="64">
        <v>91.43</v>
      </c>
      <c r="N96" s="64">
        <v>29.4</v>
      </c>
      <c r="O96" s="64">
        <v>0</v>
      </c>
      <c r="P96" s="64">
        <v>3.33</v>
      </c>
      <c r="Q96" s="64">
        <v>9.69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3024</v>
      </c>
      <c r="B97" s="64">
        <v>129.47999999999999</v>
      </c>
      <c r="C97" s="64">
        <v>1.92</v>
      </c>
      <c r="D97" s="64">
        <v>97.37</v>
      </c>
      <c r="E97" s="64">
        <v>7.32</v>
      </c>
      <c r="F97" s="64">
        <v>2.72</v>
      </c>
      <c r="G97" s="64">
        <v>116.27</v>
      </c>
      <c r="H97" s="64">
        <v>34.96</v>
      </c>
      <c r="I97" s="64">
        <v>9.5</v>
      </c>
      <c r="J97" s="64">
        <v>0.18</v>
      </c>
      <c r="K97" s="64">
        <v>309.23</v>
      </c>
      <c r="L97" s="64">
        <v>13.57</v>
      </c>
      <c r="M97" s="64">
        <v>93.18</v>
      </c>
      <c r="N97" s="64">
        <v>29.3</v>
      </c>
      <c r="O97" s="64">
        <v>0</v>
      </c>
      <c r="P97" s="64">
        <v>3.46</v>
      </c>
      <c r="Q97" s="64">
        <v>9.6999999999999993</v>
      </c>
      <c r="R97" s="198"/>
      <c r="S97" s="198"/>
      <c r="T97" s="198"/>
      <c r="U97" s="198"/>
    </row>
    <row r="98" spans="1:33" s="12" customFormat="1" x14ac:dyDescent="0.25">
      <c r="A98" s="214" t="s">
        <v>3025</v>
      </c>
      <c r="B98" s="64">
        <v>137.12</v>
      </c>
      <c r="C98" s="64">
        <v>1.92</v>
      </c>
      <c r="D98" s="64">
        <v>101.36</v>
      </c>
      <c r="E98" s="64">
        <v>7.44</v>
      </c>
      <c r="F98" s="64">
        <v>2.72</v>
      </c>
      <c r="G98" s="64">
        <v>100.23</v>
      </c>
      <c r="H98" s="64">
        <v>35.53</v>
      </c>
      <c r="I98" s="64">
        <v>9.34</v>
      </c>
      <c r="J98" s="64">
        <v>0.6</v>
      </c>
      <c r="K98" s="64">
        <v>309.06</v>
      </c>
      <c r="L98" s="64">
        <v>13.34</v>
      </c>
      <c r="M98" s="64">
        <v>91.49</v>
      </c>
      <c r="N98" s="64">
        <v>29.4</v>
      </c>
      <c r="O98" s="64">
        <v>0</v>
      </c>
      <c r="P98" s="64">
        <v>3.57</v>
      </c>
      <c r="Q98" s="64">
        <v>9.69</v>
      </c>
      <c r="R98" s="198"/>
      <c r="S98" s="198"/>
      <c r="T98" s="198"/>
      <c r="U98" s="198"/>
    </row>
    <row r="99" spans="1:33" s="12" customFormat="1" x14ac:dyDescent="0.25">
      <c r="A99" s="214" t="s">
        <v>3026</v>
      </c>
      <c r="B99" s="64">
        <v>144.72</v>
      </c>
      <c r="C99" s="64">
        <v>1.92</v>
      </c>
      <c r="D99" s="64">
        <v>105.42</v>
      </c>
      <c r="E99" s="64">
        <v>7.24</v>
      </c>
      <c r="F99" s="64">
        <v>2.62</v>
      </c>
      <c r="G99" s="64">
        <v>100.23</v>
      </c>
      <c r="H99" s="64">
        <v>35.53</v>
      </c>
      <c r="I99" s="64">
        <v>10.19</v>
      </c>
      <c r="J99" s="64">
        <v>0.54</v>
      </c>
      <c r="K99" s="64">
        <v>292.64</v>
      </c>
      <c r="L99" s="64">
        <v>13.24</v>
      </c>
      <c r="M99" s="64">
        <v>93.09</v>
      </c>
      <c r="N99" s="64">
        <v>29.5</v>
      </c>
      <c r="O99" s="64">
        <v>0</v>
      </c>
      <c r="P99" s="64">
        <v>3.7</v>
      </c>
      <c r="Q99" s="64">
        <v>9.68</v>
      </c>
      <c r="R99" s="198"/>
      <c r="S99" s="198"/>
      <c r="T99" s="198"/>
      <c r="U99" s="198"/>
    </row>
    <row r="100" spans="1:33" s="12" customFormat="1" x14ac:dyDescent="0.25">
      <c r="A100" s="214" t="s">
        <v>3027</v>
      </c>
      <c r="B100" s="64">
        <v>148.76</v>
      </c>
      <c r="C100" s="64">
        <v>1.92</v>
      </c>
      <c r="D100" s="64">
        <v>107.42</v>
      </c>
      <c r="E100" s="64">
        <v>7.15</v>
      </c>
      <c r="F100" s="64">
        <v>2.61</v>
      </c>
      <c r="G100" s="64">
        <v>100.23</v>
      </c>
      <c r="H100" s="64">
        <v>35.53</v>
      </c>
      <c r="I100" s="64">
        <v>9.9600000000000009</v>
      </c>
      <c r="J100" s="64">
        <v>0.24</v>
      </c>
      <c r="K100" s="64">
        <v>249.19</v>
      </c>
      <c r="L100" s="64">
        <v>13.17</v>
      </c>
      <c r="M100" s="64">
        <v>92.16</v>
      </c>
      <c r="N100" s="64">
        <v>29.3</v>
      </c>
      <c r="O100" s="64">
        <v>0</v>
      </c>
      <c r="P100" s="64">
        <v>3.79</v>
      </c>
      <c r="Q100" s="64">
        <v>9.6999999999999993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3028</v>
      </c>
      <c r="B101" s="64">
        <v>147.49</v>
      </c>
      <c r="C101" s="64">
        <v>1.92</v>
      </c>
      <c r="D101" s="64">
        <v>106.36</v>
      </c>
      <c r="E101" s="64">
        <v>6.84</v>
      </c>
      <c r="F101" s="64">
        <v>2.41</v>
      </c>
      <c r="G101" s="64">
        <v>105.79</v>
      </c>
      <c r="H101" s="64">
        <v>37.130000000000003</v>
      </c>
      <c r="I101" s="64">
        <v>9.99</v>
      </c>
      <c r="J101" s="64">
        <v>0.53</v>
      </c>
      <c r="K101" s="64">
        <v>213.77</v>
      </c>
      <c r="L101" s="64">
        <v>13.07</v>
      </c>
      <c r="M101" s="64">
        <v>90.73</v>
      </c>
      <c r="N101" s="64">
        <v>29.2</v>
      </c>
      <c r="O101" s="64">
        <v>0</v>
      </c>
      <c r="P101" s="64">
        <v>3.75</v>
      </c>
      <c r="Q101" s="64">
        <v>9.6999999999999993</v>
      </c>
      <c r="R101" s="198"/>
      <c r="S101" s="198"/>
      <c r="T101" s="198"/>
      <c r="U101" s="198"/>
    </row>
    <row r="102" spans="1:33" s="12" customFormat="1" x14ac:dyDescent="0.25">
      <c r="A102" s="214" t="s">
        <v>3029</v>
      </c>
      <c r="B102" s="64">
        <v>142.55000000000001</v>
      </c>
      <c r="C102" s="64">
        <v>1.92</v>
      </c>
      <c r="D102" s="64">
        <v>103.28</v>
      </c>
      <c r="E102" s="64">
        <v>7.33</v>
      </c>
      <c r="F102" s="64">
        <v>2.4700000000000002</v>
      </c>
      <c r="G102" s="64">
        <v>111.87</v>
      </c>
      <c r="H102" s="64">
        <v>38.06</v>
      </c>
      <c r="I102" s="64">
        <v>11.03</v>
      </c>
      <c r="J102" s="64">
        <v>0.51</v>
      </c>
      <c r="K102" s="64">
        <v>278.63</v>
      </c>
      <c r="L102" s="64">
        <v>12.76</v>
      </c>
      <c r="M102" s="64">
        <v>91.97</v>
      </c>
      <c r="N102" s="64">
        <v>29.5</v>
      </c>
      <c r="O102" s="64">
        <v>0</v>
      </c>
      <c r="P102" s="64">
        <v>3.65</v>
      </c>
      <c r="Q102" s="64">
        <v>9.69</v>
      </c>
      <c r="R102" s="198"/>
      <c r="S102" s="198"/>
      <c r="T102" s="198"/>
      <c r="U102" s="198"/>
    </row>
    <row r="103" spans="1:33" s="12" customFormat="1" x14ac:dyDescent="0.25">
      <c r="A103" s="214" t="s">
        <v>3030</v>
      </c>
      <c r="B103" s="64">
        <v>136.97</v>
      </c>
      <c r="C103" s="64">
        <v>1.92</v>
      </c>
      <c r="D103" s="64">
        <v>99.84</v>
      </c>
      <c r="E103" s="64">
        <v>7.2</v>
      </c>
      <c r="F103" s="64">
        <v>2.4500000000000002</v>
      </c>
      <c r="G103" s="64">
        <v>111.87</v>
      </c>
      <c r="H103" s="64">
        <v>38.06</v>
      </c>
      <c r="I103" s="64">
        <v>11.31</v>
      </c>
      <c r="J103" s="64">
        <v>0.21</v>
      </c>
      <c r="K103" s="64">
        <v>161.63999999999999</v>
      </c>
      <c r="L103" s="64">
        <v>12.34</v>
      </c>
      <c r="M103" s="64">
        <v>94.56</v>
      </c>
      <c r="N103" s="64">
        <v>29.6</v>
      </c>
      <c r="O103" s="64">
        <v>0</v>
      </c>
      <c r="P103" s="64">
        <v>3.54</v>
      </c>
      <c r="Q103" s="64">
        <v>9.7100000000000009</v>
      </c>
      <c r="R103" s="198"/>
      <c r="S103" s="198"/>
      <c r="T103" s="198"/>
      <c r="U103" s="198"/>
    </row>
    <row r="104" spans="1:33" s="12" customFormat="1" x14ac:dyDescent="0.25">
      <c r="A104" s="214" t="s">
        <v>3031</v>
      </c>
      <c r="B104" s="64">
        <v>131.52000000000001</v>
      </c>
      <c r="C104" s="64">
        <v>1.92</v>
      </c>
      <c r="D104" s="64">
        <v>96.54</v>
      </c>
      <c r="E104" s="64">
        <v>5.96</v>
      </c>
      <c r="F104" s="64">
        <v>2.37</v>
      </c>
      <c r="G104" s="64">
        <v>111.87</v>
      </c>
      <c r="H104" s="64">
        <v>38.06</v>
      </c>
      <c r="I104" s="64">
        <v>10.31</v>
      </c>
      <c r="J104" s="64">
        <v>0.43</v>
      </c>
      <c r="K104" s="64">
        <v>238.08</v>
      </c>
      <c r="L104" s="64">
        <v>12.02</v>
      </c>
      <c r="M104" s="64">
        <v>97.37</v>
      </c>
      <c r="N104" s="64">
        <v>29.5</v>
      </c>
      <c r="O104" s="64">
        <v>0</v>
      </c>
      <c r="P104" s="64">
        <v>3.43</v>
      </c>
      <c r="Q104" s="64">
        <v>9.7100000000000009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0.82</v>
      </c>
      <c r="C106" s="67">
        <f>MIN(C9:C104)</f>
        <v>0.37</v>
      </c>
      <c r="D106" s="67">
        <f t="shared" ref="D106:Q106" si="0">MIN(D9:D104)</f>
        <v>26.68</v>
      </c>
      <c r="E106" s="67">
        <f t="shared" si="0"/>
        <v>4.04</v>
      </c>
      <c r="F106" s="67">
        <f t="shared" si="0"/>
        <v>2.16</v>
      </c>
      <c r="G106" s="67">
        <f t="shared" si="0"/>
        <v>19.489999999999998</v>
      </c>
      <c r="H106" s="67">
        <f t="shared" si="0"/>
        <v>7.57</v>
      </c>
      <c r="I106" s="67">
        <f t="shared" si="0"/>
        <v>2.5299999999999998</v>
      </c>
      <c r="J106" s="67">
        <f t="shared" si="0"/>
        <v>0.09</v>
      </c>
      <c r="K106" s="67">
        <f t="shared" si="0"/>
        <v>0.09</v>
      </c>
      <c r="L106" s="67">
        <f t="shared" si="0"/>
        <v>3.36</v>
      </c>
      <c r="M106" s="67">
        <f t="shared" si="0"/>
        <v>24.06</v>
      </c>
      <c r="N106" s="67">
        <f t="shared" si="0"/>
        <v>28.8</v>
      </c>
      <c r="O106" s="67">
        <f t="shared" si="0"/>
        <v>0</v>
      </c>
      <c r="P106" s="67">
        <f t="shared" si="0"/>
        <v>0.4</v>
      </c>
      <c r="Q106" s="67">
        <f t="shared" si="0"/>
        <v>9.32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148.76</v>
      </c>
      <c r="C107" s="66">
        <f t="shared" ref="C107:Q107" si="1">MAX(C9:C104)</f>
        <v>64.989999999999995</v>
      </c>
      <c r="D107" s="66">
        <f t="shared" si="1"/>
        <v>107.42</v>
      </c>
      <c r="E107" s="66">
        <f t="shared" si="1"/>
        <v>33.53</v>
      </c>
      <c r="F107" s="66">
        <f t="shared" si="1"/>
        <v>13.81</v>
      </c>
      <c r="G107" s="66">
        <f t="shared" si="1"/>
        <v>130.94999999999999</v>
      </c>
      <c r="H107" s="66">
        <f t="shared" si="1"/>
        <v>45.26</v>
      </c>
      <c r="I107" s="66">
        <f t="shared" si="1"/>
        <v>11.31</v>
      </c>
      <c r="J107" s="66">
        <f t="shared" si="1"/>
        <v>1.71</v>
      </c>
      <c r="K107" s="66">
        <f t="shared" si="1"/>
        <v>354.37</v>
      </c>
      <c r="L107" s="66">
        <f t="shared" si="1"/>
        <v>27.11</v>
      </c>
      <c r="M107" s="66">
        <f t="shared" si="1"/>
        <v>97.84</v>
      </c>
      <c r="N107" s="66">
        <f t="shared" si="1"/>
        <v>433.9</v>
      </c>
      <c r="O107" s="66">
        <f t="shared" si="1"/>
        <v>0</v>
      </c>
      <c r="P107" s="66">
        <f t="shared" si="1"/>
        <v>3.79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58.623750000000001</v>
      </c>
      <c r="C108" s="67">
        <f t="shared" ref="C108:Q108" si="2">AVERAGE(C9:C104)</f>
        <v>26.921250000000001</v>
      </c>
      <c r="D108" s="67">
        <f t="shared" si="2"/>
        <v>57.468645833333319</v>
      </c>
      <c r="E108" s="67">
        <f t="shared" si="2"/>
        <v>7.6992708333333368</v>
      </c>
      <c r="F108" s="67">
        <f t="shared" si="2"/>
        <v>3.4852083333333344</v>
      </c>
      <c r="G108" s="67">
        <f t="shared" si="2"/>
        <v>63.533229166666665</v>
      </c>
      <c r="H108" s="67">
        <f t="shared" si="2"/>
        <v>25.629375000000024</v>
      </c>
      <c r="I108" s="67">
        <f t="shared" si="2"/>
        <v>6.3134374999999991</v>
      </c>
      <c r="J108" s="67">
        <f t="shared" si="2"/>
        <v>0.62145833333333322</v>
      </c>
      <c r="K108" s="67">
        <f t="shared" si="2"/>
        <v>213.86625000000001</v>
      </c>
      <c r="L108" s="67">
        <f t="shared" si="2"/>
        <v>13.501354166666667</v>
      </c>
      <c r="M108" s="67">
        <f t="shared" si="2"/>
        <v>67.144687499999989</v>
      </c>
      <c r="N108" s="67">
        <f t="shared" si="2"/>
        <v>119.30624999999998</v>
      </c>
      <c r="O108" s="67">
        <f t="shared" si="2"/>
        <v>0</v>
      </c>
      <c r="P108" s="67">
        <f t="shared" si="2"/>
        <v>1.8333333333333333</v>
      </c>
      <c r="Q108" s="67">
        <f t="shared" si="2"/>
        <v>9.5589583333333383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47.779667757871962</v>
      </c>
      <c r="C109" s="67">
        <f t="shared" ref="C109:Q109" si="3">STDEV(C9:C104)</f>
        <v>23.361670328260278</v>
      </c>
      <c r="D109" s="67">
        <f t="shared" si="3"/>
        <v>24.318454747471623</v>
      </c>
      <c r="E109" s="67">
        <f t="shared" si="3"/>
        <v>5.4633348683539333</v>
      </c>
      <c r="F109" s="67">
        <f t="shared" si="3"/>
        <v>1.9716650613212889</v>
      </c>
      <c r="G109" s="67">
        <f t="shared" si="3"/>
        <v>27.336216482314821</v>
      </c>
      <c r="H109" s="67">
        <f t="shared" si="3"/>
        <v>11.57166701473899</v>
      </c>
      <c r="I109" s="67">
        <f t="shared" si="3"/>
        <v>2.6528216668394111</v>
      </c>
      <c r="J109" s="67">
        <f t="shared" si="3"/>
        <v>0.38895535981629675</v>
      </c>
      <c r="K109" s="67">
        <f t="shared" si="3"/>
        <v>111.15719499169208</v>
      </c>
      <c r="L109" s="67">
        <f t="shared" si="3"/>
        <v>7.6963334564743038</v>
      </c>
      <c r="M109" s="67">
        <f t="shared" si="3"/>
        <v>28.102291757196227</v>
      </c>
      <c r="N109" s="67">
        <f t="shared" si="3"/>
        <v>142.02229610911547</v>
      </c>
      <c r="O109" s="67">
        <f t="shared" si="3"/>
        <v>0</v>
      </c>
      <c r="P109" s="67">
        <f t="shared" si="3"/>
        <v>0.94007801094731924</v>
      </c>
      <c r="Q109" s="67">
        <f t="shared" si="3"/>
        <v>0.14040152320861149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G123" sqref="G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3032</v>
      </c>
      <c r="B9" s="64">
        <v>125.94</v>
      </c>
      <c r="C9" s="64">
        <v>5.21</v>
      </c>
      <c r="D9" s="64">
        <v>92.97</v>
      </c>
      <c r="E9" s="64">
        <v>5.97</v>
      </c>
      <c r="F9" s="64">
        <v>2.1800000000000002</v>
      </c>
      <c r="G9" s="64">
        <v>84.23</v>
      </c>
      <c r="H9" s="64">
        <v>34.840000000000003</v>
      </c>
      <c r="I9" s="64">
        <v>9.81</v>
      </c>
      <c r="J9" s="64">
        <v>0.26</v>
      </c>
      <c r="K9" s="64">
        <v>225.31</v>
      </c>
      <c r="L9" s="64">
        <v>11.83</v>
      </c>
      <c r="M9" s="64">
        <v>97.59</v>
      </c>
      <c r="N9" s="64">
        <v>29.5</v>
      </c>
      <c r="O9" s="64">
        <v>0</v>
      </c>
      <c r="P9" s="64">
        <v>3.34</v>
      </c>
      <c r="Q9" s="64">
        <v>9.69</v>
      </c>
      <c r="R9" s="198"/>
      <c r="S9" s="198"/>
      <c r="T9" s="198"/>
      <c r="U9" s="198"/>
    </row>
    <row r="10" spans="1:21" s="12" customFormat="1" x14ac:dyDescent="0.25">
      <c r="A10" s="214" t="s">
        <v>3033</v>
      </c>
      <c r="B10" s="64">
        <v>120.73</v>
      </c>
      <c r="C10" s="64">
        <v>4.2</v>
      </c>
      <c r="D10" s="64">
        <v>89.73</v>
      </c>
      <c r="E10" s="64">
        <v>5.25</v>
      </c>
      <c r="F10" s="64">
        <v>2.34</v>
      </c>
      <c r="G10" s="64">
        <v>54.01</v>
      </c>
      <c r="H10" s="64">
        <v>32.96</v>
      </c>
      <c r="I10" s="64">
        <v>9.6</v>
      </c>
      <c r="J10" s="64">
        <v>0.48</v>
      </c>
      <c r="K10" s="64">
        <v>303.77</v>
      </c>
      <c r="L10" s="64">
        <v>11.64</v>
      </c>
      <c r="M10" s="64">
        <v>97.52</v>
      </c>
      <c r="N10" s="64">
        <v>29.4</v>
      </c>
      <c r="O10" s="64">
        <v>0</v>
      </c>
      <c r="P10" s="64">
        <v>3.27</v>
      </c>
      <c r="Q10" s="64">
        <v>9.68</v>
      </c>
      <c r="R10" s="198"/>
      <c r="S10" s="198"/>
      <c r="T10" s="198"/>
      <c r="U10" s="198"/>
    </row>
    <row r="11" spans="1:21" s="12" customFormat="1" x14ac:dyDescent="0.25">
      <c r="A11" s="214" t="s">
        <v>3034</v>
      </c>
      <c r="B11" s="64">
        <v>116.47</v>
      </c>
      <c r="C11" s="64">
        <v>6.1</v>
      </c>
      <c r="D11" s="64">
        <v>87.22</v>
      </c>
      <c r="E11" s="64">
        <v>5.71</v>
      </c>
      <c r="F11" s="64">
        <v>2.16</v>
      </c>
      <c r="G11" s="64">
        <v>54.01</v>
      </c>
      <c r="H11" s="64">
        <v>32.96</v>
      </c>
      <c r="I11" s="64">
        <v>10.11</v>
      </c>
      <c r="J11" s="64">
        <v>0.57999999999999996</v>
      </c>
      <c r="K11" s="64">
        <v>299.39</v>
      </c>
      <c r="L11" s="64">
        <v>11.4</v>
      </c>
      <c r="M11" s="64">
        <v>97.53</v>
      </c>
      <c r="N11" s="64">
        <v>29.3</v>
      </c>
      <c r="O11" s="64">
        <v>0</v>
      </c>
      <c r="P11" s="64">
        <v>3.21</v>
      </c>
      <c r="Q11" s="64">
        <v>9.6999999999999993</v>
      </c>
      <c r="R11" s="198"/>
      <c r="S11" s="198"/>
      <c r="T11" s="198"/>
      <c r="U11" s="198"/>
    </row>
    <row r="12" spans="1:21" s="12" customFormat="1" x14ac:dyDescent="0.25">
      <c r="A12" s="214" t="s">
        <v>3035</v>
      </c>
      <c r="B12" s="64">
        <v>111.67</v>
      </c>
      <c r="C12" s="64">
        <v>6.1</v>
      </c>
      <c r="D12" s="64">
        <v>84.62</v>
      </c>
      <c r="E12" s="64">
        <v>5.66</v>
      </c>
      <c r="F12" s="64">
        <v>2.2200000000000002</v>
      </c>
      <c r="G12" s="64">
        <v>54.01</v>
      </c>
      <c r="H12" s="64">
        <v>32.96</v>
      </c>
      <c r="I12" s="64">
        <v>9.48</v>
      </c>
      <c r="J12" s="64">
        <v>0.5</v>
      </c>
      <c r="K12" s="64">
        <v>270.26</v>
      </c>
      <c r="L12" s="64">
        <v>11.4</v>
      </c>
      <c r="M12" s="64">
        <v>97.56</v>
      </c>
      <c r="N12" s="64">
        <v>29.2</v>
      </c>
      <c r="O12" s="64">
        <v>0</v>
      </c>
      <c r="P12" s="64">
        <v>3.13</v>
      </c>
      <c r="Q12" s="64">
        <v>9.69</v>
      </c>
      <c r="R12" s="198"/>
      <c r="S12" s="198"/>
      <c r="T12" s="198"/>
      <c r="U12" s="198"/>
    </row>
    <row r="13" spans="1:21" s="12" customFormat="1" x14ac:dyDescent="0.25">
      <c r="A13" s="214" t="s">
        <v>3036</v>
      </c>
      <c r="B13" s="64">
        <v>106.61</v>
      </c>
      <c r="C13" s="64">
        <v>6.1</v>
      </c>
      <c r="D13" s="64">
        <v>81.63</v>
      </c>
      <c r="E13" s="64">
        <v>5.87</v>
      </c>
      <c r="F13" s="64">
        <v>2.2999999999999998</v>
      </c>
      <c r="G13" s="64">
        <v>58.99</v>
      </c>
      <c r="H13" s="64">
        <v>31.38</v>
      </c>
      <c r="I13" s="64">
        <v>9.81</v>
      </c>
      <c r="J13" s="64">
        <v>0.09</v>
      </c>
      <c r="K13" s="64">
        <v>241.89</v>
      </c>
      <c r="L13" s="64">
        <v>11.34</v>
      </c>
      <c r="M13" s="64">
        <v>97.59</v>
      </c>
      <c r="N13" s="64">
        <v>29.3</v>
      </c>
      <c r="O13" s="64">
        <v>0</v>
      </c>
      <c r="P13" s="64">
        <v>2.65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4" t="s">
        <v>3037</v>
      </c>
      <c r="B14" s="64">
        <v>101.67</v>
      </c>
      <c r="C14" s="64">
        <v>6.1</v>
      </c>
      <c r="D14" s="64">
        <v>78.81</v>
      </c>
      <c r="E14" s="64">
        <v>5.77</v>
      </c>
      <c r="F14" s="64">
        <v>2.44</v>
      </c>
      <c r="G14" s="64">
        <v>64.44</v>
      </c>
      <c r="H14" s="64">
        <v>30.45</v>
      </c>
      <c r="I14" s="64">
        <v>9.98</v>
      </c>
      <c r="J14" s="64">
        <v>0.6</v>
      </c>
      <c r="K14" s="64">
        <v>325.62</v>
      </c>
      <c r="L14" s="64">
        <v>11.07</v>
      </c>
      <c r="M14" s="64">
        <v>97.63</v>
      </c>
      <c r="N14" s="64">
        <v>29.4</v>
      </c>
      <c r="O14" s="64">
        <v>0</v>
      </c>
      <c r="P14" s="64">
        <v>2.71</v>
      </c>
      <c r="Q14" s="64">
        <v>9.67</v>
      </c>
      <c r="R14" s="198"/>
      <c r="S14" s="198"/>
      <c r="T14" s="198"/>
      <c r="U14" s="198"/>
    </row>
    <row r="15" spans="1:21" s="12" customFormat="1" x14ac:dyDescent="0.25">
      <c r="A15" s="214" t="s">
        <v>3038</v>
      </c>
      <c r="B15" s="64">
        <v>97.29</v>
      </c>
      <c r="C15" s="64">
        <v>7.0000000000000007E-2</v>
      </c>
      <c r="D15" s="64">
        <v>76.16</v>
      </c>
      <c r="E15" s="64">
        <v>5.65</v>
      </c>
      <c r="F15" s="64">
        <v>2.41</v>
      </c>
      <c r="G15" s="64">
        <v>64.44</v>
      </c>
      <c r="H15" s="64">
        <v>30.45</v>
      </c>
      <c r="I15" s="64">
        <v>9.85</v>
      </c>
      <c r="J15" s="64">
        <v>0.28999999999999998</v>
      </c>
      <c r="K15" s="64">
        <v>323.57</v>
      </c>
      <c r="L15" s="64">
        <v>10.99</v>
      </c>
      <c r="M15" s="64">
        <v>97.69</v>
      </c>
      <c r="N15" s="64">
        <v>29.1</v>
      </c>
      <c r="O15" s="64">
        <v>0</v>
      </c>
      <c r="P15" s="64">
        <v>2.63</v>
      </c>
      <c r="Q15" s="64">
        <v>9.67</v>
      </c>
      <c r="R15" s="198"/>
      <c r="S15" s="198"/>
      <c r="T15" s="198"/>
      <c r="U15" s="198"/>
    </row>
    <row r="16" spans="1:21" s="12" customFormat="1" x14ac:dyDescent="0.25">
      <c r="A16" s="214" t="s">
        <v>3039</v>
      </c>
      <c r="B16" s="64">
        <v>92.61</v>
      </c>
      <c r="C16" s="64">
        <v>1.5</v>
      </c>
      <c r="D16" s="64">
        <v>73.37</v>
      </c>
      <c r="E16" s="64">
        <v>5.55</v>
      </c>
      <c r="F16" s="64">
        <v>2.65</v>
      </c>
      <c r="G16" s="64">
        <v>64.44</v>
      </c>
      <c r="H16" s="64">
        <v>30.45</v>
      </c>
      <c r="I16" s="64">
        <v>9.73</v>
      </c>
      <c r="J16" s="64">
        <v>0.34</v>
      </c>
      <c r="K16" s="64">
        <v>343.5</v>
      </c>
      <c r="L16" s="64">
        <v>11.18</v>
      </c>
      <c r="M16" s="64">
        <v>97.68</v>
      </c>
      <c r="N16" s="64">
        <v>29.1</v>
      </c>
      <c r="O16" s="64">
        <v>0</v>
      </c>
      <c r="P16" s="64">
        <v>2.54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4" t="s">
        <v>3040</v>
      </c>
      <c r="B17" s="64">
        <v>87.95</v>
      </c>
      <c r="C17" s="64">
        <v>3.94</v>
      </c>
      <c r="D17" s="64">
        <v>70.91</v>
      </c>
      <c r="E17" s="64">
        <v>5.38</v>
      </c>
      <c r="F17" s="64">
        <v>2.6</v>
      </c>
      <c r="G17" s="64">
        <v>62.91</v>
      </c>
      <c r="H17" s="64">
        <v>29.05</v>
      </c>
      <c r="I17" s="64">
        <v>9.61</v>
      </c>
      <c r="J17" s="64">
        <v>0.27</v>
      </c>
      <c r="K17" s="64">
        <v>23.49</v>
      </c>
      <c r="L17" s="64">
        <v>11.39</v>
      </c>
      <c r="M17" s="64">
        <v>97</v>
      </c>
      <c r="N17" s="64">
        <v>29.1</v>
      </c>
      <c r="O17" s="64">
        <v>0</v>
      </c>
      <c r="P17" s="64">
        <v>2.4700000000000002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4" t="s">
        <v>3041</v>
      </c>
      <c r="B18" s="64">
        <v>83.81</v>
      </c>
      <c r="C18" s="64">
        <v>5.57</v>
      </c>
      <c r="D18" s="64">
        <v>68.44</v>
      </c>
      <c r="E18" s="64">
        <v>5.15</v>
      </c>
      <c r="F18" s="64">
        <v>2.4700000000000002</v>
      </c>
      <c r="G18" s="64">
        <v>61.24</v>
      </c>
      <c r="H18" s="64">
        <v>27.3</v>
      </c>
      <c r="I18" s="64">
        <v>8.81</v>
      </c>
      <c r="J18" s="64">
        <v>0.36</v>
      </c>
      <c r="K18" s="64">
        <v>82.19</v>
      </c>
      <c r="L18" s="64">
        <v>11.46</v>
      </c>
      <c r="M18" s="64">
        <v>97.46</v>
      </c>
      <c r="N18" s="64">
        <v>29.2</v>
      </c>
      <c r="O18" s="64">
        <v>0</v>
      </c>
      <c r="P18" s="64">
        <v>2.38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4" t="s">
        <v>3042</v>
      </c>
      <c r="B19" s="64">
        <v>79.64</v>
      </c>
      <c r="C19" s="64">
        <v>7.28</v>
      </c>
      <c r="D19" s="64">
        <v>65.989999999999995</v>
      </c>
      <c r="E19" s="64">
        <v>5.51</v>
      </c>
      <c r="F19" s="64">
        <v>2.66</v>
      </c>
      <c r="G19" s="64">
        <v>61.24</v>
      </c>
      <c r="H19" s="64">
        <v>27.3</v>
      </c>
      <c r="I19" s="64">
        <v>9.0399999999999991</v>
      </c>
      <c r="J19" s="64">
        <v>0.27</v>
      </c>
      <c r="K19" s="64">
        <v>205.43</v>
      </c>
      <c r="L19" s="64">
        <v>11.5</v>
      </c>
      <c r="M19" s="64">
        <v>97.68</v>
      </c>
      <c r="N19" s="64">
        <v>29.2</v>
      </c>
      <c r="O19" s="64">
        <v>0</v>
      </c>
      <c r="P19" s="64">
        <v>2.29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4" t="s">
        <v>3043</v>
      </c>
      <c r="B20" s="64">
        <v>76.44</v>
      </c>
      <c r="C20" s="64">
        <v>8.73</v>
      </c>
      <c r="D20" s="64">
        <v>64.180000000000007</v>
      </c>
      <c r="E20" s="64">
        <v>5.22</v>
      </c>
      <c r="F20" s="64">
        <v>2.73</v>
      </c>
      <c r="G20" s="64">
        <v>61.24</v>
      </c>
      <c r="H20" s="64">
        <v>27.3</v>
      </c>
      <c r="I20" s="64">
        <v>8.49</v>
      </c>
      <c r="J20" s="64">
        <v>0.28000000000000003</v>
      </c>
      <c r="K20" s="64">
        <v>293.27</v>
      </c>
      <c r="L20" s="64">
        <v>11.42</v>
      </c>
      <c r="M20" s="64">
        <v>97.67</v>
      </c>
      <c r="N20" s="64">
        <v>29.5</v>
      </c>
      <c r="O20" s="64">
        <v>0</v>
      </c>
      <c r="P20" s="64">
        <v>2.27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4" t="s">
        <v>3044</v>
      </c>
      <c r="B21" s="64">
        <v>74.14</v>
      </c>
      <c r="C21" s="64">
        <v>9.52</v>
      </c>
      <c r="D21" s="64">
        <v>62.75</v>
      </c>
      <c r="E21" s="64">
        <v>5.14</v>
      </c>
      <c r="F21" s="64">
        <v>2.44</v>
      </c>
      <c r="G21" s="64">
        <v>67.22</v>
      </c>
      <c r="H21" s="64">
        <v>28.02</v>
      </c>
      <c r="I21" s="64">
        <v>8.8000000000000007</v>
      </c>
      <c r="J21" s="64">
        <v>0.15</v>
      </c>
      <c r="K21" s="64">
        <v>348.84</v>
      </c>
      <c r="L21" s="64">
        <v>11</v>
      </c>
      <c r="M21" s="64">
        <v>97.73</v>
      </c>
      <c r="N21" s="64">
        <v>29.5</v>
      </c>
      <c r="O21" s="64">
        <v>0</v>
      </c>
      <c r="P21" s="64">
        <v>2.2599999999999998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4" t="s">
        <v>3045</v>
      </c>
      <c r="B22" s="64">
        <v>72.180000000000007</v>
      </c>
      <c r="C22" s="64">
        <v>10</v>
      </c>
      <c r="D22" s="64">
        <v>61.43</v>
      </c>
      <c r="E22" s="64">
        <v>5.1100000000000003</v>
      </c>
      <c r="F22" s="64">
        <v>2.41</v>
      </c>
      <c r="G22" s="64">
        <v>73.75</v>
      </c>
      <c r="H22" s="64">
        <v>28.45</v>
      </c>
      <c r="I22" s="64">
        <v>8.44</v>
      </c>
      <c r="J22" s="64">
        <v>0.33</v>
      </c>
      <c r="K22" s="64">
        <v>35.51</v>
      </c>
      <c r="L22" s="64">
        <v>10.65</v>
      </c>
      <c r="M22" s="64">
        <v>97.8</v>
      </c>
      <c r="N22" s="64">
        <v>29.5</v>
      </c>
      <c r="O22" s="64">
        <v>0</v>
      </c>
      <c r="P22" s="64">
        <v>2.2599999999999998</v>
      </c>
      <c r="Q22" s="64">
        <v>9.66</v>
      </c>
      <c r="R22" s="198"/>
      <c r="S22" s="198"/>
      <c r="T22" s="198"/>
      <c r="U22" s="198"/>
    </row>
    <row r="23" spans="1:21" s="12" customFormat="1" x14ac:dyDescent="0.25">
      <c r="A23" s="214" t="s">
        <v>3046</v>
      </c>
      <c r="B23" s="64">
        <v>70.62</v>
      </c>
      <c r="C23" s="64">
        <v>10.46</v>
      </c>
      <c r="D23" s="64">
        <v>60.42</v>
      </c>
      <c r="E23" s="64">
        <v>5.01</v>
      </c>
      <c r="F23" s="64">
        <v>2.58</v>
      </c>
      <c r="G23" s="64">
        <v>73.75</v>
      </c>
      <c r="H23" s="64">
        <v>28.45</v>
      </c>
      <c r="I23" s="64">
        <v>8.8800000000000008</v>
      </c>
      <c r="J23" s="64">
        <v>0.05</v>
      </c>
      <c r="K23" s="64">
        <v>111.17</v>
      </c>
      <c r="L23" s="64">
        <v>10.48</v>
      </c>
      <c r="M23" s="64">
        <v>97.83</v>
      </c>
      <c r="N23" s="64">
        <v>29.2</v>
      </c>
      <c r="O23" s="64">
        <v>0</v>
      </c>
      <c r="P23" s="64">
        <v>2.2599999999999998</v>
      </c>
      <c r="Q23" s="64">
        <v>9.65</v>
      </c>
      <c r="R23" s="198"/>
      <c r="S23" s="198"/>
      <c r="T23" s="198"/>
      <c r="U23" s="198"/>
    </row>
    <row r="24" spans="1:21" s="12" customFormat="1" x14ac:dyDescent="0.25">
      <c r="A24" s="214" t="s">
        <v>3047</v>
      </c>
      <c r="B24" s="64">
        <v>69.239999999999995</v>
      </c>
      <c r="C24" s="64">
        <v>10.93</v>
      </c>
      <c r="D24" s="64">
        <v>59.56</v>
      </c>
      <c r="E24" s="64">
        <v>5.26</v>
      </c>
      <c r="F24" s="64">
        <v>2.5</v>
      </c>
      <c r="G24" s="64">
        <v>73.75</v>
      </c>
      <c r="H24" s="64">
        <v>28.45</v>
      </c>
      <c r="I24" s="64">
        <v>9.16</v>
      </c>
      <c r="J24" s="64">
        <v>0.44</v>
      </c>
      <c r="K24" s="64">
        <v>57.53</v>
      </c>
      <c r="L24" s="64">
        <v>10.78</v>
      </c>
      <c r="M24" s="64">
        <v>93.09</v>
      </c>
      <c r="N24" s="64">
        <v>29.1</v>
      </c>
      <c r="O24" s="64">
        <v>0</v>
      </c>
      <c r="P24" s="64">
        <v>2.25</v>
      </c>
      <c r="Q24" s="64">
        <v>9.64</v>
      </c>
      <c r="R24" s="198"/>
      <c r="S24" s="198"/>
      <c r="T24" s="198"/>
      <c r="U24" s="198"/>
    </row>
    <row r="25" spans="1:21" s="12" customFormat="1" x14ac:dyDescent="0.25">
      <c r="A25" s="214" t="s">
        <v>3048</v>
      </c>
      <c r="B25" s="64">
        <v>67.599999999999994</v>
      </c>
      <c r="C25" s="64">
        <v>11.31</v>
      </c>
      <c r="D25" s="64">
        <v>58.44</v>
      </c>
      <c r="E25" s="64">
        <v>5.07</v>
      </c>
      <c r="F25" s="64">
        <v>2.16</v>
      </c>
      <c r="G25" s="64">
        <v>79.83</v>
      </c>
      <c r="H25" s="64">
        <v>30.28</v>
      </c>
      <c r="I25" s="64">
        <v>8.57</v>
      </c>
      <c r="J25" s="64">
        <v>0.22</v>
      </c>
      <c r="K25" s="64">
        <v>146.52000000000001</v>
      </c>
      <c r="L25" s="64">
        <v>11.1</v>
      </c>
      <c r="M25" s="64">
        <v>88.63</v>
      </c>
      <c r="N25" s="64">
        <v>29.3</v>
      </c>
      <c r="O25" s="64">
        <v>0</v>
      </c>
      <c r="P25" s="64">
        <v>2.21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4" t="s">
        <v>3049</v>
      </c>
      <c r="B26" s="64">
        <v>65.650000000000006</v>
      </c>
      <c r="C26" s="64">
        <v>11.83</v>
      </c>
      <c r="D26" s="64">
        <v>57.14</v>
      </c>
      <c r="E26" s="64">
        <v>5.08</v>
      </c>
      <c r="F26" s="64">
        <v>2.1800000000000002</v>
      </c>
      <c r="G26" s="64">
        <v>86.47</v>
      </c>
      <c r="H26" s="64">
        <v>31.37</v>
      </c>
      <c r="I26" s="64">
        <v>8.31</v>
      </c>
      <c r="J26" s="64">
        <v>0.61</v>
      </c>
      <c r="K26" s="64">
        <v>274.73</v>
      </c>
      <c r="L26" s="64">
        <v>11.02</v>
      </c>
      <c r="M26" s="64">
        <v>88.99</v>
      </c>
      <c r="N26" s="64">
        <v>29.4</v>
      </c>
      <c r="O26" s="64">
        <v>0</v>
      </c>
      <c r="P26" s="64">
        <v>2.16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4" t="s">
        <v>3050</v>
      </c>
      <c r="B27" s="64">
        <v>63.05</v>
      </c>
      <c r="C27" s="64">
        <v>11.93</v>
      </c>
      <c r="D27" s="64">
        <v>55.12</v>
      </c>
      <c r="E27" s="64">
        <v>4.95</v>
      </c>
      <c r="F27" s="64">
        <v>2.4300000000000002</v>
      </c>
      <c r="G27" s="64">
        <v>86.47</v>
      </c>
      <c r="H27" s="64">
        <v>31.37</v>
      </c>
      <c r="I27" s="64">
        <v>8.23</v>
      </c>
      <c r="J27" s="64">
        <v>0.54</v>
      </c>
      <c r="K27" s="64">
        <v>245.91</v>
      </c>
      <c r="L27" s="64">
        <v>10.74</v>
      </c>
      <c r="M27" s="64">
        <v>88.11</v>
      </c>
      <c r="N27" s="64">
        <v>29.2</v>
      </c>
      <c r="O27" s="64">
        <v>0</v>
      </c>
      <c r="P27" s="64">
        <v>2.09</v>
      </c>
      <c r="Q27" s="64">
        <v>9.6300000000000008</v>
      </c>
      <c r="R27" s="198"/>
      <c r="S27" s="198"/>
      <c r="T27" s="198"/>
      <c r="U27" s="198"/>
    </row>
    <row r="28" spans="1:21" s="12" customFormat="1" x14ac:dyDescent="0.25">
      <c r="A28" s="214" t="s">
        <v>3051</v>
      </c>
      <c r="B28" s="64">
        <v>60.97</v>
      </c>
      <c r="C28" s="64">
        <v>13.01</v>
      </c>
      <c r="D28" s="64">
        <v>54.02</v>
      </c>
      <c r="E28" s="64">
        <v>4.83</v>
      </c>
      <c r="F28" s="64">
        <v>2.35</v>
      </c>
      <c r="G28" s="64">
        <v>86.47</v>
      </c>
      <c r="H28" s="64">
        <v>31.37</v>
      </c>
      <c r="I28" s="64">
        <v>8.07</v>
      </c>
      <c r="J28" s="64">
        <v>0.26</v>
      </c>
      <c r="K28" s="64">
        <v>278.5</v>
      </c>
      <c r="L28" s="64">
        <v>10.3</v>
      </c>
      <c r="M28" s="64">
        <v>95.95</v>
      </c>
      <c r="N28" s="64">
        <v>29.3</v>
      </c>
      <c r="O28" s="64">
        <v>0</v>
      </c>
      <c r="P28" s="64">
        <v>2.0299999999999998</v>
      </c>
      <c r="Q28" s="64">
        <v>9.65</v>
      </c>
      <c r="R28" s="198"/>
      <c r="S28" s="198"/>
      <c r="T28" s="198"/>
      <c r="U28" s="198"/>
    </row>
    <row r="29" spans="1:21" s="12" customFormat="1" x14ac:dyDescent="0.25">
      <c r="A29" s="214" t="s">
        <v>3052</v>
      </c>
      <c r="B29" s="64">
        <v>59.53</v>
      </c>
      <c r="C29" s="64">
        <v>13.78</v>
      </c>
      <c r="D29" s="64">
        <v>53.27</v>
      </c>
      <c r="E29" s="64">
        <v>4.92</v>
      </c>
      <c r="F29" s="64">
        <v>2.2000000000000002</v>
      </c>
      <c r="G29" s="64">
        <v>57.92</v>
      </c>
      <c r="H29" s="64">
        <v>28.1</v>
      </c>
      <c r="I29" s="64">
        <v>7.88</v>
      </c>
      <c r="J29" s="64">
        <v>0.36</v>
      </c>
      <c r="K29" s="64">
        <v>61</v>
      </c>
      <c r="L29" s="64">
        <v>10.62</v>
      </c>
      <c r="M29" s="64">
        <v>83.46</v>
      </c>
      <c r="N29" s="64">
        <v>29.2</v>
      </c>
      <c r="O29" s="64">
        <v>0</v>
      </c>
      <c r="P29" s="64">
        <v>1.99</v>
      </c>
      <c r="Q29" s="64">
        <v>9.65</v>
      </c>
      <c r="R29" s="198"/>
      <c r="S29" s="198"/>
      <c r="T29" s="198"/>
      <c r="U29" s="198"/>
    </row>
    <row r="30" spans="1:21" s="12" customFormat="1" x14ac:dyDescent="0.25">
      <c r="A30" s="214" t="s">
        <v>3053</v>
      </c>
      <c r="B30" s="64">
        <v>58.12</v>
      </c>
      <c r="C30" s="64">
        <v>14.43</v>
      </c>
      <c r="D30" s="64">
        <v>52.46</v>
      </c>
      <c r="E30" s="64">
        <v>5.07</v>
      </c>
      <c r="F30" s="64">
        <v>2.5299999999999998</v>
      </c>
      <c r="G30" s="64">
        <v>26.72</v>
      </c>
      <c r="H30" s="64">
        <v>26.16</v>
      </c>
      <c r="I30" s="64">
        <v>7.69</v>
      </c>
      <c r="J30" s="64">
        <v>0.39</v>
      </c>
      <c r="K30" s="64">
        <v>349.78</v>
      </c>
      <c r="L30" s="64">
        <v>10.73</v>
      </c>
      <c r="M30" s="64">
        <v>83.89</v>
      </c>
      <c r="N30" s="64">
        <v>29.3</v>
      </c>
      <c r="O30" s="64">
        <v>0</v>
      </c>
      <c r="P30" s="64">
        <v>1.94</v>
      </c>
      <c r="Q30" s="64">
        <v>9.65</v>
      </c>
      <c r="R30" s="198"/>
      <c r="S30" s="198"/>
      <c r="T30" s="198"/>
      <c r="U30" s="198"/>
    </row>
    <row r="31" spans="1:21" s="12" customFormat="1" x14ac:dyDescent="0.25">
      <c r="A31" s="214" t="s">
        <v>3054</v>
      </c>
      <c r="B31" s="64">
        <v>56.76</v>
      </c>
      <c r="C31" s="64">
        <v>14.93</v>
      </c>
      <c r="D31" s="64">
        <v>51.64</v>
      </c>
      <c r="E31" s="64">
        <v>5.15</v>
      </c>
      <c r="F31" s="64">
        <v>2.4700000000000002</v>
      </c>
      <c r="G31" s="64">
        <v>26.72</v>
      </c>
      <c r="H31" s="64">
        <v>26.16</v>
      </c>
      <c r="I31" s="64">
        <v>8.07</v>
      </c>
      <c r="J31" s="64">
        <v>0.51</v>
      </c>
      <c r="K31" s="64">
        <v>263.64</v>
      </c>
      <c r="L31" s="64">
        <v>10.82</v>
      </c>
      <c r="M31" s="64">
        <v>79.58</v>
      </c>
      <c r="N31" s="64">
        <v>29.2</v>
      </c>
      <c r="O31" s="64">
        <v>0</v>
      </c>
      <c r="P31" s="64">
        <v>1.87</v>
      </c>
      <c r="Q31" s="64">
        <v>9.6300000000000008</v>
      </c>
      <c r="R31" s="198"/>
      <c r="S31" s="198"/>
      <c r="T31" s="198"/>
      <c r="U31" s="198"/>
    </row>
    <row r="32" spans="1:21" s="12" customFormat="1" x14ac:dyDescent="0.25">
      <c r="A32" s="214" t="s">
        <v>3055</v>
      </c>
      <c r="B32" s="64">
        <v>55.34</v>
      </c>
      <c r="C32" s="64">
        <v>15.49</v>
      </c>
      <c r="D32" s="64">
        <v>50.79</v>
      </c>
      <c r="E32" s="64">
        <v>4.96</v>
      </c>
      <c r="F32" s="64">
        <v>2.5</v>
      </c>
      <c r="G32" s="64">
        <v>26.72</v>
      </c>
      <c r="H32" s="64">
        <v>26.16</v>
      </c>
      <c r="I32" s="64">
        <v>7.52</v>
      </c>
      <c r="J32" s="64">
        <v>0.59</v>
      </c>
      <c r="K32" s="64">
        <v>281.32</v>
      </c>
      <c r="L32" s="64">
        <v>10.62</v>
      </c>
      <c r="M32" s="64">
        <v>83.21</v>
      </c>
      <c r="N32" s="64">
        <v>29.4</v>
      </c>
      <c r="O32" s="64">
        <v>0</v>
      </c>
      <c r="P32" s="64">
        <v>1.81</v>
      </c>
      <c r="Q32" s="64">
        <v>9.6300000000000008</v>
      </c>
      <c r="R32" s="198"/>
      <c r="S32" s="198"/>
      <c r="T32" s="198"/>
      <c r="U32" s="198"/>
    </row>
    <row r="33" spans="1:21" s="12" customFormat="1" x14ac:dyDescent="0.25">
      <c r="A33" s="214" t="s">
        <v>3056</v>
      </c>
      <c r="B33" s="64">
        <v>54.7</v>
      </c>
      <c r="C33" s="64">
        <v>15.61</v>
      </c>
      <c r="D33" s="64">
        <v>50.34</v>
      </c>
      <c r="E33" s="64">
        <v>5.14</v>
      </c>
      <c r="F33" s="64">
        <v>2.4</v>
      </c>
      <c r="G33" s="64">
        <v>42.47</v>
      </c>
      <c r="H33" s="64">
        <v>24</v>
      </c>
      <c r="I33" s="64">
        <v>7.12</v>
      </c>
      <c r="J33" s="64">
        <v>0.51</v>
      </c>
      <c r="K33" s="64">
        <v>274.01</v>
      </c>
      <c r="L33" s="64">
        <v>10.49</v>
      </c>
      <c r="M33" s="64">
        <v>83.48</v>
      </c>
      <c r="N33" s="64">
        <v>29.5</v>
      </c>
      <c r="O33" s="64">
        <v>0</v>
      </c>
      <c r="P33" s="64">
        <v>1.76</v>
      </c>
      <c r="Q33" s="64">
        <v>9.64</v>
      </c>
      <c r="R33" s="198"/>
      <c r="S33" s="198"/>
      <c r="T33" s="198"/>
      <c r="U33" s="198"/>
    </row>
    <row r="34" spans="1:21" s="12" customFormat="1" x14ac:dyDescent="0.25">
      <c r="A34" s="214" t="s">
        <v>3057</v>
      </c>
      <c r="B34" s="64">
        <v>54.24</v>
      </c>
      <c r="C34" s="64">
        <v>15.74</v>
      </c>
      <c r="D34" s="64">
        <v>50.05</v>
      </c>
      <c r="E34" s="64">
        <v>4.91</v>
      </c>
      <c r="F34" s="64">
        <v>2.72</v>
      </c>
      <c r="G34" s="64">
        <v>59.69</v>
      </c>
      <c r="H34" s="64">
        <v>21.16</v>
      </c>
      <c r="I34" s="64">
        <v>6.96</v>
      </c>
      <c r="J34" s="64">
        <v>0.61</v>
      </c>
      <c r="K34" s="64">
        <v>267.58999999999997</v>
      </c>
      <c r="L34" s="64">
        <v>10.32</v>
      </c>
      <c r="M34" s="64">
        <v>84.75</v>
      </c>
      <c r="N34" s="64">
        <v>30.3</v>
      </c>
      <c r="O34" s="64">
        <v>0</v>
      </c>
      <c r="P34" s="64">
        <v>1.72</v>
      </c>
      <c r="Q34" s="64">
        <v>9.6300000000000008</v>
      </c>
      <c r="R34" s="198"/>
      <c r="S34" s="198"/>
      <c r="T34" s="198"/>
      <c r="U34" s="198"/>
    </row>
    <row r="35" spans="1:21" s="12" customFormat="1" x14ac:dyDescent="0.25">
      <c r="A35" s="214" t="s">
        <v>3058</v>
      </c>
      <c r="B35" s="64">
        <v>53.73</v>
      </c>
      <c r="C35" s="64">
        <v>16.03</v>
      </c>
      <c r="D35" s="64">
        <v>49.78</v>
      </c>
      <c r="E35" s="64">
        <v>4.93</v>
      </c>
      <c r="F35" s="64">
        <v>2.61</v>
      </c>
      <c r="G35" s="64">
        <v>59.69</v>
      </c>
      <c r="H35" s="64">
        <v>21.16</v>
      </c>
      <c r="I35" s="64">
        <v>7.32</v>
      </c>
      <c r="J35" s="64">
        <v>0.51</v>
      </c>
      <c r="K35" s="64">
        <v>269.10000000000002</v>
      </c>
      <c r="L35" s="64">
        <v>10.38</v>
      </c>
      <c r="M35" s="64">
        <v>83.93</v>
      </c>
      <c r="N35" s="64">
        <v>33.1</v>
      </c>
      <c r="O35" s="64">
        <v>0</v>
      </c>
      <c r="P35" s="64">
        <v>1.65</v>
      </c>
      <c r="Q35" s="64">
        <v>9.6300000000000008</v>
      </c>
      <c r="R35" s="198"/>
      <c r="S35" s="198"/>
      <c r="T35" s="198"/>
      <c r="U35" s="198"/>
    </row>
    <row r="36" spans="1:21" s="12" customFormat="1" x14ac:dyDescent="0.25">
      <c r="A36" s="214" t="s">
        <v>3059</v>
      </c>
      <c r="B36" s="64">
        <v>54.79</v>
      </c>
      <c r="C36" s="64">
        <v>15.5</v>
      </c>
      <c r="D36" s="64">
        <v>50.36</v>
      </c>
      <c r="E36" s="64">
        <v>4.93</v>
      </c>
      <c r="F36" s="64">
        <v>2.44</v>
      </c>
      <c r="G36" s="64">
        <v>59.69</v>
      </c>
      <c r="H36" s="64">
        <v>21.16</v>
      </c>
      <c r="I36" s="64">
        <v>7.36</v>
      </c>
      <c r="J36" s="64">
        <v>0.27</v>
      </c>
      <c r="K36" s="64">
        <v>354.09</v>
      </c>
      <c r="L36" s="64">
        <v>10.35</v>
      </c>
      <c r="M36" s="64">
        <v>85.7</v>
      </c>
      <c r="N36" s="64">
        <v>41</v>
      </c>
      <c r="O36" s="64">
        <v>0</v>
      </c>
      <c r="P36" s="64">
        <v>1.59</v>
      </c>
      <c r="Q36" s="64">
        <v>9.64</v>
      </c>
      <c r="R36" s="198"/>
      <c r="S36" s="198"/>
      <c r="T36" s="198"/>
      <c r="U36" s="198"/>
    </row>
    <row r="37" spans="1:21" s="12" customFormat="1" x14ac:dyDescent="0.25">
      <c r="A37" s="214" t="s">
        <v>3060</v>
      </c>
      <c r="B37" s="64">
        <v>58.69</v>
      </c>
      <c r="C37" s="64">
        <v>13.63</v>
      </c>
      <c r="D37" s="64">
        <v>52.51</v>
      </c>
      <c r="E37" s="64">
        <v>4.7699999999999996</v>
      </c>
      <c r="F37" s="64">
        <v>2.57</v>
      </c>
      <c r="G37" s="64">
        <v>47.01</v>
      </c>
      <c r="H37" s="64">
        <v>17.73</v>
      </c>
      <c r="I37" s="64">
        <v>7.2</v>
      </c>
      <c r="J37" s="64">
        <v>0.43</v>
      </c>
      <c r="K37" s="64">
        <v>337.91</v>
      </c>
      <c r="L37" s="64">
        <v>10.51</v>
      </c>
      <c r="M37" s="64">
        <v>86.41</v>
      </c>
      <c r="N37" s="64">
        <v>50</v>
      </c>
      <c r="O37" s="64">
        <v>0</v>
      </c>
      <c r="P37" s="64">
        <v>1.65</v>
      </c>
      <c r="Q37" s="64">
        <v>9.64</v>
      </c>
      <c r="R37" s="198"/>
      <c r="S37" s="198"/>
      <c r="T37" s="198"/>
      <c r="U37" s="198"/>
    </row>
    <row r="38" spans="1:21" s="12" customFormat="1" x14ac:dyDescent="0.25">
      <c r="A38" s="214" t="s">
        <v>3061</v>
      </c>
      <c r="B38" s="64">
        <v>63.99</v>
      </c>
      <c r="C38" s="64">
        <v>11.18</v>
      </c>
      <c r="D38" s="64">
        <v>55.48</v>
      </c>
      <c r="E38" s="64">
        <v>5.16</v>
      </c>
      <c r="F38" s="64">
        <v>2.64</v>
      </c>
      <c r="G38" s="64">
        <v>33.14</v>
      </c>
      <c r="H38" s="64">
        <v>15.69</v>
      </c>
      <c r="I38" s="64">
        <v>6.58</v>
      </c>
      <c r="J38" s="64">
        <v>0.59</v>
      </c>
      <c r="K38" s="64">
        <v>272.48</v>
      </c>
      <c r="L38" s="64">
        <v>11.2</v>
      </c>
      <c r="M38" s="64">
        <v>85.18</v>
      </c>
      <c r="N38" s="64">
        <v>60</v>
      </c>
      <c r="O38" s="64">
        <v>0</v>
      </c>
      <c r="P38" s="64">
        <v>1.74</v>
      </c>
      <c r="Q38" s="64">
        <v>9.64</v>
      </c>
      <c r="R38" s="198"/>
      <c r="S38" s="198"/>
      <c r="T38" s="198"/>
      <c r="U38" s="198"/>
    </row>
    <row r="39" spans="1:21" s="12" customFormat="1" x14ac:dyDescent="0.25">
      <c r="A39" s="214" t="s">
        <v>3062</v>
      </c>
      <c r="B39" s="64">
        <v>68.88</v>
      </c>
      <c r="C39" s="64">
        <v>9.17</v>
      </c>
      <c r="D39" s="64">
        <v>58.35</v>
      </c>
      <c r="E39" s="64">
        <v>4.99</v>
      </c>
      <c r="F39" s="64">
        <v>2.46</v>
      </c>
      <c r="G39" s="64">
        <v>33.14</v>
      </c>
      <c r="H39" s="64">
        <v>15.69</v>
      </c>
      <c r="I39" s="64">
        <v>6.31</v>
      </c>
      <c r="J39" s="64">
        <v>0.28999999999999998</v>
      </c>
      <c r="K39" s="64">
        <v>23.93</v>
      </c>
      <c r="L39" s="64">
        <v>12.02</v>
      </c>
      <c r="M39" s="64">
        <v>81.58</v>
      </c>
      <c r="N39" s="64">
        <v>102</v>
      </c>
      <c r="O39" s="64">
        <v>0</v>
      </c>
      <c r="P39" s="64">
        <v>1.73</v>
      </c>
      <c r="Q39" s="64">
        <v>9.64</v>
      </c>
      <c r="R39" s="198"/>
      <c r="S39" s="198"/>
      <c r="T39" s="198"/>
      <c r="U39" s="198"/>
    </row>
    <row r="40" spans="1:21" s="12" customFormat="1" x14ac:dyDescent="0.25">
      <c r="A40" s="214" t="s">
        <v>3063</v>
      </c>
      <c r="B40" s="64">
        <v>73.5</v>
      </c>
      <c r="C40" s="64">
        <v>7.22</v>
      </c>
      <c r="D40" s="64">
        <v>61.04</v>
      </c>
      <c r="E40" s="64">
        <v>5.24</v>
      </c>
      <c r="F40" s="64">
        <v>2.3199999999999998</v>
      </c>
      <c r="G40" s="64">
        <v>33.14</v>
      </c>
      <c r="H40" s="64">
        <v>15.69</v>
      </c>
      <c r="I40" s="64">
        <v>6.23</v>
      </c>
      <c r="J40" s="64">
        <v>1.03</v>
      </c>
      <c r="K40" s="64">
        <v>119.23</v>
      </c>
      <c r="L40" s="64">
        <v>14.45</v>
      </c>
      <c r="M40" s="64">
        <v>53.52</v>
      </c>
      <c r="N40" s="64">
        <v>179.1</v>
      </c>
      <c r="O40" s="64">
        <v>0</v>
      </c>
      <c r="P40" s="64">
        <v>1.72</v>
      </c>
      <c r="Q40" s="64">
        <v>9.64</v>
      </c>
      <c r="R40" s="198"/>
      <c r="S40" s="198"/>
      <c r="T40" s="198"/>
      <c r="U40" s="198"/>
    </row>
    <row r="41" spans="1:21" s="12" customFormat="1" x14ac:dyDescent="0.25">
      <c r="A41" s="214" t="s">
        <v>3064</v>
      </c>
      <c r="B41" s="64">
        <v>73.67</v>
      </c>
      <c r="C41" s="64">
        <v>7.13</v>
      </c>
      <c r="D41" s="64">
        <v>61.13</v>
      </c>
      <c r="E41" s="64">
        <v>5.18</v>
      </c>
      <c r="F41" s="64">
        <v>2.4900000000000002</v>
      </c>
      <c r="G41" s="64">
        <v>47.62</v>
      </c>
      <c r="H41" s="64">
        <v>17.79</v>
      </c>
      <c r="I41" s="64">
        <v>6.17</v>
      </c>
      <c r="J41" s="64">
        <v>0.84</v>
      </c>
      <c r="K41" s="64">
        <v>124.14</v>
      </c>
      <c r="L41" s="64">
        <v>16.57</v>
      </c>
      <c r="M41" s="64">
        <v>47.65</v>
      </c>
      <c r="N41" s="64">
        <v>213.1</v>
      </c>
      <c r="O41" s="64">
        <v>0</v>
      </c>
      <c r="P41" s="64">
        <v>1.67</v>
      </c>
      <c r="Q41" s="64">
        <v>9.65</v>
      </c>
      <c r="R41" s="198"/>
      <c r="S41" s="198"/>
      <c r="T41" s="198"/>
      <c r="U41" s="198"/>
    </row>
    <row r="42" spans="1:21" s="12" customFormat="1" x14ac:dyDescent="0.25">
      <c r="A42" s="214" t="s">
        <v>3065</v>
      </c>
      <c r="B42" s="64">
        <v>71.599999999999994</v>
      </c>
      <c r="C42" s="64">
        <v>8</v>
      </c>
      <c r="D42" s="64">
        <v>59.92</v>
      </c>
      <c r="E42" s="64">
        <v>5.22</v>
      </c>
      <c r="F42" s="64">
        <v>2.68</v>
      </c>
      <c r="G42" s="64">
        <v>63.44</v>
      </c>
      <c r="H42" s="64">
        <v>19.010000000000002</v>
      </c>
      <c r="I42" s="64">
        <v>6.1</v>
      </c>
      <c r="J42" s="64">
        <v>0.91</v>
      </c>
      <c r="K42" s="64">
        <v>128.32</v>
      </c>
      <c r="L42" s="64">
        <v>17.55</v>
      </c>
      <c r="M42" s="64">
        <v>43.34</v>
      </c>
      <c r="N42" s="64">
        <v>250.9</v>
      </c>
      <c r="O42" s="64">
        <v>0</v>
      </c>
      <c r="P42" s="64">
        <v>1.65</v>
      </c>
      <c r="Q42" s="64">
        <v>9.66</v>
      </c>
      <c r="R42" s="198"/>
      <c r="S42" s="198"/>
      <c r="T42" s="198"/>
      <c r="U42" s="198"/>
    </row>
    <row r="43" spans="1:21" s="12" customFormat="1" x14ac:dyDescent="0.25">
      <c r="A43" s="214" t="s">
        <v>3066</v>
      </c>
      <c r="B43" s="64">
        <v>68.989999999999995</v>
      </c>
      <c r="C43" s="64">
        <v>9.3000000000000007</v>
      </c>
      <c r="D43" s="64">
        <v>58.51</v>
      </c>
      <c r="E43" s="64">
        <v>5.51</v>
      </c>
      <c r="F43" s="64">
        <v>2.52</v>
      </c>
      <c r="G43" s="64">
        <v>63.44</v>
      </c>
      <c r="H43" s="64">
        <v>19.010000000000002</v>
      </c>
      <c r="I43" s="64">
        <v>6</v>
      </c>
      <c r="J43" s="64">
        <v>1.04</v>
      </c>
      <c r="K43" s="64">
        <v>122.22</v>
      </c>
      <c r="L43" s="64">
        <v>18</v>
      </c>
      <c r="M43" s="64">
        <v>41.4</v>
      </c>
      <c r="N43" s="64">
        <v>287.5</v>
      </c>
      <c r="O43" s="64">
        <v>0</v>
      </c>
      <c r="P43" s="64">
        <v>1.61</v>
      </c>
      <c r="Q43" s="64">
        <v>9.65</v>
      </c>
      <c r="R43" s="198"/>
      <c r="S43" s="198"/>
      <c r="T43" s="198"/>
      <c r="U43" s="198"/>
    </row>
    <row r="44" spans="1:21" s="12" customFormat="1" x14ac:dyDescent="0.25">
      <c r="A44" s="214" t="s">
        <v>3067</v>
      </c>
      <c r="B44" s="64">
        <v>66.38</v>
      </c>
      <c r="C44" s="64">
        <v>10.3</v>
      </c>
      <c r="D44" s="64">
        <v>56.93</v>
      </c>
      <c r="E44" s="64">
        <v>5.3</v>
      </c>
      <c r="F44" s="64">
        <v>2.29</v>
      </c>
      <c r="G44" s="64">
        <v>63.44</v>
      </c>
      <c r="H44" s="64">
        <v>19.010000000000002</v>
      </c>
      <c r="I44" s="64">
        <v>5.93</v>
      </c>
      <c r="J44" s="64">
        <v>1.1299999999999999</v>
      </c>
      <c r="K44" s="64">
        <v>119.24</v>
      </c>
      <c r="L44" s="64">
        <v>18.13</v>
      </c>
      <c r="M44" s="64">
        <v>39.61</v>
      </c>
      <c r="N44" s="64">
        <v>310.2</v>
      </c>
      <c r="O44" s="64">
        <v>0</v>
      </c>
      <c r="P44" s="64">
        <v>1.56</v>
      </c>
      <c r="Q44" s="64">
        <v>9.66</v>
      </c>
      <c r="R44" s="198"/>
      <c r="S44" s="198"/>
      <c r="T44" s="198"/>
      <c r="U44" s="198"/>
    </row>
    <row r="45" spans="1:21" s="12" customFormat="1" x14ac:dyDescent="0.25">
      <c r="A45" s="214" t="s">
        <v>3068</v>
      </c>
      <c r="B45" s="64">
        <v>63.76</v>
      </c>
      <c r="C45" s="64">
        <v>11.31</v>
      </c>
      <c r="D45" s="64">
        <v>55.36</v>
      </c>
      <c r="E45" s="64">
        <v>5.18</v>
      </c>
      <c r="F45" s="64">
        <v>2.4700000000000002</v>
      </c>
      <c r="G45" s="64">
        <v>53.55</v>
      </c>
      <c r="H45" s="64">
        <v>17.649999999999999</v>
      </c>
      <c r="I45" s="64">
        <v>6.28</v>
      </c>
      <c r="J45" s="64">
        <v>1.23</v>
      </c>
      <c r="K45" s="64">
        <v>128.9</v>
      </c>
      <c r="L45" s="64">
        <v>19.09</v>
      </c>
      <c r="M45" s="64">
        <v>37.18</v>
      </c>
      <c r="N45" s="64">
        <v>333.4</v>
      </c>
      <c r="O45" s="64">
        <v>0</v>
      </c>
      <c r="P45" s="64">
        <v>1.54</v>
      </c>
      <c r="Q45" s="64">
        <v>9.65</v>
      </c>
      <c r="R45" s="198"/>
      <c r="S45" s="198"/>
      <c r="T45" s="198"/>
      <c r="U45" s="198"/>
    </row>
    <row r="46" spans="1:21" s="12" customFormat="1" x14ac:dyDescent="0.25">
      <c r="A46" s="214" t="s">
        <v>3069</v>
      </c>
      <c r="B46" s="64">
        <v>61.62</v>
      </c>
      <c r="C46" s="64">
        <v>12.74</v>
      </c>
      <c r="D46" s="64">
        <v>54.39</v>
      </c>
      <c r="E46" s="64">
        <v>5.48</v>
      </c>
      <c r="F46" s="64">
        <v>2.16</v>
      </c>
      <c r="G46" s="64">
        <v>42.74</v>
      </c>
      <c r="H46" s="64">
        <v>16.86</v>
      </c>
      <c r="I46" s="64">
        <v>5.86</v>
      </c>
      <c r="J46" s="64">
        <v>1.18</v>
      </c>
      <c r="K46" s="64">
        <v>127.35</v>
      </c>
      <c r="L46" s="64">
        <v>20.100000000000001</v>
      </c>
      <c r="M46" s="64">
        <v>34.11</v>
      </c>
      <c r="N46" s="64">
        <v>353.8</v>
      </c>
      <c r="O46" s="64">
        <v>0</v>
      </c>
      <c r="P46" s="64">
        <v>1.54</v>
      </c>
      <c r="Q46" s="64">
        <v>9.65</v>
      </c>
      <c r="R46" s="198"/>
      <c r="S46" s="198"/>
      <c r="T46" s="198"/>
      <c r="U46" s="198"/>
    </row>
    <row r="47" spans="1:21" s="12" customFormat="1" x14ac:dyDescent="0.25">
      <c r="A47" s="214" t="s">
        <v>3070</v>
      </c>
      <c r="B47" s="64">
        <v>59.33</v>
      </c>
      <c r="C47" s="64">
        <v>14.53</v>
      </c>
      <c r="D47" s="64">
        <v>53.49</v>
      </c>
      <c r="E47" s="64">
        <v>5.78</v>
      </c>
      <c r="F47" s="64">
        <v>2.61</v>
      </c>
      <c r="G47" s="64">
        <v>42.74</v>
      </c>
      <c r="H47" s="64">
        <v>16.86</v>
      </c>
      <c r="I47" s="64">
        <v>5.58</v>
      </c>
      <c r="J47" s="64">
        <v>1.25</v>
      </c>
      <c r="K47" s="64">
        <v>137.72</v>
      </c>
      <c r="L47" s="64">
        <v>20.72</v>
      </c>
      <c r="M47" s="64">
        <v>32.799999999999997</v>
      </c>
      <c r="N47" s="64">
        <v>372.4</v>
      </c>
      <c r="O47" s="64">
        <v>0</v>
      </c>
      <c r="P47" s="64">
        <v>1.5</v>
      </c>
      <c r="Q47" s="64">
        <v>9.6300000000000008</v>
      </c>
      <c r="R47" s="198"/>
      <c r="S47" s="198"/>
      <c r="T47" s="198"/>
      <c r="U47" s="198"/>
    </row>
    <row r="48" spans="1:21" s="12" customFormat="1" x14ac:dyDescent="0.25">
      <c r="A48" s="214" t="s">
        <v>3071</v>
      </c>
      <c r="B48" s="64">
        <v>38.56</v>
      </c>
      <c r="C48" s="64">
        <v>33.53</v>
      </c>
      <c r="D48" s="64">
        <v>46.76</v>
      </c>
      <c r="E48" s="64">
        <v>9.5</v>
      </c>
      <c r="F48" s="64">
        <v>2.76</v>
      </c>
      <c r="G48" s="64">
        <v>42.74</v>
      </c>
      <c r="H48" s="64">
        <v>16.86</v>
      </c>
      <c r="I48" s="64">
        <v>5.47</v>
      </c>
      <c r="J48" s="64">
        <v>0.95</v>
      </c>
      <c r="K48" s="64">
        <v>133.6</v>
      </c>
      <c r="L48" s="64">
        <v>21.67</v>
      </c>
      <c r="M48" s="64">
        <v>30.41</v>
      </c>
      <c r="N48" s="64">
        <v>389.4</v>
      </c>
      <c r="O48" s="64">
        <v>0</v>
      </c>
      <c r="P48" s="64">
        <v>1.1599999999999999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4" t="s">
        <v>3072</v>
      </c>
      <c r="B49" s="64">
        <v>34.22</v>
      </c>
      <c r="C49" s="64">
        <v>37.64</v>
      </c>
      <c r="D49" s="64">
        <v>45.43</v>
      </c>
      <c r="E49" s="64">
        <v>5.57</v>
      </c>
      <c r="F49" s="64">
        <v>2.83</v>
      </c>
      <c r="G49" s="64">
        <v>28.08</v>
      </c>
      <c r="H49" s="64">
        <v>14.45</v>
      </c>
      <c r="I49" s="64">
        <v>5.59</v>
      </c>
      <c r="J49" s="64">
        <v>0.53</v>
      </c>
      <c r="K49" s="64">
        <v>125.47</v>
      </c>
      <c r="L49" s="64">
        <v>22.4</v>
      </c>
      <c r="M49" s="64">
        <v>28.74</v>
      </c>
      <c r="N49" s="64">
        <v>404.6</v>
      </c>
      <c r="O49" s="64">
        <v>0</v>
      </c>
      <c r="P49" s="64">
        <v>1.0900000000000001</v>
      </c>
      <c r="Q49" s="64">
        <v>9.56</v>
      </c>
      <c r="R49" s="198"/>
      <c r="S49" s="198"/>
      <c r="T49" s="198"/>
      <c r="U49" s="198"/>
    </row>
    <row r="50" spans="1:21" s="12" customFormat="1" x14ac:dyDescent="0.25">
      <c r="A50" s="214" t="s">
        <v>3073</v>
      </c>
      <c r="B50" s="64">
        <v>31.09</v>
      </c>
      <c r="C50" s="64">
        <v>37.9</v>
      </c>
      <c r="D50" s="64">
        <v>43.06</v>
      </c>
      <c r="E50" s="64">
        <v>6.39</v>
      </c>
      <c r="F50" s="64">
        <v>4.2</v>
      </c>
      <c r="G50" s="64">
        <v>12.05</v>
      </c>
      <c r="H50" s="64">
        <v>11.41</v>
      </c>
      <c r="I50" s="64">
        <v>4.46</v>
      </c>
      <c r="J50" s="64">
        <v>0.78</v>
      </c>
      <c r="K50" s="64">
        <v>113.63</v>
      </c>
      <c r="L50" s="64">
        <v>22.89</v>
      </c>
      <c r="M50" s="64">
        <v>28.44</v>
      </c>
      <c r="N50" s="64">
        <v>419.3</v>
      </c>
      <c r="O50" s="64">
        <v>0</v>
      </c>
      <c r="P50" s="64">
        <v>1.06</v>
      </c>
      <c r="Q50" s="64">
        <v>9.52</v>
      </c>
      <c r="R50" s="198"/>
      <c r="S50" s="198"/>
      <c r="T50" s="198"/>
      <c r="U50" s="198"/>
    </row>
    <row r="51" spans="1:21" s="12" customFormat="1" x14ac:dyDescent="0.25">
      <c r="A51" s="214" t="s">
        <v>3074</v>
      </c>
      <c r="B51" s="64">
        <v>30.24</v>
      </c>
      <c r="C51" s="64">
        <v>37.15</v>
      </c>
      <c r="D51" s="64">
        <v>41.98</v>
      </c>
      <c r="E51" s="64">
        <v>5.77</v>
      </c>
      <c r="F51" s="64">
        <v>3.45</v>
      </c>
      <c r="G51" s="64">
        <v>12.05</v>
      </c>
      <c r="H51" s="64">
        <v>11.41</v>
      </c>
      <c r="I51" s="64">
        <v>4.0199999999999996</v>
      </c>
      <c r="J51" s="64">
        <v>0.56000000000000005</v>
      </c>
      <c r="K51" s="64">
        <v>122.56</v>
      </c>
      <c r="L51" s="64">
        <v>23.45</v>
      </c>
      <c r="M51" s="64">
        <v>28.35</v>
      </c>
      <c r="N51" s="64">
        <v>439.2</v>
      </c>
      <c r="O51" s="64">
        <v>0</v>
      </c>
      <c r="P51" s="64">
        <v>1.03</v>
      </c>
      <c r="Q51" s="64">
        <v>9.51</v>
      </c>
      <c r="R51" s="198"/>
      <c r="S51" s="198"/>
      <c r="T51" s="198"/>
      <c r="U51" s="198"/>
    </row>
    <row r="52" spans="1:21" s="12" customFormat="1" x14ac:dyDescent="0.25">
      <c r="A52" s="214" t="s">
        <v>3075</v>
      </c>
      <c r="B52" s="64">
        <v>28.87</v>
      </c>
      <c r="C52" s="64">
        <v>36.85</v>
      </c>
      <c r="D52" s="64">
        <v>40.729999999999997</v>
      </c>
      <c r="E52" s="64">
        <v>5.31</v>
      </c>
      <c r="F52" s="64">
        <v>2.84</v>
      </c>
      <c r="G52" s="64">
        <v>12.05</v>
      </c>
      <c r="H52" s="64">
        <v>11.41</v>
      </c>
      <c r="I52" s="64">
        <v>3.91</v>
      </c>
      <c r="J52" s="64">
        <v>1.24</v>
      </c>
      <c r="K52" s="64">
        <v>118.56</v>
      </c>
      <c r="L52" s="64">
        <v>22.82</v>
      </c>
      <c r="M52" s="64">
        <v>28.28</v>
      </c>
      <c r="N52" s="64">
        <v>465.6</v>
      </c>
      <c r="O52" s="64">
        <v>0</v>
      </c>
      <c r="P52" s="64">
        <v>0.99</v>
      </c>
      <c r="Q52" s="64">
        <v>9.49</v>
      </c>
      <c r="R52" s="198"/>
      <c r="S52" s="198"/>
      <c r="T52" s="198"/>
      <c r="U52" s="198"/>
    </row>
    <row r="53" spans="1:21" s="12" customFormat="1" x14ac:dyDescent="0.25">
      <c r="A53" s="214" t="s">
        <v>3076</v>
      </c>
      <c r="B53" s="64">
        <v>26.7</v>
      </c>
      <c r="C53" s="64">
        <v>37.36</v>
      </c>
      <c r="D53" s="64">
        <v>39.26</v>
      </c>
      <c r="E53" s="64">
        <v>5.29</v>
      </c>
      <c r="F53" s="64">
        <v>2.46</v>
      </c>
      <c r="G53" s="64">
        <v>24.48</v>
      </c>
      <c r="H53" s="64">
        <v>12.18</v>
      </c>
      <c r="I53" s="64">
        <v>3.87</v>
      </c>
      <c r="J53" s="64">
        <v>0.56999999999999995</v>
      </c>
      <c r="K53" s="64">
        <v>133.79</v>
      </c>
      <c r="L53" s="64">
        <v>23.66</v>
      </c>
      <c r="M53" s="64">
        <v>29.41</v>
      </c>
      <c r="N53" s="64">
        <v>489.9</v>
      </c>
      <c r="O53" s="64">
        <v>0</v>
      </c>
      <c r="P53" s="64">
        <v>0.93</v>
      </c>
      <c r="Q53" s="64">
        <v>9.4700000000000006</v>
      </c>
      <c r="R53" s="198"/>
      <c r="S53" s="198"/>
      <c r="T53" s="198"/>
      <c r="U53" s="198"/>
    </row>
    <row r="54" spans="1:21" s="12" customFormat="1" x14ac:dyDescent="0.25">
      <c r="A54" s="214" t="s">
        <v>3077</v>
      </c>
      <c r="B54" s="64">
        <v>23.34</v>
      </c>
      <c r="C54" s="64">
        <v>39.96</v>
      </c>
      <c r="D54" s="64">
        <v>37.909999999999997</v>
      </c>
      <c r="E54" s="64">
        <v>5.7</v>
      </c>
      <c r="F54" s="64">
        <v>3.05</v>
      </c>
      <c r="G54" s="64">
        <v>38.07</v>
      </c>
      <c r="H54" s="64">
        <v>12.61</v>
      </c>
      <c r="I54" s="64">
        <v>3.84</v>
      </c>
      <c r="J54" s="64">
        <v>0.85</v>
      </c>
      <c r="K54" s="64">
        <v>327.39</v>
      </c>
      <c r="L54" s="64">
        <v>26.39</v>
      </c>
      <c r="M54" s="64">
        <v>23.42</v>
      </c>
      <c r="N54" s="64">
        <v>512.79999999999995</v>
      </c>
      <c r="O54" s="64">
        <v>0</v>
      </c>
      <c r="P54" s="64">
        <v>0.9</v>
      </c>
      <c r="Q54" s="64">
        <v>9.4600000000000009</v>
      </c>
      <c r="R54" s="198"/>
      <c r="S54" s="198"/>
      <c r="T54" s="198"/>
      <c r="U54" s="198"/>
    </row>
    <row r="55" spans="1:21" s="12" customFormat="1" x14ac:dyDescent="0.25">
      <c r="A55" s="214" t="s">
        <v>3078</v>
      </c>
      <c r="B55" s="64">
        <v>19.68</v>
      </c>
      <c r="C55" s="64">
        <v>42.53</v>
      </c>
      <c r="D55" s="64">
        <v>36.33</v>
      </c>
      <c r="E55" s="64">
        <v>5.48</v>
      </c>
      <c r="F55" s="64">
        <v>3.05</v>
      </c>
      <c r="G55" s="64">
        <v>38.07</v>
      </c>
      <c r="H55" s="64">
        <v>12.61</v>
      </c>
      <c r="I55" s="64">
        <v>4.03</v>
      </c>
      <c r="J55" s="64">
        <v>0.96</v>
      </c>
      <c r="K55" s="64">
        <v>336.37</v>
      </c>
      <c r="L55" s="64">
        <v>28.44</v>
      </c>
      <c r="M55" s="64">
        <v>19.7</v>
      </c>
      <c r="N55" s="64">
        <v>544.29999999999995</v>
      </c>
      <c r="O55" s="64">
        <v>0</v>
      </c>
      <c r="P55" s="64">
        <v>0.89</v>
      </c>
      <c r="Q55" s="64">
        <v>9.44</v>
      </c>
      <c r="R55" s="198"/>
      <c r="S55" s="198"/>
      <c r="T55" s="198"/>
      <c r="U55" s="198"/>
    </row>
    <row r="56" spans="1:21" s="12" customFormat="1" x14ac:dyDescent="0.25">
      <c r="A56" s="214" t="s">
        <v>3079</v>
      </c>
      <c r="B56" s="64">
        <v>15.33</v>
      </c>
      <c r="C56" s="64">
        <v>46.11</v>
      </c>
      <c r="D56" s="64">
        <v>34.71</v>
      </c>
      <c r="E56" s="64">
        <v>5.76</v>
      </c>
      <c r="F56" s="64">
        <v>3.1</v>
      </c>
      <c r="G56" s="64">
        <v>38.07</v>
      </c>
      <c r="H56" s="64">
        <v>12.61</v>
      </c>
      <c r="I56" s="64">
        <v>4.03</v>
      </c>
      <c r="J56" s="64">
        <v>0.19</v>
      </c>
      <c r="K56" s="64">
        <v>351.59</v>
      </c>
      <c r="L56" s="64">
        <v>26.81</v>
      </c>
      <c r="M56" s="64">
        <v>23.52</v>
      </c>
      <c r="N56" s="64">
        <v>572.20000000000005</v>
      </c>
      <c r="O56" s="64">
        <v>0</v>
      </c>
      <c r="P56" s="64">
        <v>0.89</v>
      </c>
      <c r="Q56" s="64">
        <v>9.41</v>
      </c>
      <c r="R56" s="198"/>
      <c r="S56" s="198"/>
      <c r="T56" s="198"/>
      <c r="U56" s="198"/>
    </row>
    <row r="57" spans="1:21" s="12" customFormat="1" x14ac:dyDescent="0.25">
      <c r="A57" s="214" t="s">
        <v>3080</v>
      </c>
      <c r="B57" s="64">
        <v>11.78</v>
      </c>
      <c r="C57" s="64">
        <v>48.95</v>
      </c>
      <c r="D57" s="64">
        <v>33.340000000000003</v>
      </c>
      <c r="E57" s="64">
        <v>5.88</v>
      </c>
      <c r="F57" s="64">
        <v>3.4</v>
      </c>
      <c r="G57" s="64">
        <v>30.74</v>
      </c>
      <c r="H57" s="64">
        <v>11.59</v>
      </c>
      <c r="I57" s="64">
        <v>3.97</v>
      </c>
      <c r="J57" s="64">
        <v>0.71</v>
      </c>
      <c r="K57" s="64">
        <v>341.94</v>
      </c>
      <c r="L57" s="64">
        <v>27.56</v>
      </c>
      <c r="M57" s="64">
        <v>19.079999999999998</v>
      </c>
      <c r="N57" s="64">
        <v>582.70000000000005</v>
      </c>
      <c r="O57" s="64">
        <v>0</v>
      </c>
      <c r="P57" s="64">
        <v>0.87</v>
      </c>
      <c r="Q57" s="64">
        <v>9.39</v>
      </c>
      <c r="R57" s="198"/>
      <c r="S57" s="198"/>
      <c r="T57" s="198"/>
      <c r="U57" s="198"/>
    </row>
    <row r="58" spans="1:21" s="12" customFormat="1" x14ac:dyDescent="0.25">
      <c r="A58" s="214" t="s">
        <v>3081</v>
      </c>
      <c r="B58" s="64">
        <v>9.2799999999999994</v>
      </c>
      <c r="C58" s="64">
        <v>50.38</v>
      </c>
      <c r="D58" s="64">
        <v>32.090000000000003</v>
      </c>
      <c r="E58" s="64">
        <v>5.7</v>
      </c>
      <c r="F58" s="64">
        <v>3.18</v>
      </c>
      <c r="G58" s="64">
        <v>22.74</v>
      </c>
      <c r="H58" s="64">
        <v>11.02</v>
      </c>
      <c r="I58" s="64">
        <v>3.9</v>
      </c>
      <c r="J58" s="64">
        <v>0.73</v>
      </c>
      <c r="K58" s="64">
        <v>144.30000000000001</v>
      </c>
      <c r="L58" s="64">
        <v>26.08</v>
      </c>
      <c r="M58" s="64">
        <v>20.63</v>
      </c>
      <c r="N58" s="64">
        <v>555.29999999999995</v>
      </c>
      <c r="O58" s="64">
        <v>0</v>
      </c>
      <c r="P58" s="64">
        <v>0.84</v>
      </c>
      <c r="Q58" s="64">
        <v>9.3800000000000008</v>
      </c>
      <c r="R58" s="198"/>
      <c r="S58" s="198"/>
      <c r="T58" s="198"/>
      <c r="U58" s="198"/>
    </row>
    <row r="59" spans="1:21" s="12" customFormat="1" x14ac:dyDescent="0.25">
      <c r="A59" s="214" t="s">
        <v>3082</v>
      </c>
      <c r="B59" s="64">
        <v>6.51</v>
      </c>
      <c r="C59" s="64">
        <v>51.94</v>
      </c>
      <c r="D59" s="64">
        <v>30.68</v>
      </c>
      <c r="E59" s="64">
        <v>5.42</v>
      </c>
      <c r="F59" s="64">
        <v>3.34</v>
      </c>
      <c r="G59" s="64">
        <v>22.74</v>
      </c>
      <c r="H59" s="64">
        <v>11.02</v>
      </c>
      <c r="I59" s="64">
        <v>3.85</v>
      </c>
      <c r="J59" s="64">
        <v>0.19</v>
      </c>
      <c r="K59" s="64">
        <v>278.81</v>
      </c>
      <c r="L59" s="64">
        <v>26.91</v>
      </c>
      <c r="M59" s="64">
        <v>19.14</v>
      </c>
      <c r="N59" s="64">
        <v>526.20000000000005</v>
      </c>
      <c r="O59" s="64">
        <v>0</v>
      </c>
      <c r="P59" s="64">
        <v>0.81</v>
      </c>
      <c r="Q59" s="64">
        <v>9.36</v>
      </c>
      <c r="R59" s="198"/>
      <c r="S59" s="198"/>
      <c r="T59" s="198"/>
      <c r="U59" s="198"/>
    </row>
    <row r="60" spans="1:21" s="12" customFormat="1" x14ac:dyDescent="0.25">
      <c r="A60" s="214" t="s">
        <v>3083</v>
      </c>
      <c r="B60" s="64">
        <v>3.72</v>
      </c>
      <c r="C60" s="64">
        <v>51.43</v>
      </c>
      <c r="D60" s="64">
        <v>28.18</v>
      </c>
      <c r="E60" s="64">
        <v>6.45</v>
      </c>
      <c r="F60" s="64">
        <v>5.04</v>
      </c>
      <c r="G60" s="64">
        <v>22.74</v>
      </c>
      <c r="H60" s="64">
        <v>11.02</v>
      </c>
      <c r="I60" s="64">
        <v>3.74</v>
      </c>
      <c r="J60" s="64">
        <v>0.4</v>
      </c>
      <c r="K60" s="64">
        <v>125.23</v>
      </c>
      <c r="L60" s="64">
        <v>26.11</v>
      </c>
      <c r="M60" s="64">
        <v>20.21</v>
      </c>
      <c r="N60" s="64">
        <v>498</v>
      </c>
      <c r="O60" s="64">
        <v>0</v>
      </c>
      <c r="P60" s="64">
        <v>0.78</v>
      </c>
      <c r="Q60" s="64">
        <v>9.35</v>
      </c>
      <c r="R60" s="198"/>
      <c r="S60" s="198"/>
      <c r="T60" s="198"/>
      <c r="U60" s="198"/>
    </row>
    <row r="61" spans="1:21" s="12" customFormat="1" x14ac:dyDescent="0.25">
      <c r="A61" s="214" t="s">
        <v>3084</v>
      </c>
      <c r="B61" s="64">
        <v>2.64</v>
      </c>
      <c r="C61" s="64">
        <v>51.62</v>
      </c>
      <c r="D61" s="64">
        <v>27.41</v>
      </c>
      <c r="E61" s="64">
        <v>5.18</v>
      </c>
      <c r="F61" s="64">
        <v>3.65</v>
      </c>
      <c r="G61" s="64">
        <v>29.68</v>
      </c>
      <c r="H61" s="64">
        <v>10.41</v>
      </c>
      <c r="I61" s="64">
        <v>3.58</v>
      </c>
      <c r="J61" s="64">
        <v>0.76</v>
      </c>
      <c r="K61" s="64">
        <v>329.95</v>
      </c>
      <c r="L61" s="64">
        <v>27.21</v>
      </c>
      <c r="M61" s="64">
        <v>19.27</v>
      </c>
      <c r="N61" s="64">
        <v>489</v>
      </c>
      <c r="O61" s="64">
        <v>0</v>
      </c>
      <c r="P61" s="64">
        <v>0.84</v>
      </c>
      <c r="Q61" s="64">
        <v>9.33</v>
      </c>
      <c r="R61" s="198"/>
      <c r="S61" s="198"/>
      <c r="T61" s="198"/>
      <c r="U61" s="198"/>
    </row>
    <row r="62" spans="1:21" s="12" customFormat="1" x14ac:dyDescent="0.25">
      <c r="A62" s="214" t="s">
        <v>3085</v>
      </c>
      <c r="B62" s="64">
        <v>2.31</v>
      </c>
      <c r="C62" s="64">
        <v>49.47</v>
      </c>
      <c r="D62" s="64">
        <v>26.02</v>
      </c>
      <c r="E62" s="64">
        <v>5.14</v>
      </c>
      <c r="F62" s="64">
        <v>5.59</v>
      </c>
      <c r="G62" s="64">
        <v>37.270000000000003</v>
      </c>
      <c r="H62" s="64">
        <v>10.050000000000001</v>
      </c>
      <c r="I62" s="64">
        <v>3.44</v>
      </c>
      <c r="J62" s="64">
        <v>1.27</v>
      </c>
      <c r="K62" s="64">
        <v>137.1</v>
      </c>
      <c r="L62" s="64">
        <v>25.02</v>
      </c>
      <c r="M62" s="64">
        <v>22.84</v>
      </c>
      <c r="N62" s="64">
        <v>484.1</v>
      </c>
      <c r="O62" s="64">
        <v>0</v>
      </c>
      <c r="P62" s="64">
        <v>0.84</v>
      </c>
      <c r="Q62" s="64">
        <v>9.32</v>
      </c>
      <c r="R62" s="198"/>
      <c r="S62" s="198"/>
      <c r="T62" s="198"/>
      <c r="U62" s="198"/>
    </row>
    <row r="63" spans="1:21" s="12" customFormat="1" x14ac:dyDescent="0.25">
      <c r="A63" s="214" t="s">
        <v>3086</v>
      </c>
      <c r="B63" s="64">
        <v>4.5</v>
      </c>
      <c r="C63" s="64">
        <v>46.74</v>
      </c>
      <c r="D63" s="64">
        <v>26.35</v>
      </c>
      <c r="E63" s="64">
        <v>5.98</v>
      </c>
      <c r="F63" s="64">
        <v>7.19</v>
      </c>
      <c r="G63" s="64">
        <v>37.270000000000003</v>
      </c>
      <c r="H63" s="64">
        <v>10.050000000000001</v>
      </c>
      <c r="I63" s="64">
        <v>3.46</v>
      </c>
      <c r="J63" s="64">
        <v>0.28999999999999998</v>
      </c>
      <c r="K63" s="64">
        <v>350.25</v>
      </c>
      <c r="L63" s="64">
        <v>25.54</v>
      </c>
      <c r="M63" s="64">
        <v>20.69</v>
      </c>
      <c r="N63" s="64">
        <v>441.3</v>
      </c>
      <c r="O63" s="64">
        <v>0</v>
      </c>
      <c r="P63" s="64">
        <v>0.78</v>
      </c>
      <c r="Q63" s="64">
        <v>9.33</v>
      </c>
      <c r="R63" s="198"/>
      <c r="S63" s="198"/>
      <c r="T63" s="198"/>
      <c r="U63" s="198"/>
    </row>
    <row r="64" spans="1:21" s="12" customFormat="1" x14ac:dyDescent="0.25">
      <c r="A64" s="214" t="s">
        <v>3087</v>
      </c>
      <c r="B64" s="64">
        <v>2.91</v>
      </c>
      <c r="C64" s="64">
        <v>46.9</v>
      </c>
      <c r="D64" s="64">
        <v>25.16</v>
      </c>
      <c r="E64" s="64">
        <v>9.48</v>
      </c>
      <c r="F64" s="64">
        <v>10.91</v>
      </c>
      <c r="G64" s="64">
        <v>37.270000000000003</v>
      </c>
      <c r="H64" s="64">
        <v>10.050000000000001</v>
      </c>
      <c r="I64" s="64">
        <v>3.29</v>
      </c>
      <c r="J64" s="64">
        <v>0.26</v>
      </c>
      <c r="K64" s="64">
        <v>5.3</v>
      </c>
      <c r="L64" s="64">
        <v>26.1</v>
      </c>
      <c r="M64" s="64">
        <v>22.81</v>
      </c>
      <c r="N64" s="64">
        <v>379.9</v>
      </c>
      <c r="O64" s="64">
        <v>0</v>
      </c>
      <c r="P64" s="64">
        <v>0.76</v>
      </c>
      <c r="Q64" s="64">
        <v>9.33</v>
      </c>
      <c r="R64" s="198"/>
      <c r="S64" s="198"/>
      <c r="T64" s="198"/>
      <c r="U64" s="198"/>
    </row>
    <row r="65" spans="1:21" s="12" customFormat="1" x14ac:dyDescent="0.25">
      <c r="A65" s="214" t="s">
        <v>3088</v>
      </c>
      <c r="B65" s="64">
        <v>2.4700000000000002</v>
      </c>
      <c r="C65" s="64">
        <v>45</v>
      </c>
      <c r="D65" s="64">
        <v>23.81</v>
      </c>
      <c r="E65" s="64">
        <v>7.48</v>
      </c>
      <c r="F65" s="64">
        <v>12.2</v>
      </c>
      <c r="G65" s="64">
        <v>32.96</v>
      </c>
      <c r="H65" s="64">
        <v>9.59</v>
      </c>
      <c r="I65" s="64">
        <v>3.07</v>
      </c>
      <c r="J65" s="64">
        <v>0.19</v>
      </c>
      <c r="K65" s="64">
        <v>342.1</v>
      </c>
      <c r="L65" s="64">
        <v>25.7</v>
      </c>
      <c r="M65" s="64">
        <v>19.690000000000001</v>
      </c>
      <c r="N65" s="64">
        <v>152.69999999999999</v>
      </c>
      <c r="O65" s="64">
        <v>0</v>
      </c>
      <c r="P65" s="64">
        <v>0.77</v>
      </c>
      <c r="Q65" s="64">
        <v>9.34</v>
      </c>
      <c r="R65" s="198"/>
      <c r="S65" s="198"/>
      <c r="T65" s="198"/>
      <c r="U65" s="198"/>
    </row>
    <row r="66" spans="1:21" s="12" customFormat="1" x14ac:dyDescent="0.25">
      <c r="A66" s="214" t="s">
        <v>3089</v>
      </c>
      <c r="B66" s="64">
        <v>2.4300000000000002</v>
      </c>
      <c r="C66" s="64">
        <v>43.76</v>
      </c>
      <c r="D66" s="64">
        <v>23.13</v>
      </c>
      <c r="E66" s="64">
        <v>8.34</v>
      </c>
      <c r="F66" s="64">
        <v>10.52</v>
      </c>
      <c r="G66" s="64">
        <v>28.25</v>
      </c>
      <c r="H66" s="64">
        <v>9.0399999999999991</v>
      </c>
      <c r="I66" s="64">
        <v>3.02</v>
      </c>
      <c r="J66" s="64">
        <v>0.64</v>
      </c>
      <c r="K66" s="64">
        <v>312.07</v>
      </c>
      <c r="L66" s="64">
        <v>24.81</v>
      </c>
      <c r="M66" s="64">
        <v>18.510000000000002</v>
      </c>
      <c r="N66" s="64">
        <v>104.8</v>
      </c>
      <c r="O66" s="64">
        <v>0</v>
      </c>
      <c r="P66" s="64">
        <v>0.7</v>
      </c>
      <c r="Q66" s="64">
        <v>9.34</v>
      </c>
      <c r="R66" s="198"/>
      <c r="S66" s="198"/>
      <c r="T66" s="198"/>
      <c r="U66" s="198"/>
    </row>
    <row r="67" spans="1:21" s="12" customFormat="1" x14ac:dyDescent="0.25">
      <c r="A67" s="214" t="s">
        <v>3090</v>
      </c>
      <c r="B67" s="64">
        <v>0.45</v>
      </c>
      <c r="C67" s="64">
        <v>47.22</v>
      </c>
      <c r="D67" s="64">
        <v>23.36</v>
      </c>
      <c r="E67" s="64">
        <v>5.2</v>
      </c>
      <c r="F67" s="64">
        <v>4.9400000000000004</v>
      </c>
      <c r="G67" s="64">
        <v>28.25</v>
      </c>
      <c r="H67" s="64">
        <v>9.0399999999999991</v>
      </c>
      <c r="I67" s="64">
        <v>2.5099999999999998</v>
      </c>
      <c r="J67" s="64">
        <v>0.4</v>
      </c>
      <c r="K67" s="64">
        <v>308.08</v>
      </c>
      <c r="L67" s="64">
        <v>24.69</v>
      </c>
      <c r="M67" s="64">
        <v>16.62</v>
      </c>
      <c r="N67" s="64">
        <v>91.2</v>
      </c>
      <c r="O67" s="64">
        <v>0</v>
      </c>
      <c r="P67" s="64">
        <v>0.56999999999999995</v>
      </c>
      <c r="Q67" s="64">
        <v>9.34</v>
      </c>
      <c r="R67" s="198"/>
      <c r="S67" s="198"/>
      <c r="T67" s="198"/>
      <c r="U67" s="198"/>
    </row>
    <row r="68" spans="1:21" s="12" customFormat="1" x14ac:dyDescent="0.25">
      <c r="A68" s="214" t="s">
        <v>3091</v>
      </c>
      <c r="B68" s="64">
        <v>2.0699999999999998</v>
      </c>
      <c r="C68" s="64">
        <v>47.19</v>
      </c>
      <c r="D68" s="64">
        <v>24.64</v>
      </c>
      <c r="E68" s="64">
        <v>5.5</v>
      </c>
      <c r="F68" s="64">
        <v>8</v>
      </c>
      <c r="G68" s="64">
        <v>28.25</v>
      </c>
      <c r="H68" s="64">
        <v>9.0399999999999991</v>
      </c>
      <c r="I68" s="64">
        <v>2.4300000000000002</v>
      </c>
      <c r="J68" s="64">
        <v>0.34</v>
      </c>
      <c r="K68" s="64">
        <v>324.52999999999997</v>
      </c>
      <c r="L68" s="64">
        <v>24.51</v>
      </c>
      <c r="M68" s="64">
        <v>18.190000000000001</v>
      </c>
      <c r="N68" s="64">
        <v>74</v>
      </c>
      <c r="O68" s="64">
        <v>0</v>
      </c>
      <c r="P68" s="64">
        <v>0.57999999999999996</v>
      </c>
      <c r="Q68" s="64">
        <v>9.35</v>
      </c>
      <c r="R68" s="198"/>
      <c r="S68" s="198"/>
      <c r="T68" s="198"/>
      <c r="U68" s="198"/>
    </row>
    <row r="69" spans="1:21" s="12" customFormat="1" x14ac:dyDescent="0.25">
      <c r="A69" s="214" t="s">
        <v>3092</v>
      </c>
      <c r="B69" s="64">
        <v>1.5</v>
      </c>
      <c r="C69" s="64">
        <v>44.38</v>
      </c>
      <c r="D69" s="64">
        <v>22.71</v>
      </c>
      <c r="E69" s="64">
        <v>7.45</v>
      </c>
      <c r="F69" s="64">
        <v>8.67</v>
      </c>
      <c r="G69" s="64">
        <v>25.92</v>
      </c>
      <c r="H69" s="64">
        <v>9.18</v>
      </c>
      <c r="I69" s="64">
        <v>1.86</v>
      </c>
      <c r="J69" s="64">
        <v>0.41</v>
      </c>
      <c r="K69" s="64">
        <v>322.89999999999998</v>
      </c>
      <c r="L69" s="64">
        <v>24.31</v>
      </c>
      <c r="M69" s="64">
        <v>19.29</v>
      </c>
      <c r="N69" s="64">
        <v>69.2</v>
      </c>
      <c r="O69" s="64">
        <v>0</v>
      </c>
      <c r="P69" s="64">
        <v>0.61</v>
      </c>
      <c r="Q69" s="64">
        <v>9.33</v>
      </c>
      <c r="R69" s="198"/>
      <c r="S69" s="198"/>
      <c r="T69" s="198"/>
      <c r="U69" s="198"/>
    </row>
    <row r="70" spans="1:21" s="12" customFormat="1" x14ac:dyDescent="0.25">
      <c r="A70" s="214" t="s">
        <v>3093</v>
      </c>
      <c r="B70" s="64">
        <v>0.81</v>
      </c>
      <c r="C70" s="64">
        <v>45.19</v>
      </c>
      <c r="D70" s="64">
        <v>22.58</v>
      </c>
      <c r="E70" s="64">
        <v>5.63</v>
      </c>
      <c r="F70" s="64">
        <v>6.78</v>
      </c>
      <c r="G70" s="64">
        <v>23.38</v>
      </c>
      <c r="H70" s="64">
        <v>9.26</v>
      </c>
      <c r="I70" s="64">
        <v>1.82</v>
      </c>
      <c r="J70" s="64">
        <v>0.19</v>
      </c>
      <c r="K70" s="64">
        <v>191.15</v>
      </c>
      <c r="L70" s="64">
        <v>24.07</v>
      </c>
      <c r="M70" s="64">
        <v>19.920000000000002</v>
      </c>
      <c r="N70" s="64">
        <v>66.5</v>
      </c>
      <c r="O70" s="64">
        <v>0</v>
      </c>
      <c r="P70" s="64">
        <v>0.57999999999999996</v>
      </c>
      <c r="Q70" s="64">
        <v>9.3000000000000007</v>
      </c>
      <c r="R70" s="198"/>
      <c r="S70" s="198"/>
      <c r="T70" s="198"/>
      <c r="U70" s="198"/>
    </row>
    <row r="71" spans="1:21" s="12" customFormat="1" x14ac:dyDescent="0.25">
      <c r="A71" s="214" t="s">
        <v>3094</v>
      </c>
      <c r="B71" s="64">
        <v>0.83</v>
      </c>
      <c r="C71" s="64">
        <v>41.42</v>
      </c>
      <c r="D71" s="64">
        <v>20.63</v>
      </c>
      <c r="E71" s="64">
        <v>8.33</v>
      </c>
      <c r="F71" s="64">
        <v>8.67</v>
      </c>
      <c r="G71" s="64">
        <v>23.38</v>
      </c>
      <c r="H71" s="64">
        <v>9.26</v>
      </c>
      <c r="I71" s="64">
        <v>1.97</v>
      </c>
      <c r="J71" s="64">
        <v>0.42</v>
      </c>
      <c r="K71" s="64">
        <v>325.70999999999998</v>
      </c>
      <c r="L71" s="64">
        <v>23.88</v>
      </c>
      <c r="M71" s="64">
        <v>20.6</v>
      </c>
      <c r="N71" s="64">
        <v>60.5</v>
      </c>
      <c r="O71" s="64">
        <v>0</v>
      </c>
      <c r="P71" s="64">
        <v>0.55000000000000004</v>
      </c>
      <c r="Q71" s="64">
        <v>9.2899999999999991</v>
      </c>
      <c r="R71" s="198"/>
      <c r="S71" s="198"/>
      <c r="T71" s="198"/>
      <c r="U71" s="198"/>
    </row>
    <row r="72" spans="1:21" s="12" customFormat="1" x14ac:dyDescent="0.25">
      <c r="A72" s="214" t="s">
        <v>3095</v>
      </c>
      <c r="B72" s="64">
        <v>3.27</v>
      </c>
      <c r="C72" s="64">
        <v>46.06</v>
      </c>
      <c r="D72" s="64">
        <v>25.01</v>
      </c>
      <c r="E72" s="64">
        <v>8.32</v>
      </c>
      <c r="F72" s="64">
        <v>9.25</v>
      </c>
      <c r="G72" s="64">
        <v>23.38</v>
      </c>
      <c r="H72" s="64">
        <v>9.26</v>
      </c>
      <c r="I72" s="64">
        <v>1.95</v>
      </c>
      <c r="J72" s="64">
        <v>0.31</v>
      </c>
      <c r="K72" s="64">
        <v>9.02</v>
      </c>
      <c r="L72" s="64">
        <v>23.6</v>
      </c>
      <c r="M72" s="64">
        <v>21.12</v>
      </c>
      <c r="N72" s="64">
        <v>56.8</v>
      </c>
      <c r="O72" s="64">
        <v>0</v>
      </c>
      <c r="P72" s="64">
        <v>0.61</v>
      </c>
      <c r="Q72" s="64">
        <v>9.3000000000000007</v>
      </c>
      <c r="R72" s="198"/>
      <c r="S72" s="198"/>
      <c r="T72" s="198"/>
      <c r="U72" s="198"/>
    </row>
    <row r="73" spans="1:21" s="12" customFormat="1" x14ac:dyDescent="0.25">
      <c r="A73" s="214" t="s">
        <v>3096</v>
      </c>
      <c r="B73" s="64">
        <v>1.03</v>
      </c>
      <c r="C73" s="64">
        <v>42.77</v>
      </c>
      <c r="D73" s="64">
        <v>21.49</v>
      </c>
      <c r="E73" s="64">
        <v>8.17</v>
      </c>
      <c r="F73" s="64">
        <v>8.02</v>
      </c>
      <c r="G73" s="64">
        <v>22.3</v>
      </c>
      <c r="H73" s="64">
        <v>9.01</v>
      </c>
      <c r="I73" s="64">
        <v>1.96</v>
      </c>
      <c r="J73" s="64">
        <v>0.21</v>
      </c>
      <c r="K73" s="64">
        <v>205.12</v>
      </c>
      <c r="L73" s="64">
        <v>23.38</v>
      </c>
      <c r="M73" s="64">
        <v>20.399999999999999</v>
      </c>
      <c r="N73" s="64">
        <v>52.6</v>
      </c>
      <c r="O73" s="64">
        <v>0</v>
      </c>
      <c r="P73" s="64">
        <v>0.56999999999999995</v>
      </c>
      <c r="Q73" s="64">
        <v>9.3000000000000007</v>
      </c>
      <c r="R73" s="198"/>
      <c r="S73" s="198"/>
      <c r="T73" s="198"/>
      <c r="U73" s="198"/>
    </row>
    <row r="74" spans="1:21" s="12" customFormat="1" x14ac:dyDescent="0.25">
      <c r="A74" s="214" t="s">
        <v>3097</v>
      </c>
      <c r="B74" s="64">
        <v>1.0900000000000001</v>
      </c>
      <c r="C74" s="64">
        <v>41.75</v>
      </c>
      <c r="D74" s="64">
        <v>21.01</v>
      </c>
      <c r="E74" s="64">
        <v>10.57</v>
      </c>
      <c r="F74" s="64">
        <v>12.39</v>
      </c>
      <c r="G74" s="64">
        <v>21.13</v>
      </c>
      <c r="H74" s="64">
        <v>8.86</v>
      </c>
      <c r="I74" s="64">
        <v>1.96</v>
      </c>
      <c r="J74" s="64">
        <v>0.56000000000000005</v>
      </c>
      <c r="K74" s="64">
        <v>129.27000000000001</v>
      </c>
      <c r="L74" s="64">
        <v>23.32</v>
      </c>
      <c r="M74" s="64">
        <v>19.329999999999998</v>
      </c>
      <c r="N74" s="64">
        <v>48.2</v>
      </c>
      <c r="O74" s="64">
        <v>0</v>
      </c>
      <c r="P74" s="64">
        <v>0.53</v>
      </c>
      <c r="Q74" s="64">
        <v>9.2899999999999991</v>
      </c>
      <c r="R74" s="198"/>
      <c r="S74" s="198"/>
      <c r="T74" s="198"/>
      <c r="U74" s="198"/>
    </row>
    <row r="75" spans="1:21" s="12" customFormat="1" x14ac:dyDescent="0.25">
      <c r="A75" s="214" t="s">
        <v>3098</v>
      </c>
      <c r="B75" s="64">
        <v>3.15</v>
      </c>
      <c r="C75" s="64">
        <v>45.91</v>
      </c>
      <c r="D75" s="64">
        <v>24.84</v>
      </c>
      <c r="E75" s="64">
        <v>9.83</v>
      </c>
      <c r="F75" s="64">
        <v>7.25</v>
      </c>
      <c r="G75" s="64">
        <v>21.13</v>
      </c>
      <c r="H75" s="64">
        <v>8.86</v>
      </c>
      <c r="I75" s="64">
        <v>1.97</v>
      </c>
      <c r="J75" s="64">
        <v>0.68</v>
      </c>
      <c r="K75" s="64">
        <v>307.48</v>
      </c>
      <c r="L75" s="64">
        <v>22.68</v>
      </c>
      <c r="M75" s="64">
        <v>22.96</v>
      </c>
      <c r="N75" s="64">
        <v>43.9</v>
      </c>
      <c r="O75" s="64">
        <v>0</v>
      </c>
      <c r="P75" s="64">
        <v>0.68</v>
      </c>
      <c r="Q75" s="64">
        <v>9.2899999999999991</v>
      </c>
      <c r="R75" s="198"/>
      <c r="S75" s="198"/>
      <c r="T75" s="198"/>
      <c r="U75" s="198"/>
    </row>
    <row r="76" spans="1:21" s="12" customFormat="1" x14ac:dyDescent="0.25">
      <c r="A76" s="214" t="s">
        <v>3099</v>
      </c>
      <c r="B76" s="64">
        <v>3.28</v>
      </c>
      <c r="C76" s="64">
        <v>53.21</v>
      </c>
      <c r="D76" s="64">
        <v>28.75</v>
      </c>
      <c r="E76" s="64">
        <v>9.2799999999999994</v>
      </c>
      <c r="F76" s="64">
        <v>5.33</v>
      </c>
      <c r="G76" s="64">
        <v>21.13</v>
      </c>
      <c r="H76" s="64">
        <v>8.86</v>
      </c>
      <c r="I76" s="64">
        <v>1.95</v>
      </c>
      <c r="J76" s="64">
        <v>0.57999999999999996</v>
      </c>
      <c r="K76" s="64">
        <v>269.49</v>
      </c>
      <c r="L76" s="64">
        <v>21.93</v>
      </c>
      <c r="M76" s="64">
        <v>23.81</v>
      </c>
      <c r="N76" s="64">
        <v>39.4</v>
      </c>
      <c r="O76" s="64">
        <v>0</v>
      </c>
      <c r="P76" s="64">
        <v>0.72</v>
      </c>
      <c r="Q76" s="64">
        <v>9.3000000000000007</v>
      </c>
      <c r="R76" s="198"/>
      <c r="S76" s="198"/>
      <c r="T76" s="198"/>
      <c r="U76" s="198"/>
    </row>
    <row r="77" spans="1:21" s="12" customFormat="1" x14ac:dyDescent="0.25">
      <c r="A77" s="214" t="s">
        <v>3100</v>
      </c>
      <c r="B77" s="64">
        <v>13.76</v>
      </c>
      <c r="C77" s="64">
        <v>47.87</v>
      </c>
      <c r="D77" s="64">
        <v>34.369999999999997</v>
      </c>
      <c r="E77" s="64">
        <v>8.75</v>
      </c>
      <c r="F77" s="64">
        <v>2.84</v>
      </c>
      <c r="G77" s="64">
        <v>24.56</v>
      </c>
      <c r="H77" s="64">
        <v>9.07</v>
      </c>
      <c r="I77" s="64">
        <v>2.19</v>
      </c>
      <c r="J77" s="64">
        <v>0.33</v>
      </c>
      <c r="K77" s="64">
        <v>173.47</v>
      </c>
      <c r="L77" s="64">
        <v>20.87</v>
      </c>
      <c r="M77" s="64">
        <v>28.23</v>
      </c>
      <c r="N77" s="64">
        <v>34.799999999999997</v>
      </c>
      <c r="O77" s="64">
        <v>0</v>
      </c>
      <c r="P77" s="64">
        <v>0.84</v>
      </c>
      <c r="Q77" s="64">
        <v>9.3000000000000007</v>
      </c>
      <c r="R77" s="198"/>
      <c r="S77" s="198"/>
      <c r="T77" s="198"/>
      <c r="U77" s="198"/>
    </row>
    <row r="78" spans="1:21" s="12" customFormat="1" x14ac:dyDescent="0.25">
      <c r="A78" s="214" t="s">
        <v>3101</v>
      </c>
      <c r="B78" s="64">
        <v>9.9600000000000009</v>
      </c>
      <c r="C78" s="64">
        <v>47.04</v>
      </c>
      <c r="D78" s="64">
        <v>30.88</v>
      </c>
      <c r="E78" s="64">
        <v>6.45</v>
      </c>
      <c r="F78" s="64">
        <v>2.5499999999999998</v>
      </c>
      <c r="G78" s="64">
        <v>28.3</v>
      </c>
      <c r="H78" s="64">
        <v>9.19</v>
      </c>
      <c r="I78" s="64">
        <v>2.65</v>
      </c>
      <c r="J78" s="64">
        <v>0.59</v>
      </c>
      <c r="K78" s="64">
        <v>259.13</v>
      </c>
      <c r="L78" s="64">
        <v>19.88</v>
      </c>
      <c r="M78" s="64">
        <v>31.1</v>
      </c>
      <c r="N78" s="64">
        <v>31.4</v>
      </c>
      <c r="O78" s="64">
        <v>0</v>
      </c>
      <c r="P78" s="64">
        <v>0.78</v>
      </c>
      <c r="Q78" s="64">
        <v>9.31</v>
      </c>
      <c r="R78" s="198"/>
      <c r="S78" s="198"/>
      <c r="T78" s="198"/>
      <c r="U78" s="198"/>
    </row>
    <row r="79" spans="1:21" s="12" customFormat="1" x14ac:dyDescent="0.25">
      <c r="A79" s="214" t="s">
        <v>3102</v>
      </c>
      <c r="B79" s="64">
        <v>11.5</v>
      </c>
      <c r="C79" s="64">
        <v>47.72</v>
      </c>
      <c r="D79" s="64">
        <v>32.479999999999997</v>
      </c>
      <c r="E79" s="64">
        <v>6.03</v>
      </c>
      <c r="F79" s="64">
        <v>2.37</v>
      </c>
      <c r="G79" s="64">
        <v>28.3</v>
      </c>
      <c r="H79" s="64">
        <v>9.19</v>
      </c>
      <c r="I79" s="64">
        <v>2.5499999999999998</v>
      </c>
      <c r="J79" s="64">
        <v>0.14000000000000001</v>
      </c>
      <c r="K79" s="64">
        <v>262.35000000000002</v>
      </c>
      <c r="L79" s="64">
        <v>19</v>
      </c>
      <c r="M79" s="64">
        <v>34.950000000000003</v>
      </c>
      <c r="N79" s="64">
        <v>30.3</v>
      </c>
      <c r="O79" s="64">
        <v>0</v>
      </c>
      <c r="P79" s="64">
        <v>0.83</v>
      </c>
      <c r="Q79" s="64">
        <v>9.32</v>
      </c>
      <c r="R79" s="198"/>
      <c r="S79" s="198"/>
      <c r="T79" s="198"/>
      <c r="U79" s="198"/>
    </row>
    <row r="80" spans="1:21" s="12" customFormat="1" x14ac:dyDescent="0.25">
      <c r="A80" s="214" t="s">
        <v>3103</v>
      </c>
      <c r="B80" s="64">
        <v>45.76</v>
      </c>
      <c r="C80" s="64">
        <v>39.880000000000003</v>
      </c>
      <c r="D80" s="64">
        <v>55.85</v>
      </c>
      <c r="E80" s="64">
        <v>7.63</v>
      </c>
      <c r="F80" s="64">
        <v>2.69</v>
      </c>
      <c r="G80" s="64">
        <v>28.3</v>
      </c>
      <c r="H80" s="64">
        <v>9.19</v>
      </c>
      <c r="I80" s="64">
        <v>2.73</v>
      </c>
      <c r="J80" s="64">
        <v>0.62</v>
      </c>
      <c r="K80" s="64">
        <v>106.41</v>
      </c>
      <c r="L80" s="64">
        <v>18.22</v>
      </c>
      <c r="M80" s="64">
        <v>44.91</v>
      </c>
      <c r="N80" s="64">
        <v>29.9</v>
      </c>
      <c r="O80" s="64">
        <v>0</v>
      </c>
      <c r="P80" s="64">
        <v>1.22</v>
      </c>
      <c r="Q80" s="64">
        <v>9.35</v>
      </c>
      <c r="R80" s="198"/>
      <c r="S80" s="198"/>
      <c r="T80" s="198"/>
      <c r="U80" s="198"/>
    </row>
    <row r="81" spans="1:26" s="12" customFormat="1" x14ac:dyDescent="0.25">
      <c r="A81" s="214" t="s">
        <v>3104</v>
      </c>
      <c r="B81" s="64">
        <v>59.14</v>
      </c>
      <c r="C81" s="64">
        <v>30.98</v>
      </c>
      <c r="D81" s="64">
        <v>61.71</v>
      </c>
      <c r="E81" s="64">
        <v>7.13</v>
      </c>
      <c r="F81" s="64">
        <v>2.27</v>
      </c>
      <c r="G81" s="64">
        <v>49.1</v>
      </c>
      <c r="H81" s="64">
        <v>11.66</v>
      </c>
      <c r="I81" s="64">
        <v>3.2</v>
      </c>
      <c r="J81" s="64">
        <v>0.35</v>
      </c>
      <c r="K81" s="64">
        <v>338.92</v>
      </c>
      <c r="L81" s="64">
        <v>17.39</v>
      </c>
      <c r="M81" s="64">
        <v>50.98</v>
      </c>
      <c r="N81" s="64">
        <v>29.8</v>
      </c>
      <c r="O81" s="64">
        <v>0</v>
      </c>
      <c r="P81" s="64">
        <v>1.45</v>
      </c>
      <c r="Q81" s="64">
        <v>9.39</v>
      </c>
      <c r="R81" s="198"/>
      <c r="S81" s="198"/>
      <c r="T81" s="198"/>
      <c r="U81" s="198"/>
    </row>
    <row r="82" spans="1:26" s="12" customFormat="1" x14ac:dyDescent="0.25">
      <c r="A82" s="214" t="s">
        <v>3105</v>
      </c>
      <c r="B82" s="64">
        <v>56.65</v>
      </c>
      <c r="C82" s="64">
        <v>29.93</v>
      </c>
      <c r="D82" s="64">
        <v>58.83</v>
      </c>
      <c r="E82" s="64">
        <v>6.9</v>
      </c>
      <c r="F82" s="64">
        <v>2.14</v>
      </c>
      <c r="G82" s="64">
        <v>71.84</v>
      </c>
      <c r="H82" s="64">
        <v>14.63</v>
      </c>
      <c r="I82" s="64">
        <v>3.84</v>
      </c>
      <c r="J82" s="64">
        <v>0.52</v>
      </c>
      <c r="K82" s="64">
        <v>274.51</v>
      </c>
      <c r="L82" s="64">
        <v>16.78</v>
      </c>
      <c r="M82" s="64">
        <v>55.76</v>
      </c>
      <c r="N82" s="64">
        <v>29.6</v>
      </c>
      <c r="O82" s="64">
        <v>0</v>
      </c>
      <c r="P82" s="64">
        <v>1.41</v>
      </c>
      <c r="Q82" s="64">
        <v>9.43</v>
      </c>
      <c r="R82" s="198"/>
      <c r="S82" s="198"/>
      <c r="T82" s="198"/>
      <c r="U82" s="198"/>
    </row>
    <row r="83" spans="1:26" s="12" customFormat="1" x14ac:dyDescent="0.25">
      <c r="A83" s="214" t="s">
        <v>3106</v>
      </c>
      <c r="B83" s="64">
        <v>68.739999999999995</v>
      </c>
      <c r="C83" s="64">
        <v>24.47</v>
      </c>
      <c r="D83" s="64">
        <v>65.63</v>
      </c>
      <c r="E83" s="64">
        <v>6.9</v>
      </c>
      <c r="F83" s="64">
        <v>2.36</v>
      </c>
      <c r="G83" s="64">
        <v>71.84</v>
      </c>
      <c r="H83" s="64">
        <v>14.63</v>
      </c>
      <c r="I83" s="64">
        <v>4.51</v>
      </c>
      <c r="J83" s="64">
        <v>0.08</v>
      </c>
      <c r="K83" s="64">
        <v>329.77</v>
      </c>
      <c r="L83" s="64">
        <v>16.34</v>
      </c>
      <c r="M83" s="64">
        <v>60.03</v>
      </c>
      <c r="N83" s="64">
        <v>29.6</v>
      </c>
      <c r="O83" s="64">
        <v>0</v>
      </c>
      <c r="P83" s="64">
        <v>1.56</v>
      </c>
      <c r="Q83" s="64">
        <v>9.5</v>
      </c>
      <c r="R83" s="198"/>
      <c r="S83" s="198"/>
      <c r="T83" s="198"/>
      <c r="U83" s="198"/>
    </row>
    <row r="84" spans="1:26" s="12" customFormat="1" x14ac:dyDescent="0.25">
      <c r="A84" s="214" t="s">
        <v>3107</v>
      </c>
      <c r="B84" s="64">
        <v>62.78</v>
      </c>
      <c r="C84" s="64">
        <v>26.99</v>
      </c>
      <c r="D84" s="64">
        <v>62.77</v>
      </c>
      <c r="E84" s="64">
        <v>6.35</v>
      </c>
      <c r="F84" s="64">
        <v>2.39</v>
      </c>
      <c r="G84" s="64">
        <v>71.84</v>
      </c>
      <c r="H84" s="64">
        <v>14.63</v>
      </c>
      <c r="I84" s="64">
        <v>5.25</v>
      </c>
      <c r="J84" s="64">
        <v>0.53</v>
      </c>
      <c r="K84" s="64">
        <v>86.12</v>
      </c>
      <c r="L84" s="64">
        <v>16.13</v>
      </c>
      <c r="M84" s="64">
        <v>58.87</v>
      </c>
      <c r="N84" s="64">
        <v>29.5</v>
      </c>
      <c r="O84" s="64">
        <v>0</v>
      </c>
      <c r="P84" s="64">
        <v>1.46</v>
      </c>
      <c r="Q84" s="64">
        <v>9.57</v>
      </c>
      <c r="R84" s="198"/>
      <c r="S84" s="198"/>
      <c r="T84" s="198"/>
      <c r="U84" s="198"/>
    </row>
    <row r="85" spans="1:26" s="12" customFormat="1" x14ac:dyDescent="0.25">
      <c r="A85" s="214" t="s">
        <v>3108</v>
      </c>
      <c r="B85" s="64">
        <v>55.87</v>
      </c>
      <c r="C85" s="64">
        <v>28.16</v>
      </c>
      <c r="D85" s="64">
        <v>57.81</v>
      </c>
      <c r="E85" s="64">
        <v>6.53</v>
      </c>
      <c r="F85" s="64">
        <v>2.33</v>
      </c>
      <c r="G85" s="64">
        <v>93.72</v>
      </c>
      <c r="H85" s="64">
        <v>20.58</v>
      </c>
      <c r="I85" s="64">
        <v>4.8099999999999996</v>
      </c>
      <c r="J85" s="64">
        <v>0.25</v>
      </c>
      <c r="K85" s="64">
        <v>246.29</v>
      </c>
      <c r="L85" s="64">
        <v>15.96</v>
      </c>
      <c r="M85" s="64">
        <v>67.8</v>
      </c>
      <c r="N85" s="64">
        <v>29.4</v>
      </c>
      <c r="O85" s="64">
        <v>0</v>
      </c>
      <c r="P85" s="64">
        <v>1.44</v>
      </c>
      <c r="Q85" s="64">
        <v>9.6199999999999992</v>
      </c>
      <c r="R85" s="198"/>
      <c r="S85" s="198"/>
      <c r="T85" s="198"/>
      <c r="U85" s="198"/>
    </row>
    <row r="86" spans="1:26" s="12" customFormat="1" x14ac:dyDescent="0.25">
      <c r="A86" s="214" t="s">
        <v>3109</v>
      </c>
      <c r="B86" s="64">
        <v>61.39</v>
      </c>
      <c r="C86" s="64">
        <v>23.07</v>
      </c>
      <c r="D86" s="64">
        <v>59.59</v>
      </c>
      <c r="E86" s="64">
        <v>6.52</v>
      </c>
      <c r="F86" s="64">
        <v>2.54</v>
      </c>
      <c r="G86" s="64">
        <v>117.64</v>
      </c>
      <c r="H86" s="64">
        <v>23.9</v>
      </c>
      <c r="I86" s="64">
        <v>5.08</v>
      </c>
      <c r="J86" s="64">
        <v>0.24</v>
      </c>
      <c r="K86" s="64">
        <v>251.69</v>
      </c>
      <c r="L86" s="64">
        <v>16.010000000000002</v>
      </c>
      <c r="M86" s="64">
        <v>63.32</v>
      </c>
      <c r="N86" s="64">
        <v>29.1</v>
      </c>
      <c r="O86" s="64">
        <v>0</v>
      </c>
      <c r="P86" s="64">
        <v>1.48</v>
      </c>
      <c r="Q86" s="64">
        <v>9.6300000000000008</v>
      </c>
      <c r="R86" s="198"/>
      <c r="S86" s="198"/>
      <c r="T86" s="198"/>
      <c r="U86" s="198"/>
    </row>
    <row r="87" spans="1:26" s="12" customFormat="1" x14ac:dyDescent="0.25">
      <c r="A87" s="214" t="s">
        <v>3110</v>
      </c>
      <c r="B87" s="64">
        <v>66.75</v>
      </c>
      <c r="C87" s="64">
        <v>21.05</v>
      </c>
      <c r="D87" s="64">
        <v>62.85</v>
      </c>
      <c r="E87" s="64">
        <v>6.32</v>
      </c>
      <c r="F87" s="64">
        <v>2.79</v>
      </c>
      <c r="G87" s="64">
        <v>117.64</v>
      </c>
      <c r="H87" s="64">
        <v>23.9</v>
      </c>
      <c r="I87" s="64">
        <v>5.12</v>
      </c>
      <c r="J87" s="64">
        <v>0.22</v>
      </c>
      <c r="K87" s="64">
        <v>98.17</v>
      </c>
      <c r="L87" s="64">
        <v>15.84</v>
      </c>
      <c r="M87" s="64">
        <v>63.91</v>
      </c>
      <c r="N87" s="64">
        <v>29.5</v>
      </c>
      <c r="O87" s="64">
        <v>0</v>
      </c>
      <c r="P87" s="64">
        <v>1.61</v>
      </c>
      <c r="Q87" s="64">
        <v>9.6300000000000008</v>
      </c>
      <c r="R87" s="198"/>
      <c r="S87" s="198"/>
      <c r="T87" s="198"/>
      <c r="U87" s="198"/>
    </row>
    <row r="88" spans="1:26" s="12" customFormat="1" x14ac:dyDescent="0.25">
      <c r="A88" s="214" t="s">
        <v>3111</v>
      </c>
      <c r="B88" s="64">
        <v>66.58</v>
      </c>
      <c r="C88" s="64">
        <v>19.05</v>
      </c>
      <c r="D88" s="64">
        <v>61.67</v>
      </c>
      <c r="E88" s="64">
        <v>5.85</v>
      </c>
      <c r="F88" s="64">
        <v>2.4</v>
      </c>
      <c r="G88" s="64">
        <v>117.64</v>
      </c>
      <c r="H88" s="64">
        <v>23.9</v>
      </c>
      <c r="I88" s="64">
        <v>5.05</v>
      </c>
      <c r="J88" s="64">
        <v>0.21</v>
      </c>
      <c r="K88" s="64">
        <v>79.459999999999994</v>
      </c>
      <c r="L88" s="64">
        <v>15.54</v>
      </c>
      <c r="M88" s="64">
        <v>61.88</v>
      </c>
      <c r="N88" s="64">
        <v>29.5</v>
      </c>
      <c r="O88" s="64">
        <v>0</v>
      </c>
      <c r="P88" s="64">
        <v>1.62</v>
      </c>
      <c r="Q88" s="64">
        <v>9.64</v>
      </c>
      <c r="R88" s="198"/>
      <c r="S88" s="198"/>
      <c r="T88" s="198"/>
      <c r="U88" s="198"/>
    </row>
    <row r="89" spans="1:26" s="12" customFormat="1" x14ac:dyDescent="0.25">
      <c r="A89" s="214" t="s">
        <v>3112</v>
      </c>
      <c r="B89" s="64">
        <v>76.77</v>
      </c>
      <c r="C89" s="64">
        <v>13.61</v>
      </c>
      <c r="D89" s="64">
        <v>66.989999999999995</v>
      </c>
      <c r="E89" s="64">
        <v>6.18</v>
      </c>
      <c r="F89" s="64">
        <v>2.4700000000000002</v>
      </c>
      <c r="G89" s="64">
        <v>110.86</v>
      </c>
      <c r="H89" s="64">
        <v>26.76</v>
      </c>
      <c r="I89" s="64">
        <v>5.43</v>
      </c>
      <c r="J89" s="64">
        <v>0.57999999999999996</v>
      </c>
      <c r="K89" s="64">
        <v>278.48</v>
      </c>
      <c r="L89" s="64">
        <v>15.2</v>
      </c>
      <c r="M89" s="64">
        <v>63.9</v>
      </c>
      <c r="N89" s="64">
        <v>29.5</v>
      </c>
      <c r="O89" s="64">
        <v>0</v>
      </c>
      <c r="P89" s="64">
        <v>1.75</v>
      </c>
      <c r="Q89" s="64">
        <v>9.6300000000000008</v>
      </c>
      <c r="R89" s="198"/>
      <c r="S89" s="198"/>
      <c r="T89" s="198"/>
      <c r="U89" s="198"/>
    </row>
    <row r="90" spans="1:26" s="12" customFormat="1" x14ac:dyDescent="0.25">
      <c r="A90" s="214" t="s">
        <v>3113</v>
      </c>
      <c r="B90" s="64">
        <v>84.27</v>
      </c>
      <c r="C90" s="64">
        <v>10.34</v>
      </c>
      <c r="D90" s="64">
        <v>71.3</v>
      </c>
      <c r="E90" s="64">
        <v>6.03</v>
      </c>
      <c r="F90" s="64">
        <v>2.34</v>
      </c>
      <c r="G90" s="64">
        <v>103.45</v>
      </c>
      <c r="H90" s="64">
        <v>28.43</v>
      </c>
      <c r="I90" s="64">
        <v>5.44</v>
      </c>
      <c r="J90" s="64">
        <v>0.52</v>
      </c>
      <c r="K90" s="64">
        <v>260.17</v>
      </c>
      <c r="L90" s="64">
        <v>14.99</v>
      </c>
      <c r="M90" s="64">
        <v>67.36</v>
      </c>
      <c r="N90" s="64">
        <v>29.5</v>
      </c>
      <c r="O90" s="64">
        <v>0</v>
      </c>
      <c r="P90" s="64">
        <v>1.89</v>
      </c>
      <c r="Q90" s="64">
        <v>9.65</v>
      </c>
      <c r="R90" s="198"/>
      <c r="S90" s="198"/>
      <c r="T90" s="198"/>
      <c r="U90" s="198"/>
    </row>
    <row r="91" spans="1:26" s="12" customFormat="1" x14ac:dyDescent="0.25">
      <c r="A91" s="214" t="s">
        <v>3114</v>
      </c>
      <c r="B91" s="64">
        <v>93.5</v>
      </c>
      <c r="C91" s="64">
        <v>6.15</v>
      </c>
      <c r="D91" s="64">
        <v>76.52</v>
      </c>
      <c r="E91" s="64">
        <v>6.37</v>
      </c>
      <c r="F91" s="64">
        <v>2.46</v>
      </c>
      <c r="G91" s="64">
        <v>103.45</v>
      </c>
      <c r="H91" s="64">
        <v>28.43</v>
      </c>
      <c r="I91" s="64">
        <v>5.69</v>
      </c>
      <c r="J91" s="64">
        <v>0.56000000000000005</v>
      </c>
      <c r="K91" s="64">
        <v>305.44</v>
      </c>
      <c r="L91" s="64">
        <v>14.83</v>
      </c>
      <c r="M91" s="64">
        <v>66.739999999999995</v>
      </c>
      <c r="N91" s="64">
        <v>29.5</v>
      </c>
      <c r="O91" s="64">
        <v>0</v>
      </c>
      <c r="P91" s="64">
        <v>2.04</v>
      </c>
      <c r="Q91" s="64">
        <v>9.66</v>
      </c>
      <c r="R91" s="198"/>
      <c r="S91" s="198"/>
      <c r="T91" s="198"/>
      <c r="U91" s="198"/>
    </row>
    <row r="92" spans="1:26" s="12" customFormat="1" x14ac:dyDescent="0.25">
      <c r="A92" s="214" t="s">
        <v>3115</v>
      </c>
      <c r="B92" s="64">
        <v>102.91</v>
      </c>
      <c r="C92" s="64">
        <v>1.79</v>
      </c>
      <c r="D92" s="64">
        <v>81.78</v>
      </c>
      <c r="E92" s="64">
        <v>6.12</v>
      </c>
      <c r="F92" s="64">
        <v>2.4300000000000002</v>
      </c>
      <c r="G92" s="64">
        <v>103.45</v>
      </c>
      <c r="H92" s="64">
        <v>28.43</v>
      </c>
      <c r="I92" s="64">
        <v>6.08</v>
      </c>
      <c r="J92" s="64">
        <v>0.45</v>
      </c>
      <c r="K92" s="64">
        <v>339.41</v>
      </c>
      <c r="L92" s="64">
        <v>14.52</v>
      </c>
      <c r="M92" s="64">
        <v>72.430000000000007</v>
      </c>
      <c r="N92" s="64">
        <v>29.5</v>
      </c>
      <c r="O92" s="64">
        <v>0</v>
      </c>
      <c r="P92" s="64">
        <v>2.23</v>
      </c>
      <c r="Q92" s="64">
        <v>9.67</v>
      </c>
      <c r="R92" s="198"/>
      <c r="S92" s="198"/>
      <c r="T92" s="198"/>
      <c r="U92" s="198"/>
    </row>
    <row r="93" spans="1:26" s="12" customFormat="1" x14ac:dyDescent="0.25">
      <c r="A93" s="214" t="s">
        <v>3116</v>
      </c>
      <c r="B93" s="64">
        <v>110.95</v>
      </c>
      <c r="C93" s="64">
        <v>1.79</v>
      </c>
      <c r="D93" s="64">
        <v>86.19</v>
      </c>
      <c r="E93" s="64">
        <v>6.38</v>
      </c>
      <c r="F93" s="64">
        <v>2.64</v>
      </c>
      <c r="G93" s="64">
        <v>111.47</v>
      </c>
      <c r="H93" s="64">
        <v>35.409999999999997</v>
      </c>
      <c r="I93" s="64">
        <v>7</v>
      </c>
      <c r="J93" s="64">
        <v>0.55000000000000004</v>
      </c>
      <c r="K93" s="64">
        <v>275.88</v>
      </c>
      <c r="L93" s="64">
        <v>14.27</v>
      </c>
      <c r="M93" s="64">
        <v>67.849999999999994</v>
      </c>
      <c r="N93" s="64">
        <v>29.6</v>
      </c>
      <c r="O93" s="64">
        <v>0</v>
      </c>
      <c r="P93" s="64">
        <v>2.39</v>
      </c>
      <c r="Q93" s="64">
        <v>9.67</v>
      </c>
      <c r="R93" s="198"/>
      <c r="S93" s="198"/>
      <c r="T93" s="198"/>
      <c r="U93" s="198"/>
    </row>
    <row r="94" spans="1:26" s="12" customFormat="1" x14ac:dyDescent="0.25">
      <c r="A94" s="214" t="s">
        <v>3117</v>
      </c>
      <c r="B94" s="64">
        <v>116.17</v>
      </c>
      <c r="C94" s="64">
        <v>1.79</v>
      </c>
      <c r="D94" s="64">
        <v>89.27</v>
      </c>
      <c r="E94" s="64">
        <v>6.24</v>
      </c>
      <c r="F94" s="64">
        <v>2.58</v>
      </c>
      <c r="G94" s="64">
        <v>120.25</v>
      </c>
      <c r="H94" s="64">
        <v>39.31</v>
      </c>
      <c r="I94" s="64">
        <v>7.66</v>
      </c>
      <c r="J94" s="64">
        <v>0.59</v>
      </c>
      <c r="K94" s="64">
        <v>282.2</v>
      </c>
      <c r="L94" s="64">
        <v>14.15</v>
      </c>
      <c r="M94" s="64">
        <v>72.849999999999994</v>
      </c>
      <c r="N94" s="64">
        <v>29.3</v>
      </c>
      <c r="O94" s="64">
        <v>0</v>
      </c>
      <c r="P94" s="64">
        <v>2.5</v>
      </c>
      <c r="Q94" s="64">
        <v>9.68</v>
      </c>
      <c r="R94" s="198"/>
      <c r="S94" s="198"/>
      <c r="T94" s="198"/>
      <c r="U94" s="198"/>
    </row>
    <row r="95" spans="1:26" s="12" customFormat="1" x14ac:dyDescent="0.25">
      <c r="A95" s="214" t="s">
        <v>3118</v>
      </c>
      <c r="B95" s="64">
        <v>122.54</v>
      </c>
      <c r="C95" s="64">
        <v>1.79</v>
      </c>
      <c r="D95" s="64">
        <v>92.99</v>
      </c>
      <c r="E95" s="64">
        <v>6.5</v>
      </c>
      <c r="F95" s="64">
        <v>2.3199999999999998</v>
      </c>
      <c r="G95" s="64">
        <v>120.25</v>
      </c>
      <c r="H95" s="64">
        <v>39.31</v>
      </c>
      <c r="I95" s="64">
        <v>8.0299999999999994</v>
      </c>
      <c r="J95" s="64">
        <v>0.57999999999999996</v>
      </c>
      <c r="K95" s="64">
        <v>299.95</v>
      </c>
      <c r="L95" s="64">
        <v>14</v>
      </c>
      <c r="M95" s="64">
        <v>77.709999999999994</v>
      </c>
      <c r="N95" s="64">
        <v>29.4</v>
      </c>
      <c r="O95" s="64">
        <v>0</v>
      </c>
      <c r="P95" s="64">
        <v>2.64</v>
      </c>
      <c r="Q95" s="64">
        <v>9.68</v>
      </c>
      <c r="R95" s="198"/>
      <c r="S95" s="198"/>
      <c r="T95" s="198"/>
      <c r="U95" s="198"/>
    </row>
    <row r="96" spans="1:26" s="12" customFormat="1" x14ac:dyDescent="0.25">
      <c r="A96" s="214" t="s">
        <v>3119</v>
      </c>
      <c r="B96" s="64">
        <v>131.15</v>
      </c>
      <c r="C96" s="64">
        <v>1.79</v>
      </c>
      <c r="D96" s="64">
        <v>97.86</v>
      </c>
      <c r="E96" s="64">
        <v>6.22</v>
      </c>
      <c r="F96" s="64">
        <v>2.5</v>
      </c>
      <c r="G96" s="64">
        <v>120.25</v>
      </c>
      <c r="H96" s="64">
        <v>39.31</v>
      </c>
      <c r="I96" s="64">
        <v>7.74</v>
      </c>
      <c r="J96" s="64">
        <v>0.43</v>
      </c>
      <c r="K96" s="64">
        <v>152.43</v>
      </c>
      <c r="L96" s="64">
        <v>13.72</v>
      </c>
      <c r="M96" s="64">
        <v>77.819999999999993</v>
      </c>
      <c r="N96" s="64">
        <v>29.5</v>
      </c>
      <c r="O96" s="64">
        <v>0</v>
      </c>
      <c r="P96" s="64">
        <v>2.82</v>
      </c>
      <c r="Q96" s="64">
        <v>9.69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3120</v>
      </c>
      <c r="B97" s="64">
        <v>139.27000000000001</v>
      </c>
      <c r="C97" s="64">
        <v>1.79</v>
      </c>
      <c r="D97" s="64">
        <v>102.33</v>
      </c>
      <c r="E97" s="64">
        <v>6.66</v>
      </c>
      <c r="F97" s="64">
        <v>2.11</v>
      </c>
      <c r="G97" s="64">
        <v>121.72</v>
      </c>
      <c r="H97" s="64">
        <v>39.869999999999997</v>
      </c>
      <c r="I97" s="64">
        <v>7.88</v>
      </c>
      <c r="J97" s="64">
        <v>0.56000000000000005</v>
      </c>
      <c r="K97" s="64">
        <v>306.64</v>
      </c>
      <c r="L97" s="64">
        <v>13.63</v>
      </c>
      <c r="M97" s="64">
        <v>77.48</v>
      </c>
      <c r="N97" s="64">
        <v>29.3</v>
      </c>
      <c r="O97" s="64">
        <v>0</v>
      </c>
      <c r="P97" s="64">
        <v>2.94</v>
      </c>
      <c r="Q97" s="64">
        <v>9.69</v>
      </c>
      <c r="R97" s="198"/>
      <c r="S97" s="198"/>
      <c r="T97" s="198"/>
      <c r="U97" s="198"/>
    </row>
    <row r="98" spans="1:33" s="12" customFormat="1" x14ac:dyDescent="0.25">
      <c r="A98" s="214" t="s">
        <v>3121</v>
      </c>
      <c r="B98" s="64">
        <v>145.76</v>
      </c>
      <c r="C98" s="64">
        <v>1.79</v>
      </c>
      <c r="D98" s="64">
        <v>105.82</v>
      </c>
      <c r="E98" s="64">
        <v>6.86</v>
      </c>
      <c r="F98" s="64">
        <v>2.14</v>
      </c>
      <c r="G98" s="64">
        <v>123.32</v>
      </c>
      <c r="H98" s="64">
        <v>40.54</v>
      </c>
      <c r="I98" s="64">
        <v>8.9</v>
      </c>
      <c r="J98" s="64">
        <v>0.41</v>
      </c>
      <c r="K98" s="64">
        <v>306.74</v>
      </c>
      <c r="L98" s="64">
        <v>13.57</v>
      </c>
      <c r="M98" s="64">
        <v>85.58</v>
      </c>
      <c r="N98" s="64">
        <v>29.4</v>
      </c>
      <c r="O98" s="64">
        <v>0</v>
      </c>
      <c r="P98" s="64">
        <v>3.11</v>
      </c>
      <c r="Q98" s="64">
        <v>9.6999999999999993</v>
      </c>
      <c r="R98" s="198"/>
      <c r="S98" s="198"/>
      <c r="T98" s="198"/>
      <c r="U98" s="198"/>
    </row>
    <row r="99" spans="1:33" s="12" customFormat="1" x14ac:dyDescent="0.25">
      <c r="A99" s="214" t="s">
        <v>3122</v>
      </c>
      <c r="B99" s="64">
        <v>151.27000000000001</v>
      </c>
      <c r="C99" s="64">
        <v>1.79</v>
      </c>
      <c r="D99" s="64">
        <v>109</v>
      </c>
      <c r="E99" s="64">
        <v>6.44</v>
      </c>
      <c r="F99" s="64">
        <v>2.39</v>
      </c>
      <c r="G99" s="64">
        <v>123.32</v>
      </c>
      <c r="H99" s="64">
        <v>40.54</v>
      </c>
      <c r="I99" s="64">
        <v>8.76</v>
      </c>
      <c r="J99" s="64">
        <v>0.31</v>
      </c>
      <c r="K99" s="64">
        <v>347.3</v>
      </c>
      <c r="L99" s="64">
        <v>13.44</v>
      </c>
      <c r="M99" s="64">
        <v>77.510000000000005</v>
      </c>
      <c r="N99" s="64">
        <v>29.3</v>
      </c>
      <c r="O99" s="64">
        <v>0</v>
      </c>
      <c r="P99" s="64">
        <v>3.27</v>
      </c>
      <c r="Q99" s="64">
        <v>9.69</v>
      </c>
      <c r="R99" s="198"/>
      <c r="S99" s="198"/>
      <c r="T99" s="198"/>
      <c r="U99" s="198"/>
    </row>
    <row r="100" spans="1:33" s="12" customFormat="1" x14ac:dyDescent="0.25">
      <c r="A100" s="214" t="s">
        <v>3123</v>
      </c>
      <c r="B100" s="64">
        <v>151.31</v>
      </c>
      <c r="C100" s="64">
        <v>1.79</v>
      </c>
      <c r="D100" s="64">
        <v>109.05</v>
      </c>
      <c r="E100" s="64">
        <v>7.08</v>
      </c>
      <c r="F100" s="64">
        <v>2.44</v>
      </c>
      <c r="G100" s="64">
        <v>123.32</v>
      </c>
      <c r="H100" s="64">
        <v>40.54</v>
      </c>
      <c r="I100" s="64">
        <v>8.82</v>
      </c>
      <c r="J100" s="64">
        <v>0.12</v>
      </c>
      <c r="K100" s="64">
        <v>47.42</v>
      </c>
      <c r="L100" s="64">
        <v>13.4</v>
      </c>
      <c r="M100" s="64">
        <v>71.12</v>
      </c>
      <c r="N100" s="64">
        <v>29.2</v>
      </c>
      <c r="O100" s="64">
        <v>0</v>
      </c>
      <c r="P100" s="64">
        <v>3.3</v>
      </c>
      <c r="Q100" s="64">
        <v>9.7100000000000009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3124</v>
      </c>
      <c r="B101" s="64">
        <v>148.88999999999999</v>
      </c>
      <c r="C101" s="64">
        <v>1.79</v>
      </c>
      <c r="D101" s="64">
        <v>107.66</v>
      </c>
      <c r="E101" s="64">
        <v>7.11</v>
      </c>
      <c r="F101" s="64">
        <v>2.42</v>
      </c>
      <c r="G101" s="64">
        <v>110.88</v>
      </c>
      <c r="H101" s="64">
        <v>37.479999999999997</v>
      </c>
      <c r="I101" s="64">
        <v>9.01</v>
      </c>
      <c r="J101" s="64">
        <v>0.59</v>
      </c>
      <c r="K101" s="64">
        <v>273.16000000000003</v>
      </c>
      <c r="L101" s="64">
        <v>13.11</v>
      </c>
      <c r="M101" s="64">
        <v>75</v>
      </c>
      <c r="N101" s="64">
        <v>29.5</v>
      </c>
      <c r="O101" s="64">
        <v>0</v>
      </c>
      <c r="P101" s="64">
        <v>3.28</v>
      </c>
      <c r="Q101" s="64">
        <v>9.7100000000000009</v>
      </c>
      <c r="R101" s="198"/>
      <c r="S101" s="198"/>
      <c r="T101" s="198"/>
      <c r="U101" s="198"/>
    </row>
    <row r="102" spans="1:33" s="12" customFormat="1" x14ac:dyDescent="0.25">
      <c r="A102" s="214" t="s">
        <v>3125</v>
      </c>
      <c r="B102" s="64">
        <v>147</v>
      </c>
      <c r="C102" s="64">
        <v>1.79</v>
      </c>
      <c r="D102" s="64">
        <v>106.51</v>
      </c>
      <c r="E102" s="64">
        <v>6.91</v>
      </c>
      <c r="F102" s="64">
        <v>2.56</v>
      </c>
      <c r="G102" s="64">
        <v>97.29</v>
      </c>
      <c r="H102" s="64">
        <v>35.770000000000003</v>
      </c>
      <c r="I102" s="64">
        <v>9.01</v>
      </c>
      <c r="J102" s="64">
        <v>0.62</v>
      </c>
      <c r="K102" s="64">
        <v>297.32</v>
      </c>
      <c r="L102" s="64">
        <v>12.72</v>
      </c>
      <c r="M102" s="64">
        <v>81.37</v>
      </c>
      <c r="N102" s="64">
        <v>29.5</v>
      </c>
      <c r="O102" s="64">
        <v>0</v>
      </c>
      <c r="P102" s="64">
        <v>3.26</v>
      </c>
      <c r="Q102" s="64">
        <v>9.7100000000000009</v>
      </c>
      <c r="R102" s="198"/>
      <c r="S102" s="198"/>
      <c r="T102" s="198"/>
      <c r="U102" s="198"/>
    </row>
    <row r="103" spans="1:33" s="12" customFormat="1" x14ac:dyDescent="0.25">
      <c r="A103" s="214" t="s">
        <v>3126</v>
      </c>
      <c r="B103" s="64">
        <v>145.69</v>
      </c>
      <c r="C103" s="64">
        <v>1.79</v>
      </c>
      <c r="D103" s="64">
        <v>105.76</v>
      </c>
      <c r="E103" s="64">
        <v>6.85</v>
      </c>
      <c r="F103" s="64">
        <v>2.6</v>
      </c>
      <c r="G103" s="64">
        <v>97.29</v>
      </c>
      <c r="H103" s="64">
        <v>35.770000000000003</v>
      </c>
      <c r="I103" s="64">
        <v>8.9700000000000006</v>
      </c>
      <c r="J103" s="64">
        <v>0.34</v>
      </c>
      <c r="K103" s="64">
        <v>289.83</v>
      </c>
      <c r="L103" s="64">
        <v>12.35</v>
      </c>
      <c r="M103" s="64">
        <v>84.06</v>
      </c>
      <c r="N103" s="64">
        <v>29.5</v>
      </c>
      <c r="O103" s="64">
        <v>0</v>
      </c>
      <c r="P103" s="64">
        <v>3.22</v>
      </c>
      <c r="Q103" s="64">
        <v>9.69</v>
      </c>
      <c r="R103" s="198"/>
      <c r="S103" s="198"/>
      <c r="T103" s="198"/>
      <c r="U103" s="198"/>
    </row>
    <row r="104" spans="1:33" s="12" customFormat="1" x14ac:dyDescent="0.25">
      <c r="A104" s="214" t="s">
        <v>3127</v>
      </c>
      <c r="B104" s="64">
        <v>145.6</v>
      </c>
      <c r="C104" s="64">
        <v>1.79</v>
      </c>
      <c r="D104" s="64">
        <v>105.52</v>
      </c>
      <c r="E104" s="64">
        <v>6.04</v>
      </c>
      <c r="F104" s="64">
        <v>2.81</v>
      </c>
      <c r="G104" s="64">
        <v>97.29</v>
      </c>
      <c r="H104" s="64">
        <v>35.770000000000003</v>
      </c>
      <c r="I104" s="64">
        <v>8.94</v>
      </c>
      <c r="J104" s="64">
        <v>0.43</v>
      </c>
      <c r="K104" s="64">
        <v>232.92</v>
      </c>
      <c r="L104" s="64">
        <v>12.18</v>
      </c>
      <c r="M104" s="64">
        <v>86.45</v>
      </c>
      <c r="N104" s="64">
        <v>29.4</v>
      </c>
      <c r="O104" s="64">
        <v>0</v>
      </c>
      <c r="P104" s="64">
        <v>3.18</v>
      </c>
      <c r="Q104" s="64">
        <v>9.6999999999999993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0.45</v>
      </c>
      <c r="C106" s="67">
        <f>MIN(C9:C104)</f>
        <v>7.0000000000000007E-2</v>
      </c>
      <c r="D106" s="67">
        <f t="shared" ref="D106:Q106" si="0">MIN(D9:D104)</f>
        <v>20.63</v>
      </c>
      <c r="E106" s="67">
        <f t="shared" si="0"/>
        <v>4.7699999999999996</v>
      </c>
      <c r="F106" s="67">
        <f t="shared" si="0"/>
        <v>2.11</v>
      </c>
      <c r="G106" s="67">
        <f t="shared" si="0"/>
        <v>12.05</v>
      </c>
      <c r="H106" s="67">
        <f t="shared" si="0"/>
        <v>8.86</v>
      </c>
      <c r="I106" s="67">
        <f t="shared" si="0"/>
        <v>1.82</v>
      </c>
      <c r="J106" s="67">
        <f t="shared" si="0"/>
        <v>0.05</v>
      </c>
      <c r="K106" s="67">
        <f t="shared" si="0"/>
        <v>5.3</v>
      </c>
      <c r="L106" s="67">
        <f t="shared" si="0"/>
        <v>10.3</v>
      </c>
      <c r="M106" s="67">
        <f t="shared" si="0"/>
        <v>16.62</v>
      </c>
      <c r="N106" s="67">
        <f t="shared" si="0"/>
        <v>29.1</v>
      </c>
      <c r="O106" s="67">
        <f t="shared" si="0"/>
        <v>0</v>
      </c>
      <c r="P106" s="67">
        <f t="shared" si="0"/>
        <v>0.53</v>
      </c>
      <c r="Q106" s="67">
        <f t="shared" si="0"/>
        <v>9.2899999999999991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151.31</v>
      </c>
      <c r="C107" s="66">
        <f t="shared" ref="C107:Q107" si="1">MAX(C9:C104)</f>
        <v>53.21</v>
      </c>
      <c r="D107" s="66">
        <f t="shared" si="1"/>
        <v>109.05</v>
      </c>
      <c r="E107" s="66">
        <f t="shared" si="1"/>
        <v>10.57</v>
      </c>
      <c r="F107" s="66">
        <f t="shared" si="1"/>
        <v>12.39</v>
      </c>
      <c r="G107" s="66">
        <f t="shared" si="1"/>
        <v>123.32</v>
      </c>
      <c r="H107" s="66">
        <f t="shared" si="1"/>
        <v>40.54</v>
      </c>
      <c r="I107" s="66">
        <f t="shared" si="1"/>
        <v>10.11</v>
      </c>
      <c r="J107" s="66">
        <f t="shared" si="1"/>
        <v>1.27</v>
      </c>
      <c r="K107" s="66">
        <f t="shared" si="1"/>
        <v>354.09</v>
      </c>
      <c r="L107" s="66">
        <f t="shared" si="1"/>
        <v>28.44</v>
      </c>
      <c r="M107" s="66">
        <f t="shared" si="1"/>
        <v>97.83</v>
      </c>
      <c r="N107" s="66">
        <f t="shared" si="1"/>
        <v>582.70000000000005</v>
      </c>
      <c r="O107" s="66">
        <f t="shared" si="1"/>
        <v>0</v>
      </c>
      <c r="P107" s="66">
        <f t="shared" si="1"/>
        <v>3.34</v>
      </c>
      <c r="Q107" s="66">
        <f t="shared" si="1"/>
        <v>9.7100000000000009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60.707187500000011</v>
      </c>
      <c r="C108" s="67">
        <f t="shared" ref="C108:Q108" si="2">AVERAGE(C9:C104)</f>
        <v>22.039687500000003</v>
      </c>
      <c r="D108" s="67">
        <f t="shared" si="2"/>
        <v>57.031874999999992</v>
      </c>
      <c r="E108" s="67">
        <f t="shared" si="2"/>
        <v>6.129270833333333</v>
      </c>
      <c r="F108" s="67">
        <f t="shared" si="2"/>
        <v>3.5023958333333325</v>
      </c>
      <c r="G108" s="67">
        <f t="shared" si="2"/>
        <v>58.855000000000011</v>
      </c>
      <c r="H108" s="67">
        <f t="shared" si="2"/>
        <v>21.420520833333331</v>
      </c>
      <c r="I108" s="67">
        <f t="shared" si="2"/>
        <v>6.0020833333333323</v>
      </c>
      <c r="J108" s="67">
        <f t="shared" si="2"/>
        <v>0.50500000000000023</v>
      </c>
      <c r="K108" s="67">
        <f t="shared" si="2"/>
        <v>224.19489583333322</v>
      </c>
      <c r="L108" s="67">
        <f t="shared" si="2"/>
        <v>16.972291666666671</v>
      </c>
      <c r="M108" s="67">
        <f t="shared" si="2"/>
        <v>58.769374999999989</v>
      </c>
      <c r="N108" s="67">
        <f t="shared" si="2"/>
        <v>137.87604166666662</v>
      </c>
      <c r="O108" s="67">
        <f t="shared" si="2"/>
        <v>0</v>
      </c>
      <c r="P108" s="67">
        <f t="shared" si="2"/>
        <v>1.7197916666666673</v>
      </c>
      <c r="Q108" s="67">
        <f t="shared" si="2"/>
        <v>9.5538541666666674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44.070520489518891</v>
      </c>
      <c r="C109" s="67">
        <f t="shared" ref="C109:Q109" si="3">STDEV(C9:C104)</f>
        <v>17.792569794757458</v>
      </c>
      <c r="D109" s="67">
        <f t="shared" si="3"/>
        <v>24.489587919100817</v>
      </c>
      <c r="E109" s="67">
        <f t="shared" si="3"/>
        <v>1.2336392416378363</v>
      </c>
      <c r="F109" s="67">
        <f t="shared" si="3"/>
        <v>2.3312421558120238</v>
      </c>
      <c r="G109" s="67">
        <f t="shared" si="3"/>
        <v>33.111535531641515</v>
      </c>
      <c r="H109" s="67">
        <f t="shared" si="3"/>
        <v>10.212215942816689</v>
      </c>
      <c r="I109" s="67">
        <f t="shared" si="3"/>
        <v>2.5463864661688209</v>
      </c>
      <c r="J109" s="67">
        <f t="shared" si="3"/>
        <v>0.28238831047820778</v>
      </c>
      <c r="K109" s="67">
        <f t="shared" si="3"/>
        <v>101.42277175005016</v>
      </c>
      <c r="L109" s="67">
        <f t="shared" si="3"/>
        <v>5.7882289772418503</v>
      </c>
      <c r="M109" s="67">
        <f t="shared" si="3"/>
        <v>29.807357262489479</v>
      </c>
      <c r="N109" s="67">
        <f t="shared" si="3"/>
        <v>178.33840495842185</v>
      </c>
      <c r="O109" s="67">
        <f t="shared" si="3"/>
        <v>0</v>
      </c>
      <c r="P109" s="67">
        <f t="shared" si="3"/>
        <v>0.83609364769701289</v>
      </c>
      <c r="Q109" s="67">
        <f t="shared" si="3"/>
        <v>0.14747966704933416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G124" sqref="G12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3128</v>
      </c>
      <c r="B9" s="64">
        <v>142.63</v>
      </c>
      <c r="C9" s="64">
        <v>13.59</v>
      </c>
      <c r="D9" s="64">
        <v>103.71</v>
      </c>
      <c r="E9" s="64">
        <v>6.12</v>
      </c>
      <c r="F9" s="64">
        <v>2.7</v>
      </c>
      <c r="G9" s="64">
        <v>90.09</v>
      </c>
      <c r="H9" s="64">
        <v>35.75</v>
      </c>
      <c r="I9" s="64">
        <v>8.9</v>
      </c>
      <c r="J9" s="64">
        <v>0.6</v>
      </c>
      <c r="K9" s="64">
        <v>330.14</v>
      </c>
      <c r="L9" s="64">
        <v>12.03</v>
      </c>
      <c r="M9" s="64">
        <v>89.06</v>
      </c>
      <c r="N9" s="64">
        <v>29.4</v>
      </c>
      <c r="O9" s="64">
        <v>0</v>
      </c>
      <c r="P9" s="64">
        <v>3.13</v>
      </c>
      <c r="Q9" s="64">
        <v>9.6999999999999993</v>
      </c>
      <c r="R9" s="198"/>
      <c r="S9" s="198"/>
      <c r="T9" s="198"/>
      <c r="U9" s="198"/>
    </row>
    <row r="10" spans="1:21" s="12" customFormat="1" x14ac:dyDescent="0.25">
      <c r="A10" s="214" t="s">
        <v>3129</v>
      </c>
      <c r="B10" s="64">
        <v>138.29</v>
      </c>
      <c r="C10" s="64">
        <v>13.91</v>
      </c>
      <c r="D10" s="64">
        <v>100.93</v>
      </c>
      <c r="E10" s="64">
        <v>6.39</v>
      </c>
      <c r="F10" s="64">
        <v>2.52</v>
      </c>
      <c r="G10" s="64">
        <v>82.23</v>
      </c>
      <c r="H10" s="64">
        <v>35.74</v>
      </c>
      <c r="I10" s="64">
        <v>9.5299999999999994</v>
      </c>
      <c r="J10" s="64">
        <v>0.44</v>
      </c>
      <c r="K10" s="64">
        <v>297.29000000000002</v>
      </c>
      <c r="L10" s="64">
        <v>12.04</v>
      </c>
      <c r="M10" s="64">
        <v>93.92</v>
      </c>
      <c r="N10" s="64">
        <v>29.4</v>
      </c>
      <c r="O10" s="64">
        <v>0</v>
      </c>
      <c r="P10" s="64">
        <v>3.02</v>
      </c>
      <c r="Q10" s="64">
        <v>9.6999999999999993</v>
      </c>
      <c r="R10" s="198"/>
      <c r="S10" s="198"/>
      <c r="T10" s="198"/>
      <c r="U10" s="198"/>
    </row>
    <row r="11" spans="1:21" s="12" customFormat="1" x14ac:dyDescent="0.25">
      <c r="A11" s="214" t="s">
        <v>3130</v>
      </c>
      <c r="B11" s="64">
        <v>134.02000000000001</v>
      </c>
      <c r="C11" s="64">
        <v>14.38</v>
      </c>
      <c r="D11" s="64">
        <v>98.11</v>
      </c>
      <c r="E11" s="64">
        <v>5.89</v>
      </c>
      <c r="F11" s="64">
        <v>2.68</v>
      </c>
      <c r="G11" s="64">
        <v>82.23</v>
      </c>
      <c r="H11" s="64">
        <v>35.74</v>
      </c>
      <c r="I11" s="64">
        <v>8.9600000000000009</v>
      </c>
      <c r="J11" s="64">
        <v>0.27</v>
      </c>
      <c r="K11" s="64">
        <v>257.58999999999997</v>
      </c>
      <c r="L11" s="64">
        <v>11.78</v>
      </c>
      <c r="M11" s="64">
        <v>95.15</v>
      </c>
      <c r="N11" s="64">
        <v>29.5</v>
      </c>
      <c r="O11" s="64">
        <v>0</v>
      </c>
      <c r="P11" s="64">
        <v>2.93</v>
      </c>
      <c r="Q11" s="64">
        <v>9.69</v>
      </c>
      <c r="R11" s="198"/>
      <c r="S11" s="198"/>
      <c r="T11" s="198"/>
      <c r="U11" s="198"/>
    </row>
    <row r="12" spans="1:21" s="12" customFormat="1" x14ac:dyDescent="0.25">
      <c r="A12" s="214" t="s">
        <v>3131</v>
      </c>
      <c r="B12" s="64">
        <v>129.91999999999999</v>
      </c>
      <c r="C12" s="64">
        <v>14.72</v>
      </c>
      <c r="D12" s="64">
        <v>95.51</v>
      </c>
      <c r="E12" s="64">
        <v>6.07</v>
      </c>
      <c r="F12" s="64">
        <v>2.81</v>
      </c>
      <c r="G12" s="64">
        <v>82.23</v>
      </c>
      <c r="H12" s="64">
        <v>35.74</v>
      </c>
      <c r="I12" s="64">
        <v>9.27</v>
      </c>
      <c r="J12" s="64">
        <v>0.35</v>
      </c>
      <c r="K12" s="64">
        <v>259.24</v>
      </c>
      <c r="L12" s="64">
        <v>11.63</v>
      </c>
      <c r="M12" s="64">
        <v>97.09</v>
      </c>
      <c r="N12" s="64">
        <v>29.2</v>
      </c>
      <c r="O12" s="64">
        <v>0</v>
      </c>
      <c r="P12" s="64">
        <v>2.85</v>
      </c>
      <c r="Q12" s="64">
        <v>9.6999999999999993</v>
      </c>
      <c r="R12" s="198"/>
      <c r="S12" s="198"/>
      <c r="T12" s="198"/>
      <c r="U12" s="198"/>
    </row>
    <row r="13" spans="1:21" s="12" customFormat="1" x14ac:dyDescent="0.25">
      <c r="A13" s="214" t="s">
        <v>3132</v>
      </c>
      <c r="B13" s="64">
        <v>124.92</v>
      </c>
      <c r="C13" s="64">
        <v>14.16</v>
      </c>
      <c r="D13" s="64">
        <v>92.34</v>
      </c>
      <c r="E13" s="64">
        <v>6.08</v>
      </c>
      <c r="F13" s="64">
        <v>2.83</v>
      </c>
      <c r="G13" s="64">
        <v>71.349999999999994</v>
      </c>
      <c r="H13" s="64">
        <v>31.95</v>
      </c>
      <c r="I13" s="64">
        <v>8.76</v>
      </c>
      <c r="J13" s="64">
        <v>0.48</v>
      </c>
      <c r="K13" s="64">
        <v>285.19</v>
      </c>
      <c r="L13" s="64">
        <v>11.57</v>
      </c>
      <c r="M13" s="64">
        <v>96.54</v>
      </c>
      <c r="N13" s="64">
        <v>29.4</v>
      </c>
      <c r="O13" s="64">
        <v>0</v>
      </c>
      <c r="P13" s="64">
        <v>2.42</v>
      </c>
      <c r="Q13" s="64">
        <v>9.69</v>
      </c>
      <c r="R13" s="198"/>
      <c r="S13" s="198"/>
      <c r="T13" s="198"/>
      <c r="U13" s="198"/>
    </row>
    <row r="14" spans="1:21" s="12" customFormat="1" x14ac:dyDescent="0.25">
      <c r="A14" s="214" t="s">
        <v>3133</v>
      </c>
      <c r="B14" s="64">
        <v>119.21</v>
      </c>
      <c r="C14" s="64">
        <v>14.58</v>
      </c>
      <c r="D14" s="64">
        <v>88.86</v>
      </c>
      <c r="E14" s="64">
        <v>5.56</v>
      </c>
      <c r="F14" s="64">
        <v>2.77</v>
      </c>
      <c r="G14" s="64">
        <v>59.45</v>
      </c>
      <c r="H14" s="64">
        <v>29.69</v>
      </c>
      <c r="I14" s="64">
        <v>8.48</v>
      </c>
      <c r="J14" s="64">
        <v>0.57999999999999996</v>
      </c>
      <c r="K14" s="64">
        <v>132.63</v>
      </c>
      <c r="L14" s="64">
        <v>11.32</v>
      </c>
      <c r="M14" s="64">
        <v>96.03</v>
      </c>
      <c r="N14" s="64">
        <v>29.5</v>
      </c>
      <c r="O14" s="64">
        <v>0</v>
      </c>
      <c r="P14" s="64">
        <v>2.4700000000000002</v>
      </c>
      <c r="Q14" s="64">
        <v>9.69</v>
      </c>
      <c r="R14" s="198"/>
      <c r="S14" s="198"/>
      <c r="T14" s="198"/>
      <c r="U14" s="198"/>
    </row>
    <row r="15" spans="1:21" s="12" customFormat="1" x14ac:dyDescent="0.25">
      <c r="A15" s="214" t="s">
        <v>3134</v>
      </c>
      <c r="B15" s="64">
        <v>113.01</v>
      </c>
      <c r="C15" s="64">
        <v>15.2</v>
      </c>
      <c r="D15" s="64">
        <v>85.17</v>
      </c>
      <c r="E15" s="64">
        <v>5.74</v>
      </c>
      <c r="F15" s="64">
        <v>2.44</v>
      </c>
      <c r="G15" s="64">
        <v>59.45</v>
      </c>
      <c r="H15" s="64">
        <v>29.69</v>
      </c>
      <c r="I15" s="64">
        <v>9.0399999999999991</v>
      </c>
      <c r="J15" s="64">
        <v>0.6</v>
      </c>
      <c r="K15" s="64">
        <v>310.52</v>
      </c>
      <c r="L15" s="64">
        <v>11.14</v>
      </c>
      <c r="M15" s="64">
        <v>97.8</v>
      </c>
      <c r="N15" s="64">
        <v>29.3</v>
      </c>
      <c r="O15" s="64">
        <v>0</v>
      </c>
      <c r="P15" s="64">
        <v>2.4</v>
      </c>
      <c r="Q15" s="64">
        <v>9.68</v>
      </c>
      <c r="R15" s="198"/>
      <c r="S15" s="198"/>
      <c r="T15" s="198"/>
      <c r="U15" s="198"/>
    </row>
    <row r="16" spans="1:21" s="12" customFormat="1" x14ac:dyDescent="0.25">
      <c r="A16" s="214" t="s">
        <v>3135</v>
      </c>
      <c r="B16" s="64">
        <v>107.31</v>
      </c>
      <c r="C16" s="64">
        <v>15.6</v>
      </c>
      <c r="D16" s="64">
        <v>81.75</v>
      </c>
      <c r="E16" s="64">
        <v>5.43</v>
      </c>
      <c r="F16" s="64">
        <v>2.16</v>
      </c>
      <c r="G16" s="64">
        <v>59.45</v>
      </c>
      <c r="H16" s="64">
        <v>29.69</v>
      </c>
      <c r="I16" s="64">
        <v>9.17</v>
      </c>
      <c r="J16" s="64">
        <v>0.47</v>
      </c>
      <c r="K16" s="64">
        <v>292.58</v>
      </c>
      <c r="L16" s="64">
        <v>10.96</v>
      </c>
      <c r="M16" s="64">
        <v>97.82</v>
      </c>
      <c r="N16" s="64">
        <v>29.4</v>
      </c>
      <c r="O16" s="64">
        <v>0</v>
      </c>
      <c r="P16" s="64">
        <v>2.34</v>
      </c>
      <c r="Q16" s="64">
        <v>9.67</v>
      </c>
      <c r="R16" s="198"/>
      <c r="S16" s="198"/>
      <c r="T16" s="198"/>
      <c r="U16" s="198"/>
    </row>
    <row r="17" spans="1:21" s="12" customFormat="1" x14ac:dyDescent="0.25">
      <c r="A17" s="214" t="s">
        <v>3136</v>
      </c>
      <c r="B17" s="64">
        <v>102.58</v>
      </c>
      <c r="C17" s="64">
        <v>15.79</v>
      </c>
      <c r="D17" s="64">
        <v>78.84</v>
      </c>
      <c r="E17" s="64">
        <v>5.71</v>
      </c>
      <c r="F17" s="64">
        <v>2.21</v>
      </c>
      <c r="G17" s="64">
        <v>58.12</v>
      </c>
      <c r="H17" s="64">
        <v>27.28</v>
      </c>
      <c r="I17" s="64">
        <v>8.4700000000000006</v>
      </c>
      <c r="J17" s="64">
        <v>0.62</v>
      </c>
      <c r="K17" s="64">
        <v>282.74</v>
      </c>
      <c r="L17" s="64">
        <v>10.82</v>
      </c>
      <c r="M17" s="64">
        <v>97.8</v>
      </c>
      <c r="N17" s="64">
        <v>29.4</v>
      </c>
      <c r="O17" s="64">
        <v>0</v>
      </c>
      <c r="P17" s="64">
        <v>2.27</v>
      </c>
      <c r="Q17" s="64">
        <v>9.67</v>
      </c>
      <c r="R17" s="198"/>
      <c r="S17" s="198"/>
      <c r="T17" s="198"/>
      <c r="U17" s="198"/>
    </row>
    <row r="18" spans="1:21" s="12" customFormat="1" x14ac:dyDescent="0.25">
      <c r="A18" s="214" t="s">
        <v>3137</v>
      </c>
      <c r="B18" s="64">
        <v>97.31</v>
      </c>
      <c r="C18" s="64">
        <v>15.5</v>
      </c>
      <c r="D18" s="64">
        <v>75.680000000000007</v>
      </c>
      <c r="E18" s="64">
        <v>5.43</v>
      </c>
      <c r="F18" s="64">
        <v>2.13</v>
      </c>
      <c r="G18" s="64">
        <v>56.66</v>
      </c>
      <c r="H18" s="64">
        <v>24.1</v>
      </c>
      <c r="I18" s="64">
        <v>8.16</v>
      </c>
      <c r="J18" s="64">
        <v>0.54</v>
      </c>
      <c r="K18" s="64">
        <v>319.10000000000002</v>
      </c>
      <c r="L18" s="64">
        <v>10.7</v>
      </c>
      <c r="M18" s="64">
        <v>97.74</v>
      </c>
      <c r="N18" s="64">
        <v>29.4</v>
      </c>
      <c r="O18" s="64">
        <v>0</v>
      </c>
      <c r="P18" s="64">
        <v>2.19</v>
      </c>
      <c r="Q18" s="64">
        <v>9.67</v>
      </c>
      <c r="R18" s="198"/>
      <c r="S18" s="198"/>
      <c r="T18" s="198"/>
      <c r="U18" s="198"/>
    </row>
    <row r="19" spans="1:21" s="12" customFormat="1" x14ac:dyDescent="0.25">
      <c r="A19" s="214" t="s">
        <v>3138</v>
      </c>
      <c r="B19" s="64">
        <v>91.53</v>
      </c>
      <c r="C19" s="64">
        <v>14.57</v>
      </c>
      <c r="D19" s="64">
        <v>72.09</v>
      </c>
      <c r="E19" s="64">
        <v>5.14</v>
      </c>
      <c r="F19" s="64">
        <v>2.39</v>
      </c>
      <c r="G19" s="64">
        <v>56.66</v>
      </c>
      <c r="H19" s="64">
        <v>24.1</v>
      </c>
      <c r="I19" s="64">
        <v>8.65</v>
      </c>
      <c r="J19" s="64">
        <v>0.62</v>
      </c>
      <c r="K19" s="64">
        <v>285.68</v>
      </c>
      <c r="L19" s="64">
        <v>10.56</v>
      </c>
      <c r="M19" s="64">
        <v>96.5</v>
      </c>
      <c r="N19" s="64">
        <v>29.4</v>
      </c>
      <c r="O19" s="64">
        <v>0</v>
      </c>
      <c r="P19" s="64">
        <v>2.11</v>
      </c>
      <c r="Q19" s="64">
        <v>9.67</v>
      </c>
      <c r="R19" s="198"/>
      <c r="S19" s="198"/>
      <c r="T19" s="198"/>
      <c r="U19" s="198"/>
    </row>
    <row r="20" spans="1:21" s="12" customFormat="1" x14ac:dyDescent="0.25">
      <c r="A20" s="214" t="s">
        <v>3139</v>
      </c>
      <c r="B20" s="64">
        <v>85.34</v>
      </c>
      <c r="C20" s="64">
        <v>13.53</v>
      </c>
      <c r="D20" s="64">
        <v>68.64</v>
      </c>
      <c r="E20" s="64">
        <v>5.0999999999999996</v>
      </c>
      <c r="F20" s="64">
        <v>2.36</v>
      </c>
      <c r="G20" s="64">
        <v>56.66</v>
      </c>
      <c r="H20" s="64">
        <v>24.1</v>
      </c>
      <c r="I20" s="64">
        <v>8.1199999999999992</v>
      </c>
      <c r="J20" s="64">
        <v>0.63</v>
      </c>
      <c r="K20" s="64">
        <v>272.33</v>
      </c>
      <c r="L20" s="64">
        <v>10.46</v>
      </c>
      <c r="M20" s="64">
        <v>97.48</v>
      </c>
      <c r="N20" s="64">
        <v>29.4</v>
      </c>
      <c r="O20" s="64">
        <v>0</v>
      </c>
      <c r="P20" s="64">
        <v>2.02</v>
      </c>
      <c r="Q20" s="64">
        <v>9.66</v>
      </c>
      <c r="R20" s="198"/>
      <c r="S20" s="198"/>
      <c r="T20" s="198"/>
      <c r="U20" s="198"/>
    </row>
    <row r="21" spans="1:21" s="12" customFormat="1" x14ac:dyDescent="0.25">
      <c r="A21" s="214" t="s">
        <v>3140</v>
      </c>
      <c r="B21" s="64">
        <v>79.62</v>
      </c>
      <c r="C21" s="64">
        <v>12.6</v>
      </c>
      <c r="D21" s="64">
        <v>65.63</v>
      </c>
      <c r="E21" s="64">
        <v>5.14</v>
      </c>
      <c r="F21" s="64">
        <v>2.31</v>
      </c>
      <c r="G21" s="64">
        <v>52.94</v>
      </c>
      <c r="H21" s="64">
        <v>21.38</v>
      </c>
      <c r="I21" s="64">
        <v>8.26</v>
      </c>
      <c r="J21" s="64">
        <v>0.6</v>
      </c>
      <c r="K21" s="64">
        <v>296.48</v>
      </c>
      <c r="L21" s="64">
        <v>10.28</v>
      </c>
      <c r="M21" s="64">
        <v>97.3</v>
      </c>
      <c r="N21" s="64">
        <v>29.5</v>
      </c>
      <c r="O21" s="64">
        <v>0</v>
      </c>
      <c r="P21" s="64">
        <v>1.95</v>
      </c>
      <c r="Q21" s="64">
        <v>9.65</v>
      </c>
      <c r="R21" s="198"/>
      <c r="S21" s="198"/>
      <c r="T21" s="198"/>
      <c r="U21" s="198"/>
    </row>
    <row r="22" spans="1:21" s="12" customFormat="1" x14ac:dyDescent="0.25">
      <c r="A22" s="214" t="s">
        <v>3141</v>
      </c>
      <c r="B22" s="64">
        <v>74.459999999999994</v>
      </c>
      <c r="C22" s="64">
        <v>9</v>
      </c>
      <c r="D22" s="64">
        <v>62.73</v>
      </c>
      <c r="E22" s="64">
        <v>5.61</v>
      </c>
      <c r="F22" s="64">
        <v>2.29</v>
      </c>
      <c r="G22" s="64">
        <v>48.89</v>
      </c>
      <c r="H22" s="64">
        <v>19.77</v>
      </c>
      <c r="I22" s="64">
        <v>7.66</v>
      </c>
      <c r="J22" s="64">
        <v>0.63</v>
      </c>
      <c r="K22" s="64">
        <v>308.81</v>
      </c>
      <c r="L22" s="64">
        <v>10.18</v>
      </c>
      <c r="M22" s="64">
        <v>97.36</v>
      </c>
      <c r="N22" s="64">
        <v>29.5</v>
      </c>
      <c r="O22" s="64">
        <v>0</v>
      </c>
      <c r="P22" s="64">
        <v>1.88</v>
      </c>
      <c r="Q22" s="64">
        <v>9.66</v>
      </c>
      <c r="R22" s="198"/>
      <c r="S22" s="198"/>
      <c r="T22" s="198"/>
      <c r="U22" s="198"/>
    </row>
    <row r="23" spans="1:21" s="12" customFormat="1" x14ac:dyDescent="0.25">
      <c r="A23" s="214" t="s">
        <v>3142</v>
      </c>
      <c r="B23" s="64">
        <v>69.63</v>
      </c>
      <c r="C23" s="64">
        <v>10.99</v>
      </c>
      <c r="D23" s="64">
        <v>59.9</v>
      </c>
      <c r="E23" s="64">
        <v>5.01</v>
      </c>
      <c r="F23" s="64">
        <v>2.42</v>
      </c>
      <c r="G23" s="64">
        <v>48.89</v>
      </c>
      <c r="H23" s="64">
        <v>19.77</v>
      </c>
      <c r="I23" s="64">
        <v>7.75</v>
      </c>
      <c r="J23" s="64">
        <v>0.56000000000000005</v>
      </c>
      <c r="K23" s="64">
        <v>316.29000000000002</v>
      </c>
      <c r="L23" s="64">
        <v>10.01</v>
      </c>
      <c r="M23" s="64">
        <v>97.38</v>
      </c>
      <c r="N23" s="64">
        <v>29.3</v>
      </c>
      <c r="O23" s="64">
        <v>0</v>
      </c>
      <c r="P23" s="64">
        <v>1.82</v>
      </c>
      <c r="Q23" s="64">
        <v>9.65</v>
      </c>
      <c r="R23" s="198"/>
      <c r="S23" s="198"/>
      <c r="T23" s="198"/>
      <c r="U23" s="198"/>
    </row>
    <row r="24" spans="1:21" s="12" customFormat="1" x14ac:dyDescent="0.25">
      <c r="A24" s="214" t="s">
        <v>3143</v>
      </c>
      <c r="B24" s="64">
        <v>65.06</v>
      </c>
      <c r="C24" s="64">
        <v>13.14</v>
      </c>
      <c r="D24" s="64">
        <v>57.36</v>
      </c>
      <c r="E24" s="64">
        <v>5.18</v>
      </c>
      <c r="F24" s="64">
        <v>2.54</v>
      </c>
      <c r="G24" s="64">
        <v>48.89</v>
      </c>
      <c r="H24" s="64">
        <v>19.77</v>
      </c>
      <c r="I24" s="64">
        <v>7.2</v>
      </c>
      <c r="J24" s="64">
        <v>0.52</v>
      </c>
      <c r="K24" s="64">
        <v>258.33</v>
      </c>
      <c r="L24" s="64">
        <v>10.06</v>
      </c>
      <c r="M24" s="64">
        <v>97.4</v>
      </c>
      <c r="N24" s="64">
        <v>29.2</v>
      </c>
      <c r="O24" s="64">
        <v>0</v>
      </c>
      <c r="P24" s="64">
        <v>1.75</v>
      </c>
      <c r="Q24" s="64">
        <v>9.66</v>
      </c>
      <c r="R24" s="198"/>
      <c r="S24" s="198"/>
      <c r="T24" s="198"/>
      <c r="U24" s="198"/>
    </row>
    <row r="25" spans="1:21" s="12" customFormat="1" x14ac:dyDescent="0.25">
      <c r="A25" s="214" t="s">
        <v>3144</v>
      </c>
      <c r="B25" s="64">
        <v>60.69</v>
      </c>
      <c r="C25" s="64">
        <v>15.07</v>
      </c>
      <c r="D25" s="64">
        <v>54.86</v>
      </c>
      <c r="E25" s="64">
        <v>5.13</v>
      </c>
      <c r="F25" s="64">
        <v>2.46</v>
      </c>
      <c r="G25" s="64">
        <v>42.73</v>
      </c>
      <c r="H25" s="64">
        <v>18.329999999999998</v>
      </c>
      <c r="I25" s="64">
        <v>6.8</v>
      </c>
      <c r="J25" s="64">
        <v>0.57999999999999996</v>
      </c>
      <c r="K25" s="64">
        <v>297.14</v>
      </c>
      <c r="L25" s="64">
        <v>9.89</v>
      </c>
      <c r="M25" s="64">
        <v>97.44</v>
      </c>
      <c r="N25" s="64">
        <v>29.3</v>
      </c>
      <c r="O25" s="64">
        <v>0</v>
      </c>
      <c r="P25" s="64">
        <v>1.68</v>
      </c>
      <c r="Q25" s="64">
        <v>9.65</v>
      </c>
      <c r="R25" s="198"/>
      <c r="S25" s="198"/>
      <c r="T25" s="198"/>
      <c r="U25" s="198"/>
    </row>
    <row r="26" spans="1:21" s="12" customFormat="1" x14ac:dyDescent="0.25">
      <c r="A26" s="214" t="s">
        <v>3145</v>
      </c>
      <c r="B26" s="64">
        <v>57.25</v>
      </c>
      <c r="C26" s="64">
        <v>16.78</v>
      </c>
      <c r="D26" s="64">
        <v>53</v>
      </c>
      <c r="E26" s="64">
        <v>5.27</v>
      </c>
      <c r="F26" s="64">
        <v>2.75</v>
      </c>
      <c r="G26" s="64">
        <v>35.99</v>
      </c>
      <c r="H26" s="64">
        <v>17.47</v>
      </c>
      <c r="I26" s="64">
        <v>6.6</v>
      </c>
      <c r="J26" s="64">
        <v>0.19</v>
      </c>
      <c r="K26" s="64">
        <v>240.05</v>
      </c>
      <c r="L26" s="64">
        <v>9.73</v>
      </c>
      <c r="M26" s="64">
        <v>97.48</v>
      </c>
      <c r="N26" s="64">
        <v>29.4</v>
      </c>
      <c r="O26" s="64">
        <v>0</v>
      </c>
      <c r="P26" s="64">
        <v>1.62</v>
      </c>
      <c r="Q26" s="64">
        <v>9.65</v>
      </c>
      <c r="R26" s="198"/>
      <c r="S26" s="198"/>
      <c r="T26" s="198"/>
      <c r="U26" s="198"/>
    </row>
    <row r="27" spans="1:21" s="12" customFormat="1" x14ac:dyDescent="0.25">
      <c r="A27" s="214" t="s">
        <v>3146</v>
      </c>
      <c r="B27" s="64">
        <v>54.53</v>
      </c>
      <c r="C27" s="64">
        <v>18.18</v>
      </c>
      <c r="D27" s="64">
        <v>51.55</v>
      </c>
      <c r="E27" s="64">
        <v>5.04</v>
      </c>
      <c r="F27" s="64">
        <v>2.64</v>
      </c>
      <c r="G27" s="64">
        <v>35.99</v>
      </c>
      <c r="H27" s="64">
        <v>17.47</v>
      </c>
      <c r="I27" s="64">
        <v>6.4</v>
      </c>
      <c r="J27" s="64">
        <v>0.35</v>
      </c>
      <c r="K27" s="64">
        <v>180.32</v>
      </c>
      <c r="L27" s="64">
        <v>9.69</v>
      </c>
      <c r="M27" s="64">
        <v>97.52</v>
      </c>
      <c r="N27" s="64">
        <v>29</v>
      </c>
      <c r="O27" s="64">
        <v>0</v>
      </c>
      <c r="P27" s="64">
        <v>1.56</v>
      </c>
      <c r="Q27" s="64">
        <v>9.65</v>
      </c>
      <c r="R27" s="198"/>
      <c r="S27" s="198"/>
      <c r="T27" s="198"/>
      <c r="U27" s="198"/>
    </row>
    <row r="28" spans="1:21" s="12" customFormat="1" x14ac:dyDescent="0.25">
      <c r="A28" s="214" t="s">
        <v>3147</v>
      </c>
      <c r="B28" s="64">
        <v>51.93</v>
      </c>
      <c r="C28" s="64">
        <v>19.260000000000002</v>
      </c>
      <c r="D28" s="64">
        <v>50.03</v>
      </c>
      <c r="E28" s="64">
        <v>4.87</v>
      </c>
      <c r="F28" s="64">
        <v>2.5</v>
      </c>
      <c r="G28" s="64">
        <v>35.99</v>
      </c>
      <c r="H28" s="64">
        <v>17.47</v>
      </c>
      <c r="I28" s="64">
        <v>6.23</v>
      </c>
      <c r="J28" s="64">
        <v>0.44</v>
      </c>
      <c r="K28" s="64">
        <v>208.78</v>
      </c>
      <c r="L28" s="64">
        <v>9.8000000000000007</v>
      </c>
      <c r="M28" s="64">
        <v>97.56</v>
      </c>
      <c r="N28" s="64">
        <v>29.1</v>
      </c>
      <c r="O28" s="64">
        <v>0</v>
      </c>
      <c r="P28" s="64">
        <v>1.48</v>
      </c>
      <c r="Q28" s="64">
        <v>9.64</v>
      </c>
      <c r="R28" s="198"/>
      <c r="S28" s="198"/>
      <c r="T28" s="198"/>
      <c r="U28" s="198"/>
    </row>
    <row r="29" spans="1:21" s="12" customFormat="1" x14ac:dyDescent="0.25">
      <c r="A29" s="214" t="s">
        <v>3148</v>
      </c>
      <c r="B29" s="64">
        <v>48.48</v>
      </c>
      <c r="C29" s="64">
        <v>20.47</v>
      </c>
      <c r="D29" s="64">
        <v>47.66</v>
      </c>
      <c r="E29" s="64">
        <v>4.8600000000000003</v>
      </c>
      <c r="F29" s="64">
        <v>2.67</v>
      </c>
      <c r="G29" s="64">
        <v>35.770000000000003</v>
      </c>
      <c r="H29" s="64">
        <v>15.99</v>
      </c>
      <c r="I29" s="64">
        <v>6.06</v>
      </c>
      <c r="J29" s="64">
        <v>0.63</v>
      </c>
      <c r="K29" s="64">
        <v>231.15</v>
      </c>
      <c r="L29" s="64">
        <v>9.89</v>
      </c>
      <c r="M29" s="64">
        <v>97.59</v>
      </c>
      <c r="N29" s="64">
        <v>29.1</v>
      </c>
      <c r="O29" s="64">
        <v>0</v>
      </c>
      <c r="P29" s="64">
        <v>1.39</v>
      </c>
      <c r="Q29" s="64">
        <v>9.6300000000000008</v>
      </c>
      <c r="R29" s="198"/>
      <c r="S29" s="198"/>
      <c r="T29" s="198"/>
      <c r="U29" s="198"/>
    </row>
    <row r="30" spans="1:21" s="12" customFormat="1" x14ac:dyDescent="0.25">
      <c r="A30" s="214" t="s">
        <v>3149</v>
      </c>
      <c r="B30" s="64">
        <v>45.16</v>
      </c>
      <c r="C30" s="64">
        <v>21.67</v>
      </c>
      <c r="D30" s="64">
        <v>45.86</v>
      </c>
      <c r="E30" s="64">
        <v>5.04</v>
      </c>
      <c r="F30" s="64">
        <v>2.57</v>
      </c>
      <c r="G30" s="64">
        <v>35.65</v>
      </c>
      <c r="H30" s="64">
        <v>15.92</v>
      </c>
      <c r="I30" s="64">
        <v>6.37</v>
      </c>
      <c r="J30" s="64">
        <v>0.54</v>
      </c>
      <c r="K30" s="64">
        <v>226.4</v>
      </c>
      <c r="L30" s="64">
        <v>9.99</v>
      </c>
      <c r="M30" s="64">
        <v>97.62</v>
      </c>
      <c r="N30" s="64">
        <v>29.1</v>
      </c>
      <c r="O30" s="64">
        <v>0</v>
      </c>
      <c r="P30" s="64">
        <v>1.35</v>
      </c>
      <c r="Q30" s="64">
        <v>9.6</v>
      </c>
      <c r="R30" s="198"/>
      <c r="S30" s="198"/>
      <c r="T30" s="198"/>
      <c r="U30" s="198"/>
    </row>
    <row r="31" spans="1:21" s="12" customFormat="1" x14ac:dyDescent="0.25">
      <c r="A31" s="214" t="s">
        <v>3150</v>
      </c>
      <c r="B31" s="64">
        <v>42.49</v>
      </c>
      <c r="C31" s="64">
        <v>22.77</v>
      </c>
      <c r="D31" s="64">
        <v>44.29</v>
      </c>
      <c r="E31" s="64">
        <v>4.51</v>
      </c>
      <c r="F31" s="64">
        <v>2.79</v>
      </c>
      <c r="G31" s="64">
        <v>35.65</v>
      </c>
      <c r="H31" s="64">
        <v>15.92</v>
      </c>
      <c r="I31" s="64">
        <v>5.94</v>
      </c>
      <c r="J31" s="64">
        <v>0.55000000000000004</v>
      </c>
      <c r="K31" s="64">
        <v>319.26</v>
      </c>
      <c r="L31" s="64">
        <v>9.86</v>
      </c>
      <c r="M31" s="64">
        <v>97.67</v>
      </c>
      <c r="N31" s="64">
        <v>29.4</v>
      </c>
      <c r="O31" s="64">
        <v>0</v>
      </c>
      <c r="P31" s="64">
        <v>1.31</v>
      </c>
      <c r="Q31" s="64">
        <v>9.58</v>
      </c>
      <c r="R31" s="198"/>
      <c r="S31" s="198"/>
      <c r="T31" s="198"/>
      <c r="U31" s="198"/>
    </row>
    <row r="32" spans="1:21" s="12" customFormat="1" x14ac:dyDescent="0.25">
      <c r="A32" s="214" t="s">
        <v>3151</v>
      </c>
      <c r="B32" s="64">
        <v>41.61</v>
      </c>
      <c r="C32" s="64">
        <v>23.19</v>
      </c>
      <c r="D32" s="64">
        <v>43.81</v>
      </c>
      <c r="E32" s="64">
        <v>4.7300000000000004</v>
      </c>
      <c r="F32" s="64">
        <v>2.34</v>
      </c>
      <c r="G32" s="64">
        <v>35.65</v>
      </c>
      <c r="H32" s="64">
        <v>15.92</v>
      </c>
      <c r="I32" s="64">
        <v>5.66</v>
      </c>
      <c r="J32" s="64">
        <v>0.5</v>
      </c>
      <c r="K32" s="64">
        <v>337.47</v>
      </c>
      <c r="L32" s="64">
        <v>9.5299999999999994</v>
      </c>
      <c r="M32" s="64">
        <v>97.72</v>
      </c>
      <c r="N32" s="64">
        <v>29.5</v>
      </c>
      <c r="O32" s="64">
        <v>0</v>
      </c>
      <c r="P32" s="64">
        <v>1.28</v>
      </c>
      <c r="Q32" s="64">
        <v>9.57</v>
      </c>
      <c r="R32" s="198"/>
      <c r="S32" s="198"/>
      <c r="T32" s="198"/>
      <c r="U32" s="198"/>
    </row>
    <row r="33" spans="1:21" s="12" customFormat="1" x14ac:dyDescent="0.25">
      <c r="A33" s="214" t="s">
        <v>3152</v>
      </c>
      <c r="B33" s="64">
        <v>39.86</v>
      </c>
      <c r="C33" s="64">
        <v>23.94</v>
      </c>
      <c r="D33" s="64">
        <v>42.79</v>
      </c>
      <c r="E33" s="64">
        <v>4.6399999999999997</v>
      </c>
      <c r="F33" s="64">
        <v>2.33</v>
      </c>
      <c r="G33" s="64">
        <v>34.11</v>
      </c>
      <c r="H33" s="64">
        <v>15.4</v>
      </c>
      <c r="I33" s="64">
        <v>5.58</v>
      </c>
      <c r="J33" s="64">
        <v>0.24</v>
      </c>
      <c r="K33" s="64">
        <v>275.52</v>
      </c>
      <c r="L33" s="64">
        <v>9.41</v>
      </c>
      <c r="M33" s="64">
        <v>97.79</v>
      </c>
      <c r="N33" s="64">
        <v>29.3</v>
      </c>
      <c r="O33" s="64">
        <v>0</v>
      </c>
      <c r="P33" s="64">
        <v>1.24</v>
      </c>
      <c r="Q33" s="64">
        <v>9.56</v>
      </c>
      <c r="R33" s="198"/>
      <c r="S33" s="198"/>
      <c r="T33" s="198"/>
      <c r="U33" s="198"/>
    </row>
    <row r="34" spans="1:21" s="12" customFormat="1" x14ac:dyDescent="0.25">
      <c r="A34" s="214" t="s">
        <v>3153</v>
      </c>
      <c r="B34" s="64">
        <v>37.729999999999997</v>
      </c>
      <c r="C34" s="64">
        <v>24.84</v>
      </c>
      <c r="D34" s="64">
        <v>41.55</v>
      </c>
      <c r="E34" s="64">
        <v>4.6100000000000003</v>
      </c>
      <c r="F34" s="64">
        <v>2.15</v>
      </c>
      <c r="G34" s="64">
        <v>32.42</v>
      </c>
      <c r="H34" s="64">
        <v>14.71</v>
      </c>
      <c r="I34" s="64">
        <v>5.48</v>
      </c>
      <c r="J34" s="64">
        <v>0.64</v>
      </c>
      <c r="K34" s="64">
        <v>247.96</v>
      </c>
      <c r="L34" s="64">
        <v>9.44</v>
      </c>
      <c r="M34" s="64">
        <v>97.83</v>
      </c>
      <c r="N34" s="64">
        <v>30.1</v>
      </c>
      <c r="O34" s="64">
        <v>0</v>
      </c>
      <c r="P34" s="64">
        <v>1.21</v>
      </c>
      <c r="Q34" s="64">
        <v>9.5299999999999994</v>
      </c>
      <c r="R34" s="198"/>
      <c r="S34" s="198"/>
      <c r="T34" s="198"/>
      <c r="U34" s="198"/>
    </row>
    <row r="35" spans="1:21" s="12" customFormat="1" x14ac:dyDescent="0.25">
      <c r="A35" s="214" t="s">
        <v>3154</v>
      </c>
      <c r="B35" s="64">
        <v>35.840000000000003</v>
      </c>
      <c r="C35" s="64">
        <v>25.77</v>
      </c>
      <c r="D35" s="64">
        <v>40.53</v>
      </c>
      <c r="E35" s="64">
        <v>4.55</v>
      </c>
      <c r="F35" s="64">
        <v>2.4</v>
      </c>
      <c r="G35" s="64">
        <v>32.42</v>
      </c>
      <c r="H35" s="64">
        <v>14.71</v>
      </c>
      <c r="I35" s="64">
        <v>5.38</v>
      </c>
      <c r="J35" s="64">
        <v>0.49</v>
      </c>
      <c r="K35" s="64">
        <v>235.87</v>
      </c>
      <c r="L35" s="64">
        <v>9.49</v>
      </c>
      <c r="M35" s="64">
        <v>97.83</v>
      </c>
      <c r="N35" s="64">
        <v>33.200000000000003</v>
      </c>
      <c r="O35" s="64">
        <v>0</v>
      </c>
      <c r="P35" s="64">
        <v>1.17</v>
      </c>
      <c r="Q35" s="64">
        <v>9.5299999999999994</v>
      </c>
      <c r="R35" s="198"/>
      <c r="S35" s="198"/>
      <c r="T35" s="198"/>
      <c r="U35" s="198"/>
    </row>
    <row r="36" spans="1:21" s="12" customFormat="1" x14ac:dyDescent="0.25">
      <c r="A36" s="214" t="s">
        <v>3155</v>
      </c>
      <c r="B36" s="64">
        <v>34.19</v>
      </c>
      <c r="C36" s="64">
        <v>26.59</v>
      </c>
      <c r="D36" s="64">
        <v>39.630000000000003</v>
      </c>
      <c r="E36" s="64">
        <v>4.34</v>
      </c>
      <c r="F36" s="64">
        <v>2.4900000000000002</v>
      </c>
      <c r="G36" s="64">
        <v>32.42</v>
      </c>
      <c r="H36" s="64">
        <v>14.71</v>
      </c>
      <c r="I36" s="64">
        <v>5.28</v>
      </c>
      <c r="J36" s="64">
        <v>0.59</v>
      </c>
      <c r="K36" s="64">
        <v>211.9</v>
      </c>
      <c r="L36" s="64">
        <v>9.68</v>
      </c>
      <c r="M36" s="64">
        <v>97.43</v>
      </c>
      <c r="N36" s="64">
        <v>39.700000000000003</v>
      </c>
      <c r="O36" s="64">
        <v>0</v>
      </c>
      <c r="P36" s="64">
        <v>1.1399999999999999</v>
      </c>
      <c r="Q36" s="64">
        <v>9.51</v>
      </c>
      <c r="R36" s="198"/>
      <c r="S36" s="198"/>
      <c r="T36" s="198"/>
      <c r="U36" s="198"/>
    </row>
    <row r="37" spans="1:21" s="12" customFormat="1" x14ac:dyDescent="0.25">
      <c r="A37" s="214" t="s">
        <v>3156</v>
      </c>
      <c r="B37" s="64">
        <v>32.630000000000003</v>
      </c>
      <c r="C37" s="64">
        <v>26.96</v>
      </c>
      <c r="D37" s="64">
        <v>38.57</v>
      </c>
      <c r="E37" s="64">
        <v>4.43</v>
      </c>
      <c r="F37" s="64">
        <v>2.71</v>
      </c>
      <c r="G37" s="64">
        <v>31.41</v>
      </c>
      <c r="H37" s="64">
        <v>12.56</v>
      </c>
      <c r="I37" s="64">
        <v>5.17</v>
      </c>
      <c r="J37" s="64">
        <v>0.17</v>
      </c>
      <c r="K37" s="64">
        <v>325.3</v>
      </c>
      <c r="L37" s="64">
        <v>10.11</v>
      </c>
      <c r="M37" s="64">
        <v>97.51</v>
      </c>
      <c r="N37" s="64">
        <v>47.4</v>
      </c>
      <c r="O37" s="64">
        <v>0</v>
      </c>
      <c r="P37" s="64">
        <v>1.29</v>
      </c>
      <c r="Q37" s="64">
        <v>9.51</v>
      </c>
      <c r="R37" s="198"/>
      <c r="S37" s="198"/>
      <c r="T37" s="198"/>
      <c r="U37" s="198"/>
    </row>
    <row r="38" spans="1:21" s="12" customFormat="1" x14ac:dyDescent="0.25">
      <c r="A38" s="214" t="s">
        <v>3157</v>
      </c>
      <c r="B38" s="64">
        <v>33.270000000000003</v>
      </c>
      <c r="C38" s="64">
        <v>26.93</v>
      </c>
      <c r="D38" s="64">
        <v>39.07</v>
      </c>
      <c r="E38" s="64">
        <v>4.6100000000000003</v>
      </c>
      <c r="F38" s="64">
        <v>2.2999999999999998</v>
      </c>
      <c r="G38" s="64">
        <v>30.31</v>
      </c>
      <c r="H38" s="64">
        <v>11.31</v>
      </c>
      <c r="I38" s="64">
        <v>5.04</v>
      </c>
      <c r="J38" s="64">
        <v>0.12</v>
      </c>
      <c r="K38" s="64">
        <v>27.83</v>
      </c>
      <c r="L38" s="64">
        <v>10.46</v>
      </c>
      <c r="M38" s="64">
        <v>97.54</v>
      </c>
      <c r="N38" s="64">
        <v>56.8</v>
      </c>
      <c r="O38" s="64">
        <v>0</v>
      </c>
      <c r="P38" s="64">
        <v>1.38</v>
      </c>
      <c r="Q38" s="64">
        <v>9.51</v>
      </c>
      <c r="R38" s="198"/>
      <c r="S38" s="198"/>
      <c r="T38" s="198"/>
      <c r="U38" s="198"/>
    </row>
    <row r="39" spans="1:21" s="12" customFormat="1" x14ac:dyDescent="0.25">
      <c r="A39" s="214" t="s">
        <v>3158</v>
      </c>
      <c r="B39" s="64">
        <v>33.49</v>
      </c>
      <c r="C39" s="64">
        <v>27.02</v>
      </c>
      <c r="D39" s="64">
        <v>39.29</v>
      </c>
      <c r="E39" s="64">
        <v>4.26</v>
      </c>
      <c r="F39" s="64">
        <v>2.5299999999999998</v>
      </c>
      <c r="G39" s="64">
        <v>30.31</v>
      </c>
      <c r="H39" s="64">
        <v>11.31</v>
      </c>
      <c r="I39" s="64">
        <v>4.95</v>
      </c>
      <c r="J39" s="64">
        <v>0.77</v>
      </c>
      <c r="K39" s="64">
        <v>158.56</v>
      </c>
      <c r="L39" s="64">
        <v>10.95</v>
      </c>
      <c r="M39" s="64">
        <v>97.51</v>
      </c>
      <c r="N39" s="64">
        <v>105</v>
      </c>
      <c r="O39" s="64">
        <v>0</v>
      </c>
      <c r="P39" s="64">
        <v>1.38</v>
      </c>
      <c r="Q39" s="64">
        <v>9.5299999999999994</v>
      </c>
      <c r="R39" s="198"/>
      <c r="S39" s="198"/>
      <c r="T39" s="198"/>
      <c r="U39" s="198"/>
    </row>
    <row r="40" spans="1:21" s="12" customFormat="1" x14ac:dyDescent="0.25">
      <c r="A40" s="214" t="s">
        <v>3159</v>
      </c>
      <c r="B40" s="64">
        <v>32.200000000000003</v>
      </c>
      <c r="C40" s="64">
        <v>27.51</v>
      </c>
      <c r="D40" s="64">
        <v>38.520000000000003</v>
      </c>
      <c r="E40" s="64">
        <v>5.52</v>
      </c>
      <c r="F40" s="64">
        <v>2.5299999999999998</v>
      </c>
      <c r="G40" s="64">
        <v>30.31</v>
      </c>
      <c r="H40" s="64">
        <v>11.31</v>
      </c>
      <c r="I40" s="64">
        <v>4.8899999999999997</v>
      </c>
      <c r="J40" s="64">
        <v>0.74</v>
      </c>
      <c r="K40" s="64">
        <v>132.41999999999999</v>
      </c>
      <c r="L40" s="64">
        <v>13.16</v>
      </c>
      <c r="M40" s="64">
        <v>89.56</v>
      </c>
      <c r="N40" s="64">
        <v>198.8</v>
      </c>
      <c r="O40" s="64">
        <v>0</v>
      </c>
      <c r="P40" s="64">
        <v>1.37</v>
      </c>
      <c r="Q40" s="64">
        <v>9.52</v>
      </c>
      <c r="R40" s="198"/>
      <c r="S40" s="198"/>
      <c r="T40" s="198"/>
      <c r="U40" s="198"/>
    </row>
    <row r="41" spans="1:21" s="12" customFormat="1" x14ac:dyDescent="0.25">
      <c r="A41" s="214" t="s">
        <v>3160</v>
      </c>
      <c r="B41" s="64">
        <v>31.08</v>
      </c>
      <c r="C41" s="64">
        <v>28.3</v>
      </c>
      <c r="D41" s="64">
        <v>38.03</v>
      </c>
      <c r="E41" s="64">
        <v>5.37</v>
      </c>
      <c r="F41" s="64">
        <v>2.61</v>
      </c>
      <c r="G41" s="64">
        <v>32.380000000000003</v>
      </c>
      <c r="H41" s="64">
        <v>14.01</v>
      </c>
      <c r="I41" s="64">
        <v>4.8</v>
      </c>
      <c r="J41" s="64">
        <v>0.49</v>
      </c>
      <c r="K41" s="64">
        <v>350.5</v>
      </c>
      <c r="L41" s="64">
        <v>16.260000000000002</v>
      </c>
      <c r="M41" s="64">
        <v>74.45</v>
      </c>
      <c r="N41" s="64">
        <v>229.5</v>
      </c>
      <c r="O41" s="64">
        <v>0</v>
      </c>
      <c r="P41" s="64">
        <v>1.37</v>
      </c>
      <c r="Q41" s="64">
        <v>9.52</v>
      </c>
      <c r="R41" s="198"/>
      <c r="S41" s="198"/>
      <c r="T41" s="198"/>
      <c r="U41" s="198"/>
    </row>
    <row r="42" spans="1:21" s="12" customFormat="1" x14ac:dyDescent="0.25">
      <c r="A42" s="214" t="s">
        <v>3161</v>
      </c>
      <c r="B42" s="64">
        <v>30.7</v>
      </c>
      <c r="C42" s="64">
        <v>28.97</v>
      </c>
      <c r="D42" s="64">
        <v>38.08</v>
      </c>
      <c r="E42" s="64">
        <v>5.54</v>
      </c>
      <c r="F42" s="64">
        <v>2.5299999999999998</v>
      </c>
      <c r="G42" s="64">
        <v>34.64</v>
      </c>
      <c r="H42" s="64">
        <v>15.61</v>
      </c>
      <c r="I42" s="64">
        <v>5.0999999999999996</v>
      </c>
      <c r="J42" s="64">
        <v>0.69</v>
      </c>
      <c r="K42" s="64">
        <v>330.45</v>
      </c>
      <c r="L42" s="64">
        <v>19.04</v>
      </c>
      <c r="M42" s="64">
        <v>58.58</v>
      </c>
      <c r="N42" s="64">
        <v>260.60000000000002</v>
      </c>
      <c r="O42" s="64">
        <v>0</v>
      </c>
      <c r="P42" s="64">
        <v>1.38</v>
      </c>
      <c r="Q42" s="64">
        <v>9.5</v>
      </c>
      <c r="R42" s="198"/>
      <c r="S42" s="198"/>
      <c r="T42" s="198"/>
      <c r="U42" s="198"/>
    </row>
    <row r="43" spans="1:21" s="12" customFormat="1" x14ac:dyDescent="0.25">
      <c r="A43" s="214" t="s">
        <v>3162</v>
      </c>
      <c r="B43" s="64">
        <v>29.81</v>
      </c>
      <c r="C43" s="64">
        <v>29.91</v>
      </c>
      <c r="D43" s="64">
        <v>37.86</v>
      </c>
      <c r="E43" s="64">
        <v>5.59</v>
      </c>
      <c r="F43" s="64">
        <v>2.44</v>
      </c>
      <c r="G43" s="64">
        <v>34.64</v>
      </c>
      <c r="H43" s="64">
        <v>15.61</v>
      </c>
      <c r="I43" s="64">
        <v>5.17</v>
      </c>
      <c r="J43" s="64">
        <v>0.76</v>
      </c>
      <c r="K43" s="64">
        <v>322.82</v>
      </c>
      <c r="L43" s="64">
        <v>20.329999999999998</v>
      </c>
      <c r="M43" s="64">
        <v>52.04</v>
      </c>
      <c r="N43" s="64">
        <v>291.2</v>
      </c>
      <c r="O43" s="64">
        <v>0</v>
      </c>
      <c r="P43" s="64">
        <v>1.37</v>
      </c>
      <c r="Q43" s="64">
        <v>9.52</v>
      </c>
      <c r="R43" s="198"/>
      <c r="S43" s="198"/>
      <c r="T43" s="198"/>
      <c r="U43" s="198"/>
    </row>
    <row r="44" spans="1:21" s="12" customFormat="1" x14ac:dyDescent="0.25">
      <c r="A44" s="214" t="s">
        <v>3163</v>
      </c>
      <c r="B44" s="64">
        <v>29.01</v>
      </c>
      <c r="C44" s="64">
        <v>30.85</v>
      </c>
      <c r="D44" s="64">
        <v>37.71</v>
      </c>
      <c r="E44" s="64">
        <v>5.59</v>
      </c>
      <c r="F44" s="64">
        <v>2.66</v>
      </c>
      <c r="G44" s="64">
        <v>34.64</v>
      </c>
      <c r="H44" s="64">
        <v>15.61</v>
      </c>
      <c r="I44" s="64">
        <v>5.14</v>
      </c>
      <c r="J44" s="64">
        <v>0.92</v>
      </c>
      <c r="K44" s="64">
        <v>339.44</v>
      </c>
      <c r="L44" s="64">
        <v>22.26</v>
      </c>
      <c r="M44" s="64">
        <v>44.29</v>
      </c>
      <c r="N44" s="64">
        <v>314.7</v>
      </c>
      <c r="O44" s="64">
        <v>0</v>
      </c>
      <c r="P44" s="64">
        <v>1.37</v>
      </c>
      <c r="Q44" s="64">
        <v>9.51</v>
      </c>
      <c r="R44" s="198"/>
      <c r="S44" s="198"/>
      <c r="T44" s="198"/>
      <c r="U44" s="198"/>
    </row>
    <row r="45" spans="1:21" s="12" customFormat="1" x14ac:dyDescent="0.25">
      <c r="A45" s="214" t="s">
        <v>3164</v>
      </c>
      <c r="B45" s="64">
        <v>28.53</v>
      </c>
      <c r="C45" s="64">
        <v>31.54</v>
      </c>
      <c r="D45" s="64">
        <v>37.68</v>
      </c>
      <c r="E45" s="64">
        <v>5.81</v>
      </c>
      <c r="F45" s="64">
        <v>2.4700000000000002</v>
      </c>
      <c r="G45" s="64">
        <v>40.549999999999997</v>
      </c>
      <c r="H45" s="64">
        <v>14.54</v>
      </c>
      <c r="I45" s="64">
        <v>5.15</v>
      </c>
      <c r="J45" s="64">
        <v>7.0000000000000007E-2</v>
      </c>
      <c r="K45" s="64">
        <v>91.31</v>
      </c>
      <c r="L45" s="64">
        <v>22.2</v>
      </c>
      <c r="M45" s="64">
        <v>45.76</v>
      </c>
      <c r="N45" s="64">
        <v>336.2</v>
      </c>
      <c r="O45" s="64">
        <v>0</v>
      </c>
      <c r="P45" s="64">
        <v>1.35</v>
      </c>
      <c r="Q45" s="64">
        <v>9.48</v>
      </c>
      <c r="R45" s="198"/>
      <c r="S45" s="198"/>
      <c r="T45" s="198"/>
      <c r="U45" s="198"/>
    </row>
    <row r="46" spans="1:21" s="12" customFormat="1" x14ac:dyDescent="0.25">
      <c r="A46" s="214" t="s">
        <v>3165</v>
      </c>
      <c r="B46" s="64">
        <v>27.61</v>
      </c>
      <c r="C46" s="64">
        <v>32.19</v>
      </c>
      <c r="D46" s="64">
        <v>37.28</v>
      </c>
      <c r="E46" s="64">
        <v>5.61</v>
      </c>
      <c r="F46" s="64">
        <v>2.34</v>
      </c>
      <c r="G46" s="64">
        <v>47.01</v>
      </c>
      <c r="H46" s="64">
        <v>13.9</v>
      </c>
      <c r="I46" s="64">
        <v>5.27</v>
      </c>
      <c r="J46" s="64">
        <v>1.34</v>
      </c>
      <c r="K46" s="64">
        <v>139.88</v>
      </c>
      <c r="L46" s="64">
        <v>19.95</v>
      </c>
      <c r="M46" s="64">
        <v>52.28</v>
      </c>
      <c r="N46" s="64">
        <v>360.7</v>
      </c>
      <c r="O46" s="64">
        <v>0</v>
      </c>
      <c r="P46" s="64">
        <v>1.32</v>
      </c>
      <c r="Q46" s="64">
        <v>9.4600000000000009</v>
      </c>
      <c r="R46" s="198"/>
      <c r="S46" s="198"/>
      <c r="T46" s="198"/>
      <c r="U46" s="198"/>
    </row>
    <row r="47" spans="1:21" s="12" customFormat="1" x14ac:dyDescent="0.25">
      <c r="A47" s="214" t="s">
        <v>3166</v>
      </c>
      <c r="B47" s="64">
        <v>25.92</v>
      </c>
      <c r="C47" s="64">
        <v>33.25</v>
      </c>
      <c r="D47" s="64">
        <v>36.479999999999997</v>
      </c>
      <c r="E47" s="64">
        <v>5.71</v>
      </c>
      <c r="F47" s="64">
        <v>2.5099999999999998</v>
      </c>
      <c r="G47" s="64">
        <v>47.01</v>
      </c>
      <c r="H47" s="64">
        <v>13.9</v>
      </c>
      <c r="I47" s="64">
        <v>5.46</v>
      </c>
      <c r="J47" s="64">
        <v>1.51</v>
      </c>
      <c r="K47" s="64">
        <v>141.86000000000001</v>
      </c>
      <c r="L47" s="64">
        <v>19.649999999999999</v>
      </c>
      <c r="M47" s="64">
        <v>54.23</v>
      </c>
      <c r="N47" s="64">
        <v>378.6</v>
      </c>
      <c r="O47" s="64">
        <v>0</v>
      </c>
      <c r="P47" s="64">
        <v>1.28</v>
      </c>
      <c r="Q47" s="64">
        <v>9.4499999999999993</v>
      </c>
      <c r="R47" s="198"/>
      <c r="S47" s="198"/>
      <c r="T47" s="198"/>
      <c r="U47" s="198"/>
    </row>
    <row r="48" spans="1:21" s="12" customFormat="1" x14ac:dyDescent="0.25">
      <c r="A48" s="214" t="s">
        <v>3167</v>
      </c>
      <c r="B48" s="64">
        <v>24.28</v>
      </c>
      <c r="C48" s="64">
        <v>34.03</v>
      </c>
      <c r="D48" s="64">
        <v>35.57</v>
      </c>
      <c r="E48" s="64">
        <v>5.21</v>
      </c>
      <c r="F48" s="64">
        <v>2.4300000000000002</v>
      </c>
      <c r="G48" s="64">
        <v>47.01</v>
      </c>
      <c r="H48" s="64">
        <v>13.9</v>
      </c>
      <c r="I48" s="64">
        <v>5.61</v>
      </c>
      <c r="J48" s="64">
        <v>0.93</v>
      </c>
      <c r="K48" s="64">
        <v>148.41999999999999</v>
      </c>
      <c r="L48" s="64">
        <v>20.67</v>
      </c>
      <c r="M48" s="64">
        <v>48.94</v>
      </c>
      <c r="N48" s="64">
        <v>394.9</v>
      </c>
      <c r="O48" s="64">
        <v>0</v>
      </c>
      <c r="P48" s="64">
        <v>1.27</v>
      </c>
      <c r="Q48" s="64">
        <v>9.44</v>
      </c>
      <c r="R48" s="198"/>
      <c r="S48" s="198"/>
      <c r="T48" s="198"/>
      <c r="U48" s="198"/>
    </row>
    <row r="49" spans="1:21" s="12" customFormat="1" x14ac:dyDescent="0.25">
      <c r="A49" s="214" t="s">
        <v>3168</v>
      </c>
      <c r="B49" s="64">
        <v>22.62</v>
      </c>
      <c r="C49" s="64">
        <v>35.229999999999997</v>
      </c>
      <c r="D49" s="64">
        <v>34.869999999999997</v>
      </c>
      <c r="E49" s="64">
        <v>5.53</v>
      </c>
      <c r="F49" s="64">
        <v>2.1800000000000002</v>
      </c>
      <c r="G49" s="64">
        <v>43.45</v>
      </c>
      <c r="H49" s="64">
        <v>14.28</v>
      </c>
      <c r="I49" s="64">
        <v>5.71</v>
      </c>
      <c r="J49" s="64">
        <v>0.16</v>
      </c>
      <c r="K49" s="64">
        <v>13.06</v>
      </c>
      <c r="L49" s="64">
        <v>22.51</v>
      </c>
      <c r="M49" s="64">
        <v>42.77</v>
      </c>
      <c r="N49" s="64">
        <v>408.3</v>
      </c>
      <c r="O49" s="64">
        <v>0</v>
      </c>
      <c r="P49" s="64">
        <v>1.26</v>
      </c>
      <c r="Q49" s="64">
        <v>9.43</v>
      </c>
      <c r="R49" s="198"/>
      <c r="S49" s="198"/>
      <c r="T49" s="198"/>
      <c r="U49" s="198"/>
    </row>
    <row r="50" spans="1:21" s="12" customFormat="1" x14ac:dyDescent="0.25">
      <c r="A50" s="214" t="s">
        <v>3169</v>
      </c>
      <c r="B50" s="64">
        <v>11.03</v>
      </c>
      <c r="C50" s="64">
        <v>56.5</v>
      </c>
      <c r="D50" s="64">
        <v>36.69</v>
      </c>
      <c r="E50" s="64">
        <v>15.1</v>
      </c>
      <c r="F50" s="64">
        <v>4.26</v>
      </c>
      <c r="G50" s="64">
        <v>39.549999999999997</v>
      </c>
      <c r="H50" s="64">
        <v>14.75</v>
      </c>
      <c r="I50" s="64">
        <v>5.8</v>
      </c>
      <c r="J50" s="64">
        <v>1.23</v>
      </c>
      <c r="K50" s="64">
        <v>338.8</v>
      </c>
      <c r="L50" s="64">
        <v>25.81</v>
      </c>
      <c r="M50" s="64">
        <v>30.23</v>
      </c>
      <c r="N50" s="64">
        <v>408</v>
      </c>
      <c r="O50" s="64">
        <v>0</v>
      </c>
      <c r="P50" s="64">
        <v>1.33</v>
      </c>
      <c r="Q50" s="64">
        <v>9.39</v>
      </c>
      <c r="R50" s="198"/>
      <c r="S50" s="198"/>
      <c r="T50" s="198"/>
      <c r="U50" s="198"/>
    </row>
    <row r="51" spans="1:21" s="12" customFormat="1" x14ac:dyDescent="0.25">
      <c r="A51" s="214" t="s">
        <v>3170</v>
      </c>
      <c r="B51" s="64">
        <v>6.02</v>
      </c>
      <c r="C51" s="64">
        <v>67.5</v>
      </c>
      <c r="D51" s="64">
        <v>38.42</v>
      </c>
      <c r="E51" s="64">
        <v>10.24</v>
      </c>
      <c r="F51" s="64">
        <v>3.6</v>
      </c>
      <c r="G51" s="64">
        <v>39.549999999999997</v>
      </c>
      <c r="H51" s="64">
        <v>14.75</v>
      </c>
      <c r="I51" s="64">
        <v>6.14</v>
      </c>
      <c r="J51" s="64">
        <v>1.0900000000000001</v>
      </c>
      <c r="K51" s="64">
        <v>331.55</v>
      </c>
      <c r="L51" s="64">
        <v>27.46</v>
      </c>
      <c r="M51" s="64">
        <v>24.97</v>
      </c>
      <c r="N51" s="64">
        <v>433.6</v>
      </c>
      <c r="O51" s="64">
        <v>0</v>
      </c>
      <c r="P51" s="64">
        <v>1.27</v>
      </c>
      <c r="Q51" s="64">
        <v>9.35</v>
      </c>
      <c r="R51" s="198"/>
      <c r="S51" s="198"/>
      <c r="T51" s="198"/>
      <c r="U51" s="198"/>
    </row>
    <row r="52" spans="1:21" s="12" customFormat="1" x14ac:dyDescent="0.25">
      <c r="A52" s="214" t="s">
        <v>3171</v>
      </c>
      <c r="B52" s="64">
        <v>4.82</v>
      </c>
      <c r="C52" s="64">
        <v>66.62</v>
      </c>
      <c r="D52" s="64">
        <v>37</v>
      </c>
      <c r="E52" s="64">
        <v>7.02</v>
      </c>
      <c r="F52" s="64">
        <v>3.03</v>
      </c>
      <c r="G52" s="64">
        <v>39.549999999999997</v>
      </c>
      <c r="H52" s="64">
        <v>14.75</v>
      </c>
      <c r="I52" s="64">
        <v>6.71</v>
      </c>
      <c r="J52" s="64">
        <v>1.0900000000000001</v>
      </c>
      <c r="K52" s="64">
        <v>334.83</v>
      </c>
      <c r="L52" s="64">
        <v>27.69</v>
      </c>
      <c r="M52" s="64">
        <v>25.89</v>
      </c>
      <c r="N52" s="64">
        <v>447.2</v>
      </c>
      <c r="O52" s="64">
        <v>0</v>
      </c>
      <c r="P52" s="64">
        <v>1.26</v>
      </c>
      <c r="Q52" s="64">
        <v>9.34</v>
      </c>
      <c r="R52" s="198"/>
      <c r="S52" s="198"/>
      <c r="T52" s="198"/>
      <c r="U52" s="198"/>
    </row>
    <row r="53" spans="1:21" s="12" customFormat="1" x14ac:dyDescent="0.25">
      <c r="A53" s="214" t="s">
        <v>3172</v>
      </c>
      <c r="B53" s="64">
        <v>4.76</v>
      </c>
      <c r="C53" s="64">
        <v>64.12</v>
      </c>
      <c r="D53" s="64">
        <v>35.64</v>
      </c>
      <c r="E53" s="64">
        <v>6.5</v>
      </c>
      <c r="F53" s="64">
        <v>2.88</v>
      </c>
      <c r="G53" s="64">
        <v>38.409999999999997</v>
      </c>
      <c r="H53" s="64">
        <v>13.62</v>
      </c>
      <c r="I53" s="64">
        <v>6.69</v>
      </c>
      <c r="J53" s="64">
        <v>0.96</v>
      </c>
      <c r="K53" s="64">
        <v>327.68</v>
      </c>
      <c r="L53" s="64">
        <v>27.94</v>
      </c>
      <c r="M53" s="64">
        <v>23.63</v>
      </c>
      <c r="N53" s="64">
        <v>473.7</v>
      </c>
      <c r="O53" s="64">
        <v>0</v>
      </c>
      <c r="P53" s="64">
        <v>1.23</v>
      </c>
      <c r="Q53" s="64">
        <v>9.34</v>
      </c>
      <c r="R53" s="198"/>
      <c r="S53" s="198"/>
      <c r="T53" s="198"/>
      <c r="U53" s="198"/>
    </row>
    <row r="54" spans="1:21" s="12" customFormat="1" x14ac:dyDescent="0.25">
      <c r="A54" s="214" t="s">
        <v>3173</v>
      </c>
      <c r="B54" s="64">
        <v>3.85</v>
      </c>
      <c r="C54" s="64">
        <v>59.55</v>
      </c>
      <c r="D54" s="64">
        <v>32.53</v>
      </c>
      <c r="E54" s="64">
        <v>6.4</v>
      </c>
      <c r="F54" s="64">
        <v>3.99</v>
      </c>
      <c r="G54" s="64">
        <v>37.15</v>
      </c>
      <c r="H54" s="64">
        <v>12.96</v>
      </c>
      <c r="I54" s="64">
        <v>6.57</v>
      </c>
      <c r="J54" s="64">
        <v>0.86</v>
      </c>
      <c r="K54" s="64">
        <v>327.63</v>
      </c>
      <c r="L54" s="64">
        <v>28.31</v>
      </c>
      <c r="M54" s="64">
        <v>23.39</v>
      </c>
      <c r="N54" s="64">
        <v>499.6</v>
      </c>
      <c r="O54" s="64">
        <v>0</v>
      </c>
      <c r="P54" s="64">
        <v>1.2</v>
      </c>
      <c r="Q54" s="64">
        <v>9.35</v>
      </c>
      <c r="R54" s="198"/>
      <c r="S54" s="198"/>
      <c r="T54" s="198"/>
      <c r="U54" s="198"/>
    </row>
    <row r="55" spans="1:21" s="12" customFormat="1" x14ac:dyDescent="0.25">
      <c r="A55" s="214" t="s">
        <v>3174</v>
      </c>
      <c r="B55" s="64">
        <v>3.55</v>
      </c>
      <c r="C55" s="64">
        <v>57.65</v>
      </c>
      <c r="D55" s="64">
        <v>31.29</v>
      </c>
      <c r="E55" s="64">
        <v>6.02</v>
      </c>
      <c r="F55" s="64">
        <v>4.05</v>
      </c>
      <c r="G55" s="64">
        <v>37.15</v>
      </c>
      <c r="H55" s="64">
        <v>12.96</v>
      </c>
      <c r="I55" s="64">
        <v>6.42</v>
      </c>
      <c r="J55" s="64">
        <v>0.77</v>
      </c>
      <c r="K55" s="64">
        <v>319.95999999999998</v>
      </c>
      <c r="L55" s="64">
        <v>27.81</v>
      </c>
      <c r="M55" s="64">
        <v>23.55</v>
      </c>
      <c r="N55" s="64">
        <v>528.9</v>
      </c>
      <c r="O55" s="64">
        <v>0</v>
      </c>
      <c r="P55" s="64">
        <v>1.19</v>
      </c>
      <c r="Q55" s="64">
        <v>9.34</v>
      </c>
      <c r="R55" s="198"/>
      <c r="S55" s="198"/>
      <c r="T55" s="198"/>
      <c r="U55" s="198"/>
    </row>
    <row r="56" spans="1:21" s="12" customFormat="1" x14ac:dyDescent="0.25">
      <c r="A56" s="214" t="s">
        <v>3175</v>
      </c>
      <c r="B56" s="64">
        <v>3.13</v>
      </c>
      <c r="C56" s="64">
        <v>55.68</v>
      </c>
      <c r="D56" s="64">
        <v>29.93</v>
      </c>
      <c r="E56" s="64">
        <v>7.06</v>
      </c>
      <c r="F56" s="64">
        <v>4.71</v>
      </c>
      <c r="G56" s="64">
        <v>37.15</v>
      </c>
      <c r="H56" s="64">
        <v>12.96</v>
      </c>
      <c r="I56" s="64">
        <v>6.11</v>
      </c>
      <c r="J56" s="64">
        <v>0.76</v>
      </c>
      <c r="K56" s="64">
        <v>320.52</v>
      </c>
      <c r="L56" s="64">
        <v>28.15</v>
      </c>
      <c r="M56" s="64">
        <v>22.89</v>
      </c>
      <c r="N56" s="64">
        <v>531.4</v>
      </c>
      <c r="O56" s="64">
        <v>0</v>
      </c>
      <c r="P56" s="64">
        <v>1.19</v>
      </c>
      <c r="Q56" s="64">
        <v>9.35</v>
      </c>
      <c r="R56" s="198"/>
      <c r="S56" s="198"/>
      <c r="T56" s="198"/>
      <c r="U56" s="198"/>
    </row>
    <row r="57" spans="1:21" s="12" customFormat="1" x14ac:dyDescent="0.25">
      <c r="A57" s="214" t="s">
        <v>3176</v>
      </c>
      <c r="B57" s="64">
        <v>2.66</v>
      </c>
      <c r="C57" s="64">
        <v>52.73</v>
      </c>
      <c r="D57" s="64">
        <v>28.01</v>
      </c>
      <c r="E57" s="64">
        <v>7.95</v>
      </c>
      <c r="F57" s="64">
        <v>7.01</v>
      </c>
      <c r="G57" s="64">
        <v>29.62</v>
      </c>
      <c r="H57" s="64">
        <v>11.57</v>
      </c>
      <c r="I57" s="64">
        <v>6.01</v>
      </c>
      <c r="J57" s="64">
        <v>1.61</v>
      </c>
      <c r="K57" s="64">
        <v>336.18</v>
      </c>
      <c r="L57" s="64">
        <v>28.27</v>
      </c>
      <c r="M57" s="64">
        <v>22.95</v>
      </c>
      <c r="N57" s="64">
        <v>529.70000000000005</v>
      </c>
      <c r="O57" s="64">
        <v>0</v>
      </c>
      <c r="P57" s="64">
        <v>1.1000000000000001</v>
      </c>
      <c r="Q57" s="64">
        <v>9.35</v>
      </c>
      <c r="R57" s="198"/>
      <c r="S57" s="198"/>
      <c r="T57" s="198"/>
      <c r="U57" s="198"/>
    </row>
    <row r="58" spans="1:21" s="12" customFormat="1" x14ac:dyDescent="0.25">
      <c r="A58" s="214" t="s">
        <v>3177</v>
      </c>
      <c r="B58" s="64">
        <v>1.28</v>
      </c>
      <c r="C58" s="64">
        <v>52.84</v>
      </c>
      <c r="D58" s="64">
        <v>26.96</v>
      </c>
      <c r="E58" s="64">
        <v>7.58</v>
      </c>
      <c r="F58" s="64">
        <v>5.98</v>
      </c>
      <c r="G58" s="64">
        <v>21.38</v>
      </c>
      <c r="H58" s="64">
        <v>10.76</v>
      </c>
      <c r="I58" s="64">
        <v>5.83</v>
      </c>
      <c r="J58" s="64">
        <v>1.01</v>
      </c>
      <c r="K58" s="64">
        <v>318.14999999999998</v>
      </c>
      <c r="L58" s="64">
        <v>28.29</v>
      </c>
      <c r="M58" s="64">
        <v>22.2</v>
      </c>
      <c r="N58" s="64">
        <v>532.70000000000005</v>
      </c>
      <c r="O58" s="64">
        <v>0</v>
      </c>
      <c r="P58" s="64">
        <v>1.1200000000000001</v>
      </c>
      <c r="Q58" s="64">
        <v>9.34</v>
      </c>
      <c r="R58" s="198"/>
      <c r="S58" s="198"/>
      <c r="T58" s="198"/>
      <c r="U58" s="198"/>
    </row>
    <row r="59" spans="1:21" s="12" customFormat="1" x14ac:dyDescent="0.25">
      <c r="A59" s="214" t="s">
        <v>3178</v>
      </c>
      <c r="B59" s="64">
        <v>0.97</v>
      </c>
      <c r="C59" s="64">
        <v>53.13</v>
      </c>
      <c r="D59" s="64">
        <v>26.86</v>
      </c>
      <c r="E59" s="64">
        <v>6.6</v>
      </c>
      <c r="F59" s="64">
        <v>5.87</v>
      </c>
      <c r="G59" s="64">
        <v>21.38</v>
      </c>
      <c r="H59" s="64">
        <v>10.76</v>
      </c>
      <c r="I59" s="64">
        <v>5.63</v>
      </c>
      <c r="J59" s="64">
        <v>0.74</v>
      </c>
      <c r="K59" s="64">
        <v>315.95</v>
      </c>
      <c r="L59" s="64">
        <v>27.34</v>
      </c>
      <c r="M59" s="64">
        <v>23.11</v>
      </c>
      <c r="N59" s="64">
        <v>493.3</v>
      </c>
      <c r="O59" s="64">
        <v>0</v>
      </c>
      <c r="P59" s="64">
        <v>1.0900000000000001</v>
      </c>
      <c r="Q59" s="64">
        <v>9.34</v>
      </c>
      <c r="R59" s="198"/>
      <c r="S59" s="198"/>
      <c r="T59" s="198"/>
      <c r="U59" s="198"/>
    </row>
    <row r="60" spans="1:21" s="12" customFormat="1" x14ac:dyDescent="0.25">
      <c r="A60" s="214" t="s">
        <v>3179</v>
      </c>
      <c r="B60" s="64">
        <v>1.28</v>
      </c>
      <c r="C60" s="64">
        <v>52.85</v>
      </c>
      <c r="D60" s="64">
        <v>26.96</v>
      </c>
      <c r="E60" s="64">
        <v>7.61</v>
      </c>
      <c r="F60" s="64">
        <v>6.19</v>
      </c>
      <c r="G60" s="64">
        <v>21.38</v>
      </c>
      <c r="H60" s="64">
        <v>10.76</v>
      </c>
      <c r="I60" s="64">
        <v>5.53</v>
      </c>
      <c r="J60" s="64">
        <v>0.69</v>
      </c>
      <c r="K60" s="64">
        <v>305.24</v>
      </c>
      <c r="L60" s="64">
        <v>27.79</v>
      </c>
      <c r="M60" s="64">
        <v>22.42</v>
      </c>
      <c r="N60" s="64">
        <v>455.4</v>
      </c>
      <c r="O60" s="64">
        <v>0</v>
      </c>
      <c r="P60" s="64">
        <v>1.08</v>
      </c>
      <c r="Q60" s="64">
        <v>9.34</v>
      </c>
      <c r="R60" s="198"/>
      <c r="S60" s="198"/>
      <c r="T60" s="198"/>
      <c r="U60" s="198"/>
    </row>
    <row r="61" spans="1:21" s="12" customFormat="1" x14ac:dyDescent="0.25">
      <c r="A61" s="214" t="s">
        <v>3180</v>
      </c>
      <c r="B61" s="64">
        <v>2.88</v>
      </c>
      <c r="C61" s="64">
        <v>49.57</v>
      </c>
      <c r="D61" s="64">
        <v>26.54</v>
      </c>
      <c r="E61" s="64">
        <v>14.37</v>
      </c>
      <c r="F61" s="64">
        <v>11.06</v>
      </c>
      <c r="G61" s="64">
        <v>28.77</v>
      </c>
      <c r="H61" s="64">
        <v>10.77</v>
      </c>
      <c r="I61" s="64">
        <v>5.46</v>
      </c>
      <c r="J61" s="64">
        <v>1.5</v>
      </c>
      <c r="K61" s="64">
        <v>337.11</v>
      </c>
      <c r="L61" s="64">
        <v>27.96</v>
      </c>
      <c r="M61" s="64">
        <v>22.36</v>
      </c>
      <c r="N61" s="64">
        <v>407.9</v>
      </c>
      <c r="O61" s="64">
        <v>0</v>
      </c>
      <c r="P61" s="64">
        <v>1.06</v>
      </c>
      <c r="Q61" s="64">
        <v>9.34</v>
      </c>
      <c r="R61" s="198"/>
      <c r="S61" s="198"/>
      <c r="T61" s="198"/>
      <c r="U61" s="198"/>
    </row>
    <row r="62" spans="1:21" s="12" customFormat="1" x14ac:dyDescent="0.25">
      <c r="A62" s="214" t="s">
        <v>3181</v>
      </c>
      <c r="B62" s="64">
        <v>1.19</v>
      </c>
      <c r="C62" s="64">
        <v>52.85</v>
      </c>
      <c r="D62" s="64">
        <v>26.89</v>
      </c>
      <c r="E62" s="64">
        <v>11.07</v>
      </c>
      <c r="F62" s="64">
        <v>5.95</v>
      </c>
      <c r="G62" s="64">
        <v>36.840000000000003</v>
      </c>
      <c r="H62" s="64">
        <v>10.77</v>
      </c>
      <c r="I62" s="64">
        <v>5.45</v>
      </c>
      <c r="J62" s="64">
        <v>1.0900000000000001</v>
      </c>
      <c r="K62" s="64">
        <v>323.44</v>
      </c>
      <c r="L62" s="64">
        <v>27.97</v>
      </c>
      <c r="M62" s="64">
        <v>23</v>
      </c>
      <c r="N62" s="64">
        <v>358.3</v>
      </c>
      <c r="O62" s="64">
        <v>0</v>
      </c>
      <c r="P62" s="64">
        <v>1.1499999999999999</v>
      </c>
      <c r="Q62" s="64">
        <v>9.34</v>
      </c>
      <c r="R62" s="198"/>
      <c r="S62" s="198"/>
      <c r="T62" s="198"/>
      <c r="U62" s="198"/>
    </row>
    <row r="63" spans="1:21" s="12" customFormat="1" x14ac:dyDescent="0.25">
      <c r="A63" s="214" t="s">
        <v>3182</v>
      </c>
      <c r="B63" s="64">
        <v>0.81</v>
      </c>
      <c r="C63" s="64">
        <v>54.87</v>
      </c>
      <c r="D63" s="64">
        <v>27.64</v>
      </c>
      <c r="E63" s="64">
        <v>10.79</v>
      </c>
      <c r="F63" s="64">
        <v>6.65</v>
      </c>
      <c r="G63" s="64">
        <v>36.840000000000003</v>
      </c>
      <c r="H63" s="64">
        <v>10.77</v>
      </c>
      <c r="I63" s="64">
        <v>5.76</v>
      </c>
      <c r="J63" s="64">
        <v>0.85</v>
      </c>
      <c r="K63" s="64">
        <v>311.91000000000003</v>
      </c>
      <c r="L63" s="64">
        <v>27.56</v>
      </c>
      <c r="M63" s="64">
        <v>24.28</v>
      </c>
      <c r="N63" s="64">
        <v>332.2</v>
      </c>
      <c r="O63" s="64">
        <v>0</v>
      </c>
      <c r="P63" s="64">
        <v>1.22</v>
      </c>
      <c r="Q63" s="64">
        <v>9.35</v>
      </c>
      <c r="R63" s="198"/>
      <c r="S63" s="198"/>
      <c r="T63" s="198"/>
      <c r="U63" s="198"/>
    </row>
    <row r="64" spans="1:21" s="12" customFormat="1" x14ac:dyDescent="0.25">
      <c r="A64" s="214" t="s">
        <v>3183</v>
      </c>
      <c r="B64" s="64">
        <v>0.62</v>
      </c>
      <c r="C64" s="64">
        <v>54.66</v>
      </c>
      <c r="D64" s="64">
        <v>27.38</v>
      </c>
      <c r="E64" s="64">
        <v>8.3000000000000007</v>
      </c>
      <c r="F64" s="64">
        <v>6.58</v>
      </c>
      <c r="G64" s="64">
        <v>36.840000000000003</v>
      </c>
      <c r="H64" s="64">
        <v>10.77</v>
      </c>
      <c r="I64" s="64">
        <v>6.18</v>
      </c>
      <c r="J64" s="64">
        <v>0.8</v>
      </c>
      <c r="K64" s="64">
        <v>326.86</v>
      </c>
      <c r="L64" s="64">
        <v>27.21</v>
      </c>
      <c r="M64" s="64">
        <v>22.97</v>
      </c>
      <c r="N64" s="64">
        <v>308.60000000000002</v>
      </c>
      <c r="O64" s="64">
        <v>0</v>
      </c>
      <c r="P64" s="64">
        <v>1.22</v>
      </c>
      <c r="Q64" s="64">
        <v>9.35</v>
      </c>
      <c r="R64" s="198"/>
      <c r="S64" s="198"/>
      <c r="T64" s="198"/>
      <c r="U64" s="198"/>
    </row>
    <row r="65" spans="1:21" s="12" customFormat="1" x14ac:dyDescent="0.25">
      <c r="A65" s="214" t="s">
        <v>3184</v>
      </c>
      <c r="B65" s="64">
        <v>0.92</v>
      </c>
      <c r="C65" s="64">
        <v>53.46</v>
      </c>
      <c r="D65" s="64">
        <v>27</v>
      </c>
      <c r="E65" s="64">
        <v>7.66</v>
      </c>
      <c r="F65" s="64">
        <v>5.42</v>
      </c>
      <c r="G65" s="64">
        <v>37.25</v>
      </c>
      <c r="H65" s="64">
        <v>11.37</v>
      </c>
      <c r="I65" s="64">
        <v>6.65</v>
      </c>
      <c r="J65" s="64">
        <v>0.93</v>
      </c>
      <c r="K65" s="64">
        <v>315.01</v>
      </c>
      <c r="L65" s="64">
        <v>26.33</v>
      </c>
      <c r="M65" s="64">
        <v>25.24</v>
      </c>
      <c r="N65" s="64">
        <v>153.5</v>
      </c>
      <c r="O65" s="64">
        <v>0</v>
      </c>
      <c r="P65" s="64">
        <v>1.22</v>
      </c>
      <c r="Q65" s="64">
        <v>9.34</v>
      </c>
      <c r="R65" s="198"/>
      <c r="S65" s="198"/>
      <c r="T65" s="198"/>
      <c r="U65" s="198"/>
    </row>
    <row r="66" spans="1:21" s="12" customFormat="1" x14ac:dyDescent="0.25">
      <c r="A66" s="214" t="s">
        <v>3185</v>
      </c>
      <c r="B66" s="64">
        <v>2.09</v>
      </c>
      <c r="C66" s="64">
        <v>53.13</v>
      </c>
      <c r="D66" s="64">
        <v>27.76</v>
      </c>
      <c r="E66" s="64">
        <v>8.41</v>
      </c>
      <c r="F66" s="64">
        <v>7.76</v>
      </c>
      <c r="G66" s="64">
        <v>37.700000000000003</v>
      </c>
      <c r="H66" s="64">
        <v>12.09</v>
      </c>
      <c r="I66" s="64">
        <v>6.76</v>
      </c>
      <c r="J66" s="64">
        <v>1.23</v>
      </c>
      <c r="K66" s="64">
        <v>328.52</v>
      </c>
      <c r="L66" s="64">
        <v>26.11</v>
      </c>
      <c r="M66" s="64">
        <v>25.17</v>
      </c>
      <c r="N66" s="64">
        <v>119.8</v>
      </c>
      <c r="O66" s="64">
        <v>0</v>
      </c>
      <c r="P66" s="64">
        <v>1.23</v>
      </c>
      <c r="Q66" s="64">
        <v>9.35</v>
      </c>
      <c r="R66" s="198"/>
      <c r="S66" s="198"/>
      <c r="T66" s="198"/>
      <c r="U66" s="198"/>
    </row>
    <row r="67" spans="1:21" s="12" customFormat="1" x14ac:dyDescent="0.25">
      <c r="A67" s="214" t="s">
        <v>3186</v>
      </c>
      <c r="B67" s="64">
        <v>2.02</v>
      </c>
      <c r="C67" s="64">
        <v>54.66</v>
      </c>
      <c r="D67" s="64">
        <v>28.5</v>
      </c>
      <c r="E67" s="64">
        <v>8.6999999999999993</v>
      </c>
      <c r="F67" s="64">
        <v>4.5199999999999996</v>
      </c>
      <c r="G67" s="64">
        <v>37.700000000000003</v>
      </c>
      <c r="H67" s="64">
        <v>12.09</v>
      </c>
      <c r="I67" s="64">
        <v>6.75</v>
      </c>
      <c r="J67" s="64">
        <v>0.96</v>
      </c>
      <c r="K67" s="64">
        <v>326.36</v>
      </c>
      <c r="L67" s="64">
        <v>25.55</v>
      </c>
      <c r="M67" s="64">
        <v>24.41</v>
      </c>
      <c r="N67" s="64">
        <v>108.7</v>
      </c>
      <c r="O67" s="64">
        <v>0</v>
      </c>
      <c r="P67" s="64">
        <v>1.2</v>
      </c>
      <c r="Q67" s="64">
        <v>9.35</v>
      </c>
      <c r="R67" s="198"/>
      <c r="S67" s="198"/>
      <c r="T67" s="198"/>
      <c r="U67" s="198"/>
    </row>
    <row r="68" spans="1:21" s="12" customFormat="1" x14ac:dyDescent="0.25">
      <c r="A68" s="214" t="s">
        <v>3187</v>
      </c>
      <c r="B68" s="64">
        <v>1.38</v>
      </c>
      <c r="C68" s="64">
        <v>48.31</v>
      </c>
      <c r="D68" s="64">
        <v>24.67</v>
      </c>
      <c r="E68" s="64">
        <v>9.41</v>
      </c>
      <c r="F68" s="64">
        <v>6.11</v>
      </c>
      <c r="G68" s="64">
        <v>37.700000000000003</v>
      </c>
      <c r="H68" s="64">
        <v>12.09</v>
      </c>
      <c r="I68" s="64">
        <v>6.59</v>
      </c>
      <c r="J68" s="64">
        <v>0.19</v>
      </c>
      <c r="K68" s="64">
        <v>126.04</v>
      </c>
      <c r="L68" s="64">
        <v>24.31</v>
      </c>
      <c r="M68" s="64">
        <v>22.61</v>
      </c>
      <c r="N68" s="64">
        <v>79.8</v>
      </c>
      <c r="O68" s="64">
        <v>0</v>
      </c>
      <c r="P68" s="64">
        <v>1.1000000000000001</v>
      </c>
      <c r="Q68" s="64">
        <v>9.35</v>
      </c>
      <c r="R68" s="198"/>
      <c r="S68" s="198"/>
      <c r="T68" s="198"/>
      <c r="U68" s="198"/>
    </row>
    <row r="69" spans="1:21" s="12" customFormat="1" x14ac:dyDescent="0.25">
      <c r="A69" s="214" t="s">
        <v>3188</v>
      </c>
      <c r="B69" s="64">
        <v>1.85</v>
      </c>
      <c r="C69" s="64">
        <v>49.92</v>
      </c>
      <c r="D69" s="64">
        <v>25.88</v>
      </c>
      <c r="E69" s="64">
        <v>7.76</v>
      </c>
      <c r="F69" s="64">
        <v>4.3099999999999996</v>
      </c>
      <c r="G69" s="64">
        <v>35.369999999999997</v>
      </c>
      <c r="H69" s="64">
        <v>11.86</v>
      </c>
      <c r="I69" s="64">
        <v>6.53</v>
      </c>
      <c r="J69" s="64">
        <v>0.73</v>
      </c>
      <c r="K69" s="64">
        <v>297.24</v>
      </c>
      <c r="L69" s="64">
        <v>24.18</v>
      </c>
      <c r="M69" s="64">
        <v>22.73</v>
      </c>
      <c r="N69" s="64">
        <v>71.2</v>
      </c>
      <c r="O69" s="64">
        <v>0</v>
      </c>
      <c r="P69" s="64">
        <v>1.1000000000000001</v>
      </c>
      <c r="Q69" s="64">
        <v>9.35</v>
      </c>
      <c r="R69" s="198"/>
      <c r="S69" s="198"/>
      <c r="T69" s="198"/>
      <c r="U69" s="198"/>
    </row>
    <row r="70" spans="1:21" s="12" customFormat="1" x14ac:dyDescent="0.25">
      <c r="A70" s="214" t="s">
        <v>3189</v>
      </c>
      <c r="B70" s="64">
        <v>1.92</v>
      </c>
      <c r="C70" s="64">
        <v>49.06</v>
      </c>
      <c r="D70" s="64">
        <v>25.49</v>
      </c>
      <c r="E70" s="64">
        <v>8.17</v>
      </c>
      <c r="F70" s="64">
        <v>5.84</v>
      </c>
      <c r="G70" s="64">
        <v>32.83</v>
      </c>
      <c r="H70" s="64">
        <v>11.73</v>
      </c>
      <c r="I70" s="64">
        <v>6.14</v>
      </c>
      <c r="J70" s="64">
        <v>0.71</v>
      </c>
      <c r="K70" s="64">
        <v>310.73</v>
      </c>
      <c r="L70" s="64">
        <v>24.15</v>
      </c>
      <c r="M70" s="64">
        <v>22.78</v>
      </c>
      <c r="N70" s="64">
        <v>65.7</v>
      </c>
      <c r="O70" s="64">
        <v>0</v>
      </c>
      <c r="P70" s="64">
        <v>1.0900000000000001</v>
      </c>
      <c r="Q70" s="64">
        <v>9.34</v>
      </c>
      <c r="R70" s="198"/>
      <c r="S70" s="198"/>
      <c r="T70" s="198"/>
      <c r="U70" s="198"/>
    </row>
    <row r="71" spans="1:21" s="12" customFormat="1" x14ac:dyDescent="0.25">
      <c r="A71" s="214" t="s">
        <v>3190</v>
      </c>
      <c r="B71" s="64">
        <v>2.7</v>
      </c>
      <c r="C71" s="64">
        <v>47.87</v>
      </c>
      <c r="D71" s="64">
        <v>25.49</v>
      </c>
      <c r="E71" s="64">
        <v>8.0299999999999994</v>
      </c>
      <c r="F71" s="64">
        <v>5.0199999999999996</v>
      </c>
      <c r="G71" s="64">
        <v>32.83</v>
      </c>
      <c r="H71" s="64">
        <v>11.73</v>
      </c>
      <c r="I71" s="64">
        <v>6.16</v>
      </c>
      <c r="J71" s="64">
        <v>0.39</v>
      </c>
      <c r="K71" s="64">
        <v>299.73</v>
      </c>
      <c r="L71" s="64">
        <v>23.85</v>
      </c>
      <c r="M71" s="64">
        <v>22.13</v>
      </c>
      <c r="N71" s="64">
        <v>62.2</v>
      </c>
      <c r="O71" s="64">
        <v>0</v>
      </c>
      <c r="P71" s="64">
        <v>1.05</v>
      </c>
      <c r="Q71" s="64">
        <v>9.34</v>
      </c>
      <c r="R71" s="198"/>
      <c r="S71" s="198"/>
      <c r="T71" s="198"/>
      <c r="U71" s="198"/>
    </row>
    <row r="72" spans="1:21" s="12" customFormat="1" x14ac:dyDescent="0.25">
      <c r="A72" s="214" t="s">
        <v>3191</v>
      </c>
      <c r="B72" s="64">
        <v>3.2</v>
      </c>
      <c r="C72" s="64">
        <v>45.14</v>
      </c>
      <c r="D72" s="64">
        <v>24.47</v>
      </c>
      <c r="E72" s="64">
        <v>11.13</v>
      </c>
      <c r="F72" s="64">
        <v>9.4</v>
      </c>
      <c r="G72" s="64">
        <v>32.83</v>
      </c>
      <c r="H72" s="64">
        <v>11.73</v>
      </c>
      <c r="I72" s="64">
        <v>6.03</v>
      </c>
      <c r="J72" s="64">
        <v>0.93</v>
      </c>
      <c r="K72" s="64">
        <v>321.3</v>
      </c>
      <c r="L72" s="64">
        <v>23.59</v>
      </c>
      <c r="M72" s="64">
        <v>23.55</v>
      </c>
      <c r="N72" s="64">
        <v>57.3</v>
      </c>
      <c r="O72" s="64">
        <v>0</v>
      </c>
      <c r="P72" s="64">
        <v>0.97</v>
      </c>
      <c r="Q72" s="64">
        <v>9.34</v>
      </c>
      <c r="R72" s="198"/>
      <c r="S72" s="198"/>
      <c r="T72" s="198"/>
      <c r="U72" s="198"/>
    </row>
    <row r="73" spans="1:21" s="12" customFormat="1" x14ac:dyDescent="0.25">
      <c r="A73" s="214" t="s">
        <v>3192</v>
      </c>
      <c r="B73" s="64">
        <v>4.8600000000000003</v>
      </c>
      <c r="C73" s="64">
        <v>50.03</v>
      </c>
      <c r="D73" s="64">
        <v>28.36</v>
      </c>
      <c r="E73" s="64">
        <v>9.3699999999999992</v>
      </c>
      <c r="F73" s="64">
        <v>6.92</v>
      </c>
      <c r="G73" s="64">
        <v>28</v>
      </c>
      <c r="H73" s="64">
        <v>10.37</v>
      </c>
      <c r="I73" s="64">
        <v>5.54</v>
      </c>
      <c r="J73" s="64">
        <v>0.88</v>
      </c>
      <c r="K73" s="64">
        <v>314.11</v>
      </c>
      <c r="L73" s="64">
        <v>23.34</v>
      </c>
      <c r="M73" s="64">
        <v>24.9</v>
      </c>
      <c r="N73" s="64">
        <v>52.6</v>
      </c>
      <c r="O73" s="64">
        <v>0</v>
      </c>
      <c r="P73" s="64">
        <v>1.05</v>
      </c>
      <c r="Q73" s="64">
        <v>9.33</v>
      </c>
      <c r="R73" s="198"/>
      <c r="S73" s="198"/>
      <c r="T73" s="198"/>
      <c r="U73" s="198"/>
    </row>
    <row r="74" spans="1:21" s="12" customFormat="1" x14ac:dyDescent="0.25">
      <c r="A74" s="214" t="s">
        <v>3193</v>
      </c>
      <c r="B74" s="64">
        <v>14.93</v>
      </c>
      <c r="C74" s="64">
        <v>54.27</v>
      </c>
      <c r="D74" s="64">
        <v>38.65</v>
      </c>
      <c r="E74" s="64">
        <v>20.190000000000001</v>
      </c>
      <c r="F74" s="64">
        <v>10.95</v>
      </c>
      <c r="G74" s="64">
        <v>22.72</v>
      </c>
      <c r="H74" s="64">
        <v>9.6199999999999992</v>
      </c>
      <c r="I74" s="64">
        <v>5.42</v>
      </c>
      <c r="J74" s="64">
        <v>0.81</v>
      </c>
      <c r="K74" s="64">
        <v>328.11</v>
      </c>
      <c r="L74" s="64">
        <v>22.96</v>
      </c>
      <c r="M74" s="64">
        <v>26.56</v>
      </c>
      <c r="N74" s="64">
        <v>49.2</v>
      </c>
      <c r="O74" s="64">
        <v>0</v>
      </c>
      <c r="P74" s="64">
        <v>1.05</v>
      </c>
      <c r="Q74" s="64">
        <v>9.32</v>
      </c>
      <c r="R74" s="198"/>
      <c r="S74" s="198"/>
      <c r="T74" s="198"/>
      <c r="U74" s="198"/>
    </row>
    <row r="75" spans="1:21" s="12" customFormat="1" x14ac:dyDescent="0.25">
      <c r="A75" s="214" t="s">
        <v>3194</v>
      </c>
      <c r="B75" s="64">
        <v>11.32</v>
      </c>
      <c r="C75" s="64">
        <v>60.08</v>
      </c>
      <c r="D75" s="64">
        <v>38.79</v>
      </c>
      <c r="E75" s="64">
        <v>24.42</v>
      </c>
      <c r="F75" s="64">
        <v>10.119999999999999</v>
      </c>
      <c r="G75" s="64">
        <v>22.72</v>
      </c>
      <c r="H75" s="64">
        <v>9.6199999999999992</v>
      </c>
      <c r="I75" s="64">
        <v>4.99</v>
      </c>
      <c r="J75" s="64">
        <v>0.45</v>
      </c>
      <c r="K75" s="64">
        <v>350.09</v>
      </c>
      <c r="L75" s="64">
        <v>22.46</v>
      </c>
      <c r="M75" s="64">
        <v>29.91</v>
      </c>
      <c r="N75" s="64">
        <v>45.2</v>
      </c>
      <c r="O75" s="64">
        <v>0</v>
      </c>
      <c r="P75" s="64">
        <v>1.28</v>
      </c>
      <c r="Q75" s="64">
        <v>9.34</v>
      </c>
      <c r="R75" s="198"/>
      <c r="S75" s="198"/>
      <c r="T75" s="198"/>
      <c r="U75" s="198"/>
    </row>
    <row r="76" spans="1:21" s="12" customFormat="1" x14ac:dyDescent="0.25">
      <c r="A76" s="214" t="s">
        <v>3195</v>
      </c>
      <c r="B76" s="64">
        <v>11.59</v>
      </c>
      <c r="C76" s="64">
        <v>55.27</v>
      </c>
      <c r="D76" s="64">
        <v>36.5</v>
      </c>
      <c r="E76" s="64">
        <v>18.59</v>
      </c>
      <c r="F76" s="64">
        <v>7.12</v>
      </c>
      <c r="G76" s="64">
        <v>22.72</v>
      </c>
      <c r="H76" s="64">
        <v>9.6199999999999992</v>
      </c>
      <c r="I76" s="64">
        <v>4.76</v>
      </c>
      <c r="J76" s="64">
        <v>0.83</v>
      </c>
      <c r="K76" s="64">
        <v>333.83</v>
      </c>
      <c r="L76" s="64">
        <v>21.9</v>
      </c>
      <c r="M76" s="64">
        <v>33.93</v>
      </c>
      <c r="N76" s="64">
        <v>40.6</v>
      </c>
      <c r="O76" s="64">
        <v>0</v>
      </c>
      <c r="P76" s="64">
        <v>1.26</v>
      </c>
      <c r="Q76" s="64">
        <v>9.34</v>
      </c>
      <c r="R76" s="198"/>
      <c r="S76" s="198"/>
      <c r="T76" s="198"/>
      <c r="U76" s="198"/>
    </row>
    <row r="77" spans="1:21" s="12" customFormat="1" x14ac:dyDescent="0.25">
      <c r="A77" s="214" t="s">
        <v>3196</v>
      </c>
      <c r="B77" s="64">
        <v>11.44</v>
      </c>
      <c r="C77" s="64">
        <v>64.010000000000005</v>
      </c>
      <c r="D77" s="64">
        <v>44.34</v>
      </c>
      <c r="E77" s="64">
        <v>18.54</v>
      </c>
      <c r="F77" s="64">
        <v>5.95</v>
      </c>
      <c r="G77" s="64">
        <v>28.78</v>
      </c>
      <c r="H77" s="64">
        <v>10</v>
      </c>
      <c r="I77" s="64">
        <v>5.01</v>
      </c>
      <c r="J77" s="64">
        <v>0.5</v>
      </c>
      <c r="K77" s="64">
        <v>297.99</v>
      </c>
      <c r="L77" s="64">
        <v>20.86</v>
      </c>
      <c r="M77" s="64">
        <v>40.5</v>
      </c>
      <c r="N77" s="64">
        <v>34.299999999999997</v>
      </c>
      <c r="O77" s="64">
        <v>0</v>
      </c>
      <c r="P77" s="64">
        <v>1.43</v>
      </c>
      <c r="Q77" s="64">
        <v>9.36</v>
      </c>
      <c r="R77" s="198"/>
      <c r="S77" s="198"/>
      <c r="T77" s="198"/>
      <c r="U77" s="198"/>
    </row>
    <row r="78" spans="1:21" s="12" customFormat="1" x14ac:dyDescent="0.25">
      <c r="A78" s="214" t="s">
        <v>3197</v>
      </c>
      <c r="B78" s="64">
        <v>9.66</v>
      </c>
      <c r="C78" s="64">
        <v>61.36</v>
      </c>
      <c r="D78" s="64">
        <v>38.119999999999997</v>
      </c>
      <c r="E78" s="64">
        <v>14.09</v>
      </c>
      <c r="F78" s="64">
        <v>4.92</v>
      </c>
      <c r="G78" s="64">
        <v>28.78</v>
      </c>
      <c r="H78" s="64">
        <v>10</v>
      </c>
      <c r="I78" s="64">
        <v>5.19</v>
      </c>
      <c r="J78" s="64">
        <v>0.52</v>
      </c>
      <c r="K78" s="64">
        <v>69.72</v>
      </c>
      <c r="L78" s="64">
        <v>20.32</v>
      </c>
      <c r="M78" s="64">
        <v>38.08</v>
      </c>
      <c r="N78" s="64">
        <v>31.6</v>
      </c>
      <c r="O78" s="64">
        <v>0</v>
      </c>
      <c r="P78" s="64">
        <v>1.37</v>
      </c>
      <c r="Q78" s="64">
        <v>9.3699999999999992</v>
      </c>
      <c r="R78" s="198"/>
      <c r="S78" s="198"/>
      <c r="T78" s="198"/>
      <c r="U78" s="198"/>
    </row>
    <row r="79" spans="1:21" s="12" customFormat="1" x14ac:dyDescent="0.25">
      <c r="A79" s="214" t="s">
        <v>3198</v>
      </c>
      <c r="B79" s="64">
        <v>6.44</v>
      </c>
      <c r="C79" s="64">
        <v>56.37</v>
      </c>
      <c r="D79" s="64">
        <v>32.94</v>
      </c>
      <c r="E79" s="64">
        <v>9.11</v>
      </c>
      <c r="F79" s="64">
        <v>3.59</v>
      </c>
      <c r="G79" s="64">
        <v>28.78</v>
      </c>
      <c r="H79" s="64">
        <v>10</v>
      </c>
      <c r="I79" s="64">
        <v>5.05</v>
      </c>
      <c r="J79" s="64">
        <v>0.56999999999999995</v>
      </c>
      <c r="K79" s="64">
        <v>90.65</v>
      </c>
      <c r="L79" s="64">
        <v>19.39</v>
      </c>
      <c r="M79" s="64">
        <v>42.3</v>
      </c>
      <c r="N79" s="64">
        <v>30.2</v>
      </c>
      <c r="O79" s="64">
        <v>0</v>
      </c>
      <c r="P79" s="64">
        <v>1.25</v>
      </c>
      <c r="Q79" s="64">
        <v>9.3800000000000008</v>
      </c>
      <c r="R79" s="198"/>
      <c r="S79" s="198"/>
      <c r="T79" s="198"/>
      <c r="U79" s="198"/>
    </row>
    <row r="80" spans="1:21" s="12" customFormat="1" x14ac:dyDescent="0.25">
      <c r="A80" s="214" t="s">
        <v>3199</v>
      </c>
      <c r="B80" s="64">
        <v>8.1300000000000008</v>
      </c>
      <c r="C80" s="64">
        <v>53.55</v>
      </c>
      <c r="D80" s="64">
        <v>32.82</v>
      </c>
      <c r="E80" s="64">
        <v>5.41</v>
      </c>
      <c r="F80" s="64">
        <v>2.81</v>
      </c>
      <c r="G80" s="64">
        <v>28.78</v>
      </c>
      <c r="H80" s="64">
        <v>10</v>
      </c>
      <c r="I80" s="64">
        <v>5.12</v>
      </c>
      <c r="J80" s="64">
        <v>0.18</v>
      </c>
      <c r="K80" s="64">
        <v>143.79</v>
      </c>
      <c r="L80" s="64">
        <v>18.66</v>
      </c>
      <c r="M80" s="64">
        <v>47.17</v>
      </c>
      <c r="N80" s="64">
        <v>29.8</v>
      </c>
      <c r="O80" s="64">
        <v>0</v>
      </c>
      <c r="P80" s="64">
        <v>1.26</v>
      </c>
      <c r="Q80" s="64">
        <v>9.3699999999999992</v>
      </c>
      <c r="R80" s="198"/>
      <c r="S80" s="198"/>
      <c r="T80" s="198"/>
      <c r="U80" s="198"/>
    </row>
    <row r="81" spans="1:26" s="12" customFormat="1" x14ac:dyDescent="0.25">
      <c r="A81" s="214" t="s">
        <v>3200</v>
      </c>
      <c r="B81" s="64">
        <v>12.1</v>
      </c>
      <c r="C81" s="64">
        <v>50.6</v>
      </c>
      <c r="D81" s="64">
        <v>34.46</v>
      </c>
      <c r="E81" s="64">
        <v>5.31</v>
      </c>
      <c r="F81" s="64">
        <v>2.48</v>
      </c>
      <c r="G81" s="64">
        <v>50.19</v>
      </c>
      <c r="H81" s="64">
        <v>12.07</v>
      </c>
      <c r="I81" s="64">
        <v>5.48</v>
      </c>
      <c r="J81" s="64">
        <v>0.14000000000000001</v>
      </c>
      <c r="K81" s="64">
        <v>23.74</v>
      </c>
      <c r="L81" s="64">
        <v>18.2</v>
      </c>
      <c r="M81" s="64">
        <v>47.35</v>
      </c>
      <c r="N81" s="64">
        <v>29.7</v>
      </c>
      <c r="O81" s="64">
        <v>0</v>
      </c>
      <c r="P81" s="64">
        <v>1.3</v>
      </c>
      <c r="Q81" s="64">
        <v>9.39</v>
      </c>
      <c r="R81" s="198"/>
      <c r="S81" s="198"/>
      <c r="T81" s="198"/>
      <c r="U81" s="198"/>
    </row>
    <row r="82" spans="1:26" s="12" customFormat="1" x14ac:dyDescent="0.25">
      <c r="A82" s="214" t="s">
        <v>3201</v>
      </c>
      <c r="B82" s="64">
        <v>11.7</v>
      </c>
      <c r="C82" s="64">
        <v>49.73</v>
      </c>
      <c r="D82" s="64">
        <v>33.69</v>
      </c>
      <c r="E82" s="64">
        <v>4.74</v>
      </c>
      <c r="F82" s="64">
        <v>2.5</v>
      </c>
      <c r="G82" s="64">
        <v>73.59</v>
      </c>
      <c r="H82" s="64">
        <v>14.93</v>
      </c>
      <c r="I82" s="64">
        <v>5.71</v>
      </c>
      <c r="J82" s="64">
        <v>0.59</v>
      </c>
      <c r="K82" s="64">
        <v>290.83999999999997</v>
      </c>
      <c r="L82" s="64">
        <v>17.64</v>
      </c>
      <c r="M82" s="64">
        <v>50.55</v>
      </c>
      <c r="N82" s="64">
        <v>29.8</v>
      </c>
      <c r="O82" s="64">
        <v>0</v>
      </c>
      <c r="P82" s="64">
        <v>1.34</v>
      </c>
      <c r="Q82" s="64">
        <v>9.39</v>
      </c>
      <c r="R82" s="198"/>
      <c r="S82" s="198"/>
      <c r="T82" s="198"/>
      <c r="U82" s="198"/>
    </row>
    <row r="83" spans="1:26" s="12" customFormat="1" x14ac:dyDescent="0.25">
      <c r="A83" s="214" t="s">
        <v>3202</v>
      </c>
      <c r="B83" s="64">
        <v>14.05</v>
      </c>
      <c r="C83" s="64">
        <v>48.32</v>
      </c>
      <c r="D83" s="64">
        <v>34.840000000000003</v>
      </c>
      <c r="E83" s="64">
        <v>4.4800000000000004</v>
      </c>
      <c r="F83" s="64">
        <v>2.4700000000000002</v>
      </c>
      <c r="G83" s="64">
        <v>73.59</v>
      </c>
      <c r="H83" s="64">
        <v>14.93</v>
      </c>
      <c r="I83" s="64">
        <v>5.49</v>
      </c>
      <c r="J83" s="64">
        <v>0.44</v>
      </c>
      <c r="K83" s="64">
        <v>253.13</v>
      </c>
      <c r="L83" s="64">
        <v>17.149999999999999</v>
      </c>
      <c r="M83" s="64">
        <v>52.67</v>
      </c>
      <c r="N83" s="64">
        <v>29.7</v>
      </c>
      <c r="O83" s="64">
        <v>0</v>
      </c>
      <c r="P83" s="64">
        <v>1.44</v>
      </c>
      <c r="Q83" s="64">
        <v>9.41</v>
      </c>
      <c r="R83" s="198"/>
      <c r="S83" s="198"/>
      <c r="T83" s="198"/>
      <c r="U83" s="198"/>
    </row>
    <row r="84" spans="1:26" s="12" customFormat="1" x14ac:dyDescent="0.25">
      <c r="A84" s="214" t="s">
        <v>3203</v>
      </c>
      <c r="B84" s="64">
        <v>18.78</v>
      </c>
      <c r="C84" s="64">
        <v>45.91</v>
      </c>
      <c r="D84" s="64">
        <v>37.369999999999997</v>
      </c>
      <c r="E84" s="64">
        <v>4.51</v>
      </c>
      <c r="F84" s="64">
        <v>2.39</v>
      </c>
      <c r="G84" s="64">
        <v>73.59</v>
      </c>
      <c r="H84" s="64">
        <v>14.93</v>
      </c>
      <c r="I84" s="64">
        <v>5.47</v>
      </c>
      <c r="J84" s="64">
        <v>0.44</v>
      </c>
      <c r="K84" s="64">
        <v>6.15</v>
      </c>
      <c r="L84" s="64">
        <v>16.829999999999998</v>
      </c>
      <c r="M84" s="64">
        <v>55.94</v>
      </c>
      <c r="N84" s="64">
        <v>29.6</v>
      </c>
      <c r="O84" s="64">
        <v>0</v>
      </c>
      <c r="P84" s="64">
        <v>1.54</v>
      </c>
      <c r="Q84" s="64">
        <v>9.43</v>
      </c>
      <c r="R84" s="198"/>
      <c r="S84" s="198"/>
      <c r="T84" s="198"/>
      <c r="U84" s="198"/>
    </row>
    <row r="85" spans="1:26" s="12" customFormat="1" x14ac:dyDescent="0.25">
      <c r="A85" s="214" t="s">
        <v>3204</v>
      </c>
      <c r="B85" s="64">
        <v>26.41</v>
      </c>
      <c r="C85" s="64">
        <v>42.17</v>
      </c>
      <c r="D85" s="64">
        <v>41.53</v>
      </c>
      <c r="E85" s="64">
        <v>4.78</v>
      </c>
      <c r="F85" s="64">
        <v>2.38</v>
      </c>
      <c r="G85" s="64">
        <v>78.849999999999994</v>
      </c>
      <c r="H85" s="64">
        <v>17.41</v>
      </c>
      <c r="I85" s="64">
        <v>5.63</v>
      </c>
      <c r="J85" s="64">
        <v>0.06</v>
      </c>
      <c r="K85" s="64">
        <v>112.61</v>
      </c>
      <c r="L85" s="64">
        <v>16.579999999999998</v>
      </c>
      <c r="M85" s="64">
        <v>58.47</v>
      </c>
      <c r="N85" s="64">
        <v>29.1</v>
      </c>
      <c r="O85" s="64">
        <v>0</v>
      </c>
      <c r="P85" s="64">
        <v>1.63</v>
      </c>
      <c r="Q85" s="64">
        <v>9.4499999999999993</v>
      </c>
      <c r="R85" s="198"/>
      <c r="S85" s="198"/>
      <c r="T85" s="198"/>
      <c r="U85" s="198"/>
    </row>
    <row r="86" spans="1:26" s="12" customFormat="1" x14ac:dyDescent="0.25">
      <c r="A86" s="214" t="s">
        <v>3205</v>
      </c>
      <c r="B86" s="64">
        <v>29.34</v>
      </c>
      <c r="C86" s="64">
        <v>39.86</v>
      </c>
      <c r="D86" s="64">
        <v>42.68</v>
      </c>
      <c r="E86" s="64">
        <v>4.62</v>
      </c>
      <c r="F86" s="64">
        <v>2.79</v>
      </c>
      <c r="G86" s="64">
        <v>84.6</v>
      </c>
      <c r="H86" s="64">
        <v>18.89</v>
      </c>
      <c r="I86" s="64">
        <v>5.91</v>
      </c>
      <c r="J86" s="64">
        <v>0.56000000000000005</v>
      </c>
      <c r="K86" s="64">
        <v>243.5</v>
      </c>
      <c r="L86" s="64">
        <v>16.53</v>
      </c>
      <c r="M86" s="64">
        <v>59.03</v>
      </c>
      <c r="N86" s="64">
        <v>29.5</v>
      </c>
      <c r="O86" s="64">
        <v>0</v>
      </c>
      <c r="P86" s="64">
        <v>1.78</v>
      </c>
      <c r="Q86" s="64">
        <v>9.49</v>
      </c>
      <c r="R86" s="198"/>
      <c r="S86" s="198"/>
      <c r="T86" s="198"/>
      <c r="U86" s="198"/>
    </row>
    <row r="87" spans="1:26" s="12" customFormat="1" x14ac:dyDescent="0.25">
      <c r="A87" s="214" t="s">
        <v>3206</v>
      </c>
      <c r="B87" s="64">
        <v>34.32</v>
      </c>
      <c r="C87" s="64">
        <v>37.369999999999997</v>
      </c>
      <c r="D87" s="64">
        <v>45.37</v>
      </c>
      <c r="E87" s="64">
        <v>4.75</v>
      </c>
      <c r="F87" s="64">
        <v>2.33</v>
      </c>
      <c r="G87" s="64">
        <v>84.6</v>
      </c>
      <c r="H87" s="64">
        <v>18.89</v>
      </c>
      <c r="I87" s="64">
        <v>6.73</v>
      </c>
      <c r="J87" s="64">
        <v>0.59</v>
      </c>
      <c r="K87" s="64">
        <v>214.2</v>
      </c>
      <c r="L87" s="64">
        <v>16.190000000000001</v>
      </c>
      <c r="M87" s="64">
        <v>59.33</v>
      </c>
      <c r="N87" s="64">
        <v>29.5</v>
      </c>
      <c r="O87" s="64">
        <v>0</v>
      </c>
      <c r="P87" s="64">
        <v>1.87</v>
      </c>
      <c r="Q87" s="64">
        <v>9.5299999999999994</v>
      </c>
      <c r="R87" s="198"/>
      <c r="S87" s="198"/>
      <c r="T87" s="198"/>
      <c r="U87" s="198"/>
    </row>
    <row r="88" spans="1:26" s="12" customFormat="1" x14ac:dyDescent="0.25">
      <c r="A88" s="214" t="s">
        <v>3207</v>
      </c>
      <c r="B88" s="64">
        <v>39.99</v>
      </c>
      <c r="C88" s="64">
        <v>34.51</v>
      </c>
      <c r="D88" s="64">
        <v>48.42</v>
      </c>
      <c r="E88" s="64">
        <v>5.0599999999999996</v>
      </c>
      <c r="F88" s="64">
        <v>2.46</v>
      </c>
      <c r="G88" s="64">
        <v>84.6</v>
      </c>
      <c r="H88" s="64">
        <v>18.89</v>
      </c>
      <c r="I88" s="64">
        <v>6.69</v>
      </c>
      <c r="J88" s="64">
        <v>0.57999999999999996</v>
      </c>
      <c r="K88" s="64">
        <v>231.87</v>
      </c>
      <c r="L88" s="64">
        <v>15.85</v>
      </c>
      <c r="M88" s="64">
        <v>61.69</v>
      </c>
      <c r="N88" s="64">
        <v>29.3</v>
      </c>
      <c r="O88" s="64">
        <v>0</v>
      </c>
      <c r="P88" s="64">
        <v>1.95</v>
      </c>
      <c r="Q88" s="64">
        <v>9.57</v>
      </c>
      <c r="R88" s="198"/>
      <c r="S88" s="198"/>
      <c r="T88" s="198"/>
      <c r="U88" s="198"/>
    </row>
    <row r="89" spans="1:26" s="12" customFormat="1" x14ac:dyDescent="0.25">
      <c r="A89" s="214" t="s">
        <v>3208</v>
      </c>
      <c r="B89" s="64">
        <v>47.58</v>
      </c>
      <c r="C89" s="64">
        <v>30.32</v>
      </c>
      <c r="D89" s="64">
        <v>52.32</v>
      </c>
      <c r="E89" s="64">
        <v>4.58</v>
      </c>
      <c r="F89" s="64">
        <v>2.31</v>
      </c>
      <c r="G89" s="64">
        <v>87.45</v>
      </c>
      <c r="H89" s="64">
        <v>21.9</v>
      </c>
      <c r="I89" s="64">
        <v>6.74</v>
      </c>
      <c r="J89" s="64">
        <v>0.35</v>
      </c>
      <c r="K89" s="64">
        <v>313.58999999999997</v>
      </c>
      <c r="L89" s="64">
        <v>15.66</v>
      </c>
      <c r="M89" s="64">
        <v>64.739999999999995</v>
      </c>
      <c r="N89" s="64">
        <v>29.5</v>
      </c>
      <c r="O89" s="64">
        <v>0</v>
      </c>
      <c r="P89" s="64">
        <v>2.0499999999999998</v>
      </c>
      <c r="Q89" s="64">
        <v>9.61</v>
      </c>
      <c r="R89" s="198"/>
      <c r="S89" s="198"/>
      <c r="T89" s="198"/>
      <c r="U89" s="198"/>
    </row>
    <row r="90" spans="1:26" s="12" customFormat="1" x14ac:dyDescent="0.25">
      <c r="A90" s="214" t="s">
        <v>3209</v>
      </c>
      <c r="B90" s="64">
        <v>56.83</v>
      </c>
      <c r="C90" s="64">
        <v>23.98</v>
      </c>
      <c r="D90" s="64">
        <v>56.43</v>
      </c>
      <c r="E90" s="64">
        <v>5.2</v>
      </c>
      <c r="F90" s="64">
        <v>2.4500000000000002</v>
      </c>
      <c r="G90" s="64">
        <v>90.58</v>
      </c>
      <c r="H90" s="64">
        <v>23.7</v>
      </c>
      <c r="I90" s="64">
        <v>6.96</v>
      </c>
      <c r="J90" s="64">
        <v>0.19</v>
      </c>
      <c r="K90" s="64">
        <v>225.21</v>
      </c>
      <c r="L90" s="64">
        <v>15.4</v>
      </c>
      <c r="M90" s="64">
        <v>65.05</v>
      </c>
      <c r="N90" s="64">
        <v>29.5</v>
      </c>
      <c r="O90" s="64">
        <v>0</v>
      </c>
      <c r="P90" s="64">
        <v>2.19</v>
      </c>
      <c r="Q90" s="64">
        <v>9.6300000000000008</v>
      </c>
      <c r="R90" s="198"/>
      <c r="S90" s="198"/>
      <c r="T90" s="198"/>
      <c r="U90" s="198"/>
    </row>
    <row r="91" spans="1:26" s="12" customFormat="1" x14ac:dyDescent="0.25">
      <c r="A91" s="214" t="s">
        <v>3210</v>
      </c>
      <c r="B91" s="64">
        <v>61.05</v>
      </c>
      <c r="C91" s="64">
        <v>22.31</v>
      </c>
      <c r="D91" s="64">
        <v>58.93</v>
      </c>
      <c r="E91" s="64">
        <v>5.19</v>
      </c>
      <c r="F91" s="64">
        <v>2.52</v>
      </c>
      <c r="G91" s="64">
        <v>90.58</v>
      </c>
      <c r="H91" s="64">
        <v>23.7</v>
      </c>
      <c r="I91" s="64">
        <v>7.2</v>
      </c>
      <c r="J91" s="64">
        <v>0.24</v>
      </c>
      <c r="K91" s="64">
        <v>43.45</v>
      </c>
      <c r="L91" s="64">
        <v>15.28</v>
      </c>
      <c r="M91" s="64">
        <v>62.36</v>
      </c>
      <c r="N91" s="64">
        <v>29.5</v>
      </c>
      <c r="O91" s="64">
        <v>0</v>
      </c>
      <c r="P91" s="64">
        <v>2.2999999999999998</v>
      </c>
      <c r="Q91" s="64">
        <v>9.64</v>
      </c>
      <c r="R91" s="198"/>
      <c r="S91" s="198"/>
      <c r="T91" s="198"/>
      <c r="U91" s="198"/>
    </row>
    <row r="92" spans="1:26" s="12" customFormat="1" x14ac:dyDescent="0.25">
      <c r="A92" s="214" t="s">
        <v>3211</v>
      </c>
      <c r="B92" s="64">
        <v>67.319999999999993</v>
      </c>
      <c r="C92" s="64">
        <v>19.46</v>
      </c>
      <c r="D92" s="64">
        <v>62.48</v>
      </c>
      <c r="E92" s="64">
        <v>5.0199999999999996</v>
      </c>
      <c r="F92" s="64">
        <v>2.42</v>
      </c>
      <c r="G92" s="64">
        <v>90.58</v>
      </c>
      <c r="H92" s="64">
        <v>23.7</v>
      </c>
      <c r="I92" s="64">
        <v>7.42</v>
      </c>
      <c r="J92" s="64">
        <v>0.08</v>
      </c>
      <c r="K92" s="64">
        <v>134.47999999999999</v>
      </c>
      <c r="L92" s="64">
        <v>15.14</v>
      </c>
      <c r="M92" s="64">
        <v>63.44</v>
      </c>
      <c r="N92" s="64">
        <v>29.3</v>
      </c>
      <c r="O92" s="64">
        <v>0</v>
      </c>
      <c r="P92" s="64">
        <v>2.42</v>
      </c>
      <c r="Q92" s="64">
        <v>9.64</v>
      </c>
      <c r="R92" s="198"/>
      <c r="S92" s="198"/>
      <c r="T92" s="198"/>
      <c r="U92" s="198"/>
    </row>
    <row r="93" spans="1:26" s="12" customFormat="1" x14ac:dyDescent="0.25">
      <c r="A93" s="214" t="s">
        <v>3212</v>
      </c>
      <c r="B93" s="64">
        <v>77.36</v>
      </c>
      <c r="C93" s="64">
        <v>15.08</v>
      </c>
      <c r="D93" s="64">
        <v>68.14</v>
      </c>
      <c r="E93" s="64">
        <v>5.37</v>
      </c>
      <c r="F93" s="64">
        <v>2.33</v>
      </c>
      <c r="G93" s="64">
        <v>91.72</v>
      </c>
      <c r="H93" s="64">
        <v>26.35</v>
      </c>
      <c r="I93" s="64">
        <v>7.58</v>
      </c>
      <c r="J93" s="64">
        <v>0.53</v>
      </c>
      <c r="K93" s="64">
        <v>286.66000000000003</v>
      </c>
      <c r="L93" s="64">
        <v>14.73</v>
      </c>
      <c r="M93" s="64">
        <v>68.33</v>
      </c>
      <c r="N93" s="64">
        <v>29.5</v>
      </c>
      <c r="O93" s="64">
        <v>0</v>
      </c>
      <c r="P93" s="64">
        <v>2.56</v>
      </c>
      <c r="Q93" s="64">
        <v>9.64</v>
      </c>
      <c r="R93" s="198"/>
      <c r="S93" s="198"/>
      <c r="T93" s="198"/>
      <c r="U93" s="198"/>
    </row>
    <row r="94" spans="1:26" s="12" customFormat="1" x14ac:dyDescent="0.25">
      <c r="A94" s="214" t="s">
        <v>3213</v>
      </c>
      <c r="B94" s="64">
        <v>82.29</v>
      </c>
      <c r="C94" s="64">
        <v>12.56</v>
      </c>
      <c r="D94" s="64">
        <v>70.87</v>
      </c>
      <c r="E94" s="64">
        <v>5.37</v>
      </c>
      <c r="F94" s="64">
        <v>2.5</v>
      </c>
      <c r="G94" s="64">
        <v>93.04</v>
      </c>
      <c r="H94" s="64">
        <v>27.94</v>
      </c>
      <c r="I94" s="64">
        <v>7.74</v>
      </c>
      <c r="J94" s="64">
        <v>0.49</v>
      </c>
      <c r="K94" s="64">
        <v>234.13</v>
      </c>
      <c r="L94" s="64">
        <v>14.43</v>
      </c>
      <c r="M94" s="64">
        <v>74.2</v>
      </c>
      <c r="N94" s="64">
        <v>29.5</v>
      </c>
      <c r="O94" s="64">
        <v>0</v>
      </c>
      <c r="P94" s="64">
        <v>2.64</v>
      </c>
      <c r="Q94" s="64">
        <v>9.65</v>
      </c>
      <c r="R94" s="198"/>
      <c r="S94" s="198"/>
      <c r="T94" s="198"/>
      <c r="U94" s="198"/>
    </row>
    <row r="95" spans="1:26" s="12" customFormat="1" x14ac:dyDescent="0.25">
      <c r="A95" s="214" t="s">
        <v>3214</v>
      </c>
      <c r="B95" s="64">
        <v>90.59</v>
      </c>
      <c r="C95" s="64">
        <v>8.17</v>
      </c>
      <c r="D95" s="64">
        <v>75.23</v>
      </c>
      <c r="E95" s="64">
        <v>5.55</v>
      </c>
      <c r="F95" s="64">
        <v>2.56</v>
      </c>
      <c r="G95" s="64">
        <v>93.04</v>
      </c>
      <c r="H95" s="64">
        <v>27.94</v>
      </c>
      <c r="I95" s="64">
        <v>8.59</v>
      </c>
      <c r="J95" s="64">
        <v>0.79</v>
      </c>
      <c r="K95" s="64">
        <v>307.13</v>
      </c>
      <c r="L95" s="64">
        <v>14.42</v>
      </c>
      <c r="M95" s="64">
        <v>77.81</v>
      </c>
      <c r="N95" s="64">
        <v>29</v>
      </c>
      <c r="O95" s="64">
        <v>0</v>
      </c>
      <c r="P95" s="64">
        <v>2.77</v>
      </c>
      <c r="Q95" s="64">
        <v>9.66</v>
      </c>
      <c r="R95" s="198"/>
      <c r="S95" s="198"/>
      <c r="T95" s="198"/>
      <c r="U95" s="198"/>
    </row>
    <row r="96" spans="1:26" s="12" customFormat="1" x14ac:dyDescent="0.25">
      <c r="A96" s="214" t="s">
        <v>3215</v>
      </c>
      <c r="B96" s="64">
        <v>94.25</v>
      </c>
      <c r="C96" s="64">
        <v>6.33</v>
      </c>
      <c r="D96" s="64">
        <v>77.209999999999994</v>
      </c>
      <c r="E96" s="64">
        <v>5.7</v>
      </c>
      <c r="F96" s="64">
        <v>2.74</v>
      </c>
      <c r="G96" s="64">
        <v>93.04</v>
      </c>
      <c r="H96" s="64">
        <v>27.94</v>
      </c>
      <c r="I96" s="64">
        <v>8.34</v>
      </c>
      <c r="J96" s="64">
        <v>0.64</v>
      </c>
      <c r="K96" s="64">
        <v>314.02</v>
      </c>
      <c r="L96" s="64">
        <v>14.69</v>
      </c>
      <c r="M96" s="64">
        <v>68.39</v>
      </c>
      <c r="N96" s="64">
        <v>29.2</v>
      </c>
      <c r="O96" s="64">
        <v>0</v>
      </c>
      <c r="P96" s="64">
        <v>2.83</v>
      </c>
      <c r="Q96" s="64">
        <v>9.67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3216</v>
      </c>
      <c r="B97" s="64">
        <v>94.45</v>
      </c>
      <c r="C97" s="64">
        <v>5.45</v>
      </c>
      <c r="D97" s="64">
        <v>76.92</v>
      </c>
      <c r="E97" s="64">
        <v>5.74</v>
      </c>
      <c r="F97" s="64">
        <v>2.46</v>
      </c>
      <c r="G97" s="64">
        <v>96.07</v>
      </c>
      <c r="H97" s="64">
        <v>29.4</v>
      </c>
      <c r="I97" s="64">
        <v>8.35</v>
      </c>
      <c r="J97" s="64">
        <v>0.36</v>
      </c>
      <c r="K97" s="64">
        <v>149.69999999999999</v>
      </c>
      <c r="L97" s="64">
        <v>14.62</v>
      </c>
      <c r="M97" s="64">
        <v>65.59</v>
      </c>
      <c r="N97" s="64">
        <v>29.5</v>
      </c>
      <c r="O97" s="64">
        <v>0</v>
      </c>
      <c r="P97" s="64">
        <v>2.84</v>
      </c>
      <c r="Q97" s="64">
        <v>9.66</v>
      </c>
      <c r="R97" s="198"/>
      <c r="S97" s="198"/>
      <c r="T97" s="198"/>
      <c r="U97" s="198"/>
    </row>
    <row r="98" spans="1:33" s="12" customFormat="1" x14ac:dyDescent="0.25">
      <c r="A98" s="214" t="s">
        <v>3217</v>
      </c>
      <c r="B98" s="64">
        <v>93.79</v>
      </c>
      <c r="C98" s="64">
        <v>4.57</v>
      </c>
      <c r="D98" s="64">
        <v>75.92</v>
      </c>
      <c r="E98" s="64">
        <v>5.69</v>
      </c>
      <c r="F98" s="64">
        <v>2.4900000000000002</v>
      </c>
      <c r="G98" s="64">
        <v>99.38</v>
      </c>
      <c r="H98" s="64">
        <v>31.32</v>
      </c>
      <c r="I98" s="64">
        <v>8.49</v>
      </c>
      <c r="J98" s="64">
        <v>0.64</v>
      </c>
      <c r="K98" s="64">
        <v>137.97999999999999</v>
      </c>
      <c r="L98" s="64">
        <v>14.37</v>
      </c>
      <c r="M98" s="64">
        <v>69.55</v>
      </c>
      <c r="N98" s="64">
        <v>29.4</v>
      </c>
      <c r="O98" s="64">
        <v>0</v>
      </c>
      <c r="P98" s="64">
        <v>2.82</v>
      </c>
      <c r="Q98" s="64">
        <v>9.65</v>
      </c>
      <c r="R98" s="198"/>
      <c r="S98" s="198"/>
      <c r="T98" s="198"/>
      <c r="U98" s="198"/>
    </row>
    <row r="99" spans="1:33" s="12" customFormat="1" x14ac:dyDescent="0.25">
      <c r="A99" s="214" t="s">
        <v>3218</v>
      </c>
      <c r="B99" s="64">
        <v>94.71</v>
      </c>
      <c r="C99" s="64">
        <v>3.71</v>
      </c>
      <c r="D99" s="64">
        <v>76.22</v>
      </c>
      <c r="E99" s="64">
        <v>5.63</v>
      </c>
      <c r="F99" s="64">
        <v>2.57</v>
      </c>
      <c r="G99" s="64">
        <v>99.38</v>
      </c>
      <c r="H99" s="64">
        <v>31.32</v>
      </c>
      <c r="I99" s="64">
        <v>8.52</v>
      </c>
      <c r="J99" s="64">
        <v>0.33</v>
      </c>
      <c r="K99" s="64">
        <v>301.58999999999997</v>
      </c>
      <c r="L99" s="64">
        <v>14.11</v>
      </c>
      <c r="M99" s="64">
        <v>75.97</v>
      </c>
      <c r="N99" s="64">
        <v>29.6</v>
      </c>
      <c r="O99" s="64">
        <v>0</v>
      </c>
      <c r="P99" s="64">
        <v>2.81</v>
      </c>
      <c r="Q99" s="64">
        <v>9.66</v>
      </c>
      <c r="R99" s="198"/>
      <c r="S99" s="198"/>
      <c r="T99" s="198"/>
      <c r="U99" s="198"/>
    </row>
    <row r="100" spans="1:33" s="12" customFormat="1" x14ac:dyDescent="0.25">
      <c r="A100" s="214" t="s">
        <v>3219</v>
      </c>
      <c r="B100" s="64">
        <v>98.43</v>
      </c>
      <c r="C100" s="64">
        <v>1.6</v>
      </c>
      <c r="D100" s="64">
        <v>78.099999999999994</v>
      </c>
      <c r="E100" s="64">
        <v>5.65</v>
      </c>
      <c r="F100" s="64">
        <v>2.7</v>
      </c>
      <c r="G100" s="64">
        <v>99.38</v>
      </c>
      <c r="H100" s="64">
        <v>31.32</v>
      </c>
      <c r="I100" s="64">
        <v>8.5500000000000007</v>
      </c>
      <c r="J100" s="64">
        <v>0.59</v>
      </c>
      <c r="K100" s="64">
        <v>324.31</v>
      </c>
      <c r="L100" s="64">
        <v>13.71</v>
      </c>
      <c r="M100" s="64">
        <v>82.52</v>
      </c>
      <c r="N100" s="64">
        <v>29.6</v>
      </c>
      <c r="O100" s="64">
        <v>0</v>
      </c>
      <c r="P100" s="64">
        <v>2.85</v>
      </c>
      <c r="Q100" s="64">
        <v>9.67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3220</v>
      </c>
      <c r="B101" s="64">
        <v>102.81</v>
      </c>
      <c r="C101" s="64">
        <v>0.04</v>
      </c>
      <c r="D101" s="64">
        <v>80.44</v>
      </c>
      <c r="E101" s="64">
        <v>5.49</v>
      </c>
      <c r="F101" s="64">
        <v>2.5099999999999998</v>
      </c>
      <c r="G101" s="64">
        <v>99.61</v>
      </c>
      <c r="H101" s="64">
        <v>30.89</v>
      </c>
      <c r="I101" s="64">
        <v>8.6199999999999992</v>
      </c>
      <c r="J101" s="64">
        <v>0.42</v>
      </c>
      <c r="K101" s="64">
        <v>294.64999999999998</v>
      </c>
      <c r="L101" s="64">
        <v>13.41</v>
      </c>
      <c r="M101" s="64">
        <v>81.11</v>
      </c>
      <c r="N101" s="64">
        <v>29.5</v>
      </c>
      <c r="O101" s="64">
        <v>0</v>
      </c>
      <c r="P101" s="64">
        <v>2.88</v>
      </c>
      <c r="Q101" s="64">
        <v>9.65</v>
      </c>
      <c r="R101" s="198"/>
      <c r="S101" s="198"/>
      <c r="T101" s="198"/>
      <c r="U101" s="198"/>
    </row>
    <row r="102" spans="1:33" s="12" customFormat="1" x14ac:dyDescent="0.25">
      <c r="A102" s="214" t="s">
        <v>3221</v>
      </c>
      <c r="B102" s="64">
        <v>105.48</v>
      </c>
      <c r="C102" s="64">
        <v>0</v>
      </c>
      <c r="D102" s="64">
        <v>81.72</v>
      </c>
      <c r="E102" s="64">
        <v>5.68</v>
      </c>
      <c r="F102" s="64">
        <v>2.44</v>
      </c>
      <c r="G102" s="64">
        <v>99.87</v>
      </c>
      <c r="H102" s="64">
        <v>30.64</v>
      </c>
      <c r="I102" s="64">
        <v>8.76</v>
      </c>
      <c r="J102" s="64">
        <v>0.15</v>
      </c>
      <c r="K102" s="64">
        <v>190.79</v>
      </c>
      <c r="L102" s="64">
        <v>13.5</v>
      </c>
      <c r="M102" s="64">
        <v>79.17</v>
      </c>
      <c r="N102" s="64">
        <v>29.4</v>
      </c>
      <c r="O102" s="64">
        <v>0</v>
      </c>
      <c r="P102" s="64">
        <v>2.92</v>
      </c>
      <c r="Q102" s="64">
        <v>9.67</v>
      </c>
      <c r="R102" s="198"/>
      <c r="S102" s="198"/>
      <c r="T102" s="198"/>
      <c r="U102" s="198"/>
    </row>
    <row r="103" spans="1:33" s="12" customFormat="1" x14ac:dyDescent="0.25">
      <c r="A103" s="214" t="s">
        <v>3222</v>
      </c>
      <c r="B103" s="64">
        <v>106.46</v>
      </c>
      <c r="C103" s="64">
        <v>0</v>
      </c>
      <c r="D103" s="64">
        <v>82.12</v>
      </c>
      <c r="E103" s="64">
        <v>5.53</v>
      </c>
      <c r="F103" s="64">
        <v>2.37</v>
      </c>
      <c r="G103" s="64">
        <v>99.87</v>
      </c>
      <c r="H103" s="64">
        <v>30.64</v>
      </c>
      <c r="I103" s="64">
        <v>9.5500000000000007</v>
      </c>
      <c r="J103" s="64">
        <v>0.2</v>
      </c>
      <c r="K103" s="64">
        <v>214.55</v>
      </c>
      <c r="L103" s="64">
        <v>13.34</v>
      </c>
      <c r="M103" s="64">
        <v>80.44</v>
      </c>
      <c r="N103" s="64">
        <v>29.1</v>
      </c>
      <c r="O103" s="64">
        <v>0</v>
      </c>
      <c r="P103" s="64">
        <v>2.94</v>
      </c>
      <c r="Q103" s="64">
        <v>9.67</v>
      </c>
      <c r="R103" s="198"/>
      <c r="S103" s="198"/>
      <c r="T103" s="198"/>
      <c r="U103" s="198"/>
    </row>
    <row r="104" spans="1:33" s="12" customFormat="1" x14ac:dyDescent="0.25">
      <c r="A104" s="214" t="s">
        <v>3223</v>
      </c>
      <c r="B104" s="64">
        <v>105.73</v>
      </c>
      <c r="C104" s="64">
        <v>0</v>
      </c>
      <c r="D104" s="64">
        <v>81.430000000000007</v>
      </c>
      <c r="E104" s="64">
        <v>5.36</v>
      </c>
      <c r="F104" s="64">
        <v>2.4500000000000002</v>
      </c>
      <c r="G104" s="64">
        <v>99.87</v>
      </c>
      <c r="H104" s="64">
        <v>30.64</v>
      </c>
      <c r="I104" s="64">
        <v>9.92</v>
      </c>
      <c r="J104" s="64">
        <v>0.42</v>
      </c>
      <c r="K104" s="64">
        <v>268.72000000000003</v>
      </c>
      <c r="L104" s="64">
        <v>13.39</v>
      </c>
      <c r="M104" s="64">
        <v>76.61</v>
      </c>
      <c r="N104" s="64">
        <v>29.3</v>
      </c>
      <c r="O104" s="64">
        <v>0</v>
      </c>
      <c r="P104" s="64">
        <v>2.92</v>
      </c>
      <c r="Q104" s="64">
        <v>9.68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0.62</v>
      </c>
      <c r="C106" s="67">
        <f>MIN(C9:C104)</f>
        <v>0</v>
      </c>
      <c r="D106" s="67">
        <f t="shared" ref="D106:Q106" si="0">MIN(D9:D104)</f>
        <v>24.47</v>
      </c>
      <c r="E106" s="67">
        <f t="shared" si="0"/>
        <v>4.26</v>
      </c>
      <c r="F106" s="67">
        <f t="shared" si="0"/>
        <v>2.13</v>
      </c>
      <c r="G106" s="67">
        <f t="shared" si="0"/>
        <v>21.38</v>
      </c>
      <c r="H106" s="67">
        <f t="shared" si="0"/>
        <v>9.6199999999999992</v>
      </c>
      <c r="I106" s="67">
        <f t="shared" si="0"/>
        <v>4.76</v>
      </c>
      <c r="J106" s="67">
        <f t="shared" si="0"/>
        <v>0.06</v>
      </c>
      <c r="K106" s="67">
        <f t="shared" si="0"/>
        <v>6.15</v>
      </c>
      <c r="L106" s="67">
        <f t="shared" si="0"/>
        <v>9.41</v>
      </c>
      <c r="M106" s="67">
        <f t="shared" si="0"/>
        <v>22.13</v>
      </c>
      <c r="N106" s="67">
        <f t="shared" si="0"/>
        <v>29</v>
      </c>
      <c r="O106" s="67">
        <f t="shared" si="0"/>
        <v>0</v>
      </c>
      <c r="P106" s="67">
        <f t="shared" si="0"/>
        <v>0.97</v>
      </c>
      <c r="Q106" s="67">
        <f t="shared" si="0"/>
        <v>9.32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142.63</v>
      </c>
      <c r="C107" s="66">
        <f t="shared" ref="C107:Q107" si="1">MAX(C9:C104)</f>
        <v>67.5</v>
      </c>
      <c r="D107" s="66">
        <f t="shared" si="1"/>
        <v>103.71</v>
      </c>
      <c r="E107" s="66">
        <f t="shared" si="1"/>
        <v>24.42</v>
      </c>
      <c r="F107" s="66">
        <f t="shared" si="1"/>
        <v>11.06</v>
      </c>
      <c r="G107" s="66">
        <f t="shared" si="1"/>
        <v>99.87</v>
      </c>
      <c r="H107" s="66">
        <f t="shared" si="1"/>
        <v>35.75</v>
      </c>
      <c r="I107" s="66">
        <f t="shared" si="1"/>
        <v>9.92</v>
      </c>
      <c r="J107" s="66">
        <f t="shared" si="1"/>
        <v>1.61</v>
      </c>
      <c r="K107" s="66">
        <f t="shared" si="1"/>
        <v>350.5</v>
      </c>
      <c r="L107" s="66">
        <f t="shared" si="1"/>
        <v>28.31</v>
      </c>
      <c r="M107" s="66">
        <f t="shared" si="1"/>
        <v>97.83</v>
      </c>
      <c r="N107" s="66">
        <f t="shared" si="1"/>
        <v>532.70000000000005</v>
      </c>
      <c r="O107" s="66">
        <f t="shared" si="1"/>
        <v>0</v>
      </c>
      <c r="P107" s="66">
        <f t="shared" si="1"/>
        <v>3.13</v>
      </c>
      <c r="Q107" s="66">
        <f t="shared" si="1"/>
        <v>9.6999999999999993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44.946562500000006</v>
      </c>
      <c r="C108" s="67">
        <f t="shared" ref="C108:Q108" si="2">AVERAGE(C9:C104)</f>
        <v>32.105625000000003</v>
      </c>
      <c r="D108" s="67">
        <f t="shared" si="2"/>
        <v>49.616458333333348</v>
      </c>
      <c r="E108" s="67">
        <f t="shared" si="2"/>
        <v>6.9017708333333347</v>
      </c>
      <c r="F108" s="67">
        <f t="shared" si="2"/>
        <v>3.5841666666666661</v>
      </c>
      <c r="G108" s="67">
        <f t="shared" si="2"/>
        <v>52.570520833333326</v>
      </c>
      <c r="H108" s="67">
        <f t="shared" si="2"/>
        <v>18.270937500000002</v>
      </c>
      <c r="I108" s="67">
        <f t="shared" si="2"/>
        <v>6.6358333333333315</v>
      </c>
      <c r="J108" s="67">
        <f t="shared" si="2"/>
        <v>0.61041666666666694</v>
      </c>
      <c r="K108" s="67">
        <f t="shared" si="2"/>
        <v>252.96500000000017</v>
      </c>
      <c r="L108" s="67">
        <f t="shared" si="2"/>
        <v>17.376875000000002</v>
      </c>
      <c r="M108" s="67">
        <f t="shared" si="2"/>
        <v>62.494062499999991</v>
      </c>
      <c r="N108" s="67">
        <f t="shared" si="2"/>
        <v>132.26979166666669</v>
      </c>
      <c r="O108" s="67">
        <f t="shared" si="2"/>
        <v>0</v>
      </c>
      <c r="P108" s="67">
        <f t="shared" si="2"/>
        <v>1.7039583333333332</v>
      </c>
      <c r="Q108" s="67">
        <f t="shared" si="2"/>
        <v>9.5122916666666644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40.900660909037313</v>
      </c>
      <c r="C109" s="67">
        <f t="shared" ref="C109:Q109" si="3">STDEV(C9:C104)</f>
        <v>19.234461278078335</v>
      </c>
      <c r="D109" s="67">
        <f t="shared" si="3"/>
        <v>21.322154081916342</v>
      </c>
      <c r="E109" s="67">
        <f t="shared" si="3"/>
        <v>3.583430580585754</v>
      </c>
      <c r="F109" s="67">
        <f t="shared" si="3"/>
        <v>2.0281350866805101</v>
      </c>
      <c r="G109" s="67">
        <f t="shared" si="3"/>
        <v>25.231228410331049</v>
      </c>
      <c r="H109" s="67">
        <f t="shared" si="3"/>
        <v>7.693020087014613</v>
      </c>
      <c r="I109" s="67">
        <f t="shared" si="3"/>
        <v>1.3933697636469808</v>
      </c>
      <c r="J109" s="67">
        <f t="shared" si="3"/>
        <v>0.32275758107339708</v>
      </c>
      <c r="K109" s="67">
        <f t="shared" si="3"/>
        <v>89.635679068689754</v>
      </c>
      <c r="L109" s="67">
        <f t="shared" si="3"/>
        <v>6.4778726710321424</v>
      </c>
      <c r="M109" s="67">
        <f t="shared" si="3"/>
        <v>29.555668459014935</v>
      </c>
      <c r="N109" s="67">
        <f t="shared" si="3"/>
        <v>166.30410959241075</v>
      </c>
      <c r="O109" s="67">
        <f t="shared" si="3"/>
        <v>0</v>
      </c>
      <c r="P109" s="67">
        <f t="shared" si="3"/>
        <v>0.63611564517396491</v>
      </c>
      <c r="Q109" s="67">
        <f t="shared" si="3"/>
        <v>0.13688626986368288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5" t="s">
        <v>216</v>
      </c>
      <c r="C115" s="215"/>
      <c r="D115" s="215"/>
    </row>
    <row r="116" spans="1:21" x14ac:dyDescent="0.25">
      <c r="D116" s="2"/>
      <c r="E116" s="2"/>
      <c r="F116" s="2"/>
      <c r="G116" s="2"/>
      <c r="H116" s="2"/>
      <c r="I116" s="2"/>
    </row>
    <row r="117" spans="1:21" x14ac:dyDescent="0.25">
      <c r="A117" s="18" t="s">
        <v>65</v>
      </c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5" sqref="G55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245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01/12/2025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229</v>
      </c>
      <c r="C7" s="198" t="s">
        <v>230</v>
      </c>
      <c r="D7" s="198" t="s">
        <v>231</v>
      </c>
      <c r="E7" s="198" t="s">
        <v>232</v>
      </c>
      <c r="F7" s="198" t="s">
        <v>233</v>
      </c>
      <c r="G7" s="198" t="s">
        <v>234</v>
      </c>
      <c r="H7" s="198" t="s">
        <v>235</v>
      </c>
      <c r="I7" s="198" t="s">
        <v>236</v>
      </c>
      <c r="J7" s="198" t="s">
        <v>237</v>
      </c>
      <c r="K7" s="198" t="s">
        <v>238</v>
      </c>
      <c r="L7" s="198" t="s">
        <v>239</v>
      </c>
      <c r="M7" s="198" t="s">
        <v>240</v>
      </c>
      <c r="N7" s="198" t="s">
        <v>241</v>
      </c>
      <c r="O7" s="198" t="s">
        <v>242</v>
      </c>
      <c r="P7" s="198" t="s">
        <v>243</v>
      </c>
      <c r="Q7" s="198" t="s">
        <v>244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225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01/12/2025 00:15</v>
      </c>
      <c r="B9" s="61">
        <f>'01'!B108</f>
        <v>14.641562499999999</v>
      </c>
      <c r="C9" s="61">
        <f>'01'!C108</f>
        <v>21.238333333333337</v>
      </c>
      <c r="D9" s="61">
        <f>'01'!D108</f>
        <v>22.378437500000008</v>
      </c>
      <c r="E9" s="61">
        <f>'01'!E108</f>
        <v>7.6463541666666677</v>
      </c>
      <c r="F9" s="61">
        <f>'01'!F108</f>
        <v>4.6451041666666688</v>
      </c>
      <c r="G9" s="99">
        <f>'01'!$G$108</f>
        <v>66.653958333333335</v>
      </c>
      <c r="H9" s="61">
        <f>'01'!H108</f>
        <v>30.22322916666667</v>
      </c>
      <c r="I9" s="61">
        <f>'01'!I108</f>
        <v>3.6309375000000021</v>
      </c>
      <c r="J9" s="61">
        <f>'01'!J108</f>
        <v>0.60427083333333342</v>
      </c>
      <c r="K9" s="61">
        <f>'01'!K108</f>
        <v>161.53385416666674</v>
      </c>
      <c r="L9" s="61">
        <f>'01'!L108</f>
        <v>20.345208333333332</v>
      </c>
      <c r="M9" s="61">
        <f>'01'!M108</f>
        <v>63.611041666666686</v>
      </c>
      <c r="N9" s="61">
        <f>'01'!N108</f>
        <v>125.86562500000001</v>
      </c>
      <c r="O9" s="61">
        <f>'01'!O108</f>
        <v>0</v>
      </c>
      <c r="P9" s="202">
        <f>'01'!P108</f>
        <v>1.0630208333333326</v>
      </c>
      <c r="Q9" s="61">
        <f>'01'!Q108</f>
        <v>9.6427083333333332</v>
      </c>
      <c r="R9" s="118"/>
      <c r="S9" s="118"/>
      <c r="T9" s="118"/>
      <c r="U9" s="118"/>
    </row>
    <row r="10" spans="1:21" x14ac:dyDescent="0.25">
      <c r="A10" s="94" t="str">
        <f>'02'!$B$2</f>
        <v>02/12/2025 00:15</v>
      </c>
      <c r="B10" s="61">
        <f>'02'!B108</f>
        <v>15.359270833333333</v>
      </c>
      <c r="C10" s="61">
        <f>'02'!C108</f>
        <v>23.861249999999984</v>
      </c>
      <c r="D10" s="61">
        <f>'02'!D108</f>
        <v>24.340937499999985</v>
      </c>
      <c r="E10" s="61">
        <f>'02'!E108</f>
        <v>8.1300000000000008</v>
      </c>
      <c r="F10" s="61">
        <f>'02'!F108</f>
        <v>4.7871874999999982</v>
      </c>
      <c r="G10" s="61">
        <f>'02'!G108</f>
        <v>75.85395833333331</v>
      </c>
      <c r="H10" s="61">
        <f>'02'!H108</f>
        <v>28.736562499999991</v>
      </c>
      <c r="I10" s="61">
        <f>'02'!I108</f>
        <v>3.4883333333333337</v>
      </c>
      <c r="J10" s="61">
        <f>'02'!J108</f>
        <v>0.52374999999999972</v>
      </c>
      <c r="K10" s="61">
        <f>'02'!K108</f>
        <v>220.6157291666668</v>
      </c>
      <c r="L10" s="61">
        <f>'02'!L108</f>
        <v>19.651874999999993</v>
      </c>
      <c r="M10" s="61">
        <f>'02'!M108</f>
        <v>74.761041666666671</v>
      </c>
      <c r="N10" s="61">
        <f>'02'!N108</f>
        <v>140.18437499999999</v>
      </c>
      <c r="O10" s="61">
        <f>'02'!O108</f>
        <v>0</v>
      </c>
      <c r="P10" s="202">
        <f>'02'!P108</f>
        <v>1.1012499999999998</v>
      </c>
      <c r="Q10" s="61">
        <f>'02'!Q108</f>
        <v>9.6456250000000008</v>
      </c>
      <c r="R10" s="118"/>
      <c r="S10" s="118"/>
      <c r="T10" s="118"/>
      <c r="U10" s="118"/>
    </row>
    <row r="11" spans="1:21" x14ac:dyDescent="0.25">
      <c r="A11" s="94" t="str">
        <f>'03'!$B$2</f>
        <v>03/12/2025 00:15</v>
      </c>
      <c r="B11" s="61">
        <f>'03'!B108</f>
        <v>24.824895833333319</v>
      </c>
      <c r="C11" s="61">
        <f>'03'!C108</f>
        <v>19.369999999999997</v>
      </c>
      <c r="D11" s="61">
        <f>'03'!D108</f>
        <v>29.560833333333338</v>
      </c>
      <c r="E11" s="61">
        <f>'03'!E108</f>
        <v>7.2669791666666681</v>
      </c>
      <c r="F11" s="61">
        <f>'03'!F108</f>
        <v>4.8029166666666665</v>
      </c>
      <c r="G11" s="61">
        <f>'03'!G108</f>
        <v>75.787708333333313</v>
      </c>
      <c r="H11" s="61">
        <f>'03'!H108</f>
        <v>34.189687499999998</v>
      </c>
      <c r="I11" s="61">
        <f>'03'!I108</f>
        <v>4.3350000000000017</v>
      </c>
      <c r="J11" s="61">
        <f>'03'!J108</f>
        <v>0.42541666666666672</v>
      </c>
      <c r="K11" s="61">
        <f>'03'!K108</f>
        <v>224.99750000000003</v>
      </c>
      <c r="L11" s="61">
        <f>'03'!L108</f>
        <v>19.82791666666667</v>
      </c>
      <c r="M11" s="61">
        <f>'03'!M108</f>
        <v>64.965000000000018</v>
      </c>
      <c r="N11" s="61">
        <f>'03'!N108</f>
        <v>145.12291666666667</v>
      </c>
      <c r="O11" s="61">
        <f>'03'!O108</f>
        <v>0</v>
      </c>
      <c r="P11" s="202">
        <f>'03'!P108</f>
        <v>1.3721874999999999</v>
      </c>
      <c r="Q11" s="61">
        <f>'03'!Q108</f>
        <v>9.6639583333333352</v>
      </c>
      <c r="R11" s="118"/>
      <c r="S11" s="118"/>
      <c r="T11" s="118"/>
      <c r="U11" s="118"/>
    </row>
    <row r="12" spans="1:21" x14ac:dyDescent="0.25">
      <c r="A12" s="94" t="str">
        <f>'04'!$B$2</f>
        <v>04/12/2025 00:15</v>
      </c>
      <c r="B12" s="61">
        <f>'04'!B108</f>
        <v>24.638125000000002</v>
      </c>
      <c r="C12" s="61">
        <f>'04'!C108</f>
        <v>18.901875</v>
      </c>
      <c r="D12" s="61">
        <f>'04'!D108</f>
        <v>29.169479166666665</v>
      </c>
      <c r="E12" s="61">
        <f>'04'!E108</f>
        <v>8.0869791666666693</v>
      </c>
      <c r="F12" s="61">
        <f>'04'!F108</f>
        <v>4.465729166666665</v>
      </c>
      <c r="G12" s="61">
        <f>'04'!G108</f>
        <v>60.489166666666726</v>
      </c>
      <c r="H12" s="61">
        <f>'04'!H108</f>
        <v>31.538437499999983</v>
      </c>
      <c r="I12" s="61">
        <f>'04'!I108</f>
        <v>4.3259374999999993</v>
      </c>
      <c r="J12" s="61">
        <f>'04'!J108</f>
        <v>0.48677083333333343</v>
      </c>
      <c r="K12" s="61">
        <f>'04'!K108</f>
        <v>214.90802083333344</v>
      </c>
      <c r="L12" s="61">
        <f>'04'!L108</f>
        <v>19.502604166666668</v>
      </c>
      <c r="M12" s="61">
        <f>'04'!M108</f>
        <v>51.225625000000001</v>
      </c>
      <c r="N12" s="61">
        <f>'04'!N108</f>
        <v>158.76874999999998</v>
      </c>
      <c r="O12" s="61">
        <f>'04'!O108</f>
        <v>0</v>
      </c>
      <c r="P12" s="202">
        <f>'04'!P108</f>
        <v>1.3141666666666663</v>
      </c>
      <c r="Q12" s="61">
        <f>'04'!Q108</f>
        <v>9.6593750000000025</v>
      </c>
      <c r="R12" s="118"/>
      <c r="S12" s="118"/>
      <c r="T12" s="118"/>
      <c r="U12" s="118"/>
    </row>
    <row r="13" spans="1:21" x14ac:dyDescent="0.25">
      <c r="A13" s="94" t="str">
        <f>'05'!$B$2</f>
        <v>05/12/2025 00:15</v>
      </c>
      <c r="B13" s="61">
        <f>'05'!B108</f>
        <v>19.175208333333334</v>
      </c>
      <c r="C13" s="61">
        <f>'05'!C108</f>
        <v>20.122291666666666</v>
      </c>
      <c r="D13" s="61">
        <f>'05'!D108</f>
        <v>25.421770833333341</v>
      </c>
      <c r="E13" s="61">
        <f>'05'!E108</f>
        <v>6.4676041666666686</v>
      </c>
      <c r="F13" s="61">
        <f>'05'!F108</f>
        <v>3.8214583333333341</v>
      </c>
      <c r="G13" s="61">
        <f>'05'!G108</f>
        <v>65.334375000000009</v>
      </c>
      <c r="H13" s="61">
        <f>'05'!H108</f>
        <v>28.482187499999998</v>
      </c>
      <c r="I13" s="61">
        <f>'05'!I108</f>
        <v>3.8620833333333331</v>
      </c>
      <c r="J13" s="61">
        <f>'05'!J108</f>
        <v>0.44468749999999996</v>
      </c>
      <c r="K13" s="61">
        <f>'05'!K108</f>
        <v>217.92541666666662</v>
      </c>
      <c r="L13" s="61">
        <f>'05'!L108</f>
        <v>19.205625000000008</v>
      </c>
      <c r="M13" s="61">
        <f>'05'!M108</f>
        <v>56.12739583333331</v>
      </c>
      <c r="N13" s="61">
        <f>'05'!N108</f>
        <v>147.11354166666669</v>
      </c>
      <c r="O13" s="61">
        <f>'05'!O108</f>
        <v>0</v>
      </c>
      <c r="P13" s="202">
        <f>'05'!P108</f>
        <v>1.1182291666666668</v>
      </c>
      <c r="Q13" s="61">
        <f>'05'!Q108</f>
        <v>9.6505208333333243</v>
      </c>
      <c r="R13" s="118"/>
      <c r="S13" s="118"/>
      <c r="T13" s="118"/>
      <c r="U13" s="118"/>
    </row>
    <row r="14" spans="1:21" x14ac:dyDescent="0.25">
      <c r="A14" s="94" t="str">
        <f>'06'!$B$2</f>
        <v>06/12/2025 00:15</v>
      </c>
      <c r="B14" s="61">
        <f>'06'!B108</f>
        <v>30.32322916666666</v>
      </c>
      <c r="C14" s="61">
        <f>'06'!C108</f>
        <v>20.994337349397593</v>
      </c>
      <c r="D14" s="61">
        <f>'06'!D108</f>
        <v>31.985312500000003</v>
      </c>
      <c r="E14" s="61">
        <f>'06'!E108</f>
        <v>6.1450000000000031</v>
      </c>
      <c r="F14" s="61">
        <f>'06'!F108</f>
        <v>3.4153125000000006</v>
      </c>
      <c r="G14" s="61">
        <f>'06'!G108</f>
        <v>89.115520833333335</v>
      </c>
      <c r="H14" s="61">
        <f>'06'!H108</f>
        <v>34.751145833333304</v>
      </c>
      <c r="I14" s="61">
        <f>'06'!I108</f>
        <v>4.3126041666666666</v>
      </c>
      <c r="J14" s="61">
        <f>'06'!J108</f>
        <v>0.51791666666666647</v>
      </c>
      <c r="K14" s="61">
        <f>'06'!K108</f>
        <v>257.19302083333326</v>
      </c>
      <c r="L14" s="61">
        <f>'06'!L108</f>
        <v>18.500520833333344</v>
      </c>
      <c r="M14" s="61">
        <f>'06'!M108</f>
        <v>49.385520833333338</v>
      </c>
      <c r="N14" s="61">
        <f>'06'!N108</f>
        <v>157.68749999999997</v>
      </c>
      <c r="O14" s="61">
        <f>'06'!O108</f>
        <v>0</v>
      </c>
      <c r="P14" s="202">
        <f>'06'!P108</f>
        <v>1.4012499999999994</v>
      </c>
      <c r="Q14" s="61">
        <f>'06'!Q108</f>
        <v>9.6918749999999942</v>
      </c>
      <c r="R14" s="118"/>
      <c r="S14" s="118"/>
      <c r="T14" s="118"/>
      <c r="U14" s="118"/>
    </row>
    <row r="15" spans="1:21" x14ac:dyDescent="0.25">
      <c r="A15" s="94" t="str">
        <f>'07'!$B$2</f>
        <v>07/12/2025 00:15</v>
      </c>
      <c r="B15" s="61">
        <f>'07'!B108</f>
        <v>55.488958333333336</v>
      </c>
      <c r="C15" s="61">
        <f>'07'!C108</f>
        <v>13.632727272727273</v>
      </c>
      <c r="D15" s="61">
        <f>'07'!D108</f>
        <v>46.122500000000002</v>
      </c>
      <c r="E15" s="61">
        <f>'07'!E108</f>
        <v>6.7693750000000001</v>
      </c>
      <c r="F15" s="61">
        <f>'07'!F108</f>
        <v>4.5064583333333337</v>
      </c>
      <c r="G15" s="100">
        <f>'07'!$G$108</f>
        <v>111.55708333333342</v>
      </c>
      <c r="H15" s="61">
        <f>'07'!H108</f>
        <v>48.488437499999996</v>
      </c>
      <c r="I15" s="61">
        <f>'07'!I108</f>
        <v>5.0552083333333346</v>
      </c>
      <c r="J15" s="61">
        <f>'07'!J108</f>
        <v>0.43541666666666695</v>
      </c>
      <c r="K15" s="61">
        <f>'07'!K108</f>
        <v>245.29312500000003</v>
      </c>
      <c r="L15" s="61">
        <f>'07'!L108</f>
        <v>18.905833333333337</v>
      </c>
      <c r="M15" s="61">
        <f>'07'!M108</f>
        <v>52.876875000000005</v>
      </c>
      <c r="N15" s="61">
        <f>'07'!N108</f>
        <v>157.09062500000005</v>
      </c>
      <c r="O15" s="61">
        <f>'07'!O108</f>
        <v>0</v>
      </c>
      <c r="P15" s="202">
        <f>'07'!P108</f>
        <v>1.9122916666666672</v>
      </c>
      <c r="Q15" s="61">
        <f>'07'!Q108</f>
        <v>9.7227083333333315</v>
      </c>
      <c r="R15" s="118"/>
      <c r="S15" s="118"/>
      <c r="T15" s="118"/>
      <c r="U15" s="118"/>
    </row>
    <row r="16" spans="1:21" x14ac:dyDescent="0.25">
      <c r="A16" s="94" t="str">
        <f>'08'!$B$2</f>
        <v>08/12/2025 00:15</v>
      </c>
      <c r="B16" s="61">
        <f>'08'!B108</f>
        <v>60.323437500000011</v>
      </c>
      <c r="C16" s="61">
        <f>'08'!C108</f>
        <v>16.822166666666668</v>
      </c>
      <c r="D16" s="61">
        <f>'08'!D108</f>
        <v>48.917291666666671</v>
      </c>
      <c r="E16" s="61">
        <f>'08'!E108</f>
        <v>7.8697916666666687</v>
      </c>
      <c r="F16" s="61">
        <f>'08'!F108</f>
        <v>4.5830208333333324</v>
      </c>
      <c r="G16" s="100">
        <f>'08'!$G$108</f>
        <v>101.30906249999998</v>
      </c>
      <c r="H16" s="61">
        <f>'08'!H108</f>
        <v>43.107395833333321</v>
      </c>
      <c r="I16" s="61">
        <f>'08'!I108</f>
        <v>5.6009375000000006</v>
      </c>
      <c r="J16" s="61">
        <f>'08'!J108</f>
        <v>0.39552083333333338</v>
      </c>
      <c r="K16" s="61">
        <f>'08'!K108</f>
        <v>235.00541666666675</v>
      </c>
      <c r="L16" s="61">
        <f>'08'!L108</f>
        <v>19.033333333333335</v>
      </c>
      <c r="M16" s="61">
        <f>'08'!M108</f>
        <v>52.892395833333346</v>
      </c>
      <c r="N16" s="61">
        <f>'08'!N108</f>
        <v>156.91666666666666</v>
      </c>
      <c r="O16" s="61">
        <f>'08'!O108</f>
        <v>0</v>
      </c>
      <c r="P16" s="202">
        <f>'08'!P108</f>
        <v>1.8640625000000002</v>
      </c>
      <c r="Q16" s="61">
        <f>'08'!Q108</f>
        <v>9.7194791666666642</v>
      </c>
      <c r="R16" s="118"/>
      <c r="S16" s="118"/>
      <c r="T16" s="118"/>
      <c r="U16" s="118"/>
    </row>
    <row r="17" spans="1:21" x14ac:dyDescent="0.25">
      <c r="A17" s="94" t="str">
        <f>'09'!$B$2</f>
        <v>09/12/2025 00:15</v>
      </c>
      <c r="B17" s="61">
        <f>'09'!B108</f>
        <v>61.188541666666659</v>
      </c>
      <c r="C17" s="61">
        <f>'09'!C108</f>
        <v>17.227213114754075</v>
      </c>
      <c r="D17" s="61">
        <f>'09'!D108</f>
        <v>48.680104166666645</v>
      </c>
      <c r="E17" s="61">
        <f>'09'!E108</f>
        <v>6.0265625000000007</v>
      </c>
      <c r="F17" s="61">
        <f>'09'!F108</f>
        <v>5.2282291666666643</v>
      </c>
      <c r="G17" s="100">
        <f>'09'!$G$108</f>
        <v>102.34645833333336</v>
      </c>
      <c r="H17" s="61">
        <f>'09'!H108</f>
        <v>40.622395833333321</v>
      </c>
      <c r="I17" s="61">
        <f>'09'!I108</f>
        <v>0.16135416666666649</v>
      </c>
      <c r="J17" s="61">
        <f>'09'!J108</f>
        <v>0.5207291666666668</v>
      </c>
      <c r="K17" s="61">
        <f>'09'!K108</f>
        <v>258.87697916666673</v>
      </c>
      <c r="L17" s="61">
        <f>'09'!L108</f>
        <v>18.684583333333325</v>
      </c>
      <c r="M17" s="61">
        <f>'09'!M108</f>
        <v>58.717708333333327</v>
      </c>
      <c r="N17" s="61">
        <f>'09'!N108</f>
        <v>159.59791666666658</v>
      </c>
      <c r="O17" s="61">
        <f>'09'!O108</f>
        <v>0</v>
      </c>
      <c r="P17" s="202">
        <f>'09'!P108</f>
        <v>1.6454166666666667</v>
      </c>
      <c r="Q17" s="61">
        <f>'09'!Q108</f>
        <v>9.7206250000000036</v>
      </c>
      <c r="R17" s="118"/>
      <c r="S17" s="118"/>
      <c r="T17" s="118"/>
      <c r="U17" s="118"/>
    </row>
    <row r="18" spans="1:21" x14ac:dyDescent="0.25">
      <c r="A18" s="94" t="str">
        <f>'10'!$B$2</f>
        <v>10/12/2025 00:15</v>
      </c>
      <c r="B18" s="61">
        <f>'10'!B108</f>
        <v>75.776666666666713</v>
      </c>
      <c r="C18" s="61">
        <f>'10'!C108</f>
        <v>11.035937499999994</v>
      </c>
      <c r="D18" s="61">
        <f>'10'!D108</f>
        <v>56.967187500000016</v>
      </c>
      <c r="E18" s="61">
        <f>'10'!E108</f>
        <v>6.0803125000000007</v>
      </c>
      <c r="F18" s="61">
        <f>'10'!F108</f>
        <v>3.7119791666666653</v>
      </c>
      <c r="G18" s="101">
        <f>'10'!$G$108</f>
        <v>126.01562500000007</v>
      </c>
      <c r="H18" s="61">
        <f>'10'!H108</f>
        <v>51.885000000000055</v>
      </c>
      <c r="I18" s="61">
        <f>'10'!I108</f>
        <v>9.9999999999999811E-2</v>
      </c>
      <c r="J18" s="61">
        <f>'10'!J108</f>
        <v>0.68687500000000012</v>
      </c>
      <c r="K18" s="61">
        <f>'10'!K108</f>
        <v>210.13718749999998</v>
      </c>
      <c r="L18" s="61">
        <f>'10'!L108</f>
        <v>18.384583333333339</v>
      </c>
      <c r="M18" s="61">
        <f>'10'!M108</f>
        <v>51.854166666666679</v>
      </c>
      <c r="N18" s="61">
        <f>'10'!N108</f>
        <v>161.95208333333326</v>
      </c>
      <c r="O18" s="61">
        <f>'10'!O108</f>
        <v>0</v>
      </c>
      <c r="P18" s="202">
        <f>'10'!P108</f>
        <v>2.1429166666666672</v>
      </c>
      <c r="Q18" s="61">
        <f>'10'!Q108</f>
        <v>9.7564583333333292</v>
      </c>
      <c r="R18" s="118"/>
      <c r="S18" s="118"/>
      <c r="T18" s="118"/>
      <c r="U18" s="118"/>
    </row>
    <row r="19" spans="1:21" x14ac:dyDescent="0.25">
      <c r="A19" s="94" t="str">
        <f>'11'!$B$2</f>
        <v>11/12/2025 00:15</v>
      </c>
      <c r="B19" s="61">
        <f>'11'!B108</f>
        <v>79.608541666666639</v>
      </c>
      <c r="C19" s="61">
        <f>'11'!C108</f>
        <v>19.319772727272724</v>
      </c>
      <c r="D19" s="61">
        <f>'11'!D108</f>
        <v>59.010208333333345</v>
      </c>
      <c r="E19" s="61">
        <f>'11'!E108</f>
        <v>6.51291666666667</v>
      </c>
      <c r="F19" s="61">
        <f>'11'!F108</f>
        <v>3.9428124999999992</v>
      </c>
      <c r="G19" s="99">
        <f>'11'!$G$108</f>
        <v>131.50906249999994</v>
      </c>
      <c r="H19" s="61">
        <f>'11'!H108</f>
        <v>53.709270833333335</v>
      </c>
      <c r="I19" s="61">
        <f>'11'!I108</f>
        <v>9.9999999999999811E-2</v>
      </c>
      <c r="J19" s="61">
        <f>'11'!J108</f>
        <v>0.63093750000000004</v>
      </c>
      <c r="K19" s="61">
        <f>'11'!K108</f>
        <v>203.66406250000009</v>
      </c>
      <c r="L19" s="61">
        <f>'11'!L108</f>
        <v>17.360520833333336</v>
      </c>
      <c r="M19" s="61">
        <f>'11'!M108</f>
        <v>58.447708333333367</v>
      </c>
      <c r="N19" s="61">
        <f>'11'!N108</f>
        <v>153.50000000000006</v>
      </c>
      <c r="O19" s="61">
        <f>'11'!O108</f>
        <v>0</v>
      </c>
      <c r="P19" s="202">
        <f>'11'!P108</f>
        <v>2.1659374999999992</v>
      </c>
      <c r="Q19" s="61">
        <f>'11'!Q108</f>
        <v>9.7629166666666709</v>
      </c>
      <c r="R19" s="118"/>
      <c r="S19" s="118"/>
      <c r="T19" s="118"/>
      <c r="U19" s="118"/>
    </row>
    <row r="20" spans="1:21" x14ac:dyDescent="0.25">
      <c r="A20" s="94" t="str">
        <f>'12'!$B$2</f>
        <v>12/12/2025 00:15</v>
      </c>
      <c r="B20" s="61">
        <f>'12'!B108</f>
        <v>65.271354166666669</v>
      </c>
      <c r="C20" s="61">
        <f>'12'!C108</f>
        <v>23.080192307692304</v>
      </c>
      <c r="D20" s="61">
        <f>'12'!D108</f>
        <v>52.93510416666669</v>
      </c>
      <c r="E20" s="61">
        <f>'12'!E108</f>
        <v>8.7195833333333308</v>
      </c>
      <c r="F20" s="61">
        <f>'12'!F108</f>
        <v>4.1651041666666666</v>
      </c>
      <c r="G20" s="101">
        <f>'12'!$G$108</f>
        <v>111.96781249999998</v>
      </c>
      <c r="H20" s="61">
        <f>'12'!H108</f>
        <v>44.37812499999999</v>
      </c>
      <c r="I20" s="61">
        <f>'12'!I108</f>
        <v>9.9999999999999811E-2</v>
      </c>
      <c r="J20" s="61">
        <f>'12'!J108</f>
        <v>0.62979166666666686</v>
      </c>
      <c r="K20" s="61">
        <f>'12'!K108</f>
        <v>217.53208333333328</v>
      </c>
      <c r="L20" s="61">
        <f>'12'!L108</f>
        <v>17.942604166666666</v>
      </c>
      <c r="M20" s="61">
        <f>'12'!M108</f>
        <v>64.042395833333345</v>
      </c>
      <c r="N20" s="61">
        <f>'12'!N108</f>
        <v>144.90833333333327</v>
      </c>
      <c r="O20" s="61">
        <f>'12'!O108</f>
        <v>0</v>
      </c>
      <c r="P20" s="202">
        <f>'12'!P108</f>
        <v>1.9126041666666669</v>
      </c>
      <c r="Q20" s="61">
        <f>'12'!Q108</f>
        <v>9.7374999999999989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13/12/2025 00:15</v>
      </c>
      <c r="B21" s="91">
        <f>'13'!B108</f>
        <v>81.988229166666699</v>
      </c>
      <c r="C21" s="91">
        <f>'13'!C108</f>
        <v>21.698333333333313</v>
      </c>
      <c r="D21" s="91">
        <f>'13'!D108</f>
        <v>62.595208333333339</v>
      </c>
      <c r="E21" s="91">
        <f>'13'!E108</f>
        <v>7.4847916666666707</v>
      </c>
      <c r="F21" s="91">
        <f>'13'!F108</f>
        <v>3.6715625000000021</v>
      </c>
      <c r="G21" s="100">
        <f>'13'!$G$108</f>
        <v>126.93656249999994</v>
      </c>
      <c r="H21" s="91">
        <f>'13'!H108</f>
        <v>49.79864583333336</v>
      </c>
      <c r="I21" s="91">
        <f>'13'!I108</f>
        <v>9.9999999999999811E-2</v>
      </c>
      <c r="J21" s="91">
        <f>'13'!J108</f>
        <v>0.77239583333333373</v>
      </c>
      <c r="K21" s="91">
        <f>'13'!K108</f>
        <v>256.68875000000008</v>
      </c>
      <c r="L21" s="91">
        <f>'13'!L108</f>
        <v>18.524166666666677</v>
      </c>
      <c r="M21" s="91">
        <f>'13'!M108</f>
        <v>65.871874999999989</v>
      </c>
      <c r="N21" s="91">
        <f>'13'!N108</f>
        <v>138.06354166666665</v>
      </c>
      <c r="O21" s="91">
        <f>'13'!O108</f>
        <v>0</v>
      </c>
      <c r="P21" s="203">
        <f>'13'!P108</f>
        <v>2.3545833333333337</v>
      </c>
      <c r="Q21" s="91">
        <f>'13'!Q108</f>
        <v>9.7669791666666637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14/12/2025 00:15</v>
      </c>
      <c r="B22" s="90">
        <f>'14'!B108</f>
        <v>67.851041666666688</v>
      </c>
      <c r="C22" s="90">
        <f>'14'!C108</f>
        <v>22.468947368421052</v>
      </c>
      <c r="D22" s="90">
        <f>'14'!D108</f>
        <v>54.737708333333323</v>
      </c>
      <c r="E22" s="90">
        <f>'14'!E108</f>
        <v>7.6645833333333337</v>
      </c>
      <c r="F22" s="90">
        <f>'14'!F108</f>
        <v>3.8169791666666684</v>
      </c>
      <c r="G22" s="100">
        <f>'14'!$G$108</f>
        <v>82.124687500000007</v>
      </c>
      <c r="H22" s="100">
        <f>'14'!$G$108</f>
        <v>82.124687500000007</v>
      </c>
      <c r="I22" s="90">
        <f>'14'!I108</f>
        <v>9.9999999999999811E-2</v>
      </c>
      <c r="J22" s="90">
        <f>'14'!J108</f>
        <v>0.7947916666666669</v>
      </c>
      <c r="K22" s="90">
        <f>'14'!K108</f>
        <v>249.68916666666658</v>
      </c>
      <c r="L22" s="90">
        <f>'14'!L108</f>
        <v>18.689895833333335</v>
      </c>
      <c r="M22" s="90">
        <f>'14'!M108</f>
        <v>63.463854166666671</v>
      </c>
      <c r="N22" s="90">
        <f>'14'!N108</f>
        <v>135.91979166666664</v>
      </c>
      <c r="O22" s="90">
        <f>'14'!O108</f>
        <v>0</v>
      </c>
      <c r="P22" s="204">
        <f>'14'!P108</f>
        <v>2.067395833333332</v>
      </c>
      <c r="Q22" s="90">
        <f>'14'!Q108</f>
        <v>9.7432291666666604</v>
      </c>
      <c r="R22" s="206"/>
      <c r="S22" s="206"/>
      <c r="T22" s="206"/>
      <c r="U22" s="206"/>
    </row>
    <row r="23" spans="1:21" x14ac:dyDescent="0.25">
      <c r="A23" s="94" t="str">
        <f>'15'!$B$2</f>
        <v>15/12/2025 00:15</v>
      </c>
      <c r="B23" s="61">
        <f>'15'!B108</f>
        <v>29.794479166666658</v>
      </c>
      <c r="C23" s="61">
        <f>'15'!C108</f>
        <v>25.29354166666668</v>
      </c>
      <c r="D23" s="61">
        <f>'15'!D108</f>
        <v>36.627083333333331</v>
      </c>
      <c r="E23" s="61">
        <f>'15'!E108</f>
        <v>7.6322916666666698</v>
      </c>
      <c r="F23" s="61">
        <f>'15'!F108</f>
        <v>5.0299999999999994</v>
      </c>
      <c r="G23" s="100">
        <f>'15'!$G$108</f>
        <v>91.754782608695663</v>
      </c>
      <c r="H23" s="61">
        <f>'15'!H108</f>
        <v>33.543695652173938</v>
      </c>
      <c r="I23" s="61">
        <f>'15'!I108</f>
        <v>9.9999999999999811E-2</v>
      </c>
      <c r="J23" s="61">
        <f>'15'!J108</f>
        <v>0.71874999999999967</v>
      </c>
      <c r="K23" s="61">
        <f>'15'!K108</f>
        <v>222.46250000000001</v>
      </c>
      <c r="L23" s="61">
        <f>'15'!L108</f>
        <v>18.828229166666667</v>
      </c>
      <c r="M23" s="61">
        <f>'15'!M108</f>
        <v>66.556874999999977</v>
      </c>
      <c r="N23" s="61">
        <f>'15'!N108</f>
        <v>137.56666666666663</v>
      </c>
      <c r="O23" s="61">
        <f>'15'!O108</f>
        <v>0</v>
      </c>
      <c r="P23" s="202">
        <f>'15'!P108</f>
        <v>1.7227083333333331</v>
      </c>
      <c r="Q23" s="61">
        <f>'15'!Q108</f>
        <v>9.6810416666666672</v>
      </c>
      <c r="R23" s="118"/>
      <c r="S23" s="118"/>
      <c r="T23" s="118"/>
      <c r="U23" s="118"/>
    </row>
    <row r="24" spans="1:21" x14ac:dyDescent="0.25">
      <c r="A24" s="94" t="str">
        <f>'16'!$B$2</f>
        <v>16/12/2025 00:15</v>
      </c>
      <c r="B24" s="61">
        <f>'16'!B108</f>
        <v>38.628229166666678</v>
      </c>
      <c r="C24" s="61">
        <f>'16'!C108</f>
        <v>19.853854166666668</v>
      </c>
      <c r="D24" s="61">
        <f>'16'!D108</f>
        <v>40.527291666666663</v>
      </c>
      <c r="E24" s="61">
        <f>'16'!E108</f>
        <v>7.2792708333333307</v>
      </c>
      <c r="F24" s="61">
        <f>'16'!F108</f>
        <v>4.0874999999999986</v>
      </c>
      <c r="G24" s="100">
        <f>'16'!$G$108</f>
        <v>98.397083333333327</v>
      </c>
      <c r="H24" s="61">
        <f>'16'!H108</f>
        <v>38.406770833333333</v>
      </c>
      <c r="I24" s="61">
        <f>'16'!I108</f>
        <v>9.9999999999999811E-2</v>
      </c>
      <c r="J24" s="61">
        <f>'16'!J108</f>
        <v>0.76968750000000019</v>
      </c>
      <c r="K24" s="61">
        <f>'16'!K108</f>
        <v>224.44833333333327</v>
      </c>
      <c r="L24" s="61">
        <f>'16'!L108</f>
        <v>18.264270833333331</v>
      </c>
      <c r="M24" s="61">
        <f>'16'!M108</f>
        <v>74.234687499999993</v>
      </c>
      <c r="N24" s="61">
        <f>'16'!N108</f>
        <v>150.03749999999991</v>
      </c>
      <c r="O24" s="61">
        <f>'16'!O108</f>
        <v>0</v>
      </c>
      <c r="P24" s="202">
        <f>'16'!P108</f>
        <v>2.0349999999999997</v>
      </c>
      <c r="Q24" s="61">
        <f>'16'!Q108</f>
        <v>9.6958333333333311</v>
      </c>
      <c r="R24" s="118"/>
      <c r="S24" s="118"/>
      <c r="T24" s="118"/>
      <c r="U24" s="118"/>
    </row>
    <row r="25" spans="1:21" x14ac:dyDescent="0.25">
      <c r="A25" s="94" t="str">
        <f>'17'!$B$2</f>
        <v>17/12/2025 00:15</v>
      </c>
      <c r="B25" s="61">
        <f>'17'!B108</f>
        <v>49.507916666666667</v>
      </c>
      <c r="C25" s="61">
        <f>'17'!C108</f>
        <v>24.377571428571436</v>
      </c>
      <c r="D25" s="61">
        <f>'17'!D108</f>
        <v>45.660416666666663</v>
      </c>
      <c r="E25" s="61">
        <f>'17'!E108</f>
        <v>7.0026041666666652</v>
      </c>
      <c r="F25" s="61">
        <f>'17'!F108</f>
        <v>4.5761458333333342</v>
      </c>
      <c r="G25" s="101">
        <f>'17'!$G$108</f>
        <v>100.54874999999998</v>
      </c>
      <c r="H25" s="61">
        <f>'17'!H108</f>
        <v>29.028958333333311</v>
      </c>
      <c r="I25" s="61">
        <f>'17'!I108</f>
        <v>9.8958333333333148E-2</v>
      </c>
      <c r="J25" s="61">
        <f>'17'!J108</f>
        <v>0.71385416666666668</v>
      </c>
      <c r="K25" s="61">
        <f>'17'!K108</f>
        <v>234.83406250000004</v>
      </c>
      <c r="L25" s="61">
        <f>'17'!L108</f>
        <v>17.459791666666668</v>
      </c>
      <c r="M25" s="61">
        <f>'17'!M108</f>
        <v>71.773958333333283</v>
      </c>
      <c r="N25" s="61">
        <f>'17'!N108</f>
        <v>137.42083333333335</v>
      </c>
      <c r="O25" s="61">
        <f>'17'!O108</f>
        <v>0</v>
      </c>
      <c r="P25" s="202">
        <f>'17'!P108</f>
        <v>2.1436458333333328</v>
      </c>
      <c r="Q25" s="61">
        <f>'17'!Q108</f>
        <v>9.7102083333333358</v>
      </c>
      <c r="R25" s="118"/>
      <c r="S25" s="118"/>
      <c r="T25" s="118"/>
      <c r="U25" s="118"/>
    </row>
    <row r="26" spans="1:21" x14ac:dyDescent="0.25">
      <c r="A26" s="94" t="str">
        <f>'18'!$B$2</f>
        <v>18/12/2025 00:15</v>
      </c>
      <c r="B26" s="61">
        <f>'18'!B108</f>
        <v>79.769777777777762</v>
      </c>
      <c r="C26" s="61">
        <f>'18'!C108</f>
        <v>23.589512195121952</v>
      </c>
      <c r="D26" s="61">
        <f>'18'!D108</f>
        <v>58.466333333333345</v>
      </c>
      <c r="E26" s="61">
        <f>'18'!E108</f>
        <v>7.4941666666666649</v>
      </c>
      <c r="F26" s="61">
        <f>'18'!F108</f>
        <v>4.0332291666666675</v>
      </c>
      <c r="G26" s="99">
        <f>'18'!$G$108</f>
        <v>67.546249999999972</v>
      </c>
      <c r="H26" s="61">
        <f>'18'!H108</f>
        <v>23.120312499999986</v>
      </c>
      <c r="I26" s="61">
        <f>'18'!I108</f>
        <v>9.9999999999999811E-2</v>
      </c>
      <c r="J26" s="61">
        <f>'18'!J108</f>
        <v>0.70489583333333361</v>
      </c>
      <c r="K26" s="61">
        <f>'18'!K108</f>
        <v>258.09458333333333</v>
      </c>
      <c r="L26" s="61">
        <f>'18'!L108</f>
        <v>18.618645833333332</v>
      </c>
      <c r="M26" s="61">
        <f>'18'!M108</f>
        <v>62.61177083333336</v>
      </c>
      <c r="N26" s="61">
        <f>'18'!N108</f>
        <v>167.23749999999998</v>
      </c>
      <c r="O26" s="61">
        <f>'18'!O108</f>
        <v>0</v>
      </c>
      <c r="P26" s="202">
        <f>'18'!P108</f>
        <v>2.1255208333333337</v>
      </c>
      <c r="Q26" s="61">
        <f>'18'!Q108</f>
        <v>9.7313541666666676</v>
      </c>
      <c r="R26" s="118"/>
      <c r="S26" s="118"/>
      <c r="T26" s="118"/>
      <c r="U26" s="118"/>
    </row>
    <row r="27" spans="1:21" x14ac:dyDescent="0.25">
      <c r="A27" s="94" t="str">
        <f>'19'!$B$2</f>
        <v>19/12/2025 00:15</v>
      </c>
      <c r="B27" s="61">
        <f>'19'!B108</f>
        <v>54.614270833333357</v>
      </c>
      <c r="C27" s="61">
        <f>'19'!C108</f>
        <v>19.928909090909084</v>
      </c>
      <c r="D27" s="61">
        <f>'19'!D108</f>
        <v>44.607708333333335</v>
      </c>
      <c r="E27" s="61">
        <f>'19'!E108</f>
        <v>5.3659375000000011</v>
      </c>
      <c r="F27" s="61">
        <f>'19'!F108</f>
        <v>2.8174999999999994</v>
      </c>
      <c r="G27" s="61">
        <f>'19'!G108</f>
        <v>64.842921348314576</v>
      </c>
      <c r="H27" s="61">
        <f>'19'!H108</f>
        <v>19.797640449438205</v>
      </c>
      <c r="I27" s="61">
        <f>'19'!I108</f>
        <v>9.9999999999999811E-2</v>
      </c>
      <c r="J27" s="61">
        <f>'19'!J108</f>
        <v>0.760625</v>
      </c>
      <c r="K27" s="61">
        <f>'19'!K108</f>
        <v>243.27635416666661</v>
      </c>
      <c r="L27" s="61">
        <f>'19'!L108</f>
        <v>18.543958333333329</v>
      </c>
      <c r="M27" s="61">
        <f>'19'!M108</f>
        <v>57.055520833333311</v>
      </c>
      <c r="N27" s="61">
        <f>'19'!N108</f>
        <v>158.62395833333329</v>
      </c>
      <c r="O27" s="61">
        <f>'19'!O108</f>
        <v>0</v>
      </c>
      <c r="P27" s="202">
        <f>'19'!P108</f>
        <v>1.7466666666666673</v>
      </c>
      <c r="Q27" s="61">
        <f>'19'!Q108</f>
        <v>9.682708333333327</v>
      </c>
      <c r="R27" s="118"/>
      <c r="S27" s="118"/>
      <c r="T27" s="118"/>
      <c r="U27" s="118"/>
    </row>
    <row r="28" spans="1:21" x14ac:dyDescent="0.25">
      <c r="A28" s="94" t="str">
        <f>'20'!$B$2</f>
        <v>20/12/2025 00:15</v>
      </c>
      <c r="B28" s="61">
        <f>'20'!B108</f>
        <v>23.77791666666668</v>
      </c>
      <c r="C28" s="61">
        <f>'20'!C108</f>
        <v>19.267291666666669</v>
      </c>
      <c r="D28" s="61">
        <f>'20'!D108</f>
        <v>28.480833333333326</v>
      </c>
      <c r="E28" s="61">
        <f>'20'!E108</f>
        <v>6.6130208333333309</v>
      </c>
      <c r="F28" s="61">
        <f>'20'!F108</f>
        <v>2.9322916666666665</v>
      </c>
      <c r="G28" s="61">
        <f>'20'!G108</f>
        <v>72.67999999999995</v>
      </c>
      <c r="H28" s="61">
        <f>'20'!H108</f>
        <v>18.613229166666667</v>
      </c>
      <c r="I28" s="61">
        <f>'20'!I108</f>
        <v>9.9999999999999811E-2</v>
      </c>
      <c r="J28" s="61">
        <f>'20'!J108</f>
        <v>0.8458333333333331</v>
      </c>
      <c r="K28" s="61">
        <f>'20'!K108</f>
        <v>233.43989583333334</v>
      </c>
      <c r="L28" s="61">
        <f>'20'!L108</f>
        <v>18.011145833333334</v>
      </c>
      <c r="M28" s="61">
        <f>'20'!M108</f>
        <v>58.732395833333356</v>
      </c>
      <c r="N28" s="61">
        <f>'20'!N108</f>
        <v>148.84583333333333</v>
      </c>
      <c r="O28" s="61">
        <f>'20'!O108</f>
        <v>0</v>
      </c>
      <c r="P28" s="202">
        <f>'20'!P108</f>
        <v>1.4414583333333326</v>
      </c>
      <c r="Q28" s="61">
        <f>'20'!Q108</f>
        <v>9.6367708333333297</v>
      </c>
      <c r="R28" s="118"/>
      <c r="S28" s="118"/>
      <c r="T28" s="118"/>
      <c r="U28" s="118"/>
    </row>
    <row r="29" spans="1:21" x14ac:dyDescent="0.25">
      <c r="A29" s="94" t="str">
        <f>'21'!$B$2</f>
        <v>21/12/2025 00:15</v>
      </c>
      <c r="B29" s="61">
        <f>'21'!B108</f>
        <v>38.588958333333338</v>
      </c>
      <c r="C29" s="61">
        <f>'21'!C108</f>
        <v>13.370312500000017</v>
      </c>
      <c r="D29" s="61">
        <f>'21'!D108</f>
        <v>35.224999999999994</v>
      </c>
      <c r="E29" s="61">
        <f>'21'!E108</f>
        <v>7.3437500000000009</v>
      </c>
      <c r="F29" s="61">
        <f>'21'!F108</f>
        <v>2.9101041666666672</v>
      </c>
      <c r="G29" s="61">
        <f>'21'!G108</f>
        <v>62.355208333333337</v>
      </c>
      <c r="H29" s="61">
        <f>'21'!H108</f>
        <v>21.05812499999999</v>
      </c>
      <c r="I29" s="61">
        <f>'21'!I108</f>
        <v>9.9999999999999811E-2</v>
      </c>
      <c r="J29" s="61">
        <f>'21'!J108</f>
        <v>0.77614583333333353</v>
      </c>
      <c r="K29" s="61">
        <f>'21'!K108</f>
        <v>221.30760416666658</v>
      </c>
      <c r="L29" s="61">
        <f>'21'!L108</f>
        <v>17.492812500000003</v>
      </c>
      <c r="M29" s="61">
        <f>'21'!M108</f>
        <v>61.920833333333348</v>
      </c>
      <c r="N29" s="61">
        <f>'21'!N108</f>
        <v>143.42083333333321</v>
      </c>
      <c r="O29" s="61">
        <f>'21'!O108</f>
        <v>0</v>
      </c>
      <c r="P29" s="202">
        <f>'21'!P108</f>
        <v>1.5094791666666671</v>
      </c>
      <c r="Q29" s="61">
        <f>'21'!Q108</f>
        <v>9.6549999999999958</v>
      </c>
      <c r="R29" s="118"/>
      <c r="S29" s="118"/>
      <c r="T29" s="118"/>
      <c r="U29" s="118"/>
    </row>
    <row r="30" spans="1:21" x14ac:dyDescent="0.25">
      <c r="A30" s="94" t="str">
        <f>'22'!$B$2</f>
        <v>22/12/2025 00:15</v>
      </c>
      <c r="B30" s="61">
        <f>'22'!B108</f>
        <v>60.251770833333303</v>
      </c>
      <c r="C30" s="61">
        <f>'22'!C108</f>
        <v>13.16063492063491</v>
      </c>
      <c r="D30" s="61">
        <f>'22'!D108</f>
        <v>46.615625000000016</v>
      </c>
      <c r="E30" s="61">
        <f>'22'!E108</f>
        <v>8.2990624999999998</v>
      </c>
      <c r="F30" s="61">
        <f>'22'!F108</f>
        <v>3.0865624999999999</v>
      </c>
      <c r="G30" s="61">
        <f>'22'!G108</f>
        <v>135.22119565217395</v>
      </c>
      <c r="H30" s="61">
        <f>'22'!H108</f>
        <v>26.339347826086943</v>
      </c>
      <c r="I30" s="61">
        <f>'22'!I108</f>
        <v>9.9999999999999811E-2</v>
      </c>
      <c r="J30" s="61">
        <f>'22'!J108</f>
        <v>0.71958333333333302</v>
      </c>
      <c r="K30" s="61">
        <f>'22'!K108</f>
        <v>224.49020833333327</v>
      </c>
      <c r="L30" s="61">
        <f>'22'!L108</f>
        <v>17.473750000000006</v>
      </c>
      <c r="M30" s="61">
        <f>'22'!M108</f>
        <v>67.788333333333355</v>
      </c>
      <c r="N30" s="61">
        <f>'22'!N108</f>
        <v>137.70833333333337</v>
      </c>
      <c r="O30" s="61">
        <f>'22'!O108</f>
        <v>0</v>
      </c>
      <c r="P30" s="202">
        <f>'22'!P108</f>
        <v>2.0646875000000002</v>
      </c>
      <c r="Q30" s="61">
        <f>'22'!Q108</f>
        <v>9.674687500000001</v>
      </c>
      <c r="R30" s="118"/>
      <c r="S30" s="118"/>
      <c r="T30" s="118"/>
      <c r="U30" s="118"/>
    </row>
    <row r="31" spans="1:21" x14ac:dyDescent="0.25">
      <c r="A31" s="94" t="str">
        <f>'23'!$B$2</f>
        <v>23/12/2025 00:15</v>
      </c>
      <c r="B31" s="61">
        <f>'23'!B108</f>
        <v>63.196666666666658</v>
      </c>
      <c r="C31" s="61">
        <f>'23'!C108</f>
        <v>14.776249999999976</v>
      </c>
      <c r="D31" s="61">
        <f>'23'!D108</f>
        <v>48.446249999999992</v>
      </c>
      <c r="E31" s="61">
        <f>'23'!E108</f>
        <v>7.3825000000000003</v>
      </c>
      <c r="F31" s="61">
        <f>'23'!F108</f>
        <v>2.9791666666666679</v>
      </c>
      <c r="G31" s="61">
        <f>'23'!G108</f>
        <v>68.360624999999956</v>
      </c>
      <c r="H31" s="61">
        <f>'23'!H108</f>
        <v>24.989895833333332</v>
      </c>
      <c r="I31" s="61">
        <f>'23'!I108</f>
        <v>9.9999999999999811E-2</v>
      </c>
      <c r="J31" s="61">
        <f>'23'!J108</f>
        <v>0.82145833333333318</v>
      </c>
      <c r="K31" s="61">
        <f>'23'!K108</f>
        <v>222.33979166666677</v>
      </c>
      <c r="L31" s="61">
        <f>'23'!L108</f>
        <v>17.403437499999992</v>
      </c>
      <c r="M31" s="61">
        <f>'23'!M108</f>
        <v>69.853437499999998</v>
      </c>
      <c r="N31" s="61">
        <f>'23'!N108</f>
        <v>137.19687499999995</v>
      </c>
      <c r="O31" s="61">
        <f>'23'!O108</f>
        <v>0</v>
      </c>
      <c r="P31" s="202">
        <f>'23'!P108</f>
        <v>2.1355208333333335</v>
      </c>
      <c r="Q31" s="61">
        <f>'23'!Q108</f>
        <v>9.6723958333333346</v>
      </c>
      <c r="R31" s="118"/>
      <c r="S31" s="207"/>
      <c r="T31" s="118"/>
      <c r="U31" s="118"/>
    </row>
    <row r="32" spans="1:21" x14ac:dyDescent="0.25">
      <c r="A32" s="94" t="str">
        <f>'24'!$B$2</f>
        <v>24/12/2025 00:15</v>
      </c>
      <c r="B32" s="61">
        <f>'24'!B108</f>
        <v>82.324375000000018</v>
      </c>
      <c r="C32" s="61">
        <f>'24'!C108</f>
        <v>14.410520833333349</v>
      </c>
      <c r="D32" s="61">
        <f>'24'!D108</f>
        <v>56.826250000000009</v>
      </c>
      <c r="E32" s="61">
        <f>'24'!E108</f>
        <v>7.9294791666666677</v>
      </c>
      <c r="F32" s="61">
        <f>'24'!F108</f>
        <v>4.3198958333333355</v>
      </c>
      <c r="G32" s="61">
        <f>'24'!G108</f>
        <v>76.75847826086958</v>
      </c>
      <c r="H32" s="61">
        <f>'24'!H108</f>
        <v>29.308804347826094</v>
      </c>
      <c r="I32" s="61">
        <f>'24'!I108</f>
        <v>2.1129166666666666</v>
      </c>
      <c r="J32" s="61">
        <f>'24'!J108</f>
        <v>0.78833333333333344</v>
      </c>
      <c r="K32" s="61">
        <f>'24'!K108</f>
        <v>240.60041666666666</v>
      </c>
      <c r="L32" s="61">
        <f>'24'!L108</f>
        <v>14.426145833333337</v>
      </c>
      <c r="M32" s="61">
        <f>'24'!M108</f>
        <v>66.588854166666692</v>
      </c>
      <c r="N32" s="61">
        <f>'24'!N108</f>
        <v>149.95520833333325</v>
      </c>
      <c r="O32" s="61">
        <f>'24'!O108</f>
        <v>0</v>
      </c>
      <c r="P32" s="202">
        <f>'24'!P108</f>
        <v>2.0353124999999994</v>
      </c>
      <c r="Q32" s="61">
        <f>'24'!Q108</f>
        <v>9.5306250000000041</v>
      </c>
      <c r="R32" s="118"/>
      <c r="S32" s="118"/>
      <c r="T32" s="118"/>
      <c r="U32" s="118"/>
    </row>
    <row r="33" spans="1:21" x14ac:dyDescent="0.25">
      <c r="A33" s="94" t="str">
        <f>'25'!$B$2</f>
        <v>25/12/2025 00:15</v>
      </c>
      <c r="B33" s="61">
        <f>'25'!B108</f>
        <v>30.957395833333347</v>
      </c>
      <c r="C33" s="61">
        <f>'25'!C108</f>
        <v>8.8507291666666639</v>
      </c>
      <c r="D33" s="61">
        <f>'25'!D108</f>
        <v>24.181041666666655</v>
      </c>
      <c r="E33" s="61">
        <f>'25'!E108</f>
        <v>7.6834374999999957</v>
      </c>
      <c r="F33" s="61">
        <f>'25'!F108</f>
        <v>3.8739583333333338</v>
      </c>
      <c r="G33" s="61">
        <f>'25'!G108</f>
        <v>50.537812499999994</v>
      </c>
      <c r="H33" s="61">
        <f>'25'!H108</f>
        <v>24.833124999999992</v>
      </c>
      <c r="I33" s="61">
        <f>'25'!I108</f>
        <v>5.5728124999999951</v>
      </c>
      <c r="J33" s="61">
        <f>'25'!J108</f>
        <v>0.65781250000000002</v>
      </c>
      <c r="K33" s="61">
        <f>'25'!K108</f>
        <v>207.61385416666675</v>
      </c>
      <c r="L33" s="61">
        <f>'25'!L108</f>
        <v>11.142604166666665</v>
      </c>
      <c r="M33" s="61">
        <f>'25'!M108</f>
        <v>69.63437500000002</v>
      </c>
      <c r="N33" s="61">
        <f>'25'!N108</f>
        <v>140.01041666666669</v>
      </c>
      <c r="O33" s="61">
        <f>'25'!O108</f>
        <v>0</v>
      </c>
      <c r="P33" s="202">
        <f>'25'!P108</f>
        <v>1.6416666666666659</v>
      </c>
      <c r="Q33" s="61">
        <f>'25'!Q108</f>
        <v>9.5676041666666674</v>
      </c>
      <c r="R33" s="118"/>
      <c r="S33" s="207"/>
      <c r="T33" s="118"/>
      <c r="U33" s="118"/>
    </row>
    <row r="34" spans="1:21" x14ac:dyDescent="0.25">
      <c r="A34" s="94" t="str">
        <f>'26'!$B$2</f>
        <v>26/12/2025 00:15</v>
      </c>
      <c r="B34" s="61">
        <f>'26'!B108</f>
        <v>54.943125000000016</v>
      </c>
      <c r="C34" s="61">
        <f>'26'!C108</f>
        <v>17.966145833333353</v>
      </c>
      <c r="D34" s="61">
        <f>'26'!D108</f>
        <v>45.270625000000003</v>
      </c>
      <c r="E34" s="61">
        <f>'26'!E108</f>
        <v>7.469479166666666</v>
      </c>
      <c r="F34" s="61">
        <f>'26'!F108</f>
        <v>3.2762499999999992</v>
      </c>
      <c r="G34" s="61">
        <f>'26'!G108</f>
        <v>59.048437499999999</v>
      </c>
      <c r="H34" s="61">
        <f>'26'!H108</f>
        <v>28.425937499999993</v>
      </c>
      <c r="I34" s="61">
        <f>'26'!I108</f>
        <v>5.27760416666667</v>
      </c>
      <c r="J34" s="61">
        <f>'26'!J108</f>
        <v>0.47260416666666666</v>
      </c>
      <c r="K34" s="61">
        <f>'26'!K108</f>
        <v>206.28812499999992</v>
      </c>
      <c r="L34" s="61">
        <f>'26'!L108</f>
        <v>11.434583333333334</v>
      </c>
      <c r="M34" s="61">
        <f>'26'!M108</f>
        <v>64.435312499999952</v>
      </c>
      <c r="N34" s="61">
        <f>'26'!N108</f>
        <v>118.94166666666668</v>
      </c>
      <c r="O34" s="61">
        <f>'26'!O108</f>
        <v>0</v>
      </c>
      <c r="P34" s="202">
        <f>'26'!P108</f>
        <v>1.634479166666666</v>
      </c>
      <c r="Q34" s="61">
        <f>'26'!Q108</f>
        <v>9.5565625000000036</v>
      </c>
      <c r="R34" s="118"/>
      <c r="S34" s="118"/>
      <c r="T34" s="118"/>
      <c r="U34" s="118"/>
    </row>
    <row r="35" spans="1:21" x14ac:dyDescent="0.25">
      <c r="A35" s="94" t="str">
        <f>'27'!$B$2</f>
        <v>27/12/2025 00:15</v>
      </c>
      <c r="B35" s="61">
        <f>'27'!B108</f>
        <v>64.14552083333335</v>
      </c>
      <c r="C35" s="61">
        <f>'27'!C108</f>
        <v>17.527604166666663</v>
      </c>
      <c r="D35" s="61">
        <f>'27'!D108</f>
        <v>57.232083333333328</v>
      </c>
      <c r="E35" s="61">
        <f>'27'!E108</f>
        <v>6.132604166666666</v>
      </c>
      <c r="F35" s="61">
        <f>'27'!F108</f>
        <v>3.0018750000000005</v>
      </c>
      <c r="G35" s="61">
        <f>'27'!G108</f>
        <v>60.48749999999999</v>
      </c>
      <c r="H35" s="61">
        <f>'27'!H108</f>
        <v>29.22760416666668</v>
      </c>
      <c r="I35" s="61">
        <f>'27'!I108</f>
        <v>5.9932291666666702</v>
      </c>
      <c r="J35" s="61">
        <f>'27'!J108</f>
        <v>0.5669791666666667</v>
      </c>
      <c r="K35" s="61">
        <f>'27'!K108</f>
        <v>229.44124999999997</v>
      </c>
      <c r="L35" s="61">
        <f>'27'!L108</f>
        <v>10.903229166666669</v>
      </c>
      <c r="M35" s="61">
        <f>'27'!M108</f>
        <v>65.535312500000003</v>
      </c>
      <c r="N35" s="61">
        <f>'27'!N108</f>
        <v>118.21249999999998</v>
      </c>
      <c r="O35" s="61">
        <f>'27'!O108</f>
        <v>0</v>
      </c>
      <c r="P35" s="202">
        <f>'27'!P108</f>
        <v>1.7634375000000002</v>
      </c>
      <c r="Q35" s="61">
        <f>'27'!Q108</f>
        <v>9.5952083333333285</v>
      </c>
      <c r="R35" s="118"/>
      <c r="S35" s="118"/>
      <c r="T35" s="118"/>
      <c r="U35" s="118"/>
    </row>
    <row r="36" spans="1:21" x14ac:dyDescent="0.25">
      <c r="A36" s="94" t="str">
        <f>'28'!$B$2</f>
        <v>28/12/2025 00:15</v>
      </c>
      <c r="B36" s="61">
        <f>'28'!B108</f>
        <v>51.939655172413794</v>
      </c>
      <c r="C36" s="61">
        <f>'28'!C108</f>
        <v>27.58224137931035</v>
      </c>
      <c r="D36" s="61">
        <f>'28'!D108</f>
        <v>52.740517241379315</v>
      </c>
      <c r="E36" s="61">
        <f>'28'!E108</f>
        <v>6.2962500000000015</v>
      </c>
      <c r="F36" s="61">
        <f>'28'!F108</f>
        <v>2.971666666666668</v>
      </c>
      <c r="G36" s="61">
        <f>'28'!G108</f>
        <v>58.640624999999993</v>
      </c>
      <c r="H36" s="61">
        <f>'28'!H108</f>
        <v>28.504583333333319</v>
      </c>
      <c r="I36" s="61">
        <f>'28'!I108</f>
        <v>6.0509375000000007</v>
      </c>
      <c r="J36" s="61">
        <f>'28'!J108</f>
        <v>0.6078125000000002</v>
      </c>
      <c r="K36" s="61">
        <f>'28'!K108</f>
        <v>224.70145833333333</v>
      </c>
      <c r="L36" s="61">
        <f>'28'!L108</f>
        <v>10.477083333333336</v>
      </c>
      <c r="M36" s="61">
        <f>'28'!M108</f>
        <v>63.915729166666665</v>
      </c>
      <c r="N36" s="61">
        <f>'28'!N108</f>
        <v>122.26770833333329</v>
      </c>
      <c r="O36" s="61">
        <f>'28'!O108</f>
        <v>0</v>
      </c>
      <c r="P36" s="202">
        <f>'28'!P108</f>
        <v>1.7800000000000011</v>
      </c>
      <c r="Q36" s="61">
        <f>'28'!Q108</f>
        <v>9.5789583333333308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29/12/2025 00:15</v>
      </c>
      <c r="B37" s="61">
        <f>'29'!B108</f>
        <v>58.623750000000001</v>
      </c>
      <c r="C37" s="61">
        <f>'29'!C108</f>
        <v>26.921250000000001</v>
      </c>
      <c r="D37" s="61">
        <f>'29'!D108</f>
        <v>57.468645833333319</v>
      </c>
      <c r="E37" s="61">
        <f>'29'!E108</f>
        <v>7.6992708333333368</v>
      </c>
      <c r="F37" s="61">
        <f>'29'!F108</f>
        <v>3.4852083333333344</v>
      </c>
      <c r="G37" s="61">
        <f>'29'!G108</f>
        <v>63.533229166666665</v>
      </c>
      <c r="H37" s="61">
        <f>'29'!H108</f>
        <v>25.629375000000024</v>
      </c>
      <c r="I37" s="61">
        <f>'29'!I108</f>
        <v>6.3134374999999991</v>
      </c>
      <c r="J37" s="61">
        <f>'29'!J108</f>
        <v>0.62145833333333322</v>
      </c>
      <c r="K37" s="61">
        <f>'29'!K108</f>
        <v>213.86625000000001</v>
      </c>
      <c r="L37" s="61">
        <f>'29'!L108</f>
        <v>13.501354166666667</v>
      </c>
      <c r="M37" s="61">
        <f>'29'!M108</f>
        <v>67.144687499999989</v>
      </c>
      <c r="N37" s="61">
        <f>'29'!N108</f>
        <v>119.30624999999998</v>
      </c>
      <c r="O37" s="61">
        <f>'29'!O108</f>
        <v>0</v>
      </c>
      <c r="P37" s="202">
        <f>'29'!P108</f>
        <v>1.8333333333333333</v>
      </c>
      <c r="Q37" s="61">
        <f>'29'!Q108</f>
        <v>9.5589583333333383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30/12/2025 00:15</v>
      </c>
      <c r="B38" s="61">
        <f>'30'!B108</f>
        <v>60.707187500000011</v>
      </c>
      <c r="C38" s="61">
        <f>'30'!C108</f>
        <v>22.039687500000003</v>
      </c>
      <c r="D38" s="61">
        <f>'30'!D108</f>
        <v>57.031874999999992</v>
      </c>
      <c r="E38" s="61">
        <f>'30'!E108</f>
        <v>6.129270833333333</v>
      </c>
      <c r="F38" s="61">
        <f>'30'!F108</f>
        <v>3.5023958333333325</v>
      </c>
      <c r="G38" s="61">
        <f>'30'!G108</f>
        <v>58.855000000000011</v>
      </c>
      <c r="H38" s="61">
        <f>'30'!H108</f>
        <v>21.420520833333331</v>
      </c>
      <c r="I38" s="61">
        <f>'30'!I108</f>
        <v>6.0020833333333323</v>
      </c>
      <c r="J38" s="61">
        <f>'30'!J108</f>
        <v>0.50500000000000023</v>
      </c>
      <c r="K38" s="61">
        <f>'30'!K108</f>
        <v>224.19489583333322</v>
      </c>
      <c r="L38" s="61">
        <f>'30'!L108</f>
        <v>16.972291666666671</v>
      </c>
      <c r="M38" s="61">
        <f>'30'!M108</f>
        <v>58.769374999999989</v>
      </c>
      <c r="N38" s="61">
        <f>'30'!N108</f>
        <v>137.87604166666662</v>
      </c>
      <c r="O38" s="61">
        <f>'30'!O108</f>
        <v>0</v>
      </c>
      <c r="P38" s="202">
        <f>'30'!P108</f>
        <v>1.7197916666666673</v>
      </c>
      <c r="Q38" s="61">
        <f>'30'!Q108</f>
        <v>9.5538541666666674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31/12/2025 00:15</v>
      </c>
      <c r="B39" s="61">
        <f>'31'!B108</f>
        <v>44.946562500000006</v>
      </c>
      <c r="C39" s="61">
        <f>'31'!C108</f>
        <v>32.105625000000003</v>
      </c>
      <c r="D39" s="61">
        <f>'31'!D108</f>
        <v>49.616458333333348</v>
      </c>
      <c r="E39" s="61">
        <f>'31'!E108</f>
        <v>6.9017708333333347</v>
      </c>
      <c r="F39" s="61">
        <f>'31'!F108</f>
        <v>3.5841666666666661</v>
      </c>
      <c r="G39" s="61">
        <f>'31'!G108</f>
        <v>52.570520833333326</v>
      </c>
      <c r="H39" s="61">
        <f>'31'!H108</f>
        <v>18.270937500000002</v>
      </c>
      <c r="I39" s="61">
        <f>'31'!I108</f>
        <v>6.6358333333333315</v>
      </c>
      <c r="J39" s="61">
        <f>'31'!J108</f>
        <v>0.61041666666666694</v>
      </c>
      <c r="K39" s="61">
        <f>'31'!K108</f>
        <v>252.96500000000017</v>
      </c>
      <c r="L39" s="61">
        <f>'31'!L108</f>
        <v>17.376875000000002</v>
      </c>
      <c r="M39" s="61">
        <f>'31'!M108</f>
        <v>62.494062499999991</v>
      </c>
      <c r="N39" s="61">
        <f>'31'!N108</f>
        <v>132.26979166666669</v>
      </c>
      <c r="O39" s="61">
        <f>'31'!O108</f>
        <v>0</v>
      </c>
      <c r="P39" s="61">
        <f>'31'!P108</f>
        <v>1.7039583333333332</v>
      </c>
      <c r="Q39" s="61">
        <f>'31'!Q108</f>
        <v>9.5122916666666644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14.641562499999999</v>
      </c>
      <c r="C41" s="16">
        <f t="shared" si="0"/>
        <v>8.8507291666666639</v>
      </c>
      <c r="D41" s="16">
        <f t="shared" si="0"/>
        <v>22.378437500000008</v>
      </c>
      <c r="E41" s="16">
        <f t="shared" si="0"/>
        <v>5.3659375000000011</v>
      </c>
      <c r="F41" s="16">
        <f t="shared" si="0"/>
        <v>2.8174999999999994</v>
      </c>
      <c r="G41" s="16">
        <f t="shared" si="0"/>
        <v>50.537812499999994</v>
      </c>
      <c r="H41" s="16">
        <f t="shared" si="0"/>
        <v>18.613229166666667</v>
      </c>
      <c r="I41" s="16">
        <f t="shared" si="0"/>
        <v>9.8958333333333148E-2</v>
      </c>
      <c r="J41" s="16">
        <f t="shared" si="0"/>
        <v>0.39552083333333338</v>
      </c>
      <c r="K41" s="16">
        <f t="shared" si="0"/>
        <v>161.53385416666674</v>
      </c>
      <c r="L41" s="16">
        <f t="shared" si="0"/>
        <v>10.477083333333336</v>
      </c>
      <c r="M41" s="16">
        <f t="shared" si="0"/>
        <v>49.385520833333338</v>
      </c>
      <c r="N41" s="16">
        <f t="shared" si="0"/>
        <v>118.21249999999998</v>
      </c>
      <c r="O41" s="16">
        <f t="shared" si="0"/>
        <v>0</v>
      </c>
      <c r="P41" s="16">
        <f t="shared" si="0"/>
        <v>1.0630208333333326</v>
      </c>
      <c r="Q41" s="16">
        <f t="shared" si="0"/>
        <v>9.5306250000000041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82.324375000000018</v>
      </c>
      <c r="C42" s="16">
        <f t="shared" si="1"/>
        <v>27.58224137931035</v>
      </c>
      <c r="D42" s="16">
        <f t="shared" si="1"/>
        <v>62.595208333333339</v>
      </c>
      <c r="E42" s="16">
        <f t="shared" si="1"/>
        <v>8.7195833333333308</v>
      </c>
      <c r="F42" s="16">
        <f t="shared" si="1"/>
        <v>5.2282291666666643</v>
      </c>
      <c r="G42" s="16">
        <f t="shared" si="1"/>
        <v>135.22119565217395</v>
      </c>
      <c r="H42" s="16">
        <f t="shared" si="1"/>
        <v>82.124687500000007</v>
      </c>
      <c r="I42" s="16">
        <f t="shared" si="1"/>
        <v>6.3134374999999991</v>
      </c>
      <c r="J42" s="16">
        <f t="shared" si="1"/>
        <v>0.8458333333333331</v>
      </c>
      <c r="K42" s="16">
        <f t="shared" si="1"/>
        <v>258.87697916666673</v>
      </c>
      <c r="L42" s="16">
        <f t="shared" si="1"/>
        <v>20.345208333333332</v>
      </c>
      <c r="M42" s="16">
        <f t="shared" si="1"/>
        <v>74.761041666666671</v>
      </c>
      <c r="N42" s="16">
        <f t="shared" si="1"/>
        <v>167.23749999999998</v>
      </c>
      <c r="O42" s="16">
        <f t="shared" si="1"/>
        <v>0</v>
      </c>
      <c r="P42" s="16">
        <f t="shared" si="1"/>
        <v>2.3545833333333337</v>
      </c>
      <c r="Q42" s="16">
        <f t="shared" si="1"/>
        <v>9.7669791666666637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50.607668598339714</v>
      </c>
      <c r="C43" s="16">
        <f t="shared" si="2"/>
        <v>19.289647805160424</v>
      </c>
      <c r="D43" s="16">
        <f t="shared" si="2"/>
        <v>44.274322102490416</v>
      </c>
      <c r="E43" s="16">
        <f t="shared" si="2"/>
        <v>7.15410763888889</v>
      </c>
      <c r="F43" s="16">
        <f t="shared" si="2"/>
        <v>3.881586805555556</v>
      </c>
      <c r="G43" s="16">
        <f t="shared" si="2"/>
        <v>83.885631345668486</v>
      </c>
      <c r="H43" s="16">
        <f t="shared" si="2"/>
        <v>34.142771136961954</v>
      </c>
      <c r="I43" s="16">
        <f t="shared" si="2"/>
        <v>2.4498125000000011</v>
      </c>
      <c r="J43" s="16">
        <f t="shared" si="2"/>
        <v>0.63067013888888868</v>
      </c>
      <c r="K43" s="16">
        <f t="shared" si="2"/>
        <v>226.84866319444444</v>
      </c>
      <c r="L43" s="16">
        <f t="shared" si="2"/>
        <v>17.183753472222225</v>
      </c>
      <c r="M43" s="16">
        <f t="shared" si="2"/>
        <v>62.493135416666654</v>
      </c>
      <c r="N43" s="16">
        <f t="shared" si="2"/>
        <v>143.57732638888885</v>
      </c>
      <c r="O43" s="16">
        <f t="shared" si="2"/>
        <v>0</v>
      </c>
      <c r="P43" s="16">
        <f t="shared" si="2"/>
        <v>1.7589340277777774</v>
      </c>
      <c r="Q43" s="16">
        <f t="shared" si="2"/>
        <v>9.6655243055555538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21.008035327403068</v>
      </c>
      <c r="C44" s="16">
        <f t="shared" si="3"/>
        <v>4.607067621213762</v>
      </c>
      <c r="D44" s="16">
        <f t="shared" si="3"/>
        <v>12.511405332549343</v>
      </c>
      <c r="E44" s="16">
        <f t="shared" si="3"/>
        <v>0.81502421396615532</v>
      </c>
      <c r="F44" s="16">
        <f t="shared" si="3"/>
        <v>0.70522515307203815</v>
      </c>
      <c r="G44" s="16">
        <f t="shared" si="3"/>
        <v>24.979004608888637</v>
      </c>
      <c r="H44" s="16">
        <f t="shared" si="3"/>
        <v>13.292097309302012</v>
      </c>
      <c r="I44" s="16">
        <f t="shared" si="3"/>
        <v>2.5271443633006321</v>
      </c>
      <c r="J44" s="16">
        <f t="shared" si="3"/>
        <v>0.13354026765582225</v>
      </c>
      <c r="K44" s="16">
        <f t="shared" si="3"/>
        <v>20.174471574322908</v>
      </c>
      <c r="L44" s="16">
        <f t="shared" si="3"/>
        <v>2.8344054031975792</v>
      </c>
      <c r="M44" s="16">
        <f t="shared" si="3"/>
        <v>6.7606005487093324</v>
      </c>
      <c r="N44" s="16">
        <f t="shared" si="3"/>
        <v>13.516760414468441</v>
      </c>
      <c r="O44" s="16">
        <f t="shared" si="3"/>
        <v>0</v>
      </c>
      <c r="P44" s="16">
        <f t="shared" si="3"/>
        <v>0.34781734322340474</v>
      </c>
      <c r="Q44" s="16">
        <f t="shared" si="3"/>
        <v>6.8263295312555441E-2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216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17"/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topLeftCell="A43" zoomScale="85" zoomScaleNormal="85" workbookViewId="0">
      <selection activeCell="H29" sqref="H29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2" t="s">
        <v>246</v>
      </c>
      <c r="E1" s="222"/>
      <c r="F1" s="222"/>
      <c r="G1" s="222"/>
      <c r="H1" s="222"/>
      <c r="I1" s="222"/>
      <c r="J1" s="223"/>
    </row>
    <row r="2" spans="2:24" ht="22.5" customHeight="1" thickBot="1" x14ac:dyDescent="0.3">
      <c r="B2" s="54"/>
      <c r="C2" s="111" t="s">
        <v>0</v>
      </c>
      <c r="D2" s="112" t="s">
        <v>224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1" t="s">
        <v>1</v>
      </c>
      <c r="H5" s="221"/>
      <c r="I5" s="40"/>
      <c r="J5" s="40"/>
      <c r="K5" s="40"/>
      <c r="L5" s="40"/>
      <c r="M5" s="41"/>
      <c r="O5" s="68"/>
      <c r="P5" s="69"/>
      <c r="Q5" s="69"/>
      <c r="R5" s="69"/>
      <c r="S5" s="208" t="s">
        <v>221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45993.466666666667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203.21</v>
      </c>
      <c r="I8" s="60">
        <v>0</v>
      </c>
      <c r="J8" s="61">
        <f>F8/H8</f>
        <v>0.98420353329068444</v>
      </c>
      <c r="K8" s="61">
        <f>(H8-F8)*100/F8</f>
        <v>1.605000000000004</v>
      </c>
      <c r="L8" s="60" t="s">
        <v>67</v>
      </c>
      <c r="M8" s="78" t="s">
        <v>216</v>
      </c>
      <c r="O8" s="63">
        <v>45993.4375</v>
      </c>
      <c r="P8" s="64" t="s">
        <v>70</v>
      </c>
      <c r="Q8" s="64">
        <v>7387.6</v>
      </c>
      <c r="R8" s="64">
        <v>5372.45</v>
      </c>
      <c r="S8" s="77" t="s">
        <v>227</v>
      </c>
      <c r="T8" s="77">
        <v>834.47</v>
      </c>
      <c r="U8" s="86">
        <v>0.77400000000000002</v>
      </c>
      <c r="V8" s="86">
        <v>0.77449999999999997</v>
      </c>
      <c r="W8" s="60" t="s">
        <v>67</v>
      </c>
      <c r="X8" s="78" t="s">
        <v>216</v>
      </c>
    </row>
    <row r="9" spans="2:24" ht="15.75" x14ac:dyDescent="0.25">
      <c r="B9" s="63">
        <v>46000.461111111108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198.34</v>
      </c>
      <c r="I9" s="60">
        <v>0</v>
      </c>
      <c r="J9" s="61">
        <f t="shared" ref="J9:J14" si="0">F9/H9</f>
        <v>1.0083694665725522</v>
      </c>
      <c r="K9" s="61">
        <f t="shared" ref="K9:K14" si="1">(H9-F9)*100/F9</f>
        <v>-0.82999999999999829</v>
      </c>
      <c r="L9" s="60" t="s">
        <v>67</v>
      </c>
      <c r="M9" s="62" t="s">
        <v>216</v>
      </c>
      <c r="O9" s="63">
        <v>46000.570833333331</v>
      </c>
      <c r="P9" s="64" t="s">
        <v>70</v>
      </c>
      <c r="Q9" s="64">
        <v>6075.49</v>
      </c>
      <c r="R9" s="64">
        <v>4400.21</v>
      </c>
      <c r="S9" s="77" t="s">
        <v>227</v>
      </c>
      <c r="T9" s="77">
        <v>842.37</v>
      </c>
      <c r="U9" s="86">
        <v>0.76649999999999996</v>
      </c>
      <c r="V9" s="86">
        <v>0.75980000000000003</v>
      </c>
      <c r="W9" s="60" t="s">
        <v>67</v>
      </c>
      <c r="X9" s="62" t="s">
        <v>216</v>
      </c>
    </row>
    <row r="10" spans="2:24" ht="15.75" x14ac:dyDescent="0.25">
      <c r="B10" s="63">
        <v>46006.431944444441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199.33</v>
      </c>
      <c r="I10" s="60">
        <v>0</v>
      </c>
      <c r="J10" s="61">
        <f t="shared" si="0"/>
        <v>1.0033612602217428</v>
      </c>
      <c r="K10" s="61">
        <f t="shared" si="1"/>
        <v>-0.33499999999999375</v>
      </c>
      <c r="L10" s="60" t="s">
        <v>67</v>
      </c>
      <c r="M10" s="62" t="s">
        <v>216</v>
      </c>
      <c r="O10" s="63">
        <v>46006.479861111111</v>
      </c>
      <c r="P10" s="64" t="s">
        <v>70</v>
      </c>
      <c r="Q10" s="64">
        <v>6145.45</v>
      </c>
      <c r="R10" s="64">
        <v>4445.2299999999996</v>
      </c>
      <c r="S10" s="77" t="s">
        <v>227</v>
      </c>
      <c r="T10" s="77">
        <v>841.86</v>
      </c>
      <c r="U10" s="86">
        <v>0.76270000000000004</v>
      </c>
      <c r="V10" s="86">
        <v>0.75649999999999995</v>
      </c>
      <c r="W10" s="60" t="s">
        <v>67</v>
      </c>
      <c r="X10" s="62" t="s">
        <v>216</v>
      </c>
    </row>
    <row r="11" spans="2:24" ht="15.75" x14ac:dyDescent="0.25">
      <c r="B11" s="63">
        <v>46015.445138888892</v>
      </c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>
        <v>200.16</v>
      </c>
      <c r="I11" s="60">
        <v>0</v>
      </c>
      <c r="J11" s="61">
        <f t="shared" si="0"/>
        <v>0.99920063948840931</v>
      </c>
      <c r="K11" s="61">
        <f t="shared" si="1"/>
        <v>7.9999999999998295E-2</v>
      </c>
      <c r="L11" s="60" t="s">
        <v>67</v>
      </c>
      <c r="M11" s="62" t="s">
        <v>216</v>
      </c>
      <c r="O11" s="63">
        <v>46015.427777777775</v>
      </c>
      <c r="P11" s="64" t="s">
        <v>70</v>
      </c>
      <c r="Q11" s="64">
        <v>6056.25</v>
      </c>
      <c r="R11" s="64">
        <v>4374.79</v>
      </c>
      <c r="S11" s="77" t="s">
        <v>227</v>
      </c>
      <c r="T11" s="77">
        <v>835.79</v>
      </c>
      <c r="U11" s="86">
        <v>0.75649999999999995</v>
      </c>
      <c r="V11" s="86">
        <v>0.75570000000000004</v>
      </c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227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19" t="s">
        <v>25</v>
      </c>
      <c r="D21" s="219"/>
      <c r="E21" s="219"/>
      <c r="F21" s="219"/>
      <c r="G21" s="219"/>
      <c r="H21" s="219"/>
      <c r="I21" s="45">
        <f>COUNT(B8:B20)</f>
        <v>4</v>
      </c>
      <c r="J21" s="46"/>
      <c r="K21" s="46"/>
      <c r="L21" s="47"/>
      <c r="M21" s="48"/>
      <c r="O21" s="80"/>
      <c r="P21" s="218" t="s">
        <v>84</v>
      </c>
      <c r="Q21" s="218"/>
      <c r="R21" s="218"/>
      <c r="S21" s="218"/>
      <c r="T21" s="81">
        <f>COUNT(O8:O20)</f>
        <v>4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0" t="s">
        <v>2</v>
      </c>
      <c r="H24" s="220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45993.488194444442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201.2</v>
      </c>
      <c r="I27" s="60">
        <v>0</v>
      </c>
      <c r="J27" s="61">
        <f>F27/H27</f>
        <v>0.99403578528827041</v>
      </c>
      <c r="K27" s="61">
        <f>(H27-F27)*100/F27</f>
        <v>0.59999999999999432</v>
      </c>
      <c r="L27" s="60" t="s">
        <v>67</v>
      </c>
      <c r="M27" s="78" t="s">
        <v>216</v>
      </c>
      <c r="O27" s="63">
        <v>45993.46597222222</v>
      </c>
      <c r="P27" s="64" t="s">
        <v>71</v>
      </c>
      <c r="Q27" s="64">
        <v>5225.2700000000004</v>
      </c>
      <c r="R27" s="64">
        <v>4047.22</v>
      </c>
      <c r="S27" s="77" t="s">
        <v>226</v>
      </c>
      <c r="T27" s="77">
        <v>844.09</v>
      </c>
      <c r="U27" s="86">
        <v>0.97289999999999999</v>
      </c>
      <c r="V27" s="86">
        <v>0.97629999999999995</v>
      </c>
      <c r="W27" s="60" t="s">
        <v>67</v>
      </c>
      <c r="X27" s="78" t="s">
        <v>216</v>
      </c>
    </row>
    <row r="28" spans="2:24" s="24" customFormat="1" ht="15.75" x14ac:dyDescent="0.25">
      <c r="B28" s="63">
        <v>46000.494444444441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200.04</v>
      </c>
      <c r="I28" s="60">
        <v>0</v>
      </c>
      <c r="J28" s="61">
        <f t="shared" ref="J28:J33" si="2">F28/H28</f>
        <v>0.99980003999200162</v>
      </c>
      <c r="K28" s="61">
        <f t="shared" ref="K28:K33" si="3">(H28-F28)*100/F28</f>
        <v>1.9999999999996021E-2</v>
      </c>
      <c r="L28" s="60" t="s">
        <v>67</v>
      </c>
      <c r="M28" s="62" t="s">
        <v>222</v>
      </c>
      <c r="O28" s="63">
        <v>46000.525694444441</v>
      </c>
      <c r="P28" s="64" t="s">
        <v>71</v>
      </c>
      <c r="Q28" s="64">
        <v>5127.13</v>
      </c>
      <c r="R28" s="64">
        <v>3970.04</v>
      </c>
      <c r="S28" s="77" t="s">
        <v>226</v>
      </c>
      <c r="T28" s="77">
        <v>851.55</v>
      </c>
      <c r="U28" s="86">
        <v>0.97629999999999995</v>
      </c>
      <c r="V28" s="86">
        <v>0.97109999999999996</v>
      </c>
      <c r="W28" s="60" t="s">
        <v>67</v>
      </c>
      <c r="X28" s="62" t="s">
        <v>216</v>
      </c>
    </row>
    <row r="29" spans="2:24" s="24" customFormat="1" ht="15.75" x14ac:dyDescent="0.25">
      <c r="B29" s="63">
        <v>46006.495833333334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199.54</v>
      </c>
      <c r="I29" s="60">
        <v>0</v>
      </c>
      <c r="J29" s="61">
        <f t="shared" si="2"/>
        <v>1.0023053021950485</v>
      </c>
      <c r="K29" s="61">
        <f t="shared" si="3"/>
        <v>-0.23000000000000398</v>
      </c>
      <c r="L29" s="60" t="s">
        <v>67</v>
      </c>
      <c r="M29" s="62" t="s">
        <v>223</v>
      </c>
      <c r="O29" s="63">
        <v>46006.479861111111</v>
      </c>
      <c r="P29" s="64" t="s">
        <v>71</v>
      </c>
      <c r="Q29" s="64">
        <v>5194.22</v>
      </c>
      <c r="R29" s="64">
        <v>4020.42</v>
      </c>
      <c r="S29" s="77" t="s">
        <v>226</v>
      </c>
      <c r="T29" s="77">
        <v>843.05</v>
      </c>
      <c r="U29" s="86">
        <v>0.96530000000000005</v>
      </c>
      <c r="V29" s="86">
        <v>0.96989999999999998</v>
      </c>
      <c r="W29" s="60" t="s">
        <v>67</v>
      </c>
      <c r="X29" s="62" t="s">
        <v>216</v>
      </c>
    </row>
    <row r="30" spans="2:24" s="24" customFormat="1" ht="15.75" x14ac:dyDescent="0.25">
      <c r="B30" s="63">
        <v>46015.51666666667</v>
      </c>
      <c r="C30" s="60" t="s">
        <v>68</v>
      </c>
      <c r="D30" s="60" t="s">
        <v>51</v>
      </c>
      <c r="E30" s="60">
        <v>0</v>
      </c>
      <c r="F30" s="60">
        <v>200</v>
      </c>
      <c r="G30" s="60"/>
      <c r="H30" s="61">
        <v>198.89</v>
      </c>
      <c r="I30" s="60">
        <v>0</v>
      </c>
      <c r="J30" s="61">
        <f t="shared" si="2"/>
        <v>1.0055809744079642</v>
      </c>
      <c r="K30" s="61">
        <f t="shared" si="3"/>
        <v>-0.55500000000000682</v>
      </c>
      <c r="L30" s="60" t="s">
        <v>67</v>
      </c>
      <c r="M30" s="62" t="s">
        <v>223</v>
      </c>
      <c r="O30" s="63">
        <v>46015.427777777775</v>
      </c>
      <c r="P30" s="64" t="s">
        <v>71</v>
      </c>
      <c r="Q30" s="64">
        <v>5093.6099999999997</v>
      </c>
      <c r="R30" s="64">
        <v>3935.56</v>
      </c>
      <c r="S30" s="77" t="s">
        <v>226</v>
      </c>
      <c r="T30" s="77">
        <v>850.04</v>
      </c>
      <c r="U30" s="86">
        <v>0.96989999999999998</v>
      </c>
      <c r="V30" s="86">
        <v>0.96640000000000004</v>
      </c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18" t="s">
        <v>85</v>
      </c>
      <c r="Q40" s="218"/>
      <c r="R40" s="218"/>
      <c r="S40" s="218"/>
      <c r="T40" s="81">
        <f>COUNT(O27:O39)</f>
        <v>4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19" t="s">
        <v>26</v>
      </c>
      <c r="E41" s="219"/>
      <c r="F41" s="219"/>
      <c r="G41" s="219"/>
      <c r="H41" s="219"/>
      <c r="I41" s="219"/>
      <c r="J41" s="52">
        <f>COUNT(B27:B39)</f>
        <v>4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0" t="s">
        <v>23</v>
      </c>
      <c r="H44" s="220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222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19" t="s">
        <v>27</v>
      </c>
      <c r="E61" s="219"/>
      <c r="F61" s="219"/>
      <c r="G61" s="219"/>
      <c r="H61" s="219"/>
      <c r="I61" s="219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0" t="s">
        <v>3</v>
      </c>
      <c r="H64" s="220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45993.504166666666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5.13</v>
      </c>
      <c r="I67" s="60">
        <v>0</v>
      </c>
      <c r="J67" s="61">
        <f>F67/H67</f>
        <v>0.97465886939571156</v>
      </c>
      <c r="K67" s="61">
        <f>(H67-F67)*100/F67</f>
        <v>2.5999999999999979</v>
      </c>
      <c r="L67" s="60" t="s">
        <v>67</v>
      </c>
      <c r="M67" s="78" t="s">
        <v>222</v>
      </c>
    </row>
    <row r="68" spans="2:13" ht="15.75" x14ac:dyDescent="0.25">
      <c r="B68" s="63">
        <v>46000.511805555558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5.0199999999999996</v>
      </c>
      <c r="I68" s="60">
        <v>0</v>
      </c>
      <c r="J68" s="61">
        <f t="shared" ref="J68:J73" si="4">F68/H68</f>
        <v>0.99601593625498019</v>
      </c>
      <c r="K68" s="61">
        <f t="shared" ref="K68:K73" si="5">(H68-F68)*100/F68</f>
        <v>0.39999999999999147</v>
      </c>
      <c r="L68" s="60" t="s">
        <v>67</v>
      </c>
      <c r="M68" s="62" t="s">
        <v>223</v>
      </c>
    </row>
    <row r="69" spans="2:13" ht="15.75" x14ac:dyDescent="0.25">
      <c r="B69" s="63">
        <v>46006.522222222222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4.9800000000000004</v>
      </c>
      <c r="I69" s="60">
        <v>0</v>
      </c>
      <c r="J69" s="61">
        <f t="shared" si="4"/>
        <v>1.0040160642570279</v>
      </c>
      <c r="K69" s="61">
        <f t="shared" si="5"/>
        <v>-0.39999999999999147</v>
      </c>
      <c r="L69" s="60" t="s">
        <v>67</v>
      </c>
      <c r="M69" s="62" t="s">
        <v>223</v>
      </c>
    </row>
    <row r="70" spans="2:13" ht="15.75" x14ac:dyDescent="0.25">
      <c r="B70" s="63">
        <v>46015.522222222222</v>
      </c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>
        <v>4.88</v>
      </c>
      <c r="I70" s="60">
        <v>0</v>
      </c>
      <c r="J70" s="61">
        <f t="shared" si="4"/>
        <v>1.0245901639344261</v>
      </c>
      <c r="K70" s="61">
        <f t="shared" si="5"/>
        <v>-2.4000000000000021</v>
      </c>
      <c r="L70" s="60" t="s">
        <v>67</v>
      </c>
      <c r="M70" s="62" t="s">
        <v>223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19" t="s">
        <v>28</v>
      </c>
      <c r="E81" s="219"/>
      <c r="F81" s="219"/>
      <c r="G81" s="219"/>
      <c r="H81" s="219"/>
      <c r="I81" s="219"/>
      <c r="J81" s="52">
        <f>COUNT(B67:B79)</f>
        <v>4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0" t="s">
        <v>24</v>
      </c>
      <c r="H84" s="220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19" t="s">
        <v>29</v>
      </c>
      <c r="E101" s="219"/>
      <c r="F101" s="219"/>
      <c r="G101" s="219"/>
      <c r="H101" s="219"/>
      <c r="I101" s="219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1" t="s">
        <v>4</v>
      </c>
      <c r="H104" s="221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/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/>
      <c r="I107" s="60">
        <f>G107-E107</f>
        <v>0</v>
      </c>
      <c r="J107" s="61" t="e">
        <f>F107/H107</f>
        <v>#DIV/0!</v>
      </c>
      <c r="K107" s="61">
        <f>(H107-F107)*100/F107</f>
        <v>-100</v>
      </c>
      <c r="L107" s="60" t="s">
        <v>67</v>
      </c>
      <c r="M107" s="62" t="s">
        <v>222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223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223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223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19" t="s">
        <v>69</v>
      </c>
      <c r="D119" s="219"/>
      <c r="E119" s="219"/>
      <c r="F119" s="219"/>
      <c r="G119" s="219"/>
      <c r="H119" s="219"/>
      <c r="I119" s="52">
        <f>COUNT(B107:B118)</f>
        <v>0</v>
      </c>
      <c r="J119" s="46"/>
      <c r="K119" s="46"/>
      <c r="L119" s="47"/>
      <c r="M119" s="48"/>
    </row>
  </sheetData>
  <mergeCells count="15">
    <mergeCell ref="D1:J1"/>
    <mergeCell ref="G44:H44"/>
    <mergeCell ref="C21:H21"/>
    <mergeCell ref="G5:H5"/>
    <mergeCell ref="G24:H24"/>
    <mergeCell ref="P21:S21"/>
    <mergeCell ref="P40:S40"/>
    <mergeCell ref="D41:I41"/>
    <mergeCell ref="C119:H119"/>
    <mergeCell ref="G64:H64"/>
    <mergeCell ref="D81:I81"/>
    <mergeCell ref="G84:H84"/>
    <mergeCell ref="D101:I101"/>
    <mergeCell ref="G104:H104"/>
    <mergeCell ref="D61:I61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B3" sqref="B3:C3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4" t="s">
        <v>228</v>
      </c>
      <c r="C2" s="224"/>
      <c r="D2" s="225">
        <v>45017</v>
      </c>
      <c r="E2" s="225"/>
    </row>
    <row r="3" spans="1:5" x14ac:dyDescent="0.25">
      <c r="B3" s="224" t="s">
        <v>21</v>
      </c>
      <c r="C3" s="224"/>
      <c r="D3" s="225"/>
      <c r="E3" s="225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6" t="s">
        <v>22</v>
      </c>
      <c r="C44" s="226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42" t="s">
        <v>220</v>
      </c>
      <c r="C2" s="242"/>
      <c r="D2" s="242"/>
      <c r="E2" s="242"/>
      <c r="F2" s="243">
        <v>44713</v>
      </c>
      <c r="G2" s="244"/>
      <c r="H2" s="244"/>
    </row>
    <row r="3" spans="2:24" s="12" customFormat="1" ht="15" customHeight="1" x14ac:dyDescent="0.25">
      <c r="B3" s="242"/>
      <c r="C3" s="242"/>
      <c r="D3" s="242"/>
      <c r="E3" s="242"/>
      <c r="F3" s="244"/>
      <c r="G3" s="244"/>
      <c r="H3" s="244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45" t="s">
        <v>4</v>
      </c>
      <c r="C12" s="247" t="s">
        <v>133</v>
      </c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127"/>
      <c r="U12" s="125"/>
    </row>
    <row r="13" spans="2:24" ht="15" customHeight="1" x14ac:dyDescent="0.25">
      <c r="B13" s="246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46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46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46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216</v>
      </c>
      <c r="X16" s="11"/>
    </row>
    <row r="17" spans="2:28" ht="15.75" customHeight="1" x14ac:dyDescent="0.25">
      <c r="B17" s="246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46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7" t="s">
        <v>2</v>
      </c>
      <c r="C25" s="240" t="s">
        <v>133</v>
      </c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29"/>
      <c r="S25" s="188"/>
      <c r="T25" s="189"/>
    </row>
    <row r="26" spans="2:28" ht="15" customHeight="1" x14ac:dyDescent="0.3">
      <c r="B26" s="237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7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7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9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31" t="s">
        <v>3</v>
      </c>
      <c r="C36" s="233" t="s">
        <v>133</v>
      </c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4"/>
    </row>
    <row r="37" spans="2:25" ht="15.75" customHeight="1" x14ac:dyDescent="0.25">
      <c r="B37" s="232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32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32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32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35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36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36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36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36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7" t="s">
        <v>184</v>
      </c>
      <c r="C61" s="240" t="s">
        <v>133</v>
      </c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29"/>
      <c r="S61" s="166"/>
      <c r="T61" s="167"/>
    </row>
    <row r="62" spans="2:20" ht="15.75" x14ac:dyDescent="0.3">
      <c r="B62" s="237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38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38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9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7" t="s">
        <v>201</v>
      </c>
      <c r="C69" s="240" t="s">
        <v>133</v>
      </c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29"/>
      <c r="S69" s="166"/>
      <c r="T69" s="167"/>
    </row>
    <row r="70" spans="2:20" ht="15.75" x14ac:dyDescent="0.3">
      <c r="B70" s="237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7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38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9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27" t="s">
        <v>24</v>
      </c>
      <c r="C77" s="229" t="s">
        <v>133</v>
      </c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177"/>
      <c r="S77" s="177"/>
      <c r="T77" s="178"/>
    </row>
    <row r="78" spans="2:20" x14ac:dyDescent="0.25">
      <c r="B78" s="228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28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28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28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28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28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2:E3"/>
    <mergeCell ref="F2:H3"/>
    <mergeCell ref="B12:B18"/>
    <mergeCell ref="C12:Q12"/>
    <mergeCell ref="B25:B29"/>
    <mergeCell ref="C25:R25"/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2026-01-09T10:32:32Z</dcterms:modified>
</cp:coreProperties>
</file>